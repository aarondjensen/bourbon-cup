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visible" name="R2_G1" sheetId="6" r:id="rId9"/>
    <sheet state="visible" name="R2_G2" sheetId="7" r:id="rId10"/>
    <sheet state="visible" name="R2_G3" sheetId="8" r:id="rId11"/>
    <sheet state="visible" name="R2_G4" sheetId="9" r:id="rId12"/>
    <sheet state="visible" name="R3_G1" sheetId="10" r:id="rId13"/>
    <sheet state="visible" name="R3_G2" sheetId="11" r:id="rId14"/>
    <sheet state="visible" name="R3_G3" sheetId="12" r:id="rId15"/>
    <sheet state="visible" name="R3_G4" sheetId="13" r:id="rId16"/>
    <sheet state="visible" name="R4_G1" sheetId="14" r:id="rId17"/>
    <sheet state="visible" name="R4_G2" sheetId="15" r:id="rId18"/>
    <sheet state="visible" name="R4_G3" sheetId="16" r:id="rId19"/>
    <sheet state="visible" name="R4_G4" sheetId="17" r:id="rId20"/>
    <sheet state="hidden" name="Captains Card 1" sheetId="18" r:id="rId21"/>
    <sheet state="hidden" name="Captains Card 2" sheetId="19" r:id="rId22"/>
    <sheet state="visible" name="Master Input" sheetId="20" r:id="rId23"/>
    <sheet state="visible" name="Hats" sheetId="21" r:id="rId24"/>
    <sheet state="visible" name="Match Selection" sheetId="22" r:id="rId25"/>
    <sheet state="visible" name="FINAL COUNTDOWN" sheetId="23" r:id="rId26"/>
    <sheet state="visible" name="Grint Handis" sheetId="24" r:id="rId27"/>
    <sheet state="visible" name="Course List" sheetId="25" r:id="rId28"/>
    <sheet state="visible" name="ALL SCORES" sheetId="26" r:id="rId29"/>
    <sheet state="hidden" name="Locked Bets Setup" sheetId="27" r:id="rId30"/>
    <sheet state="visible" name="Player Analytics" sheetId="28" r:id="rId31"/>
    <sheet state="hidden" name="Ghost Selection" sheetId="29" r:id="rId32"/>
  </sheets>
  <definedNames>
    <definedName name="COURSES">'Course List'!$A:$A</definedName>
  </definedNames>
  <calcPr/>
</workbook>
</file>

<file path=xl/sharedStrings.xml><?xml version="1.0" encoding="utf-8"?>
<sst xmlns="http://schemas.openxmlformats.org/spreadsheetml/2006/main" count="2191" uniqueCount="375">
  <si>
    <t>Sautering Irons</t>
  </si>
  <si>
    <t>HileDrivers</t>
  </si>
  <si>
    <t>Hide this and everything to the right.</t>
  </si>
  <si>
    <t>Takes 42 to Win</t>
  </si>
  <si>
    <t>Score Tracking: Match Status and Points</t>
  </si>
  <si>
    <t>Match 1</t>
  </si>
  <si>
    <t>Thru</t>
  </si>
  <si>
    <t>Front</t>
  </si>
  <si>
    <t>Back</t>
  </si>
  <si>
    <t>Overall</t>
  </si>
  <si>
    <t>Hole:</t>
  </si>
  <si>
    <t>R1_G1</t>
  </si>
  <si>
    <t>Base Team</t>
  </si>
  <si>
    <t>VLOOKUP REF:</t>
  </si>
  <si>
    <t>Opposition</t>
  </si>
  <si>
    <t>Hole Won/Lost:</t>
  </si>
  <si>
    <t>Points</t>
  </si>
  <si>
    <t>Holes Left</t>
  </si>
  <si>
    <t>Holes Left Front Back</t>
  </si>
  <si>
    <t>Base Team Pts</t>
  </si>
  <si>
    <t>Match Front Back</t>
  </si>
  <si>
    <t>Opposition Pts</t>
  </si>
  <si>
    <t>Holes Left Overall</t>
  </si>
  <si>
    <t>Match Overall</t>
  </si>
  <si>
    <t>Match 2</t>
  </si>
  <si>
    <t>R1_G2</t>
  </si>
  <si>
    <t>Match 3</t>
  </si>
  <si>
    <t>R1_G3</t>
  </si>
  <si>
    <t>Match 4</t>
  </si>
  <si>
    <t>R1_G4</t>
  </si>
  <si>
    <t>R2_G1</t>
  </si>
  <si>
    <t>Top</t>
  </si>
  <si>
    <t>Bottom</t>
  </si>
  <si>
    <t>R2_G2</t>
  </si>
  <si>
    <t>Match 5</t>
  </si>
  <si>
    <t>R2_G3</t>
  </si>
  <si>
    <t>Match 6</t>
  </si>
  <si>
    <t>Match 7</t>
  </si>
  <si>
    <t>R2_G4</t>
  </si>
  <si>
    <t>Match 8</t>
  </si>
  <si>
    <t>Score Tracking: Tilt Points, Margin, and BC Points</t>
  </si>
  <si>
    <t>Tilt Points</t>
  </si>
  <si>
    <t>R3_G1</t>
  </si>
  <si>
    <t>N/A</t>
  </si>
  <si>
    <t>Cup Points</t>
  </si>
  <si>
    <t>Margin</t>
  </si>
  <si>
    <t>R3_G2</t>
  </si>
  <si>
    <t>R3_G3</t>
  </si>
  <si>
    <t>R3_G4</t>
  </si>
  <si>
    <t>Score Tracking: Occurs Manually at Final Reveal</t>
  </si>
  <si>
    <t>Team
Score</t>
  </si>
  <si>
    <t>Hole</t>
  </si>
  <si>
    <t>TOTAL</t>
  </si>
  <si>
    <t>Tie Breaker</t>
  </si>
  <si>
    <t>Group 1</t>
  </si>
  <si>
    <t>Handi:</t>
  </si>
  <si>
    <t>Par:</t>
  </si>
  <si>
    <t>Team</t>
  </si>
  <si>
    <t>Tee HCP</t>
  </si>
  <si>
    <t>Net HCP</t>
  </si>
  <si>
    <t>OUT</t>
  </si>
  <si>
    <t>IN</t>
  </si>
  <si>
    <t>Total Gross</t>
  </si>
  <si>
    <t>Total
Net</t>
  </si>
  <si>
    <t>Cup Pts</t>
  </si>
  <si>
    <t>Match - Front</t>
  </si>
  <si>
    <t>Match - Overall</t>
  </si>
  <si>
    <t>Match - Back</t>
  </si>
  <si>
    <t>Holes</t>
  </si>
  <si>
    <t>Point</t>
  </si>
  <si>
    <t>Match</t>
  </si>
  <si>
    <t>Contr</t>
  </si>
  <si>
    <t>Won</t>
  </si>
  <si>
    <t>Share</t>
  </si>
  <si>
    <t>Group 2</t>
  </si>
  <si>
    <t>Group 3</t>
  </si>
  <si>
    <t>Group 4</t>
  </si>
  <si>
    <t>Top - Front</t>
  </si>
  <si>
    <t>Top - Overall</t>
  </si>
  <si>
    <t>Top - Back</t>
  </si>
  <si>
    <t>Bottom - Front</t>
  </si>
  <si>
    <t>Bot - Overall</t>
  </si>
  <si>
    <t>Bot - Back</t>
  </si>
  <si>
    <t>Gross</t>
  </si>
  <si>
    <t>Net</t>
  </si>
  <si>
    <t>Key:</t>
  </si>
  <si>
    <t>Tee Handi</t>
  </si>
  <si>
    <t>Alba</t>
  </si>
  <si>
    <t>Points:</t>
  </si>
  <si>
    <t>Eagle</t>
  </si>
  <si>
    <t>Bird</t>
  </si>
  <si>
    <t>Par</t>
  </si>
  <si>
    <t>Bogey</t>
  </si>
  <si>
    <t>Dub +</t>
  </si>
  <si>
    <t>Final Margin</t>
  </si>
  <si>
    <t>BC Points</t>
  </si>
  <si>
    <t>Total</t>
  </si>
  <si>
    <t>20-29</t>
  </si>
  <si>
    <t>Top Team Margin (+/-)</t>
  </si>
  <si>
    <t>Top Team
Margin (+/-)</t>
  </si>
  <si>
    <t>30+</t>
  </si>
  <si>
    <t>Contr / Hole</t>
  </si>
  <si>
    <t>Set count of</t>
  </si>
  <si>
    <t>Team Avg</t>
  </si>
  <si>
    <t>Contribs/Hole</t>
  </si>
  <si>
    <t>Team Rel Net</t>
  </si>
  <si>
    <t>in row 19</t>
  </si>
  <si>
    <t>Team Score</t>
  </si>
  <si>
    <t>Handicap:</t>
  </si>
  <si>
    <t>Player</t>
  </si>
  <si>
    <t>Total Net</t>
  </si>
  <si>
    <t>in R4_G1 row 19</t>
  </si>
  <si>
    <t>NET</t>
  </si>
  <si>
    <t>HOLE</t>
  </si>
  <si>
    <t>PAR</t>
  </si>
  <si>
    <t>Tm TOT</t>
  </si>
  <si>
    <t>Average</t>
  </si>
  <si>
    <t>To Par</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</si>
  <si>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</si>
  <si>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Round 1</t>
  </si>
  <si>
    <t>Tee Times:</t>
  </si>
  <si>
    <t>Round 2</t>
  </si>
  <si>
    <t>Round 3</t>
  </si>
  <si>
    <t>Round 4</t>
  </si>
  <si>
    <t>Course - Tees :</t>
  </si>
  <si>
    <t>Game:</t>
  </si>
  <si>
    <t>Teams, Players, Courses, &amp; Handis</t>
  </si>
  <si>
    <t>GVSU Meadows - Blue</t>
  </si>
  <si>
    <t>2-Man Best Ball</t>
  </si>
  <si>
    <t>Ravines GC - White</t>
  </si>
  <si>
    <t>Singles Matches</t>
  </si>
  <si>
    <t>2-Man Tilt</t>
  </si>
  <si>
    <t>American Dunes - Freedom/WH</t>
  </si>
  <si>
    <t>Team Best Ball</t>
  </si>
  <si>
    <t>Add Players and assign a Team.  
Must match name in Grint sheet.</t>
  </si>
  <si>
    <t>Update in Grint Handicaps tab:</t>
  </si>
  <si>
    <t>Course Par:</t>
  </si>
  <si>
    <t>Course Rating:</t>
  </si>
  <si>
    <t>Course Slope:</t>
  </si>
  <si>
    <t>Game Scoring</t>
  </si>
  <si>
    <t>Points Awarded</t>
  </si>
  <si>
    <t>Irons</t>
  </si>
  <si>
    <t>&lt;-- Team Nm</t>
  </si>
  <si>
    <t>Handi Index</t>
  </si>
  <si>
    <t>Handi Index (Values)</t>
  </si>
  <si>
    <t>Course Handi</t>
  </si>
  <si>
    <t>Handi</t>
  </si>
  <si>
    <t>Game Name</t>
  </si>
  <si>
    <t>Scoring Description (use formula)</t>
  </si>
  <si>
    <t>Jensen</t>
  </si>
  <si>
    <t>Column # 1</t>
  </si>
  <si>
    <t>CuzNick</t>
  </si>
  <si>
    <t>Andy</t>
  </si>
  <si>
    <t>Pace</t>
  </si>
  <si>
    <t>Pinehurst</t>
  </si>
  <si>
    <t>House</t>
  </si>
  <si>
    <t>NA</t>
  </si>
  <si>
    <t>Enter count of hole contributions per hole on Scorecard 1</t>
  </si>
  <si>
    <t>DK</t>
  </si>
  <si>
    <t>2-Man Hi Lo</t>
  </si>
  <si>
    <t>Carp</t>
  </si>
  <si>
    <t>Shamble</t>
  </si>
  <si>
    <t>Saugy</t>
  </si>
  <si>
    <t>2-Man Scramble</t>
  </si>
  <si>
    <t>Drivers</t>
  </si>
  <si>
    <t>Telly</t>
  </si>
  <si>
    <t>KJ</t>
  </si>
  <si>
    <t>R-Mac</t>
  </si>
  <si>
    <t>T-Mo</t>
  </si>
  <si>
    <t>TJSC</t>
  </si>
  <si>
    <t>Weezy</t>
  </si>
  <si>
    <t>Joe O</t>
  </si>
  <si>
    <t>Hile</t>
  </si>
  <si>
    <t>Total Ct</t>
  </si>
  <si>
    <t>Hat Color</t>
  </si>
  <si>
    <t>Hat Size</t>
  </si>
  <si>
    <t>Stitch Name</t>
  </si>
  <si>
    <t>Marisa</t>
  </si>
  <si>
    <t>White</t>
  </si>
  <si>
    <t>S-M</t>
  </si>
  <si>
    <t>QUEEN CARP</t>
  </si>
  <si>
    <t>Adam</t>
  </si>
  <si>
    <t>M-L - Special</t>
  </si>
  <si>
    <t>AJP</t>
  </si>
  <si>
    <t>Aaron</t>
  </si>
  <si>
    <t>M-L</t>
  </si>
  <si>
    <t>J BIRD</t>
  </si>
  <si>
    <t>Nick</t>
  </si>
  <si>
    <t>CUZ NICK</t>
  </si>
  <si>
    <t>Too Small, was it tight AND shallow?</t>
  </si>
  <si>
    <t>Shaun</t>
  </si>
  <si>
    <t>HOUSE</t>
  </si>
  <si>
    <t>2018 - Tee's Company: How did that fit? Width wise and depth wise.</t>
  </si>
  <si>
    <t>Dave</t>
  </si>
  <si>
    <t>DK GUARANTEE</t>
  </si>
  <si>
    <t>Pete</t>
  </si>
  <si>
    <t>KING CARP</t>
  </si>
  <si>
    <t>Paul S</t>
  </si>
  <si>
    <t>SAUGY</t>
  </si>
  <si>
    <t>L-XL</t>
  </si>
  <si>
    <t>BC8</t>
  </si>
  <si>
    <t>Jim</t>
  </si>
  <si>
    <t>Navy</t>
  </si>
  <si>
    <t>C-Y</t>
  </si>
  <si>
    <t>HILEDRIVER</t>
  </si>
  <si>
    <t>Ben</t>
  </si>
  <si>
    <t>TELLY</t>
  </si>
  <si>
    <t>Kevin</t>
  </si>
  <si>
    <t>Tim</t>
  </si>
  <si>
    <t>T-MO</t>
  </si>
  <si>
    <t>TJ</t>
  </si>
  <si>
    <t>Joe</t>
  </si>
  <si>
    <t>O'C '22</t>
  </si>
  <si>
    <t>Paul W</t>
  </si>
  <si>
    <t>BOURBON CUP '22</t>
  </si>
  <si>
    <t>Ryan</t>
  </si>
  <si>
    <t>RMAC</t>
  </si>
  <si>
    <t>Hidden Rows &gt;&gt;</t>
  </si>
  <si>
    <t>Card 1</t>
  </si>
  <si>
    <t>Card 2</t>
  </si>
  <si>
    <t>Card 3</t>
  </si>
  <si>
    <t>Card 4</t>
  </si>
  <si>
    <t>Tee Time:</t>
  </si>
  <si>
    <t>Title</t>
  </si>
  <si>
    <t>Tm 1</t>
  </si>
  <si>
    <t>Tm 2</t>
  </si>
  <si>
    <t>Oper 1</t>
  </si>
  <si>
    <t>Oper 2</t>
  </si>
  <si>
    <t>Op 1</t>
  </si>
  <si>
    <t>Op 2</t>
  </si>
  <si>
    <t>HC</t>
  </si>
  <si>
    <t>VS</t>
  </si>
  <si>
    <t>Matches 1 &amp; 2</t>
  </si>
  <si>
    <t>Matches 3 &amp; 4</t>
  </si>
  <si>
    <t>Matches 5 &amp; 6</t>
  </si>
  <si>
    <t>Matches 7 &amp; 8</t>
  </si>
  <si>
    <t>Full Cards:</t>
  </si>
  <si>
    <r>
      <rPr>
        <rFont val="Charis SIL"/>
        <b/>
        <i/>
        <color rgb="FF666666"/>
        <sz val="56.0"/>
      </rPr>
      <t>T</t>
    </r>
    <r>
      <rPr>
        <rFont val="Charis SIL"/>
        <b/>
        <i/>
        <color rgb="FF666666"/>
        <sz val="46.0"/>
      </rPr>
      <t>HE</t>
    </r>
    <r>
      <rPr>
        <rFont val="Charis SIL"/>
        <b/>
        <i/>
        <color rgb="FF666666"/>
        <sz val="56.0"/>
      </rPr>
      <t xml:space="preserve"> F</t>
    </r>
    <r>
      <rPr>
        <rFont val="Charis SIL"/>
        <b/>
        <i/>
        <color rgb="FF666666"/>
        <sz val="46.0"/>
      </rPr>
      <t>INAL</t>
    </r>
    <r>
      <rPr>
        <rFont val="Charis SIL"/>
        <b/>
        <i/>
        <color rgb="FF666666"/>
        <sz val="56.0"/>
      </rPr>
      <t xml:space="preserve"> C</t>
    </r>
    <r>
      <rPr>
        <rFont val="Charis SIL"/>
        <b/>
        <i/>
        <color rgb="FF666666"/>
        <sz val="46.0"/>
      </rPr>
      <t>OUNTDOWN</t>
    </r>
  </si>
  <si>
    <r>
      <rPr>
        <rFont val="Charis SIL"/>
        <b/>
        <color rgb="FF0B5394"/>
        <sz val="36.0"/>
      </rPr>
      <t>S</t>
    </r>
    <r>
      <rPr>
        <rFont val="Charis SIL"/>
        <b/>
        <color rgb="FF0B5394"/>
        <sz val="30.0"/>
      </rPr>
      <t>AUTERING</t>
    </r>
  </si>
  <si>
    <r>
      <rPr>
        <rFont val="Charis SIL"/>
        <b/>
        <color rgb="FFCC0000"/>
        <sz val="36.0"/>
      </rPr>
      <t>H</t>
    </r>
    <r>
      <rPr>
        <rFont val="Charis SIL"/>
        <b/>
        <color rgb="FFCC0000"/>
        <sz val="30.0"/>
      </rPr>
      <t>ILE</t>
    </r>
  </si>
  <si>
    <r>
      <rPr>
        <rFont val="Charis SIL"/>
        <b/>
        <color rgb="FF0B5394"/>
        <sz val="36.0"/>
      </rPr>
      <t>I</t>
    </r>
    <r>
      <rPr>
        <rFont val="Charis SIL"/>
        <b/>
        <color rgb="FF0B5394"/>
        <sz val="30.0"/>
      </rPr>
      <t>RONS</t>
    </r>
  </si>
  <si>
    <r>
      <rPr>
        <rFont val="Charis SIL"/>
        <b/>
        <color rgb="FFCC0000"/>
        <sz val="36.0"/>
      </rPr>
      <t>D</t>
    </r>
    <r>
      <rPr>
        <rFont val="Charis SIL"/>
        <b/>
        <color rgb="FFCC0000"/>
        <sz val="30.0"/>
      </rPr>
      <t>RIVERS</t>
    </r>
  </si>
  <si>
    <t>Tie Breaker is Fewest Team Agg Score Strokes in Final Round. If still tied, then fewest team strokes on hole 18, then 17 and so on until broken.</t>
  </si>
  <si>
    <t>BC Name</t>
  </si>
  <si>
    <t>Handicap</t>
  </si>
  <si>
    <t>Imported from "Bourbon Cup - Grint Handicaps" workbook.</t>
  </si>
  <si>
    <t>Column 1</t>
  </si>
  <si>
    <t>Course - Tees</t>
  </si>
  <si>
    <t>Import @ A3</t>
  </si>
  <si>
    <t>Out</t>
  </si>
  <si>
    <t>In</t>
  </si>
  <si>
    <t>Tot</t>
  </si>
  <si>
    <t>GROSS</t>
  </si>
  <si>
    <t>ESC</t>
  </si>
  <si>
    <t>CHECK</t>
  </si>
  <si>
    <t>Net Pars</t>
  </si>
  <si>
    <t>H</t>
  </si>
  <si>
    <t>SK G</t>
  </si>
  <si>
    <t>SK N</t>
  </si>
  <si>
    <t>or Better</t>
  </si>
  <si>
    <t>Royale</t>
  </si>
  <si>
    <t>Eagles+</t>
  </si>
  <si>
    <t>Birdies</t>
  </si>
  <si>
    <t>Pars</t>
  </si>
  <si>
    <t>Bogies</t>
  </si>
  <si>
    <t>Doubles+</t>
  </si>
  <si>
    <t>Y</t>
  </si>
  <si>
    <t>SK C</t>
  </si>
  <si>
    <t>CTP</t>
  </si>
  <si>
    <t>LP5</t>
  </si>
  <si>
    <t>Number of Individual Rounds</t>
  </si>
  <si>
    <t>PER ROUND</t>
  </si>
  <si>
    <t>Low Score - Gross - Per Round</t>
  </si>
  <si>
    <t>Low Score - Net - Per Round</t>
  </si>
  <si>
    <t>Low Round - Gross</t>
  </si>
  <si>
    <t>Low Round - Net</t>
  </si>
  <si>
    <t>Low Cumulative - Gross</t>
  </si>
  <si>
    <t>Low Cumulative - Net</t>
  </si>
  <si>
    <t>Skins - Gross - Cumulative</t>
  </si>
  <si>
    <t>Skins - Net - Cumulative</t>
  </si>
  <si>
    <t>Skins - Gross - Per Round</t>
  </si>
  <si>
    <t>Skins - Net - Per Round</t>
  </si>
  <si>
    <t>Aaron J</t>
  </si>
  <si>
    <t>Nick S</t>
  </si>
  <si>
    <t>Andy H</t>
  </si>
  <si>
    <t>Tim C</t>
  </si>
  <si>
    <t>2M BB</t>
  </si>
  <si>
    <t>SINGLE</t>
  </si>
  <si>
    <t>SHARED</t>
  </si>
  <si>
    <t>TEAM</t>
  </si>
  <si>
    <t>Aggregate</t>
  </si>
  <si>
    <t>Win % Factors</t>
  </si>
  <si>
    <t>Win % by Round</t>
  </si>
  <si>
    <t>Avg</t>
  </si>
  <si>
    <t>Strokes Gained by Round</t>
  </si>
  <si>
    <t>Strokes</t>
  </si>
  <si>
    <t>Win</t>
  </si>
  <si>
    <t>Rd 1</t>
  </si>
  <si>
    <t>Rd 2</t>
  </si>
  <si>
    <t>Rd 3</t>
  </si>
  <si>
    <t>Rd 4</t>
  </si>
  <si>
    <t>Gained</t>
  </si>
  <si>
    <t>Score</t>
  </si>
  <si>
    <t>Contr %</t>
  </si>
  <si>
    <t>W%</t>
  </si>
  <si>
    <t>%</t>
  </si>
  <si>
    <t>SG</t>
  </si>
  <si>
    <t>Team Total</t>
  </si>
  <si>
    <t>Group Total</t>
  </si>
  <si>
    <t>Overall Performance Notes</t>
  </si>
  <si>
    <t>Win Contributions</t>
  </si>
  <si>
    <t>WinCon Notes</t>
  </si>
  <si>
    <t>Win Contributions are the number of holes where a player's net score counted toward a win</t>
  </si>
  <si>
    <t>Rd's 1-3 are played with your opponents, so Holes Won measures performance in the face of</t>
  </si>
  <si>
    <t>or a halve in Rounds 1-3 or toward the team score in Round 4.</t>
  </si>
  <si>
    <t>competition. Rd 4 is played with the team, so using Hole Contributions makes more sense</t>
  </si>
  <si>
    <t>since players are not face to face with thier competitors.  But since there are twice as many</t>
  </si>
  <si>
    <t>WinCon % is a player's Win Contributions divided by the max possible Win Contributions.</t>
  </si>
  <si>
    <t>Hole Contributions as Holes Won, I'm dividing it by half.</t>
  </si>
  <si>
    <t>(Which is typically 54.) Multiplied by 18, WinCon % gives the number of holes per round</t>
  </si>
  <si>
    <t>where a player made a (likely scoring) contribution.</t>
  </si>
  <si>
    <t>Further, we must keep the total number of Win Contributions consistent in order for the</t>
  </si>
  <si>
    <t xml:space="preserve">metrics to be loosely comparable year over year. Since we've taken a different number of team </t>
  </si>
  <si>
    <t>Match Royale</t>
  </si>
  <si>
    <t>contributions in the final round in different years there must be an adjustment. So, a player's</t>
  </si>
  <si>
    <t>Match Royale is a player's winning percentage against every other player on every hole. Think</t>
  </si>
  <si>
    <t>Hole Contribution number in Rd 4 is divided by the number of all players' contributions and</t>
  </si>
  <si>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</si>
  <si>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</si>
  <si>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</si>
  <si>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</si>
  <si>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</si>
  <si>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</si>
  <si>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</si>
  <si>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</si>
  <si>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MatRoy %. It is the average of the percentage of holes with a win/contribution and the</t>
  </si>
  <si>
    <t>there are actually only 360 winning contributions available.  360/864 = .4167  Note: Each</t>
  </si>
  <si>
    <t>percentage of players beaten per hole. Because WinCon MatRoy is an</t>
  </si>
  <si>
    <t>player's (typical) max of 54 comes from a max of 9 in a shared round (Scramble, Shamble,</t>
  </si>
  <si>
    <t>average of WinCon (group average 41.67) and MatRoy (group avg of 50.00), its group</t>
  </si>
  <si>
    <t>or Pinehurst), 18 in the singles round, 18 in a 2-man best ball, and 9 in the team best ball.</t>
  </si>
  <si>
    <t>average is always 45.835. (41.67 + 50.00) / 2</t>
  </si>
  <si>
    <t>WinCon MatRoy Notes</t>
  </si>
  <si>
    <t>Even though the average score is 45.84, the max possible score here has typically</t>
  </si>
  <si>
    <t>been 100. That would occur if a golfer beat every single other player on every single hole of</t>
  </si>
  <si>
    <t>the weekend. (That assumes the final round used 144 total team contributions.  In 2019 it</t>
  </si>
  <si>
    <t>was 180, so the max possible WinCon % was 96.7 and the max WinCon MatRoy</t>
  </si>
  <si>
    <t>was 98.3. Ask if you really want to, but i'm not explaining why here.)</t>
  </si>
  <si>
    <t>TOT</t>
  </si>
  <si>
    <t>INDEX</t>
  </si>
  <si>
    <t>Ghost Selection</t>
  </si>
  <si>
    <t>Rando</t>
  </si>
  <si>
    <t>Largest Number is the Ghost</t>
  </si>
  <si>
    <t>Rounds 1-3 Ghosts</t>
  </si>
  <si>
    <t>Copy and Save Here:</t>
  </si>
  <si>
    <t>Round 4 Ghosts:</t>
  </si>
  <si>
    <t>Lowest Number = Lowest Hole#</t>
  </si>
  <si>
    <t>Tier 1</t>
  </si>
  <si>
    <t>Tier 1 Ghost:</t>
  </si>
  <si>
    <t>Round</t>
  </si>
  <si>
    <t>Hole #:</t>
  </si>
  <si>
    <t>Ben T</t>
  </si>
  <si>
    <t>#15</t>
  </si>
  <si>
    <t>Scott R</t>
  </si>
  <si>
    <t>#18</t>
  </si>
  <si>
    <t>Shaun W</t>
  </si>
  <si>
    <t>#17</t>
  </si>
  <si>
    <t>Pete C</t>
  </si>
  <si>
    <t>Tier 2</t>
  </si>
  <si>
    <t>Tier 2 Ghost:</t>
  </si>
  <si>
    <t>#16</t>
  </si>
  <si>
    <t>Kyle M</t>
  </si>
  <si>
    <t>Tier 3</t>
  </si>
  <si>
    <t>Tier 3 Ghost:</t>
  </si>
  <si>
    <t>Dave K</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</si>
</sst>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_);[Red]\(&quot;$&quot;#,##0\)"/>
    <numFmt numFmtId="165" formatCode="&quot;$&quot;#,##0.00_);[Red]\(&quot;$&quot;#,##0.00\)"/>
    <numFmt numFmtId="166" formatCode="#,##0.0"/>
    <numFmt numFmtId="167" formatCode="m-d"/>
    <numFmt numFmtId="168" formatCode="0.0"/>
    <numFmt numFmtId="169" formatCode="0.0%"/>
    <numFmt numFmtId="170" formatCode="&quot;$&quot;#,##0"/>
    <numFmt numFmtId="171" formatCode="#,##0.000"/>
    <numFmt numFmtId="172" formatCode="0.000"/>
  </numFmts>
  <fonts count="146">
    <font>
      <sz val="11.0"/>
      <color rgb="FF000000"/>
      <name val="Calibri"/>
    </font>
    <font>
      <sz val="9.0"/>
      <name val="Russo One"/>
    </font>
    <font>
      <sz val="8.0"/>
      <name val="Russo One"/>
    </font>
    <font>
      <name val="Russo One"/>
    </font>
    <font>
      <sz val="8.0"/>
      <name val="Calibri"/>
    </font>
    <font>
      <sz val="7.0"/>
      <color rgb="FF073763"/>
      <name val="Russo One"/>
    </font>
    <font/>
    <font>
      <sz val="7.0"/>
      <color rgb="FFCC0000"/>
      <name val="Russo One"/>
    </font>
    <font>
      <b/>
      <sz val="12.0"/>
      <name val="Calibri"/>
    </font>
    <font>
      <sz val="18.0"/>
      <color rgb="FFFFFFFF"/>
      <name val="Russo One"/>
    </font>
    <font>
      <sz val="7.0"/>
      <name val="Russo One"/>
    </font>
    <font>
      <sz val="7.0"/>
      <color rgb="FF666666"/>
      <name val="Russo One"/>
    </font>
    <font>
      <sz val="9.0"/>
      <color rgb="FFFFFFFF"/>
      <name val="Russo One"/>
    </font>
    <font>
      <sz val="8.0"/>
      <color rgb="FFFFFFFF"/>
      <name val="Russo One"/>
    </font>
    <font>
      <i/>
      <sz val="8.0"/>
      <name val="Calibri"/>
    </font>
    <font>
      <sz val="8.0"/>
      <color rgb="FFFFFFFF"/>
      <name val="Calibri"/>
    </font>
    <font>
      <sz val="10.0"/>
      <color rgb="FF000000"/>
      <name val="Russo One"/>
    </font>
    <font>
      <i/>
      <sz val="9.0"/>
      <color rgb="FFFFFFFF"/>
      <name val="Russo One"/>
    </font>
    <font>
      <i/>
      <sz val="8.0"/>
      <color rgb="FF000000"/>
      <name val="Russo One"/>
    </font>
    <font>
      <i/>
      <sz val="8.0"/>
      <color rgb="FFFFFFFF"/>
      <name val="Russo One"/>
    </font>
    <font>
      <sz val="9.0"/>
      <color rgb="FFEA9999"/>
      <name val="Russo One"/>
    </font>
    <font>
      <sz val="6.0"/>
      <color rgb="FF666666"/>
      <name val="Russo One"/>
    </font>
    <font>
      <sz val="6.0"/>
      <name val="Russo One"/>
    </font>
    <font>
      <sz val="9.0"/>
      <color rgb="FF0B5394"/>
      <name val="Russo One"/>
    </font>
    <font>
      <sz val="9.0"/>
      <color rgb="FFCC0000"/>
      <name val="Russo One"/>
    </font>
    <font>
      <sz val="6.0"/>
      <color rgb="FF0B5394"/>
      <name val="Russo One"/>
    </font>
    <font>
      <sz val="6.0"/>
      <color rgb="FFCC0000"/>
      <name val="Russo One"/>
    </font>
    <font>
      <i/>
      <sz val="8.0"/>
      <color rgb="FFB7B7B7"/>
      <name val="Calibri"/>
    </font>
    <font>
      <sz val="9.0"/>
      <color rgb="FF9FC5E8"/>
      <name val="Russo One"/>
    </font>
    <font>
      <sz val="11.0"/>
      <name val="Russo One"/>
    </font>
    <font>
      <sz val="9.0"/>
      <color rgb="FFF9CB9C"/>
      <name val="Russo One"/>
    </font>
    <font>
      <sz val="8.0"/>
      <color rgb="FF666666"/>
      <name val="Russo One"/>
    </font>
    <font>
      <sz val="9.0"/>
      <color rgb="FF666666"/>
      <name val="Russo One"/>
    </font>
    <font>
      <sz val="8.0"/>
      <color rgb="FF0B5394"/>
      <name val="Russo One"/>
    </font>
    <font>
      <color rgb="FF0B5394"/>
      <name val="Russo One"/>
    </font>
    <font>
      <color rgb="FF666666"/>
      <name val="Russo One"/>
    </font>
    <font>
      <sz val="11.0"/>
      <color rgb="FF666666"/>
      <name val="Russo One"/>
    </font>
    <font>
      <sz val="8.0"/>
      <color rgb="FFCC0000"/>
      <name val="Russo One"/>
    </font>
    <font>
      <color rgb="FFCC0000"/>
      <name val="Russo One"/>
    </font>
    <font>
      <sz val="10.0"/>
      <name val="Russo One"/>
    </font>
    <font>
      <sz val="10.0"/>
      <color rgb="FF666666"/>
      <name val="Russo One"/>
    </font>
    <font>
      <b/>
      <sz val="9.0"/>
      <color rgb="FF000000"/>
      <name val="Montserrat"/>
    </font>
    <font>
      <sz val="9.0"/>
      <color rgb="FF000000"/>
      <name val="Montserrat"/>
    </font>
    <font>
      <sz val="9.0"/>
      <name val="Montserrat"/>
    </font>
    <font>
      <b/>
      <sz val="10.0"/>
      <color rgb="FF000000"/>
      <name val="Montserrat"/>
    </font>
    <font>
      <sz val="12.0"/>
      <name val="Montserrat"/>
    </font>
    <font>
      <name val="Montserrat"/>
    </font>
    <font>
      <sz val="12.0"/>
      <color rgb="FF000000"/>
      <name val="Montserrat"/>
    </font>
    <font>
      <sz val="10.0"/>
      <color rgb="FF000000"/>
      <name val="Montserrat"/>
    </font>
    <font>
      <sz val="8.0"/>
      <color rgb="FF000000"/>
      <name val="Montserrat"/>
    </font>
    <font>
      <b/>
      <sz val="12.0"/>
      <color rgb="FF000000"/>
      <name val="Montserrat"/>
    </font>
    <font>
      <sz val="11.0"/>
      <color rgb="FF000000"/>
      <name val="Montserrat"/>
    </font>
    <font>
      <b/>
      <sz val="6.0"/>
      <color rgb="FF000000"/>
      <name val="Montserrat"/>
    </font>
    <font>
      <b/>
      <sz val="6.0"/>
      <color rgb="FF000000"/>
      <name val="Anton"/>
    </font>
    <font>
      <sz val="10.0"/>
      <color rgb="FF000000"/>
      <name val="Anton"/>
    </font>
    <font>
      <sz val="14.0"/>
      <color rgb="FF000000"/>
      <name val="Montserrat"/>
    </font>
    <font>
      <b/>
      <sz val="14.0"/>
      <color rgb="FF000000"/>
      <name val="Montserrat"/>
    </font>
    <font>
      <sz val="6.0"/>
      <color rgb="FF000000"/>
      <name val="Montserrat"/>
    </font>
    <font>
      <sz val="9.0"/>
      <color rgb="FF000000"/>
      <name val="Anton"/>
    </font>
    <font>
      <b/>
      <sz val="9.0"/>
      <color rgb="FF000000"/>
      <name val="Anton"/>
    </font>
    <font>
      <sz val="11.0"/>
      <name val="Montserrat"/>
    </font>
    <font>
      <b/>
      <sz val="8.0"/>
      <color rgb="FF000000"/>
      <name val="Montserrat"/>
    </font>
    <font>
      <b/>
      <sz val="7.0"/>
      <color rgb="FF000000"/>
      <name val="Montserrat"/>
    </font>
    <font>
      <sz val="11.0"/>
      <name val="Calibri"/>
    </font>
    <font>
      <sz val="8.0"/>
      <color rgb="FF000000"/>
      <name val="Calibri"/>
    </font>
    <font>
      <i/>
      <sz val="11.0"/>
      <color rgb="FFB7B7B7"/>
      <name val="Calibri"/>
    </font>
    <font>
      <b/>
      <sz val="14.0"/>
      <color rgb="FF000000"/>
      <name val="Anton"/>
    </font>
    <font>
      <b/>
      <sz val="10.0"/>
      <color rgb="FF000000"/>
      <name val="Anton"/>
    </font>
    <font>
      <b/>
      <sz val="8.0"/>
      <name val="Montserrat"/>
    </font>
    <font>
      <sz val="8.0"/>
      <name val="Montserrat"/>
    </font>
    <font>
      <b/>
      <sz val="9.0"/>
      <name val="Montserrat"/>
    </font>
    <font>
      <b/>
      <sz val="6.0"/>
      <name val="Montserrat"/>
    </font>
    <font>
      <b/>
      <sz val="6.0"/>
      <name val="Anton"/>
    </font>
    <font>
      <sz val="11.0"/>
      <name val="Anton"/>
    </font>
    <font>
      <b/>
      <sz val="12.0"/>
      <name val="Montserrat"/>
    </font>
    <font>
      <b/>
      <sz val="7.0"/>
      <name val="Montserrat"/>
    </font>
    <font>
      <sz val="7.0"/>
      <name val="Montserrat"/>
    </font>
    <font>
      <name val="Anton"/>
    </font>
    <font>
      <b/>
      <sz val="12.0"/>
      <name val="Anton"/>
    </font>
    <font>
      <b/>
      <sz val="7.0"/>
      <name val="Anton"/>
    </font>
    <font>
      <b/>
      <sz val="5.0"/>
      <color rgb="FF000000"/>
      <name val="Montserrat"/>
    </font>
    <font>
      <b/>
      <sz val="14.0"/>
      <name val="Montserrat"/>
    </font>
    <font>
      <b/>
      <sz val="11.0"/>
      <name val="Calibri"/>
    </font>
    <font>
      <sz val="6.0"/>
      <color rgb="FF000000"/>
      <name val="Anton"/>
    </font>
    <font>
      <b/>
      <sz val="9.0"/>
      <color rgb="FF000000"/>
      <name val="Calibri"/>
    </font>
    <font>
      <b/>
      <sz val="10.0"/>
      <color rgb="FF000000"/>
      <name val="Calibri"/>
    </font>
    <font>
      <sz val="10.0"/>
      <color rgb="FF000000"/>
      <name val="Calibri"/>
    </font>
    <font>
      <sz val="12.0"/>
      <color rgb="FF000000"/>
      <name val="Calibri"/>
    </font>
    <font>
      <b/>
      <sz val="8.0"/>
      <color rgb="FF000000"/>
      <name val="Calibri"/>
    </font>
    <font>
      <b/>
      <sz val="12.0"/>
      <color rgb="FF000000"/>
      <name val="Calibri"/>
    </font>
    <font>
      <sz val="12.0"/>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sz val="12.0"/>
      <name val="Calibri"/>
    </font>
    <font>
      <sz val="10.0"/>
      <name val="Calibri"/>
    </font>
    <font>
      <sz val="10.0"/>
    </font>
    <font>
      <b/>
      <sz val="12.0"/>
    </font>
    <font>
      <b/>
      <sz val="10.0"/>
    </font>
    <font>
      <color rgb="FFFFFFFF"/>
    </font>
    <font>
      <i/>
      <sz val="10.0"/>
      <color rgb="FFB7B7B7"/>
    </font>
    <font>
      <i/>
      <sz val="10.0"/>
      <color rgb="FF999999"/>
    </font>
    <font>
      <b/>
      <name val="Franklin Gothic"/>
    </font>
    <font>
      <b/>
      <name val="Lora"/>
    </font>
    <font>
      <color rgb="FF96FF96"/>
    </font>
    <font>
      <b/>
    </font>
    <font>
      <sz val="7.0"/>
    </font>
    <font>
      <i/>
    </font>
    <font>
      <i/>
      <color rgb="FF999999"/>
    </font>
    <font>
      <i/>
      <sz val="11.0"/>
      <name val="Calibri"/>
    </font>
    <font>
      <b/>
      <sz val="8.0"/>
      <color rgb="FFFFFFFF"/>
      <name val="Charis SIL"/>
    </font>
    <font>
      <b/>
      <sz val="8.0"/>
      <color rgb="FF0B5394"/>
      <name val="Charis SIL"/>
    </font>
    <font>
      <b/>
      <sz val="8.0"/>
      <color rgb="FF666666"/>
      <name val="Charis SIL"/>
    </font>
    <font>
      <b/>
      <sz val="8.0"/>
      <color rgb="FFCC0000"/>
      <name val="Charis SIL"/>
    </font>
    <font>
      <b/>
      <i/>
      <sz val="56.0"/>
      <color rgb="FF666666"/>
      <name val="Charis SIL"/>
    </font>
    <font>
      <b/>
      <sz val="11.0"/>
      <name val="Charis SIL"/>
    </font>
    <font>
      <b/>
      <sz val="10.0"/>
      <name val="Charis SIL"/>
    </font>
    <font>
      <b/>
      <name val="Charis SIL"/>
    </font>
    <font>
      <b/>
      <sz val="9.0"/>
      <name val="Charis SIL"/>
    </font>
    <font>
      <b/>
      <sz val="11.0"/>
      <color rgb="FFFF008A"/>
      <name val="Charis SIL"/>
    </font>
    <font>
      <b/>
      <sz val="10.0"/>
      <color rgb="FF666666"/>
      <name val="Charis SIL"/>
    </font>
    <font>
      <b/>
      <sz val="11.0"/>
      <color rgb="FFCC0000"/>
      <name val="Charis SIL"/>
    </font>
    <font>
      <b/>
      <sz val="36.0"/>
      <color rgb="FF0B5394"/>
      <name val="Charis SIL"/>
    </font>
    <font>
      <b/>
      <sz val="36.0"/>
      <color rgb="FFCC0000"/>
      <name val="Charis SIL"/>
    </font>
    <font>
      <b/>
      <sz val="72.0"/>
      <color rgb="FFFFFFFF"/>
      <name val="Charis SIL"/>
    </font>
    <font>
      <b/>
      <color rgb="FF666666"/>
      <name val="Charis SIL"/>
    </font>
    <font>
      <b/>
      <sz val="30.0"/>
      <color rgb="FF0B5394"/>
      <name val="Charis SIL"/>
    </font>
    <font>
      <b/>
      <sz val="24.0"/>
      <color rgb="FF666666"/>
      <name val="Charis SIL"/>
    </font>
    <font>
      <b/>
      <sz val="30.0"/>
      <color rgb="FFCC0000"/>
      <name val="Charis SIL"/>
    </font>
    <font>
      <b/>
      <sz val="10.0"/>
      <color rgb="FF000000"/>
      <name val="Charis SIL"/>
    </font>
    <font>
      <b/>
      <sz val="42.0"/>
      <name val="Charis SIL"/>
    </font>
    <font>
      <b/>
      <sz val="10.0"/>
      <name val="Arial"/>
    </font>
    <font>
      <sz val="10.0"/>
      <name val="Arial"/>
    </font>
    <font>
      <i/>
      <sz val="10.0"/>
      <color rgb="FFB7B7B7"/>
      <name val="Arial"/>
    </font>
    <font>
      <sz val="10.0"/>
      <color rgb="FFFFFFFF"/>
      <name val="Calibri"/>
    </font>
    <font>
      <color rgb="FF000000"/>
      <name val="Calibri"/>
    </font>
    <font>
      <name val="Calibri"/>
    </font>
    <font>
      <b/>
      <color rgb="FF000000"/>
      <name val="Calibri"/>
    </font>
    <font>
      <b/>
      <sz val="10.0"/>
      <name val="Calibri"/>
    </font>
    <font>
      <sz val="11.0"/>
      <color rgb="FF383838"/>
      <name val="HelveticaNeue-Light"/>
    </font>
    <font>
      <sz val="12.0"/>
      <color rgb="FF383838"/>
      <name val="Oswald-Light"/>
    </font>
    <font>
      <sz val="11.0"/>
      <color rgb="FF383838"/>
      <name val="Oswald-Light"/>
    </font>
    <font>
      <sz val="11.0"/>
      <color rgb="FF000000"/>
      <name val="Inconsolata"/>
    </font>
  </fonts>
  <fills count="101">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CCCCCC"/>
        <bgColor rgb="FFCCCCCC"/>
      </patternFill>
    </fill>
    <fill>
      <patternFill patternType="solid">
        <fgColor rgb="FF0B5394"/>
        <bgColor rgb="FF0B5394"/>
      </patternFill>
    </fill>
    <fill>
      <patternFill patternType="solid">
        <fgColor rgb="FFCC0000"/>
        <bgColor rgb="FFCC0000"/>
      </patternFill>
    </fill>
    <fill>
      <patternFill patternType="solid">
        <fgColor rgb="FFDDDFE9"/>
        <bgColor rgb="FFDDDFE9"/>
      </patternFill>
    </fill>
    <fill>
      <patternFill patternType="solid">
        <fgColor rgb="FFEA9999"/>
        <bgColor rgb="FFEA9999"/>
      </patternFill>
    </fill>
    <fill>
      <patternFill patternType="solid">
        <fgColor rgb="FFF4CCCC"/>
        <bgColor rgb="FFF4CCCC"/>
      </patternFill>
    </fill>
    <fill>
      <patternFill patternType="solid">
        <fgColor rgb="FFFFFF00"/>
        <bgColor rgb="FFFFFF00"/>
      </patternFill>
    </fill>
    <fill>
      <patternFill patternType="solid">
        <fgColor rgb="FFCAF6E1"/>
        <bgColor rgb="FFCAF6E1"/>
      </patternFill>
    </fill>
    <fill>
      <patternFill patternType="solid">
        <fgColor rgb="FF4DD0E1"/>
        <bgColor rgb="FF4DD0E1"/>
      </patternFill>
    </fill>
    <fill>
      <patternFill patternType="solid">
        <fgColor rgb="FF9FC5E8"/>
        <bgColor rgb="FF9FC5E8"/>
      </patternFill>
    </fill>
    <fill>
      <patternFill patternType="solid">
        <fgColor rgb="FFCFE2F3"/>
        <bgColor rgb="FFCFE2F3"/>
      </patternFill>
    </fill>
    <fill>
      <patternFill patternType="solid">
        <fgColor rgb="FFF9CB9C"/>
        <bgColor rgb="FFF9CB9C"/>
      </patternFill>
    </fill>
    <fill>
      <patternFill patternType="solid">
        <fgColor rgb="FFFCE5CD"/>
        <bgColor rgb="FFFCE5CD"/>
      </patternFill>
    </fill>
    <fill>
      <patternFill patternType="solid">
        <fgColor rgb="FFB6D7A8"/>
        <bgColor rgb="FFB6D7A8"/>
      </patternFill>
    </fill>
    <fill>
      <patternFill patternType="solid">
        <fgColor rgb="FFD9EAD3"/>
        <bgColor rgb="FFD9EAD3"/>
      </patternFill>
    </fill>
    <fill>
      <patternFill patternType="solid">
        <fgColor rgb="FFEFEFEF"/>
        <bgColor rgb="FFEFEFEF"/>
      </patternFill>
    </fill>
    <fill>
      <patternFill patternType="solid">
        <fgColor rgb="FFE0F7FA"/>
        <bgColor rgb="FFE0F7FA"/>
      </patternFill>
    </fill>
    <fill>
      <patternFill patternType="solid">
        <fgColor rgb="FFD9D9D9"/>
        <bgColor rgb="FFD9D9D9"/>
      </patternFill>
    </fill>
    <fill>
      <patternFill patternType="solid">
        <fgColor rgb="FFFFE599"/>
        <bgColor rgb="FFFFE599"/>
      </patternFill>
    </fill>
    <fill>
      <patternFill patternType="solid">
        <fgColor rgb="FFB7B7B7"/>
        <bgColor rgb="FFB7B7B7"/>
      </patternFill>
    </fill>
    <fill>
      <patternFill patternType="solid">
        <fgColor rgb="FF00FFFF"/>
        <bgColor rgb="FF00FFFF"/>
      </patternFill>
    </fill>
    <fill>
      <patternFill patternType="solid">
        <fgColor rgb="FFFFD966"/>
        <bgColor rgb="FFFFD966"/>
      </patternFill>
    </fill>
    <fill>
      <patternFill patternType="solid">
        <fgColor rgb="FFF3F3F3"/>
        <bgColor rgb="FFF3F3F3"/>
      </patternFill>
    </fill>
    <fill>
      <patternFill patternType="solid">
        <fgColor rgb="FFC9DAF8"/>
        <bgColor rgb="FFC9DAF8"/>
      </patternFill>
    </fill>
    <fill>
      <patternFill patternType="solid">
        <fgColor rgb="FFD5A6BD"/>
        <bgColor rgb="FFD5A6BD"/>
      </patternFill>
    </fill>
    <fill>
      <patternFill patternType="solid">
        <fgColor rgb="FF000000"/>
        <bgColor rgb="FF000000"/>
      </patternFill>
    </fill>
    <fill>
      <patternFill patternType="solid">
        <fgColor rgb="FF999999"/>
        <bgColor rgb="FF999999"/>
      </patternFill>
    </fill>
    <fill>
      <patternFill patternType="solid">
        <fgColor rgb="FFBFBFBF"/>
        <bgColor rgb="FFBFBFBF"/>
      </patternFill>
    </fill>
    <fill>
      <patternFill patternType="solid">
        <fgColor rgb="FF6FA8DC"/>
        <bgColor rgb="FF6FA8DC"/>
      </patternFill>
    </fill>
    <fill>
      <patternFill patternType="solid">
        <fgColor rgb="FFF6B26B"/>
        <bgColor rgb="FFF6B26B"/>
      </patternFill>
    </fill>
    <fill>
      <patternFill patternType="solid">
        <fgColor rgb="FF93C47D"/>
        <bgColor rgb="FF93C47D"/>
      </patternFill>
    </fill>
    <fill>
      <patternFill patternType="solid">
        <fgColor rgb="FF00FF00"/>
        <bgColor rgb="FF00FF00"/>
      </patternFill>
    </fill>
    <fill>
      <patternFill patternType="solid">
        <fgColor rgb="FFEAD1DC"/>
        <bgColor rgb="FFEAD1DC"/>
      </patternFill>
    </fill>
    <fill>
      <patternFill patternType="solid">
        <fgColor rgb="FF4A86E8"/>
        <bgColor rgb="FF4A86E8"/>
      </patternFill>
    </fill>
    <fill>
      <patternFill patternType="solid">
        <fgColor rgb="FF6AA84F"/>
        <bgColor rgb="FF6AA84F"/>
      </patternFill>
    </fill>
    <fill>
      <patternFill patternType="solid">
        <fgColor rgb="FFB4A7D6"/>
        <bgColor rgb="FFB4A7D6"/>
      </patternFill>
    </fill>
    <fill>
      <patternFill patternType="solid">
        <fgColor rgb="FF97CC9F"/>
        <bgColor rgb="FF97CC9F"/>
      </patternFill>
    </fill>
    <fill>
      <patternFill patternType="solid">
        <fgColor rgb="FFFFDD81"/>
        <bgColor rgb="FFFFDD81"/>
      </patternFill>
    </fill>
    <fill>
      <patternFill patternType="solid">
        <fgColor rgb="FFFFD76A"/>
        <bgColor rgb="FFFFD76A"/>
      </patternFill>
    </fill>
    <fill>
      <patternFill patternType="solid">
        <fgColor rgb="FFFFD971"/>
        <bgColor rgb="FFFFD971"/>
      </patternFill>
    </fill>
    <fill>
      <patternFill patternType="solid">
        <fgColor rgb="FFFFD666"/>
        <bgColor rgb="FFFFD666"/>
      </patternFill>
    </fill>
    <fill>
      <patternFill patternType="solid">
        <fgColor rgb="FFFFDD7F"/>
        <bgColor rgb="FFFFDD7F"/>
      </patternFill>
    </fill>
    <fill>
      <patternFill patternType="solid">
        <fgColor rgb="FFFFE9AF"/>
        <bgColor rgb="FFFFE9AF"/>
      </patternFill>
    </fill>
    <fill>
      <patternFill patternType="solid">
        <fgColor rgb="FFFFE089"/>
        <bgColor rgb="FFFFE089"/>
      </patternFill>
    </fill>
    <fill>
      <patternFill patternType="solid">
        <fgColor rgb="FFFFD86C"/>
        <bgColor rgb="FFFFD86C"/>
      </patternFill>
    </fill>
    <fill>
      <patternFill patternType="solid">
        <fgColor rgb="FFFFE395"/>
        <bgColor rgb="FFFFE395"/>
      </patternFill>
    </fill>
    <fill>
      <patternFill patternType="solid">
        <fgColor rgb="FFFFECB9"/>
        <bgColor rgb="FFFFECB9"/>
      </patternFill>
    </fill>
    <fill>
      <patternFill patternType="solid">
        <fgColor rgb="FFFFE292"/>
        <bgColor rgb="FFFFE292"/>
      </patternFill>
    </fill>
    <fill>
      <patternFill patternType="solid">
        <fgColor rgb="FFFFE08A"/>
        <bgColor rgb="FFFFE08A"/>
      </patternFill>
    </fill>
    <fill>
      <patternFill patternType="solid">
        <fgColor rgb="FFFFE18C"/>
        <bgColor rgb="FFFFE18C"/>
      </patternFill>
    </fill>
    <fill>
      <patternFill patternType="solid">
        <fgColor rgb="FFFFE8A6"/>
        <bgColor rgb="FFFFE8A6"/>
      </patternFill>
    </fill>
    <fill>
      <patternFill patternType="solid">
        <fgColor rgb="FFFFE49B"/>
        <bgColor rgb="FFFFE49B"/>
      </patternFill>
    </fill>
    <fill>
      <patternFill patternType="solid">
        <fgColor rgb="FFFFECB6"/>
        <bgColor rgb="FFFFECB6"/>
      </patternFill>
    </fill>
    <fill>
      <patternFill patternType="solid">
        <fgColor rgb="FFFFF3D3"/>
        <bgColor rgb="FFFFF3D3"/>
      </patternFill>
    </fill>
    <fill>
      <patternFill patternType="solid">
        <fgColor rgb="FFFFE7A5"/>
        <bgColor rgb="FFFFE7A5"/>
      </patternFill>
    </fill>
    <fill>
      <patternFill patternType="solid">
        <fgColor rgb="FFFFE08E"/>
        <bgColor rgb="FFFFE08E"/>
      </patternFill>
    </fill>
    <fill>
      <patternFill patternType="solid">
        <fgColor rgb="FFFFE498"/>
        <bgColor rgb="FFFFE498"/>
      </patternFill>
    </fill>
    <fill>
      <patternFill patternType="solid">
        <fgColor rgb="FFFFE397"/>
        <bgColor rgb="FFFFE397"/>
      </patternFill>
    </fill>
    <fill>
      <patternFill patternType="solid">
        <fgColor rgb="FFFFEAB0"/>
        <bgColor rgb="FFFFEAB0"/>
      </patternFill>
    </fill>
    <fill>
      <patternFill patternType="solid">
        <fgColor rgb="FFFFE396"/>
        <bgColor rgb="FFFFE396"/>
      </patternFill>
    </fill>
    <fill>
      <patternFill patternType="solid">
        <fgColor rgb="FFFFFAEE"/>
        <bgColor rgb="FFFFFAEE"/>
      </patternFill>
    </fill>
    <fill>
      <patternFill patternType="solid">
        <fgColor rgb="FFFFEDBA"/>
        <bgColor rgb="FFFFEDBA"/>
      </patternFill>
    </fill>
    <fill>
      <patternFill patternType="solid">
        <fgColor rgb="FFFFF3D1"/>
        <bgColor rgb="FFFFF3D1"/>
      </patternFill>
    </fill>
    <fill>
      <patternFill patternType="solid">
        <fgColor rgb="FFFFF3D2"/>
        <bgColor rgb="FFFFF3D2"/>
      </patternFill>
    </fill>
    <fill>
      <patternFill patternType="solid">
        <fgColor rgb="FFFFEAB3"/>
        <bgColor rgb="FFFFEAB3"/>
      </patternFill>
    </fill>
    <fill>
      <patternFill patternType="solid">
        <fgColor rgb="FFFFF3D0"/>
        <bgColor rgb="FFFFF3D0"/>
      </patternFill>
    </fill>
    <fill>
      <patternFill patternType="solid">
        <fgColor rgb="FFFFFDF4"/>
        <bgColor rgb="FFFFFDF4"/>
      </patternFill>
    </fill>
    <fill>
      <patternFill patternType="solid">
        <fgColor rgb="FFFFEDBB"/>
        <bgColor rgb="FFFFEDBB"/>
      </patternFill>
    </fill>
    <fill>
      <patternFill patternType="solid">
        <fgColor rgb="FFFFF4D6"/>
        <bgColor rgb="FFFFF4D6"/>
      </patternFill>
    </fill>
    <fill>
      <patternFill patternType="solid">
        <fgColor rgb="FFFFF6DC"/>
        <bgColor rgb="FFFFF6DC"/>
      </patternFill>
    </fill>
    <fill>
      <patternFill patternType="solid">
        <fgColor rgb="FFFFF8E5"/>
        <bgColor rgb="FFFFF8E5"/>
      </patternFill>
    </fill>
    <fill>
      <patternFill patternType="solid">
        <fgColor rgb="FFFFF9E6"/>
        <bgColor rgb="FFFFF9E6"/>
      </patternFill>
    </fill>
    <fill>
      <patternFill patternType="solid">
        <fgColor rgb="FFFFDF87"/>
        <bgColor rgb="FFFFDF87"/>
      </patternFill>
    </fill>
    <fill>
      <patternFill patternType="solid">
        <fgColor rgb="FFFFDE83"/>
        <bgColor rgb="FFFFDE83"/>
      </patternFill>
    </fill>
    <fill>
      <patternFill patternType="solid">
        <fgColor rgb="FFFFDF8A"/>
        <bgColor rgb="FFFFDF8A"/>
      </patternFill>
    </fill>
    <fill>
      <patternFill patternType="solid">
        <fgColor rgb="FFFFE9AA"/>
        <bgColor rgb="FFFFE9AA"/>
      </patternFill>
    </fill>
    <fill>
      <patternFill patternType="solid">
        <fgColor rgb="FFFFE7A2"/>
        <bgColor rgb="FFFFE7A2"/>
      </patternFill>
    </fill>
    <fill>
      <patternFill patternType="solid">
        <fgColor rgb="FFFFEAB2"/>
        <bgColor rgb="FFFFEAB2"/>
      </patternFill>
    </fill>
    <fill>
      <patternFill patternType="solid">
        <fgColor rgb="FFFFEAAE"/>
        <bgColor rgb="FFFFEAAE"/>
      </patternFill>
    </fill>
    <fill>
      <patternFill patternType="solid">
        <fgColor rgb="FFFFF1C8"/>
        <bgColor rgb="FFFFF1C8"/>
      </patternFill>
    </fill>
    <fill>
      <patternFill patternType="solid">
        <fgColor rgb="FFFFE59C"/>
        <bgColor rgb="FFFFE59C"/>
      </patternFill>
    </fill>
    <fill>
      <patternFill patternType="solid">
        <fgColor rgb="FFFFEDBC"/>
        <bgColor rgb="FFFFEDBC"/>
      </patternFill>
    </fill>
    <fill>
      <patternFill patternType="solid">
        <fgColor rgb="FFFFF8E4"/>
        <bgColor rgb="FFFFF8E4"/>
      </patternFill>
    </fill>
    <fill>
      <patternFill patternType="solid">
        <fgColor rgb="FFFFF7DF"/>
        <bgColor rgb="FFFFF7DF"/>
      </patternFill>
    </fill>
    <fill>
      <patternFill patternType="solid">
        <fgColor rgb="FFFFF5D8"/>
        <bgColor rgb="FFFFF5D8"/>
      </patternFill>
    </fill>
    <fill>
      <patternFill patternType="solid">
        <fgColor rgb="FFFFEFC1"/>
        <bgColor rgb="FFFFEFC1"/>
      </patternFill>
    </fill>
    <fill>
      <patternFill patternType="solid">
        <fgColor rgb="FFFFF5DA"/>
        <bgColor rgb="FFFFF5DA"/>
      </patternFill>
    </fill>
    <fill>
      <patternFill patternType="solid">
        <fgColor rgb="FFFFF9E9"/>
        <bgColor rgb="FFFFF9E9"/>
      </patternFill>
    </fill>
    <fill>
      <patternFill patternType="solid">
        <fgColor rgb="FFFFF3CF"/>
        <bgColor rgb="FFFFF3CF"/>
      </patternFill>
    </fill>
    <fill>
      <patternFill patternType="solid">
        <fgColor rgb="FFFFF5D7"/>
        <bgColor rgb="FFFFF5D7"/>
      </patternFill>
    </fill>
    <fill>
      <patternFill patternType="solid">
        <fgColor rgb="FFFFF9EA"/>
        <bgColor rgb="FFFFF9EA"/>
      </patternFill>
    </fill>
    <fill>
      <patternFill patternType="solid">
        <fgColor rgb="FFFFF0C6"/>
        <bgColor rgb="FFFFF0C6"/>
      </patternFill>
    </fill>
    <fill>
      <patternFill patternType="solid">
        <fgColor rgb="FFFFEEC0"/>
        <bgColor rgb="FFFFEEC0"/>
      </patternFill>
    </fill>
    <fill>
      <patternFill patternType="solid">
        <fgColor rgb="FFFFFEF9"/>
        <bgColor rgb="FFFFFEF9"/>
      </patternFill>
    </fill>
    <fill>
      <patternFill patternType="solid">
        <fgColor rgb="FFFFF4D4"/>
        <bgColor rgb="FFFFF4D4"/>
      </patternFill>
    </fill>
    <fill>
      <patternFill patternType="solid">
        <fgColor rgb="FFFFF7E0"/>
        <bgColor rgb="FFFFF7E0"/>
      </patternFill>
    </fill>
    <fill>
      <patternFill patternType="solid">
        <fgColor rgb="FFFFFFFC"/>
        <bgColor rgb="FFFFFFFC"/>
      </patternFill>
    </fill>
  </fills>
  <borders count="264">
    <border/>
    <border>
      <left style="thin">
        <color rgb="FFB7B7B7"/>
      </left>
      <right style="thin">
        <color rgb="FFB7B7B7"/>
      </right>
      <top style="thin">
        <color rgb="FFB7B7B7"/>
      </top>
      <bottom style="thin">
        <color rgb="FFB7B7B7"/>
      </bottom>
    </border>
    <border>
      <left style="medium">
        <color rgb="FF999999"/>
      </left>
      <top style="medium">
        <color rgb="FF999999"/>
      </top>
    </border>
    <border>
      <top style="medium">
        <color rgb="FF999999"/>
      </top>
    </border>
    <border>
      <right style="medium">
        <color rgb="FF999999"/>
      </right>
      <top style="medium">
        <color rgb="FF999999"/>
      </top>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medium">
        <color rgb="FF999999"/>
      </left>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right style="medium">
        <color rgb="FF999999"/>
      </right>
    </border>
    <border>
      <left style="medium">
        <color rgb="FF999999"/>
      </left>
      <bottom style="medium">
        <color rgb="FF999999"/>
      </bottom>
    </border>
    <border>
      <bottom style="medium">
        <color rgb="FF999999"/>
      </bottom>
    </border>
    <border>
      <right style="medium">
        <color rgb="FF999999"/>
      </right>
      <bottom style="medium">
        <color rgb="FF999999"/>
      </bottom>
    </border>
    <border>
      <left style="medium">
        <color rgb="FF666666"/>
      </left>
    </border>
    <border>
      <right style="thin">
        <color rgb="FFB7B7B7"/>
      </right>
      <top style="thin">
        <color rgb="FFB7B7B7"/>
      </top>
      <bottom style="thin">
        <color rgb="FFB7B7B7"/>
      </bottom>
    </border>
    <border>
      <left style="thick">
        <color rgb="FFEA9999"/>
      </left>
      <top style="thick">
        <color rgb="FFEA9999"/>
      </top>
    </border>
    <border>
      <top style="thick">
        <color rgb="FFEA9999"/>
      </top>
    </border>
    <border>
      <right style="thick">
        <color rgb="FFEA9999"/>
      </right>
      <top style="thick">
        <color rgb="FFEA9999"/>
      </top>
    </border>
    <border>
      <right style="medium">
        <color rgb="FF666666"/>
      </right>
    </border>
    <border>
      <left style="thick">
        <color rgb="FFEA9999"/>
      </left>
      <bottom style="thick">
        <color rgb="FFEA9999"/>
      </bottom>
    </border>
    <border>
      <bottom style="thick">
        <color rgb="FFEA9999"/>
      </bottom>
    </border>
    <border>
      <right style="thick">
        <color rgb="FFEA9999"/>
      </right>
      <bottom style="thick">
        <color rgb="FFEA9999"/>
      </bottom>
    </border>
    <border>
      <left style="thick">
        <color rgb="FFEA9999"/>
      </left>
    </border>
    <border>
      <right style="thick">
        <color rgb="FFEA9999"/>
      </right>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thick">
        <color rgb="FF000000"/>
      </left>
      <right style="thin">
        <color rgb="FF666666"/>
      </right>
      <top style="thin">
        <color rgb="FF666666"/>
      </top>
      <bottom style="thin">
        <color rgb="FF666666"/>
      </bottom>
    </border>
    <border>
      <left style="medium">
        <color rgb="FF666666"/>
      </left>
      <top style="medium">
        <color rgb="FFB7B7B7"/>
      </top>
    </border>
    <border>
      <top style="medium">
        <color rgb="FFB7B7B7"/>
      </top>
    </border>
    <border>
      <right style="medium">
        <color rgb="FF666666"/>
      </right>
      <top style="medium">
        <color rgb="FFB7B7B7"/>
      </top>
    </border>
    <border>
      <left style="thick">
        <color rgb="FF9FC5E8"/>
      </left>
      <top style="thick">
        <color rgb="FF9FC5E8"/>
      </top>
    </border>
    <border>
      <top style="thick">
        <color rgb="FF9FC5E8"/>
      </top>
    </border>
    <border>
      <right style="thick">
        <color rgb="FF9FC5E8"/>
      </right>
      <top style="thick">
        <color rgb="FF9FC5E8"/>
      </top>
    </border>
    <border>
      <left style="thick">
        <color rgb="FF9FC5E8"/>
      </left>
      <bottom style="thick">
        <color rgb="FF9FC5E8"/>
      </bottom>
    </border>
    <border>
      <bottom style="thick">
        <color rgb="FF9FC5E8"/>
      </bottom>
    </border>
    <border>
      <right style="thick">
        <color rgb="FF9FC5E8"/>
      </right>
      <bottom style="thick">
        <color rgb="FF9FC5E8"/>
      </bottom>
    </border>
    <border>
      <left style="thick">
        <color rgb="FF9FC5E8"/>
      </left>
    </border>
    <border>
      <right style="thick">
        <color rgb="FF9FC5E8"/>
      </right>
    </border>
    <border>
      <left style="thick">
        <color rgb="FFF9CB9C"/>
      </left>
      <top style="thick">
        <color rgb="FFF9CB9C"/>
      </top>
    </border>
    <border>
      <top style="thick">
        <color rgb="FFF9CB9C"/>
      </top>
    </border>
    <border>
      <right style="thick">
        <color rgb="FFF9CB9C"/>
      </right>
      <top style="thick">
        <color rgb="FFF9CB9C"/>
      </top>
    </border>
    <border>
      <left style="thick">
        <color rgb="FFF9CB9C"/>
      </left>
      <bottom style="thick">
        <color rgb="FFF9CB9C"/>
      </bottom>
    </border>
    <border>
      <bottom style="thick">
        <color rgb="FFF9CB9C"/>
      </bottom>
    </border>
    <border>
      <right style="thick">
        <color rgb="FFF9CB9C"/>
      </right>
      <bottom style="thick">
        <color rgb="FFF9CB9C"/>
      </bottom>
    </border>
    <border>
      <left style="thick">
        <color rgb="FFF9CB9C"/>
      </left>
    </border>
    <border>
      <right style="thick">
        <color rgb="FFF9CB9C"/>
      </right>
    </border>
    <border>
      <left style="medium">
        <color rgb="FFB7B7B7"/>
      </left>
      <top style="medium">
        <color rgb="FFB7B7B7"/>
      </top>
    </border>
    <border>
      <right style="medium">
        <color rgb="FFB7B7B7"/>
      </right>
      <top style="medium">
        <color rgb="FFB7B7B7"/>
      </top>
    </border>
    <border>
      <left style="medium">
        <color rgb="FFB7B7B7"/>
      </left>
      <bottom style="medium">
        <color rgb="FFB7B7B7"/>
      </bottom>
    </border>
    <border>
      <bottom style="medium">
        <color rgb="FFB7B7B7"/>
      </bottom>
    </border>
    <border>
      <right style="medium">
        <color rgb="FFB7B7B7"/>
      </right>
      <bottom style="medium">
        <color rgb="FFB7B7B7"/>
      </bottom>
    </border>
    <border>
      <left style="thick">
        <color rgb="FFB6D7A8"/>
      </left>
      <top style="thick">
        <color rgb="FFB6D7A8"/>
      </top>
    </border>
    <border>
      <top style="thick">
        <color rgb="FFB6D7A8"/>
      </top>
    </border>
    <border>
      <right style="thick">
        <color rgb="FFB6D7A8"/>
      </right>
      <top style="thick">
        <color rgb="FFB6D7A8"/>
      </top>
    </border>
    <border>
      <left style="thick">
        <color rgb="FFB6D7A8"/>
      </left>
    </border>
    <border>
      <right style="thick">
        <color rgb="FFB6D7A8"/>
      </right>
    </border>
    <border>
      <left style="medium">
        <color rgb="FF666666"/>
      </left>
      <bottom style="medium">
        <color rgb="FF666666"/>
      </bottom>
    </border>
    <border>
      <right style="medium">
        <color rgb="FF666666"/>
      </right>
      <bottom style="medium">
        <color rgb="FF666666"/>
      </bottom>
    </border>
    <border>
      <left style="thick">
        <color rgb="FFB6D7A8"/>
      </left>
      <bottom style="thick">
        <color rgb="FFB6D7A8"/>
      </bottom>
    </border>
    <border>
      <bottom style="thick">
        <color rgb="FFB6D7A8"/>
      </bottom>
    </border>
    <border>
      <right style="thick">
        <color rgb="FFB6D7A8"/>
      </right>
      <bottom style="thick">
        <color rgb="FFB6D7A8"/>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bottom style="thin">
        <color rgb="FF000000"/>
      </bottom>
    </border>
    <border>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C343D"/>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medium">
        <color rgb="FF000000"/>
      </top>
    </border>
    <border>
      <right style="thin">
        <color rgb="FF000000"/>
      </right>
      <top style="medium">
        <color rgb="FF000000"/>
      </top>
    </border>
    <border>
      <left style="medium">
        <color rgb="FF000000"/>
      </left>
      <right style="thin">
        <color rgb="FF000000"/>
      </right>
      <top style="medium">
        <color rgb="FF000000"/>
      </top>
    </border>
    <border>
      <left style="thin">
        <color rgb="FF000000"/>
      </left>
      <top style="medium">
        <color rgb="FF000000"/>
      </top>
    </border>
    <border>
      <left style="thin">
        <color rgb="FF000000"/>
      </left>
      <right style="thin">
        <color rgb="FF000000"/>
      </right>
      <top style="medium">
        <color rgb="FF000000"/>
      </top>
    </border>
    <border>
      <left style="medium">
        <color rgb="FF000000"/>
      </left>
      <right style="medium">
        <color rgb="FF000000"/>
      </right>
      <top style="medium">
        <color rgb="FF000000"/>
      </top>
      <bottom style="thin">
        <color rgb="FFCCCCCC"/>
      </bottom>
    </border>
    <border>
      <left style="medium">
        <color rgb="FF000000"/>
      </left>
      <top style="medium">
        <color rgb="FF000000"/>
      </top>
    </border>
    <border>
      <right style="thin">
        <color rgb="FF000000"/>
      </right>
      <top style="medium">
        <color rgb="FF000000"/>
      </top>
      <bottom style="thin">
        <color rgb="FFCCCCCC"/>
      </bottom>
    </border>
    <border>
      <left style="thin">
        <color rgb="FF000000"/>
      </left>
      <right style="medium">
        <color rgb="FF000000"/>
      </right>
      <top style="medium">
        <color rgb="FF000000"/>
      </top>
    </border>
    <border>
      <left style="medium">
        <color rgb="FF000000"/>
      </left>
      <right style="medium">
        <color rgb="FF000000"/>
      </right>
    </border>
    <border>
      <left style="medium">
        <color rgb="FF000000"/>
      </left>
    </border>
    <border>
      <left style="thin">
        <color rgb="FF000000"/>
      </left>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top style="thin">
        <color rgb="FFEFEFEF"/>
      </top>
      <bottom style="thin">
        <color rgb="FF000000"/>
      </bottom>
    </border>
    <border>
      <top style="thin">
        <color rgb="FFEFEFEF"/>
      </top>
      <bottom style="thin">
        <color rgb="FF000000"/>
      </bottom>
    </border>
    <border>
      <left style="medium">
        <color rgb="FF000000"/>
      </left>
      <top style="thin">
        <color rgb="FFEFEFEF"/>
      </top>
      <bottom style="thin">
        <color rgb="FF000000"/>
      </bottom>
    </border>
    <border>
      <left style="thin">
        <color rgb="FF000000"/>
      </left>
      <top style="thin">
        <color rgb="FFEFEFEF"/>
      </top>
      <bottom style="thin">
        <color rgb="FF000000"/>
      </bottom>
    </border>
    <border>
      <left style="thin">
        <color rgb="FF000000"/>
      </left>
      <right style="thin">
        <color rgb="FF000000"/>
      </right>
      <top style="thin">
        <color rgb="FFEFEFEF"/>
      </top>
      <bottom style="thin">
        <color rgb="FF000000"/>
      </bottom>
    </border>
    <border>
      <left style="medium">
        <color rgb="FF000000"/>
      </left>
      <right style="medium">
        <color rgb="FF000000"/>
      </right>
      <top style="thin">
        <color rgb="FFCCCCCC"/>
      </top>
      <bottom style="thin">
        <color rgb="FF000000"/>
      </bottom>
    </border>
    <border>
      <top style="thin">
        <color rgb="FFCCCCCC"/>
      </top>
      <bottom style="thin">
        <color rgb="FF000000"/>
      </bottom>
    </border>
    <border>
      <left style="thin">
        <color rgb="FF000000"/>
      </left>
      <right style="medium">
        <color rgb="FF000000"/>
      </right>
      <top style="thin">
        <color rgb="FFCCCCCC"/>
      </top>
      <bottom style="thin">
        <color rgb="FF000000"/>
      </bottom>
    </border>
    <border>
      <right style="thin">
        <color rgb="FF000000"/>
      </right>
    </border>
    <border>
      <left style="medium">
        <color rgb="FF000000"/>
      </left>
      <right style="thin">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medium">
        <color rgb="FF000000"/>
      </left>
      <right style="medium">
        <color rgb="FF000000"/>
      </right>
      <bottom style="thin">
        <color rgb="FFCCCCCC"/>
      </bottom>
    </border>
    <border>
      <right style="thin">
        <color rgb="FF000000"/>
      </right>
      <bottom style="thin">
        <color rgb="FFCCCCCC"/>
      </bottom>
    </border>
    <border>
      <left style="thin">
        <color rgb="FF000000"/>
      </left>
      <right style="medium">
        <color rgb="FF000000"/>
      </right>
      <bottom style="thin">
        <color rgb="FFCCCCCC"/>
      </bottom>
    </border>
    <border>
      <left style="medium">
        <color rgb="FF000000"/>
      </left>
      <right style="medium">
        <color rgb="FF000000"/>
      </right>
      <top style="thin">
        <color rgb="FFEFEFEF"/>
      </top>
    </border>
    <border>
      <right style="thin">
        <color rgb="FF000000"/>
      </right>
      <top style="thin">
        <color rgb="FFEFEFEF"/>
      </top>
    </border>
    <border>
      <left style="medium">
        <color rgb="FF000000"/>
      </left>
      <right style="medium">
        <color rgb="FF000000"/>
      </right>
      <top style="thin">
        <color rgb="FF000000"/>
      </top>
    </border>
    <border>
      <left style="thin">
        <color rgb="FF000000"/>
      </left>
      <top style="thin">
        <color rgb="FF000000"/>
      </top>
    </border>
    <border>
      <left style="medium">
        <color rgb="FF000000"/>
      </left>
      <top style="thin">
        <color rgb="FF000000"/>
      </top>
    </border>
    <border>
      <left style="thin">
        <color rgb="FF000000"/>
      </left>
      <right style="medium">
        <color rgb="FF000000"/>
      </right>
      <top style="thin">
        <color rgb="FF000000"/>
      </top>
    </border>
    <border>
      <left style="medium">
        <color rgb="FF000000"/>
      </left>
      <right style="medium">
        <color rgb="FF000000"/>
      </right>
      <top style="thin">
        <color rgb="FFD9D9D9"/>
      </top>
      <bottom style="thin">
        <color rgb="FF000000"/>
      </bottom>
    </border>
    <border>
      <right style="thin">
        <color rgb="FF000000"/>
      </right>
      <top style="thin">
        <color rgb="FFD9D9D9"/>
      </top>
      <bottom style="thin">
        <color rgb="FF000000"/>
      </bottom>
    </border>
    <border>
      <left style="medium">
        <color rgb="FF000000"/>
      </left>
      <right style="thin">
        <color rgb="FF000000"/>
      </right>
      <top style="thin">
        <color rgb="FFD9D9D9"/>
      </top>
      <bottom style="thin">
        <color rgb="FF000000"/>
      </bottom>
    </border>
    <border>
      <left style="thin">
        <color rgb="FF000000"/>
      </left>
      <top style="thin">
        <color rgb="FFD9D9D9"/>
      </top>
      <bottom style="thin">
        <color rgb="FF000000"/>
      </bottom>
    </border>
    <border>
      <left style="medium">
        <color rgb="FF000000"/>
      </left>
      <top style="thin">
        <color rgb="FFD9D9D9"/>
      </top>
      <bottom style="thin">
        <color rgb="FF000000"/>
      </bottom>
    </border>
    <border>
      <left style="thin">
        <color rgb="FF000000"/>
      </left>
      <right style="thin">
        <color rgb="FF000000"/>
      </right>
      <top style="thin">
        <color rgb="FFD9D9D9"/>
      </top>
      <bottom style="thin">
        <color rgb="FF000000"/>
      </bottom>
    </border>
    <border>
      <top style="thin">
        <color rgb="FFD9D9D9"/>
      </top>
      <bottom style="thin">
        <color rgb="FF000000"/>
      </bottom>
    </border>
    <border>
      <right style="thin">
        <color rgb="FF000000"/>
      </right>
      <top style="thin">
        <color rgb="FFCCCCCC"/>
      </top>
      <bottom style="thin">
        <color rgb="FF000000"/>
      </bottom>
    </border>
    <border>
      <left style="medium">
        <color rgb="FF000000"/>
      </left>
      <right style="medium">
        <color rgb="FF000000"/>
      </right>
      <top style="thin">
        <color rgb="FFD9D9D9"/>
      </top>
      <bottom style="medium">
        <color rgb="FF000000"/>
      </bottom>
    </border>
    <border>
      <right style="thin">
        <color rgb="FF000000"/>
      </right>
      <top style="thin">
        <color rgb="FFD9D9D9"/>
      </top>
      <bottom style="medium">
        <color rgb="FF000000"/>
      </bottom>
    </border>
    <border>
      <left style="medium">
        <color rgb="FF000000"/>
      </left>
      <right style="thin">
        <color rgb="FF000000"/>
      </right>
      <top style="thin">
        <color rgb="FFD9D9D9"/>
      </top>
      <bottom style="medium">
        <color rgb="FF000000"/>
      </bottom>
    </border>
    <border>
      <left style="thin">
        <color rgb="FF000000"/>
      </left>
      <top style="thin">
        <color rgb="FFD9D9D9"/>
      </top>
      <bottom style="medium">
        <color rgb="FF000000"/>
      </bottom>
    </border>
    <border>
      <left style="medium">
        <color rgb="FF000000"/>
      </left>
      <top style="thin">
        <color rgb="FFD9D9D9"/>
      </top>
      <bottom style="medium">
        <color rgb="FF000000"/>
      </bottom>
    </border>
    <border>
      <left style="thin">
        <color rgb="FF000000"/>
      </left>
      <right style="thin">
        <color rgb="FF000000"/>
      </right>
      <top style="thin">
        <color rgb="FFD9D9D9"/>
      </top>
      <bottom style="medium">
        <color rgb="FF000000"/>
      </bottom>
    </border>
    <border>
      <top style="thin">
        <color rgb="FFD9D9D9"/>
      </top>
      <bottom style="medium">
        <color rgb="FF000000"/>
      </bottom>
    </border>
    <border>
      <left style="medium">
        <color rgb="FF000000"/>
      </left>
      <right style="medium">
        <color rgb="FF000000"/>
      </right>
      <top style="thin">
        <color rgb="FFCCCCCC"/>
      </top>
      <bottom style="medium">
        <color rgb="FF000000"/>
      </bottom>
    </border>
    <border>
      <right style="thin">
        <color rgb="FF000000"/>
      </right>
      <top style="thin">
        <color rgb="FFCCCCCC"/>
      </top>
      <bottom style="medium">
        <color rgb="FF000000"/>
      </bottom>
    </border>
    <border>
      <left style="thin">
        <color rgb="FF000000"/>
      </left>
      <right style="medium">
        <color rgb="FF000000"/>
      </right>
      <top style="thin">
        <color rgb="FFCCCCCC"/>
      </top>
      <bottom style="medium">
        <color rgb="FF000000"/>
      </bottom>
    </border>
    <border>
      <top style="medium">
        <color rgb="FF000000"/>
      </top>
    </border>
    <border>
      <left style="thick">
        <color rgb="FF000000"/>
      </left>
      <right style="thin">
        <color rgb="FF000000"/>
      </right>
      <bottom style="medium">
        <color rgb="FF000000"/>
      </bottom>
    </border>
    <border>
      <left style="thin">
        <color rgb="FF000000"/>
      </left>
      <bottom style="medium">
        <color rgb="FF000000"/>
      </bottom>
    </border>
    <border>
      <left style="medium">
        <color rgb="FF0C343D"/>
      </left>
      <right style="thin">
        <color rgb="FF000000"/>
      </right>
      <bottom style="medium">
        <color rgb="FF000000"/>
      </bottom>
    </border>
    <border>
      <left style="thin">
        <color rgb="FF000000"/>
      </left>
      <right style="thin">
        <color rgb="FF000000"/>
      </right>
      <bottom style="medium">
        <color rgb="FF000000"/>
      </bottom>
    </border>
    <border>
      <left style="medium">
        <color rgb="FF0C343D"/>
      </left>
      <right style="medium">
        <color rgb="FF000000"/>
      </right>
      <bottom style="medium">
        <color rgb="FF000000"/>
      </bottom>
    </border>
    <border>
      <left style="medium">
        <color rgb="FF0C343D"/>
      </left>
      <right style="medium">
        <color rgb="FF000000"/>
      </right>
    </border>
    <border>
      <left style="medium">
        <color rgb="FF000000"/>
      </left>
      <top style="thin">
        <color rgb="FF000000"/>
      </top>
      <bottom style="thick">
        <color rgb="FF000000"/>
      </bottom>
    </border>
    <border>
      <left style="medium">
        <color rgb="FF0C343D"/>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medium">
        <color rgb="FF0C343D"/>
      </left>
      <right style="medium">
        <color rgb="FF000000"/>
      </right>
      <top style="thin">
        <color rgb="FF000000"/>
      </top>
      <bottom style="thick">
        <color rgb="FF000000"/>
      </bottom>
    </border>
    <border>
      <left style="medium">
        <color rgb="FF0C343D"/>
      </left>
      <bottom style="thin">
        <color rgb="FF000000"/>
      </bottom>
    </border>
    <border>
      <left style="medium">
        <color rgb="FF0C343D"/>
      </left>
      <right style="thin">
        <color rgb="FF000000"/>
      </right>
      <bottom style="thin">
        <color rgb="FF000000"/>
      </bottom>
    </border>
    <border>
      <left style="medium">
        <color rgb="FF0C343D"/>
      </left>
      <right style="medium">
        <color rgb="FF000000"/>
      </right>
      <bottom style="thin">
        <color rgb="FF000000"/>
      </bottom>
    </border>
    <border>
      <left style="medium">
        <color rgb="FF0C343D"/>
      </left>
      <top style="thin">
        <color rgb="FF000000"/>
      </top>
    </border>
    <border>
      <top style="thin">
        <color rgb="FF000000"/>
      </top>
    </border>
    <border>
      <left style="medium">
        <color rgb="FF0C343D"/>
      </left>
      <right style="thin">
        <color rgb="FF000000"/>
      </right>
      <top style="thin">
        <color rgb="FF000000"/>
      </top>
    </border>
    <border>
      <left style="medium">
        <color rgb="FF0C343D"/>
      </left>
      <right style="medium">
        <color rgb="FF000000"/>
      </right>
      <top style="thin">
        <color rgb="FF000000"/>
      </top>
    </border>
    <border>
      <left style="medium">
        <color rgb="FF0C343D"/>
      </left>
      <right style="thin">
        <color rgb="FF000000"/>
      </right>
      <top style="medium">
        <color rgb="FF000000"/>
      </top>
    </border>
    <border>
      <left style="medium">
        <color rgb="FF0C343D"/>
      </left>
      <right style="medium">
        <color rgb="FF000000"/>
      </right>
      <top style="medium">
        <color rgb="FF000000"/>
      </top>
    </border>
    <border>
      <right style="medium">
        <color rgb="FF000000"/>
      </right>
      <top style="medium">
        <color rgb="FF000000"/>
      </top>
    </border>
    <border>
      <left style="medium">
        <color rgb="FF0C343D"/>
      </left>
      <right style="thin">
        <color rgb="FF000000"/>
      </right>
    </border>
    <border>
      <right style="medium">
        <color rgb="FF000000"/>
      </right>
    </border>
    <border>
      <left style="medium">
        <color rgb="FF0C343D"/>
      </left>
      <right style="thin">
        <color rgb="FF000000"/>
      </right>
      <top style="thin">
        <color rgb="FFEFEFEF"/>
      </top>
      <bottom style="thin">
        <color rgb="FF000000"/>
      </bottom>
    </border>
    <border>
      <left style="thin">
        <color rgb="FF000000"/>
      </left>
      <right style="medium">
        <color rgb="FF000000"/>
      </right>
      <top style="thin">
        <color rgb="FFEFEFEF"/>
      </top>
      <bottom style="thin">
        <color rgb="FF000000"/>
      </bottom>
    </border>
    <border>
      <right style="thin">
        <color rgb="FF000000"/>
      </right>
      <top style="thin">
        <color rgb="FFEFEFEF"/>
      </top>
      <bottom style="thin">
        <color rgb="FF000000"/>
      </bottom>
    </border>
    <border>
      <left style="medium">
        <color rgb="FF0C343D"/>
      </left>
      <right style="medium">
        <color rgb="FF000000"/>
      </right>
      <top style="thin">
        <color rgb="FFD9D9D9"/>
      </top>
      <bottom style="thin">
        <color rgb="FF000000"/>
      </bottom>
    </border>
    <border>
      <right style="medium">
        <color rgb="FF000000"/>
      </right>
      <top style="thin">
        <color rgb="FFEFEFEF"/>
      </top>
      <bottom style="thin">
        <color rgb="FF000000"/>
      </bottom>
    </border>
    <border>
      <right style="medium">
        <color rgb="FF000000"/>
      </right>
      <top style="thin">
        <color rgb="FFD9D9D9"/>
      </top>
      <bottom style="thin">
        <color rgb="FF000000"/>
      </bottom>
    </border>
    <border>
      <right style="medium">
        <color rgb="FF000000"/>
      </right>
      <top style="thin">
        <color rgb="FF000000"/>
      </top>
    </border>
    <border>
      <left style="medium">
        <color rgb="FF0C343D"/>
      </left>
      <right style="thin">
        <color rgb="FF000000"/>
      </right>
      <top style="thin">
        <color rgb="FFD9D9D9"/>
      </top>
      <bottom style="medium">
        <color rgb="FF000000"/>
      </bottom>
    </border>
    <border>
      <left style="thin">
        <color rgb="FF000000"/>
      </left>
      <right style="medium">
        <color rgb="FF000000"/>
      </right>
      <top style="thin">
        <color rgb="FFD9D9D9"/>
      </top>
      <bottom style="medium">
        <color rgb="FF000000"/>
      </bottom>
    </border>
    <border>
      <left style="medium">
        <color rgb="FF0C343D"/>
      </left>
      <right style="medium">
        <color rgb="FF000000"/>
      </right>
      <top style="thin">
        <color rgb="FFD9D9D9"/>
      </top>
      <bottom style="medium">
        <color rgb="FF000000"/>
      </bottom>
    </border>
    <border>
      <right style="medium">
        <color rgb="FF000000"/>
      </right>
      <top style="thin">
        <color rgb="FFD9D9D9"/>
      </top>
      <bottom style="medium">
        <color rgb="FF000000"/>
      </bottom>
    </border>
    <border>
      <left style="medium">
        <color rgb="FF0C343D"/>
      </left>
      <right style="thin">
        <color rgb="FF000000"/>
      </right>
      <top style="thin">
        <color rgb="FFD9D9D9"/>
      </top>
      <bottom style="thin">
        <color rgb="FF000000"/>
      </bottom>
    </border>
    <border>
      <left style="thin">
        <color rgb="FF000000"/>
      </left>
      <right style="medium">
        <color rgb="FF000000"/>
      </right>
      <top style="thin">
        <color rgb="FFD9D9D9"/>
      </top>
      <bottom style="thin">
        <color rgb="FF000000"/>
      </bottom>
    </border>
    <border>
      <bottom style="medium">
        <color rgb="FF000000"/>
      </bottom>
    </border>
    <border>
      <left style="thick">
        <color rgb="FF000000"/>
      </left>
      <right style="medium">
        <color rgb="FF000000"/>
      </right>
    </border>
    <border>
      <left style="medium">
        <color rgb="FF000000"/>
      </left>
      <top style="thin">
        <color rgb="FF000000"/>
      </top>
      <bottom style="medium">
        <color rgb="FF000000"/>
      </bottom>
    </border>
    <border>
      <left style="medium">
        <color rgb="FF0C343D"/>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C343D"/>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ck">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ck">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ck">
        <color rgb="FF000000"/>
      </left>
      <right style="thin">
        <color rgb="FF000000"/>
      </right>
      <top style="thin">
        <color rgb="FF000000"/>
      </top>
    </border>
    <border>
      <left style="thick">
        <color rgb="FF000000"/>
      </left>
      <right style="medium">
        <color rgb="FF000000"/>
      </right>
      <top style="thin">
        <color rgb="FF000000"/>
      </top>
    </border>
    <border>
      <left style="thick">
        <color rgb="FF000000"/>
      </left>
      <right style="thin">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EFEFEF"/>
      </bottom>
    </border>
    <border>
      <left style="thin">
        <color rgb="FF000000"/>
      </left>
      <right style="thick">
        <color rgb="FF000000"/>
      </right>
      <top style="medium">
        <color rgb="FF000000"/>
      </top>
      <bottom style="thin">
        <color rgb="FFEFEFEF"/>
      </bottom>
    </border>
    <border>
      <right style="thin">
        <color rgb="FF000000"/>
      </right>
      <top style="medium">
        <color rgb="FF000000"/>
      </top>
      <bottom style="thin">
        <color rgb="FFEFEFEF"/>
      </bottom>
    </border>
    <border>
      <left style="thin">
        <color rgb="FF000000"/>
      </left>
      <right style="thin">
        <color rgb="FF000000"/>
      </right>
      <top style="medium">
        <color rgb="FF000000"/>
      </top>
      <bottom style="thin">
        <color rgb="FFEFEFEF"/>
      </bottom>
    </border>
    <border>
      <left style="thin">
        <color rgb="FF000000"/>
      </left>
      <top style="medium">
        <color rgb="FF000000"/>
      </top>
      <bottom style="thin">
        <color rgb="FFEFEFEF"/>
      </bottom>
    </border>
    <border>
      <left style="thick">
        <color rgb="FF000000"/>
      </left>
      <right style="medium">
        <color rgb="FF000000"/>
      </right>
      <top style="medium">
        <color rgb="FF000000"/>
      </top>
      <bottom style="thin">
        <color rgb="FFEFEFEF"/>
      </bottom>
    </border>
    <border>
      <left style="medium">
        <color rgb="FF000000"/>
      </left>
      <right style="thick">
        <color rgb="FF000000"/>
      </right>
      <top style="medium">
        <color rgb="FF000000"/>
      </top>
      <bottom style="thin">
        <color rgb="FFEFEFEF"/>
      </bottom>
    </border>
    <border>
      <left style="thick">
        <color rgb="FF000000"/>
      </left>
      <right style="thin">
        <color rgb="FF000000"/>
      </right>
      <top style="medium">
        <color rgb="FF000000"/>
      </top>
      <bottom style="thin">
        <color rgb="FFEFEFEF"/>
      </bottom>
    </border>
    <border>
      <left style="medium">
        <color rgb="FF000000"/>
      </left>
      <right style="medium">
        <color rgb="FF000000"/>
      </right>
      <top style="medium">
        <color rgb="FF000000"/>
      </top>
      <bottom style="thin">
        <color rgb="FFEFEFEF"/>
      </bottom>
    </border>
    <border>
      <right style="thick">
        <color rgb="FF000000"/>
      </right>
    </border>
    <border>
      <left style="medium">
        <color rgb="FF000000"/>
      </left>
      <top style="thin">
        <color rgb="FFEFEFEF"/>
      </top>
    </border>
    <border>
      <left style="thin">
        <color rgb="FF000000"/>
      </left>
      <right style="thick">
        <color rgb="FF000000"/>
      </right>
      <top style="thin">
        <color rgb="FFEFEFEF"/>
      </top>
      <bottom style="thin">
        <color rgb="FF000000"/>
      </bottom>
    </border>
    <border>
      <left style="thick">
        <color rgb="FF000000"/>
      </left>
      <right style="thin">
        <color rgb="FF000000"/>
      </right>
      <top style="thin">
        <color rgb="FFEFEFEF"/>
      </top>
      <bottom style="thin">
        <color rgb="FF000000"/>
      </bottom>
    </border>
    <border>
      <left style="thick">
        <color rgb="FF000000"/>
      </left>
      <right style="medium">
        <color rgb="FF000000"/>
      </right>
      <top style="thin">
        <color rgb="FFD9D9D9"/>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ck">
        <color rgb="FF000000"/>
      </right>
      <top style="thin">
        <color rgb="FFEFEFEF"/>
      </top>
    </border>
    <border>
      <left style="thick">
        <color rgb="FF000000"/>
      </left>
      <right style="thin">
        <color rgb="FF000000"/>
      </right>
      <top style="thin">
        <color rgb="FFD9D9D9"/>
      </top>
      <bottom style="thin">
        <color rgb="FF000000"/>
      </bottom>
    </border>
    <border>
      <left style="medium">
        <color rgb="FF000000"/>
      </left>
      <bottom style="medium">
        <color rgb="FF000000"/>
      </bottom>
    </border>
    <border>
      <left style="thin">
        <color rgb="FF000000"/>
      </left>
      <right style="thick">
        <color rgb="FF000000"/>
      </right>
      <top style="thin">
        <color rgb="FF000000"/>
      </top>
      <bottom style="medium">
        <color rgb="FF000000"/>
      </bottom>
    </border>
    <border>
      <left style="thick">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000000"/>
      </left>
      <right style="medium">
        <color rgb="FF000000"/>
      </right>
      <top style="thin">
        <color rgb="FF000000"/>
      </top>
      <bottom style="medium">
        <color rgb="FF000000"/>
      </bottom>
    </border>
    <border>
      <left style="medium">
        <color rgb="FF000000"/>
      </left>
      <right style="thick">
        <color rgb="FF000000"/>
      </right>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thin">
        <color rgb="FF000000"/>
      </bottom>
    </border>
    <border>
      <left style="thick">
        <color rgb="FF000000"/>
      </left>
      <top style="medium">
        <color rgb="FF000000"/>
      </top>
      <bottom style="thin">
        <color rgb="FF000000"/>
      </bottom>
    </border>
    <border>
      <left style="thick">
        <color rgb="FF000000"/>
      </left>
      <right style="medium">
        <color rgb="FF000000"/>
      </right>
      <top style="thin">
        <color rgb="FF000000"/>
      </top>
      <bottom style="thin">
        <color rgb="FF000000"/>
      </bottom>
    </border>
    <border>
      <left style="thick">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ck">
        <color rgb="FF000000"/>
      </left>
      <top style="thin">
        <color rgb="FF000000"/>
      </top>
      <bottom style="medium">
        <color rgb="FF000000"/>
      </bottom>
    </border>
    <border>
      <left style="medium">
        <color rgb="FF0C343D"/>
      </left>
      <top style="thin">
        <color rgb="FF000000"/>
      </top>
      <bottom style="thin">
        <color rgb="FF000000"/>
      </bottom>
    </border>
    <border>
      <left style="medium">
        <color rgb="FF0C343D"/>
      </left>
      <right style="thin">
        <color rgb="FF000000"/>
      </right>
      <top style="thin">
        <color rgb="FF000000"/>
      </top>
      <bottom style="thin">
        <color rgb="FF000000"/>
      </bottom>
    </border>
    <border>
      <left style="medium">
        <color rgb="FF0C343D"/>
      </left>
      <right style="medium">
        <color rgb="FF000000"/>
      </right>
      <top style="thin">
        <color rgb="FF000000"/>
      </top>
      <bottom style="thin">
        <color rgb="FF000000"/>
      </bottom>
    </border>
    <border>
      <left style="medium">
        <color rgb="FF000000"/>
      </left>
      <right style="thin">
        <color rgb="FF000000"/>
      </right>
      <top style="thin">
        <color rgb="FFEFEFEF"/>
      </top>
      <bottom style="thin">
        <color rgb="FF000000"/>
      </bottom>
    </border>
    <border>
      <left style="medium">
        <color rgb="FF000000"/>
      </left>
      <right style="thin">
        <color rgb="FF000000"/>
      </right>
      <top style="thin">
        <color rgb="FFB7B7B7"/>
      </top>
      <bottom style="thin">
        <color rgb="FF000000"/>
      </bottom>
    </border>
    <border>
      <left style="thin">
        <color rgb="FF000000"/>
      </left>
      <right style="thin">
        <color rgb="FF000000"/>
      </right>
      <top style="thin">
        <color rgb="FFB7B7B7"/>
      </top>
      <bottom style="thin">
        <color rgb="FF000000"/>
      </bottom>
    </border>
    <border>
      <left style="thin">
        <color rgb="FF000000"/>
      </left>
      <right style="medium">
        <color rgb="FF000000"/>
      </right>
      <top style="thin">
        <color rgb="FFB7B7B7"/>
      </top>
      <bottom style="thin">
        <color rgb="FF000000"/>
      </bottom>
    </border>
    <border>
      <right style="medium">
        <color rgb="FF000000"/>
      </right>
      <bottom style="medium">
        <color rgb="FF000000"/>
      </bottom>
    </border>
    <border>
      <left style="thin">
        <color rgb="FF000000"/>
      </left>
      <right style="medium">
        <color rgb="FF000000"/>
      </right>
      <top style="thin">
        <color rgb="FFD9D9D9"/>
      </top>
    </border>
    <border>
      <right style="thin">
        <color rgb="FF000000"/>
      </right>
      <top style="thin">
        <color rgb="FFD9D9D9"/>
      </top>
    </border>
    <border>
      <left style="medium">
        <color rgb="FF0C343D"/>
      </left>
      <right style="thin">
        <color rgb="FF000000"/>
      </right>
      <top style="thin">
        <color rgb="FFD9D9D9"/>
      </top>
    </border>
    <border>
      <left style="thin">
        <color rgb="FF000000"/>
      </left>
      <top style="thin">
        <color rgb="FFD9D9D9"/>
      </top>
    </border>
    <border>
      <left style="medium">
        <color rgb="FF000000"/>
      </left>
      <right style="thin">
        <color rgb="FF000000"/>
      </right>
      <top style="thin">
        <color rgb="FFD9D9D9"/>
      </top>
    </border>
    <border>
      <left style="thin">
        <color rgb="FF000000"/>
      </left>
      <right style="thin">
        <color rgb="FF000000"/>
      </right>
      <top style="thin">
        <color rgb="FFD9D9D9"/>
      </top>
    </border>
    <border>
      <left style="medium">
        <color rgb="FF000000"/>
      </left>
      <right style="medium">
        <color rgb="FF000000"/>
      </right>
      <top style="thin">
        <color rgb="FFD9D9D9"/>
      </top>
    </border>
    <border>
      <left style="medium">
        <color rgb="FF0C343D"/>
      </left>
      <right style="medium">
        <color rgb="FF000000"/>
      </right>
      <top style="thin">
        <color rgb="FFD9D9D9"/>
      </top>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CCCCCC"/>
      </bottom>
    </border>
    <border>
      <left style="thin">
        <color rgb="FF000000"/>
      </left>
      <right style="thin">
        <color rgb="FF000000"/>
      </right>
      <top style="thin">
        <color rgb="FFCCCCCC"/>
      </top>
      <bottom style="thin">
        <color rgb="FF000000"/>
      </bottom>
    </border>
    <border>
      <left style="thin">
        <color rgb="FF000000"/>
      </left>
      <right style="thin">
        <color rgb="FF000000"/>
      </right>
      <bottom style="thin">
        <color rgb="FFCCCCCC"/>
      </bottom>
    </border>
    <border>
      <left style="thin">
        <color rgb="FF000000"/>
      </left>
      <right/>
      <bottom style="thin">
        <color rgb="FF000000"/>
      </bottom>
    </border>
    <border>
      <left style="thick">
        <color rgb="FF000000"/>
      </left>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right/>
      <top style="thin">
        <color rgb="FF000000"/>
      </top>
    </border>
    <border>
      <right/>
    </border>
    <border>
      <bottom style="thick">
        <color rgb="FF000000"/>
      </bottom>
    </border>
    <border>
      <right style="medium">
        <color rgb="FF000000"/>
      </right>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ck">
        <color rgb="FF000000"/>
      </right>
      <bottom style="thick">
        <color rgb="FF000000"/>
      </bottom>
    </border>
    <border>
      <right style="thin">
        <color rgb="FF000000"/>
      </right>
      <bottom style="thick">
        <color rgb="FF000000"/>
      </bottom>
    </border>
  </borders>
  <cellStyleXfs count="1">
    <xf borderId="0" fillId="0" fontId="0" numFmtId="0" applyAlignment="1" applyFont="1"/>
  </cellStyleXfs>
  <cellXfs count="185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2" numFmtId="0" xfId="0" applyAlignment="1" applyFont="1">
      <alignment horizontal="center" readingOrder="0" shrinkToFit="0" vertical="bottom" wrapText="1"/>
    </xf>
    <xf borderId="0" fillId="2" fontId="2" numFmtId="0" xfId="0" applyAlignment="1" applyFont="1">
      <alignment horizontal="center" vertical="bottom"/>
    </xf>
    <xf borderId="0" fillId="2" fontId="3" numFmtId="0" xfId="0" applyFont="1"/>
    <xf borderId="0" fillId="2" fontId="2" numFmtId="0" xfId="0" applyAlignment="1" applyFont="1">
      <alignment horizontal="center" readingOrder="0" vertical="bottom"/>
    </xf>
    <xf borderId="1" fillId="0" fontId="4" numFmtId="0" xfId="0" applyAlignment="1" applyBorder="1" applyFont="1">
      <alignment horizontal="center" vertical="bottom"/>
    </xf>
    <xf borderId="0" fillId="2" fontId="4" numFmtId="0" xfId="0" applyAlignment="1" applyFont="1">
      <alignment horizontal="center" vertical="bottom"/>
    </xf>
    <xf borderId="2" fillId="3" fontId="2" numFmtId="0" xfId="0" applyAlignment="1" applyBorder="1" applyFill="1" applyFont="1">
      <alignment horizontal="center" readingOrder="0" shrinkToFit="0" vertical="bottom" wrapText="1"/>
    </xf>
    <xf borderId="3" fillId="3" fontId="2" numFmtId="0" xfId="0" applyAlignment="1" applyBorder="1" applyFont="1">
      <alignment horizontal="center" readingOrder="0" shrinkToFit="0" vertical="bottom" wrapText="1"/>
    </xf>
    <xf borderId="3" fillId="3" fontId="2" numFmtId="0" xfId="0" applyAlignment="1" applyBorder="1" applyFont="1">
      <alignment horizontal="center" vertical="bottom"/>
    </xf>
    <xf borderId="3" fillId="0" fontId="3" numFmtId="0" xfId="0" applyBorder="1" applyFont="1"/>
    <xf borderId="3" fillId="3" fontId="2" numFmtId="0" xfId="0" applyAlignment="1" applyBorder="1" applyFont="1">
      <alignment horizontal="center" readingOrder="0" vertical="bottom"/>
    </xf>
    <xf borderId="4" fillId="3" fontId="2" numFmtId="0" xfId="0" applyAlignment="1" applyBorder="1" applyFont="1">
      <alignment horizontal="center" vertical="bottom"/>
    </xf>
    <xf borderId="5" fillId="0" fontId="4" numFmtId="0" xfId="0" applyAlignment="1" applyBorder="1" applyFont="1">
      <alignment horizontal="center" vertical="bottom"/>
    </xf>
    <xf borderId="6" fillId="0" fontId="4" numFmtId="0" xfId="0" applyAlignment="1" applyBorder="1" applyFont="1">
      <alignment horizontal="center" vertical="bottom"/>
    </xf>
    <xf borderId="7" fillId="0" fontId="4" numFmtId="0" xfId="0" applyAlignment="1" applyBorder="1" applyFont="1">
      <alignment horizontal="center" vertical="bottom"/>
    </xf>
    <xf borderId="8" fillId="3" fontId="2" numFmtId="0" xfId="0" applyAlignment="1" applyBorder="1" applyFont="1">
      <alignment horizontal="center" readingOrder="0" shrinkToFit="0" vertical="bottom" wrapText="1"/>
    </xf>
    <xf borderId="0" fillId="3" fontId="2" numFmtId="0" xfId="0" applyAlignment="1" applyFont="1">
      <alignment horizontal="center" readingOrder="0" shrinkToFit="0" vertical="bottom" wrapText="1"/>
    </xf>
    <xf borderId="9" fillId="4" fontId="5" numFmtId="0" xfId="0" applyAlignment="1" applyBorder="1" applyFill="1" applyFont="1">
      <alignment horizontal="center" readingOrder="0" shrinkToFit="0" wrapText="1"/>
    </xf>
    <xf borderId="10" fillId="0" fontId="6" numFmtId="0" xfId="0" applyBorder="1" applyFont="1"/>
    <xf borderId="11" fillId="0" fontId="6" numFmtId="0" xfId="0" applyBorder="1" applyFont="1"/>
    <xf borderId="0" fillId="3" fontId="2" numFmtId="0" xfId="0" applyAlignment="1" applyFont="1">
      <alignment horizontal="center" readingOrder="0" vertical="top"/>
    </xf>
    <xf borderId="9" fillId="4" fontId="7" numFmtId="0" xfId="0" applyAlignment="1" applyBorder="1" applyFont="1">
      <alignment horizontal="center" readingOrder="0" shrinkToFit="0" vertical="center" wrapText="1"/>
    </xf>
    <xf borderId="0" fillId="3" fontId="2" numFmtId="0" xfId="0" applyAlignment="1" applyFont="1">
      <alignment horizontal="center" vertical="bottom"/>
    </xf>
    <xf borderId="12" fillId="3" fontId="2" numFmtId="0" xfId="0" applyAlignment="1" applyBorder="1" applyFont="1">
      <alignment horizontal="center" vertical="bottom"/>
    </xf>
    <xf borderId="1" fillId="0" fontId="8" numFmtId="0" xfId="0" applyAlignment="1" applyBorder="1" applyFont="1">
      <alignment readingOrder="0"/>
    </xf>
    <xf borderId="0" fillId="2" fontId="1" numFmtId="0" xfId="0" applyAlignment="1" applyFont="1">
      <alignment horizontal="center" readingOrder="0" shrinkToFit="0" vertical="center" wrapText="1"/>
    </xf>
    <xf borderId="8" fillId="3" fontId="2" numFmtId="0" xfId="0" applyAlignment="1" applyBorder="1" applyFont="1">
      <alignment horizontal="center" readingOrder="0" shrinkToFit="0" vertical="center" wrapText="1"/>
    </xf>
    <xf borderId="0" fillId="3" fontId="2" numFmtId="0" xfId="0" applyAlignment="1" applyFont="1">
      <alignment horizontal="center" readingOrder="0" shrinkToFit="0" vertical="center" wrapText="1"/>
    </xf>
    <xf borderId="8" fillId="5" fontId="9" numFmtId="0" xfId="0" applyAlignment="1" applyBorder="1" applyFill="1" applyFont="1">
      <alignment horizontal="center" vertical="center"/>
    </xf>
    <xf borderId="12" fillId="0" fontId="6" numFmtId="0" xfId="0" applyBorder="1" applyFont="1"/>
    <xf borderId="0" fillId="3" fontId="3" numFmtId="0" xfId="0" applyFont="1"/>
    <xf borderId="0" fillId="3" fontId="3" numFmtId="0" xfId="0" applyAlignment="1" applyFont="1">
      <alignment horizontal="center" readingOrder="0"/>
    </xf>
    <xf borderId="2" fillId="6" fontId="9" numFmtId="0" xfId="0" applyAlignment="1" applyBorder="1" applyFill="1" applyFont="1">
      <alignment horizontal="center" vertical="center"/>
    </xf>
    <xf borderId="3" fillId="0" fontId="6" numFmtId="0" xfId="0" applyBorder="1" applyFont="1"/>
    <xf borderId="4" fillId="0" fontId="6" numFmtId="0" xfId="0" applyBorder="1" applyFont="1"/>
    <xf borderId="0" fillId="3" fontId="3" numFmtId="0" xfId="0" applyAlignment="1" applyFont="1">
      <alignment vertical="center"/>
    </xf>
    <xf borderId="12" fillId="3" fontId="3" numFmtId="0" xfId="0" applyBorder="1" applyFont="1"/>
    <xf borderId="1" fillId="0" fontId="4" numFmtId="0" xfId="0" applyBorder="1" applyFont="1"/>
    <xf borderId="5" fillId="0" fontId="4" numFmtId="0" xfId="0" applyBorder="1" applyFont="1"/>
    <xf borderId="6" fillId="0" fontId="4" numFmtId="0" xfId="0" applyBorder="1" applyFont="1"/>
    <xf borderId="7" fillId="0" fontId="4" numFmtId="0" xfId="0" applyBorder="1" applyFont="1"/>
    <xf borderId="13" fillId="5" fontId="9" numFmtId="0" xfId="0" applyAlignment="1" applyBorder="1" applyFont="1">
      <alignment horizontal="center" vertical="center"/>
    </xf>
    <xf borderId="14" fillId="0" fontId="6" numFmtId="0" xfId="0" applyBorder="1" applyFont="1"/>
    <xf borderId="15" fillId="0" fontId="6" numFmtId="0" xfId="0" applyBorder="1" applyFont="1"/>
    <xf borderId="0" fillId="0" fontId="3" numFmtId="0" xfId="0" applyFont="1"/>
    <xf borderId="0" fillId="3" fontId="2" numFmtId="0" xfId="0" applyAlignment="1" applyFont="1">
      <alignment horizontal="center"/>
    </xf>
    <xf borderId="13" fillId="6" fontId="9" numFmtId="0" xfId="0" applyAlignment="1" applyBorder="1" applyFont="1">
      <alignment horizontal="center" vertical="center"/>
    </xf>
    <xf borderId="0" fillId="3" fontId="2" numFmtId="0" xfId="0" applyFont="1"/>
    <xf borderId="12" fillId="3" fontId="2" numFmtId="0" xfId="0" applyBorder="1" applyFont="1"/>
    <xf borderId="0" fillId="2" fontId="2" numFmtId="0" xfId="0" applyFont="1"/>
    <xf borderId="0" fillId="2" fontId="10" numFmtId="0" xfId="0" applyAlignment="1" applyFont="1">
      <alignment horizontal="center" readingOrder="0" shrinkToFit="0" vertical="center" wrapText="1"/>
    </xf>
    <xf borderId="13" fillId="3" fontId="10" numFmtId="0" xfId="0" applyAlignment="1" applyBorder="1" applyFont="1">
      <alignment horizontal="center" readingOrder="0" shrinkToFit="0" vertical="center" wrapText="1"/>
    </xf>
    <xf borderId="14" fillId="3" fontId="11" numFmtId="0" xfId="0" applyAlignment="1" applyBorder="1" applyFont="1">
      <alignment horizontal="center" readingOrder="0" vertical="center"/>
    </xf>
    <xf borderId="14" fillId="0" fontId="10" numFmtId="0" xfId="0" applyAlignment="1" applyBorder="1" applyFont="1">
      <alignment vertical="center"/>
    </xf>
    <xf borderId="14" fillId="3" fontId="11" numFmtId="0" xfId="0" applyAlignment="1" applyBorder="1" applyFont="1">
      <alignment horizontal="center" vertical="center"/>
    </xf>
    <xf borderId="15" fillId="3" fontId="10" numFmtId="0" xfId="0" applyBorder="1" applyFont="1"/>
    <xf borderId="0" fillId="2" fontId="10" numFmtId="0" xfId="0" applyFont="1"/>
    <xf borderId="5" fillId="0" fontId="4" numFmtId="0" xfId="0" applyAlignment="1" applyBorder="1" applyFont="1">
      <alignment readingOrder="0"/>
    </xf>
    <xf borderId="0" fillId="2" fontId="12" numFmtId="0" xfId="0" applyFont="1"/>
    <xf borderId="0" fillId="2" fontId="13" numFmtId="0" xfId="0" applyFont="1"/>
    <xf borderId="0" fillId="2" fontId="13" numFmtId="0" xfId="0" applyAlignment="1" applyFont="1">
      <alignment horizontal="center" readingOrder="0" shrinkToFit="0" vertical="center" wrapText="1"/>
    </xf>
    <xf borderId="5" fillId="0" fontId="14" numFmtId="0" xfId="0" applyAlignment="1" applyBorder="1" applyFont="1">
      <alignment horizontal="left" readingOrder="0"/>
    </xf>
    <xf borderId="0" fillId="7" fontId="12" numFmtId="0" xfId="0" applyFill="1" applyFont="1"/>
    <xf borderId="0" fillId="7" fontId="13" numFmtId="0" xfId="0" applyFont="1"/>
    <xf borderId="0" fillId="7" fontId="13" numFmtId="0" xfId="0" applyAlignment="1" applyFont="1">
      <alignment horizontal="center" readingOrder="0" shrinkToFit="0" vertical="center" wrapText="1"/>
    </xf>
    <xf borderId="0" fillId="7" fontId="15" numFmtId="0" xfId="0" applyAlignment="1" applyFont="1">
      <alignment horizontal="center" readingOrder="0" shrinkToFit="0" vertical="center" wrapText="1"/>
    </xf>
    <xf borderId="16" fillId="2" fontId="12" numFmtId="0" xfId="0" applyBorder="1" applyFont="1"/>
    <xf borderId="17" fillId="0" fontId="4" numFmtId="0" xfId="0" applyBorder="1" applyFont="1"/>
    <xf borderId="18" fillId="8" fontId="16" numFmtId="0" xfId="0" applyAlignment="1" applyBorder="1" applyFill="1" applyFont="1">
      <alignment horizontal="center" readingOrder="0" shrinkToFit="0" vertical="center" wrapText="1"/>
    </xf>
    <xf borderId="19" fillId="0" fontId="6" numFmtId="0" xfId="0" applyBorder="1" applyFont="1"/>
    <xf borderId="19" fillId="8" fontId="16" numFmtId="0" xfId="0" applyAlignment="1" applyBorder="1" applyFont="1">
      <alignment horizontal="center" readingOrder="0" shrinkToFit="0" vertical="center" wrapText="1"/>
    </xf>
    <xf borderId="20" fillId="0" fontId="6" numFmtId="0" xfId="0" applyBorder="1" applyFont="1"/>
    <xf borderId="21" fillId="2" fontId="13" numFmtId="0" xfId="0" applyBorder="1" applyFont="1"/>
    <xf borderId="16" fillId="2" fontId="17" numFmtId="0" xfId="0" applyAlignment="1" applyBorder="1" applyFont="1">
      <alignment horizontal="center" readingOrder="0"/>
    </xf>
    <xf borderId="22" fillId="9" fontId="18" numFmtId="0" xfId="0" applyAlignment="1" applyBorder="1" applyFill="1" applyFont="1">
      <alignment horizontal="center" readingOrder="0"/>
    </xf>
    <xf borderId="23" fillId="0" fontId="6" numFmtId="0" xfId="0" applyBorder="1" applyFont="1"/>
    <xf borderId="24" fillId="0" fontId="6" numFmtId="0" xfId="0" applyBorder="1" applyFont="1"/>
    <xf borderId="21" fillId="2" fontId="19" numFmtId="0" xfId="0" applyAlignment="1" applyBorder="1" applyFont="1">
      <alignment horizontal="center" readingOrder="0"/>
    </xf>
    <xf borderId="6" fillId="0" fontId="14" numFmtId="0" xfId="0" applyAlignment="1" applyBorder="1" applyFont="1">
      <alignment horizontal="left" readingOrder="0"/>
    </xf>
    <xf borderId="7" fillId="0" fontId="14" numFmtId="0" xfId="0" applyAlignment="1" applyBorder="1" applyFont="1">
      <alignment horizontal="center" readingOrder="0"/>
    </xf>
    <xf borderId="1" fillId="0" fontId="14" numFmtId="0" xfId="0" applyAlignment="1" applyBorder="1" applyFont="1">
      <alignment horizontal="center" readingOrder="0"/>
    </xf>
    <xf borderId="16" fillId="2" fontId="1" numFmtId="0" xfId="0" applyAlignment="1" applyBorder="1" applyFont="1">
      <alignment horizontal="center"/>
    </xf>
    <xf borderId="0" fillId="2" fontId="2" numFmtId="0" xfId="0" applyAlignment="1" applyFont="1">
      <alignment horizontal="center"/>
    </xf>
    <xf borderId="0" fillId="2" fontId="2" numFmtId="0" xfId="0" applyAlignment="1" applyFont="1">
      <alignment horizontal="center" vertical="center"/>
    </xf>
    <xf borderId="0" fillId="2" fontId="2" numFmtId="0" xfId="0" applyAlignment="1" applyFont="1">
      <alignment horizontal="right" readingOrder="0" vertical="center"/>
    </xf>
    <xf borderId="0" fillId="2" fontId="2" numFmtId="0" xfId="0" applyAlignment="1" applyFont="1">
      <alignment horizontal="left" readingOrder="0" vertical="center"/>
    </xf>
    <xf borderId="21" fillId="2" fontId="2" numFmtId="0" xfId="0" applyBorder="1" applyFont="1"/>
    <xf borderId="17" fillId="2" fontId="14" numFmtId="0" xfId="0" applyAlignment="1" applyBorder="1" applyFont="1">
      <alignment horizontal="center" readingOrder="0"/>
    </xf>
    <xf borderId="5" fillId="2" fontId="14" numFmtId="0" xfId="0" applyAlignment="1" applyBorder="1" applyFont="1">
      <alignment horizontal="left" readingOrder="0"/>
    </xf>
    <xf borderId="6" fillId="2" fontId="14" numFmtId="0" xfId="0" applyAlignment="1" applyBorder="1" applyFont="1">
      <alignment horizontal="left" readingOrder="0"/>
    </xf>
    <xf borderId="16" fillId="2" fontId="20" numFmtId="0" xfId="0" applyAlignment="1" applyBorder="1" applyFont="1">
      <alignment horizontal="center" shrinkToFit="0" vertical="center" wrapText="1"/>
    </xf>
    <xf borderId="18" fillId="0" fontId="2" numFmtId="0" xfId="0" applyAlignment="1" applyBorder="1" applyFont="1">
      <alignment horizontal="center"/>
    </xf>
    <xf borderId="19" fillId="0" fontId="21" numFmtId="0" xfId="0" applyAlignment="1" applyBorder="1" applyFont="1">
      <alignment horizontal="center" readingOrder="0" vertical="center"/>
    </xf>
    <xf borderId="19" fillId="0" fontId="22" numFmtId="0" xfId="0" applyAlignment="1" applyBorder="1" applyFont="1">
      <alignment horizontal="center" vertical="center"/>
    </xf>
    <xf borderId="19" fillId="0" fontId="11" numFmtId="0" xfId="0" applyAlignment="1" applyBorder="1" applyFont="1">
      <alignment horizontal="center" vertical="center"/>
    </xf>
    <xf borderId="19" fillId="0" fontId="11" numFmtId="0" xfId="0" applyAlignment="1" applyBorder="1" applyFont="1">
      <alignment horizontal="right" readingOrder="0" vertical="center"/>
    </xf>
    <xf borderId="19" fillId="0" fontId="11" numFmtId="0" xfId="0" applyAlignment="1" applyBorder="1" applyFont="1">
      <alignment horizontal="left" readingOrder="0" vertical="center"/>
    </xf>
    <xf borderId="19" fillId="0" fontId="11" numFmtId="0" xfId="0" applyAlignment="1" applyBorder="1" applyFont="1">
      <alignment horizontal="center"/>
    </xf>
    <xf borderId="19" fillId="0" fontId="22" numFmtId="0" xfId="0" applyAlignment="1" applyBorder="1" applyFont="1">
      <alignment horizontal="center"/>
    </xf>
    <xf borderId="19" fillId="0" fontId="10" numFmtId="0" xfId="0" applyAlignment="1" applyBorder="1" applyFont="1">
      <alignment horizontal="center"/>
    </xf>
    <xf borderId="20" fillId="0" fontId="2" numFmtId="0" xfId="0" applyBorder="1" applyFont="1"/>
    <xf borderId="17" fillId="0" fontId="14" numFmtId="0" xfId="0" applyAlignment="1" applyBorder="1" applyFont="1">
      <alignment horizontal="center" readingOrder="0"/>
    </xf>
    <xf borderId="5" fillId="4" fontId="14" numFmtId="0" xfId="0" applyAlignment="1" applyBorder="1" applyFont="1">
      <alignment horizontal="left" readingOrder="0"/>
    </xf>
    <xf borderId="6" fillId="4" fontId="14" numFmtId="0" xfId="0" applyAlignment="1" applyBorder="1" applyFont="1">
      <alignment horizontal="center" readingOrder="0"/>
    </xf>
    <xf borderId="7" fillId="4" fontId="14" numFmtId="0" xfId="0" applyAlignment="1" applyBorder="1" applyFont="1">
      <alignment horizontal="right" readingOrder="0"/>
    </xf>
    <xf borderId="1" fillId="4" fontId="14" numFmtId="0" xfId="0" applyAlignment="1" applyBorder="1" applyFont="1">
      <alignment horizontal="center" readingOrder="0"/>
    </xf>
    <xf borderId="16" fillId="0" fontId="6" numFmtId="0" xfId="0" applyBorder="1" applyFont="1"/>
    <xf borderId="25" fillId="0" fontId="2" numFmtId="0" xfId="0" applyAlignment="1" applyBorder="1" applyFont="1">
      <alignment horizontal="center"/>
    </xf>
    <xf borderId="9" fillId="0" fontId="23" numFmtId="0" xfId="0" applyAlignment="1" applyBorder="1" applyFont="1">
      <alignment horizontal="center" readingOrder="0" vertical="center"/>
    </xf>
    <xf borderId="0" fillId="0" fontId="2" numFmtId="0" xfId="0" applyAlignment="1" applyFont="1">
      <alignment horizontal="center" vertical="center"/>
    </xf>
    <xf borderId="0" fillId="0" fontId="21" numFmtId="0" xfId="0" applyAlignment="1" applyFont="1">
      <alignment horizontal="center" readingOrder="0"/>
    </xf>
    <xf borderId="0" fillId="0" fontId="2" numFmtId="0" xfId="0" applyAlignment="1" applyFont="1">
      <alignment horizontal="center"/>
    </xf>
    <xf borderId="9" fillId="0" fontId="24" numFmtId="0" xfId="0" applyAlignment="1" applyBorder="1" applyFont="1">
      <alignment horizontal="center" readingOrder="0" vertical="center"/>
    </xf>
    <xf borderId="26" fillId="0" fontId="2" numFmtId="0" xfId="0" applyBorder="1" applyFont="1"/>
    <xf borderId="17" fillId="10" fontId="14" numFmtId="0" xfId="0" applyAlignment="1" applyBorder="1" applyFill="1" applyFont="1">
      <alignment horizontal="center" readingOrder="0"/>
    </xf>
    <xf borderId="6" fillId="11" fontId="14" numFmtId="0" xfId="0" applyAlignment="1" applyBorder="1" applyFill="1" applyFont="1">
      <alignment horizontal="center" readingOrder="0"/>
    </xf>
    <xf borderId="25" fillId="0" fontId="2" numFmtId="0" xfId="0" applyAlignment="1" applyBorder="1" applyFont="1">
      <alignment horizontal="center" readingOrder="0" shrinkToFit="0" vertical="center" wrapText="1"/>
    </xf>
    <xf borderId="13" fillId="0" fontId="23" numFmtId="0" xfId="0" applyAlignment="1" applyBorder="1" applyFont="1">
      <alignment horizontal="center" readingOrder="0" vertical="center"/>
    </xf>
    <xf borderId="9" fillId="0" fontId="1" numFmtId="0" xfId="0" applyAlignment="1" applyBorder="1" applyFont="1">
      <alignment horizontal="center" readingOrder="0" vertical="center"/>
    </xf>
    <xf borderId="13" fillId="0" fontId="24" numFmtId="0" xfId="0" applyAlignment="1" applyBorder="1" applyFont="1">
      <alignment horizontal="center" readingOrder="0" vertical="center"/>
    </xf>
    <xf borderId="17" fillId="11" fontId="14" numFmtId="0" xfId="0" applyAlignment="1" applyBorder="1" applyFont="1">
      <alignment horizontal="center" readingOrder="0"/>
    </xf>
    <xf borderId="1" fillId="11" fontId="14" numFmtId="0" xfId="0" applyAlignment="1" applyBorder="1" applyFont="1">
      <alignment horizontal="center" readingOrder="0"/>
    </xf>
    <xf borderId="0" fillId="0" fontId="2" numFmtId="0" xfId="0" applyFont="1"/>
    <xf borderId="0" fillId="0" fontId="25" numFmtId="0" xfId="0" applyAlignment="1" applyFont="1">
      <alignment horizontal="center" readingOrder="0" vertical="bottom"/>
    </xf>
    <xf borderId="0" fillId="0" fontId="22" numFmtId="0" xfId="0" applyAlignment="1" applyFont="1">
      <alignment horizontal="center"/>
    </xf>
    <xf borderId="0" fillId="0" fontId="22" numFmtId="0" xfId="0" applyAlignment="1" applyFont="1">
      <alignment horizontal="center" vertical="center"/>
    </xf>
    <xf borderId="0" fillId="0" fontId="26" numFmtId="0" xfId="0" applyAlignment="1" applyFont="1">
      <alignment horizontal="center" readingOrder="0" vertical="bottom"/>
    </xf>
    <xf borderId="0" fillId="0" fontId="2" numFmtId="0" xfId="0" applyAlignment="1" applyFont="1">
      <alignment vertical="center"/>
    </xf>
    <xf borderId="0" fillId="0" fontId="2" numFmtId="0" xfId="0" applyAlignment="1" applyFont="1">
      <alignment horizontal="right" vertical="center"/>
    </xf>
    <xf borderId="6" fillId="12" fontId="14" numFmtId="0" xfId="0" applyAlignment="1" applyBorder="1" applyFill="1" applyFont="1">
      <alignment horizontal="center" readingOrder="0"/>
    </xf>
    <xf borderId="25" fillId="0" fontId="2" numFmtId="0" xfId="0" applyBorder="1" applyFont="1"/>
    <xf borderId="27" fillId="0" fontId="2" numFmtId="0" xfId="0" applyAlignment="1" applyBorder="1" applyFont="1">
      <alignment horizontal="center" readingOrder="0" vertical="bottom"/>
    </xf>
    <xf borderId="28" fillId="0" fontId="2" numFmtId="0" xfId="0" applyAlignment="1" applyBorder="1" applyFont="1">
      <alignment horizontal="center" readingOrder="0" vertical="bottom"/>
    </xf>
    <xf borderId="29" fillId="0" fontId="2" numFmtId="0" xfId="0" applyAlignment="1" applyBorder="1" applyFont="1">
      <alignment horizontal="center" readingOrder="0" vertical="bottom"/>
    </xf>
    <xf borderId="22" fillId="0" fontId="2" numFmtId="0" xfId="0" applyBorder="1" applyFont="1"/>
    <xf borderId="23" fillId="0" fontId="2" numFmtId="0" xfId="0" applyBorder="1" applyFont="1"/>
    <xf borderId="23" fillId="0" fontId="2" numFmtId="0" xfId="0" applyAlignment="1" applyBorder="1" applyFont="1">
      <alignment horizontal="center" vertical="center"/>
    </xf>
    <xf borderId="23" fillId="0" fontId="2" numFmtId="0" xfId="0" applyAlignment="1" applyBorder="1" applyFont="1">
      <alignment vertical="center"/>
    </xf>
    <xf borderId="23" fillId="0" fontId="2" numFmtId="0" xfId="0" applyAlignment="1" applyBorder="1" applyFont="1">
      <alignment horizontal="center"/>
    </xf>
    <xf borderId="24" fillId="0" fontId="2" numFmtId="0" xfId="0" applyBorder="1" applyFont="1"/>
    <xf borderId="6" fillId="0" fontId="14" numFmtId="0" xfId="0" applyAlignment="1" applyBorder="1" applyFont="1">
      <alignment horizontal="center" readingOrder="0"/>
    </xf>
    <xf borderId="0" fillId="0" fontId="4" numFmtId="0" xfId="0" applyFont="1"/>
    <xf borderId="16" fillId="2" fontId="1" numFmtId="0" xfId="0" applyBorder="1" applyFont="1"/>
    <xf borderId="0" fillId="2" fontId="2" numFmtId="0" xfId="0" applyAlignment="1" applyFont="1">
      <alignment vertical="center"/>
    </xf>
    <xf borderId="0" fillId="0" fontId="14" numFmtId="0" xfId="0" applyAlignment="1" applyFont="1">
      <alignment horizontal="center" readingOrder="0"/>
    </xf>
    <xf borderId="16" fillId="2" fontId="1"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6" fillId="2" fontId="14" numFmtId="0" xfId="0" applyAlignment="1" applyBorder="1" applyFont="1">
      <alignment horizontal="center" readingOrder="0"/>
    </xf>
    <xf borderId="7" fillId="2" fontId="14" numFmtId="0" xfId="0" applyAlignment="1" applyBorder="1" applyFont="1">
      <alignment horizontal="center" readingOrder="0"/>
    </xf>
    <xf borderId="1" fillId="2" fontId="14" numFmtId="0" xfId="0" applyAlignment="1" applyBorder="1" applyFont="1">
      <alignment horizontal="center" readingOrder="0"/>
    </xf>
    <xf borderId="30" fillId="2" fontId="1" numFmtId="0" xfId="0" applyAlignment="1" applyBorder="1" applyFont="1">
      <alignment horizontal="center" readingOrder="0" shrinkToFit="0" vertical="center" wrapText="1"/>
    </xf>
    <xf borderId="31" fillId="2" fontId="2" numFmtId="0" xfId="0" applyAlignment="1" applyBorder="1" applyFont="1">
      <alignment horizontal="center" readingOrder="0" shrinkToFit="0" vertical="center" wrapText="1"/>
    </xf>
    <xf borderId="32" fillId="2" fontId="2" numFmtId="0" xfId="0" applyBorder="1" applyFont="1"/>
    <xf borderId="0" fillId="2" fontId="14" numFmtId="0" xfId="0" applyAlignment="1" applyFont="1">
      <alignment horizontal="center" readingOrder="0"/>
    </xf>
    <xf borderId="33" fillId="13" fontId="16" numFmtId="0" xfId="0" applyAlignment="1" applyBorder="1" applyFill="1" applyFont="1">
      <alignment horizontal="center" readingOrder="0" shrinkToFit="0" vertical="center" wrapText="1"/>
    </xf>
    <xf borderId="34" fillId="0" fontId="6" numFmtId="0" xfId="0" applyBorder="1" applyFont="1"/>
    <xf borderId="34" fillId="13" fontId="16" numFmtId="0" xfId="0" applyAlignment="1" applyBorder="1" applyFont="1">
      <alignment horizontal="center" readingOrder="0" shrinkToFit="0" vertical="center" wrapText="1"/>
    </xf>
    <xf borderId="35" fillId="0" fontId="6" numFmtId="0" xfId="0" applyBorder="1" applyFont="1"/>
    <xf borderId="36" fillId="14" fontId="18" numFmtId="0" xfId="0" applyAlignment="1" applyBorder="1" applyFill="1" applyFont="1">
      <alignment horizontal="center" readingOrder="0"/>
    </xf>
    <xf borderId="37" fillId="0" fontId="6" numFmtId="0" xfId="0" applyBorder="1" applyFont="1"/>
    <xf borderId="38" fillId="0" fontId="6" numFmtId="0" xfId="0" applyBorder="1" applyFont="1"/>
    <xf borderId="7" fillId="2" fontId="14" numFmtId="0" xfId="0" applyAlignment="1" applyBorder="1" applyFont="1">
      <alignment horizontal="right" readingOrder="0"/>
    </xf>
    <xf borderId="0" fillId="2" fontId="27" numFmtId="3" xfId="0" applyAlignment="1" applyFont="1" applyNumberFormat="1">
      <alignment horizontal="center" readingOrder="0" vertical="bottom"/>
    </xf>
    <xf borderId="16" fillId="2" fontId="28" numFmtId="0" xfId="0" applyAlignment="1" applyBorder="1" applyFont="1">
      <alignment horizontal="center" shrinkToFit="0" vertical="center" wrapText="1"/>
    </xf>
    <xf borderId="33" fillId="0" fontId="2" numFmtId="0" xfId="0" applyAlignment="1" applyBorder="1" applyFont="1">
      <alignment horizontal="center"/>
    </xf>
    <xf borderId="34" fillId="0" fontId="21" numFmtId="0" xfId="0" applyAlignment="1" applyBorder="1" applyFont="1">
      <alignment horizontal="center" readingOrder="0" vertical="center"/>
    </xf>
    <xf borderId="34" fillId="0" fontId="2" numFmtId="0" xfId="0" applyAlignment="1" applyBorder="1" applyFont="1">
      <alignment horizontal="center" vertical="center"/>
    </xf>
    <xf borderId="34" fillId="0" fontId="11" numFmtId="0" xfId="0" applyAlignment="1" applyBorder="1" applyFont="1">
      <alignment horizontal="center" vertical="center"/>
    </xf>
    <xf borderId="34" fillId="0" fontId="11" numFmtId="0" xfId="0" applyAlignment="1" applyBorder="1" applyFont="1">
      <alignment horizontal="right" readingOrder="0" vertical="center"/>
    </xf>
    <xf borderId="34" fillId="0" fontId="11" numFmtId="0" xfId="0" applyAlignment="1" applyBorder="1" applyFont="1">
      <alignment horizontal="left" readingOrder="0" vertical="center"/>
    </xf>
    <xf borderId="34" fillId="0" fontId="11" numFmtId="0" xfId="0" applyAlignment="1" applyBorder="1" applyFont="1">
      <alignment horizontal="center"/>
    </xf>
    <xf borderId="34" fillId="0" fontId="2" numFmtId="0" xfId="0" applyAlignment="1" applyBorder="1" applyFont="1">
      <alignment horizontal="center"/>
    </xf>
    <xf borderId="35" fillId="0" fontId="2" numFmtId="0" xfId="0" applyBorder="1" applyFont="1"/>
    <xf borderId="39" fillId="0" fontId="2" numFmtId="0" xfId="0" applyAlignment="1" applyBorder="1" applyFont="1">
      <alignment horizontal="center"/>
    </xf>
    <xf borderId="2" fillId="0" fontId="23" numFmtId="0" xfId="0" applyAlignment="1" applyBorder="1" applyFont="1">
      <alignment horizontal="center" readingOrder="0" vertical="center"/>
    </xf>
    <xf borderId="2" fillId="0" fontId="24" numFmtId="0" xfId="0" applyAlignment="1" applyBorder="1" applyFont="1">
      <alignment horizontal="center" readingOrder="0" vertical="center"/>
    </xf>
    <xf borderId="40" fillId="0" fontId="2" numFmtId="0" xfId="0" applyBorder="1" applyFont="1"/>
    <xf borderId="39" fillId="0" fontId="2" numFmtId="0" xfId="0" applyAlignment="1" applyBorder="1" applyFont="1">
      <alignment horizontal="center" readingOrder="0" shrinkToFit="0" vertical="center" wrapText="1"/>
    </xf>
    <xf borderId="13" fillId="0" fontId="6" numFmtId="0" xfId="0" applyBorder="1" applyFont="1"/>
    <xf borderId="0" fillId="0" fontId="3" numFmtId="0" xfId="0" applyAlignment="1" applyFont="1">
      <alignment vertical="center"/>
    </xf>
    <xf borderId="39" fillId="0" fontId="2" numFmtId="0" xfId="0" applyBorder="1" applyFont="1"/>
    <xf borderId="27" fillId="0" fontId="2" numFmtId="0" xfId="0" applyAlignment="1" applyBorder="1" applyFont="1">
      <alignment horizontal="center" vertical="bottom"/>
    </xf>
    <xf borderId="28" fillId="0" fontId="2" numFmtId="0" xfId="0" applyAlignment="1" applyBorder="1" applyFont="1">
      <alignment horizontal="center" vertical="bottom"/>
    </xf>
    <xf borderId="29" fillId="0" fontId="2" numFmtId="0" xfId="0" applyAlignment="1" applyBorder="1" applyFont="1">
      <alignment horizontal="center" vertical="bottom"/>
    </xf>
    <xf borderId="36" fillId="0" fontId="2" numFmtId="0" xfId="0" applyBorder="1" applyFont="1"/>
    <xf borderId="37" fillId="0" fontId="2" numFmtId="0" xfId="0" applyBorder="1" applyFont="1"/>
    <xf borderId="37" fillId="0" fontId="2" numFmtId="0" xfId="0" applyAlignment="1" applyBorder="1" applyFont="1">
      <alignment horizontal="center" vertical="center"/>
    </xf>
    <xf borderId="37" fillId="0" fontId="2" numFmtId="0" xfId="0" applyAlignment="1" applyBorder="1" applyFont="1">
      <alignment vertical="center"/>
    </xf>
    <xf borderId="37" fillId="0" fontId="2" numFmtId="0" xfId="0" applyAlignment="1" applyBorder="1" applyFont="1">
      <alignment horizontal="center"/>
    </xf>
    <xf borderId="38" fillId="0" fontId="2" numFmtId="0" xfId="0" applyBorder="1" applyFont="1"/>
    <xf borderId="0" fillId="2" fontId="2" numFmtId="0" xfId="0" applyAlignment="1" applyFont="1">
      <alignment horizontal="center" readingOrder="0" vertical="top"/>
    </xf>
    <xf borderId="21" fillId="2" fontId="29" numFmtId="0" xfId="0" applyAlignment="1" applyBorder="1" applyFont="1">
      <alignment vertical="bottom"/>
    </xf>
    <xf borderId="16" fillId="2" fontId="1" numFmtId="0" xfId="0" applyBorder="1" applyFont="1"/>
    <xf borderId="0" fillId="2" fontId="29" numFmtId="0" xfId="0" applyFont="1"/>
    <xf borderId="0" fillId="2" fontId="2" numFmtId="0" xfId="0" applyAlignment="1" applyFont="1">
      <alignment horizontal="center" vertical="top"/>
    </xf>
    <xf borderId="0" fillId="2" fontId="29" numFmtId="0" xfId="0" applyAlignment="1" applyFont="1">
      <alignment vertical="bottom"/>
    </xf>
    <xf borderId="0" fillId="2" fontId="2" numFmtId="0" xfId="0" applyAlignment="1" applyFont="1">
      <alignment horizontal="center" vertical="top"/>
    </xf>
    <xf borderId="41" fillId="15" fontId="16" numFmtId="0" xfId="0" applyAlignment="1" applyBorder="1" applyFill="1" applyFont="1">
      <alignment horizontal="center" readingOrder="0" shrinkToFit="0" vertical="center" wrapText="1"/>
    </xf>
    <xf borderId="42" fillId="0" fontId="6" numFmtId="0" xfId="0" applyBorder="1" applyFont="1"/>
    <xf borderId="42" fillId="15" fontId="16" numFmtId="0" xfId="0" applyAlignment="1" applyBorder="1" applyFont="1">
      <alignment horizontal="center" readingOrder="0" shrinkToFit="0" vertical="center" wrapText="1"/>
    </xf>
    <xf borderId="43" fillId="0" fontId="6" numFmtId="0" xfId="0" applyBorder="1" applyFont="1"/>
    <xf borderId="44" fillId="16" fontId="18" numFmtId="0" xfId="0" applyAlignment="1" applyBorder="1" applyFill="1" applyFont="1">
      <alignment horizontal="center" readingOrder="0"/>
    </xf>
    <xf borderId="45" fillId="0" fontId="6" numFmtId="0" xfId="0" applyBorder="1" applyFont="1"/>
    <xf borderId="46" fillId="0" fontId="6" numFmtId="0" xfId="0" applyBorder="1" applyFont="1"/>
    <xf borderId="16" fillId="2" fontId="30" numFmtId="0" xfId="0" applyAlignment="1" applyBorder="1" applyFont="1">
      <alignment horizontal="center" shrinkToFit="0" vertical="center" wrapText="1"/>
    </xf>
    <xf borderId="41" fillId="0" fontId="2" numFmtId="0" xfId="0" applyAlignment="1" applyBorder="1" applyFont="1">
      <alignment horizontal="center"/>
    </xf>
    <xf borderId="42" fillId="0" fontId="21" numFmtId="0" xfId="0" applyAlignment="1" applyBorder="1" applyFont="1">
      <alignment horizontal="center" readingOrder="0" vertical="center"/>
    </xf>
    <xf borderId="42" fillId="0" fontId="2" numFmtId="0" xfId="0" applyAlignment="1" applyBorder="1" applyFont="1">
      <alignment horizontal="center" vertical="center"/>
    </xf>
    <xf borderId="42" fillId="0" fontId="11" numFmtId="0" xfId="0" applyAlignment="1" applyBorder="1" applyFont="1">
      <alignment horizontal="center" vertical="center"/>
    </xf>
    <xf borderId="42" fillId="0" fontId="11" numFmtId="0" xfId="0" applyAlignment="1" applyBorder="1" applyFont="1">
      <alignment horizontal="right" readingOrder="0" vertical="center"/>
    </xf>
    <xf borderId="42" fillId="0" fontId="11" numFmtId="0" xfId="0" applyAlignment="1" applyBorder="1" applyFont="1">
      <alignment horizontal="left" readingOrder="0" vertical="center"/>
    </xf>
    <xf borderId="42" fillId="0" fontId="31" numFmtId="0" xfId="0" applyAlignment="1" applyBorder="1" applyFont="1">
      <alignment horizontal="center"/>
    </xf>
    <xf borderId="42" fillId="0" fontId="2" numFmtId="0" xfId="0" applyAlignment="1" applyBorder="1" applyFont="1">
      <alignment horizontal="center"/>
    </xf>
    <xf borderId="43" fillId="0" fontId="2" numFmtId="0" xfId="0" applyBorder="1" applyFont="1"/>
    <xf borderId="47" fillId="0" fontId="2" numFmtId="0" xfId="0" applyAlignment="1" applyBorder="1" applyFont="1">
      <alignment horizontal="center"/>
    </xf>
    <xf borderId="0" fillId="0" fontId="25" numFmtId="0" xfId="0" applyAlignment="1" applyFont="1">
      <alignment horizontal="center" readingOrder="0"/>
    </xf>
    <xf borderId="0" fillId="0" fontId="26" numFmtId="0" xfId="0" applyAlignment="1" applyFont="1">
      <alignment horizontal="center" readingOrder="0"/>
    </xf>
    <xf borderId="48" fillId="0" fontId="2" numFmtId="0" xfId="0" applyBorder="1" applyFont="1"/>
    <xf borderId="6" fillId="11" fontId="14" numFmtId="3" xfId="0" applyAlignment="1" applyBorder="1" applyFont="1" applyNumberFormat="1">
      <alignment horizontal="center" readingOrder="0"/>
    </xf>
    <xf borderId="47" fillId="0" fontId="2" numFmtId="0" xfId="0" applyAlignment="1" applyBorder="1" applyFont="1">
      <alignment horizontal="center" readingOrder="0" shrinkToFit="0" vertical="center" wrapText="1"/>
    </xf>
    <xf borderId="9" fillId="0" fontId="23" numFmtId="3" xfId="0" applyAlignment="1" applyBorder="1" applyFont="1" applyNumberFormat="1">
      <alignment horizontal="center" readingOrder="0" vertical="center"/>
    </xf>
    <xf borderId="9" fillId="0" fontId="24" numFmtId="3" xfId="0" applyAlignment="1" applyBorder="1" applyFont="1" applyNumberFormat="1">
      <alignment horizontal="center" readingOrder="0" vertical="center"/>
    </xf>
    <xf borderId="9" fillId="0" fontId="32" numFmtId="0" xfId="0" applyAlignment="1" applyBorder="1" applyFont="1">
      <alignment horizontal="center" readingOrder="0" vertical="center"/>
    </xf>
    <xf borderId="47" fillId="0" fontId="2" numFmtId="0" xfId="0" applyBorder="1" applyFont="1"/>
    <xf borderId="44" fillId="0" fontId="2" numFmtId="0" xfId="0" applyBorder="1" applyFont="1"/>
    <xf borderId="45" fillId="0" fontId="2" numFmtId="0" xfId="0" applyBorder="1" applyFont="1"/>
    <xf borderId="45" fillId="0" fontId="2" numFmtId="0" xfId="0" applyAlignment="1" applyBorder="1" applyFont="1">
      <alignment horizontal="center" vertical="center"/>
    </xf>
    <xf borderId="45" fillId="0" fontId="2" numFmtId="0" xfId="0" applyAlignment="1" applyBorder="1" applyFont="1">
      <alignment vertical="center"/>
    </xf>
    <xf borderId="45" fillId="0" fontId="2" numFmtId="0" xfId="0" applyAlignment="1" applyBorder="1" applyFont="1">
      <alignment horizontal="center"/>
    </xf>
    <xf borderId="46" fillId="0" fontId="2" numFmtId="0" xfId="0" applyBorder="1" applyFont="1"/>
    <xf borderId="17" fillId="2" fontId="4" numFmtId="0" xfId="0" applyBorder="1" applyFont="1"/>
    <xf borderId="0" fillId="2" fontId="4" numFmtId="0" xfId="0" applyFont="1"/>
    <xf borderId="1" fillId="2" fontId="4" numFmtId="0" xfId="0" applyBorder="1" applyFont="1"/>
    <xf borderId="16" fillId="2" fontId="1" numFmtId="0" xfId="0" applyAlignment="1" applyBorder="1" applyFont="1">
      <alignment horizontal="center" readingOrder="0" vertical="bottom"/>
    </xf>
    <xf borderId="49" fillId="17" fontId="16" numFmtId="0" xfId="0" applyAlignment="1" applyBorder="1" applyFill="1" applyFont="1">
      <alignment horizontal="center" readingOrder="0" shrinkToFit="0" vertical="center" wrapText="1"/>
    </xf>
    <xf borderId="31" fillId="0" fontId="6" numFmtId="0" xfId="0" applyBorder="1" applyFont="1"/>
    <xf borderId="31" fillId="17" fontId="16" numFmtId="0" xfId="0" applyAlignment="1" applyBorder="1" applyFont="1">
      <alignment horizontal="center" readingOrder="0" shrinkToFit="0" vertical="center" wrapText="1"/>
    </xf>
    <xf borderId="50" fillId="0" fontId="6" numFmtId="0" xfId="0" applyBorder="1" applyFont="1"/>
    <xf borderId="21" fillId="2" fontId="2" numFmtId="0" xfId="0" applyAlignment="1" applyBorder="1" applyFont="1">
      <alignment horizontal="center" readingOrder="0" vertical="bottom"/>
    </xf>
    <xf borderId="51" fillId="18" fontId="18" numFmtId="0" xfId="0" applyAlignment="1" applyBorder="1" applyFill="1" applyFont="1">
      <alignment horizontal="center" readingOrder="0"/>
    </xf>
    <xf borderId="52" fillId="0" fontId="6" numFmtId="0" xfId="0" applyBorder="1" applyFont="1"/>
    <xf borderId="53" fillId="0" fontId="6" numFmtId="0" xfId="0" applyBorder="1" applyFont="1"/>
    <xf borderId="54" fillId="0" fontId="29" numFmtId="0" xfId="0" applyAlignment="1" applyBorder="1" applyFont="1">
      <alignment vertical="bottom"/>
    </xf>
    <xf borderId="55" fillId="0" fontId="3" numFmtId="0" xfId="0" applyAlignment="1" applyBorder="1" applyFont="1">
      <alignment vertical="bottom"/>
    </xf>
    <xf borderId="55" fillId="0" fontId="33" numFmtId="0" xfId="0" applyAlignment="1" applyBorder="1" applyFont="1">
      <alignment horizontal="center" readingOrder="0" vertical="bottom"/>
    </xf>
    <xf borderId="55" fillId="0" fontId="6" numFmtId="0" xfId="0" applyBorder="1" applyFont="1"/>
    <xf borderId="55" fillId="0" fontId="34" numFmtId="0" xfId="0" applyAlignment="1" applyBorder="1" applyFont="1">
      <alignment vertical="bottom"/>
    </xf>
    <xf borderId="55" fillId="0" fontId="35" numFmtId="0" xfId="0" applyAlignment="1" applyBorder="1" applyFont="1">
      <alignment vertical="bottom"/>
    </xf>
    <xf borderId="55" fillId="0" fontId="31" numFmtId="0" xfId="0" applyAlignment="1" applyBorder="1" applyFont="1">
      <alignment horizontal="center" readingOrder="0" vertical="bottom"/>
    </xf>
    <xf borderId="55" fillId="0" fontId="36" numFmtId="0" xfId="0" applyAlignment="1" applyBorder="1" applyFont="1">
      <alignment horizontal="center" readingOrder="0" vertical="bottom"/>
    </xf>
    <xf borderId="55" fillId="0" fontId="37" numFmtId="0" xfId="0" applyAlignment="1" applyBorder="1" applyFont="1">
      <alignment horizontal="center" readingOrder="0" vertical="bottom"/>
    </xf>
    <xf borderId="55" fillId="0" fontId="38" numFmtId="0" xfId="0" applyAlignment="1" applyBorder="1" applyFont="1">
      <alignment vertical="bottom"/>
    </xf>
    <xf borderId="56" fillId="0" fontId="29" numFmtId="0" xfId="0" applyAlignment="1" applyBorder="1" applyFont="1">
      <alignment vertical="bottom"/>
    </xf>
    <xf borderId="17" fillId="0" fontId="14" numFmtId="0" xfId="0" applyAlignment="1" applyBorder="1" applyFont="1">
      <alignment horizontal="center" readingOrder="0" vertical="bottom"/>
    </xf>
    <xf borderId="5" fillId="0" fontId="14" numFmtId="0" xfId="0" applyAlignment="1" applyBorder="1" applyFont="1">
      <alignment horizontal="left" readingOrder="0" vertical="bottom"/>
    </xf>
    <xf borderId="6" fillId="0" fontId="14" numFmtId="0" xfId="0" applyAlignment="1" applyBorder="1" applyFont="1">
      <alignment horizontal="center" readingOrder="0" vertical="bottom"/>
    </xf>
    <xf borderId="7" fillId="0" fontId="14" numFmtId="0" xfId="0" applyAlignment="1" applyBorder="1" applyFont="1">
      <alignment horizontal="center" readingOrder="0" vertical="bottom"/>
    </xf>
    <xf borderId="1" fillId="0" fontId="14" numFmtId="0" xfId="0" applyAlignment="1" applyBorder="1" applyFont="1">
      <alignment horizontal="center" readingOrder="0" vertical="bottom"/>
    </xf>
    <xf borderId="16" fillId="2" fontId="1" numFmtId="0" xfId="0" applyAlignment="1" applyBorder="1" applyFont="1">
      <alignment vertical="center"/>
    </xf>
    <xf borderId="57" fillId="0" fontId="29" numFmtId="0" xfId="0" applyAlignment="1" applyBorder="1" applyFont="1">
      <alignment vertical="center"/>
    </xf>
    <xf borderId="9" fillId="0" fontId="39" numFmtId="0" xfId="0" applyAlignment="1" applyBorder="1" applyFont="1">
      <alignment horizontal="center" vertical="center"/>
    </xf>
    <xf borderId="9" fillId="0" fontId="40" numFmtId="0" xfId="0" applyAlignment="1" applyBorder="1" applyFont="1">
      <alignment horizontal="center" readingOrder="0" vertical="center"/>
    </xf>
    <xf borderId="0" fillId="0" fontId="39" numFmtId="0" xfId="0" applyAlignment="1" applyFont="1">
      <alignment horizontal="center" readingOrder="0" vertical="center"/>
    </xf>
    <xf borderId="58" fillId="0" fontId="29" numFmtId="0" xfId="0" applyAlignment="1" applyBorder="1" applyFont="1">
      <alignment vertical="center"/>
    </xf>
    <xf borderId="21" fillId="2" fontId="29" numFmtId="0" xfId="0" applyAlignment="1" applyBorder="1" applyFont="1">
      <alignment vertical="center"/>
    </xf>
    <xf borderId="17" fillId="0" fontId="14" numFmtId="0" xfId="0" applyAlignment="1" applyBorder="1" applyFont="1">
      <alignment horizontal="center" readingOrder="0" vertical="center"/>
    </xf>
    <xf borderId="5" fillId="0" fontId="14" numFmtId="0" xfId="0" applyAlignment="1" applyBorder="1" applyFont="1">
      <alignment horizontal="left" readingOrder="0" vertical="center"/>
    </xf>
    <xf borderId="6" fillId="0" fontId="14" numFmtId="0" xfId="0" applyAlignment="1" applyBorder="1" applyFont="1">
      <alignment horizontal="center" readingOrder="0" vertical="center"/>
    </xf>
    <xf borderId="7" fillId="0" fontId="14" numFmtId="0" xfId="0" applyAlignment="1" applyBorder="1" applyFont="1">
      <alignment horizontal="center" readingOrder="0" vertical="center"/>
    </xf>
    <xf borderId="1" fillId="0" fontId="14" numFmtId="0" xfId="0" applyAlignment="1" applyBorder="1" applyFont="1">
      <alignment horizontal="center" readingOrder="0" vertical="center"/>
    </xf>
    <xf borderId="0" fillId="0" fontId="35" numFmtId="0" xfId="0" applyAlignment="1" applyFont="1">
      <alignment vertical="center"/>
    </xf>
    <xf borderId="16" fillId="2" fontId="1" numFmtId="0" xfId="0" applyAlignment="1" applyBorder="1" applyFont="1">
      <alignment vertical="bottom"/>
    </xf>
    <xf borderId="57" fillId="0" fontId="29" numFmtId="0" xfId="0" applyAlignment="1" applyBorder="1" applyFont="1">
      <alignment vertical="bottom"/>
    </xf>
    <xf borderId="0" fillId="0" fontId="3" numFmtId="0" xfId="0" applyAlignment="1" applyFont="1">
      <alignment vertical="bottom"/>
    </xf>
    <xf borderId="0" fillId="0" fontId="33" numFmtId="0" xfId="0" applyAlignment="1" applyFont="1">
      <alignment horizontal="center" readingOrder="0" vertical="bottom"/>
    </xf>
    <xf borderId="0" fillId="0" fontId="31" numFmtId="0" xfId="0" applyAlignment="1" applyFont="1">
      <alignment horizontal="center" readingOrder="0" vertical="bottom"/>
    </xf>
    <xf borderId="0" fillId="0" fontId="37" numFmtId="0" xfId="0" applyAlignment="1" applyFont="1">
      <alignment horizontal="center" readingOrder="0" vertical="bottom"/>
    </xf>
    <xf borderId="58" fillId="0" fontId="29" numFmtId="0" xfId="0" applyAlignment="1" applyBorder="1" applyFont="1">
      <alignment vertical="bottom"/>
    </xf>
    <xf borderId="0" fillId="0" fontId="40" numFmtId="0" xfId="0" applyAlignment="1" applyFont="1">
      <alignment horizontal="center" readingOrder="0" vertical="center"/>
    </xf>
    <xf borderId="0" fillId="0" fontId="16" numFmtId="0" xfId="0" applyAlignment="1" applyFont="1">
      <alignment horizontal="center" vertical="center"/>
    </xf>
    <xf borderId="0" fillId="0" fontId="16" numFmtId="0" xfId="0" applyAlignment="1" applyFont="1">
      <alignment horizontal="center" readingOrder="0" vertical="center"/>
    </xf>
    <xf borderId="59" fillId="2" fontId="1" numFmtId="0" xfId="0" applyAlignment="1" applyBorder="1" applyFont="1">
      <alignment vertical="center"/>
    </xf>
    <xf borderId="60" fillId="2" fontId="29" numFmtId="0" xfId="0" applyAlignment="1" applyBorder="1" applyFont="1">
      <alignment vertical="center"/>
    </xf>
    <xf borderId="0" fillId="2" fontId="1" numFmtId="0" xfId="0" applyFont="1"/>
    <xf borderId="61" fillId="0" fontId="29" numFmtId="0" xfId="0" applyBorder="1" applyFont="1"/>
    <xf borderId="62" fillId="0" fontId="16" numFmtId="0" xfId="0" applyAlignment="1" applyBorder="1" applyFont="1">
      <alignment horizontal="center" vertical="center"/>
    </xf>
    <xf borderId="62" fillId="0" fontId="3" numFmtId="0" xfId="0" applyBorder="1" applyFont="1"/>
    <xf borderId="62" fillId="0" fontId="31" numFmtId="0" xfId="0" applyAlignment="1" applyBorder="1" applyFont="1">
      <alignment horizontal="center" readingOrder="0" vertical="center"/>
    </xf>
    <xf borderId="63" fillId="0" fontId="29" numFmtId="0" xfId="0" applyAlignment="1" applyBorder="1" applyFont="1">
      <alignment vertical="bottom"/>
    </xf>
    <xf borderId="0" fillId="0" fontId="14" numFmtId="0" xfId="0" applyAlignment="1" applyFont="1">
      <alignment horizontal="left" readingOrder="0"/>
    </xf>
    <xf borderId="0" fillId="2" fontId="16" numFmtId="0" xfId="0" applyAlignment="1" applyFont="1">
      <alignment horizontal="center" vertical="center"/>
    </xf>
    <xf borderId="0" fillId="2" fontId="16" numFmtId="0" xfId="0" applyAlignment="1" applyFont="1">
      <alignment horizontal="center" readingOrder="0" vertical="center"/>
    </xf>
    <xf borderId="0" fillId="2" fontId="14" numFmtId="0" xfId="0" applyAlignment="1" applyFont="1">
      <alignment horizontal="left" readingOrder="0"/>
    </xf>
    <xf borderId="64" fillId="9" fontId="41" numFmtId="0" xfId="0" applyAlignment="1" applyBorder="1" applyFont="1">
      <alignment horizontal="left" readingOrder="0" shrinkToFit="0" wrapText="0"/>
    </xf>
    <xf borderId="65" fillId="9" fontId="41" numFmtId="20" xfId="0" applyAlignment="1" applyBorder="1" applyFont="1" applyNumberFormat="1">
      <alignment horizontal="center" readingOrder="0" shrinkToFit="0" wrapText="0"/>
    </xf>
    <xf borderId="65" fillId="9" fontId="41" numFmtId="164" xfId="0" applyAlignment="1" applyBorder="1" applyFont="1" applyNumberFormat="1">
      <alignment horizontal="left" readingOrder="0" shrinkToFit="0" wrapText="0"/>
    </xf>
    <xf borderId="65" fillId="9" fontId="41" numFmtId="164" xfId="0" applyAlignment="1" applyBorder="1" applyFont="1" applyNumberFormat="1">
      <alignment horizontal="right" readingOrder="0" shrinkToFit="0" wrapText="0"/>
    </xf>
    <xf borderId="65" fillId="9" fontId="41" numFmtId="0" xfId="0" applyAlignment="1" applyBorder="1" applyFont="1">
      <alignment horizontal="center" shrinkToFit="0" wrapText="0"/>
    </xf>
    <xf borderId="66" fillId="9" fontId="42" numFmtId="0" xfId="0" applyAlignment="1" applyBorder="1" applyFont="1">
      <alignment horizontal="center" shrinkToFit="0" wrapText="0"/>
    </xf>
    <xf borderId="0" fillId="0" fontId="41" numFmtId="164" xfId="0" applyAlignment="1" applyFont="1" applyNumberFormat="1">
      <alignment horizontal="right" readingOrder="0" shrinkToFit="0" wrapText="0"/>
    </xf>
    <xf borderId="64" fillId="9" fontId="41" numFmtId="164" xfId="0" applyAlignment="1" applyBorder="1" applyFont="1" applyNumberFormat="1">
      <alignment horizontal="left" readingOrder="0" shrinkToFit="0" wrapText="0"/>
    </xf>
    <xf borderId="65" fillId="9" fontId="43" numFmtId="0" xfId="0" applyAlignment="1" applyBorder="1" applyFont="1">
      <alignment vertical="bottom"/>
    </xf>
    <xf borderId="66" fillId="9" fontId="43" numFmtId="0" xfId="0" applyAlignment="1" applyBorder="1" applyFont="1">
      <alignment vertical="bottom"/>
    </xf>
    <xf borderId="67" fillId="3" fontId="44" numFmtId="164" xfId="0" applyAlignment="1" applyBorder="1" applyFont="1" applyNumberFormat="1">
      <alignment horizontal="right" readingOrder="0" shrinkToFit="0" vertical="center" wrapText="0"/>
    </xf>
    <xf borderId="0" fillId="9" fontId="44" numFmtId="0" xfId="0" applyAlignment="1" applyFont="1">
      <alignment horizontal="center" readingOrder="0" shrinkToFit="0" vertical="center" wrapText="1"/>
    </xf>
    <xf borderId="68" fillId="3" fontId="44" numFmtId="164" xfId="0" applyAlignment="1" applyBorder="1" applyFont="1" applyNumberFormat="1">
      <alignment horizontal="right" readingOrder="0" shrinkToFit="0" wrapText="0"/>
    </xf>
    <xf borderId="69" fillId="3" fontId="44" numFmtId="164" xfId="0" applyAlignment="1" applyBorder="1" applyFont="1" applyNumberFormat="1">
      <alignment horizontal="right" readingOrder="0" shrinkToFit="0" wrapText="0"/>
    </xf>
    <xf borderId="70" fillId="19" fontId="45" numFmtId="0" xfId="0" applyAlignment="1" applyBorder="1" applyFill="1" applyFont="1">
      <alignment horizontal="center" readingOrder="0"/>
    </xf>
    <xf borderId="71" fillId="19" fontId="45" numFmtId="0" xfId="0" applyAlignment="1" applyBorder="1" applyFont="1">
      <alignment horizontal="center" readingOrder="0"/>
    </xf>
    <xf borderId="69" fillId="19" fontId="45" numFmtId="0" xfId="0" applyAlignment="1" applyBorder="1" applyFont="1">
      <alignment horizontal="center" readingOrder="0"/>
    </xf>
    <xf borderId="72" fillId="0" fontId="45" numFmtId="0" xfId="0" applyBorder="1" applyFont="1"/>
    <xf borderId="0" fillId="0" fontId="44" numFmtId="164" xfId="0" applyAlignment="1" applyFont="1" applyNumberFormat="1">
      <alignment horizontal="right" readingOrder="0" shrinkToFit="0" wrapText="0"/>
    </xf>
    <xf borderId="73" fillId="3" fontId="44" numFmtId="164" xfId="0" applyAlignment="1" applyBorder="1" applyFont="1" applyNumberFormat="1">
      <alignment horizontal="right" readingOrder="0" shrinkToFit="0" vertical="center" wrapText="0"/>
    </xf>
    <xf borderId="71" fillId="0" fontId="46" numFmtId="0" xfId="0" applyBorder="1" applyFont="1"/>
    <xf borderId="74" fillId="0" fontId="46" numFmtId="0" xfId="0" applyBorder="1" applyFont="1"/>
    <xf borderId="69" fillId="0" fontId="6" numFmtId="0" xfId="0" applyBorder="1" applyFont="1"/>
    <xf borderId="75" fillId="3" fontId="44" numFmtId="164" xfId="0" applyAlignment="1" applyBorder="1" applyFont="1" applyNumberFormat="1">
      <alignment horizontal="right" readingOrder="0" shrinkToFit="0" wrapText="0"/>
    </xf>
    <xf borderId="76" fillId="3" fontId="44" numFmtId="164" xfId="0" applyAlignment="1" applyBorder="1" applyFont="1" applyNumberFormat="1">
      <alignment horizontal="right" readingOrder="0" shrinkToFit="0" wrapText="0"/>
    </xf>
    <xf borderId="77" fillId="19" fontId="47" numFmtId="0" xfId="0" applyAlignment="1" applyBorder="1" applyFont="1">
      <alignment horizontal="center" shrinkToFit="0" wrapText="0"/>
    </xf>
    <xf borderId="78" fillId="19" fontId="47" numFmtId="0" xfId="0" applyAlignment="1" applyBorder="1" applyFont="1">
      <alignment horizontal="center" shrinkToFit="0" wrapText="0"/>
    </xf>
    <xf borderId="76" fillId="19" fontId="47" numFmtId="0" xfId="0" applyAlignment="1" applyBorder="1" applyFont="1">
      <alignment horizontal="center" shrinkToFit="0" wrapText="0"/>
    </xf>
    <xf borderId="67" fillId="19" fontId="47" numFmtId="0" xfId="0" applyAlignment="1" applyBorder="1" applyFont="1">
      <alignment horizontal="center" shrinkToFit="0" wrapText="0"/>
    </xf>
    <xf borderId="79" fillId="19" fontId="48" numFmtId="0" xfId="0" applyAlignment="1" applyBorder="1" applyFont="1">
      <alignment horizontal="center" shrinkToFit="0" wrapText="0"/>
    </xf>
    <xf borderId="80" fillId="3" fontId="44" numFmtId="0" xfId="0" applyAlignment="1" applyBorder="1" applyFont="1">
      <alignment horizontal="right" readingOrder="0" shrinkToFit="0" vertical="bottom" wrapText="0"/>
    </xf>
    <xf borderId="65" fillId="3" fontId="44" numFmtId="0" xfId="0" applyAlignment="1" applyBorder="1" applyFont="1">
      <alignment horizontal="center" readingOrder="0" shrinkToFit="0" vertical="bottom" wrapText="0"/>
    </xf>
    <xf borderId="81" fillId="3" fontId="49" numFmtId="164" xfId="0" applyAlignment="1" applyBorder="1" applyFont="1" applyNumberFormat="1">
      <alignment horizontal="center" readingOrder="0" shrinkToFit="0" vertical="center" wrapText="1"/>
    </xf>
    <xf borderId="82" fillId="3" fontId="49" numFmtId="0" xfId="0" applyAlignment="1" applyBorder="1" applyFont="1">
      <alignment horizontal="center" readingOrder="0" shrinkToFit="0" vertical="center" wrapText="1"/>
    </xf>
    <xf borderId="83" fillId="4" fontId="50" numFmtId="0" xfId="0" applyAlignment="1" applyBorder="1" applyFont="1">
      <alignment horizontal="center" shrinkToFit="0" wrapText="0"/>
    </xf>
    <xf borderId="84" fillId="4" fontId="50" numFmtId="0" xfId="0" applyAlignment="1" applyBorder="1" applyFont="1">
      <alignment horizontal="center" shrinkToFit="0" wrapText="0"/>
    </xf>
    <xf borderId="85" fillId="4" fontId="50" numFmtId="0" xfId="0" applyAlignment="1" applyBorder="1" applyFont="1">
      <alignment horizontal="center" shrinkToFit="0" wrapText="0"/>
    </xf>
    <xf borderId="66" fillId="19" fontId="51" numFmtId="0" xfId="0" applyAlignment="1" applyBorder="1" applyFont="1">
      <alignment horizontal="center" readingOrder="0" shrinkToFit="0" vertical="bottom" wrapText="0"/>
    </xf>
    <xf borderId="0" fillId="0" fontId="44" numFmtId="0" xfId="0" applyAlignment="1" applyFont="1">
      <alignment horizontal="center" readingOrder="0" shrinkToFit="0" vertical="center" wrapText="0"/>
    </xf>
    <xf borderId="86" fillId="19" fontId="49" numFmtId="0" xfId="0" applyAlignment="1" applyBorder="1" applyFont="1">
      <alignment horizontal="center" readingOrder="0" shrinkToFit="0" vertical="center" wrapText="1"/>
    </xf>
    <xf borderId="85" fillId="19" fontId="49" numFmtId="0" xfId="0" applyAlignment="1" applyBorder="1" applyFont="1">
      <alignment horizontal="center" readingOrder="0" shrinkToFit="0" vertical="center" wrapText="1"/>
    </xf>
    <xf borderId="0" fillId="0" fontId="52" numFmtId="0" xfId="0" applyAlignment="1" applyFont="1">
      <alignment horizontal="center" shrinkToFit="0" wrapText="0"/>
    </xf>
    <xf borderId="0" fillId="0" fontId="52" numFmtId="164" xfId="0" applyAlignment="1" applyFont="1" applyNumberFormat="1">
      <alignment horizontal="center" shrinkToFit="0" wrapText="0"/>
    </xf>
    <xf borderId="0" fillId="0" fontId="52" numFmtId="0" xfId="0" applyAlignment="1" applyFont="1">
      <alignment horizontal="center" readingOrder="0" shrinkToFit="0" wrapText="0"/>
    </xf>
    <xf borderId="0" fillId="0" fontId="52" numFmtId="3" xfId="0" applyAlignment="1" applyFont="1" applyNumberFormat="1">
      <alignment horizontal="right"/>
    </xf>
    <xf borderId="0" fillId="0" fontId="48" numFmtId="0" xfId="0" applyAlignment="1" applyFont="1">
      <alignment horizontal="right" shrinkToFit="0" wrapText="0"/>
    </xf>
    <xf borderId="0" fillId="0" fontId="52" numFmtId="0" xfId="0" applyAlignment="1" applyFont="1">
      <alignment horizontal="right" shrinkToFit="0" wrapText="0"/>
    </xf>
    <xf borderId="0" fillId="0" fontId="52" numFmtId="165" xfId="0" applyAlignment="1" applyFont="1" applyNumberFormat="1">
      <alignment horizontal="center" shrinkToFit="0" wrapText="0"/>
    </xf>
    <xf borderId="87" fillId="3" fontId="52" numFmtId="0" xfId="0" applyAlignment="1" applyBorder="1" applyFont="1">
      <alignment horizontal="center" shrinkToFit="0" wrapText="0"/>
    </xf>
    <xf borderId="88" fillId="3" fontId="52" numFmtId="0" xfId="0" applyAlignment="1" applyBorder="1" applyFont="1">
      <alignment horizontal="center" shrinkToFit="0" wrapText="0"/>
    </xf>
    <xf borderId="89" fillId="3" fontId="52" numFmtId="164" xfId="0" applyAlignment="1" applyBorder="1" applyFont="1" applyNumberFormat="1">
      <alignment horizontal="center" shrinkToFit="0" wrapText="0"/>
    </xf>
    <xf borderId="90" fillId="3" fontId="52" numFmtId="0" xfId="0" applyAlignment="1" applyBorder="1" applyFont="1">
      <alignment horizontal="center" readingOrder="0" shrinkToFit="0" wrapText="0"/>
    </xf>
    <xf borderId="89" fillId="3" fontId="53" numFmtId="3" xfId="0" applyAlignment="1" applyBorder="1" applyFont="1" applyNumberFormat="1">
      <alignment horizontal="right"/>
    </xf>
    <xf borderId="91" fillId="3" fontId="53" numFmtId="3" xfId="0" applyAlignment="1" applyBorder="1" applyFont="1" applyNumberFormat="1">
      <alignment horizontal="right"/>
    </xf>
    <xf borderId="88" fillId="3" fontId="53" numFmtId="3" xfId="0" applyAlignment="1" applyBorder="1" applyFont="1" applyNumberFormat="1">
      <alignment horizontal="right"/>
    </xf>
    <xf borderId="92" fillId="9" fontId="54" numFmtId="0" xfId="0" applyAlignment="1" applyBorder="1" applyFont="1">
      <alignment horizontal="right" shrinkToFit="0" wrapText="0"/>
    </xf>
    <xf borderId="0" fillId="0" fontId="53" numFmtId="0" xfId="0" applyAlignment="1" applyFont="1">
      <alignment horizontal="right" shrinkToFit="0" wrapText="0"/>
    </xf>
    <xf borderId="93" fillId="3" fontId="53" numFmtId="0" xfId="0" applyAlignment="1" applyBorder="1" applyFont="1">
      <alignment horizontal="right" shrinkToFit="0" wrapText="0"/>
    </xf>
    <xf borderId="92" fillId="9" fontId="52" numFmtId="0" xfId="0" applyAlignment="1" applyBorder="1" applyFont="1">
      <alignment horizontal="center" shrinkToFit="0" wrapText="0"/>
    </xf>
    <xf borderId="94" fillId="9" fontId="52" numFmtId="165" xfId="0" applyAlignment="1" applyBorder="1" applyFont="1" applyNumberFormat="1">
      <alignment horizontal="center" shrinkToFit="0" wrapText="0"/>
    </xf>
    <xf borderId="95" fillId="9" fontId="52" numFmtId="165" xfId="0" applyAlignment="1" applyBorder="1" applyFont="1" applyNumberFormat="1">
      <alignment horizontal="center" shrinkToFit="0" wrapText="0"/>
    </xf>
    <xf borderId="96" fillId="3" fontId="44" numFmtId="0" xfId="0" applyAlignment="1" applyBorder="1" applyFont="1">
      <alignment horizontal="right" readingOrder="0" shrinkToFit="0" vertical="center" wrapText="0"/>
    </xf>
    <xf borderId="0" fillId="3" fontId="44" numFmtId="0" xfId="0" applyAlignment="1" applyFont="1">
      <alignment horizontal="center" readingOrder="0" shrinkToFit="0" vertical="center" wrapText="0"/>
    </xf>
    <xf borderId="97" fillId="3" fontId="55" numFmtId="49" xfId="0" applyAlignment="1" applyBorder="1" applyFont="1" applyNumberFormat="1">
      <alignment horizontal="center" shrinkToFit="0" vertical="center" wrapText="0"/>
    </xf>
    <xf borderId="98" fillId="3" fontId="55" numFmtId="49" xfId="0" applyAlignment="1" applyBorder="1" applyFont="1" applyNumberFormat="1">
      <alignment horizontal="center" readingOrder="0" shrinkToFit="0" vertical="center" wrapText="0"/>
    </xf>
    <xf borderId="97" fillId="3" fontId="56" numFmtId="3" xfId="0" applyAlignment="1" applyBorder="1" applyFont="1" applyNumberFormat="1">
      <alignment horizontal="center" readingOrder="0" shrinkToFit="0" vertical="center" wrapText="0"/>
    </xf>
    <xf borderId="99" fillId="3" fontId="56" numFmtId="3" xfId="0" applyAlignment="1" applyBorder="1" applyFont="1" applyNumberFormat="1">
      <alignment horizontal="center" readingOrder="0" shrinkToFit="0" vertical="center" wrapText="0"/>
    </xf>
    <xf borderId="0" fillId="3" fontId="56" numFmtId="3" xfId="0" applyAlignment="1" applyFont="1" applyNumberFormat="1">
      <alignment horizontal="center" readingOrder="0" shrinkToFit="0" vertical="center" wrapText="0"/>
    </xf>
    <xf borderId="96" fillId="9" fontId="56" numFmtId="3" xfId="0" applyAlignment="1" applyBorder="1" applyFont="1" applyNumberFormat="1">
      <alignment horizontal="center" shrinkToFit="0" vertical="center" wrapText="0"/>
    </xf>
    <xf borderId="0" fillId="0" fontId="44" numFmtId="0" xfId="0" applyAlignment="1" applyFont="1">
      <alignment horizontal="right" shrinkToFit="0" vertical="center" wrapText="0"/>
    </xf>
    <xf borderId="97" fillId="3" fontId="44" numFmtId="0" xfId="0" applyAlignment="1" applyBorder="1" applyFont="1">
      <alignment horizontal="right" shrinkToFit="0" vertical="center" wrapText="0"/>
    </xf>
    <xf borderId="96" fillId="9" fontId="56" numFmtId="0" xfId="0" applyAlignment="1" applyBorder="1" applyFont="1">
      <alignment horizontal="center" shrinkToFit="0" vertical="center" wrapText="0"/>
    </xf>
    <xf borderId="0" fillId="9" fontId="56" numFmtId="0" xfId="0" applyAlignment="1" applyFont="1">
      <alignment horizontal="center" shrinkToFit="0" vertical="center" wrapText="0"/>
    </xf>
    <xf borderId="100" fillId="9" fontId="56" numFmtId="49" xfId="0" applyAlignment="1" applyBorder="1" applyFont="1" applyNumberFormat="1">
      <alignment horizontal="center" shrinkToFit="0" vertical="center" wrapText="0"/>
    </xf>
    <xf borderId="101" fillId="3" fontId="41" numFmtId="0" xfId="0" applyAlignment="1" applyBorder="1" applyFont="1">
      <alignment horizontal="right" readingOrder="0" shrinkToFit="0" vertical="center" wrapText="0"/>
    </xf>
    <xf borderId="102" fillId="3" fontId="44" numFmtId="0" xfId="0" applyAlignment="1" applyBorder="1" applyFont="1">
      <alignment horizontal="center" readingOrder="0" shrinkToFit="0" vertical="center" wrapText="0"/>
    </xf>
    <xf borderId="103" fillId="3" fontId="55" numFmtId="1" xfId="0" applyAlignment="1" applyBorder="1" applyFont="1" applyNumberFormat="1">
      <alignment horizontal="center" shrinkToFit="0" vertical="center" wrapText="0"/>
    </xf>
    <xf borderId="104" fillId="3" fontId="55" numFmtId="49" xfId="0" applyAlignment="1" applyBorder="1" applyFont="1" applyNumberFormat="1">
      <alignment horizontal="center" readingOrder="0" shrinkToFit="0" vertical="center" wrapText="0"/>
    </xf>
    <xf borderId="103" fillId="3" fontId="56" numFmtId="3" xfId="0" applyAlignment="1" applyBorder="1" applyFont="1" applyNumberFormat="1">
      <alignment horizontal="center" readingOrder="0" shrinkToFit="0" vertical="center" wrapText="0"/>
    </xf>
    <xf borderId="105" fillId="3" fontId="56" numFmtId="3" xfId="0" applyAlignment="1" applyBorder="1" applyFont="1" applyNumberFormat="1">
      <alignment horizontal="center" readingOrder="0" shrinkToFit="0" vertical="center" wrapText="0"/>
    </xf>
    <xf borderId="102" fillId="3" fontId="56" numFmtId="3" xfId="0" applyAlignment="1" applyBorder="1" applyFont="1" applyNumberFormat="1">
      <alignment horizontal="center" readingOrder="0" shrinkToFit="0" vertical="center" wrapText="0"/>
    </xf>
    <xf borderId="106" fillId="9" fontId="56" numFmtId="3" xfId="0" applyAlignment="1" applyBorder="1" applyFont="1" applyNumberFormat="1">
      <alignment horizontal="center" shrinkToFit="0" vertical="center" wrapText="0"/>
    </xf>
    <xf borderId="103" fillId="3" fontId="41" numFmtId="0" xfId="0" applyAlignment="1" applyBorder="1" applyFont="1">
      <alignment horizontal="right" shrinkToFit="0" vertical="center" wrapText="0"/>
    </xf>
    <xf borderId="107" fillId="9" fontId="56" numFmtId="3" xfId="0" applyAlignment="1" applyBorder="1" applyFont="1" applyNumberFormat="1">
      <alignment horizontal="center" shrinkToFit="0" vertical="center" wrapText="0"/>
    </xf>
    <xf borderId="108" fillId="9" fontId="56" numFmtId="49" xfId="0" applyAlignment="1" applyBorder="1" applyFont="1" applyNumberFormat="1">
      <alignment horizontal="center" shrinkToFit="0" vertical="center" wrapText="0"/>
    </xf>
    <xf borderId="96" fillId="3" fontId="41" numFmtId="0" xfId="0" applyAlignment="1" applyBorder="1" applyFont="1">
      <alignment horizontal="right" shrinkToFit="0" vertical="center" wrapText="0"/>
    </xf>
    <xf borderId="109" fillId="3" fontId="52" numFmtId="0" xfId="0" applyAlignment="1" applyBorder="1" applyFont="1">
      <alignment horizontal="center" shrinkToFit="0" vertical="center" wrapText="0"/>
    </xf>
    <xf borderId="110" fillId="3" fontId="57" numFmtId="1" xfId="0" applyAlignment="1" applyBorder="1" applyFont="1" applyNumberFormat="1">
      <alignment horizontal="center" shrinkToFit="0" wrapText="0"/>
    </xf>
    <xf borderId="98" fillId="3" fontId="57" numFmtId="0" xfId="0" applyAlignment="1" applyBorder="1" applyFont="1">
      <alignment horizontal="center" readingOrder="0" shrinkToFit="0" wrapText="0"/>
    </xf>
    <xf borderId="111" fillId="3" fontId="53" numFmtId="3" xfId="0" applyAlignment="1" applyBorder="1" applyFont="1" applyNumberFormat="1">
      <alignment horizontal="right"/>
    </xf>
    <xf borderId="112" fillId="3" fontId="53" numFmtId="3" xfId="0" applyAlignment="1" applyBorder="1" applyFont="1" applyNumberFormat="1">
      <alignment horizontal="right"/>
    </xf>
    <xf borderId="113" fillId="3" fontId="53" numFmtId="3" xfId="0" applyAlignment="1" applyBorder="1" applyFont="1" applyNumberFormat="1">
      <alignment horizontal="right"/>
    </xf>
    <xf borderId="114" fillId="9" fontId="58" numFmtId="0" xfId="0" applyAlignment="1" applyBorder="1" applyFont="1">
      <alignment horizontal="right" shrinkToFit="0" vertical="bottom" wrapText="0"/>
    </xf>
    <xf borderId="97" fillId="3" fontId="59" numFmtId="0" xfId="0" applyAlignment="1" applyBorder="1" applyFont="1">
      <alignment horizontal="right" shrinkToFit="0" vertical="center" wrapText="0"/>
    </xf>
    <xf borderId="114" fillId="9" fontId="42" numFmtId="0" xfId="0" applyAlignment="1" applyBorder="1" applyFont="1">
      <alignment horizontal="right" shrinkToFit="0" vertical="bottom" wrapText="0"/>
    </xf>
    <xf borderId="115" fillId="9" fontId="42" numFmtId="165" xfId="0" applyAlignment="1" applyBorder="1" applyFont="1" applyNumberFormat="1">
      <alignment horizontal="right" shrinkToFit="0" vertical="bottom" wrapText="0"/>
    </xf>
    <xf borderId="116" fillId="9" fontId="56" numFmtId="165" xfId="0" applyAlignment="1" applyBorder="1" applyFont="1" applyNumberFormat="1">
      <alignment horizontal="center" shrinkToFit="0" vertical="center" wrapText="0"/>
    </xf>
    <xf borderId="96" fillId="3" fontId="41" numFmtId="0" xfId="0" applyAlignment="1" applyBorder="1" applyFont="1">
      <alignment horizontal="right" readingOrder="0" shrinkToFit="0" vertical="center" wrapText="0"/>
    </xf>
    <xf borderId="109" fillId="3" fontId="44" numFmtId="0" xfId="0" applyAlignment="1" applyBorder="1" applyFont="1">
      <alignment horizontal="center" readingOrder="0" shrinkToFit="0" vertical="center" wrapText="0"/>
    </xf>
    <xf borderId="97" fillId="3" fontId="55" numFmtId="1" xfId="0" applyAlignment="1" applyBorder="1" applyFont="1" applyNumberFormat="1">
      <alignment horizontal="center" shrinkToFit="0" vertical="center" wrapText="0"/>
    </xf>
    <xf borderId="97" fillId="3" fontId="41" numFmtId="0" xfId="0" applyAlignment="1" applyBorder="1" applyFont="1">
      <alignment horizontal="right" shrinkToFit="0" vertical="center" wrapText="0"/>
    </xf>
    <xf borderId="117" fillId="3" fontId="41" numFmtId="0" xfId="0" applyAlignment="1" applyBorder="1" applyFont="1">
      <alignment horizontal="right" readingOrder="0" shrinkToFit="0" vertical="center" wrapText="0"/>
    </xf>
    <xf borderId="118" fillId="3" fontId="44" numFmtId="0" xfId="0" applyAlignment="1" applyBorder="1" applyFont="1">
      <alignment horizontal="center" readingOrder="0" shrinkToFit="0" vertical="center" wrapText="0"/>
    </xf>
    <xf borderId="119" fillId="19" fontId="41" numFmtId="0" xfId="0" applyAlignment="1" applyBorder="1" applyFont="1">
      <alignment horizontal="right" shrinkToFit="0" vertical="center" wrapText="0"/>
    </xf>
    <xf borderId="113" fillId="19" fontId="52" numFmtId="0" xfId="0" applyAlignment="1" applyBorder="1" applyFont="1">
      <alignment horizontal="center" shrinkToFit="0" vertical="center" wrapText="0"/>
    </xf>
    <xf borderId="111" fillId="19" fontId="57" numFmtId="1" xfId="0" applyAlignment="1" applyBorder="1" applyFont="1" applyNumberFormat="1">
      <alignment horizontal="center" shrinkToFit="0" wrapText="0"/>
    </xf>
    <xf borderId="120" fillId="19" fontId="57" numFmtId="0" xfId="0" applyAlignment="1" applyBorder="1" applyFont="1">
      <alignment horizontal="center" readingOrder="0" shrinkToFit="0" wrapText="0"/>
    </xf>
    <xf borderId="111" fillId="19" fontId="53" numFmtId="3" xfId="0" applyAlignment="1" applyBorder="1" applyFont="1" applyNumberFormat="1">
      <alignment horizontal="right" shrinkToFit="0" wrapText="0"/>
    </xf>
    <xf borderId="112" fillId="19" fontId="53" numFmtId="3" xfId="0" applyAlignment="1" applyBorder="1" applyFont="1" applyNumberFormat="1">
      <alignment horizontal="right" shrinkToFit="0" wrapText="0"/>
    </xf>
    <xf borderId="113" fillId="19" fontId="53" numFmtId="3" xfId="0" applyAlignment="1" applyBorder="1" applyFont="1" applyNumberFormat="1">
      <alignment horizontal="right" shrinkToFit="0" wrapText="0"/>
    </xf>
    <xf borderId="119" fillId="9" fontId="58" numFmtId="0" xfId="0" applyAlignment="1" applyBorder="1" applyFont="1">
      <alignment horizontal="right" shrinkToFit="0" vertical="bottom" wrapText="0"/>
    </xf>
    <xf borderId="121" fillId="19" fontId="59" numFmtId="0" xfId="0" applyAlignment="1" applyBorder="1" applyFont="1">
      <alignment horizontal="right" shrinkToFit="0" vertical="center" wrapText="0"/>
    </xf>
    <xf borderId="119" fillId="9" fontId="42" numFmtId="0" xfId="0" applyAlignment="1" applyBorder="1" applyFont="1">
      <alignment horizontal="right" shrinkToFit="0" vertical="bottom" wrapText="0"/>
    </xf>
    <xf borderId="113" fillId="9" fontId="42" numFmtId="165" xfId="0" applyAlignment="1" applyBorder="1" applyFont="1" applyNumberFormat="1">
      <alignment horizontal="right" shrinkToFit="0" vertical="bottom" wrapText="0"/>
    </xf>
    <xf borderId="122" fillId="9" fontId="56" numFmtId="165" xfId="0" applyAlignment="1" applyBorder="1" applyFont="1" applyNumberFormat="1">
      <alignment horizontal="center" shrinkToFit="0" vertical="center" wrapText="0"/>
    </xf>
    <xf borderId="96" fillId="19" fontId="41" numFmtId="0" xfId="0" applyAlignment="1" applyBorder="1" applyFont="1">
      <alignment horizontal="right" readingOrder="0" shrinkToFit="0" vertical="center" wrapText="0"/>
    </xf>
    <xf borderId="109" fillId="19" fontId="44" numFmtId="0" xfId="0" applyAlignment="1" applyBorder="1" applyFont="1">
      <alignment horizontal="center" readingOrder="0" shrinkToFit="0" vertical="center" wrapText="0"/>
    </xf>
    <xf borderId="110" fillId="19" fontId="55" numFmtId="1" xfId="0" applyAlignment="1" applyBorder="1" applyFont="1" applyNumberFormat="1">
      <alignment horizontal="center" shrinkToFit="0" vertical="center" wrapText="0"/>
    </xf>
    <xf borderId="98" fillId="19" fontId="55" numFmtId="49" xfId="0" applyAlignment="1" applyBorder="1" applyFont="1" applyNumberFormat="1">
      <alignment horizontal="center" readingOrder="0" shrinkToFit="0" vertical="center" wrapText="0"/>
    </xf>
    <xf borderId="110" fillId="19" fontId="56" numFmtId="3" xfId="0" applyAlignment="1" applyBorder="1" applyFont="1" applyNumberFormat="1">
      <alignment horizontal="center" readingOrder="0" shrinkToFit="0" vertical="center" wrapText="0"/>
    </xf>
    <xf borderId="99" fillId="19" fontId="56" numFmtId="3" xfId="0" applyAlignment="1" applyBorder="1" applyFont="1" applyNumberFormat="1">
      <alignment horizontal="center" readingOrder="0" shrinkToFit="0" vertical="center" wrapText="0"/>
    </xf>
    <xf borderId="109" fillId="19" fontId="56" numFmtId="3" xfId="0" applyAlignment="1" applyBorder="1" applyFont="1" applyNumberFormat="1">
      <alignment horizontal="center" readingOrder="0" shrinkToFit="0" vertical="center" wrapText="0"/>
    </xf>
    <xf borderId="97" fillId="19" fontId="41" numFmtId="0" xfId="0" applyAlignment="1" applyBorder="1" applyFont="1">
      <alignment horizontal="right" shrinkToFit="0" vertical="center" wrapText="0"/>
    </xf>
    <xf borderId="109" fillId="9" fontId="56" numFmtId="0" xfId="0" applyAlignment="1" applyBorder="1" applyFont="1">
      <alignment horizontal="center" shrinkToFit="0" vertical="center" wrapText="0"/>
    </xf>
    <xf borderId="123" fillId="19" fontId="41" numFmtId="0" xfId="0" applyAlignment="1" applyBorder="1" applyFont="1">
      <alignment horizontal="right" readingOrder="0" shrinkToFit="0" vertical="center" wrapText="0"/>
    </xf>
    <xf borderId="124" fillId="19" fontId="44" numFmtId="0" xfId="0" applyAlignment="1" applyBorder="1" applyFont="1">
      <alignment horizontal="center" readingOrder="0" shrinkToFit="0" vertical="center" wrapText="0"/>
    </xf>
    <xf borderId="125" fillId="19" fontId="55" numFmtId="1" xfId="0" applyAlignment="1" applyBorder="1" applyFont="1" applyNumberFormat="1">
      <alignment horizontal="center" shrinkToFit="0" vertical="center" wrapText="0"/>
    </xf>
    <xf borderId="126" fillId="19" fontId="55" numFmtId="49" xfId="0" applyAlignment="1" applyBorder="1" applyFont="1" applyNumberFormat="1">
      <alignment horizontal="center" readingOrder="0" shrinkToFit="0" vertical="center" wrapText="0"/>
    </xf>
    <xf borderId="127" fillId="19" fontId="56" numFmtId="3" xfId="0" applyAlignment="1" applyBorder="1" applyFont="1" applyNumberFormat="1">
      <alignment horizontal="center" readingOrder="0" shrinkToFit="0" vertical="center" wrapText="0"/>
    </xf>
    <xf borderId="128" fillId="19" fontId="56" numFmtId="3" xfId="0" applyAlignment="1" applyBorder="1" applyFont="1" applyNumberFormat="1">
      <alignment horizontal="center" readingOrder="0" shrinkToFit="0" vertical="center" wrapText="0"/>
    </xf>
    <xf borderId="129" fillId="19" fontId="56" numFmtId="3" xfId="0" applyAlignment="1" applyBorder="1" applyFont="1" applyNumberFormat="1">
      <alignment horizontal="center" readingOrder="0" shrinkToFit="0" vertical="center" wrapText="0"/>
    </xf>
    <xf borderId="127" fillId="19" fontId="41" numFmtId="0" xfId="0" applyAlignment="1" applyBorder="1" applyFont="1">
      <alignment horizontal="right" shrinkToFit="0" vertical="center" wrapText="0"/>
    </xf>
    <xf borderId="130" fillId="9" fontId="56" numFmtId="3" xfId="0" applyAlignment="1" applyBorder="1" applyFont="1" applyNumberFormat="1">
      <alignment horizontal="center" shrinkToFit="0" vertical="center" wrapText="0"/>
    </xf>
    <xf borderId="113" fillId="9" fontId="56" numFmtId="165" xfId="0" applyAlignment="1" applyBorder="1" applyFont="1" applyNumberFormat="1">
      <alignment horizontal="center" shrinkToFit="0" vertical="center" wrapText="0"/>
    </xf>
    <xf borderId="131" fillId="19" fontId="41" numFmtId="0" xfId="0" applyAlignment="1" applyBorder="1" applyFont="1">
      <alignment horizontal="right" readingOrder="0" shrinkToFit="0" vertical="center" wrapText="0"/>
    </xf>
    <xf borderId="132" fillId="19" fontId="44" numFmtId="0" xfId="0" applyAlignment="1" applyBorder="1" applyFont="1">
      <alignment horizontal="center" readingOrder="0" shrinkToFit="0" vertical="center" wrapText="0"/>
    </xf>
    <xf borderId="133" fillId="19" fontId="55" numFmtId="49" xfId="0" applyAlignment="1" applyBorder="1" applyFont="1" applyNumberFormat="1">
      <alignment horizontal="center" readingOrder="0" shrinkToFit="0" vertical="center" wrapText="0"/>
    </xf>
    <xf borderId="134" fillId="19" fontId="55" numFmtId="49" xfId="0" applyAlignment="1" applyBorder="1" applyFont="1" applyNumberFormat="1">
      <alignment horizontal="center" readingOrder="0" shrinkToFit="0" vertical="center" wrapText="0"/>
    </xf>
    <xf borderId="135" fillId="19" fontId="56" numFmtId="3" xfId="0" applyAlignment="1" applyBorder="1" applyFont="1" applyNumberFormat="1">
      <alignment horizontal="center" readingOrder="0" shrinkToFit="0" vertical="center" wrapText="0"/>
    </xf>
    <xf borderId="136" fillId="19" fontId="56" numFmtId="3" xfId="0" applyAlignment="1" applyBorder="1" applyFont="1" applyNumberFormat="1">
      <alignment horizontal="center" readingOrder="0" shrinkToFit="0" vertical="center" wrapText="0"/>
    </xf>
    <xf borderId="137" fillId="19" fontId="56" numFmtId="3" xfId="0" applyAlignment="1" applyBorder="1" applyFont="1" applyNumberFormat="1">
      <alignment horizontal="center" readingOrder="0" shrinkToFit="0" vertical="center" wrapText="0"/>
    </xf>
    <xf borderId="138" fillId="9" fontId="56" numFmtId="3" xfId="0" applyAlignment="1" applyBorder="1" applyFont="1" applyNumberFormat="1">
      <alignment horizontal="center" shrinkToFit="0" vertical="center" wrapText="0"/>
    </xf>
    <xf borderId="135" fillId="19" fontId="41" numFmtId="0" xfId="0" applyAlignment="1" applyBorder="1" applyFont="1">
      <alignment horizontal="right" shrinkToFit="0" vertical="center" wrapText="0"/>
    </xf>
    <xf borderId="139" fillId="9" fontId="56" numFmtId="3" xfId="0" applyAlignment="1" applyBorder="1" applyFont="1" applyNumberFormat="1">
      <alignment horizontal="center" shrinkToFit="0" vertical="center" wrapText="0"/>
    </xf>
    <xf borderId="140" fillId="9" fontId="56" numFmtId="49" xfId="0" applyAlignment="1" applyBorder="1" applyFont="1" applyNumberFormat="1">
      <alignment horizontal="center" shrinkToFit="0" vertical="center" wrapText="0"/>
    </xf>
    <xf borderId="65" fillId="3" fontId="43" numFmtId="0" xfId="0" applyAlignment="1" applyBorder="1" applyFont="1">
      <alignment vertical="bottom"/>
    </xf>
    <xf borderId="65" fillId="3" fontId="60" numFmtId="0" xfId="0" applyAlignment="1" applyBorder="1" applyFont="1">
      <alignment vertical="bottom"/>
    </xf>
    <xf borderId="65" fillId="3" fontId="60" numFmtId="164" xfId="0" applyAlignment="1" applyBorder="1" applyFont="1" applyNumberFormat="1">
      <alignment vertical="bottom"/>
    </xf>
    <xf borderId="65" fillId="3" fontId="60" numFmtId="0" xfId="0" applyAlignment="1" applyBorder="1" applyFont="1">
      <alignment vertical="bottom"/>
    </xf>
    <xf borderId="65" fillId="3" fontId="61" numFmtId="0" xfId="0" applyAlignment="1" applyBorder="1" applyFont="1">
      <alignment horizontal="center" vertical="center"/>
    </xf>
    <xf borderId="0" fillId="0" fontId="60" numFmtId="0" xfId="0" applyAlignment="1" applyFont="1">
      <alignment vertical="bottom"/>
    </xf>
    <xf borderId="141" fillId="3" fontId="60" numFmtId="0" xfId="0" applyAlignment="1" applyBorder="1" applyFont="1">
      <alignment vertical="bottom"/>
    </xf>
    <xf borderId="65" fillId="3" fontId="61" numFmtId="165" xfId="0" applyAlignment="1" applyBorder="1" applyFont="1" applyNumberFormat="1">
      <alignment horizontal="center" readingOrder="0" vertical="center"/>
    </xf>
    <xf borderId="142" fillId="9" fontId="62" numFmtId="0" xfId="0" applyAlignment="1" applyBorder="1" applyFont="1">
      <alignment horizontal="center" readingOrder="0" shrinkToFit="0" vertical="center" wrapText="1"/>
    </xf>
    <xf borderId="143" fillId="9" fontId="41" numFmtId="0" xfId="0" applyAlignment="1" applyBorder="1" applyFont="1">
      <alignment horizontal="center" readingOrder="0" shrinkToFit="0" vertical="center" wrapText="1"/>
    </xf>
    <xf borderId="144" fillId="9" fontId="50" numFmtId="164" xfId="0" applyAlignment="1" applyBorder="1" applyFont="1" applyNumberFormat="1">
      <alignment horizontal="center" shrinkToFit="0" vertical="center" wrapText="0"/>
    </xf>
    <xf borderId="143" fillId="9" fontId="47" numFmtId="0" xfId="0" applyAlignment="1" applyBorder="1" applyFont="1">
      <alignment horizontal="center" readingOrder="0" shrinkToFit="0" vertical="center" wrapText="0"/>
    </xf>
    <xf borderId="144" fillId="9" fontId="47" numFmtId="0" xfId="0" applyAlignment="1" applyBorder="1" applyFont="1">
      <alignment horizontal="center" shrinkToFit="0" vertical="center" wrapText="0"/>
    </xf>
    <xf borderId="145" fillId="9" fontId="47" numFmtId="0" xfId="0" applyAlignment="1" applyBorder="1" applyFont="1">
      <alignment horizontal="center" shrinkToFit="0" vertical="center" wrapText="0"/>
    </xf>
    <xf borderId="146" fillId="9" fontId="50" numFmtId="0" xfId="0" applyAlignment="1" applyBorder="1" applyFont="1">
      <alignment horizontal="center" shrinkToFit="0" vertical="center" wrapText="0"/>
    </xf>
    <xf borderId="0" fillId="0" fontId="60" numFmtId="0" xfId="0" applyFont="1"/>
    <xf borderId="96" fillId="9" fontId="41" numFmtId="0" xfId="0" applyAlignment="1" applyBorder="1" applyFont="1">
      <alignment horizontal="center" readingOrder="0" shrinkToFit="0" vertical="center" wrapText="1"/>
    </xf>
    <xf borderId="0" fillId="9" fontId="47" numFmtId="0" xfId="0" applyAlignment="1" applyFont="1">
      <alignment horizontal="center" shrinkToFit="0" vertical="center" wrapText="0"/>
    </xf>
    <xf borderId="99" fillId="9" fontId="47" numFmtId="0" xfId="0" applyAlignment="1" applyBorder="1" applyFont="1">
      <alignment horizontal="center" shrinkToFit="0" vertical="center" wrapText="0"/>
    </xf>
    <xf borderId="147" fillId="9" fontId="50" numFmtId="0" xfId="0" applyAlignment="1" applyBorder="1" applyFont="1">
      <alignment horizontal="center" shrinkToFit="0" vertical="center" wrapText="0"/>
    </xf>
    <xf borderId="0" fillId="3" fontId="61" numFmtId="0" xfId="0" applyAlignment="1" applyFont="1">
      <alignment vertical="center"/>
    </xf>
    <xf borderId="80" fillId="9" fontId="50" numFmtId="0" xfId="0" applyAlignment="1" applyBorder="1" applyFont="1">
      <alignment horizontal="center" vertical="center"/>
    </xf>
    <xf borderId="0" fillId="3" fontId="60" numFmtId="0" xfId="0" applyFont="1"/>
    <xf borderId="0" fillId="3" fontId="60" numFmtId="164" xfId="0" applyFont="1" applyNumberFormat="1"/>
    <xf borderId="0" fillId="3" fontId="60" numFmtId="0" xfId="0" applyFont="1"/>
    <xf borderId="148" fillId="9" fontId="41" numFmtId="0" xfId="0" applyAlignment="1" applyBorder="1" applyFont="1">
      <alignment horizontal="center" readingOrder="0" shrinkToFit="0" vertical="center" wrapText="1"/>
    </xf>
    <xf borderId="149" fillId="9" fontId="47" numFmtId="0" xfId="0" applyAlignment="1" applyBorder="1" applyFont="1">
      <alignment horizontal="center" shrinkToFit="0" vertical="center" wrapText="0"/>
    </xf>
    <xf borderId="150" fillId="9" fontId="47" numFmtId="0" xfId="0" applyAlignment="1" applyBorder="1" applyFont="1">
      <alignment horizontal="center" shrinkToFit="0" vertical="center" wrapText="0"/>
    </xf>
    <xf borderId="151" fillId="9" fontId="50" numFmtId="0" xfId="0" applyAlignment="1" applyBorder="1" applyFont="1">
      <alignment horizontal="center" shrinkToFit="0" vertical="center" wrapText="0"/>
    </xf>
    <xf borderId="80" fillId="13" fontId="50" numFmtId="0" xfId="0" applyAlignment="1" applyBorder="1" applyFont="1">
      <alignment horizontal="center" vertical="center"/>
    </xf>
    <xf borderId="0" fillId="3" fontId="63" numFmtId="0" xfId="0" applyAlignment="1" applyFont="1">
      <alignment vertical="bottom"/>
    </xf>
    <xf borderId="0" fillId="3" fontId="63" numFmtId="0" xfId="0" applyAlignment="1" applyFont="1">
      <alignment vertical="bottom"/>
    </xf>
    <xf borderId="0" fillId="0" fontId="63" numFmtId="0" xfId="0" applyFont="1"/>
    <xf borderId="0" fillId="3" fontId="64" numFmtId="0" xfId="0" applyAlignment="1" applyFont="1">
      <alignment vertical="bottom"/>
    </xf>
    <xf borderId="0" fillId="3" fontId="64" numFmtId="0" xfId="0" applyAlignment="1" applyFont="1">
      <alignment vertical="bottom"/>
    </xf>
    <xf borderId="0" fillId="0" fontId="63" numFmtId="0" xfId="0" applyAlignment="1" applyFont="1">
      <alignment vertical="bottom"/>
    </xf>
    <xf borderId="0" fillId="3" fontId="61" numFmtId="165" xfId="0" applyAlignment="1" applyFont="1" applyNumberFormat="1">
      <alignment horizontal="center" readingOrder="0" vertical="top"/>
    </xf>
    <xf borderId="0" fillId="3" fontId="65" numFmtId="3" xfId="0" applyAlignment="1" applyFont="1" applyNumberFormat="1">
      <alignment readingOrder="0" vertical="bottom"/>
    </xf>
    <xf borderId="0" fillId="3" fontId="0" numFmtId="0" xfId="0" applyAlignment="1" applyFont="1">
      <alignment horizontal="center" vertical="bottom"/>
    </xf>
    <xf borderId="0" fillId="3" fontId="63" numFmtId="0" xfId="0" applyAlignment="1" applyFont="1">
      <alignment horizontal="center" vertical="bottom"/>
    </xf>
    <xf borderId="0" fillId="3" fontId="63" numFmtId="164" xfId="0" applyAlignment="1" applyFont="1" applyNumberFormat="1">
      <alignment vertical="bottom"/>
    </xf>
    <xf borderId="0" fillId="20" fontId="63" numFmtId="0" xfId="0" applyAlignment="1" applyFill="1" applyFont="1">
      <alignment horizontal="right" vertical="bottom"/>
    </xf>
    <xf borderId="0" fillId="3" fontId="63" numFmtId="0" xfId="0" applyAlignment="1" applyFont="1">
      <alignment horizontal="center" vertical="bottom"/>
    </xf>
    <xf borderId="0" fillId="21" fontId="63" numFmtId="0" xfId="0" applyAlignment="1" applyFill="1" applyFont="1">
      <alignment vertical="bottom"/>
    </xf>
    <xf borderId="0" fillId="21" fontId="63" numFmtId="164" xfId="0" applyAlignment="1" applyFont="1" applyNumberFormat="1">
      <alignment vertical="bottom"/>
    </xf>
    <xf borderId="0" fillId="21" fontId="63" numFmtId="0" xfId="0" applyAlignment="1" applyFont="1">
      <alignment vertical="bottom"/>
    </xf>
    <xf borderId="0" fillId="21" fontId="63" numFmtId="0" xfId="0" applyAlignment="1" applyFont="1">
      <alignment horizontal="right" vertical="bottom"/>
    </xf>
    <xf borderId="0" fillId="21" fontId="0" numFmtId="0" xfId="0" applyAlignment="1" applyFont="1">
      <alignment horizontal="right" vertical="bottom"/>
    </xf>
    <xf borderId="0" fillId="21" fontId="63" numFmtId="2" xfId="0" applyAlignment="1" applyFont="1" applyNumberFormat="1">
      <alignment vertical="bottom"/>
    </xf>
    <xf borderId="0" fillId="3" fontId="63" numFmtId="0" xfId="0" applyAlignment="1" applyFont="1">
      <alignment horizontal="right" vertical="bottom"/>
    </xf>
    <xf borderId="0" fillId="3" fontId="0" numFmtId="0" xfId="0" applyAlignment="1" applyFont="1">
      <alignment horizontal="right" vertical="bottom"/>
    </xf>
    <xf borderId="0" fillId="0" fontId="63" numFmtId="0" xfId="0" applyAlignment="1" applyFont="1">
      <alignment horizontal="right" vertical="bottom"/>
    </xf>
    <xf borderId="0" fillId="3" fontId="63" numFmtId="2" xfId="0" applyAlignment="1" applyFont="1" applyNumberFormat="1">
      <alignment horizontal="right" vertical="bottom"/>
    </xf>
    <xf borderId="0" fillId="3" fontId="63" numFmtId="0" xfId="0" applyAlignment="1" applyFont="1">
      <alignment horizontal="right" vertical="bottom"/>
    </xf>
    <xf borderId="0" fillId="3" fontId="63" numFmtId="2" xfId="0" applyAlignment="1" applyFont="1" applyNumberFormat="1">
      <alignment vertical="bottom"/>
    </xf>
    <xf borderId="80" fillId="13" fontId="41" numFmtId="0" xfId="0" applyAlignment="1" applyBorder="1" applyFont="1">
      <alignment horizontal="left" readingOrder="0" shrinkToFit="0" wrapText="0"/>
    </xf>
    <xf borderId="65" fillId="13" fontId="41" numFmtId="20" xfId="0" applyAlignment="1" applyBorder="1" applyFont="1" applyNumberFormat="1">
      <alignment horizontal="center" readingOrder="0" shrinkToFit="0" wrapText="0"/>
    </xf>
    <xf borderId="65" fillId="13" fontId="41" numFmtId="164" xfId="0" applyAlignment="1" applyBorder="1" applyFont="1" applyNumberFormat="1">
      <alignment horizontal="left" readingOrder="0" shrinkToFit="0" wrapText="0"/>
    </xf>
    <xf borderId="65" fillId="13" fontId="42" numFmtId="0" xfId="0" applyAlignment="1" applyBorder="1" applyFont="1">
      <alignment horizontal="center" shrinkToFit="0" wrapText="0"/>
    </xf>
    <xf borderId="66" fillId="13" fontId="42" numFmtId="0" xfId="0" applyAlignment="1" applyBorder="1" applyFont="1">
      <alignment horizontal="center" shrinkToFit="0" wrapText="0"/>
    </xf>
    <xf borderId="64" fillId="13" fontId="41" numFmtId="164" xfId="0" applyAlignment="1" applyBorder="1" applyFont="1" applyNumberFormat="1">
      <alignment horizontal="left" readingOrder="0" shrinkToFit="0" wrapText="0"/>
    </xf>
    <xf borderId="0" fillId="13" fontId="44" numFmtId="164" xfId="0" applyAlignment="1" applyFont="1" applyNumberFormat="1">
      <alignment horizontal="center" readingOrder="0" shrinkToFit="0" vertical="center" wrapText="1"/>
    </xf>
    <xf borderId="152" fillId="3" fontId="44" numFmtId="164" xfId="0" applyAlignment="1" applyBorder="1" applyFont="1" applyNumberFormat="1">
      <alignment horizontal="right" readingOrder="0" shrinkToFit="0" wrapText="0"/>
    </xf>
    <xf borderId="153" fillId="19" fontId="45" numFmtId="0" xfId="0" applyAlignment="1" applyBorder="1" applyFont="1">
      <alignment horizontal="center" readingOrder="0"/>
    </xf>
    <xf borderId="154" fillId="0" fontId="45" numFmtId="0" xfId="0" applyBorder="1" applyFont="1"/>
    <xf borderId="79" fillId="3" fontId="44" numFmtId="164" xfId="0" applyAlignment="1" applyBorder="1" applyFont="1" applyNumberFormat="1">
      <alignment horizontal="right" readingOrder="0" shrinkToFit="0" vertical="center" wrapText="0"/>
    </xf>
    <xf borderId="155" fillId="3" fontId="44" numFmtId="164" xfId="0" applyAlignment="1" applyBorder="1" applyFont="1" applyNumberFormat="1">
      <alignment horizontal="right" readingOrder="0" shrinkToFit="0" wrapText="0"/>
    </xf>
    <xf borderId="156" fillId="3" fontId="44" numFmtId="164" xfId="0" applyAlignment="1" applyBorder="1" applyFont="1" applyNumberFormat="1">
      <alignment horizontal="right" readingOrder="0" shrinkToFit="0" wrapText="0"/>
    </xf>
    <xf borderId="157" fillId="19" fontId="47" numFmtId="0" xfId="0" applyAlignment="1" applyBorder="1" applyFont="1">
      <alignment horizontal="center" shrinkToFit="0" wrapText="0"/>
    </xf>
    <xf borderId="113" fillId="19" fontId="47" numFmtId="0" xfId="0" applyAlignment="1" applyBorder="1" applyFont="1">
      <alignment horizontal="center" shrinkToFit="0" wrapText="0"/>
    </xf>
    <xf borderId="156" fillId="19" fontId="47" numFmtId="0" xfId="0" applyAlignment="1" applyBorder="1" applyFont="1">
      <alignment horizontal="center" shrinkToFit="0" wrapText="0"/>
    </xf>
    <xf borderId="158" fillId="19" fontId="47" numFmtId="0" xfId="0" applyAlignment="1" applyBorder="1" applyFont="1">
      <alignment horizontal="center" shrinkToFit="0" wrapText="0"/>
    </xf>
    <xf borderId="122" fillId="19" fontId="48" numFmtId="0" xfId="0" applyAlignment="1" applyBorder="1" applyFont="1">
      <alignment horizontal="center" shrinkToFit="0" wrapText="0"/>
    </xf>
    <xf borderId="141" fillId="3" fontId="52" numFmtId="0" xfId="0" applyAlignment="1" applyBorder="1" applyFont="1">
      <alignment horizontal="center" shrinkToFit="0" wrapText="0"/>
    </xf>
    <xf borderId="159" fillId="3" fontId="52" numFmtId="164" xfId="0" applyAlignment="1" applyBorder="1" applyFont="1" applyNumberFormat="1">
      <alignment horizontal="center" shrinkToFit="0" wrapText="0"/>
    </xf>
    <xf borderId="95" fillId="3" fontId="52" numFmtId="0" xfId="0" applyAlignment="1" applyBorder="1" applyFont="1">
      <alignment horizontal="center" readingOrder="0" shrinkToFit="0" wrapText="0"/>
    </xf>
    <xf borderId="160" fillId="13" fontId="54" numFmtId="0" xfId="0" applyAlignment="1" applyBorder="1" applyFont="1">
      <alignment horizontal="right" shrinkToFit="0" wrapText="0"/>
    </xf>
    <xf borderId="87" fillId="3" fontId="53" numFmtId="0" xfId="0" applyAlignment="1" applyBorder="1" applyFont="1">
      <alignment horizontal="right" shrinkToFit="0" wrapText="0"/>
    </xf>
    <xf borderId="161" fillId="3" fontId="53" numFmtId="3" xfId="0" applyAlignment="1" applyBorder="1" applyFont="1" applyNumberFormat="1">
      <alignment horizontal="right"/>
    </xf>
    <xf borderId="161" fillId="13" fontId="52" numFmtId="0" xfId="0" applyAlignment="1" applyBorder="1" applyFont="1">
      <alignment horizontal="center" shrinkToFit="0" wrapText="0"/>
    </xf>
    <xf borderId="88" fillId="13" fontId="52" numFmtId="165" xfId="0" applyAlignment="1" applyBorder="1" applyFont="1" applyNumberFormat="1">
      <alignment horizontal="center" shrinkToFit="0" wrapText="0"/>
    </xf>
    <xf borderId="95" fillId="13" fontId="52" numFmtId="165" xfId="0" applyAlignment="1" applyBorder="1" applyFont="1" applyNumberFormat="1">
      <alignment horizontal="center" shrinkToFit="0" wrapText="0"/>
    </xf>
    <xf borderId="162" fillId="3" fontId="55" numFmtId="49" xfId="0" applyAlignment="1" applyBorder="1" applyFont="1" applyNumberFormat="1">
      <alignment horizontal="center" shrinkToFit="0" vertical="center" wrapText="0"/>
    </xf>
    <xf borderId="100" fillId="3" fontId="55" numFmtId="49" xfId="0" applyAlignment="1" applyBorder="1" applyFont="1" applyNumberFormat="1">
      <alignment horizontal="center" readingOrder="0" shrinkToFit="0" vertical="center" wrapText="0"/>
    </xf>
    <xf borderId="109" fillId="3" fontId="56" numFmtId="3" xfId="0" applyAlignment="1" applyBorder="1" applyFont="1" applyNumberFormat="1">
      <alignment horizontal="center" readingOrder="0" shrinkToFit="0" vertical="center" wrapText="0"/>
    </xf>
    <xf borderId="147" fillId="13" fontId="56" numFmtId="0" xfId="0" applyAlignment="1" applyBorder="1" applyFont="1">
      <alignment horizontal="center" shrinkToFit="0" vertical="center" wrapText="0"/>
    </xf>
    <xf borderId="96" fillId="3" fontId="44" numFmtId="0" xfId="0" applyAlignment="1" applyBorder="1" applyFont="1">
      <alignment horizontal="right" shrinkToFit="0" vertical="center" wrapText="0"/>
    </xf>
    <xf borderId="163" fillId="3" fontId="56" numFmtId="3" xfId="0" applyAlignment="1" applyBorder="1" applyFont="1" applyNumberFormat="1">
      <alignment horizontal="center" readingOrder="0" shrinkToFit="0" vertical="center" wrapText="0"/>
    </xf>
    <xf borderId="163" fillId="14" fontId="56" numFmtId="0" xfId="0" applyAlignment="1" applyBorder="1" applyFont="1">
      <alignment horizontal="center" shrinkToFit="0" vertical="center" wrapText="0"/>
    </xf>
    <xf borderId="109" fillId="14" fontId="56" numFmtId="0" xfId="0" applyAlignment="1" applyBorder="1" applyFont="1">
      <alignment horizontal="center" shrinkToFit="0" vertical="center" wrapText="0"/>
    </xf>
    <xf borderId="100" fillId="14" fontId="56" numFmtId="0" xfId="0" applyAlignment="1" applyBorder="1" applyFont="1">
      <alignment horizontal="center" shrinkToFit="0" vertical="center" wrapText="0"/>
    </xf>
    <xf borderId="164" fillId="3" fontId="55" numFmtId="49" xfId="0" applyAlignment="1" applyBorder="1" applyFont="1" applyNumberFormat="1">
      <alignment horizontal="center" shrinkToFit="0" vertical="center" wrapText="0"/>
    </xf>
    <xf borderId="165" fillId="3" fontId="55" numFmtId="49" xfId="0" applyAlignment="1" applyBorder="1" applyFont="1" applyNumberFormat="1">
      <alignment horizontal="center" readingOrder="0" shrinkToFit="0" vertical="center" wrapText="0"/>
    </xf>
    <xf borderId="166" fillId="3" fontId="56" numFmtId="3" xfId="0" applyAlignment="1" applyBorder="1" applyFont="1" applyNumberFormat="1">
      <alignment horizontal="center" readingOrder="0" shrinkToFit="0" vertical="center" wrapText="0"/>
    </xf>
    <xf borderId="167" fillId="13" fontId="56" numFmtId="3" xfId="0" applyAlignment="1" applyBorder="1" applyFont="1" applyNumberFormat="1">
      <alignment horizontal="center" shrinkToFit="0" vertical="center" wrapText="0"/>
    </xf>
    <xf borderId="101" fillId="3" fontId="41" numFmtId="0" xfId="0" applyAlignment="1" applyBorder="1" applyFont="1">
      <alignment horizontal="right" shrinkToFit="0" vertical="center" wrapText="0"/>
    </xf>
    <xf borderId="168" fillId="3" fontId="56" numFmtId="3" xfId="0" applyAlignment="1" applyBorder="1" applyFont="1" applyNumberFormat="1">
      <alignment horizontal="center" readingOrder="0" shrinkToFit="0" vertical="center" wrapText="0"/>
    </xf>
    <xf borderId="169" fillId="13" fontId="56" numFmtId="3" xfId="0" applyAlignment="1" applyBorder="1" applyFont="1" applyNumberFormat="1">
      <alignment horizontal="center" shrinkToFit="0" vertical="center" wrapText="0"/>
    </xf>
    <xf borderId="124" fillId="13" fontId="56" numFmtId="3" xfId="0" applyAlignment="1" applyBorder="1" applyFont="1" applyNumberFormat="1">
      <alignment horizontal="center" shrinkToFit="0" vertical="center" wrapText="0"/>
    </xf>
    <xf borderId="108" fillId="13" fontId="56" numFmtId="49" xfId="0" applyAlignment="1" applyBorder="1" applyFont="1" applyNumberFormat="1">
      <alignment horizontal="center" shrinkToFit="0" vertical="center" wrapText="0"/>
    </xf>
    <xf borderId="96" fillId="19" fontId="41" numFmtId="0" xfId="0" applyAlignment="1" applyBorder="1" applyFont="1">
      <alignment horizontal="right" shrinkToFit="0" vertical="center" wrapText="0"/>
    </xf>
    <xf borderId="0" fillId="19" fontId="52" numFmtId="0" xfId="0" applyAlignment="1" applyFont="1">
      <alignment horizontal="center" shrinkToFit="0" vertical="center" wrapText="0"/>
    </xf>
    <xf borderId="162" fillId="19" fontId="57" numFmtId="164" xfId="0" applyAlignment="1" applyBorder="1" applyFont="1" applyNumberFormat="1">
      <alignment horizontal="center" shrinkToFit="0" wrapText="0"/>
    </xf>
    <xf borderId="100" fillId="19" fontId="57" numFmtId="0" xfId="0" applyAlignment="1" applyBorder="1" applyFont="1">
      <alignment horizontal="center" readingOrder="0" shrinkToFit="0" wrapText="0"/>
    </xf>
    <xf borderId="158" fillId="13" fontId="58" numFmtId="0" xfId="0" applyAlignment="1" applyBorder="1" applyFont="1">
      <alignment horizontal="right" shrinkToFit="0" vertical="bottom" wrapText="0"/>
    </xf>
    <xf borderId="0" fillId="0" fontId="53" numFmtId="0" xfId="0" applyAlignment="1" applyFont="1">
      <alignment horizontal="right" shrinkToFit="0" vertical="center" wrapText="0"/>
    </xf>
    <xf borderId="96" fillId="19" fontId="59" numFmtId="0" xfId="0" applyAlignment="1" applyBorder="1" applyFont="1">
      <alignment horizontal="right" shrinkToFit="0" vertical="center" wrapText="0"/>
    </xf>
    <xf borderId="109" fillId="19" fontId="53" numFmtId="3" xfId="0" applyAlignment="1" applyBorder="1" applyFont="1" applyNumberFormat="1">
      <alignment horizontal="right" shrinkToFit="0" wrapText="0"/>
    </xf>
    <xf borderId="170" fillId="19" fontId="53" numFmtId="3" xfId="0" applyAlignment="1" applyBorder="1" applyFont="1" applyNumberFormat="1">
      <alignment horizontal="right" shrinkToFit="0" wrapText="0"/>
    </xf>
    <xf borderId="163" fillId="13" fontId="42" numFmtId="0" xfId="0" applyAlignment="1" applyBorder="1" applyFont="1">
      <alignment horizontal="right" shrinkToFit="0" vertical="bottom" wrapText="0"/>
    </xf>
    <xf borderId="109" fillId="13" fontId="42" numFmtId="165" xfId="0" applyAlignment="1" applyBorder="1" applyFont="1" applyNumberFormat="1">
      <alignment horizontal="right" shrinkToFit="0" vertical="bottom" wrapText="0"/>
    </xf>
    <xf borderId="116" fillId="13" fontId="56" numFmtId="165" xfId="0" applyAlignment="1" applyBorder="1" applyFont="1" applyNumberFormat="1">
      <alignment horizontal="center" shrinkToFit="0" vertical="center" wrapText="0"/>
    </xf>
    <xf borderId="0" fillId="19" fontId="44" numFmtId="0" xfId="0" applyAlignment="1" applyFont="1">
      <alignment horizontal="center" readingOrder="0" shrinkToFit="0" vertical="center" wrapText="0"/>
    </xf>
    <xf borderId="162" fillId="19" fontId="55" numFmtId="49" xfId="0" applyAlignment="1" applyBorder="1" applyFont="1" applyNumberFormat="1">
      <alignment horizontal="center" shrinkToFit="0" vertical="center" wrapText="0"/>
    </xf>
    <xf borderId="100" fillId="19" fontId="55" numFmtId="49" xfId="0" applyAlignment="1" applyBorder="1" applyFont="1" applyNumberFormat="1">
      <alignment horizontal="center" readingOrder="0" shrinkToFit="0" vertical="center" wrapText="0"/>
    </xf>
    <xf borderId="109" fillId="19" fontId="66" numFmtId="3" xfId="0" applyAlignment="1" applyBorder="1" applyFont="1" applyNumberFormat="1">
      <alignment horizontal="center" readingOrder="0" shrinkToFit="0" vertical="center" wrapText="0"/>
    </xf>
    <xf borderId="147" fillId="13" fontId="66" numFmtId="0" xfId="0" applyAlignment="1" applyBorder="1" applyFont="1">
      <alignment horizontal="center" shrinkToFit="0" vertical="center" wrapText="0"/>
    </xf>
    <xf borderId="0" fillId="0" fontId="67" numFmtId="0" xfId="0" applyAlignment="1" applyFont="1">
      <alignment horizontal="right" shrinkToFit="0" vertical="center" wrapText="0"/>
    </xf>
    <xf borderId="163" fillId="19" fontId="66" numFmtId="3" xfId="0" applyAlignment="1" applyBorder="1" applyFont="1" applyNumberFormat="1">
      <alignment horizontal="center" readingOrder="0" shrinkToFit="0" vertical="center" wrapText="0"/>
    </xf>
    <xf borderId="163" fillId="13" fontId="56" numFmtId="0" xfId="0" applyAlignment="1" applyBorder="1" applyFont="1">
      <alignment horizontal="center" shrinkToFit="0" vertical="center" wrapText="0"/>
    </xf>
    <xf borderId="109" fillId="13" fontId="56" numFmtId="0" xfId="0" applyAlignment="1" applyBorder="1" applyFont="1">
      <alignment horizontal="center" shrinkToFit="0" vertical="center" wrapText="0"/>
    </xf>
    <xf borderId="100" fillId="13" fontId="56" numFmtId="49" xfId="0" applyAlignment="1" applyBorder="1" applyFont="1" applyNumberFormat="1">
      <alignment horizontal="center" shrinkToFit="0" vertical="center" wrapText="0"/>
    </xf>
    <xf borderId="137" fillId="19" fontId="44" numFmtId="0" xfId="0" applyAlignment="1" applyBorder="1" applyFont="1">
      <alignment horizontal="center" readingOrder="0" shrinkToFit="0" vertical="center" wrapText="0"/>
    </xf>
    <xf borderId="171" fillId="19" fontId="55" numFmtId="49" xfId="0" applyAlignment="1" applyBorder="1" applyFont="1" applyNumberFormat="1">
      <alignment horizontal="center" shrinkToFit="0" vertical="center" wrapText="0"/>
    </xf>
    <xf borderId="172" fillId="19" fontId="55" numFmtId="49" xfId="0" applyAlignment="1" applyBorder="1" applyFont="1" applyNumberFormat="1">
      <alignment horizontal="center" readingOrder="0" shrinkToFit="0" vertical="center" wrapText="0"/>
    </xf>
    <xf borderId="132" fillId="19" fontId="56" numFmtId="3" xfId="0" applyAlignment="1" applyBorder="1" applyFont="1" applyNumberFormat="1">
      <alignment horizontal="center" readingOrder="0" shrinkToFit="0" vertical="center" wrapText="0"/>
    </xf>
    <xf borderId="173" fillId="13" fontId="56" numFmtId="3" xfId="0" applyAlignment="1" applyBorder="1" applyFont="1" applyNumberFormat="1">
      <alignment horizontal="center" shrinkToFit="0" vertical="center" wrapText="0"/>
    </xf>
    <xf borderId="131" fillId="19" fontId="41" numFmtId="0" xfId="0" applyAlignment="1" applyBorder="1" applyFont="1">
      <alignment horizontal="right" shrinkToFit="0" vertical="center" wrapText="0"/>
    </xf>
    <xf borderId="174" fillId="19" fontId="56" numFmtId="3" xfId="0" applyAlignment="1" applyBorder="1" applyFont="1" applyNumberFormat="1">
      <alignment horizontal="center" readingOrder="0" shrinkToFit="0" vertical="center" wrapText="0"/>
    </xf>
    <xf borderId="174" fillId="13" fontId="56" numFmtId="3" xfId="0" applyAlignment="1" applyBorder="1" applyFont="1" applyNumberFormat="1">
      <alignment horizontal="center" shrinkToFit="0" vertical="center" wrapText="0"/>
    </xf>
    <xf borderId="132" fillId="13" fontId="56" numFmtId="3" xfId="0" applyAlignment="1" applyBorder="1" applyFont="1" applyNumberFormat="1">
      <alignment horizontal="center" shrinkToFit="0" vertical="center" wrapText="0"/>
    </xf>
    <xf borderId="140" fillId="13" fontId="56" numFmtId="49" xfId="0" applyAlignment="1" applyBorder="1" applyFont="1" applyNumberFormat="1">
      <alignment horizontal="center" shrinkToFit="0" vertical="center" wrapText="0"/>
    </xf>
    <xf borderId="0" fillId="0" fontId="41" numFmtId="0" xfId="0" applyAlignment="1" applyFont="1">
      <alignment horizontal="right" shrinkToFit="0" vertical="center" wrapText="0"/>
    </xf>
    <xf borderId="0" fillId="0" fontId="52" numFmtId="0" xfId="0" applyAlignment="1" applyFont="1">
      <alignment horizontal="center" shrinkToFit="0" vertical="center" wrapText="0"/>
    </xf>
    <xf borderId="0" fillId="0" fontId="57" numFmtId="164" xfId="0" applyAlignment="1" applyFont="1" applyNumberFormat="1">
      <alignment horizontal="center" shrinkToFit="0" wrapText="0"/>
    </xf>
    <xf borderId="0" fillId="0" fontId="57" numFmtId="0" xfId="0" applyAlignment="1" applyFont="1">
      <alignment horizontal="center" readingOrder="0" shrinkToFit="0" wrapText="0"/>
    </xf>
    <xf borderId="0" fillId="0" fontId="41" numFmtId="0" xfId="0" applyAlignment="1" applyFont="1">
      <alignment horizontal="right" shrinkToFit="0" wrapText="0"/>
    </xf>
    <xf borderId="0" fillId="0" fontId="42" numFmtId="0" xfId="0" applyAlignment="1" applyFont="1">
      <alignment horizontal="right" shrinkToFit="0" vertical="bottom" wrapText="0"/>
    </xf>
    <xf borderId="0" fillId="0" fontId="42" numFmtId="165" xfId="0" applyAlignment="1" applyFont="1" applyNumberFormat="1">
      <alignment horizontal="right" shrinkToFit="0" vertical="bottom" wrapText="0"/>
    </xf>
    <xf borderId="0" fillId="0" fontId="56" numFmtId="165" xfId="0" applyAlignment="1" applyFont="1" applyNumberFormat="1">
      <alignment horizontal="center" shrinkToFit="0" vertical="center" wrapText="0"/>
    </xf>
    <xf borderId="87" fillId="3" fontId="41" numFmtId="0" xfId="0" applyAlignment="1" applyBorder="1" applyFont="1">
      <alignment horizontal="right" shrinkToFit="0" vertical="center" wrapText="0"/>
    </xf>
    <xf borderId="141" fillId="3" fontId="52" numFmtId="0" xfId="0" applyAlignment="1" applyBorder="1" applyFont="1">
      <alignment horizontal="center" shrinkToFit="0" vertical="center" wrapText="0"/>
    </xf>
    <xf borderId="159" fillId="3" fontId="57" numFmtId="164" xfId="0" applyAlignment="1" applyBorder="1" applyFont="1" applyNumberFormat="1">
      <alignment horizontal="center" shrinkToFit="0" wrapText="0"/>
    </xf>
    <xf borderId="95" fillId="3" fontId="57" numFmtId="0" xfId="0" applyAlignment="1" applyBorder="1" applyFont="1">
      <alignment horizontal="center" readingOrder="0" shrinkToFit="0" wrapText="0"/>
    </xf>
    <xf borderId="87" fillId="3" fontId="59" numFmtId="0" xfId="0" applyAlignment="1" applyBorder="1" applyFont="1">
      <alignment horizontal="right" shrinkToFit="0" wrapText="0"/>
    </xf>
    <xf borderId="160" fillId="13" fontId="42" numFmtId="0" xfId="0" applyAlignment="1" applyBorder="1" applyFont="1">
      <alignment horizontal="right" shrinkToFit="0" vertical="bottom" wrapText="0"/>
    </xf>
    <xf borderId="88" fillId="13" fontId="42" numFmtId="165" xfId="0" applyAlignment="1" applyBorder="1" applyFont="1" applyNumberFormat="1">
      <alignment horizontal="right" shrinkToFit="0" vertical="bottom" wrapText="0"/>
    </xf>
    <xf borderId="95" fillId="13" fontId="56" numFmtId="165" xfId="0" applyAlignment="1" applyBorder="1" applyFont="1" applyNumberFormat="1">
      <alignment horizontal="center" shrinkToFit="0" vertical="center" wrapText="0"/>
    </xf>
    <xf borderId="156" fillId="19" fontId="52" numFmtId="0" xfId="0" applyAlignment="1" applyBorder="1" applyFont="1">
      <alignment horizontal="center" shrinkToFit="0" vertical="center" wrapText="0"/>
    </xf>
    <xf borderId="157" fillId="19" fontId="57" numFmtId="164" xfId="0" applyAlignment="1" applyBorder="1" applyFont="1" applyNumberFormat="1">
      <alignment horizontal="center" shrinkToFit="0" wrapText="0"/>
    </xf>
    <xf borderId="122" fillId="19" fontId="57" numFmtId="0" xfId="0" applyAlignment="1" applyBorder="1" applyFont="1">
      <alignment horizontal="center" readingOrder="0" shrinkToFit="0" wrapText="0"/>
    </xf>
    <xf borderId="119" fillId="19" fontId="59" numFmtId="0" xfId="0" applyAlignment="1" applyBorder="1" applyFont="1">
      <alignment horizontal="right" shrinkToFit="0" vertical="center" wrapText="0"/>
    </xf>
    <xf borderId="158" fillId="13" fontId="42" numFmtId="0" xfId="0" applyAlignment="1" applyBorder="1" applyFont="1">
      <alignment horizontal="right" shrinkToFit="0" vertical="bottom" wrapText="0"/>
    </xf>
    <xf borderId="156" fillId="13" fontId="56" numFmtId="165" xfId="0" applyAlignment="1" applyBorder="1" applyFont="1" applyNumberFormat="1">
      <alignment horizontal="center" shrinkToFit="0" vertical="center" wrapText="0"/>
    </xf>
    <xf borderId="122" fillId="13" fontId="56" numFmtId="165" xfId="0" applyAlignment="1" applyBorder="1" applyFont="1" applyNumberFormat="1">
      <alignment horizontal="center" shrinkToFit="0" vertical="center" wrapText="0"/>
    </xf>
    <xf borderId="0" fillId="13" fontId="56" numFmtId="0" xfId="0" applyAlignment="1" applyFont="1">
      <alignment horizontal="center" shrinkToFit="0" vertical="center" wrapText="0"/>
    </xf>
    <xf borderId="129" fillId="19" fontId="44" numFmtId="0" xfId="0" applyAlignment="1" applyBorder="1" applyFont="1">
      <alignment horizontal="center" readingOrder="0" shrinkToFit="0" vertical="center" wrapText="0"/>
    </xf>
    <xf borderId="175" fillId="19" fontId="55" numFmtId="49" xfId="0" applyAlignment="1" applyBorder="1" applyFont="1" applyNumberFormat="1">
      <alignment horizontal="center" shrinkToFit="0" vertical="center" wrapText="0"/>
    </xf>
    <xf borderId="176" fillId="19" fontId="55" numFmtId="49" xfId="0" applyAlignment="1" applyBorder="1" applyFont="1" applyNumberFormat="1">
      <alignment horizontal="center" readingOrder="0" shrinkToFit="0" vertical="center" wrapText="0"/>
    </xf>
    <xf borderId="124" fillId="19" fontId="56" numFmtId="3" xfId="0" applyAlignment="1" applyBorder="1" applyFont="1" applyNumberFormat="1">
      <alignment horizontal="center" readingOrder="0" shrinkToFit="0" vertical="center" wrapText="0"/>
    </xf>
    <xf borderId="65" fillId="3" fontId="68" numFmtId="0" xfId="0" applyAlignment="1" applyBorder="1" applyFont="1">
      <alignment vertical="bottom"/>
    </xf>
    <xf borderId="177" fillId="3" fontId="60" numFmtId="0" xfId="0" applyAlignment="1" applyBorder="1" applyFont="1">
      <alignment vertical="bottom"/>
    </xf>
    <xf borderId="177" fillId="3" fontId="60" numFmtId="0" xfId="0" applyAlignment="1" applyBorder="1" applyFont="1">
      <alignment vertical="bottom"/>
    </xf>
    <xf borderId="0" fillId="3" fontId="60" numFmtId="0" xfId="0" applyAlignment="1" applyFont="1">
      <alignment vertical="bottom"/>
    </xf>
    <xf borderId="177" fillId="3" fontId="61" numFmtId="165" xfId="0" applyAlignment="1" applyBorder="1" applyFont="1" applyNumberFormat="1">
      <alignment horizontal="center" readingOrder="0" vertical="bottom"/>
    </xf>
    <xf borderId="178" fillId="13" fontId="62" numFmtId="0" xfId="0" applyAlignment="1" applyBorder="1" applyFont="1">
      <alignment horizontal="center" readingOrder="0" shrinkToFit="0" vertical="center" wrapText="1"/>
    </xf>
    <xf borderId="109" fillId="13" fontId="41" numFmtId="0" xfId="0" applyAlignment="1" applyBorder="1" applyFont="1">
      <alignment horizontal="center" readingOrder="0" shrinkToFit="0" vertical="center" wrapText="1"/>
    </xf>
    <xf borderId="162" fillId="13" fontId="50" numFmtId="164" xfId="0" applyAlignment="1" applyBorder="1" applyFont="1" applyNumberFormat="1">
      <alignment horizontal="center" shrinkToFit="0" vertical="center" wrapText="0"/>
    </xf>
    <xf borderId="98" fillId="13" fontId="47" numFmtId="0" xfId="0" applyAlignment="1" applyBorder="1" applyFont="1">
      <alignment horizontal="center" readingOrder="0" shrinkToFit="0" vertical="center" wrapText="0"/>
    </xf>
    <xf borderId="162" fillId="13" fontId="47" numFmtId="0" xfId="0" applyAlignment="1" applyBorder="1" applyFont="1">
      <alignment horizontal="center" shrinkToFit="0" vertical="center" wrapText="0"/>
    </xf>
    <xf borderId="99" fillId="13" fontId="47" numFmtId="0" xfId="0" applyAlignment="1" applyBorder="1" applyFont="1">
      <alignment horizontal="center" shrinkToFit="0" vertical="center" wrapText="0"/>
    </xf>
    <xf borderId="147" fillId="13" fontId="50" numFmtId="0" xfId="0" applyAlignment="1" applyBorder="1" applyFont="1">
      <alignment horizontal="center" shrinkToFit="0" vertical="center" wrapText="0"/>
    </xf>
    <xf borderId="0" fillId="0" fontId="50" numFmtId="0" xfId="0" applyAlignment="1" applyFont="1">
      <alignment horizontal="right" shrinkToFit="0" vertical="center" wrapText="0"/>
    </xf>
    <xf borderId="93" fillId="13" fontId="61" numFmtId="0" xfId="0" applyAlignment="1" applyBorder="1" applyFont="1">
      <alignment horizontal="center" readingOrder="0" shrinkToFit="0" vertical="center" wrapText="1"/>
    </xf>
    <xf borderId="159" fillId="13" fontId="47" numFmtId="0" xfId="0" applyAlignment="1" applyBorder="1" applyFont="1">
      <alignment horizontal="center" shrinkToFit="0" vertical="center" wrapText="0"/>
    </xf>
    <xf borderId="91" fillId="13" fontId="47" numFmtId="0" xfId="0" applyAlignment="1" applyBorder="1" applyFont="1">
      <alignment horizontal="center" shrinkToFit="0" vertical="center" wrapText="0"/>
    </xf>
    <xf borderId="160" fillId="13" fontId="50" numFmtId="0" xfId="0" applyAlignment="1" applyBorder="1" applyFont="1">
      <alignment horizontal="center" shrinkToFit="0" vertical="center" wrapText="0"/>
    </xf>
    <xf borderId="0" fillId="3" fontId="62" numFmtId="0" xfId="0" applyAlignment="1" applyFont="1">
      <alignment readingOrder="0" shrinkToFit="0" vertical="center" wrapText="1"/>
    </xf>
    <xf borderId="80" fillId="8" fontId="50" numFmtId="0" xfId="0" applyAlignment="1" applyBorder="1" applyFont="1">
      <alignment horizontal="center" vertical="center"/>
    </xf>
    <xf borderId="141" fillId="3" fontId="60" numFmtId="0" xfId="0" applyAlignment="1" applyBorder="1" applyFont="1">
      <alignment vertical="center"/>
    </xf>
    <xf borderId="141" fillId="3" fontId="69" numFmtId="0" xfId="0" applyBorder="1" applyFont="1"/>
    <xf borderId="141" fillId="3" fontId="60" numFmtId="164" xfId="0" applyBorder="1" applyFont="1" applyNumberFormat="1"/>
    <xf borderId="141" fillId="3" fontId="60" numFmtId="0" xfId="0" applyBorder="1" applyFont="1"/>
    <xf borderId="141" fillId="3" fontId="60" numFmtId="0" xfId="0" applyBorder="1" applyFont="1"/>
    <xf borderId="179" fillId="13" fontId="61" numFmtId="0" xfId="0" applyAlignment="1" applyBorder="1" applyFont="1">
      <alignment horizontal="center" readingOrder="0" shrinkToFit="0" vertical="center" wrapText="1"/>
    </xf>
    <xf borderId="180" fillId="13" fontId="47" numFmtId="0" xfId="0" applyAlignment="1" applyBorder="1" applyFont="1">
      <alignment horizontal="center" shrinkToFit="0" vertical="center" wrapText="0"/>
    </xf>
    <xf borderId="181" fillId="13" fontId="47" numFmtId="0" xfId="0" applyAlignment="1" applyBorder="1" applyFont="1">
      <alignment horizontal="center" shrinkToFit="0" vertical="center" wrapText="0"/>
    </xf>
    <xf borderId="182" fillId="13" fontId="50" numFmtId="0" xfId="0" applyAlignment="1" applyBorder="1" applyFont="1">
      <alignment horizontal="center" shrinkToFit="0" vertical="center" wrapText="0"/>
    </xf>
    <xf borderId="0" fillId="0" fontId="41" numFmtId="0" xfId="0" applyAlignment="1" applyFont="1">
      <alignment horizontal="center" readingOrder="0" shrinkToFit="0" vertical="center" wrapText="1"/>
    </xf>
    <xf borderId="0" fillId="0" fontId="50" numFmtId="164" xfId="0" applyAlignment="1" applyFont="1" applyNumberFormat="1">
      <alignment horizontal="center" shrinkToFit="0" vertical="center" wrapText="0"/>
    </xf>
    <xf borderId="0" fillId="0" fontId="47" numFmtId="0" xfId="0" applyAlignment="1" applyFont="1">
      <alignment horizontal="center" readingOrder="0" shrinkToFit="0" vertical="center" wrapText="0"/>
    </xf>
    <xf borderId="0" fillId="0" fontId="47" numFmtId="0" xfId="0" applyAlignment="1" applyFont="1">
      <alignment horizontal="center" shrinkToFit="0" vertical="center" wrapText="0"/>
    </xf>
    <xf borderId="0" fillId="3" fontId="68" numFmtId="0" xfId="0" applyAlignment="1" applyFont="1">
      <alignment vertical="bottom"/>
    </xf>
    <xf borderId="0" fillId="0" fontId="61" numFmtId="0" xfId="0" applyAlignment="1" applyFont="1">
      <alignment horizontal="center" readingOrder="0" shrinkToFit="0" vertical="center" wrapText="1"/>
    </xf>
    <xf borderId="0" fillId="0" fontId="50" numFmtId="0" xfId="0" applyAlignment="1" applyFont="1">
      <alignment horizontal="center" shrinkToFit="0" vertical="center" wrapText="0"/>
    </xf>
    <xf borderId="0" fillId="0" fontId="62" numFmtId="0" xfId="0" applyAlignment="1" applyFont="1">
      <alignment readingOrder="0" shrinkToFit="0" vertical="center" wrapText="1"/>
    </xf>
    <xf borderId="0" fillId="3" fontId="61" numFmtId="165" xfId="0" applyAlignment="1" applyFont="1" applyNumberFormat="1">
      <alignment horizontal="center" readingOrder="0" shrinkToFit="0" vertical="bottom" wrapText="0"/>
    </xf>
    <xf borderId="80" fillId="13" fontId="62" numFmtId="0" xfId="0" applyAlignment="1" applyBorder="1" applyFont="1">
      <alignment horizontal="center" readingOrder="0" shrinkToFit="0" vertical="center" wrapText="1"/>
    </xf>
    <xf borderId="86" fillId="13" fontId="41" numFmtId="0" xfId="0" applyAlignment="1" applyBorder="1" applyFont="1">
      <alignment horizontal="center" readingOrder="0" shrinkToFit="0" vertical="center" wrapText="1"/>
    </xf>
    <xf borderId="81" fillId="13" fontId="50" numFmtId="164" xfId="0" applyAlignment="1" applyBorder="1" applyFont="1" applyNumberFormat="1">
      <alignment horizontal="center" shrinkToFit="0" vertical="center" wrapText="0"/>
    </xf>
    <xf borderId="82" fillId="13" fontId="47" numFmtId="0" xfId="0" applyAlignment="1" applyBorder="1" applyFont="1">
      <alignment horizontal="center" readingOrder="0" shrinkToFit="0" vertical="center" wrapText="0"/>
    </xf>
    <xf borderId="81" fillId="13" fontId="47" numFmtId="0" xfId="0" applyAlignment="1" applyBorder="1" applyFont="1">
      <alignment horizontal="center" shrinkToFit="0" vertical="center" wrapText="0"/>
    </xf>
    <xf borderId="84" fillId="13" fontId="47" numFmtId="0" xfId="0" applyAlignment="1" applyBorder="1" applyFont="1">
      <alignment horizontal="center" shrinkToFit="0" vertical="center" wrapText="0"/>
    </xf>
    <xf borderId="82" fillId="13" fontId="47" numFmtId="0" xfId="0" applyAlignment="1" applyBorder="1" applyFont="1">
      <alignment horizontal="center" shrinkToFit="0" vertical="center" wrapText="0"/>
    </xf>
    <xf borderId="80" fillId="13" fontId="50" numFmtId="0" xfId="0" applyAlignment="1" applyBorder="1" applyFont="1">
      <alignment horizontal="center" shrinkToFit="0" vertical="center" wrapText="0"/>
    </xf>
    <xf borderId="0" fillId="3" fontId="60" numFmtId="0" xfId="0" applyAlignment="1" applyFont="1">
      <alignment vertical="center"/>
    </xf>
    <xf borderId="0" fillId="3" fontId="69" numFmtId="0" xfId="0" applyFont="1"/>
    <xf borderId="0" fillId="3" fontId="49" numFmtId="0" xfId="0" applyAlignment="1" applyFont="1">
      <alignment vertical="bottom"/>
    </xf>
    <xf borderId="0" fillId="0" fontId="46" numFmtId="0" xfId="0" applyFont="1"/>
    <xf borderId="0" fillId="3" fontId="63" numFmtId="0" xfId="0" applyFont="1"/>
    <xf borderId="0" fillId="3" fontId="63" numFmtId="164" xfId="0" applyFont="1" applyNumberFormat="1"/>
    <xf borderId="0" fillId="3" fontId="63" numFmtId="0" xfId="0" applyFont="1"/>
    <xf borderId="0" fillId="3" fontId="0" numFmtId="0" xfId="0" applyAlignment="1" applyFont="1">
      <alignment horizontal="center" readingOrder="0" vertical="bottom"/>
    </xf>
    <xf borderId="0" fillId="3" fontId="63" numFmtId="0" xfId="0" applyAlignment="1" applyFont="1">
      <alignment horizontal="center" readingOrder="0"/>
    </xf>
    <xf borderId="0" fillId="21" fontId="6" numFmtId="0" xfId="0" applyAlignment="1" applyFont="1">
      <alignment readingOrder="0"/>
    </xf>
    <xf borderId="0" fillId="21" fontId="63" numFmtId="0" xfId="0" applyFont="1"/>
    <xf borderId="0" fillId="21" fontId="63" numFmtId="164" xfId="0" applyFont="1" applyNumberFormat="1"/>
    <xf borderId="0" fillId="21" fontId="63" numFmtId="0" xfId="0" applyFont="1"/>
    <xf borderId="0" fillId="21" fontId="64" numFmtId="0" xfId="0" applyAlignment="1" applyFont="1">
      <alignment vertical="bottom"/>
    </xf>
    <xf borderId="0" fillId="21" fontId="0" numFmtId="0" xfId="0" applyAlignment="1" applyFont="1">
      <alignment vertical="bottom"/>
    </xf>
    <xf borderId="0" fillId="21" fontId="6" numFmtId="0" xfId="0" applyFont="1"/>
    <xf borderId="0" fillId="3" fontId="0" numFmtId="0" xfId="0" applyAlignment="1" applyFont="1">
      <alignment vertical="bottom"/>
    </xf>
    <xf borderId="0" fillId="3" fontId="63" numFmtId="2" xfId="0" applyFont="1" applyNumberFormat="1"/>
    <xf borderId="64" fillId="15" fontId="41" numFmtId="0" xfId="0" applyAlignment="1" applyBorder="1" applyFont="1">
      <alignment horizontal="left" readingOrder="0" shrinkToFit="0" vertical="center" wrapText="0"/>
    </xf>
    <xf borderId="65" fillId="15" fontId="41" numFmtId="20" xfId="0" applyAlignment="1" applyBorder="1" applyFont="1" applyNumberFormat="1">
      <alignment horizontal="center" shrinkToFit="0" vertical="center" wrapText="0"/>
    </xf>
    <xf borderId="65" fillId="15" fontId="41" numFmtId="164" xfId="0" applyAlignment="1" applyBorder="1" applyFont="1" applyNumberFormat="1">
      <alignment horizontal="left" readingOrder="0" shrinkToFit="0" vertical="center" wrapText="0"/>
    </xf>
    <xf borderId="65" fillId="15" fontId="41" numFmtId="164" xfId="0" applyAlignment="1" applyBorder="1" applyFont="1" applyNumberFormat="1">
      <alignment horizontal="right" readingOrder="0" shrinkToFit="0" vertical="center" wrapText="0"/>
    </xf>
    <xf borderId="65" fillId="15" fontId="42" numFmtId="0" xfId="0" applyAlignment="1" applyBorder="1" applyFont="1">
      <alignment horizontal="center" shrinkToFit="0" vertical="center" wrapText="0"/>
    </xf>
    <xf borderId="66" fillId="15" fontId="42" numFmtId="0" xfId="0" applyAlignment="1" applyBorder="1" applyFont="1">
      <alignment horizontal="center" shrinkToFit="0" vertical="center" wrapText="0"/>
    </xf>
    <xf borderId="0" fillId="0" fontId="41" numFmtId="164" xfId="0" applyAlignment="1" applyFont="1" applyNumberFormat="1">
      <alignment horizontal="right" readingOrder="0" shrinkToFit="0" vertical="center" wrapText="0"/>
    </xf>
    <xf borderId="0" fillId="0" fontId="43" numFmtId="164" xfId="0" applyAlignment="1" applyFont="1" applyNumberFormat="1">
      <alignment vertical="bottom"/>
    </xf>
    <xf borderId="64" fillId="15" fontId="41" numFmtId="164" xfId="0" applyAlignment="1" applyBorder="1" applyFont="1" applyNumberFormat="1">
      <alignment horizontal="left" readingOrder="0" shrinkToFit="0" vertical="center" wrapText="0"/>
    </xf>
    <xf borderId="0" fillId="0" fontId="43" numFmtId="0" xfId="0" applyFont="1"/>
    <xf borderId="183" fillId="3" fontId="44" numFmtId="164" xfId="0" applyAlignment="1" applyBorder="1" applyFont="1" applyNumberFormat="1">
      <alignment horizontal="right" readingOrder="0" shrinkToFit="0" vertical="bottom" wrapText="0"/>
    </xf>
    <xf borderId="90" fillId="15" fontId="44" numFmtId="0" xfId="0" applyAlignment="1" applyBorder="1" applyFont="1">
      <alignment horizontal="center" shrinkToFit="0" vertical="center" wrapText="1"/>
    </xf>
    <xf borderId="184" fillId="19" fontId="45" numFmtId="0" xfId="0" applyAlignment="1" applyBorder="1" applyFont="1">
      <alignment horizontal="center" readingOrder="0" vertical="bottom"/>
    </xf>
    <xf borderId="185" fillId="19" fontId="45" numFmtId="0" xfId="0" applyAlignment="1" applyBorder="1" applyFont="1">
      <alignment horizontal="center" readingOrder="0" vertical="bottom"/>
    </xf>
    <xf borderId="186" fillId="19" fontId="45" numFmtId="0" xfId="0" applyAlignment="1" applyBorder="1" applyFont="1">
      <alignment horizontal="center" readingOrder="0" vertical="bottom"/>
    </xf>
    <xf borderId="187" fillId="19" fontId="45" numFmtId="0" xfId="0" applyAlignment="1" applyBorder="1" applyFont="1">
      <alignment vertical="bottom"/>
    </xf>
    <xf borderId="0" fillId="0" fontId="44" numFmtId="164" xfId="0" applyAlignment="1" applyFont="1" applyNumberFormat="1">
      <alignment horizontal="right" readingOrder="0" shrinkToFit="0" vertical="bottom" wrapText="0"/>
    </xf>
    <xf borderId="0" fillId="0" fontId="60" numFmtId="164" xfId="0" applyAlignment="1" applyFont="1" applyNumberFormat="1">
      <alignment vertical="bottom"/>
    </xf>
    <xf borderId="184" fillId="19" fontId="45" numFmtId="0" xfId="0" applyAlignment="1" applyBorder="1" applyFont="1">
      <alignment vertical="bottom"/>
    </xf>
    <xf borderId="185" fillId="19" fontId="46" numFmtId="0" xfId="0" applyAlignment="1" applyBorder="1" applyFont="1">
      <alignment vertical="bottom"/>
    </xf>
    <xf borderId="188" fillId="19" fontId="46" numFmtId="0" xfId="0" applyAlignment="1" applyBorder="1" applyFont="1">
      <alignment vertical="bottom"/>
    </xf>
    <xf borderId="111" fillId="3" fontId="44" numFmtId="164" xfId="0" applyAlignment="1" applyBorder="1" applyFont="1" applyNumberFormat="1">
      <alignment horizontal="right" readingOrder="0" shrinkToFit="0" vertical="bottom" wrapText="0"/>
    </xf>
    <xf borderId="98" fillId="0" fontId="6" numFmtId="0" xfId="0" applyBorder="1" applyFont="1"/>
    <xf borderId="189" fillId="19" fontId="47" numFmtId="0" xfId="0" applyAlignment="1" applyBorder="1" applyFont="1">
      <alignment horizontal="center" shrinkToFit="0" vertical="bottom" wrapText="0"/>
    </xf>
    <xf borderId="112" fillId="19" fontId="47" numFmtId="0" xfId="0" applyAlignment="1" applyBorder="1" applyFont="1">
      <alignment horizontal="center" shrinkToFit="0" vertical="bottom" wrapText="0"/>
    </xf>
    <xf borderId="120" fillId="19" fontId="47" numFmtId="0" xfId="0" applyAlignment="1" applyBorder="1" applyFont="1">
      <alignment horizontal="center" shrinkToFit="0" vertical="bottom" wrapText="0"/>
    </xf>
    <xf borderId="190" fillId="19" fontId="47" numFmtId="0" xfId="0" applyAlignment="1" applyBorder="1" applyFont="1">
      <alignment horizontal="center" shrinkToFit="0" vertical="bottom" wrapText="0"/>
    </xf>
    <xf borderId="122" fillId="19" fontId="48" numFmtId="0" xfId="0" applyAlignment="1" applyBorder="1" applyFont="1">
      <alignment horizontal="center" shrinkToFit="0" vertical="bottom" wrapText="0"/>
    </xf>
    <xf borderId="83" fillId="3" fontId="44" numFmtId="164" xfId="0" applyAlignment="1" applyBorder="1" applyFont="1" applyNumberFormat="1">
      <alignment horizontal="right" readingOrder="0" shrinkToFit="0" wrapText="0"/>
    </xf>
    <xf borderId="143" fillId="0" fontId="6" numFmtId="0" xfId="0" applyBorder="1" applyFont="1"/>
    <xf borderId="191" fillId="4" fontId="50" numFmtId="0" xfId="0" applyAlignment="1" applyBorder="1" applyFont="1">
      <alignment horizontal="center" shrinkToFit="0" wrapText="0"/>
    </xf>
    <xf borderId="82" fillId="4" fontId="50" numFmtId="0" xfId="0" applyAlignment="1" applyBorder="1" applyFont="1">
      <alignment horizontal="center" shrinkToFit="0" wrapText="0"/>
    </xf>
    <xf borderId="192" fillId="4" fontId="51" numFmtId="0" xfId="0" applyAlignment="1" applyBorder="1" applyFont="1">
      <alignment horizontal="center" shrinkToFit="0" wrapText="0"/>
    </xf>
    <xf borderId="191" fillId="4" fontId="51" numFmtId="0" xfId="0" applyAlignment="1" applyBorder="1" applyFont="1">
      <alignment horizontal="center" readingOrder="0" shrinkToFit="0" vertical="bottom" wrapText="0"/>
    </xf>
    <xf borderId="84" fillId="4" fontId="42" numFmtId="0" xfId="0" applyAlignment="1" applyBorder="1" applyFont="1">
      <alignment horizontal="center" readingOrder="0" shrinkToFit="0" vertical="bottom" wrapText="1"/>
    </xf>
    <xf borderId="85" fillId="4" fontId="42" numFmtId="0" xfId="0" applyAlignment="1" applyBorder="1" applyFont="1">
      <alignment horizontal="center" readingOrder="0" shrinkToFit="0" vertical="bottom" wrapText="1"/>
    </xf>
    <xf borderId="0" fillId="0" fontId="70" numFmtId="0" xfId="0" applyAlignment="1" applyFont="1">
      <alignment vertical="bottom"/>
    </xf>
    <xf borderId="0" fillId="3" fontId="52" numFmtId="0" xfId="0" applyAlignment="1" applyFont="1">
      <alignment horizontal="center" shrinkToFit="0" wrapText="0"/>
    </xf>
    <xf borderId="0" fillId="3" fontId="52" numFmtId="3" xfId="0" applyAlignment="1" applyFont="1" applyNumberFormat="1">
      <alignment horizontal="right"/>
    </xf>
    <xf borderId="0" fillId="0" fontId="70" numFmtId="164" xfId="0" applyAlignment="1" applyFont="1" applyNumberFormat="1">
      <alignment vertical="bottom"/>
    </xf>
    <xf borderId="0" fillId="3" fontId="52" numFmtId="0" xfId="0" applyAlignment="1" applyFont="1">
      <alignment horizontal="right" shrinkToFit="0" wrapText="0"/>
    </xf>
    <xf borderId="0" fillId="0" fontId="60" numFmtId="0" xfId="0" applyFont="1"/>
    <xf borderId="193" fillId="3" fontId="52" numFmtId="0" xfId="0" applyAlignment="1" applyBorder="1" applyFont="1">
      <alignment horizontal="center" shrinkToFit="0" vertical="center" wrapText="0"/>
    </xf>
    <xf borderId="194" fillId="0" fontId="71" numFmtId="0" xfId="0" applyAlignment="1" applyBorder="1" applyFont="1">
      <alignment horizontal="center"/>
    </xf>
    <xf borderId="195" fillId="0" fontId="72" numFmtId="3" xfId="0" applyAlignment="1" applyBorder="1" applyFont="1" applyNumberFormat="1">
      <alignment horizontal="right"/>
    </xf>
    <xf borderId="196" fillId="0" fontId="72" numFmtId="3" xfId="0" applyAlignment="1" applyBorder="1" applyFont="1" applyNumberFormat="1">
      <alignment horizontal="right"/>
    </xf>
    <xf borderId="197" fillId="0" fontId="72" numFmtId="3" xfId="0" applyAlignment="1" applyBorder="1" applyFont="1" applyNumberFormat="1">
      <alignment horizontal="right"/>
    </xf>
    <xf borderId="198" fillId="15" fontId="72" numFmtId="0" xfId="0" applyAlignment="1" applyBorder="1" applyFont="1">
      <alignment horizontal="center"/>
    </xf>
    <xf borderId="0" fillId="0" fontId="71" numFmtId="3" xfId="0" applyAlignment="1" applyFont="1" applyNumberFormat="1">
      <alignment horizontal="center"/>
    </xf>
    <xf borderId="0" fillId="0" fontId="71" numFmtId="0" xfId="0" applyAlignment="1" applyFont="1">
      <alignment horizontal="center" vertical="bottom"/>
    </xf>
    <xf borderId="0" fillId="0" fontId="71" numFmtId="0" xfId="0" applyAlignment="1" applyFont="1">
      <alignment horizontal="center"/>
    </xf>
    <xf borderId="199" fillId="0" fontId="72" numFmtId="0" xfId="0" applyAlignment="1" applyBorder="1" applyFont="1">
      <alignment horizontal="center" vertical="center"/>
    </xf>
    <xf borderId="200" fillId="15" fontId="73" numFmtId="0" xfId="0" applyBorder="1" applyFont="1"/>
    <xf borderId="197" fillId="15" fontId="73" numFmtId="165" xfId="0" applyBorder="1" applyFont="1" applyNumberFormat="1"/>
    <xf borderId="201" fillId="15" fontId="73" numFmtId="165" xfId="0" applyBorder="1" applyFont="1" applyNumberFormat="1"/>
    <xf borderId="0" fillId="0" fontId="60" numFmtId="0" xfId="0" applyAlignment="1" applyFont="1">
      <alignment vertical="bottom"/>
    </xf>
    <xf borderId="0" fillId="0" fontId="60" numFmtId="0" xfId="0" applyAlignment="1" applyFont="1">
      <alignment vertical="center"/>
    </xf>
    <xf borderId="202" fillId="0" fontId="60" numFmtId="0" xfId="0" applyAlignment="1" applyBorder="1" applyFont="1">
      <alignment vertical="bottom"/>
    </xf>
    <xf borderId="0" fillId="0" fontId="56" numFmtId="3" xfId="0" applyAlignment="1" applyFont="1" applyNumberFormat="1">
      <alignment horizontal="center"/>
    </xf>
    <xf borderId="0" fillId="0" fontId="60" numFmtId="3" xfId="0" applyFont="1" applyNumberFormat="1"/>
    <xf borderId="202" fillId="0" fontId="60" numFmtId="0" xfId="0" applyAlignment="1" applyBorder="1" applyFont="1">
      <alignment vertical="center"/>
    </xf>
    <xf borderId="0" fillId="0" fontId="60" numFmtId="49" xfId="0" applyFont="1" applyNumberFormat="1"/>
    <xf borderId="203" fillId="0" fontId="41" numFmtId="0" xfId="0" applyAlignment="1" applyBorder="1" applyFont="1">
      <alignment horizontal="right" vertical="center"/>
    </xf>
    <xf borderId="204" fillId="0" fontId="56" numFmtId="49" xfId="0" applyAlignment="1" applyBorder="1" applyFont="1" applyNumberFormat="1">
      <alignment horizontal="center"/>
    </xf>
    <xf borderId="205" fillId="0" fontId="56" numFmtId="3" xfId="0" applyAlignment="1" applyBorder="1" applyFont="1" applyNumberFormat="1">
      <alignment horizontal="center" readingOrder="0"/>
    </xf>
    <xf borderId="105" fillId="0" fontId="56" numFmtId="3" xfId="0" applyAlignment="1" applyBorder="1" applyFont="1" applyNumberFormat="1">
      <alignment horizontal="center" readingOrder="0"/>
    </xf>
    <xf borderId="104" fillId="0" fontId="56" numFmtId="3" xfId="0" applyAlignment="1" applyBorder="1" applyFont="1" applyNumberFormat="1">
      <alignment horizontal="center" readingOrder="0"/>
    </xf>
    <xf borderId="206" fillId="15" fontId="56" numFmtId="3" xfId="0" applyAlignment="1" applyBorder="1" applyFont="1" applyNumberFormat="1">
      <alignment horizontal="center"/>
    </xf>
    <xf borderId="207" fillId="0" fontId="74" numFmtId="0" xfId="0" applyAlignment="1" applyBorder="1" applyFont="1">
      <alignment horizontal="center" readingOrder="0" vertical="center"/>
    </xf>
    <xf borderId="0" fillId="3" fontId="75" numFmtId="0" xfId="0" applyAlignment="1" applyFont="1">
      <alignment horizontal="left" vertical="center"/>
    </xf>
    <xf borderId="208" fillId="0" fontId="41" numFmtId="0" xfId="0" applyAlignment="1" applyBorder="1" applyFont="1">
      <alignment horizontal="right" vertical="center"/>
    </xf>
    <xf borderId="209" fillId="15" fontId="56" numFmtId="3" xfId="0" applyAlignment="1" applyBorder="1" applyFont="1" applyNumberFormat="1">
      <alignment horizontal="center"/>
    </xf>
    <xf borderId="126" fillId="15" fontId="56" numFmtId="3" xfId="0" applyAlignment="1" applyBorder="1" applyFont="1" applyNumberFormat="1">
      <alignment horizontal="center"/>
    </xf>
    <xf borderId="131" fillId="15" fontId="56" numFmtId="49" xfId="0" applyAlignment="1" applyBorder="1" applyFont="1" applyNumberFormat="1">
      <alignment horizontal="center"/>
    </xf>
    <xf borderId="207" fillId="0" fontId="74" numFmtId="0" xfId="0" applyAlignment="1" applyBorder="1" applyFont="1">
      <alignment horizontal="center" vertical="center"/>
    </xf>
    <xf borderId="210" fillId="0" fontId="42" numFmtId="0" xfId="0" applyAlignment="1" applyBorder="1" applyFont="1">
      <alignment horizontal="right" vertical="center"/>
    </xf>
    <xf borderId="211" fillId="0" fontId="42" numFmtId="49" xfId="0" applyAlignment="1" applyBorder="1" applyFont="1" applyNumberFormat="1">
      <alignment horizontal="right" shrinkToFit="0" wrapText="1"/>
    </xf>
    <xf borderId="212" fillId="9" fontId="47" numFmtId="3" xfId="0" applyAlignment="1" applyBorder="1" applyFont="1" applyNumberFormat="1">
      <alignment horizontal="center"/>
    </xf>
    <xf borderId="181" fillId="9" fontId="47" numFmtId="3" xfId="0" applyAlignment="1" applyBorder="1" applyFont="1" applyNumberFormat="1">
      <alignment horizontal="center"/>
    </xf>
    <xf borderId="213" fillId="9" fontId="47" numFmtId="3" xfId="0" applyAlignment="1" applyBorder="1" applyFont="1" applyNumberFormat="1">
      <alignment horizontal="center"/>
    </xf>
    <xf borderId="214" fillId="15" fontId="47" numFmtId="3" xfId="0" applyAlignment="1" applyBorder="1" applyFont="1" applyNumberFormat="1">
      <alignment horizontal="center"/>
    </xf>
    <xf borderId="0" fillId="3" fontId="75" numFmtId="0" xfId="0" applyAlignment="1" applyFont="1">
      <alignment horizontal="left" shrinkToFit="0" vertical="center" wrapText="0"/>
    </xf>
    <xf borderId="215" fillId="0" fontId="42" numFmtId="49" xfId="0" applyAlignment="1" applyBorder="1" applyFont="1" applyNumberFormat="1">
      <alignment horizontal="right" shrinkToFit="0" vertical="center" wrapText="1"/>
    </xf>
    <xf borderId="212" fillId="15" fontId="47" numFmtId="3" xfId="0" applyAlignment="1" applyBorder="1" applyFont="1" applyNumberFormat="1">
      <alignment horizontal="center"/>
    </xf>
    <xf borderId="216" fillId="15" fontId="47" numFmtId="3" xfId="0" applyAlignment="1" applyBorder="1" applyFont="1" applyNumberFormat="1">
      <alignment horizontal="center"/>
    </xf>
    <xf borderId="0" fillId="0" fontId="60" numFmtId="166" xfId="0" applyAlignment="1" applyFont="1" applyNumberFormat="1">
      <alignment vertical="bottom"/>
    </xf>
    <xf borderId="0" fillId="0" fontId="42" numFmtId="0" xfId="0" applyAlignment="1" applyFont="1">
      <alignment horizontal="right" vertical="center"/>
    </xf>
    <xf borderId="0" fillId="0" fontId="45" numFmtId="3" xfId="0" applyAlignment="1" applyFont="1" applyNumberFormat="1">
      <alignment vertical="center"/>
    </xf>
    <xf borderId="0" fillId="0" fontId="76" numFmtId="3" xfId="0" applyAlignment="1" applyFont="1" applyNumberFormat="1">
      <alignment horizontal="left" vertical="center"/>
    </xf>
    <xf borderId="0" fillId="0" fontId="42" numFmtId="3" xfId="0" applyAlignment="1" applyFont="1" applyNumberFormat="1">
      <alignment vertical="center"/>
    </xf>
    <xf borderId="193" fillId="3" fontId="41" numFmtId="0" xfId="0" applyAlignment="1" applyBorder="1" applyFont="1">
      <alignment horizontal="right" shrinkToFit="0" vertical="center" wrapText="0"/>
    </xf>
    <xf borderId="0" fillId="0" fontId="74" numFmtId="0" xfId="0" applyAlignment="1" applyFont="1">
      <alignment horizontal="center" vertical="center"/>
    </xf>
    <xf borderId="0" fillId="0" fontId="75" numFmtId="0" xfId="0" applyAlignment="1" applyFont="1">
      <alignment horizontal="left" vertical="center"/>
    </xf>
    <xf borderId="199" fillId="0" fontId="59" numFmtId="0" xfId="0" applyAlignment="1" applyBorder="1" applyFont="1">
      <alignment horizontal="center" vertical="center"/>
    </xf>
    <xf borderId="200" fillId="15" fontId="58" numFmtId="3" xfId="0" applyAlignment="1" applyBorder="1" applyFont="1" applyNumberFormat="1">
      <alignment horizontal="center" shrinkToFit="0" vertical="bottom" wrapText="0"/>
    </xf>
    <xf borderId="197" fillId="15" fontId="58" numFmtId="3" xfId="0" applyAlignment="1" applyBorder="1" applyFont="1" applyNumberFormat="1">
      <alignment horizontal="center" shrinkToFit="0" vertical="bottom" wrapText="0"/>
    </xf>
    <xf borderId="201" fillId="15" fontId="66" numFmtId="166" xfId="0" applyAlignment="1" applyBorder="1" applyFont="1" applyNumberFormat="1">
      <alignment horizontal="center" shrinkToFit="0" vertical="center" wrapText="0"/>
    </xf>
    <xf borderId="0" fillId="0" fontId="45" numFmtId="0" xfId="0" applyAlignment="1" applyFont="1">
      <alignment vertical="center"/>
    </xf>
    <xf borderId="0" fillId="0" fontId="76" numFmtId="0" xfId="0" applyAlignment="1" applyFont="1">
      <alignment horizontal="left" vertical="center"/>
    </xf>
    <xf borderId="0" fillId="0" fontId="42" numFmtId="0" xfId="0" applyAlignment="1" applyFont="1">
      <alignment horizontal="right" vertical="center"/>
    </xf>
    <xf borderId="202" fillId="0" fontId="42" numFmtId="0" xfId="0" applyAlignment="1" applyBorder="1" applyFont="1">
      <alignment vertical="center"/>
    </xf>
    <xf borderId="207" fillId="0" fontId="74" numFmtId="0" xfId="0" applyAlignment="1" applyBorder="1" applyFont="1">
      <alignment horizontal="center" vertical="center"/>
    </xf>
    <xf borderId="97" fillId="19" fontId="42" numFmtId="0" xfId="0" applyAlignment="1" applyBorder="1" applyFont="1">
      <alignment horizontal="right" vertical="center"/>
    </xf>
    <xf borderId="0" fillId="19" fontId="60" numFmtId="0" xfId="0" applyFont="1"/>
    <xf borderId="0" fillId="19" fontId="60" numFmtId="3" xfId="0" applyFont="1" applyNumberFormat="1"/>
    <xf borderId="193" fillId="19" fontId="41" numFmtId="0" xfId="0" applyAlignment="1" applyBorder="1" applyFont="1">
      <alignment horizontal="right" shrinkToFit="0" vertical="center" wrapText="0"/>
    </xf>
    <xf borderId="194" fillId="19" fontId="71" numFmtId="0" xfId="0" applyAlignment="1" applyBorder="1" applyFont="1">
      <alignment horizontal="center"/>
    </xf>
    <xf borderId="195" fillId="19" fontId="72" numFmtId="3" xfId="0" applyAlignment="1" applyBorder="1" applyFont="1" applyNumberFormat="1">
      <alignment horizontal="right"/>
    </xf>
    <xf borderId="196" fillId="19" fontId="72" numFmtId="3" xfId="0" applyAlignment="1" applyBorder="1" applyFont="1" applyNumberFormat="1">
      <alignment horizontal="right"/>
    </xf>
    <xf borderId="197" fillId="19" fontId="72" numFmtId="3" xfId="0" applyAlignment="1" applyBorder="1" applyFont="1" applyNumberFormat="1">
      <alignment horizontal="right"/>
    </xf>
    <xf borderId="0" fillId="0" fontId="77" numFmtId="0" xfId="0" applyFont="1"/>
    <xf borderId="0" fillId="0" fontId="78" numFmtId="0" xfId="0" applyAlignment="1" applyFont="1">
      <alignment horizontal="center" vertical="center"/>
    </xf>
    <xf borderId="0" fillId="0" fontId="79" numFmtId="0" xfId="0" applyAlignment="1" applyFont="1">
      <alignment horizontal="left" vertical="center"/>
    </xf>
    <xf borderId="0" fillId="0" fontId="72" numFmtId="0" xfId="0" applyAlignment="1" applyFont="1">
      <alignment horizontal="center"/>
    </xf>
    <xf borderId="199" fillId="19" fontId="59" numFmtId="0" xfId="0" applyAlignment="1" applyBorder="1" applyFont="1">
      <alignment horizontal="center" vertical="center"/>
    </xf>
    <xf borderId="97" fillId="0" fontId="42" numFmtId="0" xfId="0" applyAlignment="1" applyBorder="1" applyFont="1">
      <alignment horizontal="right" vertical="center"/>
    </xf>
    <xf borderId="203" fillId="19" fontId="41" numFmtId="0" xfId="0" applyAlignment="1" applyBorder="1" applyFont="1">
      <alignment horizontal="right" vertical="center"/>
    </xf>
    <xf borderId="204" fillId="19" fontId="56" numFmtId="49" xfId="0" applyAlignment="1" applyBorder="1" applyFont="1" applyNumberFormat="1">
      <alignment horizontal="center"/>
    </xf>
    <xf borderId="209" fillId="19" fontId="56" numFmtId="3" xfId="0" applyAlignment="1" applyBorder="1" applyFont="1" applyNumberFormat="1">
      <alignment horizontal="center" readingOrder="0"/>
    </xf>
    <xf borderId="128" fillId="19" fontId="56" numFmtId="3" xfId="0" applyAlignment="1" applyBorder="1" applyFont="1" applyNumberFormat="1">
      <alignment horizontal="center" readingOrder="0"/>
    </xf>
    <xf borderId="126" fillId="19" fontId="56" numFmtId="3" xfId="0" applyAlignment="1" applyBorder="1" applyFont="1" applyNumberFormat="1">
      <alignment horizontal="center" readingOrder="0"/>
    </xf>
    <xf borderId="208" fillId="19" fontId="41" numFmtId="0" xfId="0" applyAlignment="1" applyBorder="1" applyFont="1">
      <alignment horizontal="right" vertical="center"/>
    </xf>
    <xf borderId="210" fillId="19" fontId="42" numFmtId="0" xfId="0" applyAlignment="1" applyBorder="1" applyFont="1">
      <alignment horizontal="right" vertical="center"/>
    </xf>
    <xf borderId="211" fillId="19" fontId="42" numFmtId="49" xfId="0" applyAlignment="1" applyBorder="1" applyFont="1" applyNumberFormat="1">
      <alignment horizontal="right" shrinkToFit="0" wrapText="1"/>
    </xf>
    <xf borderId="212" fillId="14" fontId="47" numFmtId="3" xfId="0" applyAlignment="1" applyBorder="1" applyFont="1" applyNumberFormat="1">
      <alignment horizontal="center"/>
    </xf>
    <xf borderId="181" fillId="14" fontId="47" numFmtId="3" xfId="0" applyAlignment="1" applyBorder="1" applyFont="1" applyNumberFormat="1">
      <alignment horizontal="center"/>
    </xf>
    <xf borderId="213" fillId="14" fontId="47" numFmtId="3" xfId="0" applyAlignment="1" applyBorder="1" applyFont="1" applyNumberFormat="1">
      <alignment horizontal="center"/>
    </xf>
    <xf borderId="215" fillId="19" fontId="42" numFmtId="49" xfId="0" applyAlignment="1" applyBorder="1" applyFont="1" applyNumberFormat="1">
      <alignment horizontal="right" shrinkToFit="0" vertical="center" wrapText="1"/>
    </xf>
    <xf borderId="0" fillId="0" fontId="72" numFmtId="3" xfId="0" applyAlignment="1" applyFont="1" applyNumberFormat="1">
      <alignment horizontal="center"/>
    </xf>
    <xf borderId="0" fillId="0" fontId="72" numFmtId="0" xfId="0" applyAlignment="1" applyFont="1">
      <alignment horizontal="center" vertical="bottom"/>
    </xf>
    <xf borderId="197" fillId="15" fontId="66" numFmtId="3" xfId="0" applyAlignment="1" applyBorder="1" applyFont="1" applyNumberFormat="1">
      <alignment horizontal="center" shrinkToFit="0" vertical="center" wrapText="0"/>
    </xf>
    <xf borderId="0" fillId="0" fontId="80" numFmtId="3" xfId="0" applyAlignment="1" applyFont="1" applyNumberFormat="1">
      <alignment horizontal="center" shrinkToFit="0" wrapText="1"/>
    </xf>
    <xf borderId="0" fillId="0" fontId="52" numFmtId="3" xfId="0" applyAlignment="1" applyFont="1" applyNumberFormat="1">
      <alignment horizontal="center" shrinkToFit="0" wrapText="1"/>
    </xf>
    <xf borderId="207" fillId="0" fontId="61" numFmtId="3" xfId="0" applyAlignment="1" applyBorder="1" applyFont="1" applyNumberFormat="1">
      <alignment horizontal="center"/>
    </xf>
    <xf borderId="207" fillId="0" fontId="41" numFmtId="166" xfId="0" applyAlignment="1" applyBorder="1" applyFont="1" applyNumberFormat="1">
      <alignment horizontal="center"/>
    </xf>
    <xf borderId="0" fillId="0" fontId="51" numFmtId="0" xfId="0" applyAlignment="1" applyFont="1">
      <alignment vertical="bottom"/>
    </xf>
    <xf borderId="0" fillId="3" fontId="60" numFmtId="0" xfId="0" applyAlignment="1" applyFont="1">
      <alignment vertical="bottom"/>
    </xf>
    <xf borderId="0" fillId="3" fontId="68" numFmtId="0" xfId="0" applyAlignment="1" applyFont="1">
      <alignment horizontal="center" vertical="bottom"/>
    </xf>
    <xf borderId="207" fillId="0" fontId="61" numFmtId="167" xfId="0" applyAlignment="1" applyBorder="1" applyFont="1" applyNumberFormat="1">
      <alignment horizontal="center"/>
    </xf>
    <xf borderId="0" fillId="3" fontId="51" numFmtId="0" xfId="0" applyAlignment="1" applyFont="1">
      <alignment vertical="bottom"/>
    </xf>
    <xf borderId="0" fillId="3" fontId="68" numFmtId="0" xfId="0" applyAlignment="1" applyFont="1">
      <alignment horizontal="center" vertical="bottom"/>
    </xf>
    <xf borderId="0" fillId="3" fontId="68" numFmtId="165" xfId="0" applyAlignment="1" applyFont="1" applyNumberFormat="1">
      <alignment horizontal="center" readingOrder="0" shrinkToFit="0" vertical="bottom" wrapText="0"/>
    </xf>
    <xf borderId="0" fillId="0" fontId="61" numFmtId="0" xfId="0" applyAlignment="1" applyFont="1">
      <alignment horizontal="right" vertical="bottom"/>
    </xf>
    <xf borderId="207" fillId="9" fontId="60" numFmtId="3" xfId="0" applyAlignment="1" applyBorder="1" applyFont="1" applyNumberFormat="1">
      <alignment horizontal="center" vertical="bottom"/>
    </xf>
    <xf borderId="217" fillId="9" fontId="60" numFmtId="3" xfId="0" applyAlignment="1" applyBorder="1" applyFont="1" applyNumberFormat="1">
      <alignment horizontal="center" vertical="bottom"/>
    </xf>
    <xf borderId="187" fillId="9" fontId="81" numFmtId="3" xfId="0" applyAlignment="1" applyBorder="1" applyFont="1" applyNumberFormat="1">
      <alignment horizontal="center" vertical="bottom"/>
    </xf>
    <xf borderId="207" fillId="3" fontId="68" numFmtId="167" xfId="0" applyAlignment="1" applyBorder="1" applyFont="1" applyNumberFormat="1">
      <alignment horizontal="center" vertical="bottom"/>
    </xf>
    <xf borderId="207" fillId="3" fontId="70" numFmtId="166" xfId="0" applyAlignment="1" applyBorder="1" applyFont="1" applyNumberFormat="1">
      <alignment horizontal="center" vertical="bottom"/>
    </xf>
    <xf borderId="218" fillId="9" fontId="81" numFmtId="3" xfId="0" applyAlignment="1" applyBorder="1" applyFont="1" applyNumberFormat="1">
      <alignment horizontal="center" vertical="bottom"/>
    </xf>
    <xf borderId="73" fillId="9" fontId="81" numFmtId="3" xfId="0" applyAlignment="1" applyBorder="1" applyFont="1" applyNumberFormat="1">
      <alignment horizontal="center" vertical="bottom"/>
    </xf>
    <xf borderId="73" fillId="9" fontId="81" numFmtId="0" xfId="0" applyAlignment="1" applyBorder="1" applyFont="1">
      <alignment horizontal="center" vertical="bottom"/>
    </xf>
    <xf borderId="207" fillId="14" fontId="60" numFmtId="3" xfId="0" applyAlignment="1" applyBorder="1" applyFont="1" applyNumberFormat="1">
      <alignment horizontal="center" vertical="bottom"/>
    </xf>
    <xf borderId="217" fillId="14" fontId="60" numFmtId="3" xfId="0" applyAlignment="1" applyBorder="1" applyFont="1" applyNumberFormat="1">
      <alignment horizontal="center" vertical="bottom"/>
    </xf>
    <xf borderId="219" fillId="14" fontId="81" numFmtId="3" xfId="0" applyAlignment="1" applyBorder="1" applyFont="1" applyNumberFormat="1">
      <alignment horizontal="center" vertical="bottom"/>
    </xf>
    <xf borderId="207" fillId="0" fontId="68" numFmtId="0" xfId="0" applyAlignment="1" applyBorder="1" applyFont="1">
      <alignment horizontal="center" vertical="bottom"/>
    </xf>
    <xf borderId="207" fillId="0" fontId="70" numFmtId="166" xfId="0" applyAlignment="1" applyBorder="1" applyFont="1" applyNumberFormat="1">
      <alignment horizontal="center" vertical="bottom"/>
    </xf>
    <xf borderId="220" fillId="14" fontId="81" numFmtId="3" xfId="0" applyAlignment="1" applyBorder="1" applyFont="1" applyNumberFormat="1">
      <alignment horizontal="center" vertical="bottom"/>
    </xf>
    <xf borderId="67" fillId="14" fontId="81" numFmtId="3" xfId="0" applyAlignment="1" applyBorder="1" applyFont="1" applyNumberFormat="1">
      <alignment horizontal="center" vertical="bottom"/>
    </xf>
    <xf borderId="221" fillId="14" fontId="81" numFmtId="0" xfId="0" applyAlignment="1" applyBorder="1" applyFont="1">
      <alignment horizontal="center" vertical="bottom"/>
    </xf>
    <xf borderId="0" fillId="0" fontId="52" numFmtId="0" xfId="0" applyAlignment="1" applyFont="1">
      <alignment horizontal="right" shrinkToFit="0" vertical="center" wrapText="1"/>
    </xf>
    <xf borderId="0" fillId="0" fontId="52" numFmtId="0" xfId="0" applyAlignment="1" applyFont="1">
      <alignment horizontal="right" readingOrder="0" shrinkToFit="0" vertical="center" wrapText="1"/>
    </xf>
    <xf borderId="207" fillId="0" fontId="60" numFmtId="3" xfId="0" applyAlignment="1" applyBorder="1" applyFont="1" applyNumberFormat="1">
      <alignment horizontal="center" vertical="bottom"/>
    </xf>
    <xf borderId="217" fillId="0" fontId="60" numFmtId="3" xfId="0" applyAlignment="1" applyBorder="1" applyFont="1" applyNumberFormat="1">
      <alignment horizontal="center" vertical="bottom"/>
    </xf>
    <xf borderId="214" fillId="0" fontId="56" numFmtId="3" xfId="0" applyAlignment="1" applyBorder="1" applyFont="1" applyNumberFormat="1">
      <alignment horizontal="center" vertical="bottom"/>
    </xf>
    <xf borderId="207" fillId="3" fontId="68" numFmtId="0" xfId="0" applyAlignment="1" applyBorder="1" applyFont="1">
      <alignment horizontal="center" vertical="bottom"/>
    </xf>
    <xf borderId="222" fillId="0" fontId="56" numFmtId="3" xfId="0" applyAlignment="1" applyBorder="1" applyFont="1" applyNumberFormat="1">
      <alignment horizontal="center" vertical="bottom"/>
    </xf>
    <xf borderId="221" fillId="10" fontId="56" numFmtId="3" xfId="0" applyAlignment="1" applyBorder="1" applyFont="1" applyNumberFormat="1">
      <alignment horizontal="center" vertical="bottom"/>
    </xf>
    <xf borderId="0" fillId="3" fontId="60" numFmtId="0" xfId="0" applyAlignment="1" applyFont="1">
      <alignment horizontal="center" readingOrder="0"/>
    </xf>
    <xf borderId="0" fillId="3" fontId="63" numFmtId="0" xfId="0" applyAlignment="1" applyFont="1">
      <alignment readingOrder="0"/>
    </xf>
    <xf borderId="207" fillId="3" fontId="63" numFmtId="0" xfId="0" applyAlignment="1" applyBorder="1" applyFont="1">
      <alignment vertical="bottom"/>
    </xf>
    <xf borderId="207" fillId="3" fontId="63" numFmtId="164" xfId="0" applyAlignment="1" applyBorder="1" applyFont="1" applyNumberFormat="1">
      <alignment vertical="bottom"/>
    </xf>
    <xf borderId="207" fillId="3" fontId="63" numFmtId="3" xfId="0" applyAlignment="1" applyBorder="1" applyFont="1" applyNumberFormat="1">
      <alignment vertical="bottom"/>
    </xf>
    <xf borderId="207" fillId="0" fontId="63" numFmtId="168" xfId="0" applyAlignment="1" applyBorder="1" applyFont="1" applyNumberFormat="1">
      <alignment horizontal="right" vertical="bottom"/>
    </xf>
    <xf borderId="207" fillId="0" fontId="82" numFmtId="2" xfId="0" applyAlignment="1" applyBorder="1" applyFont="1" applyNumberFormat="1">
      <alignment horizontal="center" vertical="bottom"/>
    </xf>
    <xf borderId="0" fillId="3" fontId="60" numFmtId="2" xfId="0" applyFont="1" applyNumberFormat="1"/>
    <xf borderId="0" fillId="3" fontId="63" numFmtId="3" xfId="0" applyFont="1" applyNumberFormat="1"/>
    <xf borderId="64" fillId="17" fontId="41" numFmtId="0" xfId="0" applyAlignment="1" applyBorder="1" applyFont="1">
      <alignment horizontal="left" readingOrder="0" shrinkToFit="0" vertical="center" wrapText="0"/>
    </xf>
    <xf borderId="65" fillId="17" fontId="41" numFmtId="20" xfId="0" applyAlignment="1" applyBorder="1" applyFont="1" applyNumberFormat="1">
      <alignment horizontal="center" shrinkToFit="0" vertical="center" wrapText="0"/>
    </xf>
    <xf borderId="65" fillId="17" fontId="41" numFmtId="164" xfId="0" applyAlignment="1" applyBorder="1" applyFont="1" applyNumberFormat="1">
      <alignment horizontal="left" readingOrder="0" shrinkToFit="0" vertical="center" wrapText="0"/>
    </xf>
    <xf borderId="65" fillId="17" fontId="41" numFmtId="164" xfId="0" applyAlignment="1" applyBorder="1" applyFont="1" applyNumberFormat="1">
      <alignment horizontal="right" readingOrder="0" shrinkToFit="0" vertical="center" wrapText="0"/>
    </xf>
    <xf borderId="65" fillId="17" fontId="42" numFmtId="0" xfId="0" applyAlignment="1" applyBorder="1" applyFont="1">
      <alignment horizontal="center" shrinkToFit="0" vertical="center" wrapText="0"/>
    </xf>
    <xf borderId="66" fillId="17" fontId="42" numFmtId="0" xfId="0" applyAlignment="1" applyBorder="1" applyFont="1">
      <alignment horizontal="center" shrinkToFit="0" vertical="center" wrapText="0"/>
    </xf>
    <xf borderId="64" fillId="17" fontId="41" numFmtId="164" xfId="0" applyAlignment="1" applyBorder="1" applyFont="1" applyNumberFormat="1">
      <alignment horizontal="left" readingOrder="0" shrinkToFit="0" vertical="center" wrapText="0"/>
    </xf>
    <xf borderId="72" fillId="3" fontId="44" numFmtId="164" xfId="0" applyAlignment="1" applyBorder="1" applyFont="1" applyNumberFormat="1">
      <alignment horizontal="right" readingOrder="0" shrinkToFit="0" wrapText="0"/>
    </xf>
    <xf borderId="0" fillId="17" fontId="44" numFmtId="0" xfId="0" applyAlignment="1" applyFont="1">
      <alignment horizontal="center" shrinkToFit="0" vertical="center" wrapText="1"/>
    </xf>
    <xf borderId="67" fillId="3" fontId="44" numFmtId="164" xfId="0" applyAlignment="1" applyBorder="1" applyFont="1" applyNumberFormat="1">
      <alignment horizontal="right" readingOrder="0" shrinkToFit="0" wrapText="0"/>
    </xf>
    <xf borderId="223" fillId="3" fontId="44" numFmtId="164" xfId="0" applyAlignment="1" applyBorder="1" applyFont="1" applyNumberFormat="1">
      <alignment horizontal="right" readingOrder="0" shrinkToFit="0" wrapText="0"/>
    </xf>
    <xf borderId="224" fillId="19" fontId="47" numFmtId="0" xfId="0" applyAlignment="1" applyBorder="1" applyFont="1">
      <alignment horizontal="center" shrinkToFit="0" wrapText="0"/>
    </xf>
    <xf borderId="225" fillId="19" fontId="47" numFmtId="0" xfId="0" applyAlignment="1" applyBorder="1" applyFont="1">
      <alignment horizontal="center" shrinkToFit="0" wrapText="0"/>
    </xf>
    <xf borderId="81" fillId="3" fontId="49" numFmtId="164" xfId="0" applyAlignment="1" applyBorder="1" applyFont="1" applyNumberFormat="1">
      <alignment horizontal="center" readingOrder="0" shrinkToFit="0" vertical="bottom" wrapText="1"/>
    </xf>
    <xf borderId="82" fillId="3" fontId="49" numFmtId="0" xfId="0" applyAlignment="1" applyBorder="1" applyFont="1">
      <alignment horizontal="center" readingOrder="0" shrinkToFit="0" vertical="bottom" wrapText="1"/>
    </xf>
    <xf borderId="83" fillId="4" fontId="50" numFmtId="0" xfId="0" applyAlignment="1" applyBorder="1" applyFont="1">
      <alignment horizontal="center" shrinkToFit="0" vertical="bottom" wrapText="0"/>
    </xf>
    <xf borderId="84" fillId="4" fontId="50" numFmtId="0" xfId="0" applyAlignment="1" applyBorder="1" applyFont="1">
      <alignment horizontal="center" shrinkToFit="0" vertical="bottom" wrapText="0"/>
    </xf>
    <xf borderId="85" fillId="4" fontId="50" numFmtId="0" xfId="0" applyAlignment="1" applyBorder="1" applyFont="1">
      <alignment horizontal="center" shrinkToFit="0" vertical="bottom" wrapText="0"/>
    </xf>
    <xf borderId="0" fillId="0" fontId="44" numFmtId="0" xfId="0" applyAlignment="1" applyFont="1">
      <alignment horizontal="center" readingOrder="0" shrinkToFit="0" vertical="bottom" wrapText="0"/>
    </xf>
    <xf borderId="86" fillId="19" fontId="49" numFmtId="0" xfId="0" applyAlignment="1" applyBorder="1" applyFont="1">
      <alignment horizontal="center" readingOrder="0" shrinkToFit="0" vertical="bottom" wrapText="1"/>
    </xf>
    <xf borderId="85" fillId="19" fontId="49" numFmtId="0" xfId="0" applyAlignment="1" applyBorder="1" applyFont="1">
      <alignment horizontal="center" readingOrder="0" shrinkToFit="0" vertical="bottom" wrapText="1"/>
    </xf>
    <xf borderId="87" fillId="3" fontId="53" numFmtId="0" xfId="0" applyAlignment="1" applyBorder="1" applyFont="1">
      <alignment horizontal="center" shrinkToFit="0" wrapText="0"/>
    </xf>
    <xf borderId="88" fillId="3" fontId="53" numFmtId="0" xfId="0" applyAlignment="1" applyBorder="1" applyFont="1">
      <alignment horizontal="center" shrinkToFit="0" wrapText="0"/>
    </xf>
    <xf borderId="159" fillId="3" fontId="53" numFmtId="164" xfId="0" applyAlignment="1" applyBorder="1" applyFont="1" applyNumberFormat="1">
      <alignment horizontal="center" shrinkToFit="0" wrapText="0"/>
    </xf>
    <xf borderId="90" fillId="3" fontId="53" numFmtId="0" xfId="0" applyAlignment="1" applyBorder="1" applyFont="1">
      <alignment horizontal="center" readingOrder="0" shrinkToFit="0" wrapText="0"/>
    </xf>
    <xf borderId="87" fillId="17" fontId="54" numFmtId="0" xfId="0" applyAlignment="1" applyBorder="1" applyFont="1">
      <alignment horizontal="right" shrinkToFit="0" wrapText="0"/>
    </xf>
    <xf borderId="160" fillId="17" fontId="53" numFmtId="0" xfId="0" applyAlignment="1" applyBorder="1" applyFont="1">
      <alignment horizontal="center" shrinkToFit="0" wrapText="0"/>
    </xf>
    <xf borderId="88" fillId="17" fontId="53" numFmtId="165" xfId="0" applyAlignment="1" applyBorder="1" applyFont="1" applyNumberFormat="1">
      <alignment horizontal="center" shrinkToFit="0" wrapText="0"/>
    </xf>
    <xf borderId="95" fillId="17" fontId="53" numFmtId="165" xfId="0" applyAlignment="1" applyBorder="1" applyFont="1" applyNumberFormat="1">
      <alignment horizontal="center" shrinkToFit="0" wrapText="0"/>
    </xf>
    <xf borderId="110" fillId="3" fontId="56" numFmtId="3" xfId="0" applyAlignment="1" applyBorder="1" applyFont="1" applyNumberFormat="1">
      <alignment horizontal="center" readingOrder="0" shrinkToFit="0" vertical="center" wrapText="0"/>
    </xf>
    <xf borderId="96" fillId="17" fontId="56" numFmtId="0" xfId="0" applyAlignment="1" applyBorder="1" applyFont="1">
      <alignment horizontal="center" shrinkToFit="0" vertical="center" wrapText="0"/>
    </xf>
    <xf borderId="147" fillId="17" fontId="56" numFmtId="0" xfId="0" applyAlignment="1" applyBorder="1" applyFont="1">
      <alignment horizontal="center" shrinkToFit="0" vertical="center" wrapText="0"/>
    </xf>
    <xf borderId="109" fillId="17" fontId="56" numFmtId="0" xfId="0" applyAlignment="1" applyBorder="1" applyFont="1">
      <alignment horizontal="center" shrinkToFit="0" vertical="center" wrapText="0"/>
    </xf>
    <xf borderId="100" fillId="17" fontId="56" numFmtId="49" xfId="0" applyAlignment="1" applyBorder="1" applyFont="1" applyNumberFormat="1">
      <alignment horizontal="center" shrinkToFit="0" vertical="center" wrapText="0"/>
    </xf>
    <xf borderId="166" fillId="3" fontId="44" numFmtId="0" xfId="0" applyAlignment="1" applyBorder="1" applyFont="1">
      <alignment horizontal="center" readingOrder="0" shrinkToFit="0" vertical="center" wrapText="0"/>
    </xf>
    <xf borderId="226" fillId="3" fontId="56" numFmtId="3" xfId="0" applyAlignment="1" applyBorder="1" applyFont="1" applyNumberFormat="1">
      <alignment horizontal="center" readingOrder="0" shrinkToFit="0" vertical="center" wrapText="0"/>
    </xf>
    <xf borderId="165" fillId="3" fontId="56" numFmtId="3" xfId="0" applyAlignment="1" applyBorder="1" applyFont="1" applyNumberFormat="1">
      <alignment horizontal="center" readingOrder="0" shrinkToFit="0" vertical="center" wrapText="0"/>
    </xf>
    <xf borderId="123" fillId="17" fontId="56" numFmtId="3" xfId="0" applyAlignment="1" applyBorder="1" applyFont="1" applyNumberFormat="1">
      <alignment horizontal="center" shrinkToFit="0" vertical="center" wrapText="0"/>
    </xf>
    <xf borderId="167" fillId="17" fontId="56" numFmtId="3" xfId="0" applyAlignment="1" applyBorder="1" applyFont="1" applyNumberFormat="1">
      <alignment horizontal="center" shrinkToFit="0" vertical="center" wrapText="0"/>
    </xf>
    <xf borderId="124" fillId="17" fontId="56" numFmtId="3" xfId="0" applyAlignment="1" applyBorder="1" applyFont="1" applyNumberFormat="1">
      <alignment horizontal="center" shrinkToFit="0" vertical="center" wrapText="0"/>
    </xf>
    <xf borderId="176" fillId="17" fontId="56" numFmtId="49" xfId="0" applyAlignment="1" applyBorder="1" applyFont="1" applyNumberFormat="1">
      <alignment horizontal="center" shrinkToFit="0" vertical="center" wrapText="0"/>
    </xf>
    <xf borderId="109" fillId="19" fontId="53" numFmtId="0" xfId="0" applyAlignment="1" applyBorder="1" applyFont="1">
      <alignment horizontal="center" shrinkToFit="0" vertical="center" wrapText="0"/>
    </xf>
    <xf borderId="162" fillId="19" fontId="83" numFmtId="164" xfId="0" applyAlignment="1" applyBorder="1" applyFont="1" applyNumberFormat="1">
      <alignment horizontal="center" shrinkToFit="0" wrapText="0"/>
    </xf>
    <xf borderId="98" fillId="19" fontId="83" numFmtId="0" xfId="0" applyAlignment="1" applyBorder="1" applyFont="1">
      <alignment horizontal="center" readingOrder="0" shrinkToFit="0" wrapText="0"/>
    </xf>
    <xf borderId="110" fillId="19" fontId="53" numFmtId="3" xfId="0" applyAlignment="1" applyBorder="1" applyFont="1" applyNumberFormat="1">
      <alignment horizontal="right"/>
    </xf>
    <xf borderId="99" fillId="19" fontId="53" numFmtId="3" xfId="0" applyAlignment="1" applyBorder="1" applyFont="1" applyNumberFormat="1">
      <alignment horizontal="right"/>
    </xf>
    <xf borderId="96" fillId="17" fontId="58" numFmtId="0" xfId="0" applyAlignment="1" applyBorder="1" applyFont="1">
      <alignment horizontal="right" shrinkToFit="0" vertical="bottom" wrapText="0"/>
    </xf>
    <xf borderId="111" fillId="19" fontId="53" numFmtId="3" xfId="0" applyAlignment="1" applyBorder="1" applyFont="1" applyNumberFormat="1">
      <alignment horizontal="right"/>
    </xf>
    <xf borderId="112" fillId="19" fontId="53" numFmtId="3" xfId="0" applyAlignment="1" applyBorder="1" applyFont="1" applyNumberFormat="1">
      <alignment horizontal="right"/>
    </xf>
    <xf borderId="147" fillId="17" fontId="58" numFmtId="0" xfId="0" applyAlignment="1" applyBorder="1" applyFont="1">
      <alignment horizontal="right" shrinkToFit="0" vertical="bottom" wrapText="0"/>
    </xf>
    <xf borderId="109" fillId="17" fontId="58" numFmtId="165" xfId="0" applyAlignment="1" applyBorder="1" applyFont="1" applyNumberFormat="1">
      <alignment horizontal="right" shrinkToFit="0" vertical="bottom" wrapText="0"/>
    </xf>
    <xf borderId="100" fillId="17" fontId="66" numFmtId="165" xfId="0" applyAlignment="1" applyBorder="1" applyFont="1" applyNumberFormat="1">
      <alignment horizontal="center" shrinkToFit="0" vertical="center" wrapText="0"/>
    </xf>
    <xf borderId="227" fillId="19" fontId="56" numFmtId="3" xfId="0" applyAlignment="1" applyBorder="1" applyFont="1" applyNumberFormat="1">
      <alignment horizontal="center" readingOrder="0" shrinkToFit="0" vertical="center" wrapText="0"/>
    </xf>
    <xf borderId="228" fillId="19" fontId="56" numFmtId="3" xfId="0" applyAlignment="1" applyBorder="1" applyFont="1" applyNumberFormat="1">
      <alignment horizontal="center" readingOrder="0" shrinkToFit="0" vertical="center" wrapText="0"/>
    </xf>
    <xf borderId="229" fillId="19" fontId="56" numFmtId="3" xfId="0" applyAlignment="1" applyBorder="1" applyFont="1" applyNumberFormat="1">
      <alignment horizontal="center" readingOrder="0" shrinkToFit="0" vertical="center" wrapText="0"/>
    </xf>
    <xf borderId="123" fillId="19" fontId="41" numFmtId="0" xfId="0" applyAlignment="1" applyBorder="1" applyFont="1">
      <alignment horizontal="right" shrinkToFit="0" vertical="center" wrapText="0"/>
    </xf>
    <xf borderId="125" fillId="19" fontId="56" numFmtId="3" xfId="0" applyAlignment="1" applyBorder="1" applyFont="1" applyNumberFormat="1">
      <alignment horizontal="center" readingOrder="0" shrinkToFit="0" vertical="center" wrapText="0"/>
    </xf>
    <xf borderId="96" fillId="3" fontId="59" numFmtId="0" xfId="0" applyAlignment="1" applyBorder="1" applyFont="1">
      <alignment horizontal="right" shrinkToFit="0" vertical="center" wrapText="0"/>
    </xf>
    <xf borderId="109" fillId="3" fontId="53" numFmtId="0" xfId="0" applyAlignment="1" applyBorder="1" applyFont="1">
      <alignment horizontal="center" shrinkToFit="0" vertical="center" wrapText="0"/>
    </xf>
    <xf borderId="162" fillId="3" fontId="83" numFmtId="164" xfId="0" applyAlignment="1" applyBorder="1" applyFont="1" applyNumberFormat="1">
      <alignment horizontal="center" shrinkToFit="0" wrapText="0"/>
    </xf>
    <xf borderId="98" fillId="3" fontId="83" numFmtId="0" xfId="0" applyAlignment="1" applyBorder="1" applyFont="1">
      <alignment horizontal="center" readingOrder="0" shrinkToFit="0" wrapText="0"/>
    </xf>
    <xf borderId="110" fillId="0" fontId="53" numFmtId="3" xfId="0" applyAlignment="1" applyBorder="1" applyFont="1" applyNumberFormat="1">
      <alignment horizontal="right" shrinkToFit="0" wrapText="0"/>
    </xf>
    <xf borderId="99" fillId="0" fontId="53" numFmtId="3" xfId="0" applyAlignment="1" applyBorder="1" applyFont="1" applyNumberFormat="1">
      <alignment horizontal="right" shrinkToFit="0" wrapText="0"/>
    </xf>
    <xf borderId="119" fillId="17" fontId="54" numFmtId="0" xfId="0" applyAlignment="1" applyBorder="1" applyFont="1">
      <alignment horizontal="right" shrinkToFit="0" wrapText="0"/>
    </xf>
    <xf borderId="119" fillId="3" fontId="59" numFmtId="0" xfId="0" applyAlignment="1" applyBorder="1" applyFont="1">
      <alignment horizontal="right" shrinkToFit="0" wrapText="0"/>
    </xf>
    <xf borderId="111" fillId="0" fontId="53" numFmtId="3" xfId="0" applyAlignment="1" applyBorder="1" applyFont="1" applyNumberFormat="1">
      <alignment horizontal="right" shrinkToFit="0" wrapText="0"/>
    </xf>
    <xf borderId="112" fillId="0" fontId="53" numFmtId="3" xfId="0" applyAlignment="1" applyBorder="1" applyFont="1" applyNumberFormat="1">
      <alignment horizontal="right" shrinkToFit="0" wrapText="0"/>
    </xf>
    <xf borderId="122" fillId="17" fontId="66" numFmtId="165" xfId="0" applyAlignment="1" applyBorder="1" applyFont="1" applyNumberFormat="1">
      <alignment horizontal="center" shrinkToFit="0" vertical="center" wrapText="0"/>
    </xf>
    <xf borderId="110" fillId="0" fontId="56" numFmtId="3" xfId="0" applyAlignment="1" applyBorder="1" applyFont="1" applyNumberFormat="1">
      <alignment horizontal="center" readingOrder="0" shrinkToFit="0" vertical="center" wrapText="0"/>
    </xf>
    <xf borderId="99" fillId="0" fontId="56" numFmtId="3" xfId="0" applyAlignment="1" applyBorder="1" applyFont="1" applyNumberFormat="1">
      <alignment horizontal="center" readingOrder="0" shrinkToFit="0" vertical="center" wrapText="0"/>
    </xf>
    <xf borderId="226" fillId="0" fontId="56" numFmtId="3" xfId="0" applyAlignment="1" applyBorder="1" applyFont="1" applyNumberFormat="1">
      <alignment horizontal="center" readingOrder="0" shrinkToFit="0" vertical="center" wrapText="0"/>
    </xf>
    <xf borderId="105" fillId="0" fontId="56" numFmtId="3" xfId="0" applyAlignment="1" applyBorder="1" applyFont="1" applyNumberFormat="1">
      <alignment horizontal="center" readingOrder="0" shrinkToFit="0" vertical="center" wrapText="0"/>
    </xf>
    <xf borderId="113" fillId="19" fontId="53" numFmtId="0" xfId="0" applyAlignment="1" applyBorder="1" applyFont="1">
      <alignment horizontal="center" shrinkToFit="0" vertical="center" wrapText="0"/>
    </xf>
    <xf borderId="157" fillId="19" fontId="83" numFmtId="164" xfId="0" applyAlignment="1" applyBorder="1" applyFont="1" applyNumberFormat="1">
      <alignment horizontal="center" shrinkToFit="0" wrapText="0"/>
    </xf>
    <xf borderId="120" fillId="19" fontId="83" numFmtId="0" xfId="0" applyAlignment="1" applyBorder="1" applyFont="1">
      <alignment horizontal="center" readingOrder="0" shrinkToFit="0" wrapText="0"/>
    </xf>
    <xf borderId="119" fillId="17" fontId="58" numFmtId="0" xfId="0" applyAlignment="1" applyBorder="1" applyFont="1">
      <alignment horizontal="right" shrinkToFit="0" vertical="bottom" wrapText="0"/>
    </xf>
    <xf borderId="158" fillId="17" fontId="58" numFmtId="0" xfId="0" applyAlignment="1" applyBorder="1" applyFont="1">
      <alignment horizontal="right" shrinkToFit="0" vertical="bottom" wrapText="0"/>
    </xf>
    <xf borderId="156" fillId="17" fontId="66" numFmtId="165" xfId="0" applyAlignment="1" applyBorder="1" applyFont="1" applyNumberFormat="1">
      <alignment horizontal="center" shrinkToFit="0" vertical="center" wrapText="0"/>
    </xf>
    <xf borderId="0" fillId="17" fontId="56" numFmtId="0" xfId="0" applyAlignment="1" applyFont="1">
      <alignment horizontal="center" shrinkToFit="0" vertical="center" wrapText="0"/>
    </xf>
    <xf borderId="133" fillId="19" fontId="56" numFmtId="3" xfId="0" applyAlignment="1" applyBorder="1" applyFont="1" applyNumberFormat="1">
      <alignment horizontal="center" readingOrder="0" shrinkToFit="0" vertical="center" wrapText="0"/>
    </xf>
    <xf borderId="131" fillId="17" fontId="56" numFmtId="3" xfId="0" applyAlignment="1" applyBorder="1" applyFont="1" applyNumberFormat="1">
      <alignment horizontal="center" shrinkToFit="0" vertical="center" wrapText="0"/>
    </xf>
    <xf borderId="173" fillId="17" fontId="56" numFmtId="3" xfId="0" applyAlignment="1" applyBorder="1" applyFont="1" applyNumberFormat="1">
      <alignment horizontal="center" shrinkToFit="0" vertical="center" wrapText="0"/>
    </xf>
    <xf borderId="132" fillId="17" fontId="56" numFmtId="3" xfId="0" applyAlignment="1" applyBorder="1" applyFont="1" applyNumberFormat="1">
      <alignment horizontal="center" shrinkToFit="0" vertical="center" wrapText="0"/>
    </xf>
    <xf borderId="172" fillId="17" fontId="56" numFmtId="49" xfId="0" applyAlignment="1" applyBorder="1" applyFont="1" applyNumberFormat="1">
      <alignment horizontal="center" shrinkToFit="0" vertical="center" wrapText="0"/>
    </xf>
    <xf borderId="141" fillId="3" fontId="61" numFmtId="0" xfId="0" applyAlignment="1" applyBorder="1" applyFont="1">
      <alignment horizontal="center" readingOrder="0" shrinkToFit="0" wrapText="0"/>
    </xf>
    <xf borderId="141" fillId="3" fontId="61" numFmtId="0" xfId="0" applyAlignment="1" applyBorder="1" applyFont="1">
      <alignment horizontal="center" shrinkToFit="0" wrapText="0"/>
    </xf>
    <xf borderId="141" fillId="3" fontId="61" numFmtId="164" xfId="0" applyAlignment="1" applyBorder="1" applyFont="1" applyNumberFormat="1">
      <alignment horizontal="center" shrinkToFit="0" wrapText="0"/>
    </xf>
    <xf borderId="141" fillId="3" fontId="49" numFmtId="0" xfId="0" applyAlignment="1" applyBorder="1" applyFont="1">
      <alignment horizontal="center" readingOrder="0" shrinkToFit="0" wrapText="0"/>
    </xf>
    <xf borderId="141" fillId="3" fontId="49" numFmtId="0" xfId="0" applyAlignment="1" applyBorder="1" applyFont="1">
      <alignment horizontal="center" shrinkToFit="0" wrapText="0"/>
    </xf>
    <xf borderId="0" fillId="0" fontId="49" numFmtId="0" xfId="0" applyAlignment="1" applyFont="1">
      <alignment horizontal="center" shrinkToFit="0" wrapText="0"/>
    </xf>
    <xf borderId="80" fillId="17" fontId="41" numFmtId="0" xfId="0" applyAlignment="1" applyBorder="1" applyFont="1">
      <alignment horizontal="center" readingOrder="0" shrinkToFit="0" vertical="center" wrapText="1"/>
    </xf>
    <xf borderId="65" fillId="17" fontId="44" numFmtId="0" xfId="0" applyAlignment="1" applyBorder="1" applyFont="1">
      <alignment horizontal="center" readingOrder="0" shrinkToFit="0" vertical="center" wrapText="1"/>
    </xf>
    <xf borderId="83" fillId="17" fontId="44" numFmtId="164" xfId="0" applyAlignment="1" applyBorder="1" applyFont="1" applyNumberFormat="1">
      <alignment horizontal="center" shrinkToFit="0" vertical="center" wrapText="0"/>
    </xf>
    <xf borderId="82" fillId="17" fontId="48" numFmtId="0" xfId="0" applyAlignment="1" applyBorder="1" applyFont="1">
      <alignment horizontal="center" readingOrder="0" shrinkToFit="0" vertical="center" wrapText="0"/>
    </xf>
    <xf borderId="83" fillId="22" fontId="48" numFmtId="1" xfId="0" applyAlignment="1" applyBorder="1" applyFill="1" applyFont="1" applyNumberFormat="1">
      <alignment horizontal="center" shrinkToFit="0" vertical="center" wrapText="0"/>
    </xf>
    <xf borderId="84" fillId="22" fontId="48" numFmtId="1" xfId="0" applyAlignment="1" applyBorder="1" applyFont="1" applyNumberFormat="1">
      <alignment horizontal="center" shrinkToFit="0" vertical="center" wrapText="0"/>
    </xf>
    <xf borderId="85" fillId="22" fontId="48" numFmtId="1" xfId="0" applyAlignment="1" applyBorder="1" applyFont="1" applyNumberFormat="1">
      <alignment horizontal="center" shrinkToFit="0" vertical="center" wrapText="0"/>
    </xf>
    <xf borderId="93" fillId="22" fontId="43" numFmtId="0" xfId="0" applyAlignment="1" applyBorder="1" applyFont="1">
      <alignment readingOrder="0" vertical="bottom"/>
    </xf>
    <xf borderId="161" fillId="22" fontId="60" numFmtId="0" xfId="0" applyAlignment="1" applyBorder="1" applyFont="1">
      <alignment vertical="bottom"/>
    </xf>
    <xf borderId="83" fillId="17" fontId="48" numFmtId="168" xfId="0" applyAlignment="1" applyBorder="1" applyFont="1" applyNumberFormat="1">
      <alignment horizontal="center" shrinkToFit="0" vertical="center" wrapText="0"/>
    </xf>
    <xf borderId="84" fillId="17" fontId="48" numFmtId="168" xfId="0" applyAlignment="1" applyBorder="1" applyFont="1" applyNumberFormat="1">
      <alignment horizontal="center" shrinkToFit="0" vertical="center" wrapText="0"/>
    </xf>
    <xf borderId="85" fillId="17" fontId="48" numFmtId="168" xfId="0" applyAlignment="1" applyBorder="1" applyFont="1" applyNumberFormat="1">
      <alignment horizontal="center" shrinkToFit="0" vertical="center" wrapText="0"/>
    </xf>
    <xf borderId="97" fillId="22" fontId="43" numFmtId="0" xfId="0" applyAlignment="1" applyBorder="1" applyFont="1">
      <alignment readingOrder="0" vertical="center"/>
    </xf>
    <xf borderId="163" fillId="22" fontId="60" numFmtId="0" xfId="0" applyAlignment="1" applyBorder="1" applyFont="1">
      <alignment vertical="center"/>
    </xf>
    <xf borderId="83" fillId="17" fontId="48" numFmtId="1" xfId="0" applyAlignment="1" applyBorder="1" applyFont="1" applyNumberFormat="1">
      <alignment horizontal="center" shrinkToFit="0" vertical="center" wrapText="0"/>
    </xf>
    <xf borderId="84" fillId="17" fontId="48" numFmtId="1" xfId="0" applyAlignment="1" applyBorder="1" applyFont="1" applyNumberFormat="1">
      <alignment horizontal="center" shrinkToFit="0" vertical="center" wrapText="0"/>
    </xf>
    <xf borderId="85" fillId="17" fontId="48" numFmtId="1" xfId="0" applyAlignment="1" applyBorder="1" applyFont="1" applyNumberFormat="1">
      <alignment horizontal="center" shrinkToFit="0" vertical="center" wrapText="0"/>
    </xf>
    <xf borderId="210" fillId="22" fontId="43" numFmtId="0" xfId="0" applyAlignment="1" applyBorder="1" applyFont="1">
      <alignment readingOrder="0" vertical="top"/>
    </xf>
    <xf borderId="230" fillId="22" fontId="60" numFmtId="0" xfId="0" applyAlignment="1" applyBorder="1" applyFont="1">
      <alignment vertical="top"/>
    </xf>
    <xf borderId="0" fillId="0" fontId="6" numFmtId="0" xfId="0" applyAlignment="1" applyFont="1">
      <alignment readingOrder="0"/>
    </xf>
    <xf borderId="0" fillId="0" fontId="84" numFmtId="0" xfId="0" applyAlignment="1" applyFont="1">
      <alignment horizontal="center" readingOrder="0" shrinkToFit="0" vertical="center" wrapText="1"/>
    </xf>
    <xf borderId="0" fillId="0" fontId="85" numFmtId="0" xfId="0" applyAlignment="1" applyFont="1">
      <alignment horizontal="center" readingOrder="0" shrinkToFit="0" vertical="center" wrapText="1"/>
    </xf>
    <xf borderId="0" fillId="0" fontId="85" numFmtId="164" xfId="0" applyAlignment="1" applyFont="1" applyNumberFormat="1">
      <alignment horizontal="center" shrinkToFit="0" vertical="center" wrapText="0"/>
    </xf>
    <xf borderId="0" fillId="0" fontId="86" numFmtId="0" xfId="0" applyAlignment="1" applyFont="1">
      <alignment horizontal="center" readingOrder="0" shrinkToFit="0" vertical="center" wrapText="0"/>
    </xf>
    <xf borderId="0" fillId="0" fontId="87" numFmtId="0" xfId="0" applyAlignment="1" applyFont="1">
      <alignment horizontal="center" shrinkToFit="0" vertical="center" wrapText="0"/>
    </xf>
    <xf borderId="0" fillId="0" fontId="63" numFmtId="0" xfId="0" applyFont="1"/>
    <xf borderId="0" fillId="0" fontId="85" numFmtId="0" xfId="0" applyAlignment="1" applyFont="1">
      <alignment horizontal="right" shrinkToFit="0" vertical="center" wrapText="0"/>
    </xf>
    <xf borderId="0" fillId="21" fontId="63" numFmtId="0" xfId="0" applyAlignment="1" applyFont="1">
      <alignment horizontal="right" vertical="bottom"/>
    </xf>
    <xf borderId="0" fillId="3" fontId="0" numFmtId="2" xfId="0" applyAlignment="1" applyFont="1" applyNumberFormat="1">
      <alignment horizontal="right" vertical="bottom"/>
    </xf>
    <xf borderId="0" fillId="0" fontId="63" numFmtId="2" xfId="0" applyAlignment="1" applyFont="1" applyNumberFormat="1">
      <alignment horizontal="right" vertical="bottom"/>
    </xf>
    <xf borderId="0" fillId="0" fontId="63" numFmtId="0" xfId="0" applyAlignment="1" applyFont="1">
      <alignment vertical="bottom"/>
    </xf>
    <xf borderId="0" fillId="3" fontId="63" numFmtId="169" xfId="0" applyAlignment="1" applyFont="1" applyNumberFormat="1">
      <alignment horizontal="right" vertical="bottom"/>
    </xf>
    <xf borderId="100" fillId="3" fontId="44" numFmtId="0" xfId="0" applyAlignment="1" applyBorder="1" applyFont="1">
      <alignment horizontal="right" readingOrder="0" shrinkToFit="0" vertical="center" wrapText="0"/>
    </xf>
    <xf borderId="98" fillId="3" fontId="56" numFmtId="3" xfId="0" applyAlignment="1" applyBorder="1" applyFont="1" applyNumberFormat="1">
      <alignment horizontal="center" readingOrder="0" shrinkToFit="0" vertical="center" wrapText="0"/>
    </xf>
    <xf borderId="165" fillId="3" fontId="44" numFmtId="0" xfId="0" applyAlignment="1" applyBorder="1" applyFont="1">
      <alignment horizontal="right" readingOrder="0" shrinkToFit="0" vertical="center" wrapText="0"/>
    </xf>
    <xf borderId="104" fillId="3" fontId="56" numFmtId="3" xfId="0" applyAlignment="1" applyBorder="1" applyFont="1" applyNumberFormat="1">
      <alignment horizontal="center" readingOrder="0" shrinkToFit="0" vertical="center" wrapText="0"/>
    </xf>
    <xf borderId="101" fillId="3" fontId="44" numFmtId="0" xfId="0" applyAlignment="1" applyBorder="1" applyFont="1">
      <alignment horizontal="right" shrinkToFit="0" vertical="center" wrapText="0"/>
    </xf>
    <xf borderId="100" fillId="19" fontId="53" numFmtId="0" xfId="0" applyAlignment="1" applyBorder="1" applyFont="1">
      <alignment horizontal="right" shrinkToFit="0" vertical="center" wrapText="0"/>
    </xf>
    <xf borderId="120" fillId="19" fontId="53" numFmtId="3" xfId="0" applyAlignment="1" applyBorder="1" applyFont="1" applyNumberFormat="1">
      <alignment horizontal="right"/>
    </xf>
    <xf borderId="96" fillId="19" fontId="53" numFmtId="0" xfId="0" applyAlignment="1" applyBorder="1" applyFont="1">
      <alignment horizontal="right" shrinkToFit="0" vertical="center" wrapText="0"/>
    </xf>
    <xf borderId="100" fillId="19" fontId="44" numFmtId="0" xfId="0" applyAlignment="1" applyBorder="1" applyFont="1">
      <alignment horizontal="right" readingOrder="0" shrinkToFit="0" vertical="center" wrapText="0"/>
    </xf>
    <xf borderId="98" fillId="19" fontId="56" numFmtId="3" xfId="0" applyAlignment="1" applyBorder="1" applyFont="1" applyNumberFormat="1">
      <alignment horizontal="center" readingOrder="0" shrinkToFit="0" vertical="center" wrapText="0"/>
    </xf>
    <xf borderId="96" fillId="19" fontId="44" numFmtId="0" xfId="0" applyAlignment="1" applyBorder="1" applyFont="1">
      <alignment horizontal="right" shrinkToFit="0" vertical="center" wrapText="0"/>
    </xf>
    <xf borderId="176" fillId="19" fontId="44" numFmtId="0" xfId="0" applyAlignment="1" applyBorder="1" applyFont="1">
      <alignment horizontal="right" readingOrder="0" shrinkToFit="0" vertical="center" wrapText="0"/>
    </xf>
    <xf borderId="126" fillId="19" fontId="56" numFmtId="3" xfId="0" applyAlignment="1" applyBorder="1" applyFont="1" applyNumberFormat="1">
      <alignment horizontal="center" readingOrder="0" shrinkToFit="0" vertical="center" wrapText="0"/>
    </xf>
    <xf borderId="123" fillId="19" fontId="44" numFmtId="0" xfId="0" applyAlignment="1" applyBorder="1" applyFont="1">
      <alignment horizontal="right" shrinkToFit="0" vertical="center" wrapText="0"/>
    </xf>
    <xf borderId="100" fillId="3" fontId="53" numFmtId="0" xfId="0" applyAlignment="1" applyBorder="1" applyFont="1">
      <alignment horizontal="right" shrinkToFit="0" vertical="center" wrapText="0"/>
    </xf>
    <xf borderId="120" fillId="0" fontId="53" numFmtId="3" xfId="0" applyAlignment="1" applyBorder="1" applyFont="1" applyNumberFormat="1">
      <alignment horizontal="right" shrinkToFit="0" wrapText="0"/>
    </xf>
    <xf borderId="119" fillId="3" fontId="53" numFmtId="0" xfId="0" applyAlignment="1" applyBorder="1" applyFont="1">
      <alignment horizontal="right" shrinkToFit="0" wrapText="0"/>
    </xf>
    <xf borderId="98" fillId="0" fontId="56" numFmtId="3" xfId="0" applyAlignment="1" applyBorder="1" applyFont="1" applyNumberFormat="1">
      <alignment horizontal="center" readingOrder="0" shrinkToFit="0" vertical="center" wrapText="0"/>
    </xf>
    <xf borderId="104" fillId="0" fontId="56" numFmtId="3" xfId="0" applyAlignment="1" applyBorder="1" applyFont="1" applyNumberFormat="1">
      <alignment horizontal="center" readingOrder="0" shrinkToFit="0" vertical="center" wrapText="0"/>
    </xf>
    <xf borderId="122" fillId="19" fontId="53" numFmtId="0" xfId="0" applyAlignment="1" applyBorder="1" applyFont="1">
      <alignment horizontal="right" shrinkToFit="0" vertical="center" wrapText="0"/>
    </xf>
    <xf borderId="120" fillId="19" fontId="53" numFmtId="3" xfId="0" applyAlignment="1" applyBorder="1" applyFont="1" applyNumberFormat="1">
      <alignment horizontal="right" shrinkToFit="0" wrapText="0"/>
    </xf>
    <xf borderId="119" fillId="19" fontId="53" numFmtId="0" xfId="0" applyAlignment="1" applyBorder="1" applyFont="1">
      <alignment horizontal="right" shrinkToFit="0" vertical="center" wrapText="0"/>
    </xf>
    <xf borderId="231" fillId="19" fontId="44" numFmtId="0" xfId="0" applyAlignment="1" applyBorder="1" applyFont="1">
      <alignment horizontal="right" readingOrder="0" shrinkToFit="0" vertical="center" wrapText="0"/>
    </xf>
    <xf borderId="232" fillId="19" fontId="44" numFmtId="0" xfId="0" applyAlignment="1" applyBorder="1" applyFont="1">
      <alignment horizontal="center" readingOrder="0" shrinkToFit="0" vertical="center" wrapText="0"/>
    </xf>
    <xf borderId="233" fillId="19" fontId="55" numFmtId="49" xfId="0" applyAlignment="1" applyBorder="1" applyFont="1" applyNumberFormat="1">
      <alignment horizontal="center" shrinkToFit="0" vertical="center" wrapText="0"/>
    </xf>
    <xf borderId="234" fillId="19" fontId="55" numFmtId="49" xfId="0" applyAlignment="1" applyBorder="1" applyFont="1" applyNumberFormat="1">
      <alignment horizontal="center" readingOrder="0" shrinkToFit="0" vertical="center" wrapText="0"/>
    </xf>
    <xf borderId="235" fillId="19" fontId="56" numFmtId="3" xfId="0" applyAlignment="1" applyBorder="1" applyFont="1" applyNumberFormat="1">
      <alignment horizontal="center" readingOrder="0" shrinkToFit="0" vertical="center" wrapText="0"/>
    </xf>
    <xf borderId="236" fillId="19" fontId="56" numFmtId="3" xfId="0" applyAlignment="1" applyBorder="1" applyFont="1" applyNumberFormat="1">
      <alignment horizontal="center" readingOrder="0" shrinkToFit="0" vertical="center" wrapText="0"/>
    </xf>
    <xf borderId="234" fillId="19" fontId="56" numFmtId="3" xfId="0" applyAlignment="1" applyBorder="1" applyFont="1" applyNumberFormat="1">
      <alignment horizontal="center" readingOrder="0" shrinkToFit="0" vertical="center" wrapText="0"/>
    </xf>
    <xf borderId="237" fillId="17" fontId="56" numFmtId="3" xfId="0" applyAlignment="1" applyBorder="1" applyFont="1" applyNumberFormat="1">
      <alignment horizontal="center" shrinkToFit="0" vertical="center" wrapText="0"/>
    </xf>
    <xf borderId="237" fillId="19" fontId="44" numFmtId="0" xfId="0" applyAlignment="1" applyBorder="1" applyFont="1">
      <alignment horizontal="right" shrinkToFit="0" vertical="center" wrapText="0"/>
    </xf>
    <xf borderId="238" fillId="17" fontId="56" numFmtId="3" xfId="0" applyAlignment="1" applyBorder="1" applyFont="1" applyNumberFormat="1">
      <alignment horizontal="center" shrinkToFit="0" vertical="center" wrapText="0"/>
    </xf>
    <xf borderId="232" fillId="17" fontId="56" numFmtId="3" xfId="0" applyAlignment="1" applyBorder="1" applyFont="1" applyNumberFormat="1">
      <alignment horizontal="center" shrinkToFit="0" vertical="center" wrapText="0"/>
    </xf>
    <xf borderId="231" fillId="17" fontId="56" numFmtId="49" xfId="0" applyAlignment="1" applyBorder="1" applyFont="1" applyNumberFormat="1">
      <alignment horizontal="center" shrinkToFit="0" vertical="center" wrapText="0"/>
    </xf>
    <xf borderId="83" fillId="13" fontId="48" numFmtId="1" xfId="0" applyAlignment="1" applyBorder="1" applyFont="1" applyNumberFormat="1">
      <alignment horizontal="center" shrinkToFit="0" vertical="center" wrapText="0"/>
    </xf>
    <xf borderId="84" fillId="13" fontId="48" numFmtId="1" xfId="0" applyAlignment="1" applyBorder="1" applyFont="1" applyNumberFormat="1">
      <alignment horizontal="center" shrinkToFit="0" vertical="center" wrapText="0"/>
    </xf>
    <xf borderId="85" fillId="13" fontId="48" numFmtId="1" xfId="0" applyAlignment="1" applyBorder="1" applyFont="1" applyNumberFormat="1">
      <alignment horizontal="center" shrinkToFit="0" vertical="center" wrapText="0"/>
    </xf>
    <xf borderId="120" fillId="13" fontId="69" numFmtId="0" xfId="0" applyAlignment="1" applyBorder="1" applyFont="1">
      <alignment readingOrder="0" vertical="bottom"/>
    </xf>
    <xf borderId="113" fillId="13" fontId="69" numFmtId="0" xfId="0" applyAlignment="1" applyBorder="1" applyFont="1">
      <alignment vertical="bottom"/>
    </xf>
    <xf borderId="98" fillId="13" fontId="69" numFmtId="0" xfId="0" applyAlignment="1" applyBorder="1" applyFont="1">
      <alignment readingOrder="0" vertical="center"/>
    </xf>
    <xf borderId="109" fillId="13" fontId="69" numFmtId="0" xfId="0" applyAlignment="1" applyBorder="1" applyFont="1">
      <alignment vertical="bottom"/>
    </xf>
    <xf borderId="239" fillId="13" fontId="68" numFmtId="0" xfId="0" applyAlignment="1" applyBorder="1" applyFont="1">
      <alignment readingOrder="0" vertical="top"/>
    </xf>
    <xf borderId="71" fillId="13" fontId="69" numFmtId="0" xfId="0" applyAlignment="1" applyBorder="1" applyFont="1">
      <alignment vertical="top"/>
    </xf>
    <xf borderId="0" fillId="21" fontId="63" numFmtId="0" xfId="0" applyAlignment="1" applyFont="1">
      <alignment readingOrder="0"/>
    </xf>
    <xf borderId="141" fillId="3" fontId="88" numFmtId="0" xfId="0" applyAlignment="1" applyBorder="1" applyFont="1">
      <alignment horizontal="center" readingOrder="0" shrinkToFit="0" wrapText="0"/>
    </xf>
    <xf borderId="141" fillId="3" fontId="88" numFmtId="0" xfId="0" applyAlignment="1" applyBorder="1" applyFont="1">
      <alignment horizontal="center" shrinkToFit="0" wrapText="0"/>
    </xf>
    <xf borderId="141" fillId="3" fontId="88" numFmtId="164" xfId="0" applyAlignment="1" applyBorder="1" applyFont="1" applyNumberFormat="1">
      <alignment horizontal="center" shrinkToFit="0" wrapText="0"/>
    </xf>
    <xf borderId="141" fillId="3" fontId="64" numFmtId="0" xfId="0" applyAlignment="1" applyBorder="1" applyFont="1">
      <alignment horizontal="center" readingOrder="0" shrinkToFit="0" wrapText="0"/>
    </xf>
    <xf borderId="141" fillId="3" fontId="64" numFmtId="0" xfId="0" applyAlignment="1" applyBorder="1" applyFont="1">
      <alignment horizontal="center" shrinkToFit="0" wrapText="0"/>
    </xf>
    <xf borderId="0" fillId="0" fontId="64" numFmtId="0" xfId="0" applyAlignment="1" applyFont="1">
      <alignment horizontal="center" shrinkToFit="0" wrapText="0"/>
    </xf>
    <xf borderId="217" fillId="17" fontId="85" numFmtId="0" xfId="0" applyAlignment="1" applyBorder="1" applyFont="1">
      <alignment horizontal="left" readingOrder="0" shrinkToFit="0" wrapText="0"/>
    </xf>
    <xf borderId="76" fillId="17" fontId="85" numFmtId="20" xfId="0" applyAlignment="1" applyBorder="1" applyFont="1" applyNumberFormat="1">
      <alignment horizontal="center" shrinkToFit="0" wrapText="0"/>
    </xf>
    <xf borderId="76" fillId="17" fontId="85" numFmtId="164" xfId="0" applyAlignment="1" applyBorder="1" applyFont="1" applyNumberFormat="1">
      <alignment horizontal="left" readingOrder="0" shrinkToFit="0" wrapText="0"/>
    </xf>
    <xf borderId="76" fillId="17" fontId="85" numFmtId="164" xfId="0" applyAlignment="1" applyBorder="1" applyFont="1" applyNumberFormat="1">
      <alignment horizontal="right" readingOrder="0" shrinkToFit="0" wrapText="0"/>
    </xf>
    <xf borderId="76" fillId="17" fontId="87" numFmtId="0" xfId="0" applyAlignment="1" applyBorder="1" applyFont="1">
      <alignment horizontal="center" shrinkToFit="0" wrapText="0"/>
    </xf>
    <xf borderId="76" fillId="17" fontId="86" numFmtId="0" xfId="0" applyAlignment="1" applyBorder="1" applyFont="1">
      <alignment horizontal="center" shrinkToFit="0" wrapText="0"/>
    </xf>
    <xf borderId="78" fillId="17" fontId="86" numFmtId="0" xfId="0" applyAlignment="1" applyBorder="1" applyFont="1">
      <alignment horizontal="center" shrinkToFit="0" wrapText="0"/>
    </xf>
    <xf borderId="240" fillId="3" fontId="85" numFmtId="164" xfId="0" applyAlignment="1" applyBorder="1" applyFont="1" applyNumberFormat="1">
      <alignment horizontal="right" readingOrder="0" shrinkToFit="0" wrapText="0"/>
    </xf>
    <xf borderId="156" fillId="17" fontId="85" numFmtId="0" xfId="0" applyAlignment="1" applyBorder="1" applyFont="1">
      <alignment horizontal="center" shrinkToFit="0" vertical="center" wrapText="1"/>
    </xf>
    <xf borderId="239" fillId="3" fontId="85" numFmtId="164" xfId="0" applyAlignment="1" applyBorder="1" applyFont="1" applyNumberFormat="1">
      <alignment horizontal="right" readingOrder="0" shrinkToFit="0" wrapText="0"/>
    </xf>
    <xf borderId="71" fillId="3" fontId="85" numFmtId="164" xfId="0" applyAlignment="1" applyBorder="1" applyFont="1" applyNumberFormat="1">
      <alignment horizontal="right" readingOrder="0" shrinkToFit="0" wrapText="0"/>
    </xf>
    <xf borderId="71" fillId="19" fontId="89" numFmtId="0" xfId="0" applyAlignment="1" applyBorder="1" applyFont="1">
      <alignment horizontal="center" shrinkToFit="0" wrapText="0"/>
    </xf>
    <xf borderId="240" fillId="19" fontId="89" numFmtId="0" xfId="0" applyAlignment="1" applyBorder="1" applyFont="1">
      <alignment horizontal="center" shrinkToFit="0" wrapText="0"/>
    </xf>
    <xf borderId="240" fillId="19" fontId="87" numFmtId="0" xfId="0" applyAlignment="1" applyBorder="1" applyFont="1">
      <alignment horizontal="center" shrinkToFit="0" wrapText="0"/>
    </xf>
    <xf borderId="71" fillId="23" fontId="85" numFmtId="164" xfId="0" applyAlignment="1" applyBorder="1" applyFill="1" applyFont="1" applyNumberFormat="1">
      <alignment horizontal="right" readingOrder="0" shrinkToFit="0" wrapText="0"/>
    </xf>
    <xf borderId="240" fillId="19" fontId="86" numFmtId="0" xfId="0" applyAlignment="1" applyBorder="1" applyFont="1">
      <alignment horizontal="center" shrinkToFit="0" wrapText="0"/>
    </xf>
    <xf borderId="207" fillId="3" fontId="85" numFmtId="164" xfId="0" applyAlignment="1" applyBorder="1" applyFont="1" applyNumberFormat="1">
      <alignment horizontal="right" readingOrder="0" shrinkToFit="0" wrapText="0"/>
    </xf>
    <xf borderId="217" fillId="3" fontId="85" numFmtId="164" xfId="0" applyAlignment="1" applyBorder="1" applyFont="1" applyNumberFormat="1">
      <alignment horizontal="right" readingOrder="0" shrinkToFit="0" wrapText="0"/>
    </xf>
    <xf borderId="78" fillId="3" fontId="85" numFmtId="164" xfId="0" applyAlignment="1" applyBorder="1" applyFont="1" applyNumberFormat="1">
      <alignment horizontal="right" readingOrder="0" shrinkToFit="0" wrapText="0"/>
    </xf>
    <xf borderId="78" fillId="19" fontId="90" numFmtId="0" xfId="0" applyAlignment="1" applyBorder="1" applyFont="1">
      <alignment horizontal="center" readingOrder="0"/>
    </xf>
    <xf borderId="207" fillId="0" fontId="90" numFmtId="0" xfId="0" applyBorder="1" applyFont="1"/>
    <xf borderId="78" fillId="23" fontId="85" numFmtId="164" xfId="0" applyAlignment="1" applyBorder="1" applyFont="1" applyNumberFormat="1">
      <alignment horizontal="right" readingOrder="0" shrinkToFit="0" wrapText="0"/>
    </xf>
    <xf borderId="207" fillId="0" fontId="6" numFmtId="0" xfId="0" applyBorder="1" applyFont="1"/>
    <xf borderId="78" fillId="19" fontId="87" numFmtId="0" xfId="0" applyAlignment="1" applyBorder="1" applyFont="1">
      <alignment horizontal="center" shrinkToFit="0" wrapText="0"/>
    </xf>
    <xf borderId="207" fillId="19" fontId="87" numFmtId="0" xfId="0" applyAlignment="1" applyBorder="1" applyFont="1">
      <alignment horizontal="center" shrinkToFit="0" wrapText="0"/>
    </xf>
    <xf borderId="207" fillId="19" fontId="86" numFmtId="0" xfId="0" applyAlignment="1" applyBorder="1" applyFont="1">
      <alignment horizontal="center" shrinkToFit="0" wrapText="0"/>
    </xf>
    <xf borderId="120" fillId="3" fontId="85" numFmtId="0" xfId="0" applyAlignment="1" applyBorder="1" applyFont="1">
      <alignment horizontal="center" readingOrder="0" shrinkToFit="0" vertical="bottom" wrapText="0"/>
    </xf>
    <xf borderId="112" fillId="3" fontId="85" numFmtId="0" xfId="0" applyAlignment="1" applyBorder="1" applyFont="1">
      <alignment horizontal="center" readingOrder="0" shrinkToFit="0" vertical="bottom" wrapText="0"/>
    </xf>
    <xf borderId="99" fillId="3" fontId="64" numFmtId="164" xfId="0" applyAlignment="1" applyBorder="1" applyFont="1" applyNumberFormat="1">
      <alignment horizontal="center" readingOrder="0" shrinkToFit="0" vertical="center" wrapText="1"/>
    </xf>
    <xf borderId="99" fillId="3" fontId="64" numFmtId="0" xfId="0" applyAlignment="1" applyBorder="1" applyFont="1">
      <alignment horizontal="center" readingOrder="0" shrinkToFit="0" vertical="center" wrapText="1"/>
    </xf>
    <xf borderId="112" fillId="19" fontId="89" numFmtId="0" xfId="0" applyAlignment="1" applyBorder="1" applyFont="1">
      <alignment horizontal="center" shrinkToFit="0" vertical="center" wrapText="0"/>
    </xf>
    <xf borderId="112" fillId="19" fontId="87" numFmtId="0" xfId="0" applyAlignment="1" applyBorder="1" applyFont="1">
      <alignment horizontal="center" readingOrder="0" shrinkToFit="0" vertical="center" wrapText="0"/>
    </xf>
    <xf borderId="120" fillId="23" fontId="85" numFmtId="0" xfId="0" applyAlignment="1" applyBorder="1" applyFont="1">
      <alignment horizontal="center" readingOrder="0" shrinkToFit="0" vertical="center" wrapText="0"/>
    </xf>
    <xf borderId="120" fillId="3" fontId="85" numFmtId="0" xfId="0" applyAlignment="1" applyBorder="1" applyFont="1">
      <alignment horizontal="center" readingOrder="0" shrinkToFit="0" vertical="center" wrapText="0"/>
    </xf>
    <xf borderId="112" fillId="19" fontId="86" numFmtId="0" xfId="0" applyAlignment="1" applyBorder="1" applyFont="1">
      <alignment horizontal="center" readingOrder="0" shrinkToFit="0" vertical="center" wrapText="1"/>
    </xf>
    <xf borderId="120" fillId="3" fontId="91" numFmtId="0" xfId="0" applyAlignment="1" applyBorder="1" applyFont="1">
      <alignment horizontal="center" shrinkToFit="0" wrapText="0"/>
    </xf>
    <xf borderId="112" fillId="3" fontId="91" numFmtId="0" xfId="0" applyAlignment="1" applyBorder="1" applyFont="1">
      <alignment horizontal="center" shrinkToFit="0" wrapText="0"/>
    </xf>
    <xf borderId="112" fillId="3" fontId="91" numFmtId="164" xfId="0" applyAlignment="1" applyBorder="1" applyFont="1" applyNumberFormat="1">
      <alignment horizontal="center" shrinkToFit="0" wrapText="0"/>
    </xf>
    <xf borderId="112" fillId="3" fontId="91" numFmtId="0" xfId="0" applyAlignment="1" applyBorder="1" applyFont="1">
      <alignment horizontal="center" readingOrder="0" shrinkToFit="0" wrapText="0"/>
    </xf>
    <xf borderId="112" fillId="3" fontId="91" numFmtId="3" xfId="0" applyAlignment="1" applyBorder="1" applyFont="1" applyNumberFormat="1">
      <alignment horizontal="right"/>
    </xf>
    <xf borderId="112" fillId="18" fontId="86" numFmtId="0" xfId="0" applyAlignment="1" applyBorder="1" applyFont="1">
      <alignment horizontal="right" shrinkToFit="0" wrapText="0"/>
    </xf>
    <xf borderId="241" fillId="23" fontId="91" numFmtId="0" xfId="0" applyAlignment="1" applyBorder="1" applyFont="1">
      <alignment horizontal="right" shrinkToFit="0" wrapText="0"/>
    </xf>
    <xf borderId="112" fillId="3" fontId="91" numFmtId="0" xfId="0" applyAlignment="1" applyBorder="1" applyFont="1">
      <alignment horizontal="right" shrinkToFit="0" wrapText="0"/>
    </xf>
    <xf borderId="112" fillId="18" fontId="91" numFmtId="0" xfId="0" applyAlignment="1" applyBorder="1" applyFont="1">
      <alignment horizontal="center" shrinkToFit="0" wrapText="0"/>
    </xf>
    <xf borderId="112" fillId="18" fontId="91" numFmtId="165" xfId="0" applyAlignment="1" applyBorder="1" applyFont="1" applyNumberFormat="1">
      <alignment horizontal="center" shrinkToFit="0" wrapText="0"/>
    </xf>
    <xf borderId="98" fillId="3" fontId="85" numFmtId="0" xfId="0" applyAlignment="1" applyBorder="1" applyFont="1">
      <alignment horizontal="right" readingOrder="0" shrinkToFit="0" vertical="center" wrapText="0"/>
    </xf>
    <xf borderId="99" fillId="3" fontId="85" numFmtId="0" xfId="0" applyAlignment="1" applyBorder="1" applyFont="1">
      <alignment horizontal="center" readingOrder="0" shrinkToFit="0" vertical="center" wrapText="0"/>
    </xf>
    <xf borderId="99" fillId="3" fontId="92" numFmtId="49" xfId="0" applyAlignment="1" applyBorder="1" applyFont="1" applyNumberFormat="1">
      <alignment horizontal="center" shrinkToFit="0" vertical="center" wrapText="0"/>
    </xf>
    <xf borderId="99" fillId="3" fontId="92" numFmtId="49" xfId="0" applyAlignment="1" applyBorder="1" applyFont="1" applyNumberFormat="1">
      <alignment horizontal="center" readingOrder="0" shrinkToFit="0" vertical="center" wrapText="0"/>
    </xf>
    <xf borderId="98" fillId="3" fontId="93" numFmtId="3" xfId="0" applyAlignment="1" applyBorder="1" applyFont="1" applyNumberFormat="1">
      <alignment horizontal="center" readingOrder="0" shrinkToFit="0" vertical="center" wrapText="0"/>
    </xf>
    <xf borderId="99" fillId="18" fontId="93" numFmtId="0" xfId="0" applyAlignment="1" applyBorder="1" applyFont="1">
      <alignment horizontal="center" shrinkToFit="0" vertical="center" wrapText="0"/>
    </xf>
    <xf borderId="99" fillId="23" fontId="85" numFmtId="0" xfId="0" applyAlignment="1" applyBorder="1" applyFont="1">
      <alignment horizontal="right" shrinkToFit="0" vertical="center" wrapText="0"/>
    </xf>
    <xf borderId="99" fillId="3" fontId="85" numFmtId="0" xfId="0" applyAlignment="1" applyBorder="1" applyFont="1">
      <alignment horizontal="right" shrinkToFit="0" vertical="center" wrapText="0"/>
    </xf>
    <xf borderId="99" fillId="18" fontId="93" numFmtId="49" xfId="0" applyAlignment="1" applyBorder="1" applyFont="1" applyNumberFormat="1">
      <alignment horizontal="center" shrinkToFit="0" vertical="center" wrapText="0"/>
    </xf>
    <xf borderId="104" fillId="3" fontId="85" numFmtId="0" xfId="0" applyAlignment="1" applyBorder="1" applyFont="1">
      <alignment horizontal="right" readingOrder="0" shrinkToFit="0" vertical="center" wrapText="0"/>
    </xf>
    <xf borderId="105" fillId="3" fontId="85" numFmtId="0" xfId="0" applyAlignment="1" applyBorder="1" applyFont="1">
      <alignment horizontal="center" readingOrder="0" shrinkToFit="0" vertical="center" wrapText="0"/>
    </xf>
    <xf borderId="105" fillId="3" fontId="92" numFmtId="49" xfId="0" applyAlignment="1" applyBorder="1" applyFont="1" applyNumberFormat="1">
      <alignment horizontal="center" shrinkToFit="0" vertical="center" wrapText="0"/>
    </xf>
    <xf borderId="105" fillId="3" fontId="92" numFmtId="49" xfId="0" applyAlignment="1" applyBorder="1" applyFont="1" applyNumberFormat="1">
      <alignment horizontal="center" readingOrder="0" shrinkToFit="0" vertical="center" wrapText="0"/>
    </xf>
    <xf borderId="104" fillId="3" fontId="93" numFmtId="3" xfId="0" applyAlignment="1" applyBorder="1" applyFont="1" applyNumberFormat="1">
      <alignment horizontal="center" readingOrder="0" shrinkToFit="0" vertical="center" wrapText="0"/>
    </xf>
    <xf borderId="128" fillId="18" fontId="93" numFmtId="3" xfId="0" applyAlignment="1" applyBorder="1" applyFont="1" applyNumberFormat="1">
      <alignment horizontal="center" shrinkToFit="0" vertical="center" wrapText="0"/>
    </xf>
    <xf borderId="242" fillId="23" fontId="85" numFmtId="0" xfId="0" applyAlignment="1" applyBorder="1" applyFont="1">
      <alignment horizontal="right" shrinkToFit="0" vertical="center" wrapText="0"/>
    </xf>
    <xf borderId="105" fillId="3" fontId="85" numFmtId="0" xfId="0" applyAlignment="1" applyBorder="1" applyFont="1">
      <alignment horizontal="right" shrinkToFit="0" vertical="center" wrapText="0"/>
    </xf>
    <xf borderId="128" fillId="18" fontId="93" numFmtId="49" xfId="0" applyAlignment="1" applyBorder="1" applyFont="1" applyNumberFormat="1">
      <alignment horizontal="center" shrinkToFit="0" vertical="center" wrapText="0"/>
    </xf>
    <xf borderId="98" fillId="19" fontId="91" numFmtId="0" xfId="0" applyAlignment="1" applyBorder="1" applyFont="1">
      <alignment horizontal="right" shrinkToFit="0" vertical="center" wrapText="0"/>
    </xf>
    <xf borderId="99" fillId="19" fontId="91" numFmtId="0" xfId="0" applyAlignment="1" applyBorder="1" applyFont="1">
      <alignment horizontal="center" shrinkToFit="0" vertical="center" wrapText="0"/>
    </xf>
    <xf borderId="99" fillId="19" fontId="94" numFmtId="164" xfId="0" applyAlignment="1" applyBorder="1" applyFont="1" applyNumberFormat="1">
      <alignment horizontal="center" shrinkToFit="0" wrapText="0"/>
    </xf>
    <xf borderId="99" fillId="19" fontId="94" numFmtId="0" xfId="0" applyAlignment="1" applyBorder="1" applyFont="1">
      <alignment horizontal="center" readingOrder="0" shrinkToFit="0" wrapText="0"/>
    </xf>
    <xf borderId="99" fillId="19" fontId="91" numFmtId="3" xfId="0" applyAlignment="1" applyBorder="1" applyFont="1" applyNumberFormat="1">
      <alignment horizontal="right" shrinkToFit="0" wrapText="0"/>
    </xf>
    <xf borderId="99" fillId="18" fontId="95" numFmtId="0" xfId="0" applyAlignment="1" applyBorder="1" applyFont="1">
      <alignment horizontal="right" shrinkToFit="0" vertical="bottom" wrapText="0"/>
    </xf>
    <xf borderId="99" fillId="23" fontId="91" numFmtId="0" xfId="0" applyAlignment="1" applyBorder="1" applyFont="1">
      <alignment horizontal="right" shrinkToFit="0" vertical="center" wrapText="0"/>
    </xf>
    <xf borderId="99" fillId="19" fontId="91" numFmtId="0" xfId="0" applyAlignment="1" applyBorder="1" applyFont="1">
      <alignment horizontal="right" shrinkToFit="0" vertical="center" wrapText="0"/>
    </xf>
    <xf borderId="99" fillId="18" fontId="95" numFmtId="165" xfId="0" applyAlignment="1" applyBorder="1" applyFont="1" applyNumberFormat="1">
      <alignment horizontal="right" shrinkToFit="0" vertical="bottom" wrapText="0"/>
    </xf>
    <xf borderId="99" fillId="18" fontId="96" numFmtId="165" xfId="0" applyAlignment="1" applyBorder="1" applyFont="1" applyNumberFormat="1">
      <alignment horizontal="center" shrinkToFit="0" vertical="center" wrapText="0"/>
    </xf>
    <xf borderId="98" fillId="19" fontId="85" numFmtId="0" xfId="0" applyAlignment="1" applyBorder="1" applyFont="1">
      <alignment horizontal="right" readingOrder="0" shrinkToFit="0" vertical="center" wrapText="0"/>
    </xf>
    <xf borderId="99" fillId="19" fontId="85" numFmtId="0" xfId="0" applyAlignment="1" applyBorder="1" applyFont="1">
      <alignment horizontal="center" readingOrder="0" shrinkToFit="0" vertical="center" wrapText="0"/>
    </xf>
    <xf borderId="99" fillId="19" fontId="92" numFmtId="49" xfId="0" applyAlignment="1" applyBorder="1" applyFont="1" applyNumberFormat="1">
      <alignment horizontal="center" shrinkToFit="0" vertical="center" wrapText="0"/>
    </xf>
    <xf borderId="99" fillId="19" fontId="92" numFmtId="49" xfId="0" applyAlignment="1" applyBorder="1" applyFont="1" applyNumberFormat="1">
      <alignment horizontal="center" readingOrder="0" shrinkToFit="0" vertical="center" wrapText="0"/>
    </xf>
    <xf borderId="99" fillId="19" fontId="93" numFmtId="3" xfId="0" applyAlignment="1" applyBorder="1" applyFont="1" applyNumberFormat="1">
      <alignment horizontal="center" readingOrder="0" shrinkToFit="0" vertical="center" wrapText="0"/>
    </xf>
    <xf borderId="99" fillId="19" fontId="85" numFmtId="0" xfId="0" applyAlignment="1" applyBorder="1" applyFont="1">
      <alignment horizontal="right" shrinkToFit="0" vertical="center" wrapText="0"/>
    </xf>
    <xf borderId="126" fillId="19" fontId="85" numFmtId="0" xfId="0" applyAlignment="1" applyBorder="1" applyFont="1">
      <alignment horizontal="right" readingOrder="0" shrinkToFit="0" vertical="center" wrapText="0"/>
    </xf>
    <xf borderId="128" fillId="19" fontId="85" numFmtId="0" xfId="0" applyAlignment="1" applyBorder="1" applyFont="1">
      <alignment horizontal="center" readingOrder="0" shrinkToFit="0" vertical="center" wrapText="0"/>
    </xf>
    <xf borderId="128" fillId="19" fontId="92" numFmtId="49" xfId="0" applyAlignment="1" applyBorder="1" applyFont="1" applyNumberFormat="1">
      <alignment horizontal="center" shrinkToFit="0" vertical="center" wrapText="0"/>
    </xf>
    <xf borderId="128" fillId="19" fontId="92" numFmtId="49" xfId="0" applyAlignment="1" applyBorder="1" applyFont="1" applyNumberFormat="1">
      <alignment horizontal="center" readingOrder="0" shrinkToFit="0" vertical="center" wrapText="0"/>
    </xf>
    <xf borderId="128" fillId="19" fontId="93" numFmtId="3" xfId="0" applyAlignment="1" applyBorder="1" applyFont="1" applyNumberFormat="1">
      <alignment horizontal="center" readingOrder="0" shrinkToFit="0" vertical="center" wrapText="0"/>
    </xf>
    <xf borderId="128" fillId="19" fontId="85" numFmtId="0" xfId="0" applyAlignment="1" applyBorder="1" applyFont="1">
      <alignment horizontal="right" shrinkToFit="0" vertical="center" wrapText="0"/>
    </xf>
    <xf borderId="98" fillId="3" fontId="91" numFmtId="0" xfId="0" applyAlignment="1" applyBorder="1" applyFont="1">
      <alignment horizontal="right" shrinkToFit="0" vertical="center" wrapText="0"/>
    </xf>
    <xf borderId="99" fillId="3" fontId="91" numFmtId="0" xfId="0" applyAlignment="1" applyBorder="1" applyFont="1">
      <alignment horizontal="center" shrinkToFit="0" vertical="center" wrapText="0"/>
    </xf>
    <xf borderId="99" fillId="3" fontId="94" numFmtId="164" xfId="0" applyAlignment="1" applyBorder="1" applyFont="1" applyNumberFormat="1">
      <alignment horizontal="center" shrinkToFit="0" wrapText="0"/>
    </xf>
    <xf borderId="99" fillId="3" fontId="94" numFmtId="0" xfId="0" applyAlignment="1" applyBorder="1" applyFont="1">
      <alignment horizontal="center" readingOrder="0" shrinkToFit="0" wrapText="0"/>
    </xf>
    <xf borderId="99" fillId="3" fontId="91" numFmtId="3" xfId="0" applyAlignment="1" applyBorder="1" applyFont="1" applyNumberFormat="1">
      <alignment horizontal="right" shrinkToFit="0" wrapText="0"/>
    </xf>
    <xf borderId="99" fillId="18" fontId="86" numFmtId="0" xfId="0" applyAlignment="1" applyBorder="1" applyFont="1">
      <alignment horizontal="right" shrinkToFit="0" wrapText="0"/>
    </xf>
    <xf borderId="243" fillId="23" fontId="91" numFmtId="0" xfId="0" applyAlignment="1" applyBorder="1" applyFont="1">
      <alignment horizontal="right" shrinkToFit="0" vertical="center" wrapText="0"/>
    </xf>
    <xf borderId="99" fillId="3" fontId="91" numFmtId="0" xfId="0" applyAlignment="1" applyBorder="1" applyFont="1">
      <alignment horizontal="right" shrinkToFit="0" vertical="center" wrapText="0"/>
    </xf>
    <xf borderId="112" fillId="18" fontId="96" numFmtId="165" xfId="0" applyAlignment="1" applyBorder="1" applyFont="1" applyNumberFormat="1">
      <alignment horizontal="center" shrinkToFit="0" vertical="center" wrapText="0"/>
    </xf>
    <xf borderId="120" fillId="19" fontId="91" numFmtId="0" xfId="0" applyAlignment="1" applyBorder="1" applyFont="1">
      <alignment horizontal="right" shrinkToFit="0" vertical="center" wrapText="0"/>
    </xf>
    <xf borderId="112" fillId="19" fontId="91" numFmtId="0" xfId="0" applyAlignment="1" applyBorder="1" applyFont="1">
      <alignment horizontal="center" shrinkToFit="0" vertical="center" wrapText="0"/>
    </xf>
    <xf borderId="112" fillId="19" fontId="94" numFmtId="164" xfId="0" applyAlignment="1" applyBorder="1" applyFont="1" applyNumberFormat="1">
      <alignment horizontal="center" shrinkToFit="0" wrapText="0"/>
    </xf>
    <xf borderId="112" fillId="19" fontId="94" numFmtId="0" xfId="0" applyAlignment="1" applyBorder="1" applyFont="1">
      <alignment horizontal="center" readingOrder="0" shrinkToFit="0" wrapText="0"/>
    </xf>
    <xf borderId="112" fillId="19" fontId="91" numFmtId="3" xfId="0" applyAlignment="1" applyBorder="1" applyFont="1" applyNumberFormat="1">
      <alignment horizontal="right" shrinkToFit="0" wrapText="0"/>
    </xf>
    <xf borderId="112" fillId="18" fontId="95" numFmtId="0" xfId="0" applyAlignment="1" applyBorder="1" applyFont="1">
      <alignment horizontal="right" shrinkToFit="0" vertical="bottom" wrapText="0"/>
    </xf>
    <xf borderId="112" fillId="23" fontId="91" numFmtId="0" xfId="0" applyAlignment="1" applyBorder="1" applyFont="1">
      <alignment horizontal="right" shrinkToFit="0" vertical="center" wrapText="0"/>
    </xf>
    <xf borderId="112" fillId="19" fontId="91" numFmtId="0" xfId="0" applyAlignment="1" applyBorder="1" applyFont="1">
      <alignment horizontal="right" shrinkToFit="0" vertical="center" wrapText="0"/>
    </xf>
    <xf borderId="120" fillId="18" fontId="96" numFmtId="165" xfId="0" applyAlignment="1" applyBorder="1" applyFont="1" applyNumberFormat="1">
      <alignment horizontal="center" shrinkToFit="0" vertical="center" wrapText="0"/>
    </xf>
    <xf borderId="98" fillId="18" fontId="93" numFmtId="0" xfId="0" applyAlignment="1" applyBorder="1" applyFont="1">
      <alignment horizontal="center" shrinkToFit="0" vertical="center" wrapText="0"/>
    </xf>
    <xf borderId="128" fillId="19" fontId="85" numFmtId="0" xfId="0" applyAlignment="1" applyBorder="1" applyFont="1">
      <alignment horizontal="right" readingOrder="0" shrinkToFit="0" vertical="center" wrapText="0"/>
    </xf>
    <xf borderId="99" fillId="18" fontId="93" numFmtId="3" xfId="0" applyAlignment="1" applyBorder="1" applyFont="1" applyNumberFormat="1">
      <alignment horizontal="center" shrinkToFit="0" vertical="center" wrapText="0"/>
    </xf>
    <xf borderId="98" fillId="18" fontId="93" numFmtId="3" xfId="0" applyAlignment="1" applyBorder="1" applyFont="1" applyNumberFormat="1">
      <alignment horizontal="center" shrinkToFit="0" vertical="center" wrapText="0"/>
    </xf>
    <xf borderId="217" fillId="21" fontId="63" numFmtId="164" xfId="0" applyBorder="1" applyFont="1" applyNumberFormat="1"/>
    <xf borderId="78" fillId="21" fontId="82" numFmtId="0" xfId="0" applyAlignment="1" applyBorder="1" applyFont="1">
      <alignment horizontal="right" readingOrder="0"/>
    </xf>
    <xf borderId="78" fillId="21" fontId="8" numFmtId="0" xfId="0" applyAlignment="1" applyBorder="1" applyFont="1">
      <alignment horizontal="center"/>
    </xf>
    <xf borderId="207" fillId="21" fontId="8" numFmtId="0" xfId="0" applyAlignment="1" applyBorder="1" applyFont="1">
      <alignment horizontal="center"/>
    </xf>
    <xf borderId="217" fillId="0" fontId="8" numFmtId="0" xfId="0" applyBorder="1" applyFont="1"/>
    <xf borderId="217" fillId="21" fontId="82" numFmtId="0" xfId="0" applyAlignment="1" applyBorder="1" applyFont="1">
      <alignment horizontal="right" readingOrder="0"/>
    </xf>
    <xf borderId="217" fillId="0" fontId="63" numFmtId="164" xfId="0" applyBorder="1" applyFont="1" applyNumberFormat="1"/>
    <xf borderId="78" fillId="0" fontId="63" numFmtId="0" xfId="0" applyAlignment="1" applyBorder="1" applyFont="1">
      <alignment horizontal="right" readingOrder="0"/>
    </xf>
    <xf borderId="78" fillId="0" fontId="97" numFmtId="0" xfId="0" applyAlignment="1" applyBorder="1" applyFont="1">
      <alignment horizontal="center"/>
    </xf>
    <xf borderId="217" fillId="0" fontId="82" numFmtId="0" xfId="0" applyAlignment="1" applyBorder="1" applyFont="1">
      <alignment horizontal="right" readingOrder="0"/>
    </xf>
    <xf borderId="207" fillId="18" fontId="85" numFmtId="164" xfId="0" applyAlignment="1" applyBorder="1" applyFont="1" applyNumberFormat="1">
      <alignment horizontal="center" shrinkToFit="0" vertical="center" wrapText="0"/>
    </xf>
    <xf borderId="207" fillId="18" fontId="85" numFmtId="0" xfId="0" applyAlignment="1" applyBorder="1" applyFont="1">
      <alignment horizontal="right" readingOrder="0" shrinkToFit="0" vertical="center" wrapText="0"/>
    </xf>
    <xf borderId="207" fillId="18" fontId="86" numFmtId="0" xfId="0" applyAlignment="1" applyBorder="1" applyFont="1">
      <alignment horizontal="center" shrinkToFit="0" vertical="center" wrapText="0"/>
    </xf>
    <xf borderId="217" fillId="3" fontId="8" numFmtId="0" xfId="0" applyBorder="1" applyFont="1"/>
    <xf borderId="217" fillId="18" fontId="85" numFmtId="0" xfId="0" applyAlignment="1" applyBorder="1" applyFont="1">
      <alignment horizontal="center" readingOrder="0" shrinkToFit="0" vertical="center" wrapText="1"/>
    </xf>
    <xf borderId="78" fillId="18" fontId="85" numFmtId="0" xfId="0" applyAlignment="1" applyBorder="1" applyFont="1">
      <alignment horizontal="center" readingOrder="0" shrinkToFit="0" vertical="center" wrapText="1"/>
    </xf>
    <xf borderId="78" fillId="18" fontId="86" numFmtId="0" xfId="0" applyAlignment="1" applyBorder="1" applyFont="1">
      <alignment horizontal="center" shrinkToFit="0" vertical="center" wrapText="0"/>
    </xf>
    <xf borderId="207" fillId="18" fontId="86" numFmtId="2" xfId="0" applyAlignment="1" applyBorder="1" applyFont="1" applyNumberFormat="1">
      <alignment horizontal="center" shrinkToFit="0" vertical="center" wrapText="0"/>
    </xf>
    <xf borderId="78" fillId="18" fontId="86" numFmtId="2" xfId="0" applyAlignment="1" applyBorder="1" applyFont="1" applyNumberFormat="1">
      <alignment horizontal="center" shrinkToFit="0" vertical="center" wrapText="0"/>
    </xf>
    <xf borderId="207" fillId="10" fontId="89" numFmtId="164" xfId="0" applyAlignment="1" applyBorder="1" applyFont="1" applyNumberFormat="1">
      <alignment horizontal="center" shrinkToFit="0" vertical="center" wrapText="0"/>
    </xf>
    <xf borderId="207" fillId="10" fontId="89" numFmtId="0" xfId="0" applyAlignment="1" applyBorder="1" applyFont="1">
      <alignment horizontal="right" readingOrder="0" shrinkToFit="0" vertical="center" wrapText="0"/>
    </xf>
    <xf borderId="207" fillId="10" fontId="93" numFmtId="1" xfId="0" applyAlignment="1" applyBorder="1" applyFont="1" applyNumberFormat="1">
      <alignment horizontal="center" shrinkToFit="0" vertical="center" wrapText="0"/>
    </xf>
    <xf borderId="217" fillId="10" fontId="89" numFmtId="0" xfId="0" applyAlignment="1" applyBorder="1" applyFont="1">
      <alignment horizontal="center" readingOrder="0" shrinkToFit="0" vertical="center" wrapText="1"/>
    </xf>
    <xf borderId="78" fillId="10" fontId="89" numFmtId="0" xfId="0" applyAlignment="1" applyBorder="1" applyFont="1">
      <alignment horizontal="center" readingOrder="0" shrinkToFit="0" vertical="center" wrapText="1"/>
    </xf>
    <xf borderId="78" fillId="10" fontId="93" numFmtId="1" xfId="0" applyAlignment="1" applyBorder="1" applyFont="1" applyNumberFormat="1">
      <alignment horizontal="center" shrinkToFit="0" vertical="center" wrapText="0"/>
    </xf>
    <xf borderId="217" fillId="3" fontId="63" numFmtId="164" xfId="0" applyAlignment="1" applyBorder="1" applyFont="1" applyNumberFormat="1">
      <alignment vertical="center"/>
    </xf>
    <xf borderId="78" fillId="3" fontId="63" numFmtId="0" xfId="0" applyAlignment="1" applyBorder="1" applyFont="1">
      <alignment horizontal="right" vertical="center"/>
    </xf>
    <xf borderId="78" fillId="3" fontId="63" numFmtId="3" xfId="0" applyAlignment="1" applyBorder="1" applyFont="1" applyNumberFormat="1">
      <alignment horizontal="center" vertical="center"/>
    </xf>
    <xf borderId="207" fillId="3" fontId="63" numFmtId="3" xfId="0" applyAlignment="1" applyBorder="1" applyFont="1" applyNumberFormat="1">
      <alignment horizontal="center" vertical="center"/>
    </xf>
    <xf borderId="207" fillId="3" fontId="63" numFmtId="0" xfId="0" applyAlignment="1" applyBorder="1" applyFont="1">
      <alignment vertical="center"/>
    </xf>
    <xf borderId="239" fillId="3" fontId="63" numFmtId="164" xfId="0" applyAlignment="1" applyBorder="1" applyFont="1" applyNumberFormat="1">
      <alignment vertical="center"/>
    </xf>
    <xf borderId="71" fillId="3" fontId="63" numFmtId="0" xfId="0" applyAlignment="1" applyBorder="1" applyFont="1">
      <alignment horizontal="right" vertical="center"/>
    </xf>
    <xf borderId="244" fillId="3" fontId="63" numFmtId="164" xfId="0" applyAlignment="1" applyBorder="1" applyFont="1" applyNumberFormat="1">
      <alignment vertical="center"/>
    </xf>
    <xf borderId="71" fillId="3" fontId="63" numFmtId="0" xfId="0" applyAlignment="1" applyBorder="1" applyFont="1">
      <alignment horizontal="right" shrinkToFit="0" vertical="center" wrapText="0"/>
    </xf>
    <xf borderId="0" fillId="3" fontId="85" numFmtId="0" xfId="0" applyAlignment="1" applyFont="1">
      <alignment horizontal="center" readingOrder="0" shrinkToFit="0" vertical="center" wrapText="1"/>
    </xf>
    <xf borderId="0" fillId="3" fontId="85" numFmtId="164" xfId="0" applyAlignment="1" applyFont="1" applyNumberFormat="1">
      <alignment horizontal="center" shrinkToFit="0" vertical="center" wrapText="0"/>
    </xf>
    <xf borderId="0" fillId="3" fontId="86" numFmtId="0" xfId="0" applyAlignment="1" applyFont="1">
      <alignment horizontal="center" readingOrder="0" shrinkToFit="0" vertical="center" wrapText="0"/>
    </xf>
    <xf borderId="0" fillId="3" fontId="86" numFmtId="1" xfId="0" applyAlignment="1" applyFont="1" applyNumberFormat="1">
      <alignment horizontal="center" shrinkToFit="0" vertical="center" wrapText="0"/>
    </xf>
    <xf borderId="239" fillId="3" fontId="93" numFmtId="3" xfId="0" applyAlignment="1" applyBorder="1" applyFont="1" applyNumberFormat="1">
      <alignment horizontal="center" readingOrder="0" shrinkToFit="0" vertical="center" wrapText="0"/>
    </xf>
    <xf borderId="104" fillId="3" fontId="85" numFmtId="0" xfId="0" applyAlignment="1" applyBorder="1" applyFont="1">
      <alignment horizontal="center" readingOrder="0" shrinkToFit="0" vertical="center" wrapText="0"/>
    </xf>
    <xf borderId="217" fillId="21" fontId="8" numFmtId="0" xfId="0" applyBorder="1" applyFont="1"/>
    <xf borderId="207" fillId="3" fontId="8" numFmtId="0" xfId="0" applyBorder="1" applyFont="1"/>
    <xf borderId="217" fillId="3" fontId="85" numFmtId="164" xfId="0" applyAlignment="1" applyBorder="1" applyFont="1" applyNumberFormat="1">
      <alignment horizontal="center" shrinkToFit="0" vertical="center" wrapText="0"/>
    </xf>
    <xf borderId="78" fillId="3" fontId="0" numFmtId="0" xfId="0" applyAlignment="1" applyBorder="1" applyFont="1">
      <alignment horizontal="right" readingOrder="0" shrinkToFit="0" vertical="center" wrapText="0"/>
    </xf>
    <xf borderId="0" fillId="3" fontId="6" numFmtId="0" xfId="0" applyFont="1"/>
    <xf borderId="0" fillId="0" fontId="98" numFmtId="0" xfId="0" applyAlignment="1" applyFont="1">
      <alignment horizontal="left" readingOrder="0" shrinkToFit="0" vertical="center" wrapText="1"/>
    </xf>
    <xf borderId="0" fillId="10" fontId="98" numFmtId="0" xfId="0" applyAlignment="1" applyFont="1">
      <alignment horizontal="left" readingOrder="0" shrinkToFit="0" vertical="center" wrapText="1"/>
    </xf>
    <xf borderId="0" fillId="3" fontId="99" numFmtId="0" xfId="0" applyFont="1"/>
    <xf borderId="0" fillId="0" fontId="99" numFmtId="0" xfId="0" applyAlignment="1" applyFont="1">
      <alignment readingOrder="0"/>
    </xf>
    <xf borderId="0" fillId="0" fontId="99" numFmtId="0" xfId="0" applyFont="1"/>
    <xf borderId="0" fillId="0" fontId="99" numFmtId="0" xfId="0" applyAlignment="1" applyFont="1">
      <alignment horizontal="center"/>
    </xf>
    <xf borderId="0" fillId="3" fontId="99" numFmtId="0" xfId="0" applyAlignment="1" applyFont="1">
      <alignment horizontal="center" readingOrder="0" shrinkToFit="0" vertical="center" wrapText="1"/>
    </xf>
    <xf borderId="0" fillId="3" fontId="99" numFmtId="0" xfId="0" applyAlignment="1" applyFont="1">
      <alignment horizontal="right" readingOrder="0" shrinkToFit="0" vertical="center" wrapText="1"/>
    </xf>
    <xf borderId="0" fillId="3" fontId="98" numFmtId="0" xfId="0" applyAlignment="1" applyFont="1">
      <alignment horizontal="center" readingOrder="0" vertical="center"/>
    </xf>
    <xf borderId="245" fillId="3" fontId="98" numFmtId="0" xfId="0" applyAlignment="1" applyBorder="1" applyFont="1">
      <alignment horizontal="right" readingOrder="0" vertical="center"/>
    </xf>
    <xf borderId="202" fillId="3" fontId="98" numFmtId="0" xfId="0" applyAlignment="1" applyBorder="1" applyFont="1">
      <alignment horizontal="left" readingOrder="0" vertical="center"/>
    </xf>
    <xf borderId="245" fillId="3" fontId="99" numFmtId="0" xfId="0" applyBorder="1" applyFont="1"/>
    <xf borderId="245" fillId="10" fontId="99" numFmtId="20" xfId="0" applyAlignment="1" applyBorder="1" applyFont="1" applyNumberFormat="1">
      <alignment horizontal="center" readingOrder="0" shrinkToFit="0" vertical="center" wrapText="1"/>
    </xf>
    <xf borderId="202" fillId="10" fontId="99" numFmtId="20" xfId="0" applyAlignment="1" applyBorder="1" applyFont="1" applyNumberFormat="1">
      <alignment horizontal="center" readingOrder="0" shrinkToFit="0" vertical="center" wrapText="1"/>
    </xf>
    <xf borderId="245" fillId="3" fontId="99" numFmtId="0" xfId="0" applyAlignment="1" applyBorder="1" applyFont="1">
      <alignment vertical="center"/>
    </xf>
    <xf borderId="0" fillId="0" fontId="99" numFmtId="0" xfId="0" applyAlignment="1" applyFont="1">
      <alignment horizontal="center" vertical="center"/>
    </xf>
    <xf borderId="0" fillId="0" fontId="99" numFmtId="0" xfId="0" applyAlignment="1" applyFont="1">
      <alignment vertical="center"/>
    </xf>
    <xf borderId="245" fillId="3" fontId="99" numFmtId="0" xfId="0" applyAlignment="1" applyBorder="1" applyFont="1">
      <alignment horizontal="center" readingOrder="0" shrinkToFit="0" vertical="center" wrapText="1"/>
    </xf>
    <xf borderId="202" fillId="3" fontId="99" numFmtId="0" xfId="0" applyAlignment="1" applyBorder="1" applyFont="1">
      <alignment horizontal="center" readingOrder="0" shrinkToFit="0" vertical="center" wrapText="1"/>
    </xf>
    <xf borderId="0" fillId="3" fontId="100" numFmtId="0" xfId="0" applyAlignment="1" applyFont="1">
      <alignment horizontal="left" readingOrder="0" vertical="center"/>
    </xf>
    <xf borderId="0" fillId="3" fontId="99" numFmtId="0" xfId="0" applyAlignment="1" applyFont="1">
      <alignment horizontal="center" readingOrder="0" shrinkToFit="0" wrapText="1"/>
    </xf>
    <xf borderId="0" fillId="3" fontId="99" numFmtId="0" xfId="0" applyAlignment="1" applyFont="1">
      <alignment horizontal="right" readingOrder="0" shrinkToFit="0" wrapText="1"/>
    </xf>
    <xf borderId="245" fillId="10" fontId="99" numFmtId="0" xfId="0" applyAlignment="1" applyBorder="1" applyFont="1">
      <alignment horizontal="center" readingOrder="0" shrinkToFit="0" vertical="center" wrapText="1"/>
    </xf>
    <xf borderId="202" fillId="10" fontId="99" numFmtId="0" xfId="0" applyAlignment="1" applyBorder="1" applyFont="1">
      <alignment horizontal="center" readingOrder="0" shrinkToFit="0" vertical="center" wrapText="1"/>
    </xf>
    <xf borderId="245" fillId="0" fontId="6" numFmtId="0" xfId="0" applyBorder="1" applyFont="1"/>
    <xf borderId="0" fillId="10" fontId="99" numFmtId="0" xfId="0" applyAlignment="1" applyFont="1">
      <alignment horizontal="left" readingOrder="0" shrinkToFit="0" wrapText="1"/>
    </xf>
    <xf borderId="245" fillId="24" fontId="101" numFmtId="0" xfId="0" applyAlignment="1" applyBorder="1" applyFill="1" applyFont="1">
      <alignment horizontal="center" readingOrder="0" shrinkToFit="0" vertical="bottom" wrapText="1"/>
    </xf>
    <xf borderId="202" fillId="24" fontId="98" numFmtId="0" xfId="0" applyAlignment="1" applyBorder="1" applyFont="1">
      <alignment horizontal="center" readingOrder="0" vertical="center"/>
    </xf>
    <xf borderId="202" fillId="24" fontId="98" numFmtId="1" xfId="0" applyAlignment="1" applyBorder="1" applyFont="1" applyNumberFormat="1">
      <alignment horizontal="center" readingOrder="0" vertical="center"/>
    </xf>
    <xf borderId="202" fillId="24" fontId="98" numFmtId="168" xfId="0" applyAlignment="1" applyBorder="1" applyFont="1" applyNumberFormat="1">
      <alignment horizontal="center" readingOrder="0" vertical="center"/>
    </xf>
    <xf borderId="0" fillId="3" fontId="100" numFmtId="0" xfId="0" applyAlignment="1" applyFont="1">
      <alignment horizontal="center" readingOrder="0" vertical="center"/>
    </xf>
    <xf borderId="217" fillId="21" fontId="99" numFmtId="0" xfId="0" applyAlignment="1" applyBorder="1" applyFont="1">
      <alignment horizontal="center" readingOrder="0"/>
    </xf>
    <xf borderId="76" fillId="0" fontId="6" numFmtId="0" xfId="0" applyBorder="1" applyFont="1"/>
    <xf borderId="78" fillId="0" fontId="6" numFmtId="0" xfId="0" applyBorder="1" applyFont="1"/>
    <xf borderId="0" fillId="10" fontId="101" numFmtId="0" xfId="0" applyAlignment="1" applyFont="1">
      <alignment horizontal="center" readingOrder="0" shrinkToFit="0" wrapText="1"/>
    </xf>
    <xf borderId="0" fillId="5" fontId="102" numFmtId="0" xfId="0" applyAlignment="1" applyFont="1">
      <alignment readingOrder="0"/>
    </xf>
    <xf borderId="245" fillId="3" fontId="99" numFmtId="0" xfId="0" applyAlignment="1" applyBorder="1" applyFont="1">
      <alignment horizontal="center" readingOrder="0" shrinkToFit="0" wrapText="1"/>
    </xf>
    <xf borderId="0" fillId="3" fontId="99" numFmtId="0" xfId="0" applyAlignment="1" applyFont="1">
      <alignment horizontal="center" readingOrder="0" shrinkToFit="0" wrapText="1"/>
    </xf>
    <xf borderId="245" fillId="25" fontId="99" numFmtId="0" xfId="0" applyAlignment="1" applyBorder="1" applyFill="1" applyFont="1">
      <alignment horizontal="center" readingOrder="0" shrinkToFit="0" wrapText="1"/>
    </xf>
    <xf borderId="0" fillId="3" fontId="99" numFmtId="0" xfId="0" applyAlignment="1" applyFont="1">
      <alignment horizontal="center" readingOrder="0"/>
    </xf>
    <xf borderId="0" fillId="23" fontId="99" numFmtId="0" xfId="0" applyAlignment="1" applyFont="1">
      <alignment horizontal="center" readingOrder="0"/>
    </xf>
    <xf borderId="245" fillId="23" fontId="99" numFmtId="0" xfId="0" applyAlignment="1" applyBorder="1" applyFont="1">
      <alignment horizontal="center" readingOrder="0"/>
    </xf>
    <xf borderId="207" fillId="21" fontId="99" numFmtId="0" xfId="0" applyAlignment="1" applyBorder="1" applyFont="1">
      <alignment horizontal="center" readingOrder="0"/>
    </xf>
    <xf borderId="0" fillId="10" fontId="99" numFmtId="0" xfId="0" applyAlignment="1" applyFont="1">
      <alignment horizontal="center" readingOrder="0"/>
    </xf>
    <xf borderId="245" fillId="24" fontId="99" numFmtId="168" xfId="0" applyAlignment="1" applyBorder="1" applyFont="1" applyNumberFormat="1">
      <alignment horizontal="center" readingOrder="0"/>
    </xf>
    <xf borderId="0" fillId="0" fontId="99" numFmtId="49" xfId="0" applyAlignment="1" applyFont="1" applyNumberFormat="1">
      <alignment horizontal="center" readingOrder="0"/>
    </xf>
    <xf borderId="245" fillId="10" fontId="99" numFmtId="168" xfId="0" applyAlignment="1" applyBorder="1" applyFont="1" applyNumberFormat="1">
      <alignment horizontal="center" readingOrder="0"/>
    </xf>
    <xf borderId="0" fillId="3" fontId="99" numFmtId="1" xfId="0" applyAlignment="1" applyFont="1" applyNumberFormat="1">
      <alignment horizontal="center"/>
    </xf>
    <xf borderId="245" fillId="3" fontId="99" numFmtId="0" xfId="0" applyAlignment="1" applyBorder="1" applyFont="1">
      <alignment horizontal="left"/>
    </xf>
    <xf borderId="0" fillId="3" fontId="99" numFmtId="168" xfId="0" applyAlignment="1" applyFont="1" applyNumberFormat="1">
      <alignment horizontal="left"/>
    </xf>
    <xf borderId="207" fillId="26" fontId="103" numFmtId="0" xfId="0" applyAlignment="1" applyBorder="1" applyFill="1" applyFont="1">
      <alignment readingOrder="0"/>
    </xf>
    <xf borderId="207" fillId="26" fontId="103" numFmtId="0" xfId="0" applyAlignment="1" applyBorder="1" applyFont="1">
      <alignment horizontal="center" readingOrder="0"/>
    </xf>
    <xf borderId="207" fillId="0" fontId="99" numFmtId="0" xfId="0" applyAlignment="1" applyBorder="1" applyFont="1">
      <alignment readingOrder="0"/>
    </xf>
    <xf borderId="207" fillId="10" fontId="99" numFmtId="0" xfId="0" applyAlignment="1" applyBorder="1" applyFont="1">
      <alignment horizontal="center" readingOrder="0"/>
    </xf>
    <xf borderId="207" fillId="10" fontId="99" numFmtId="0" xfId="0" applyAlignment="1" applyBorder="1" applyFont="1">
      <alignment readingOrder="0"/>
    </xf>
    <xf borderId="207" fillId="0" fontId="99" numFmtId="0" xfId="0" applyAlignment="1" applyBorder="1" applyFont="1">
      <alignment horizontal="center" readingOrder="0"/>
    </xf>
    <xf borderId="0" fillId="10" fontId="99" numFmtId="0" xfId="0" applyAlignment="1" applyFont="1">
      <alignment readingOrder="0"/>
    </xf>
    <xf borderId="0" fillId="10" fontId="99" numFmtId="0" xfId="0" applyFont="1"/>
    <xf borderId="0" fillId="10" fontId="101" numFmtId="0" xfId="0" applyAlignment="1" applyFont="1">
      <alignment horizontal="center" readingOrder="0"/>
    </xf>
    <xf borderId="0" fillId="6" fontId="102" numFmtId="0" xfId="0" applyAlignment="1" applyFont="1">
      <alignment readingOrder="0"/>
    </xf>
    <xf borderId="0" fillId="0" fontId="99" numFmtId="49" xfId="0" applyAlignment="1" applyFont="1" applyNumberFormat="1">
      <alignment horizontal="center" shrinkToFit="0" wrapText="1"/>
    </xf>
    <xf borderId="0" fillId="3" fontId="99" numFmtId="1" xfId="0" applyAlignment="1" applyFont="1" applyNumberFormat="1">
      <alignment horizontal="center" readingOrder="0"/>
    </xf>
    <xf borderId="245" fillId="3" fontId="99" numFmtId="0" xfId="0" applyAlignment="1" applyBorder="1" applyFont="1">
      <alignment horizontal="center" readingOrder="0"/>
    </xf>
    <xf borderId="0" fillId="3" fontId="99" numFmtId="0" xfId="0" applyAlignment="1" applyFont="1">
      <alignment horizontal="left"/>
    </xf>
    <xf borderId="207" fillId="0" fontId="99" numFmtId="0" xfId="0" applyBorder="1" applyFont="1"/>
    <xf borderId="207" fillId="0" fontId="99" numFmtId="0" xfId="0" applyAlignment="1" applyBorder="1" applyFont="1">
      <alignment horizontal="center"/>
    </xf>
    <xf borderId="207" fillId="3" fontId="99" numFmtId="0" xfId="0" applyAlignment="1" applyBorder="1" applyFont="1">
      <alignment horizontal="center" readingOrder="0"/>
    </xf>
    <xf borderId="245" fillId="3" fontId="98" numFmtId="0" xfId="0" applyAlignment="1" applyBorder="1" applyFont="1">
      <alignment horizontal="left"/>
    </xf>
    <xf borderId="207" fillId="3" fontId="99" numFmtId="0" xfId="0" applyAlignment="1" applyBorder="1" applyFont="1">
      <alignment horizontal="left"/>
    </xf>
    <xf borderId="0" fillId="19" fontId="104" numFmtId="0" xfId="0" applyAlignment="1" applyFont="1">
      <alignment horizontal="center" readingOrder="0"/>
    </xf>
    <xf borderId="0" fillId="19" fontId="104" numFmtId="0" xfId="0" applyAlignment="1" applyFont="1">
      <alignment horizontal="center" readingOrder="0"/>
    </xf>
    <xf borderId="207" fillId="21" fontId="6" numFmtId="0" xfId="0" applyAlignment="1" applyBorder="1" applyFont="1">
      <alignment readingOrder="0"/>
    </xf>
    <xf borderId="207" fillId="0" fontId="6" numFmtId="0" xfId="0" applyAlignment="1" applyBorder="1" applyFont="1">
      <alignment readingOrder="0"/>
    </xf>
    <xf borderId="207" fillId="10" fontId="6" numFmtId="0" xfId="0" applyAlignment="1" applyBorder="1" applyFont="1">
      <alignment readingOrder="0"/>
    </xf>
    <xf borderId="207" fillId="10" fontId="105" numFmtId="0" xfId="0" applyAlignment="1" applyBorder="1" applyFont="1">
      <alignment readingOrder="0"/>
    </xf>
    <xf borderId="207" fillId="10" fontId="105" numFmtId="0" xfId="0" applyAlignment="1" applyBorder="1" applyFont="1">
      <alignment readingOrder="0"/>
    </xf>
    <xf borderId="207" fillId="0" fontId="105" numFmtId="0" xfId="0" applyAlignment="1" applyBorder="1" applyFont="1">
      <alignment readingOrder="0"/>
    </xf>
    <xf borderId="0" fillId="0" fontId="106" numFmtId="0" xfId="0" applyFont="1"/>
    <xf borderId="0" fillId="2" fontId="6" numFmtId="0" xfId="0" applyFont="1"/>
    <xf borderId="0" fillId="2" fontId="107" numFmtId="0" xfId="0" applyAlignment="1" applyFont="1">
      <alignment horizontal="left"/>
    </xf>
    <xf borderId="0" fillId="2" fontId="6" numFmtId="0" xfId="0" applyAlignment="1" applyFont="1">
      <alignment horizontal="center"/>
    </xf>
    <xf borderId="0" fillId="2" fontId="6" numFmtId="0" xfId="0" applyAlignment="1" applyFont="1">
      <alignment horizontal="center" readingOrder="0"/>
    </xf>
    <xf borderId="0" fillId="9" fontId="6" numFmtId="0" xfId="0" applyAlignment="1" applyFont="1">
      <alignment horizontal="center" readingOrder="0"/>
    </xf>
    <xf borderId="0" fillId="18" fontId="6" numFmtId="0" xfId="0" applyAlignment="1" applyFont="1">
      <alignment horizontal="center" readingOrder="0"/>
    </xf>
    <xf borderId="0" fillId="16" fontId="6" numFmtId="0" xfId="0" applyAlignment="1" applyFont="1">
      <alignment horizontal="center" readingOrder="0"/>
    </xf>
    <xf borderId="0" fillId="27" fontId="6" numFmtId="0" xfId="0" applyAlignment="1" applyFill="1" applyFont="1">
      <alignment horizontal="center" readingOrder="0"/>
    </xf>
    <xf borderId="0" fillId="8" fontId="108" numFmtId="0" xfId="0" applyAlignment="1" applyFont="1">
      <alignment readingOrder="0"/>
    </xf>
    <xf borderId="0" fillId="8" fontId="6" numFmtId="0" xfId="0" applyAlignment="1" applyFont="1">
      <alignment horizontal="center" readingOrder="0"/>
    </xf>
    <xf borderId="0" fillId="8" fontId="6" numFmtId="0" xfId="0" applyAlignment="1" applyFont="1">
      <alignment horizontal="center"/>
    </xf>
    <xf borderId="0" fillId="8" fontId="109" numFmtId="0" xfId="0" applyAlignment="1" applyFont="1">
      <alignment horizontal="center" readingOrder="0" shrinkToFit="0" wrapText="1"/>
    </xf>
    <xf borderId="0" fillId="8" fontId="6" numFmtId="20" xfId="0" applyAlignment="1" applyFont="1" applyNumberFormat="1">
      <alignment horizontal="center" vertical="center"/>
    </xf>
    <xf borderId="0" fillId="3" fontId="6" numFmtId="0" xfId="0" applyAlignment="1" applyFont="1">
      <alignment horizontal="center" readingOrder="0"/>
    </xf>
    <xf borderId="0" fillId="9" fontId="6" numFmtId="0" xfId="0" applyAlignment="1" applyFont="1">
      <alignment readingOrder="0"/>
    </xf>
    <xf borderId="0" fillId="18" fontId="6" numFmtId="0" xfId="0" applyAlignment="1" applyFont="1">
      <alignment readingOrder="0"/>
    </xf>
    <xf borderId="0" fillId="16" fontId="6" numFmtId="0" xfId="0" applyAlignment="1" applyFont="1">
      <alignment readingOrder="0"/>
    </xf>
    <xf borderId="0" fillId="27" fontId="6" numFmtId="0" xfId="0" applyAlignment="1" applyFont="1">
      <alignment readingOrder="0"/>
    </xf>
    <xf borderId="0" fillId="8" fontId="110" numFmtId="0" xfId="0" applyAlignment="1" applyFont="1">
      <alignment readingOrder="0"/>
    </xf>
    <xf borderId="0" fillId="0" fontId="108" numFmtId="0" xfId="0" applyAlignment="1" applyFont="1">
      <alignment horizontal="center" readingOrder="0"/>
    </xf>
    <xf borderId="0" fillId="8" fontId="108" numFmtId="0" xfId="0" applyAlignment="1" applyFont="1">
      <alignment horizontal="center"/>
    </xf>
    <xf borderId="0" fillId="19" fontId="111" numFmtId="0" xfId="0" applyAlignment="1" applyFont="1">
      <alignment horizontal="center" readingOrder="0"/>
    </xf>
    <xf borderId="0" fillId="0" fontId="6" numFmtId="0" xfId="0" applyAlignment="1" applyFont="1">
      <alignment horizontal="center" readingOrder="0" vertical="top"/>
    </xf>
    <xf borderId="0" fillId="0" fontId="99" numFmtId="1" xfId="0" applyAlignment="1" applyFont="1" applyNumberFormat="1">
      <alignment horizontal="center" readingOrder="0" vertical="top"/>
    </xf>
    <xf borderId="0" fillId="8" fontId="6" numFmtId="0" xfId="0" applyAlignment="1" applyFont="1">
      <alignment horizontal="center" readingOrder="0" vertical="top"/>
    </xf>
    <xf borderId="0" fillId="9" fontId="6" numFmtId="0" xfId="0" applyFont="1"/>
    <xf borderId="0" fillId="18" fontId="6" numFmtId="0" xfId="0" applyAlignment="1" applyFont="1">
      <alignment readingOrder="0"/>
    </xf>
    <xf borderId="0" fillId="18" fontId="6" numFmtId="0" xfId="0" applyFont="1"/>
    <xf borderId="0" fillId="16" fontId="6" numFmtId="0" xfId="0" applyAlignment="1" applyFont="1">
      <alignment readingOrder="0"/>
    </xf>
    <xf borderId="0" fillId="16" fontId="6" numFmtId="0" xfId="0" applyFont="1"/>
    <xf borderId="0" fillId="27" fontId="6" numFmtId="0" xfId="0" applyAlignment="1" applyFont="1">
      <alignment readingOrder="0"/>
    </xf>
    <xf borderId="0" fillId="27" fontId="6" numFmtId="0" xfId="0" applyFont="1"/>
    <xf borderId="0" fillId="8" fontId="110" numFmtId="0" xfId="0" applyAlignment="1" applyFont="1">
      <alignment readingOrder="0" shrinkToFit="0" wrapText="1"/>
    </xf>
    <xf borderId="0" fillId="8" fontId="6" numFmtId="0" xfId="0" applyAlignment="1" applyFont="1">
      <alignment horizontal="center" vertical="top"/>
    </xf>
    <xf borderId="0" fillId="2" fontId="6" numFmtId="0" xfId="0" applyAlignment="1" applyFont="1">
      <alignment horizontal="center" vertical="center"/>
    </xf>
    <xf borderId="0" fillId="13" fontId="108" numFmtId="0" xfId="0" applyAlignment="1" applyFont="1">
      <alignment readingOrder="0"/>
    </xf>
    <xf borderId="0" fillId="13" fontId="6" numFmtId="0" xfId="0" applyAlignment="1" applyFont="1">
      <alignment horizontal="center" readingOrder="0"/>
    </xf>
    <xf borderId="0" fillId="13" fontId="6" numFmtId="0" xfId="0" applyAlignment="1" applyFont="1">
      <alignment horizontal="center"/>
    </xf>
    <xf borderId="0" fillId="13" fontId="109" numFmtId="0" xfId="0" applyAlignment="1" applyFont="1">
      <alignment horizontal="center" shrinkToFit="0" wrapText="1"/>
    </xf>
    <xf borderId="0" fillId="13" fontId="6" numFmtId="20" xfId="0" applyAlignment="1" applyFont="1" applyNumberFormat="1">
      <alignment horizontal="center" vertical="center"/>
    </xf>
    <xf borderId="0" fillId="13" fontId="110" numFmtId="0" xfId="0" applyAlignment="1" applyFont="1">
      <alignment readingOrder="0"/>
    </xf>
    <xf borderId="0" fillId="13" fontId="108" numFmtId="0" xfId="0" applyAlignment="1" applyFont="1">
      <alignment horizontal="center"/>
    </xf>
    <xf borderId="0" fillId="13" fontId="6" numFmtId="0" xfId="0" applyAlignment="1" applyFont="1">
      <alignment horizontal="center" readingOrder="0" vertical="top"/>
    </xf>
    <xf borderId="0" fillId="13" fontId="110" numFmtId="0" xfId="0" applyAlignment="1" applyFont="1">
      <alignment readingOrder="0" shrinkToFit="0" wrapText="1"/>
    </xf>
    <xf borderId="0" fillId="15" fontId="82" numFmtId="0" xfId="0" applyAlignment="1" applyFont="1">
      <alignment vertical="bottom"/>
    </xf>
    <xf borderId="0" fillId="15" fontId="6" numFmtId="0" xfId="0" applyAlignment="1" applyFont="1">
      <alignment horizontal="center" readingOrder="0"/>
    </xf>
    <xf borderId="0" fillId="15" fontId="6" numFmtId="0" xfId="0" applyAlignment="1" applyFont="1">
      <alignment horizontal="center"/>
    </xf>
    <xf borderId="0" fillId="15" fontId="109" numFmtId="0" xfId="0" applyAlignment="1" applyFont="1">
      <alignment horizontal="center" shrinkToFit="0" wrapText="1"/>
    </xf>
    <xf borderId="0" fillId="15" fontId="6" numFmtId="20" xfId="0" applyAlignment="1" applyFont="1" applyNumberFormat="1">
      <alignment horizontal="center" vertical="center"/>
    </xf>
    <xf borderId="0" fillId="15" fontId="112" numFmtId="0" xfId="0" applyAlignment="1" applyFont="1">
      <alignment readingOrder="0" vertical="bottom"/>
    </xf>
    <xf borderId="0" fillId="15" fontId="108" numFmtId="0" xfId="0" applyAlignment="1" applyFont="1">
      <alignment horizontal="center"/>
    </xf>
    <xf borderId="0" fillId="15" fontId="6" numFmtId="0" xfId="0" applyAlignment="1" applyFont="1">
      <alignment horizontal="center" readingOrder="0" vertical="top"/>
    </xf>
    <xf borderId="0" fillId="15" fontId="110" numFmtId="0" xfId="0" applyAlignment="1" applyFont="1">
      <alignment readingOrder="0" shrinkToFit="0" wrapText="1"/>
    </xf>
    <xf borderId="0" fillId="15" fontId="6" numFmtId="0" xfId="0" applyAlignment="1" applyFont="1">
      <alignment horizontal="center" vertical="top"/>
    </xf>
    <xf borderId="0" fillId="23" fontId="6" numFmtId="0" xfId="0" applyAlignment="1" applyFont="1">
      <alignment horizontal="center"/>
    </xf>
    <xf borderId="0" fillId="23" fontId="6" numFmtId="0" xfId="0" applyFont="1"/>
    <xf borderId="0" fillId="17" fontId="108" numFmtId="0" xfId="0" applyAlignment="1" applyFont="1">
      <alignment readingOrder="0"/>
    </xf>
    <xf borderId="0" fillId="17" fontId="6" numFmtId="0" xfId="0" applyAlignment="1" applyFont="1">
      <alignment horizontal="center" readingOrder="0"/>
    </xf>
    <xf borderId="0" fillId="17" fontId="6" numFmtId="0" xfId="0" applyAlignment="1" applyFont="1">
      <alignment horizontal="center"/>
    </xf>
    <xf borderId="0" fillId="17" fontId="109" numFmtId="0" xfId="0" applyAlignment="1" applyFont="1">
      <alignment horizontal="center" shrinkToFit="0" wrapText="1"/>
    </xf>
    <xf borderId="0" fillId="17" fontId="6" numFmtId="20" xfId="0" applyAlignment="1" applyFont="1" applyNumberFormat="1">
      <alignment horizontal="center" vertical="center"/>
    </xf>
    <xf borderId="0" fillId="3" fontId="6" numFmtId="0" xfId="0" applyAlignment="1" applyFont="1">
      <alignment horizontal="center"/>
    </xf>
    <xf borderId="0" fillId="14" fontId="6" numFmtId="0" xfId="0" applyAlignment="1" applyFont="1">
      <alignment horizontal="center" readingOrder="0"/>
    </xf>
    <xf borderId="0" fillId="17" fontId="110" numFmtId="0" xfId="0" applyAlignment="1" applyFont="1">
      <alignment readingOrder="0"/>
    </xf>
    <xf borderId="0" fillId="17" fontId="108" numFmtId="0" xfId="0" applyAlignment="1" applyFont="1">
      <alignment horizontal="center"/>
    </xf>
    <xf borderId="0" fillId="14" fontId="6" numFmtId="0" xfId="0" applyAlignment="1" applyFont="1">
      <alignment readingOrder="0"/>
    </xf>
    <xf borderId="0" fillId="17" fontId="6" numFmtId="0" xfId="0" applyAlignment="1" applyFont="1">
      <alignment horizontal="center" readingOrder="0" vertical="top"/>
    </xf>
    <xf borderId="0" fillId="17" fontId="6" numFmtId="0" xfId="0" applyAlignment="1" applyFont="1">
      <alignment horizontal="center" vertical="top"/>
    </xf>
    <xf borderId="0" fillId="17" fontId="110" numFmtId="0" xfId="0" applyAlignment="1" applyFont="1">
      <alignment readingOrder="0" shrinkToFit="0" wrapText="1"/>
    </xf>
    <xf borderId="0" fillId="14" fontId="6" numFmtId="0" xfId="0" applyFont="1"/>
    <xf borderId="0" fillId="0" fontId="6" numFmtId="0" xfId="0" applyAlignment="1" applyFont="1">
      <alignment horizontal="center"/>
    </xf>
    <xf borderId="0" fillId="3" fontId="113" numFmtId="0" xfId="0" applyFont="1"/>
    <xf borderId="0" fillId="0" fontId="114" numFmtId="0" xfId="0" applyAlignment="1" applyFont="1">
      <alignment horizontal="center" readingOrder="0" vertical="bottom"/>
    </xf>
    <xf borderId="0" fillId="0" fontId="115" numFmtId="0" xfId="0" applyAlignment="1" applyFont="1">
      <alignment horizontal="center" readingOrder="0" vertical="bottom"/>
    </xf>
    <xf borderId="0" fillId="0" fontId="116" numFmtId="0" xfId="0" applyAlignment="1" applyFont="1">
      <alignment horizontal="center" readingOrder="0" vertical="bottom"/>
    </xf>
    <xf borderId="0" fillId="3" fontId="117" numFmtId="0" xfId="0" applyAlignment="1" applyFont="1">
      <alignment horizontal="center" readingOrder="0" vertical="bottom"/>
    </xf>
    <xf borderId="0" fillId="3" fontId="118" numFmtId="0" xfId="0" applyFont="1"/>
    <xf borderId="9" fillId="0" fontId="119" numFmtId="0" xfId="0" applyAlignment="1" applyBorder="1" applyFont="1">
      <alignment horizontal="center" vertical="center"/>
    </xf>
    <xf borderId="0" fillId="0" fontId="120" numFmtId="0" xfId="0" applyAlignment="1" applyFont="1">
      <alignment vertical="center"/>
    </xf>
    <xf borderId="9" fillId="0" fontId="121" numFmtId="0" xfId="0" applyAlignment="1" applyBorder="1" applyFont="1">
      <alignment horizontal="center" readingOrder="0" vertical="center"/>
    </xf>
    <xf borderId="0" fillId="0" fontId="122" numFmtId="0" xfId="0" applyAlignment="1" applyFont="1">
      <alignment horizontal="center" vertical="center"/>
    </xf>
    <xf borderId="9" fillId="0" fontId="123" numFmtId="0" xfId="0" applyAlignment="1" applyBorder="1" applyFont="1">
      <alignment horizontal="center" readingOrder="0" vertical="center"/>
    </xf>
    <xf borderId="0" fillId="0" fontId="122" numFmtId="0" xfId="0" applyAlignment="1" applyFont="1">
      <alignment horizontal="center" readingOrder="0" vertical="center"/>
    </xf>
    <xf borderId="0" fillId="3" fontId="118" numFmtId="0" xfId="0" applyAlignment="1" applyFont="1">
      <alignment vertical="bottom"/>
    </xf>
    <xf borderId="0" fillId="3" fontId="124" numFmtId="0" xfId="0" applyAlignment="1" applyFont="1">
      <alignment vertical="bottom"/>
    </xf>
    <xf borderId="246" fillId="23" fontId="125" numFmtId="0" xfId="0" applyAlignment="1" applyBorder="1" applyFont="1">
      <alignment horizontal="center" readingOrder="0" vertical="center"/>
    </xf>
    <xf borderId="247" fillId="0" fontId="6" numFmtId="0" xfId="0" applyBorder="1" applyFont="1"/>
    <xf borderId="248" fillId="0" fontId="6" numFmtId="0" xfId="0" applyBorder="1" applyFont="1"/>
    <xf borderId="0" fillId="0" fontId="120" numFmtId="0" xfId="0" applyFont="1"/>
    <xf borderId="246" fillId="23" fontId="126" numFmtId="0" xfId="0" applyAlignment="1" applyBorder="1" applyFont="1">
      <alignment horizontal="center" readingOrder="0" vertical="center"/>
    </xf>
    <xf borderId="249" fillId="0" fontId="6" numFmtId="0" xfId="0" applyBorder="1" applyFont="1"/>
    <xf borderId="250" fillId="0" fontId="6" numFmtId="0" xfId="0" applyBorder="1" applyFont="1"/>
    <xf borderId="251" fillId="0" fontId="6" numFmtId="0" xfId="0" applyBorder="1" applyFont="1"/>
    <xf borderId="252" fillId="0" fontId="6" numFmtId="0" xfId="0" applyBorder="1" applyFont="1"/>
    <xf borderId="253" fillId="0" fontId="6" numFmtId="0" xfId="0" applyBorder="1" applyFont="1"/>
    <xf borderId="246" fillId="5" fontId="127" numFmtId="0" xfId="0" applyAlignment="1" applyBorder="1" applyFont="1">
      <alignment horizontal="center" readingOrder="0" vertical="center"/>
    </xf>
    <xf borderId="246" fillId="6" fontId="127" numFmtId="0" xfId="0" applyAlignment="1" applyBorder="1" applyFont="1">
      <alignment horizontal="center" vertical="center"/>
    </xf>
    <xf borderId="0" fillId="0" fontId="128" numFmtId="0" xfId="0" applyAlignment="1" applyFont="1">
      <alignment vertical="center"/>
    </xf>
    <xf borderId="0" fillId="3" fontId="129" numFmtId="0" xfId="0" applyAlignment="1" applyFont="1">
      <alignment horizontal="center" vertical="top"/>
    </xf>
    <xf borderId="0" fillId="3" fontId="130" numFmtId="0" xfId="0" applyAlignment="1" applyFont="1">
      <alignment horizontal="center" readingOrder="0" shrinkToFit="0" vertical="center" wrapText="1"/>
    </xf>
    <xf borderId="0" fillId="3" fontId="131" numFmtId="0" xfId="0" applyAlignment="1" applyFont="1">
      <alignment horizontal="center" vertical="top"/>
    </xf>
    <xf borderId="9" fillId="0" fontId="119" numFmtId="0" xfId="0" applyAlignment="1" applyBorder="1" applyFont="1">
      <alignment horizontal="center" vertical="bottom"/>
    </xf>
    <xf borderId="0" fillId="0" fontId="120" numFmtId="0" xfId="0" applyAlignment="1" applyFont="1">
      <alignment vertical="bottom"/>
    </xf>
    <xf borderId="9" fillId="0" fontId="121" numFmtId="0" xfId="0" applyAlignment="1" applyBorder="1" applyFont="1">
      <alignment horizontal="center" readingOrder="0" vertical="bottom"/>
    </xf>
    <xf borderId="0" fillId="0" fontId="123" numFmtId="0" xfId="0" applyAlignment="1" applyFont="1">
      <alignment horizontal="center" readingOrder="0" vertical="bottom"/>
    </xf>
    <xf borderId="0" fillId="0" fontId="132" numFmtId="0" xfId="0" applyAlignment="1" applyFont="1">
      <alignment horizontal="center" vertical="center"/>
    </xf>
    <xf borderId="0" fillId="0" fontId="132" numFmtId="0" xfId="0" applyAlignment="1" applyFont="1">
      <alignment horizontal="center" readingOrder="0" vertical="center"/>
    </xf>
    <xf borderId="0" fillId="0" fontId="123" numFmtId="0" xfId="0" applyAlignment="1" applyFont="1">
      <alignment horizontal="center" readingOrder="0" vertical="center"/>
    </xf>
    <xf borderId="0" fillId="3" fontId="123" numFmtId="0" xfId="0" applyAlignment="1" applyFont="1">
      <alignment horizontal="center" readingOrder="0" shrinkToFit="0" vertical="bottom" wrapText="1"/>
    </xf>
    <xf borderId="0" fillId="0" fontId="119" numFmtId="0" xfId="0" applyAlignment="1" applyFont="1">
      <alignment horizontal="center" vertical="center"/>
    </xf>
    <xf borderId="0" fillId="3" fontId="133" numFmtId="0" xfId="0" applyAlignment="1" applyFont="1">
      <alignment horizontal="center" vertical="top"/>
    </xf>
    <xf borderId="0" fillId="4" fontId="132" numFmtId="0" xfId="0" applyAlignment="1" applyFont="1">
      <alignment horizontal="center" vertical="center"/>
    </xf>
    <xf borderId="0" fillId="4" fontId="118" numFmtId="0" xfId="0" applyAlignment="1" applyFont="1">
      <alignment vertical="bottom"/>
    </xf>
    <xf borderId="0" fillId="4" fontId="133" numFmtId="0" xfId="0" applyAlignment="1" applyFont="1">
      <alignment horizontal="center" vertical="center"/>
    </xf>
    <xf borderId="0" fillId="3" fontId="132" numFmtId="0" xfId="0" applyAlignment="1" applyFont="1">
      <alignment horizontal="center" vertical="center"/>
    </xf>
    <xf borderId="0" fillId="3" fontId="133" numFmtId="0" xfId="0" applyAlignment="1" applyFont="1">
      <alignment horizontal="center" vertical="center"/>
    </xf>
    <xf borderId="0" fillId="3" fontId="132" numFmtId="1" xfId="0" applyAlignment="1" applyFont="1" applyNumberFormat="1">
      <alignment horizontal="center" vertical="center"/>
    </xf>
    <xf borderId="0" fillId="0" fontId="120" numFmtId="1" xfId="0" applyFont="1" applyNumberFormat="1"/>
    <xf borderId="0" fillId="21" fontId="134" numFmtId="0" xfId="0" applyAlignment="1" applyFont="1">
      <alignment horizontal="center" vertical="bottom"/>
    </xf>
    <xf borderId="0" fillId="21" fontId="134" numFmtId="168" xfId="0" applyAlignment="1" applyFont="1" applyNumberFormat="1">
      <alignment horizontal="center" vertical="bottom"/>
    </xf>
    <xf borderId="0" fillId="0" fontId="135" numFmtId="0" xfId="0" applyAlignment="1" applyFont="1">
      <alignment vertical="bottom"/>
    </xf>
    <xf borderId="0" fillId="0" fontId="135" numFmtId="0" xfId="0" applyAlignment="1" applyFont="1">
      <alignment readingOrder="0"/>
    </xf>
    <xf borderId="0" fillId="0" fontId="135" numFmtId="0" xfId="0" applyFont="1"/>
    <xf borderId="0" fillId="24" fontId="135" numFmtId="168" xfId="0" applyAlignment="1" applyFont="1" applyNumberFormat="1">
      <alignment horizontal="right" vertical="bottom"/>
    </xf>
    <xf borderId="0" fillId="0" fontId="135" numFmtId="2" xfId="0" applyAlignment="1" applyFont="1" applyNumberFormat="1">
      <alignment horizontal="right" vertical="bottom"/>
    </xf>
    <xf borderId="0" fillId="15" fontId="135" numFmtId="168" xfId="0" applyAlignment="1" applyFont="1" applyNumberFormat="1">
      <alignment horizontal="right" readingOrder="0" vertical="bottom"/>
    </xf>
    <xf borderId="0" fillId="28" fontId="135" numFmtId="168" xfId="0" applyAlignment="1" applyFill="1" applyFont="1" applyNumberFormat="1">
      <alignment horizontal="right" vertical="bottom"/>
    </xf>
    <xf borderId="0" fillId="0" fontId="135" numFmtId="168" xfId="0" applyAlignment="1" applyFont="1" applyNumberFormat="1">
      <alignment vertical="bottom"/>
    </xf>
    <xf borderId="0" fillId="0" fontId="135" numFmtId="168" xfId="0" applyFont="1" applyNumberFormat="1"/>
    <xf borderId="0" fillId="3" fontId="136" numFmtId="0" xfId="0" applyAlignment="1" applyFont="1">
      <alignment readingOrder="0"/>
    </xf>
    <xf borderId="0" fillId="3" fontId="136" numFmtId="168" xfId="0" applyAlignment="1" applyFont="1" applyNumberFormat="1">
      <alignment readingOrder="0"/>
    </xf>
    <xf borderId="0" fillId="4" fontId="135" numFmtId="0" xfId="0" applyAlignment="1" applyFont="1">
      <alignment horizontal="center" readingOrder="0"/>
    </xf>
    <xf borderId="0" fillId="10" fontId="135" numFmtId="168" xfId="0" applyAlignment="1" applyFont="1" applyNumberFormat="1">
      <alignment horizontal="left" readingOrder="0"/>
    </xf>
    <xf borderId="0" fillId="10" fontId="135" numFmtId="0" xfId="0" applyAlignment="1" applyFont="1">
      <alignment horizontal="left" readingOrder="0"/>
    </xf>
    <xf borderId="0" fillId="4" fontId="135" numFmtId="0" xfId="0" applyAlignment="1" applyFont="1">
      <alignment horizontal="right" readingOrder="0"/>
    </xf>
    <xf borderId="0" fillId="10" fontId="135" numFmtId="0" xfId="0" applyAlignment="1" applyFont="1">
      <alignment readingOrder="0"/>
    </xf>
    <xf borderId="0" fillId="0" fontId="135" numFmtId="168" xfId="0" applyAlignment="1" applyFont="1" applyNumberFormat="1">
      <alignment horizontal="center" readingOrder="0"/>
    </xf>
    <xf borderId="0" fillId="0" fontId="135" numFmtId="0" xfId="0" applyAlignment="1" applyFont="1">
      <alignment horizontal="center" readingOrder="0"/>
    </xf>
    <xf borderId="0" fillId="0" fontId="135" numFmtId="0" xfId="0" applyAlignment="1" applyFont="1">
      <alignment horizontal="right" readingOrder="0"/>
    </xf>
    <xf borderId="0" fillId="0" fontId="135" numFmtId="0" xfId="0" applyAlignment="1" applyFont="1">
      <alignment horizontal="right"/>
    </xf>
    <xf borderId="0" fillId="21" fontId="135" numFmtId="0" xfId="0" applyAlignment="1" applyFont="1">
      <alignment horizontal="right" vertical="bottom"/>
    </xf>
    <xf borderId="0" fillId="21" fontId="135" numFmtId="0" xfId="0" applyAlignment="1" applyFont="1">
      <alignment horizontal="right" readingOrder="0"/>
    </xf>
    <xf borderId="0" fillId="21" fontId="135" numFmtId="0" xfId="0" applyAlignment="1" applyFont="1">
      <alignment horizontal="right" readingOrder="0"/>
    </xf>
    <xf borderId="0" fillId="3" fontId="135" numFmtId="0" xfId="0" applyAlignment="1" applyFont="1">
      <alignment readingOrder="0"/>
    </xf>
    <xf borderId="0" fillId="25" fontId="135" numFmtId="0" xfId="0" applyAlignment="1" applyFont="1">
      <alignment readingOrder="0"/>
    </xf>
    <xf borderId="0" fillId="0" fontId="135" numFmtId="0" xfId="0" applyAlignment="1" applyFont="1">
      <alignment horizontal="right" readingOrder="0"/>
    </xf>
    <xf borderId="0" fillId="3" fontId="135" numFmtId="168" xfId="0" applyAlignment="1" applyFont="1" applyNumberFormat="1">
      <alignment horizontal="center" readingOrder="0"/>
    </xf>
    <xf borderId="0" fillId="3" fontId="135" numFmtId="0" xfId="0" applyAlignment="1" applyFont="1">
      <alignment horizontal="center" readingOrder="0"/>
    </xf>
    <xf borderId="120" fillId="8" fontId="85" numFmtId="0" xfId="0" applyAlignment="1" applyBorder="1" applyFont="1">
      <alignment horizontal="center" readingOrder="0" shrinkToFit="0" wrapText="0"/>
    </xf>
    <xf borderId="156" fillId="8" fontId="86" numFmtId="0" xfId="0" applyAlignment="1" applyBorder="1" applyFont="1">
      <alignment horizontal="center" shrinkToFit="0" wrapText="0"/>
    </xf>
    <xf borderId="156" fillId="0" fontId="6" numFmtId="0" xfId="0" applyBorder="1" applyFont="1"/>
    <xf borderId="254" fillId="0" fontId="6" numFmtId="0" xfId="0" applyBorder="1" applyFont="1"/>
    <xf borderId="207" fillId="8" fontId="86" numFmtId="168" xfId="0" applyAlignment="1" applyBorder="1" applyFont="1" applyNumberFormat="1">
      <alignment horizontal="center"/>
    </xf>
    <xf borderId="207" fillId="8" fontId="86" numFmtId="0" xfId="0" applyAlignment="1" applyBorder="1" applyFont="1">
      <alignment horizontal="center"/>
    </xf>
    <xf borderId="113" fillId="8" fontId="86" numFmtId="0" xfId="0" applyAlignment="1" applyBorder="1" applyFont="1">
      <alignment horizontal="center" readingOrder="0" shrinkToFit="0" wrapText="0"/>
    </xf>
    <xf borderId="156" fillId="8" fontId="86" numFmtId="0" xfId="0" applyAlignment="1" applyBorder="1" applyFont="1">
      <alignment horizontal="center" readingOrder="0" shrinkToFit="0" wrapText="0"/>
    </xf>
    <xf borderId="0" fillId="8" fontId="86" numFmtId="0" xfId="0" applyAlignment="1" applyFont="1">
      <alignment horizontal="center" readingOrder="0" shrinkToFit="0" wrapText="0"/>
    </xf>
    <xf borderId="0" fillId="8" fontId="85" numFmtId="0" xfId="0" applyAlignment="1" applyFont="1">
      <alignment horizontal="center" readingOrder="0" shrinkToFit="0" wrapText="0"/>
    </xf>
    <xf borderId="0" fillId="8" fontId="86" numFmtId="0" xfId="0" applyAlignment="1" applyFont="1">
      <alignment horizontal="center" shrinkToFit="0" wrapText="0"/>
    </xf>
    <xf borderId="0" fillId="8" fontId="86" numFmtId="164" xfId="0" applyAlignment="1" applyFont="1" applyNumberFormat="1">
      <alignment horizontal="center" shrinkToFit="0" wrapText="0"/>
    </xf>
    <xf borderId="207" fillId="29" fontId="137" numFmtId="0" xfId="0" applyAlignment="1" applyBorder="1" applyFill="1" applyFont="1">
      <alignment horizontal="center" shrinkToFit="0" wrapText="0"/>
    </xf>
    <xf borderId="113" fillId="23" fontId="86" numFmtId="0" xfId="0" applyAlignment="1" applyBorder="1" applyFont="1">
      <alignment horizontal="center" shrinkToFit="0" wrapText="0"/>
    </xf>
    <xf borderId="112" fillId="23" fontId="86" numFmtId="0" xfId="0" applyAlignment="1" applyBorder="1" applyFont="1">
      <alignment horizontal="center" shrinkToFit="0" wrapText="0"/>
    </xf>
    <xf borderId="112" fillId="30" fontId="86" numFmtId="0" xfId="0" applyAlignment="1" applyBorder="1" applyFill="1" applyFont="1">
      <alignment horizontal="center" shrinkToFit="0" wrapText="0"/>
    </xf>
    <xf borderId="207" fillId="31" fontId="86" numFmtId="0" xfId="0" applyAlignment="1" applyBorder="1" applyFill="1" applyFont="1">
      <alignment horizontal="center" shrinkToFit="0" wrapText="0"/>
    </xf>
    <xf borderId="98" fillId="8" fontId="85" numFmtId="0" xfId="0" applyAlignment="1" applyBorder="1" applyFont="1">
      <alignment horizontal="center" readingOrder="0" shrinkToFit="0" wrapText="0"/>
    </xf>
    <xf borderId="207" fillId="31" fontId="86" numFmtId="0" xfId="0" applyAlignment="1" applyBorder="1" applyFont="1">
      <alignment horizontal="center" readingOrder="0" shrinkToFit="0" wrapText="0"/>
    </xf>
    <xf borderId="98" fillId="8" fontId="86" numFmtId="0" xfId="0" applyAlignment="1" applyBorder="1" applyFont="1">
      <alignment horizontal="center" shrinkToFit="0" wrapText="0"/>
    </xf>
    <xf borderId="207" fillId="23" fontId="85" numFmtId="170" xfId="0" applyAlignment="1" applyBorder="1" applyFont="1" applyNumberFormat="1">
      <alignment horizontal="center" readingOrder="0" shrinkToFit="0" wrapText="0"/>
    </xf>
    <xf borderId="207" fillId="29" fontId="137" numFmtId="0" xfId="0" applyAlignment="1" applyBorder="1" applyFont="1">
      <alignment horizontal="center" readingOrder="0" shrinkToFit="0" wrapText="0"/>
    </xf>
    <xf borderId="78" fillId="23" fontId="99" numFmtId="0" xfId="0" applyAlignment="1" applyBorder="1" applyFont="1">
      <alignment horizontal="center" readingOrder="0"/>
    </xf>
    <xf borderId="78" fillId="30" fontId="99" numFmtId="0" xfId="0" applyAlignment="1" applyBorder="1" applyFont="1">
      <alignment horizontal="center" readingOrder="0"/>
    </xf>
    <xf borderId="0" fillId="8" fontId="6" numFmtId="0" xfId="0" applyFont="1"/>
    <xf borderId="109" fillId="8" fontId="6" numFmtId="0" xfId="0" applyBorder="1" applyFont="1"/>
    <xf borderId="112" fillId="8" fontId="98" numFmtId="0" xfId="0" applyAlignment="1" applyBorder="1" applyFont="1">
      <alignment readingOrder="0"/>
    </xf>
    <xf borderId="112" fillId="8" fontId="98" numFmtId="0" xfId="0" applyAlignment="1" applyBorder="1" applyFont="1">
      <alignment horizontal="center" readingOrder="0"/>
    </xf>
    <xf borderId="0" fillId="8" fontId="98" numFmtId="0" xfId="0" applyAlignment="1" applyFont="1">
      <alignment horizontal="center" readingOrder="0"/>
    </xf>
    <xf borderId="207" fillId="23" fontId="85" numFmtId="0" xfId="0" applyAlignment="1" applyBorder="1" applyFont="1">
      <alignment horizontal="left" shrinkToFit="0" wrapText="0"/>
    </xf>
    <xf borderId="207" fillId="23" fontId="85" numFmtId="0" xfId="0" applyAlignment="1" applyBorder="1" applyFont="1">
      <alignment horizontal="left" readingOrder="0" shrinkToFit="0" wrapText="0"/>
    </xf>
    <xf borderId="207" fillId="23" fontId="85" numFmtId="0" xfId="0" applyAlignment="1" applyBorder="1" applyFont="1">
      <alignment horizontal="center" readingOrder="0" shrinkToFit="0" wrapText="0"/>
    </xf>
    <xf borderId="109" fillId="8" fontId="86" numFmtId="0" xfId="0" applyAlignment="1" applyBorder="1" applyFont="1">
      <alignment horizontal="center" shrinkToFit="0" wrapText="0"/>
    </xf>
    <xf borderId="240" fillId="8" fontId="86" numFmtId="0" xfId="0" applyAlignment="1" applyBorder="1" applyFont="1">
      <alignment horizontal="center" readingOrder="0" shrinkToFit="0" wrapText="0"/>
    </xf>
    <xf borderId="207" fillId="21" fontId="86" numFmtId="0" xfId="0" applyAlignment="1" applyBorder="1" applyFont="1">
      <alignment horizontal="center" readingOrder="0" shrinkToFit="0" wrapText="0"/>
    </xf>
    <xf borderId="207" fillId="21" fontId="86" numFmtId="1" xfId="0" applyAlignment="1" applyBorder="1" applyFont="1" applyNumberFormat="1">
      <alignment horizontal="center" shrinkToFit="0" wrapText="0"/>
    </xf>
    <xf borderId="240" fillId="29" fontId="137" numFmtId="0" xfId="0" applyAlignment="1" applyBorder="1" applyFont="1">
      <alignment horizontal="center" shrinkToFit="0" wrapText="0"/>
    </xf>
    <xf borderId="207" fillId="21" fontId="86" numFmtId="3" xfId="0" applyAlignment="1" applyBorder="1" applyFont="1" applyNumberFormat="1">
      <alignment horizontal="center" readingOrder="0" shrinkToFit="0" wrapText="0"/>
    </xf>
    <xf borderId="207" fillId="23" fontId="86" numFmtId="3" xfId="0" applyAlignment="1" applyBorder="1" applyFont="1" applyNumberFormat="1">
      <alignment horizontal="center" readingOrder="0" shrinkToFit="0" wrapText="0"/>
    </xf>
    <xf borderId="207" fillId="21" fontId="86" numFmtId="3" xfId="0" applyAlignment="1" applyBorder="1" applyFont="1" applyNumberFormat="1">
      <alignment horizontal="center" shrinkToFit="0" wrapText="0"/>
    </xf>
    <xf borderId="207" fillId="23" fontId="86" numFmtId="3" xfId="0" applyAlignment="1" applyBorder="1" applyFont="1" applyNumberFormat="1">
      <alignment horizontal="center" shrinkToFit="0" wrapText="0"/>
    </xf>
    <xf borderId="207" fillId="21" fontId="86" numFmtId="0" xfId="0" applyAlignment="1" applyBorder="1" applyFont="1">
      <alignment horizontal="center" shrinkToFit="0" wrapText="0"/>
    </xf>
    <xf borderId="0" fillId="21" fontId="138" numFmtId="0" xfId="0" applyAlignment="1" applyFont="1">
      <alignment horizontal="center" vertical="bottom"/>
    </xf>
    <xf borderId="240" fillId="21" fontId="138" numFmtId="168" xfId="0" applyAlignment="1" applyBorder="1" applyFont="1" applyNumberFormat="1">
      <alignment horizontal="center" vertical="bottom"/>
    </xf>
    <xf borderId="207" fillId="24" fontId="138" numFmtId="168" xfId="0" applyAlignment="1" applyBorder="1" applyFont="1" applyNumberFormat="1">
      <alignment horizontal="center" vertical="bottom"/>
    </xf>
    <xf borderId="207" fillId="3" fontId="86" numFmtId="0" xfId="0" applyAlignment="1" applyBorder="1" applyFont="1">
      <alignment horizontal="center" readingOrder="0" shrinkToFit="0" wrapText="0"/>
    </xf>
    <xf borderId="207" fillId="3" fontId="86" numFmtId="1" xfId="0" applyAlignment="1" applyBorder="1" applyFont="1" applyNumberFormat="1">
      <alignment horizontal="center" shrinkToFit="0" wrapText="0"/>
    </xf>
    <xf borderId="207" fillId="3" fontId="86" numFmtId="0" xfId="0" applyAlignment="1" applyBorder="1" applyFont="1">
      <alignment horizontal="center" shrinkToFit="0" wrapText="0"/>
    </xf>
    <xf borderId="207" fillId="3" fontId="86" numFmtId="3" xfId="0" applyAlignment="1" applyBorder="1" applyFont="1" applyNumberFormat="1">
      <alignment horizontal="center" readingOrder="0" shrinkToFit="0" wrapText="0"/>
    </xf>
    <xf borderId="207" fillId="3" fontId="86" numFmtId="3" xfId="0" applyAlignment="1" applyBorder="1" applyFont="1" applyNumberFormat="1">
      <alignment horizontal="center" shrinkToFit="0" wrapText="0"/>
    </xf>
    <xf borderId="207" fillId="3" fontId="138" numFmtId="0" xfId="0" applyAlignment="1" applyBorder="1" applyFont="1">
      <alignment horizontal="center" vertical="bottom"/>
    </xf>
    <xf borderId="207" fillId="3" fontId="138" numFmtId="168" xfId="0" applyAlignment="1" applyBorder="1" applyFont="1" applyNumberFormat="1">
      <alignment horizontal="center" vertical="bottom"/>
    </xf>
    <xf borderId="207" fillId="21" fontId="138" numFmtId="0" xfId="0" applyAlignment="1" applyBorder="1" applyFont="1">
      <alignment horizontal="center" vertical="bottom"/>
    </xf>
    <xf borderId="207" fillId="21" fontId="138" numFmtId="168" xfId="0" applyAlignment="1" applyBorder="1" applyFont="1" applyNumberFormat="1">
      <alignment horizontal="center" vertical="bottom"/>
    </xf>
    <xf borderId="98" fillId="8" fontId="85" numFmtId="0" xfId="0" applyAlignment="1" applyBorder="1" applyFont="1">
      <alignment horizontal="center" shrinkToFit="0" wrapText="0"/>
    </xf>
    <xf borderId="0" fillId="8" fontId="85" numFmtId="0" xfId="0" applyAlignment="1" applyFont="1">
      <alignment horizontal="center" shrinkToFit="0" wrapText="0"/>
    </xf>
    <xf borderId="207" fillId="23" fontId="85" numFmtId="164" xfId="0" applyAlignment="1" applyBorder="1" applyFont="1" applyNumberFormat="1">
      <alignment horizontal="center" shrinkToFit="0" wrapText="0"/>
    </xf>
    <xf borderId="207" fillId="23" fontId="86" numFmtId="0" xfId="0" applyAlignment="1" applyBorder="1" applyFont="1">
      <alignment horizontal="center" readingOrder="0" shrinkToFit="0" wrapText="0"/>
    </xf>
    <xf borderId="207" fillId="23" fontId="86" numFmtId="0" xfId="0" applyAlignment="1" applyBorder="1" applyFont="1">
      <alignment horizontal="center" shrinkToFit="0" wrapText="0"/>
    </xf>
    <xf borderId="207" fillId="23" fontId="63" numFmtId="0" xfId="0" applyAlignment="1" applyBorder="1" applyFont="1">
      <alignment vertical="bottom"/>
    </xf>
    <xf borderId="207" fillId="23" fontId="138" numFmtId="0" xfId="0" applyAlignment="1" applyBorder="1" applyFont="1">
      <alignment horizontal="center" vertical="bottom"/>
    </xf>
    <xf borderId="120" fillId="8" fontId="85" numFmtId="0" xfId="0" applyAlignment="1" applyBorder="1" applyFont="1">
      <alignment horizontal="center" shrinkToFit="0" wrapText="0"/>
    </xf>
    <xf borderId="113" fillId="8" fontId="85" numFmtId="0" xfId="0" applyAlignment="1" applyBorder="1" applyFont="1">
      <alignment horizontal="center" shrinkToFit="0" wrapText="0"/>
    </xf>
    <xf borderId="109" fillId="8" fontId="86" numFmtId="165" xfId="0" applyAlignment="1" applyBorder="1" applyFont="1" applyNumberFormat="1">
      <alignment horizontal="center" shrinkToFit="0" wrapText="0"/>
    </xf>
    <xf borderId="0" fillId="8" fontId="86" numFmtId="165" xfId="0" applyAlignment="1" applyFont="1" applyNumberFormat="1">
      <alignment horizontal="center" shrinkToFit="0" wrapText="0"/>
    </xf>
    <xf borderId="0" fillId="8" fontId="63" numFmtId="165" xfId="0" applyAlignment="1" applyFont="1" applyNumberFormat="1">
      <alignment vertical="bottom"/>
    </xf>
    <xf borderId="0" fillId="8" fontId="138" numFmtId="2" xfId="0" applyAlignment="1" applyFont="1" applyNumberFormat="1">
      <alignment horizontal="center" vertical="bottom"/>
    </xf>
    <xf borderId="0" fillId="8" fontId="138" numFmtId="3" xfId="0" applyAlignment="1" applyFont="1" applyNumberFormat="1">
      <alignment horizontal="center" vertical="bottom"/>
    </xf>
    <xf borderId="112" fillId="23" fontId="86" numFmtId="0" xfId="0" applyAlignment="1" applyBorder="1" applyFont="1">
      <alignment horizontal="center"/>
    </xf>
    <xf borderId="112" fillId="3" fontId="86" numFmtId="0" xfId="0" applyAlignment="1" applyBorder="1" applyFont="1">
      <alignment horizontal="center" shrinkToFit="0" wrapText="0"/>
    </xf>
    <xf borderId="112" fillId="3" fontId="86" numFmtId="0" xfId="0" applyAlignment="1" applyBorder="1" applyFont="1">
      <alignment horizontal="center" readingOrder="0" shrinkToFit="0" wrapText="0"/>
    </xf>
    <xf borderId="120" fillId="3" fontId="86" numFmtId="0" xfId="0" applyAlignment="1" applyBorder="1" applyFont="1">
      <alignment horizontal="center" shrinkToFit="0" wrapText="0"/>
    </xf>
    <xf borderId="156" fillId="23" fontId="86" numFmtId="0" xfId="0" applyAlignment="1" applyBorder="1" applyFont="1">
      <alignment horizontal="center"/>
    </xf>
    <xf borderId="112" fillId="23" fontId="86" numFmtId="0" xfId="0" applyAlignment="1" applyBorder="1" applyFont="1">
      <alignment horizontal="center" readingOrder="0"/>
    </xf>
    <xf borderId="239" fillId="8" fontId="86" numFmtId="0" xfId="0" applyAlignment="1" applyBorder="1" applyFont="1">
      <alignment horizontal="center" shrinkToFit="0" wrapText="0"/>
    </xf>
    <xf borderId="71" fillId="8" fontId="86" numFmtId="0" xfId="0" applyAlignment="1" applyBorder="1" applyFont="1">
      <alignment horizontal="center" shrinkToFit="0" wrapText="0"/>
    </xf>
    <xf borderId="69" fillId="8" fontId="86" numFmtId="0" xfId="0" applyAlignment="1" applyBorder="1" applyFont="1">
      <alignment horizontal="center" shrinkToFit="0" wrapText="0"/>
    </xf>
    <xf borderId="217" fillId="3" fontId="86" numFmtId="0" xfId="0" applyAlignment="1" applyBorder="1" applyFont="1">
      <alignment horizontal="center" shrinkToFit="0" wrapText="0"/>
    </xf>
    <xf borderId="76" fillId="3" fontId="86" numFmtId="0" xfId="0" applyAlignment="1" applyBorder="1" applyFont="1">
      <alignment horizontal="center" shrinkToFit="0" wrapText="0"/>
    </xf>
    <xf borderId="76" fillId="3" fontId="86" numFmtId="0" xfId="0" applyAlignment="1" applyBorder="1" applyFont="1">
      <alignment horizontal="center" readingOrder="0" shrinkToFit="0" wrapText="0"/>
    </xf>
    <xf borderId="76" fillId="3" fontId="6" numFmtId="0" xfId="0" applyBorder="1" applyFont="1"/>
    <xf borderId="69" fillId="3" fontId="86" numFmtId="0" xfId="0" applyAlignment="1" applyBorder="1" applyFont="1">
      <alignment horizontal="center" shrinkToFit="0" wrapText="0"/>
    </xf>
    <xf borderId="69" fillId="3" fontId="86" numFmtId="165" xfId="0" applyAlignment="1" applyBorder="1" applyFont="1" applyNumberFormat="1">
      <alignment horizontal="center" shrinkToFit="0" wrapText="0"/>
    </xf>
    <xf borderId="76" fillId="3" fontId="86" numFmtId="165" xfId="0" applyAlignment="1" applyBorder="1" applyFont="1" applyNumberFormat="1">
      <alignment horizontal="center" shrinkToFit="0" wrapText="0"/>
    </xf>
    <xf borderId="0" fillId="3" fontId="63" numFmtId="165" xfId="0" applyAlignment="1" applyFont="1" applyNumberFormat="1">
      <alignment vertical="bottom"/>
    </xf>
    <xf borderId="98" fillId="32" fontId="85" numFmtId="0" xfId="0" applyAlignment="1" applyBorder="1" applyFill="1" applyFont="1">
      <alignment horizontal="center" readingOrder="0" shrinkToFit="0" wrapText="0"/>
    </xf>
    <xf borderId="0" fillId="32" fontId="85" numFmtId="0" xfId="0" applyAlignment="1" applyFont="1">
      <alignment horizontal="center" shrinkToFit="0" wrapText="0"/>
    </xf>
    <xf borderId="255" fillId="0" fontId="6" numFmtId="0" xfId="0" applyBorder="1" applyFont="1"/>
    <xf borderId="240" fillId="32" fontId="86" numFmtId="168" xfId="0" applyAlignment="1" applyBorder="1" applyFont="1" applyNumberFormat="1">
      <alignment horizontal="center"/>
    </xf>
    <xf borderId="240" fillId="32" fontId="86" numFmtId="0" xfId="0" applyAlignment="1" applyBorder="1" applyFont="1">
      <alignment horizontal="center"/>
    </xf>
    <xf borderId="109" fillId="32" fontId="86" numFmtId="0" xfId="0" applyAlignment="1" applyBorder="1" applyFont="1">
      <alignment horizontal="center" readingOrder="0" shrinkToFit="0" wrapText="0"/>
    </xf>
    <xf borderId="120" fillId="32" fontId="85" numFmtId="0" xfId="0" applyAlignment="1" applyBorder="1" applyFont="1">
      <alignment horizontal="center" readingOrder="0" shrinkToFit="0" wrapText="0"/>
    </xf>
    <xf borderId="156" fillId="32" fontId="85" numFmtId="0" xfId="0" applyAlignment="1" applyBorder="1" applyFont="1">
      <alignment horizontal="center" shrinkToFit="0" wrapText="0"/>
    </xf>
    <xf borderId="207" fillId="32" fontId="86" numFmtId="168" xfId="0" applyAlignment="1" applyBorder="1" applyFont="1" applyNumberFormat="1">
      <alignment horizontal="center"/>
    </xf>
    <xf borderId="207" fillId="32" fontId="86" numFmtId="0" xfId="0" applyAlignment="1" applyBorder="1" applyFont="1">
      <alignment horizontal="center"/>
    </xf>
    <xf borderId="0" fillId="32" fontId="86" numFmtId="0" xfId="0" applyAlignment="1" applyFont="1">
      <alignment horizontal="center" readingOrder="0" shrinkToFit="0" wrapText="0"/>
    </xf>
    <xf borderId="0" fillId="32" fontId="63" numFmtId="0" xfId="0" applyAlignment="1" applyFont="1">
      <alignment vertical="bottom"/>
    </xf>
    <xf borderId="217" fillId="31" fontId="86" numFmtId="0" xfId="0" applyAlignment="1" applyBorder="1" applyFont="1">
      <alignment horizontal="center" shrinkToFit="0" wrapText="0"/>
    </xf>
    <xf borderId="109" fillId="32" fontId="86" numFmtId="0" xfId="0" applyAlignment="1" applyBorder="1" applyFont="1">
      <alignment horizontal="center" shrinkToFit="0" wrapText="0"/>
    </xf>
    <xf borderId="0" fillId="32" fontId="86" numFmtId="0" xfId="0" applyAlignment="1" applyFont="1">
      <alignment horizontal="center" shrinkToFit="0" wrapText="0"/>
    </xf>
    <xf borderId="0" fillId="32" fontId="63" numFmtId="0" xfId="0" applyAlignment="1" applyFont="1">
      <alignment vertical="bottom"/>
    </xf>
    <xf borderId="98" fillId="32" fontId="85" numFmtId="0" xfId="0" applyAlignment="1" applyBorder="1" applyFont="1">
      <alignment horizontal="center" shrinkToFit="0" wrapText="0"/>
    </xf>
    <xf borderId="0" fillId="32" fontId="6" numFmtId="0" xfId="0" applyFont="1"/>
    <xf borderId="109" fillId="32" fontId="6" numFmtId="0" xfId="0" applyBorder="1" applyFont="1"/>
    <xf borderId="112" fillId="32" fontId="98" numFmtId="0" xfId="0" applyAlignment="1" applyBorder="1" applyFont="1">
      <alignment vertical="bottom"/>
    </xf>
    <xf borderId="112" fillId="32" fontId="98" numFmtId="0" xfId="0" applyAlignment="1" applyBorder="1" applyFont="1">
      <alignment horizontal="center" vertical="bottom"/>
    </xf>
    <xf borderId="0" fillId="32" fontId="139" numFmtId="0" xfId="0" applyAlignment="1" applyFont="1">
      <alignment horizontal="center" vertical="bottom"/>
    </xf>
    <xf borderId="240" fillId="32" fontId="86" numFmtId="0" xfId="0" applyAlignment="1" applyBorder="1" applyFont="1">
      <alignment horizontal="center" vertical="bottom"/>
    </xf>
    <xf borderId="78" fillId="32" fontId="138" numFmtId="0" xfId="0" applyAlignment="1" applyBorder="1" applyFont="1">
      <alignment horizontal="center" vertical="bottom"/>
    </xf>
    <xf borderId="207" fillId="32" fontId="138" numFmtId="0" xfId="0" applyAlignment="1" applyBorder="1" applyFont="1">
      <alignment horizontal="center" vertical="bottom"/>
    </xf>
    <xf borderId="240" fillId="21" fontId="138" numFmtId="0" xfId="0" applyAlignment="1" applyBorder="1" applyFont="1">
      <alignment horizontal="center" vertical="bottom"/>
    </xf>
    <xf borderId="120" fillId="32" fontId="85" numFmtId="0" xfId="0" applyAlignment="1" applyBorder="1" applyFont="1">
      <alignment horizontal="center" shrinkToFit="0" wrapText="0"/>
    </xf>
    <xf borderId="113" fillId="32" fontId="85" numFmtId="0" xfId="0" applyAlignment="1" applyBorder="1" applyFont="1">
      <alignment horizontal="center" shrinkToFit="0" wrapText="0"/>
    </xf>
    <xf borderId="109" fillId="32" fontId="86" numFmtId="165" xfId="0" applyAlignment="1" applyBorder="1" applyFont="1" applyNumberFormat="1">
      <alignment horizontal="center" shrinkToFit="0" wrapText="0"/>
    </xf>
    <xf borderId="0" fillId="32" fontId="63" numFmtId="165" xfId="0" applyAlignment="1" applyFont="1" applyNumberFormat="1">
      <alignment vertical="bottom"/>
    </xf>
    <xf borderId="0" fillId="32" fontId="138" numFmtId="3" xfId="0" applyAlignment="1" applyFont="1" applyNumberFormat="1">
      <alignment horizontal="center" vertical="bottom"/>
    </xf>
    <xf borderId="207" fillId="23" fontId="86" numFmtId="0" xfId="0" applyAlignment="1" applyBorder="1" applyFont="1">
      <alignment horizontal="center"/>
    </xf>
    <xf borderId="98" fillId="32" fontId="86" numFmtId="0" xfId="0" applyAlignment="1" applyBorder="1" applyFont="1">
      <alignment horizontal="center" shrinkToFit="0" wrapText="0"/>
    </xf>
    <xf borderId="207" fillId="23" fontId="86" numFmtId="0" xfId="0" applyAlignment="1" applyBorder="1" applyFont="1">
      <alignment horizontal="center" readingOrder="0"/>
    </xf>
    <xf borderId="120" fillId="3" fontId="86" numFmtId="0" xfId="0" applyAlignment="1" applyBorder="1" applyFont="1">
      <alignment horizontal="center" readingOrder="0" shrinkToFit="0" wrapText="0"/>
    </xf>
    <xf borderId="239" fillId="32" fontId="86" numFmtId="0" xfId="0" applyAlignment="1" applyBorder="1" applyFont="1">
      <alignment horizontal="center" shrinkToFit="0" wrapText="0"/>
    </xf>
    <xf borderId="69" fillId="32" fontId="86" numFmtId="0" xfId="0" applyAlignment="1" applyBorder="1" applyFont="1">
      <alignment horizontal="center" shrinkToFit="0" wrapText="0"/>
    </xf>
    <xf borderId="71" fillId="32" fontId="86" numFmtId="0" xfId="0" applyAlignment="1" applyBorder="1" applyFont="1">
      <alignment horizontal="center" shrinkToFit="0" wrapText="0"/>
    </xf>
    <xf borderId="217" fillId="3" fontId="85" numFmtId="0" xfId="0" applyAlignment="1" applyBorder="1" applyFont="1">
      <alignment horizontal="center" shrinkToFit="0" wrapText="0"/>
    </xf>
    <xf borderId="76" fillId="3" fontId="85" numFmtId="0" xfId="0" applyAlignment="1" applyBorder="1" applyFont="1">
      <alignment horizontal="center" shrinkToFit="0" wrapText="0"/>
    </xf>
    <xf borderId="76" fillId="3" fontId="85" numFmtId="164" xfId="0" applyAlignment="1" applyBorder="1" applyFont="1" applyNumberFormat="1">
      <alignment horizontal="center" shrinkToFit="0" wrapText="0"/>
    </xf>
    <xf borderId="0" fillId="3" fontId="86" numFmtId="165" xfId="0" applyAlignment="1" applyFont="1" applyNumberFormat="1">
      <alignment horizontal="center" shrinkToFit="0" wrapText="0"/>
    </xf>
    <xf borderId="98" fillId="33" fontId="85" numFmtId="0" xfId="0" applyAlignment="1" applyBorder="1" applyFill="1" applyFont="1">
      <alignment horizontal="center" readingOrder="0" shrinkToFit="0" wrapText="0"/>
    </xf>
    <xf borderId="0" fillId="33" fontId="85" numFmtId="0" xfId="0" applyAlignment="1" applyFont="1">
      <alignment horizontal="center" shrinkToFit="0" wrapText="0"/>
    </xf>
    <xf borderId="240" fillId="33" fontId="86" numFmtId="168" xfId="0" applyAlignment="1" applyBorder="1" applyFont="1" applyNumberFormat="1">
      <alignment horizontal="center"/>
    </xf>
    <xf borderId="240" fillId="33" fontId="86" numFmtId="0" xfId="0" applyAlignment="1" applyBorder="1" applyFont="1">
      <alignment horizontal="center"/>
    </xf>
    <xf borderId="109" fillId="33" fontId="86" numFmtId="0" xfId="0" applyAlignment="1" applyBorder="1" applyFont="1">
      <alignment horizontal="center" readingOrder="0" shrinkToFit="0" wrapText="0"/>
    </xf>
    <xf borderId="120" fillId="33" fontId="85" numFmtId="0" xfId="0" applyAlignment="1" applyBorder="1" applyFont="1">
      <alignment horizontal="center" readingOrder="0" shrinkToFit="0" wrapText="0"/>
    </xf>
    <xf borderId="156" fillId="33" fontId="85" numFmtId="0" xfId="0" applyAlignment="1" applyBorder="1" applyFont="1">
      <alignment horizontal="center" shrinkToFit="0" wrapText="0"/>
    </xf>
    <xf borderId="207" fillId="33" fontId="86" numFmtId="168" xfId="0" applyAlignment="1" applyBorder="1" applyFont="1" applyNumberFormat="1">
      <alignment horizontal="center"/>
    </xf>
    <xf borderId="207" fillId="33" fontId="86" numFmtId="0" xfId="0" applyAlignment="1" applyBorder="1" applyFont="1">
      <alignment horizontal="center"/>
    </xf>
    <xf borderId="0" fillId="33" fontId="86" numFmtId="0" xfId="0" applyAlignment="1" applyFont="1">
      <alignment horizontal="center" readingOrder="0" shrinkToFit="0" wrapText="0"/>
    </xf>
    <xf borderId="0" fillId="33" fontId="63" numFmtId="0" xfId="0" applyAlignment="1" applyFont="1">
      <alignment vertical="bottom"/>
    </xf>
    <xf borderId="109" fillId="33" fontId="86" numFmtId="0" xfId="0" applyAlignment="1" applyBorder="1" applyFont="1">
      <alignment horizontal="center" shrinkToFit="0" wrapText="0"/>
    </xf>
    <xf borderId="0" fillId="33" fontId="86" numFmtId="0" xfId="0" applyAlignment="1" applyFont="1">
      <alignment horizontal="center" shrinkToFit="0" wrapText="0"/>
    </xf>
    <xf borderId="0" fillId="33" fontId="63" numFmtId="0" xfId="0" applyAlignment="1" applyFont="1">
      <alignment vertical="bottom"/>
    </xf>
    <xf borderId="98" fillId="33" fontId="85" numFmtId="0" xfId="0" applyAlignment="1" applyBorder="1" applyFont="1">
      <alignment horizontal="center" shrinkToFit="0" wrapText="0"/>
    </xf>
    <xf borderId="0" fillId="33" fontId="6" numFmtId="0" xfId="0" applyFont="1"/>
    <xf borderId="109" fillId="33" fontId="6" numFmtId="0" xfId="0" applyBorder="1" applyFont="1"/>
    <xf borderId="112" fillId="33" fontId="98" numFmtId="0" xfId="0" applyAlignment="1" applyBorder="1" applyFont="1">
      <alignment vertical="bottom"/>
    </xf>
    <xf borderId="112" fillId="33" fontId="98" numFmtId="0" xfId="0" applyAlignment="1" applyBorder="1" applyFont="1">
      <alignment horizontal="center" vertical="bottom"/>
    </xf>
    <xf borderId="0" fillId="33" fontId="139" numFmtId="0" xfId="0" applyAlignment="1" applyFont="1">
      <alignment horizontal="center" vertical="bottom"/>
    </xf>
    <xf borderId="240" fillId="33" fontId="86" numFmtId="0" xfId="0" applyAlignment="1" applyBorder="1" applyFont="1">
      <alignment horizontal="center" vertical="bottom"/>
    </xf>
    <xf borderId="78" fillId="33" fontId="138" numFmtId="0" xfId="0" applyAlignment="1" applyBorder="1" applyFont="1">
      <alignment horizontal="center" vertical="bottom"/>
    </xf>
    <xf borderId="207" fillId="33" fontId="138" numFmtId="0" xfId="0" applyAlignment="1" applyBorder="1" applyFont="1">
      <alignment horizontal="center" vertical="bottom"/>
    </xf>
    <xf borderId="207" fillId="3" fontId="86" numFmtId="0" xfId="0" applyAlignment="1" applyBorder="1" applyFont="1">
      <alignment horizontal="center" readingOrder="0" shrinkToFit="0" wrapText="0"/>
    </xf>
    <xf borderId="207" fillId="21" fontId="86" numFmtId="0" xfId="0" applyAlignment="1" applyBorder="1" applyFont="1">
      <alignment horizontal="center" readingOrder="0" shrinkToFit="0" wrapText="0"/>
    </xf>
    <xf borderId="120" fillId="33" fontId="85" numFmtId="0" xfId="0" applyAlignment="1" applyBorder="1" applyFont="1">
      <alignment horizontal="center" shrinkToFit="0" wrapText="0"/>
    </xf>
    <xf borderId="113" fillId="33" fontId="85" numFmtId="0" xfId="0" applyAlignment="1" applyBorder="1" applyFont="1">
      <alignment horizontal="center" shrinkToFit="0" wrapText="0"/>
    </xf>
    <xf borderId="109" fillId="33" fontId="86" numFmtId="165" xfId="0" applyAlignment="1" applyBorder="1" applyFont="1" applyNumberFormat="1">
      <alignment horizontal="center" shrinkToFit="0" wrapText="0"/>
    </xf>
    <xf borderId="0" fillId="33" fontId="86" numFmtId="165" xfId="0" applyAlignment="1" applyFont="1" applyNumberFormat="1">
      <alignment horizontal="center" shrinkToFit="0" wrapText="0"/>
    </xf>
    <xf borderId="0" fillId="33" fontId="63" numFmtId="165" xfId="0" applyAlignment="1" applyFont="1" applyNumberFormat="1">
      <alignment vertical="bottom"/>
    </xf>
    <xf borderId="0" fillId="33" fontId="138" numFmtId="3" xfId="0" applyAlignment="1" applyFont="1" applyNumberFormat="1">
      <alignment horizontal="center" vertical="bottom"/>
    </xf>
    <xf borderId="120" fillId="23" fontId="86" numFmtId="0" xfId="0" applyAlignment="1" applyBorder="1" applyFont="1">
      <alignment horizontal="center" shrinkToFit="0" wrapText="0"/>
    </xf>
    <xf borderId="98" fillId="33" fontId="86" numFmtId="0" xfId="0" applyAlignment="1" applyBorder="1" applyFont="1">
      <alignment horizontal="center" shrinkToFit="0" wrapText="0"/>
    </xf>
    <xf borderId="156" fillId="33" fontId="63" numFmtId="0" xfId="0" applyAlignment="1" applyBorder="1" applyFont="1">
      <alignment vertical="bottom"/>
    </xf>
    <xf borderId="239" fillId="33" fontId="86" numFmtId="0" xfId="0" applyAlignment="1" applyBorder="1" applyFont="1">
      <alignment horizontal="center" shrinkToFit="0" wrapText="0"/>
    </xf>
    <xf borderId="69" fillId="33" fontId="86" numFmtId="0" xfId="0" applyAlignment="1" applyBorder="1" applyFont="1">
      <alignment horizontal="center" shrinkToFit="0" wrapText="0"/>
    </xf>
    <xf borderId="69" fillId="33" fontId="63" numFmtId="0" xfId="0" applyAlignment="1" applyBorder="1" applyFont="1">
      <alignment vertical="bottom"/>
    </xf>
    <xf borderId="71" fillId="33" fontId="86" numFmtId="0" xfId="0" applyAlignment="1" applyBorder="1" applyFont="1">
      <alignment horizontal="center" shrinkToFit="0" wrapText="0"/>
    </xf>
    <xf borderId="69" fillId="3" fontId="86" numFmtId="0" xfId="0" applyAlignment="1" applyBorder="1" applyFont="1">
      <alignment horizontal="center" readingOrder="0" shrinkToFit="0" wrapText="0"/>
    </xf>
    <xf borderId="98" fillId="34" fontId="85" numFmtId="0" xfId="0" applyAlignment="1" applyBorder="1" applyFill="1" applyFont="1">
      <alignment horizontal="center" readingOrder="0" shrinkToFit="0" wrapText="0"/>
    </xf>
    <xf borderId="0" fillId="34" fontId="85" numFmtId="0" xfId="0" applyAlignment="1" applyFont="1">
      <alignment horizontal="center" shrinkToFit="0" wrapText="0"/>
    </xf>
    <xf borderId="240" fillId="34" fontId="86" numFmtId="168" xfId="0" applyAlignment="1" applyBorder="1" applyFont="1" applyNumberFormat="1">
      <alignment horizontal="center"/>
    </xf>
    <xf borderId="240" fillId="34" fontId="86" numFmtId="0" xfId="0" applyAlignment="1" applyBorder="1" applyFont="1">
      <alignment horizontal="center"/>
    </xf>
    <xf borderId="240" fillId="3" fontId="86" numFmtId="0" xfId="0" applyAlignment="1" applyBorder="1" applyFont="1">
      <alignment horizontal="center" shrinkToFit="0" wrapText="0"/>
    </xf>
    <xf borderId="109" fillId="34" fontId="86" numFmtId="0" xfId="0" applyAlignment="1" applyBorder="1" applyFont="1">
      <alignment horizontal="center" readingOrder="0" shrinkToFit="0" wrapText="0"/>
    </xf>
    <xf borderId="120" fillId="34" fontId="85" numFmtId="0" xfId="0" applyAlignment="1" applyBorder="1" applyFont="1">
      <alignment horizontal="center" readingOrder="0" shrinkToFit="0" wrapText="0"/>
    </xf>
    <xf borderId="156" fillId="34" fontId="85" numFmtId="0" xfId="0" applyAlignment="1" applyBorder="1" applyFont="1">
      <alignment horizontal="center" shrinkToFit="0" wrapText="0"/>
    </xf>
    <xf borderId="207" fillId="34" fontId="86" numFmtId="168" xfId="0" applyAlignment="1" applyBorder="1" applyFont="1" applyNumberFormat="1">
      <alignment horizontal="center"/>
    </xf>
    <xf borderId="207" fillId="34" fontId="86" numFmtId="0" xfId="0" applyAlignment="1" applyBorder="1" applyFont="1">
      <alignment horizontal="center"/>
    </xf>
    <xf borderId="113" fillId="34" fontId="86" numFmtId="0" xfId="0" applyAlignment="1" applyBorder="1" applyFont="1">
      <alignment horizontal="center" readingOrder="0" shrinkToFit="0" wrapText="0"/>
    </xf>
    <xf borderId="0" fillId="34" fontId="63" numFmtId="0" xfId="0" applyAlignment="1" applyFont="1">
      <alignment vertical="bottom"/>
    </xf>
    <xf borderId="109" fillId="34" fontId="86" numFmtId="0" xfId="0" applyAlignment="1" applyBorder="1" applyFont="1">
      <alignment horizontal="center" shrinkToFit="0" wrapText="0"/>
    </xf>
    <xf borderId="0" fillId="34" fontId="63" numFmtId="0" xfId="0" applyAlignment="1" applyFont="1">
      <alignment vertical="bottom"/>
    </xf>
    <xf borderId="98" fillId="34" fontId="85" numFmtId="0" xfId="0" applyAlignment="1" applyBorder="1" applyFont="1">
      <alignment horizontal="center" shrinkToFit="0" wrapText="0"/>
    </xf>
    <xf borderId="0" fillId="34" fontId="6" numFmtId="0" xfId="0" applyFont="1"/>
    <xf borderId="109" fillId="34" fontId="6" numFmtId="0" xfId="0" applyBorder="1" applyFont="1"/>
    <xf borderId="0" fillId="34" fontId="6" numFmtId="0" xfId="0" applyAlignment="1" applyFont="1">
      <alignment readingOrder="0"/>
    </xf>
    <xf borderId="112" fillId="34" fontId="98" numFmtId="0" xfId="0" applyAlignment="1" applyBorder="1" applyFont="1">
      <alignment vertical="bottom"/>
    </xf>
    <xf borderId="112" fillId="34" fontId="98" numFmtId="0" xfId="0" applyAlignment="1" applyBorder="1" applyFont="1">
      <alignment horizontal="center" vertical="bottom"/>
    </xf>
    <xf borderId="0" fillId="34" fontId="139" numFmtId="0" xfId="0" applyAlignment="1" applyFont="1">
      <alignment horizontal="center" vertical="bottom"/>
    </xf>
    <xf borderId="240" fillId="34" fontId="86" numFmtId="0" xfId="0" applyAlignment="1" applyBorder="1" applyFont="1">
      <alignment horizontal="center" vertical="bottom"/>
    </xf>
    <xf borderId="240" fillId="34" fontId="98" numFmtId="0" xfId="0" applyAlignment="1" applyBorder="1" applyFont="1">
      <alignment vertical="bottom"/>
    </xf>
    <xf borderId="207" fillId="34" fontId="63" numFmtId="0" xfId="0" applyAlignment="1" applyBorder="1" applyFont="1">
      <alignment vertical="bottom"/>
    </xf>
    <xf borderId="207" fillId="21" fontId="138" numFmtId="0" xfId="0" applyAlignment="1" applyBorder="1" applyFont="1">
      <alignment horizontal="center" vertical="bottom"/>
    </xf>
    <xf borderId="120" fillId="34" fontId="85" numFmtId="0" xfId="0" applyAlignment="1" applyBorder="1" applyFont="1">
      <alignment horizontal="center" shrinkToFit="0" wrapText="0"/>
    </xf>
    <xf borderId="113" fillId="34" fontId="85" numFmtId="0" xfId="0" applyAlignment="1" applyBorder="1" applyFont="1">
      <alignment horizontal="center" shrinkToFit="0" wrapText="0"/>
    </xf>
    <xf borderId="109" fillId="34" fontId="86" numFmtId="165" xfId="0" applyAlignment="1" applyBorder="1" applyFont="1" applyNumberFormat="1">
      <alignment horizontal="center" shrinkToFit="0" wrapText="0"/>
    </xf>
    <xf borderId="0" fillId="34" fontId="63" numFmtId="165" xfId="0" applyAlignment="1" applyFont="1" applyNumberFormat="1">
      <alignment vertical="bottom"/>
    </xf>
    <xf borderId="0" fillId="34" fontId="138" numFmtId="3" xfId="0" applyAlignment="1" applyFont="1" applyNumberFormat="1">
      <alignment horizontal="center" vertical="bottom"/>
    </xf>
    <xf borderId="217" fillId="23" fontId="86" numFmtId="0" xfId="0" applyAlignment="1" applyBorder="1" applyFont="1">
      <alignment horizontal="center" shrinkToFit="0" wrapText="0"/>
    </xf>
    <xf borderId="98" fillId="34" fontId="86" numFmtId="0" xfId="0" applyAlignment="1" applyBorder="1" applyFont="1">
      <alignment horizontal="center" shrinkToFit="0" wrapText="0"/>
    </xf>
    <xf borderId="0" fillId="34" fontId="86" numFmtId="0" xfId="0" applyAlignment="1" applyFont="1">
      <alignment horizontal="center" shrinkToFit="0" wrapText="0"/>
    </xf>
    <xf borderId="0" fillId="34" fontId="86" numFmtId="165" xfId="0" applyAlignment="1" applyFont="1" applyNumberFormat="1">
      <alignment horizontal="center" shrinkToFit="0" wrapText="0"/>
    </xf>
    <xf borderId="239" fillId="34" fontId="86" numFmtId="0" xfId="0" applyAlignment="1" applyBorder="1" applyFont="1">
      <alignment horizontal="center" shrinkToFit="0" wrapText="0"/>
    </xf>
    <xf borderId="69" fillId="34" fontId="86" numFmtId="0" xfId="0" applyAlignment="1" applyBorder="1" applyFont="1">
      <alignment horizontal="center" shrinkToFit="0" wrapText="0"/>
    </xf>
    <xf borderId="71" fillId="34" fontId="86" numFmtId="0" xfId="0" applyAlignment="1" applyBorder="1" applyFont="1">
      <alignment horizontal="center" shrinkToFit="0" wrapText="0"/>
    </xf>
    <xf borderId="71" fillId="34" fontId="86" numFmtId="165" xfId="0" applyAlignment="1" applyBorder="1" applyFont="1" applyNumberFormat="1">
      <alignment horizontal="center" shrinkToFit="0" wrapText="0"/>
    </xf>
    <xf borderId="207" fillId="3" fontId="140" numFmtId="0" xfId="0" applyAlignment="1" applyBorder="1" applyFont="1">
      <alignment horizontal="center" shrinkToFit="0" wrapText="1"/>
    </xf>
    <xf borderId="78" fillId="3" fontId="138" numFmtId="0" xfId="0" applyAlignment="1" applyBorder="1" applyFont="1">
      <alignment horizontal="center"/>
    </xf>
    <xf borderId="69" fillId="3" fontId="63" numFmtId="0" xfId="0" applyAlignment="1" applyBorder="1" applyFont="1">
      <alignment vertical="bottom"/>
    </xf>
    <xf borderId="240" fillId="35" fontId="140" numFmtId="165" xfId="0" applyAlignment="1" applyBorder="1" applyFill="1" applyFont="1" applyNumberFormat="1">
      <alignment horizontal="center" vertical="bottom"/>
    </xf>
    <xf borderId="71" fillId="3" fontId="63" numFmtId="170" xfId="0" applyAlignment="1" applyBorder="1" applyFont="1" applyNumberFormat="1">
      <alignment vertical="bottom"/>
    </xf>
    <xf borderId="71" fillId="35" fontId="140" numFmtId="170" xfId="0" applyAlignment="1" applyBorder="1" applyFont="1" applyNumberFormat="1">
      <alignment horizontal="center" readingOrder="0" vertical="bottom"/>
    </xf>
    <xf borderId="240" fillId="10" fontId="140" numFmtId="165" xfId="0" applyAlignment="1" applyBorder="1" applyFont="1" applyNumberFormat="1">
      <alignment horizontal="center" vertical="bottom"/>
    </xf>
    <xf borderId="71" fillId="3" fontId="63" numFmtId="164" xfId="0" applyAlignment="1" applyBorder="1" applyFont="1" applyNumberFormat="1">
      <alignment vertical="bottom"/>
    </xf>
    <xf borderId="71" fillId="4" fontId="140" numFmtId="164" xfId="0" applyAlignment="1" applyBorder="1" applyFont="1" applyNumberFormat="1">
      <alignment horizontal="center" vertical="bottom"/>
    </xf>
    <xf borderId="71" fillId="10" fontId="140" numFmtId="164" xfId="0" applyAlignment="1" applyBorder="1" applyFont="1" applyNumberFormat="1">
      <alignment horizontal="center" vertical="bottom"/>
    </xf>
    <xf borderId="240" fillId="3" fontId="140" numFmtId="0" xfId="0" applyAlignment="1" applyBorder="1" applyFont="1">
      <alignment horizontal="center" shrinkToFit="0" wrapText="1"/>
    </xf>
    <xf borderId="71" fillId="8" fontId="140" numFmtId="0" xfId="0" applyAlignment="1" applyBorder="1" applyFont="1">
      <alignment horizontal="center" shrinkToFit="0" wrapText="1"/>
    </xf>
    <xf borderId="71" fillId="21" fontId="140" numFmtId="0" xfId="0" applyAlignment="1" applyBorder="1" applyFont="1">
      <alignment horizontal="center" shrinkToFit="0" wrapText="1"/>
    </xf>
    <xf borderId="71" fillId="15" fontId="140" numFmtId="0" xfId="0" applyAlignment="1" applyBorder="1" applyFont="1">
      <alignment horizontal="center" shrinkToFit="0" wrapText="1"/>
    </xf>
    <xf borderId="71" fillId="30" fontId="140" numFmtId="0" xfId="0" applyAlignment="1" applyBorder="1" applyFont="1">
      <alignment horizontal="center" shrinkToFit="0" wrapText="1"/>
    </xf>
    <xf borderId="71" fillId="36" fontId="140" numFmtId="0" xfId="0" applyAlignment="1" applyBorder="1" applyFill="1" applyFont="1">
      <alignment horizontal="center" shrinkToFit="0" wrapText="1"/>
    </xf>
    <xf borderId="71" fillId="18" fontId="140" numFmtId="0" xfId="0" applyAlignment="1" applyBorder="1" applyFont="1">
      <alignment horizontal="center" shrinkToFit="0" wrapText="1"/>
    </xf>
    <xf borderId="71" fillId="22" fontId="140" numFmtId="0" xfId="0" applyAlignment="1" applyBorder="1" applyFont="1">
      <alignment horizontal="center" shrinkToFit="0" wrapText="1"/>
    </xf>
    <xf borderId="71" fillId="27" fontId="140" numFmtId="0" xfId="0" applyAlignment="1" applyBorder="1" applyFont="1">
      <alignment horizontal="center" shrinkToFit="0" wrapText="1"/>
    </xf>
    <xf borderId="71" fillId="37" fontId="140" numFmtId="0" xfId="0" applyAlignment="1" applyBorder="1" applyFill="1" applyFont="1">
      <alignment horizontal="center" shrinkToFit="0" wrapText="1"/>
    </xf>
    <xf borderId="71" fillId="38" fontId="140" numFmtId="0" xfId="0" applyAlignment="1" applyBorder="1" applyFill="1" applyFont="1">
      <alignment horizontal="center" shrinkToFit="0" wrapText="1"/>
    </xf>
    <xf borderId="71" fillId="39" fontId="140" numFmtId="0" xfId="0" applyAlignment="1" applyBorder="1" applyFill="1" applyFont="1">
      <alignment horizontal="center" shrinkToFit="0" wrapText="1"/>
    </xf>
    <xf borderId="240" fillId="3" fontId="138" numFmtId="0" xfId="0" applyAlignment="1" applyBorder="1" applyFont="1">
      <alignment horizontal="center" vertical="bottom"/>
    </xf>
    <xf borderId="71" fillId="3" fontId="63" numFmtId="0" xfId="0" applyAlignment="1" applyBorder="1" applyFont="1">
      <alignment vertical="bottom"/>
    </xf>
    <xf borderId="71" fillId="3" fontId="138" numFmtId="0" xfId="0" applyAlignment="1" applyBorder="1" applyFont="1">
      <alignment horizontal="center" vertical="bottom"/>
    </xf>
    <xf borderId="71" fillId="26" fontId="63" numFmtId="0" xfId="0" applyAlignment="1" applyBorder="1" applyFont="1">
      <alignment vertical="bottom"/>
    </xf>
    <xf borderId="71" fillId="26" fontId="138" numFmtId="0" xfId="0" applyAlignment="1" applyBorder="1" applyFont="1">
      <alignment horizontal="center" vertical="bottom"/>
    </xf>
    <xf borderId="240" fillId="3" fontId="140" numFmtId="165" xfId="0" applyAlignment="1" applyBorder="1" applyFont="1" applyNumberFormat="1">
      <alignment horizontal="center" vertical="bottom"/>
    </xf>
    <xf borderId="71" fillId="3" fontId="140" numFmtId="165" xfId="0" applyAlignment="1" applyBorder="1" applyFont="1" applyNumberFormat="1">
      <alignment horizontal="center" vertical="bottom"/>
    </xf>
    <xf borderId="0" fillId="3" fontId="141" numFmtId="0" xfId="0" applyAlignment="1" applyFont="1">
      <alignment vertical="bottom"/>
    </xf>
    <xf borderId="0" fillId="9" fontId="141" numFmtId="0" xfId="0" applyAlignment="1" applyFont="1">
      <alignment horizontal="center" readingOrder="0" vertical="bottom"/>
    </xf>
    <xf borderId="0" fillId="0" fontId="98" numFmtId="0" xfId="0" applyFont="1"/>
    <xf borderId="0" fillId="27" fontId="141" numFmtId="0" xfId="0" applyAlignment="1" applyFont="1">
      <alignment horizontal="center" readingOrder="0" vertical="bottom"/>
    </xf>
    <xf borderId="0" fillId="16" fontId="141" numFmtId="0" xfId="0" applyAlignment="1" applyFont="1">
      <alignment horizontal="center" readingOrder="0" vertical="bottom"/>
    </xf>
    <xf borderId="0" fillId="18" fontId="141" numFmtId="0" xfId="0" applyAlignment="1" applyFont="1">
      <alignment horizontal="center" readingOrder="0" vertical="bottom"/>
    </xf>
    <xf borderId="0" fillId="0" fontId="98" numFmtId="0" xfId="0" applyAlignment="1" applyFont="1">
      <alignment vertical="bottom"/>
    </xf>
    <xf borderId="109" fillId="0" fontId="98" numFmtId="0" xfId="0" applyAlignment="1" applyBorder="1" applyFont="1">
      <alignment vertical="bottom"/>
    </xf>
    <xf borderId="78" fillId="0" fontId="98" numFmtId="0" xfId="0" applyAlignment="1" applyBorder="1" applyFont="1">
      <alignment horizontal="center" vertical="bottom"/>
    </xf>
    <xf borderId="0" fillId="16" fontId="141" numFmtId="0" xfId="0" applyAlignment="1" applyFont="1">
      <alignment horizontal="center" vertical="bottom"/>
    </xf>
    <xf borderId="0" fillId="18" fontId="141" numFmtId="0" xfId="0" applyAlignment="1" applyFont="1">
      <alignment horizontal="center" vertical="bottom"/>
    </xf>
    <xf borderId="177" fillId="0" fontId="98" numFmtId="0" xfId="0" applyAlignment="1" applyBorder="1" applyFont="1">
      <alignment vertical="bottom"/>
    </xf>
    <xf borderId="256" fillId="0" fontId="98" numFmtId="0" xfId="0" applyAlignment="1" applyBorder="1" applyFont="1">
      <alignment vertical="bottom"/>
    </xf>
    <xf borderId="0" fillId="0" fontId="98" numFmtId="0" xfId="0" applyAlignment="1" applyFont="1">
      <alignment vertical="bottom"/>
    </xf>
    <xf borderId="0" fillId="3" fontId="98" numFmtId="0" xfId="0" applyAlignment="1" applyFont="1">
      <alignment vertical="bottom"/>
    </xf>
    <xf borderId="0" fillId="3" fontId="98" numFmtId="0" xfId="0" applyAlignment="1" applyFont="1">
      <alignment vertical="bottom"/>
    </xf>
    <xf borderId="69" fillId="16" fontId="141" numFmtId="0" xfId="0" applyAlignment="1" applyBorder="1" applyFont="1">
      <alignment horizontal="center" vertical="bottom"/>
    </xf>
    <xf borderId="69" fillId="18" fontId="141" numFmtId="0" xfId="0" applyAlignment="1" applyBorder="1" applyFont="1">
      <alignment horizontal="center" vertical="bottom"/>
    </xf>
    <xf borderId="69" fillId="3" fontId="141" numFmtId="0" xfId="0" applyAlignment="1" applyBorder="1" applyFont="1">
      <alignment horizontal="center" vertical="bottom"/>
    </xf>
    <xf borderId="257" fillId="0" fontId="6" numFmtId="0" xfId="0" applyBorder="1" applyFont="1"/>
    <xf borderId="69" fillId="3" fontId="141" numFmtId="0" xfId="0" applyAlignment="1" applyBorder="1" applyFont="1">
      <alignment horizontal="center" vertical="bottom"/>
    </xf>
    <xf borderId="258" fillId="0" fontId="6" numFmtId="0" xfId="0" applyBorder="1" applyFont="1"/>
    <xf borderId="258" fillId="24" fontId="141" numFmtId="0" xfId="0" applyAlignment="1" applyBorder="1" applyFont="1">
      <alignment horizontal="center" vertical="bottom"/>
    </xf>
    <xf borderId="0" fillId="0" fontId="141" numFmtId="0" xfId="0" applyAlignment="1" applyFont="1">
      <alignment horizontal="center" vertical="bottom"/>
    </xf>
    <xf borderId="202" fillId="0" fontId="6" numFmtId="0" xfId="0" applyBorder="1" applyFont="1"/>
    <xf borderId="69" fillId="3" fontId="98" numFmtId="0" xfId="0" applyAlignment="1" applyBorder="1" applyFont="1">
      <alignment vertical="bottom"/>
    </xf>
    <xf borderId="0" fillId="3" fontId="141" numFmtId="0" xfId="0" applyAlignment="1" applyFont="1">
      <alignment horizontal="center" readingOrder="0" vertical="bottom"/>
    </xf>
    <xf borderId="120" fillId="3" fontId="98" numFmtId="0" xfId="0" applyAlignment="1" applyBorder="1" applyFont="1">
      <alignment vertical="bottom"/>
    </xf>
    <xf borderId="112" fillId="3" fontId="141" numFmtId="0" xfId="0" applyAlignment="1" applyBorder="1" applyFont="1">
      <alignment horizontal="center" readingOrder="0" vertical="bottom"/>
    </xf>
    <xf borderId="113" fillId="3" fontId="141" numFmtId="0" xfId="0" applyAlignment="1" applyBorder="1" applyFont="1">
      <alignment horizontal="center" vertical="bottom"/>
    </xf>
    <xf borderId="113" fillId="3" fontId="141" numFmtId="171" xfId="0" applyAlignment="1" applyBorder="1" applyFont="1" applyNumberFormat="1">
      <alignment horizontal="center" vertical="bottom"/>
    </xf>
    <xf borderId="113" fillId="3" fontId="141" numFmtId="0" xfId="0" applyAlignment="1" applyBorder="1" applyFont="1">
      <alignment horizontal="center" vertical="bottom"/>
    </xf>
    <xf borderId="99" fillId="3" fontId="141" numFmtId="0" xfId="0" applyAlignment="1" applyBorder="1" applyFont="1">
      <alignment horizontal="center" vertical="bottom"/>
    </xf>
    <xf borderId="109" fillId="3" fontId="141" numFmtId="0" xfId="0" applyAlignment="1" applyBorder="1" applyFont="1">
      <alignment horizontal="center" vertical="bottom"/>
    </xf>
    <xf borderId="163" fillId="3" fontId="141" numFmtId="0" xfId="0" applyAlignment="1" applyBorder="1" applyFont="1">
      <alignment horizontal="center" vertical="bottom"/>
    </xf>
    <xf borderId="109" fillId="3" fontId="141" numFmtId="0" xfId="0" applyAlignment="1" applyBorder="1" applyFont="1">
      <alignment horizontal="center" vertical="bottom"/>
    </xf>
    <xf borderId="163" fillId="3" fontId="141" numFmtId="0" xfId="0" applyAlignment="1" applyBorder="1" applyFont="1">
      <alignment horizontal="center" vertical="bottom"/>
    </xf>
    <xf borderId="109" fillId="0" fontId="98" numFmtId="0" xfId="0" applyAlignment="1" applyBorder="1" applyFont="1">
      <alignment vertical="bottom"/>
    </xf>
    <xf borderId="202" fillId="3" fontId="141" numFmtId="0" xfId="0" applyAlignment="1" applyBorder="1" applyFont="1">
      <alignment horizontal="center" vertical="bottom"/>
    </xf>
    <xf borderId="202" fillId="24" fontId="141" numFmtId="0" xfId="0" applyAlignment="1" applyBorder="1" applyFont="1">
      <alignment horizontal="center" vertical="bottom"/>
    </xf>
    <xf borderId="109" fillId="3" fontId="141" numFmtId="171" xfId="0" applyAlignment="1" applyBorder="1" applyFont="1" applyNumberFormat="1">
      <alignment horizontal="center" vertical="bottom"/>
    </xf>
    <xf borderId="202" fillId="3" fontId="141" numFmtId="168" xfId="0" applyAlignment="1" applyBorder="1" applyFont="1" applyNumberFormat="1">
      <alignment horizontal="center" vertical="bottom"/>
    </xf>
    <xf borderId="69" fillId="3" fontId="141" numFmtId="168" xfId="0" applyAlignment="1" applyBorder="1" applyFont="1" applyNumberFormat="1">
      <alignment horizontal="center" vertical="bottom"/>
    </xf>
    <xf borderId="109" fillId="3" fontId="141" numFmtId="168" xfId="0" applyAlignment="1" applyBorder="1" applyFont="1" applyNumberFormat="1">
      <alignment horizontal="center" vertical="bottom"/>
    </xf>
    <xf borderId="239" fillId="3" fontId="141" numFmtId="0" xfId="0" applyAlignment="1" applyBorder="1" applyFont="1">
      <alignment horizontal="right" vertical="bottom"/>
    </xf>
    <xf borderId="240" fillId="3" fontId="141" numFmtId="0" xfId="0" applyAlignment="1" applyBorder="1" applyFont="1">
      <alignment horizontal="center" readingOrder="0" vertical="bottom"/>
    </xf>
    <xf borderId="71" fillId="3" fontId="141" numFmtId="0" xfId="0" applyAlignment="1" applyBorder="1" applyFont="1">
      <alignment horizontal="center" vertical="bottom"/>
    </xf>
    <xf borderId="71" fillId="3" fontId="141" numFmtId="171" xfId="0" applyAlignment="1" applyBorder="1" applyFont="1" applyNumberFormat="1">
      <alignment horizontal="center" vertical="bottom"/>
    </xf>
    <xf borderId="71" fillId="3" fontId="141" numFmtId="0" xfId="0" applyAlignment="1" applyBorder="1" applyFont="1">
      <alignment horizontal="center" vertical="bottom"/>
    </xf>
    <xf borderId="240" fillId="3" fontId="141" numFmtId="0" xfId="0" applyAlignment="1" applyBorder="1" applyFont="1">
      <alignment horizontal="center" vertical="bottom"/>
    </xf>
    <xf borderId="257" fillId="3" fontId="141" numFmtId="0" xfId="0" applyAlignment="1" applyBorder="1" applyFont="1">
      <alignment horizontal="center" vertical="bottom"/>
    </xf>
    <xf borderId="257" fillId="3" fontId="141" numFmtId="0" xfId="0" applyAlignment="1" applyBorder="1" applyFont="1">
      <alignment horizontal="center" vertical="bottom"/>
    </xf>
    <xf borderId="258" fillId="3" fontId="141" numFmtId="0" xfId="0" applyAlignment="1" applyBorder="1" applyFont="1">
      <alignment horizontal="center" vertical="bottom"/>
    </xf>
    <xf borderId="258" fillId="3" fontId="141" numFmtId="168" xfId="0" applyAlignment="1" applyBorder="1" applyFont="1" applyNumberFormat="1">
      <alignment horizontal="center" vertical="bottom"/>
    </xf>
    <xf borderId="71" fillId="3" fontId="141" numFmtId="168" xfId="0" applyAlignment="1" applyBorder="1" applyFont="1" applyNumberFormat="1">
      <alignment horizontal="center" vertical="bottom"/>
    </xf>
    <xf borderId="0" fillId="3" fontId="141" numFmtId="0" xfId="0" applyAlignment="1" applyFont="1">
      <alignment horizontal="left" readingOrder="0" vertical="bottom"/>
    </xf>
    <xf borderId="240" fillId="40" fontId="98" numFmtId="0" xfId="0" applyAlignment="1" applyBorder="1" applyFill="1" applyFont="1">
      <alignment horizontal="right" vertical="bottom"/>
    </xf>
    <xf borderId="207" fillId="0" fontId="98" numFmtId="1" xfId="0" applyAlignment="1" applyBorder="1" applyFont="1" applyNumberFormat="1">
      <alignment horizontal="right" vertical="bottom"/>
    </xf>
    <xf borderId="71" fillId="0" fontId="98" numFmtId="2" xfId="0" applyAlignment="1" applyBorder="1" applyFont="1" applyNumberFormat="1">
      <alignment horizontal="right" vertical="bottom"/>
    </xf>
    <xf borderId="207" fillId="0" fontId="98" numFmtId="171" xfId="0" applyAlignment="1" applyBorder="1" applyFont="1" applyNumberFormat="1">
      <alignment horizontal="right" vertical="bottom"/>
    </xf>
    <xf borderId="207" fillId="0" fontId="98" numFmtId="168" xfId="0" applyAlignment="1" applyBorder="1" applyFont="1" applyNumberFormat="1">
      <alignment horizontal="right" vertical="bottom"/>
    </xf>
    <xf borderId="207" fillId="0" fontId="98" numFmtId="2" xfId="0" applyAlignment="1" applyBorder="1" applyFont="1" applyNumberFormat="1">
      <alignment horizontal="right" vertical="bottom"/>
    </xf>
    <xf borderId="207" fillId="0" fontId="98" numFmtId="172" xfId="0" applyAlignment="1" applyBorder="1" applyFont="1" applyNumberFormat="1">
      <alignment horizontal="right" vertical="bottom"/>
    </xf>
    <xf borderId="71" fillId="0" fontId="98" numFmtId="168" xfId="0" applyAlignment="1" applyBorder="1" applyFont="1" applyNumberFormat="1">
      <alignment horizontal="right" vertical="bottom"/>
    </xf>
    <xf borderId="71" fillId="0" fontId="98" numFmtId="171" xfId="0" applyAlignment="1" applyBorder="1" applyFont="1" applyNumberFormat="1">
      <alignment horizontal="right" vertical="bottom"/>
    </xf>
    <xf borderId="240" fillId="41" fontId="98" numFmtId="168" xfId="0" applyAlignment="1" applyBorder="1" applyFill="1" applyFont="1" applyNumberFormat="1">
      <alignment horizontal="right" vertical="bottom"/>
    </xf>
    <xf borderId="71" fillId="42" fontId="98" numFmtId="168" xfId="0" applyAlignment="1" applyBorder="1" applyFill="1" applyFont="1" applyNumberFormat="1">
      <alignment horizontal="right" vertical="bottom"/>
    </xf>
    <xf borderId="257" fillId="43" fontId="98" numFmtId="168" xfId="0" applyAlignment="1" applyBorder="1" applyFill="1" applyFont="1" applyNumberFormat="1">
      <alignment horizontal="right" vertical="bottom"/>
    </xf>
    <xf borderId="71" fillId="44" fontId="98" numFmtId="9" xfId="0" applyAlignment="1" applyBorder="1" applyFill="1" applyFont="1" applyNumberFormat="1">
      <alignment horizontal="right" vertical="bottom"/>
    </xf>
    <xf borderId="257" fillId="45" fontId="98" numFmtId="9" xfId="0" applyAlignment="1" applyBorder="1" applyFill="1" applyFont="1" applyNumberFormat="1">
      <alignment horizontal="right" vertical="bottom"/>
    </xf>
    <xf borderId="109" fillId="0" fontId="98" numFmtId="171" xfId="0" applyAlignment="1" applyBorder="1" applyFont="1" applyNumberFormat="1">
      <alignment vertical="bottom"/>
    </xf>
    <xf borderId="71" fillId="0" fontId="98" numFmtId="9" xfId="0" applyAlignment="1" applyBorder="1" applyFont="1" applyNumberFormat="1">
      <alignment horizontal="right" vertical="bottom"/>
    </xf>
    <xf borderId="258" fillId="0" fontId="98" numFmtId="9" xfId="0" applyAlignment="1" applyBorder="1" applyFont="1" applyNumberFormat="1">
      <alignment horizontal="right" vertical="bottom"/>
    </xf>
    <xf borderId="109" fillId="0" fontId="98" numFmtId="4" xfId="0" applyAlignment="1" applyBorder="1" applyFont="1" applyNumberFormat="1">
      <alignment vertical="bottom"/>
    </xf>
    <xf borderId="71" fillId="0" fontId="98" numFmtId="166" xfId="0" applyAlignment="1" applyBorder="1" applyFont="1" applyNumberFormat="1">
      <alignment horizontal="right" vertical="bottom"/>
    </xf>
    <xf borderId="258" fillId="0" fontId="98" numFmtId="166" xfId="0" applyAlignment="1" applyBorder="1" applyFont="1" applyNumberFormat="1">
      <alignment horizontal="right" vertical="bottom"/>
    </xf>
    <xf borderId="258" fillId="0" fontId="98" numFmtId="168" xfId="0" applyAlignment="1" applyBorder="1" applyFont="1" applyNumberFormat="1">
      <alignment horizontal="right" vertical="bottom"/>
    </xf>
    <xf borderId="240" fillId="46" fontId="98" numFmtId="168" xfId="0" applyAlignment="1" applyBorder="1" applyFill="1" applyFont="1" applyNumberFormat="1">
      <alignment horizontal="right" vertical="bottom"/>
    </xf>
    <xf borderId="71" fillId="44" fontId="98" numFmtId="168" xfId="0" applyAlignment="1" applyBorder="1" applyFont="1" applyNumberFormat="1">
      <alignment horizontal="right" vertical="bottom"/>
    </xf>
    <xf borderId="257" fillId="47" fontId="98" numFmtId="168" xfId="0" applyAlignment="1" applyBorder="1" applyFill="1" applyFont="1" applyNumberFormat="1">
      <alignment horizontal="right" vertical="bottom"/>
    </xf>
    <xf borderId="71" fillId="48" fontId="98" numFmtId="9" xfId="0" applyAlignment="1" applyBorder="1" applyFill="1" applyFont="1" applyNumberFormat="1">
      <alignment horizontal="right" vertical="bottom"/>
    </xf>
    <xf borderId="257" fillId="49" fontId="98" numFmtId="9" xfId="0" applyAlignment="1" applyBorder="1" applyFill="1" applyFont="1" applyNumberFormat="1">
      <alignment horizontal="right" vertical="bottom"/>
    </xf>
    <xf borderId="240" fillId="50" fontId="98" numFmtId="168" xfId="0" applyAlignment="1" applyBorder="1" applyFill="1" applyFont="1" applyNumberFormat="1">
      <alignment horizontal="right" vertical="bottom"/>
    </xf>
    <xf borderId="71" fillId="51" fontId="98" numFmtId="168" xfId="0" applyAlignment="1" applyBorder="1" applyFill="1" applyFont="1" applyNumberFormat="1">
      <alignment horizontal="right" vertical="bottom"/>
    </xf>
    <xf borderId="257" fillId="52" fontId="98" numFmtId="168" xfId="0" applyAlignment="1" applyBorder="1" applyFill="1" applyFont="1" applyNumberFormat="1">
      <alignment horizontal="right" vertical="bottom"/>
    </xf>
    <xf borderId="71" fillId="53" fontId="98" numFmtId="9" xfId="0" applyAlignment="1" applyBorder="1" applyFill="1" applyFont="1" applyNumberFormat="1">
      <alignment horizontal="right" vertical="bottom"/>
    </xf>
    <xf borderId="257" fillId="54" fontId="98" numFmtId="9" xfId="0" applyAlignment="1" applyBorder="1" applyFill="1" applyFont="1" applyNumberFormat="1">
      <alignment horizontal="right" vertical="bottom"/>
    </xf>
    <xf borderId="240" fillId="55" fontId="98" numFmtId="168" xfId="0" applyAlignment="1" applyBorder="1" applyFill="1" applyFont="1" applyNumberFormat="1">
      <alignment horizontal="right" vertical="bottom"/>
    </xf>
    <xf borderId="71" fillId="56" fontId="98" numFmtId="168" xfId="0" applyAlignment="1" applyBorder="1" applyFill="1" applyFont="1" applyNumberFormat="1">
      <alignment horizontal="right" vertical="bottom"/>
    </xf>
    <xf borderId="257" fillId="57" fontId="98" numFmtId="168" xfId="0" applyAlignment="1" applyBorder="1" applyFill="1" applyFont="1" applyNumberFormat="1">
      <alignment horizontal="right" vertical="bottom"/>
    </xf>
    <xf borderId="71" fillId="54" fontId="98" numFmtId="9" xfId="0" applyAlignment="1" applyBorder="1" applyFont="1" applyNumberFormat="1">
      <alignment horizontal="right" vertical="bottom"/>
    </xf>
    <xf borderId="257" fillId="58" fontId="98" numFmtId="9" xfId="0" applyAlignment="1" applyBorder="1" applyFill="1" applyFont="1" applyNumberFormat="1">
      <alignment horizontal="right" vertical="bottom"/>
    </xf>
    <xf borderId="240" fillId="59" fontId="98" numFmtId="168" xfId="0" applyAlignment="1" applyBorder="1" applyFill="1" applyFont="1" applyNumberFormat="1">
      <alignment horizontal="right" vertical="bottom"/>
    </xf>
    <xf borderId="71" fillId="60" fontId="98" numFmtId="168" xfId="0" applyAlignment="1" applyBorder="1" applyFill="1" applyFont="1" applyNumberFormat="1">
      <alignment horizontal="right" vertical="bottom"/>
    </xf>
    <xf borderId="257" fillId="61" fontId="98" numFmtId="168" xfId="0" applyAlignment="1" applyBorder="1" applyFill="1" applyFont="1" applyNumberFormat="1">
      <alignment horizontal="right" vertical="bottom"/>
    </xf>
    <xf borderId="71" fillId="62" fontId="98" numFmtId="9" xfId="0" applyAlignment="1" applyBorder="1" applyFill="1" applyFont="1" applyNumberFormat="1">
      <alignment horizontal="right" vertical="bottom"/>
    </xf>
    <xf borderId="257" fillId="63" fontId="98" numFmtId="9" xfId="0" applyAlignment="1" applyBorder="1" applyFill="1" applyFont="1" applyNumberFormat="1">
      <alignment horizontal="right" vertical="bottom"/>
    </xf>
    <xf borderId="240" fillId="64" fontId="98" numFmtId="168" xfId="0" applyAlignment="1" applyBorder="1" applyFill="1" applyFont="1" applyNumberFormat="1">
      <alignment horizontal="right" vertical="bottom"/>
    </xf>
    <xf borderId="71" fillId="65" fontId="98" numFmtId="168" xfId="0" applyAlignment="1" applyBorder="1" applyFill="1" applyFont="1" applyNumberFormat="1">
      <alignment horizontal="right" vertical="bottom"/>
    </xf>
    <xf borderId="257" fillId="55" fontId="98" numFmtId="168" xfId="0" applyAlignment="1" applyBorder="1" applyFont="1" applyNumberFormat="1">
      <alignment horizontal="right" vertical="bottom"/>
    </xf>
    <xf borderId="71" fillId="66" fontId="98" numFmtId="9" xfId="0" applyAlignment="1" applyBorder="1" applyFill="1" applyFont="1" applyNumberFormat="1">
      <alignment horizontal="right" vertical="bottom"/>
    </xf>
    <xf borderId="257" fillId="67" fontId="98" numFmtId="9" xfId="0" applyAlignment="1" applyBorder="1" applyFill="1" applyFont="1" applyNumberFormat="1">
      <alignment horizontal="right" vertical="bottom"/>
    </xf>
    <xf borderId="240" fillId="68" fontId="98" numFmtId="168" xfId="0" applyAlignment="1" applyBorder="1" applyFill="1" applyFont="1" applyNumberFormat="1">
      <alignment horizontal="right" vertical="bottom"/>
    </xf>
    <xf borderId="71" fillId="67" fontId="98" numFmtId="168" xfId="0" applyAlignment="1" applyBorder="1" applyFont="1" applyNumberFormat="1">
      <alignment horizontal="right" vertical="bottom"/>
    </xf>
    <xf borderId="257" fillId="69" fontId="98" numFmtId="168" xfId="0" applyAlignment="1" applyBorder="1" applyFill="1" applyFont="1" applyNumberFormat="1">
      <alignment horizontal="right" vertical="bottom"/>
    </xf>
    <xf borderId="71" fillId="70" fontId="98" numFmtId="9" xfId="0" applyAlignment="1" applyBorder="1" applyFill="1" applyFont="1" applyNumberFormat="1">
      <alignment horizontal="right" vertical="bottom"/>
    </xf>
    <xf borderId="257" fillId="71" fontId="98" numFmtId="9" xfId="0" applyAlignment="1" applyBorder="1" applyFill="1" applyFont="1" applyNumberFormat="1">
      <alignment horizontal="right" vertical="bottom"/>
    </xf>
    <xf borderId="240" fillId="72" fontId="98" numFmtId="168" xfId="0" applyAlignment="1" applyBorder="1" applyFill="1" applyFont="1" applyNumberFormat="1">
      <alignment horizontal="right" vertical="bottom"/>
    </xf>
    <xf borderId="71" fillId="73" fontId="98" numFmtId="168" xfId="0" applyAlignment="1" applyBorder="1" applyFill="1" applyFont="1" applyNumberFormat="1">
      <alignment horizontal="right" vertical="bottom"/>
    </xf>
    <xf borderId="257" fillId="3" fontId="98" numFmtId="168" xfId="0" applyAlignment="1" applyBorder="1" applyFont="1" applyNumberFormat="1">
      <alignment horizontal="right" vertical="bottom"/>
    </xf>
    <xf borderId="71" fillId="74" fontId="98" numFmtId="9" xfId="0" applyAlignment="1" applyBorder="1" applyFill="1" applyFont="1" applyNumberFormat="1">
      <alignment horizontal="right" vertical="bottom"/>
    </xf>
    <xf borderId="257" fillId="75" fontId="98" numFmtId="9" xfId="0" applyAlignment="1" applyBorder="1" applyFill="1" applyFont="1" applyNumberFormat="1">
      <alignment horizontal="right" vertical="bottom"/>
    </xf>
    <xf borderId="240" fillId="21" fontId="98" numFmtId="49" xfId="0" applyAlignment="1" applyBorder="1" applyFont="1" applyNumberFormat="1">
      <alignment horizontal="right" vertical="bottom"/>
    </xf>
    <xf borderId="207" fillId="21" fontId="98" numFmtId="1" xfId="0" applyAlignment="1" applyBorder="1" applyFont="1" applyNumberFormat="1">
      <alignment horizontal="right" vertical="bottom"/>
    </xf>
    <xf borderId="71" fillId="21" fontId="98" numFmtId="2" xfId="0" applyAlignment="1" applyBorder="1" applyFont="1" applyNumberFormat="1">
      <alignment horizontal="right" vertical="bottom"/>
    </xf>
    <xf borderId="71" fillId="21" fontId="98" numFmtId="168" xfId="0" applyAlignment="1" applyBorder="1" applyFont="1" applyNumberFormat="1">
      <alignment horizontal="right" vertical="bottom"/>
    </xf>
    <xf borderId="71" fillId="21" fontId="98" numFmtId="171" xfId="0" applyAlignment="1" applyBorder="1" applyFont="1" applyNumberFormat="1">
      <alignment horizontal="right" vertical="bottom"/>
    </xf>
    <xf borderId="207" fillId="21" fontId="98" numFmtId="168" xfId="0" applyAlignment="1" applyBorder="1" applyFont="1" applyNumberFormat="1">
      <alignment horizontal="right" vertical="bottom"/>
    </xf>
    <xf borderId="207" fillId="21" fontId="98" numFmtId="171" xfId="0" applyAlignment="1" applyBorder="1" applyFont="1" applyNumberFormat="1">
      <alignment horizontal="right" vertical="bottom"/>
    </xf>
    <xf borderId="207" fillId="21" fontId="98" numFmtId="172" xfId="0" applyAlignment="1" applyBorder="1" applyFont="1" applyNumberFormat="1">
      <alignment horizontal="right" vertical="bottom"/>
    </xf>
    <xf borderId="240" fillId="21" fontId="98" numFmtId="168" xfId="0" applyAlignment="1" applyBorder="1" applyFont="1" applyNumberFormat="1">
      <alignment horizontal="right" vertical="bottom"/>
    </xf>
    <xf borderId="257" fillId="21" fontId="98" numFmtId="168" xfId="0" applyAlignment="1" applyBorder="1" applyFont="1" applyNumberFormat="1">
      <alignment horizontal="right" vertical="bottom"/>
    </xf>
    <xf borderId="71" fillId="21" fontId="98" numFmtId="9" xfId="0" applyAlignment="1" applyBorder="1" applyFont="1" applyNumberFormat="1">
      <alignment horizontal="right" vertical="bottom"/>
    </xf>
    <xf borderId="257" fillId="21" fontId="98" numFmtId="9" xfId="0" applyAlignment="1" applyBorder="1" applyFont="1" applyNumberFormat="1">
      <alignment horizontal="right" vertical="bottom"/>
    </xf>
    <xf borderId="258" fillId="21" fontId="98" numFmtId="9" xfId="0" applyAlignment="1" applyBorder="1" applyFont="1" applyNumberFormat="1">
      <alignment horizontal="right" vertical="bottom"/>
    </xf>
    <xf borderId="207" fillId="21" fontId="98" numFmtId="166" xfId="0" applyAlignment="1" applyBorder="1" applyFont="1" applyNumberFormat="1">
      <alignment horizontal="right" vertical="bottom"/>
    </xf>
    <xf borderId="78" fillId="21" fontId="98" numFmtId="166" xfId="0" applyAlignment="1" applyBorder="1" applyFont="1" applyNumberFormat="1">
      <alignment horizontal="right" vertical="bottom"/>
    </xf>
    <xf borderId="259" fillId="21" fontId="98" numFmtId="166" xfId="0" applyAlignment="1" applyBorder="1" applyFont="1" applyNumberFormat="1">
      <alignment horizontal="right" vertical="bottom"/>
    </xf>
    <xf borderId="207" fillId="3" fontId="141" numFmtId="0" xfId="0" applyAlignment="1" applyBorder="1" applyFont="1">
      <alignment horizontal="right" vertical="bottom"/>
    </xf>
    <xf borderId="207" fillId="3" fontId="98" numFmtId="0" xfId="0" applyAlignment="1" applyBorder="1" applyFont="1">
      <alignment vertical="bottom"/>
    </xf>
    <xf borderId="207" fillId="3" fontId="98" numFmtId="166" xfId="0" applyAlignment="1" applyBorder="1" applyFont="1" applyNumberFormat="1">
      <alignment vertical="bottom"/>
    </xf>
    <xf borderId="112" fillId="3" fontId="98" numFmtId="0" xfId="0" applyAlignment="1" applyBorder="1" applyFont="1">
      <alignment vertical="bottom"/>
    </xf>
    <xf borderId="112" fillId="3" fontId="98" numFmtId="171" xfId="0" applyAlignment="1" applyBorder="1" applyFont="1" applyNumberFormat="1">
      <alignment vertical="bottom"/>
    </xf>
    <xf borderId="207" fillId="3" fontId="98" numFmtId="2" xfId="0" applyAlignment="1" applyBorder="1" applyFont="1" applyNumberFormat="1">
      <alignment vertical="bottom"/>
    </xf>
    <xf borderId="207" fillId="3" fontId="98" numFmtId="172" xfId="0" applyAlignment="1" applyBorder="1" applyFont="1" applyNumberFormat="1">
      <alignment vertical="bottom"/>
    </xf>
    <xf borderId="71" fillId="3" fontId="98" numFmtId="0" xfId="0" applyAlignment="1" applyBorder="1" applyFont="1">
      <alignment vertical="bottom"/>
    </xf>
    <xf borderId="71" fillId="3" fontId="98" numFmtId="171" xfId="0" applyAlignment="1" applyBorder="1" applyFont="1" applyNumberFormat="1">
      <alignment vertical="bottom"/>
    </xf>
    <xf borderId="240" fillId="3" fontId="98" numFmtId="0" xfId="0" applyAlignment="1" applyBorder="1" applyFont="1">
      <alignment vertical="bottom"/>
    </xf>
    <xf borderId="257" fillId="3" fontId="98" numFmtId="0" xfId="0" applyAlignment="1" applyBorder="1" applyFont="1">
      <alignment vertical="bottom"/>
    </xf>
    <xf borderId="71" fillId="3" fontId="98" numFmtId="9" xfId="0" applyAlignment="1" applyBorder="1" applyFont="1" applyNumberFormat="1">
      <alignment vertical="bottom"/>
    </xf>
    <xf borderId="257" fillId="3" fontId="98" numFmtId="9" xfId="0" applyAlignment="1" applyBorder="1" applyFont="1" applyNumberFormat="1">
      <alignment vertical="bottom"/>
    </xf>
    <xf borderId="258" fillId="3" fontId="98" numFmtId="9" xfId="0" applyAlignment="1" applyBorder="1" applyFont="1" applyNumberFormat="1">
      <alignment vertical="bottom"/>
    </xf>
    <xf borderId="258" fillId="0" fontId="98" numFmtId="9" xfId="0" applyAlignment="1" applyBorder="1" applyFont="1" applyNumberFormat="1">
      <alignment vertical="bottom"/>
    </xf>
    <xf borderId="71" fillId="3" fontId="98" numFmtId="166" xfId="0" applyAlignment="1" applyBorder="1" applyFont="1" applyNumberFormat="1">
      <alignment vertical="bottom"/>
    </xf>
    <xf borderId="258" fillId="3" fontId="98" numFmtId="166" xfId="0" applyAlignment="1" applyBorder="1" applyFont="1" applyNumberFormat="1">
      <alignment vertical="bottom"/>
    </xf>
    <xf borderId="71" fillId="3" fontId="98" numFmtId="168" xfId="0" applyAlignment="1" applyBorder="1" applyFont="1" applyNumberFormat="1">
      <alignment vertical="bottom"/>
    </xf>
    <xf borderId="258" fillId="3" fontId="98" numFmtId="168" xfId="0" applyAlignment="1" applyBorder="1" applyFont="1" applyNumberFormat="1">
      <alignment vertical="bottom"/>
    </xf>
    <xf borderId="71" fillId="0" fontId="98" numFmtId="168" xfId="0" applyAlignment="1" applyBorder="1" applyFont="1" applyNumberFormat="1">
      <alignment vertical="bottom"/>
    </xf>
    <xf borderId="207" fillId="23" fontId="98" numFmtId="0" xfId="0" applyAlignment="1" applyBorder="1" applyFont="1">
      <alignment horizontal="right" vertical="bottom"/>
    </xf>
    <xf borderId="240" fillId="44" fontId="98" numFmtId="168" xfId="0" applyAlignment="1" applyBorder="1" applyFont="1" applyNumberFormat="1">
      <alignment horizontal="right" vertical="bottom"/>
    </xf>
    <xf borderId="71" fillId="76" fontId="98" numFmtId="168" xfId="0" applyAlignment="1" applyBorder="1" applyFill="1" applyFont="1" applyNumberFormat="1">
      <alignment horizontal="right" vertical="bottom"/>
    </xf>
    <xf borderId="257" fillId="44" fontId="98" numFmtId="168" xfId="0" applyAlignment="1" applyBorder="1" applyFont="1" applyNumberFormat="1">
      <alignment horizontal="right" vertical="bottom"/>
    </xf>
    <xf borderId="71" fillId="77" fontId="98" numFmtId="9" xfId="0" applyAlignment="1" applyBorder="1" applyFill="1" applyFont="1" applyNumberFormat="1">
      <alignment horizontal="right" vertical="bottom"/>
    </xf>
    <xf borderId="257" fillId="44" fontId="98" numFmtId="9" xfId="0" applyAlignment="1" applyBorder="1" applyFont="1" applyNumberFormat="1">
      <alignment horizontal="right" vertical="bottom"/>
    </xf>
    <xf borderId="239" fillId="23" fontId="98" numFmtId="0" xfId="0" applyAlignment="1" applyBorder="1" applyFont="1">
      <alignment horizontal="right" vertical="bottom"/>
    </xf>
    <xf borderId="240" fillId="78" fontId="98" numFmtId="168" xfId="0" applyAlignment="1" applyBorder="1" applyFill="1" applyFont="1" applyNumberFormat="1">
      <alignment horizontal="right" vertical="bottom"/>
    </xf>
    <xf borderId="71" fillId="49" fontId="98" numFmtId="168" xfId="0" applyAlignment="1" applyBorder="1" applyFont="1" applyNumberFormat="1">
      <alignment horizontal="right" vertical="bottom"/>
    </xf>
    <xf borderId="257" fillId="79" fontId="98" numFmtId="168" xfId="0" applyAlignment="1" applyBorder="1" applyFill="1" applyFont="1" applyNumberFormat="1">
      <alignment horizontal="right" vertical="bottom"/>
    </xf>
    <xf borderId="71" fillId="80" fontId="98" numFmtId="9" xfId="0" applyAlignment="1" applyBorder="1" applyFill="1" applyFont="1" applyNumberFormat="1">
      <alignment horizontal="right" vertical="bottom"/>
    </xf>
    <xf borderId="257" fillId="47" fontId="98" numFmtId="9" xfId="0" applyAlignment="1" applyBorder="1" applyFont="1" applyNumberFormat="1">
      <alignment horizontal="right" vertical="bottom"/>
    </xf>
    <xf borderId="240" fillId="23" fontId="98" numFmtId="0" xfId="0" applyAlignment="1" applyBorder="1" applyFont="1">
      <alignment horizontal="right" vertical="bottom"/>
    </xf>
    <xf borderId="240" fillId="81" fontId="98" numFmtId="168" xfId="0" applyAlignment="1" applyBorder="1" applyFill="1" applyFont="1" applyNumberFormat="1">
      <alignment horizontal="right" vertical="bottom"/>
    </xf>
    <xf borderId="71" fillId="82" fontId="98" numFmtId="168" xfId="0" applyAlignment="1" applyBorder="1" applyFill="1" applyFont="1" applyNumberFormat="1">
      <alignment horizontal="right" vertical="bottom"/>
    </xf>
    <xf borderId="257" fillId="83" fontId="98" numFmtId="168" xfId="0" applyAlignment="1" applyBorder="1" applyFill="1" applyFont="1" applyNumberFormat="1">
      <alignment horizontal="right" vertical="bottom"/>
    </xf>
    <xf borderId="71" fillId="84" fontId="98" numFmtId="9" xfId="0" applyAlignment="1" applyBorder="1" applyFill="1" applyFont="1" applyNumberFormat="1">
      <alignment horizontal="right" vertical="bottom"/>
    </xf>
    <xf borderId="240" fillId="85" fontId="98" numFmtId="168" xfId="0" applyAlignment="1" applyBorder="1" applyFill="1" applyFont="1" applyNumberFormat="1">
      <alignment horizontal="right" vertical="bottom"/>
    </xf>
    <xf borderId="71" fillId="86" fontId="98" numFmtId="168" xfId="0" applyAlignment="1" applyBorder="1" applyFill="1" applyFont="1" applyNumberFormat="1">
      <alignment horizontal="right" vertical="bottom"/>
    </xf>
    <xf borderId="257" fillId="87" fontId="98" numFmtId="168" xfId="0" applyAlignment="1" applyBorder="1" applyFill="1" applyFont="1" applyNumberFormat="1">
      <alignment horizontal="right" vertical="bottom"/>
    </xf>
    <xf borderId="71" fillId="88" fontId="98" numFmtId="9" xfId="0" applyAlignment="1" applyBorder="1" applyFill="1" applyFont="1" applyNumberFormat="1">
      <alignment horizontal="right" vertical="bottom"/>
    </xf>
    <xf borderId="257" fillId="89" fontId="98" numFmtId="9" xfId="0" applyAlignment="1" applyBorder="1" applyFill="1" applyFont="1" applyNumberFormat="1">
      <alignment horizontal="right" vertical="bottom"/>
    </xf>
    <xf borderId="240" fillId="74" fontId="98" numFmtId="168" xfId="0" applyAlignment="1" applyBorder="1" applyFont="1" applyNumberFormat="1">
      <alignment horizontal="right" vertical="bottom"/>
    </xf>
    <xf borderId="71" fillId="90" fontId="98" numFmtId="168" xfId="0" applyAlignment="1" applyBorder="1" applyFill="1" applyFont="1" applyNumberFormat="1">
      <alignment horizontal="right" vertical="bottom"/>
    </xf>
    <xf borderId="257" fillId="91" fontId="98" numFmtId="168" xfId="0" applyAlignment="1" applyBorder="1" applyFill="1" applyFont="1" applyNumberFormat="1">
      <alignment horizontal="right" vertical="bottom"/>
    </xf>
    <xf borderId="71" fillId="92" fontId="98" numFmtId="9" xfId="0" applyAlignment="1" applyBorder="1" applyFill="1" applyFont="1" applyNumberFormat="1">
      <alignment horizontal="right" vertical="bottom"/>
    </xf>
    <xf borderId="257" fillId="93" fontId="98" numFmtId="9" xfId="0" applyAlignment="1" applyBorder="1" applyFill="1" applyFont="1" applyNumberFormat="1">
      <alignment horizontal="right" vertical="bottom"/>
    </xf>
    <xf borderId="240" fillId="94" fontId="98" numFmtId="168" xfId="0" applyAlignment="1" applyBorder="1" applyFill="1" applyFont="1" applyNumberFormat="1">
      <alignment horizontal="right" vertical="bottom"/>
    </xf>
    <xf borderId="71" fillId="95" fontId="98" numFmtId="168" xfId="0" applyAlignment="1" applyBorder="1" applyFill="1" applyFont="1" applyNumberFormat="1">
      <alignment horizontal="right" vertical="bottom"/>
    </xf>
    <xf borderId="257" fillId="90" fontId="98" numFmtId="168" xfId="0" applyAlignment="1" applyBorder="1" applyFont="1" applyNumberFormat="1">
      <alignment horizontal="right" vertical="bottom"/>
    </xf>
    <xf borderId="71" fillId="96" fontId="98" numFmtId="9" xfId="0" applyAlignment="1" applyBorder="1" applyFill="1" applyFont="1" applyNumberFormat="1">
      <alignment horizontal="right" vertical="bottom"/>
    </xf>
    <xf borderId="257" fillId="97" fontId="98" numFmtId="9" xfId="0" applyAlignment="1" applyBorder="1" applyFill="1" applyFont="1" applyNumberFormat="1">
      <alignment horizontal="right" vertical="bottom"/>
    </xf>
    <xf borderId="71" fillId="98" fontId="98" numFmtId="168" xfId="0" applyAlignment="1" applyBorder="1" applyFill="1" applyFont="1" applyNumberFormat="1">
      <alignment horizontal="right" vertical="bottom"/>
    </xf>
    <xf borderId="257" fillId="74" fontId="98" numFmtId="168" xfId="0" applyAlignment="1" applyBorder="1" applyFont="1" applyNumberFormat="1">
      <alignment horizontal="right" vertical="bottom"/>
    </xf>
    <xf borderId="71" fillId="99" fontId="98" numFmtId="9" xfId="0" applyAlignment="1" applyBorder="1" applyFill="1" applyFont="1" applyNumberFormat="1">
      <alignment horizontal="right" vertical="bottom"/>
    </xf>
    <xf borderId="240" fillId="3" fontId="98" numFmtId="168" xfId="0" applyAlignment="1" applyBorder="1" applyFont="1" applyNumberFormat="1">
      <alignment horizontal="right" vertical="bottom"/>
    </xf>
    <xf borderId="71" fillId="3" fontId="98" numFmtId="168" xfId="0" applyAlignment="1" applyBorder="1" applyFont="1" applyNumberFormat="1">
      <alignment horizontal="right" vertical="bottom"/>
    </xf>
    <xf borderId="257" fillId="100" fontId="98" numFmtId="168" xfId="0" applyAlignment="1" applyBorder="1" applyFill="1" applyFont="1" applyNumberFormat="1">
      <alignment horizontal="right" vertical="bottom"/>
    </xf>
    <xf borderId="71" fillId="3" fontId="98" numFmtId="9" xfId="0" applyAlignment="1" applyBorder="1" applyFont="1" applyNumberFormat="1">
      <alignment horizontal="right" vertical="bottom"/>
    </xf>
    <xf borderId="257" fillId="3" fontId="98" numFmtId="9" xfId="0" applyAlignment="1" applyBorder="1" applyFont="1" applyNumberFormat="1">
      <alignment horizontal="right" vertical="bottom"/>
    </xf>
    <xf borderId="240" fillId="21" fontId="98" numFmtId="1" xfId="0" applyAlignment="1" applyBorder="1" applyFont="1" applyNumberFormat="1">
      <alignment horizontal="right" vertical="bottom"/>
    </xf>
    <xf borderId="240" fillId="3" fontId="98" numFmtId="0" xfId="0" applyAlignment="1" applyBorder="1" applyFont="1">
      <alignment horizontal="right" vertical="bottom"/>
    </xf>
    <xf borderId="207" fillId="3" fontId="98" numFmtId="168" xfId="0" applyAlignment="1" applyBorder="1" applyFont="1" applyNumberFormat="1">
      <alignment horizontal="right" vertical="bottom"/>
    </xf>
    <xf borderId="71" fillId="3" fontId="98" numFmtId="1" xfId="0" applyAlignment="1" applyBorder="1" applyFont="1" applyNumberFormat="1">
      <alignment horizontal="right" vertical="bottom"/>
    </xf>
    <xf borderId="71" fillId="3" fontId="98" numFmtId="171" xfId="0" applyAlignment="1" applyBorder="1" applyFont="1" applyNumberFormat="1">
      <alignment horizontal="right" vertical="bottom"/>
    </xf>
    <xf borderId="109" fillId="3" fontId="98" numFmtId="1" xfId="0" applyAlignment="1" applyBorder="1" applyFont="1" applyNumberFormat="1">
      <alignment vertical="bottom"/>
    </xf>
    <xf borderId="0" fillId="0" fontId="98" numFmtId="1" xfId="0" applyAlignment="1" applyFont="1" applyNumberFormat="1">
      <alignment vertical="bottom"/>
    </xf>
    <xf borderId="207" fillId="3" fontId="98" numFmtId="1" xfId="0" applyAlignment="1" applyBorder="1" applyFont="1" applyNumberFormat="1">
      <alignment horizontal="right" vertical="bottom"/>
    </xf>
    <xf borderId="207" fillId="3" fontId="98" numFmtId="172" xfId="0" applyAlignment="1" applyBorder="1" applyFont="1" applyNumberFormat="1">
      <alignment horizontal="right" vertical="bottom"/>
    </xf>
    <xf borderId="109" fillId="0" fontId="98" numFmtId="1" xfId="0" applyAlignment="1" applyBorder="1" applyFont="1" applyNumberFormat="1">
      <alignment vertical="bottom"/>
    </xf>
    <xf borderId="260" fillId="3" fontId="98" numFmtId="9" xfId="0" applyAlignment="1" applyBorder="1" applyFont="1" applyNumberFormat="1">
      <alignment horizontal="right" vertical="bottom"/>
    </xf>
    <xf borderId="261" fillId="3" fontId="98" numFmtId="9" xfId="0" applyAlignment="1" applyBorder="1" applyFont="1" applyNumberFormat="1">
      <alignment horizontal="right" vertical="bottom"/>
    </xf>
    <xf borderId="258" fillId="3" fontId="98" numFmtId="9" xfId="0" applyAlignment="1" applyBorder="1" applyFont="1" applyNumberFormat="1">
      <alignment horizontal="right" vertical="bottom"/>
    </xf>
    <xf borderId="262" fillId="3" fontId="98" numFmtId="9" xfId="0" applyAlignment="1" applyBorder="1" applyFont="1" applyNumberFormat="1">
      <alignment horizontal="right" vertical="bottom"/>
    </xf>
    <xf borderId="240" fillId="3" fontId="98" numFmtId="166" xfId="0" applyAlignment="1" applyBorder="1" applyFont="1" applyNumberFormat="1">
      <alignment horizontal="right" vertical="bottom"/>
    </xf>
    <xf borderId="71" fillId="3" fontId="98" numFmtId="166" xfId="0" applyAlignment="1" applyBorder="1" applyFont="1" applyNumberFormat="1">
      <alignment horizontal="right" vertical="bottom"/>
    </xf>
    <xf borderId="258" fillId="3" fontId="98" numFmtId="166" xfId="0" applyAlignment="1" applyBorder="1" applyFont="1" applyNumberFormat="1">
      <alignment horizontal="right" vertical="bottom"/>
    </xf>
    <xf borderId="263" fillId="3" fontId="98" numFmtId="168" xfId="0" applyAlignment="1" applyBorder="1" applyFont="1" applyNumberFormat="1">
      <alignment horizontal="right" vertical="bottom"/>
    </xf>
    <xf borderId="262" fillId="3" fontId="98" numFmtId="168" xfId="0" applyAlignment="1" applyBorder="1" applyFont="1" applyNumberFormat="1">
      <alignment horizontal="right" vertical="bottom"/>
    </xf>
    <xf borderId="0" fillId="3" fontId="98" numFmtId="9" xfId="0" applyAlignment="1" applyFont="1" applyNumberFormat="1">
      <alignment horizontal="right" vertical="bottom"/>
    </xf>
    <xf borderId="255" fillId="0" fontId="82" numFmtId="0" xfId="0" applyAlignment="1" applyBorder="1" applyFont="1">
      <alignment shrinkToFit="0" vertical="bottom" wrapText="0"/>
    </xf>
    <xf borderId="0" fillId="0" fontId="82" numFmtId="0" xfId="0" applyAlignment="1" applyFont="1">
      <alignment vertical="bottom"/>
    </xf>
    <xf borderId="0" fillId="0" fontId="82" numFmtId="0" xfId="0" applyAlignment="1" applyFont="1">
      <alignment horizontal="right" shrinkToFit="0" vertical="bottom" wrapText="0"/>
    </xf>
    <xf borderId="0" fillId="0" fontId="82" numFmtId="0" xfId="0" applyAlignment="1" applyFont="1">
      <alignment vertical="bottom"/>
    </xf>
    <xf borderId="255" fillId="0" fontId="63" numFmtId="0" xfId="0" applyAlignment="1" applyBorder="1" applyFont="1">
      <alignment vertical="bottom"/>
    </xf>
    <xf borderId="0" fillId="0" fontId="63" numFmtId="0" xfId="0" applyAlignment="1" applyFont="1">
      <alignment horizontal="right" vertical="bottom"/>
    </xf>
    <xf borderId="0" fillId="3" fontId="0" numFmtId="0" xfId="0" applyAlignment="1" applyFont="1">
      <alignment vertical="bottom"/>
    </xf>
    <xf borderId="255" fillId="3" fontId="0" numFmtId="0" xfId="0" applyAlignment="1" applyBorder="1" applyFont="1">
      <alignment shrinkToFit="0" vertical="bottom" wrapText="0"/>
    </xf>
    <xf borderId="0" fillId="0" fontId="63" numFmtId="0" xfId="0" applyAlignment="1" applyFont="1">
      <alignment readingOrder="0" vertical="bottom"/>
    </xf>
    <xf borderId="255" fillId="0" fontId="63" numFmtId="0" xfId="0" applyAlignment="1" applyBorder="1" applyFont="1">
      <alignment readingOrder="0" shrinkToFit="0" vertical="bottom" wrapText="0"/>
    </xf>
    <xf borderId="0" fillId="3" fontId="0" numFmtId="0" xfId="0" applyAlignment="1" applyFont="1">
      <alignment readingOrder="0"/>
    </xf>
    <xf borderId="255" fillId="0" fontId="63" numFmtId="0" xfId="0" applyAlignment="1" applyBorder="1" applyFont="1">
      <alignment shrinkToFit="0" vertical="bottom" wrapText="0"/>
    </xf>
    <xf borderId="0" fillId="3" fontId="142" numFmtId="0" xfId="0" applyAlignment="1" applyFont="1">
      <alignment horizontal="center" readingOrder="0"/>
    </xf>
    <xf borderId="0" fillId="3" fontId="143" numFmtId="0" xfId="0" applyAlignment="1" applyFont="1">
      <alignment horizontal="center" readingOrder="0"/>
    </xf>
    <xf borderId="0" fillId="3" fontId="144" numFmtId="0" xfId="0" applyAlignment="1" applyFont="1">
      <alignment horizontal="center" readingOrder="0"/>
    </xf>
    <xf borderId="0" fillId="3" fontId="142" numFmtId="0" xfId="0" applyAlignment="1" applyFont="1">
      <alignment horizontal="center"/>
    </xf>
    <xf borderId="0" fillId="10" fontId="6" numFmtId="0" xfId="0" applyAlignment="1" applyFont="1">
      <alignment readingOrder="0"/>
    </xf>
    <xf borderId="0" fillId="24" fontId="6" numFmtId="0" xfId="0" applyAlignment="1" applyFont="1">
      <alignment readingOrder="0"/>
    </xf>
    <xf borderId="0" fillId="0" fontId="6" numFmtId="0" xfId="0" applyAlignment="1" applyFont="1">
      <alignment horizontal="right" readingOrder="0"/>
    </xf>
    <xf borderId="0" fillId="0" fontId="6" numFmtId="2" xfId="0" applyFont="1" applyNumberFormat="1"/>
    <xf borderId="0" fillId="0" fontId="6" numFmtId="1" xfId="0" applyFont="1" applyNumberFormat="1"/>
    <xf borderId="0" fillId="24" fontId="6" numFmtId="0" xfId="0" applyFont="1"/>
    <xf borderId="0" fillId="24" fontId="145" numFmtId="0" xfId="0" applyFont="1"/>
    <xf borderId="0" fillId="0" fontId="6" numFmtId="0" xfId="0" applyAlignment="1" applyFont="1">
      <alignment horizontal="right"/>
    </xf>
    <xf borderId="0" fillId="24" fontId="145" numFmtId="0" xfId="0" applyAlignment="1" applyFont="1">
      <alignment readingOrder="0"/>
    </xf>
    <xf borderId="0" fillId="3" fontId="145" numFmtId="0" xfId="0" applyFont="1"/>
  </cellXfs>
  <cellStyles count="1">
    <cellStyle xfId="0" name="Normal" builtinId="0"/>
  </cellStyles>
  <dxfs count="31">
    <dxf>
      <font>
        <color rgb="FFFFFFFF"/>
      </font>
      <fill>
        <patternFill patternType="solid">
          <fgColor rgb="FF0B5394"/>
          <bgColor rgb="FF0B5394"/>
        </patternFill>
      </fill>
      <border/>
    </dxf>
    <dxf>
      <font>
        <color rgb="FFFFFFFF"/>
      </font>
      <fill>
        <patternFill patternType="solid">
          <fgColor rgb="FFCC0000"/>
          <bgColor rgb="FFCC0000"/>
        </patternFill>
      </fill>
      <border/>
    </dxf>
    <dxf>
      <font/>
      <fill>
        <patternFill patternType="solid">
          <fgColor rgb="FFB7B7B7"/>
          <bgColor rgb="FFB7B7B7"/>
        </patternFill>
      </fill>
      <border/>
    </dxf>
    <dxf>
      <font>
        <color rgb="FF666666"/>
      </font>
      <fill>
        <patternFill patternType="solid">
          <fgColor rgb="FFB7B7B7"/>
          <bgColor rgb="FFB7B7B7"/>
        </patternFill>
      </fill>
      <border/>
    </dxf>
    <dxf>
      <font>
        <color rgb="FFCC0000"/>
      </font>
      <fill>
        <patternFill patternType="solid">
          <fgColor rgb="FFFFFFFF"/>
          <bgColor rgb="FFFFFFFF"/>
        </patternFill>
      </fill>
      <border/>
    </dxf>
    <dxf>
      <font>
        <color rgb="FF0B5394"/>
      </font>
      <fill>
        <patternFill patternType="solid">
          <fgColor rgb="FFFFFFFF"/>
          <bgColor rgb="FFFFFFFF"/>
        </patternFill>
      </fill>
      <border/>
    </dxf>
    <dxf>
      <font>
        <color rgb="FF999999"/>
      </font>
      <fill>
        <patternFill patternType="none"/>
      </fill>
      <border/>
    </dxf>
    <dxf>
      <font>
        <color rgb="FF999999"/>
      </font>
      <fill>
        <patternFill patternType="solid">
          <fgColor rgb="FFFFFFFF"/>
          <bgColor rgb="FFFFFFFF"/>
        </patternFill>
      </fill>
      <border/>
    </dxf>
    <dxf>
      <font>
        <color rgb="FF0B5394"/>
      </font>
      <fill>
        <patternFill patternType="solid">
          <fgColor rgb="FFB7B7B7"/>
          <bgColor rgb="FFB7B7B7"/>
        </patternFill>
      </fill>
      <border/>
    </dxf>
    <dxf>
      <font>
        <color rgb="FFCC0000"/>
      </font>
      <fill>
        <patternFill patternType="solid">
          <fgColor rgb="FFB7B7B7"/>
          <bgColor rgb="FFB7B7B7"/>
        </patternFill>
      </fill>
      <border/>
    </dxf>
    <dxf>
      <font>
        <color rgb="FFEA9999"/>
      </font>
      <fill>
        <patternFill patternType="none"/>
      </fill>
      <border/>
    </dxf>
    <dxf>
      <font>
        <color rgb="FF9FC5E8"/>
      </font>
      <fill>
        <patternFill patternType="none"/>
      </fill>
      <border/>
    </dxf>
    <dxf>
      <font>
        <color rgb="FFF9CB9C"/>
      </font>
      <fill>
        <patternFill patternType="none"/>
      </fill>
      <border/>
    </dxf>
    <dxf>
      <font>
        <color rgb="FFCC0000"/>
      </font>
      <fill>
        <patternFill patternType="none"/>
      </fill>
      <border/>
    </dxf>
    <dxf>
      <font>
        <color rgb="FF0B5394"/>
      </font>
      <fill>
        <patternFill patternType="none"/>
      </fill>
      <border/>
    </dxf>
    <dxf>
      <font/>
      <fill>
        <patternFill patternType="solid">
          <fgColor rgb="FF3D85C6"/>
          <bgColor rgb="FF3D85C6"/>
        </patternFill>
      </fill>
      <border/>
    </dxf>
    <dxf>
      <font/>
      <fill>
        <patternFill patternType="solid">
          <fgColor rgb="FFE06666"/>
          <bgColor rgb="FFE06666"/>
        </patternFill>
      </fill>
      <border/>
    </dxf>
    <dxf>
      <font>
        <b/>
        <u/>
      </font>
      <fill>
        <patternFill patternType="solid">
          <fgColor rgb="FF3D85C6"/>
          <bgColor rgb="FF3D85C6"/>
        </patternFill>
      </fill>
      <border/>
    </dxf>
    <dxf>
      <font>
        <b/>
        <u/>
      </font>
      <fill>
        <patternFill patternType="none"/>
      </fill>
      <border/>
    </dxf>
    <dxf>
      <font>
        <b/>
        <u/>
      </font>
      <fill>
        <patternFill patternType="solid">
          <fgColor rgb="FFE06666"/>
          <bgColor rgb="FFE06666"/>
        </patternFill>
      </fill>
      <border/>
    </dxf>
    <dxf>
      <font>
        <color rgb="FF000000"/>
      </font>
      <fill>
        <patternFill patternType="solid">
          <fgColor rgb="FFE06666"/>
          <bgColor rgb="FFE06666"/>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EA9999"/>
          <bgColor rgb="FFEA9999"/>
        </patternFill>
      </fill>
      <border/>
    </dxf>
    <dxf>
      <font/>
      <fill>
        <patternFill patternType="solid">
          <fgColor rgb="FFD9D9D9"/>
          <bgColor rgb="FFD9D9D9"/>
        </patternFill>
      </fill>
      <border/>
    </dxf>
    <dxf>
      <font/>
      <fill>
        <patternFill patternType="solid">
          <fgColor rgb="FF6FA8DC"/>
          <bgColor rgb="FF6FA8DC"/>
        </patternFill>
      </fill>
      <border/>
    </dxf>
    <dxf>
      <font/>
      <fill>
        <patternFill patternType="solid">
          <fgColor rgb="FFBDBDBD"/>
          <bgColor rgb="FFBDBDBD"/>
        </patternFill>
      </fill>
      <border/>
    </dxf>
    <dxf>
      <font>
        <b/>
        <color rgb="FF0B5394"/>
      </font>
      <fill>
        <patternFill patternType="none"/>
      </fill>
      <border/>
    </dxf>
    <dxf>
      <font/>
      <fill>
        <patternFill patternType="solid">
          <fgColor rgb="FF4DD0E1"/>
          <bgColor rgb="FF4DD0E1"/>
        </patternFill>
      </fill>
      <border/>
    </dxf>
    <dxf>
      <font/>
      <fill>
        <patternFill patternType="solid">
          <fgColor rgb="FFE0F7FA"/>
          <bgColor rgb="FFE0F7FA"/>
        </patternFill>
      </fill>
      <border/>
    </dxf>
  </dxfs>
  <tableStyles count="16">
    <tableStyle count="2" pivot="0" name="Captains Card 1-style">
      <tableStyleElement dxfId="22" type="firstRowStripe"/>
      <tableStyleElement dxfId="23" type="secondRowStripe"/>
    </tableStyle>
    <tableStyle count="2" pivot="0" name="Captains Card 2-style">
      <tableStyleElement dxfId="22" type="firstRowStripe"/>
      <tableStyleElement dxfId="23" type="secondRowStripe"/>
    </tableStyle>
    <tableStyle count="3" pivot="0" name="Master Input-style">
      <tableStyleElement dxfId="27" type="headerRow"/>
      <tableStyleElement dxfId="23" type="firstRowStripe"/>
      <tableStyleElement dxfId="22" type="secondRowStripe"/>
    </tableStyle>
    <tableStyle count="2" pivot="0" name="Master Input-style 2">
      <tableStyleElement dxfId="23" type="firstRowStripe"/>
      <tableStyleElement dxfId="22" type="secondRowStripe"/>
    </tableStyle>
    <tableStyle count="3" pivot="0" name="Master Input-style 3">
      <tableStyleElement dxfId="27" type="headerRow"/>
      <tableStyleElement dxfId="23" type="firstRowStripe"/>
      <tableStyleElement dxfId="22" type="secondRowStripe"/>
    </tableStyle>
    <tableStyle count="2" pivot="0" name="Course List-style">
      <tableStyleElement dxfId="23" type="firstRowStripe"/>
      <tableStyleElement dxfId="22" type="secondRowStripe"/>
    </tableStyle>
    <tableStyle count="2" pivot="0" name="Course List-style 2">
      <tableStyleElement dxfId="23" type="firstRowStripe"/>
      <tableStyleElement dxfId="22" type="secondRowStripe"/>
    </tableStyle>
    <tableStyle count="3" pivot="0" name="ALL SCORES-style">
      <tableStyleElement dxfId="27" type="headerRow"/>
      <tableStyleElement dxfId="23" type="firstRowStripe"/>
      <tableStyleElement dxfId="22" type="secondRowStripe"/>
    </tableStyle>
    <tableStyle count="3" pivot="0" name="Locked Bets Setup-style">
      <tableStyleElement dxfId="29" type="headerRow"/>
      <tableStyleElement dxfId="23" type="firstRowStripe"/>
      <tableStyleElement dxfId="30" type="secondRowStripe"/>
    </tableStyle>
    <tableStyle count="2" pivot="0" name="Locked Bets Setup-style 2">
      <tableStyleElement dxfId="23" type="firstRowStripe"/>
      <tableStyleElement dxfId="22" type="secondRowStripe"/>
    </tableStyle>
    <tableStyle count="2" pivot="0" name="Locked Bets Setup-style 3">
      <tableStyleElement dxfId="23" type="firstRowStripe"/>
      <tableStyleElement dxfId="22" type="secondRowStripe"/>
    </tableStyle>
    <tableStyle count="2" pivot="0" name="Locked Bets Setup-style 4">
      <tableStyleElement dxfId="23" type="firstRowStripe"/>
      <tableStyleElement dxfId="22" type="secondRowStripe"/>
    </tableStyle>
    <tableStyle count="2" pivot="0" name="Locked Bets Setup-style 5">
      <tableStyleElement dxfId="23" type="firstRowStripe"/>
      <tableStyleElement dxfId="22" type="secondRowStripe"/>
    </tableStyle>
    <tableStyle count="2" pivot="0" name="Locked Bets Setup-style 6">
      <tableStyleElement dxfId="23" type="firstRowStripe"/>
      <tableStyleElement dxfId="22" type="secondRowStripe"/>
    </tableStyle>
    <tableStyle count="2" pivot="0" name="Locked Bets Setup-style 7">
      <tableStyleElement dxfId="23" type="firstRowStripe"/>
      <tableStyleElement dxfId="22" type="secondRowStripe"/>
    </tableStyle>
    <tableStyle count="2" pivot="0" name="Locked Bets Setup-style 8">
      <tableStyleElement dxfId="23" type="firstRowStripe"/>
      <tableStyleElement dxfId="2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1</xdr:row>
      <xdr:rowOff>47625</xdr:rowOff>
    </xdr:from>
    <xdr:ext cx="523875"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866775</xdr:colOff>
      <xdr:row>2</xdr:row>
      <xdr:rowOff>180975</xdr:rowOff>
    </xdr:from>
    <xdr:ext cx="2066925" cy="2857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5: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2.xml><?xml version="1.0" encoding="utf-8"?>
<table xmlns="http://schemas.openxmlformats.org/spreadsheetml/2006/main" headerRowCount="0" ref="A5:N5"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3.xml><?xml version="1.0" encoding="utf-8"?>
<table xmlns="http://schemas.openxmlformats.org/spreadsheetml/2006/main" headerRowCount="0" ref="A10:L18"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M11:N18" displayName="Table_4" name="Table_4" id="4">
  <tableColumns count="2">
    <tableColumn name="Column1" id="1"/>
    <tableColumn name="Column2" id="2"/>
  </tableColumns>
  <tableStyleInfo name="Master Input-style 2" showColumnStripes="0" showFirstColumn="1" showLastColumn="1" showRowStripes="1"/>
</table>
</file>

<file path=xl/tables/table5.xml><?xml version="1.0" encoding="utf-8"?>
<table xmlns="http://schemas.openxmlformats.org/spreadsheetml/2006/main" headerRowCount="0" ref="A19:M30"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W14" displayName="Table_6" name="Table_6" id="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7.xml><?xml version="1.0" encoding="utf-8"?>
<table xmlns="http://schemas.openxmlformats.org/spreadsheetml/2006/main" headerRowCount="0" ref="X3:AA14" displayName="Table_7" name="Table_7" id="7">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8.xml><?xml version="1.0" encoding="utf-8"?>
<table xmlns="http://schemas.openxmlformats.org/spreadsheetml/2006/main" headerRowCount="0" ref="A1" displayName="Table_8" name="Table_8" id="8">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D1" displayName="Table_9" name="Table_9" id="9">
  <tableColumns count="4">
    <tableColumn name="Column1" id="1"/>
    <tableColumn name="Column2" id="2"/>
    <tableColumn name="Column3" id="3"/>
    <tableColumn name="Column4" id="4"/>
  </tableColumns>
  <tableStyleInfo name="Locked Bets Setup-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3:B20" displayName="Table_10" name="Table_10" id="10">
  <tableColumns count="2">
    <tableColumn name="Column1" id="1"/>
    <tableColumn name="Column2" id="2"/>
  </tableColumns>
  <tableStyleInfo name="Locked Bets Setup-style 2" showColumnStripes="0" showFirstColumn="1" showLastColumn="1" showRowStripes="1"/>
</table>
</file>

<file path=xl/tables/table11.xml><?xml version="1.0" encoding="utf-8"?>
<table xmlns="http://schemas.openxmlformats.org/spreadsheetml/2006/main" headerRowCount="0" ref="C3:D20" displayName="Table_11" name="Table_11" id="11">
  <tableColumns count="2">
    <tableColumn name="Column1" id="1"/>
    <tableColumn name="Column2" id="2"/>
  </tableColumns>
  <tableStyleInfo name="Locked Bets Setup-style 3" showColumnStripes="0" showFirstColumn="1" showLastColumn="1" showRowStripes="1"/>
</table>
</file>

<file path=xl/tables/table12.xml><?xml version="1.0" encoding="utf-8"?>
<table xmlns="http://schemas.openxmlformats.org/spreadsheetml/2006/main" headerRowCount="0" ref="E3:F20" displayName="Table_12" name="Table_12" id="12">
  <tableColumns count="2">
    <tableColumn name="Column1" id="1"/>
    <tableColumn name="Column2" id="2"/>
  </tableColumns>
  <tableStyleInfo name="Locked Bets Setup-style 4" showColumnStripes="0" showFirstColumn="1" showLastColumn="1" showRowStripes="1"/>
</table>
</file>

<file path=xl/tables/table13.xml><?xml version="1.0" encoding="utf-8"?>
<table xmlns="http://schemas.openxmlformats.org/spreadsheetml/2006/main" headerRowCount="0" ref="G3:G20" displayName="Table_13" name="Table_13" id="13">
  <tableColumns count="1">
    <tableColumn name="Column1" id="1"/>
  </tableColumns>
  <tableStyleInfo name="Locked Bets Setup-style 5" showColumnStripes="0" showFirstColumn="1" showLastColumn="1" showRowStripes="1"/>
</table>
</file>

<file path=xl/tables/table14.xml><?xml version="1.0" encoding="utf-8"?>
<table xmlns="http://schemas.openxmlformats.org/spreadsheetml/2006/main" headerRowCount="0" ref="H3:H20" displayName="Table_14" name="Table_14" id="14">
  <tableColumns count="1">
    <tableColumn name="Column1" id="1"/>
  </tableColumns>
  <tableStyleInfo name="Locked Bets Setup-style 6" showColumnStripes="0" showFirstColumn="1" showLastColumn="1" showRowStripes="1"/>
</table>
</file>

<file path=xl/tables/table15.xml><?xml version="1.0" encoding="utf-8"?>
<table xmlns="http://schemas.openxmlformats.org/spreadsheetml/2006/main" headerRowCount="0" ref="I3:K20" displayName="Table_15" name="Table_15" id="15">
  <tableColumns count="3">
    <tableColumn name="Column1" id="1"/>
    <tableColumn name="Column2" id="2"/>
    <tableColumn name="Column3" id="3"/>
  </tableColumns>
  <tableStyleInfo name="Locked Bets Setup-style 7" showColumnStripes="0" showFirstColumn="1" showLastColumn="1" showRowStripes="1"/>
</table>
</file>

<file path=xl/tables/table16.xml><?xml version="1.0" encoding="utf-8"?>
<table xmlns="http://schemas.openxmlformats.org/spreadsheetml/2006/main" headerRowCount="0" ref="L3:L20" displayName="Table_16" name="Table_16" id="16">
  <tableColumns count="1">
    <tableColumn name="Column1" id="1"/>
  </tableColumns>
  <tableStyleInfo name="Locked Bets Setup-style 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4" Type="http://schemas.openxmlformats.org/officeDocument/2006/relationships/table" Target="../tables/table6.xml"/><Relationship Id="rId5" Type="http://schemas.openxmlformats.org/officeDocument/2006/relationships/table" Target="../tables/table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7.29" defaultRowHeight="15.0"/>
  <cols>
    <col customWidth="1" min="1" max="1" width="2.29"/>
    <col customWidth="1" min="2" max="2" width="0.86"/>
    <col customWidth="1" min="3" max="20" width="2.29"/>
    <col customWidth="1" min="21" max="21" width="0.86"/>
    <col customWidth="1" min="22" max="22" width="2.29"/>
    <col customWidth="1" min="23" max="23" width="18.0"/>
    <col customWidth="1" min="24" max="27" width="11.57"/>
    <col customWidth="1" min="28" max="28" width="13.0"/>
    <col customWidth="1" min="29" max="46" width="5.86"/>
  </cols>
  <sheetData>
    <row r="1" ht="7.5" customHeight="1">
      <c r="A1" s="1"/>
      <c r="B1" s="2"/>
      <c r="C1" s="2"/>
      <c r="D1" s="2"/>
      <c r="E1" s="2"/>
      <c r="F1" s="2"/>
      <c r="G1" s="2"/>
      <c r="H1" s="3"/>
      <c r="I1" s="4"/>
      <c r="J1" s="4"/>
      <c r="K1" s="4"/>
      <c r="L1" s="4"/>
      <c r="M1" s="4"/>
      <c r="N1" s="4"/>
      <c r="O1" s="5"/>
      <c r="P1" s="2"/>
      <c r="Q1" s="3"/>
      <c r="R1" s="3"/>
      <c r="S1" s="3"/>
      <c r="T1" s="3"/>
      <c r="U1" s="3"/>
      <c r="V1" s="3"/>
      <c r="W1" s="6"/>
      <c r="X1" s="7"/>
      <c r="Y1" s="7"/>
      <c r="Z1" s="7"/>
      <c r="AA1" s="7"/>
      <c r="AB1" s="7"/>
      <c r="AC1" s="7"/>
      <c r="AD1" s="7"/>
      <c r="AE1" s="7"/>
      <c r="AF1" s="7"/>
      <c r="AG1" s="7"/>
      <c r="AH1" s="7"/>
      <c r="AI1" s="7"/>
      <c r="AJ1" s="7"/>
      <c r="AK1" s="7"/>
      <c r="AL1" s="7"/>
      <c r="AM1" s="7"/>
      <c r="AN1" s="7"/>
      <c r="AO1" s="7"/>
      <c r="AP1" s="7"/>
      <c r="AQ1" s="7"/>
      <c r="AR1" s="7"/>
      <c r="AS1" s="7"/>
      <c r="AT1" s="7"/>
    </row>
    <row r="2" ht="7.5" customHeight="1">
      <c r="A2" s="1"/>
      <c r="B2" s="8"/>
      <c r="C2" s="9"/>
      <c r="D2" s="9"/>
      <c r="E2" s="9"/>
      <c r="F2" s="9"/>
      <c r="G2" s="9"/>
      <c r="H2" s="10"/>
      <c r="I2" s="11"/>
      <c r="J2" s="11"/>
      <c r="K2" s="11"/>
      <c r="L2" s="11"/>
      <c r="M2" s="11"/>
      <c r="N2" s="11"/>
      <c r="O2" s="12"/>
      <c r="P2" s="9"/>
      <c r="Q2" s="10"/>
      <c r="R2" s="10"/>
      <c r="S2" s="10"/>
      <c r="T2" s="10"/>
      <c r="U2" s="13"/>
      <c r="V2" s="3"/>
      <c r="W2" s="6"/>
      <c r="X2" s="14"/>
      <c r="Y2" s="15"/>
      <c r="Z2" s="15"/>
      <c r="AA2" s="15"/>
      <c r="AB2" s="16"/>
      <c r="AC2" s="6"/>
      <c r="AD2" s="6"/>
      <c r="AE2" s="6"/>
      <c r="AF2" s="6"/>
      <c r="AG2" s="6"/>
      <c r="AH2" s="6"/>
      <c r="AI2" s="6"/>
      <c r="AJ2" s="6"/>
      <c r="AK2" s="6"/>
      <c r="AL2" s="6"/>
      <c r="AM2" s="6"/>
      <c r="AN2" s="6"/>
      <c r="AO2" s="6"/>
      <c r="AP2" s="6"/>
      <c r="AQ2" s="6"/>
      <c r="AR2" s="6"/>
      <c r="AS2" s="6"/>
      <c r="AT2" s="6"/>
    </row>
    <row r="3" ht="18.0" customHeight="1">
      <c r="A3" s="1"/>
      <c r="B3" s="17"/>
      <c r="C3" s="18"/>
      <c r="D3" s="19" t="s">
        <v>0</v>
      </c>
      <c r="E3" s="20"/>
      <c r="F3" s="20"/>
      <c r="G3" s="20"/>
      <c r="H3" s="21"/>
      <c r="I3" s="22"/>
      <c r="J3" s="22"/>
      <c r="K3" s="22"/>
      <c r="L3" s="22"/>
      <c r="M3" s="22"/>
      <c r="N3" s="22"/>
      <c r="O3" s="23" t="s">
        <v>1</v>
      </c>
      <c r="P3" s="20"/>
      <c r="Q3" s="20"/>
      <c r="R3" s="20"/>
      <c r="S3" s="21"/>
      <c r="T3" s="24"/>
      <c r="U3" s="25"/>
      <c r="V3" s="3"/>
      <c r="W3" s="26" t="s">
        <v>2</v>
      </c>
      <c r="X3" s="14"/>
      <c r="Y3" s="15"/>
      <c r="Z3" s="15"/>
      <c r="AA3" s="15"/>
      <c r="AB3" s="16"/>
      <c r="AC3" s="6"/>
      <c r="AD3" s="6"/>
      <c r="AE3" s="6"/>
      <c r="AF3" s="6"/>
      <c r="AG3" s="6"/>
      <c r="AH3" s="6"/>
      <c r="AI3" s="6"/>
      <c r="AJ3" s="6"/>
      <c r="AK3" s="6"/>
      <c r="AL3" s="6"/>
      <c r="AM3" s="6"/>
      <c r="AN3" s="6"/>
      <c r="AO3" s="6"/>
      <c r="AP3" s="6"/>
      <c r="AQ3" s="6"/>
      <c r="AR3" s="6"/>
      <c r="AS3" s="6"/>
      <c r="AT3" s="6"/>
    </row>
    <row r="4" ht="27.0" customHeight="1">
      <c r="A4" s="27"/>
      <c r="B4" s="28"/>
      <c r="C4" s="29"/>
      <c r="D4" s="30">
        <f>if(and(sum(Q17,Q26,Q35,Q44,Q57,Q66,Q75,Q84,Q93,Q102,Q111,Q120,Q133,Q142,Q151,Q160,Q190)=41.5,
        sum(D17,D26,D35,D44,D57,D66,D75,D84,D93,D102,D111,D120,D133,D142,D151,D160,D190)=41.5),
sum(D17,D26,D35,D44,D57,D66,D75,D84,D93,D102,D111,D120,D133,D142,D151,D160,D190)+D192,
sum(D17,D26,D35,D44,D57,D66,D75,D84,D93,D102,D111,D120,D133,D142,D151,D160,D190))</f>
        <v>37</v>
      </c>
      <c r="H4" s="31"/>
      <c r="I4" s="32"/>
      <c r="J4" s="33"/>
      <c r="K4" s="33"/>
      <c r="L4" s="33"/>
      <c r="M4" s="33"/>
      <c r="N4" s="33"/>
      <c r="O4" s="34">
        <f>if(and(sum(Q17,Q26,Q35,Q44,Q57,Q66,Q75,Q84,Q93,Q102,Q111,Q120,Q133,Q142,Q151,Q160,Q190)=41.5,
        sum(D17,D26,D35,D44,D57,D66,D75,D84,D93,D102,D111,D120,D133,D142,D151,D160,D190)=41.5),
sum(Q17,Q26,Q35,Q44,Q57,Q66,Q75,Q84,Q93,Q102,Q111,Q120,Q133,Q142,Q151,Q160,Q190)+Q192,
sum(Q17,Q26,Q35,Q44,Q57,Q66,Q75,Q84,Q93,Q102,Q111,Q120,Q133,Q142,Q151,Q160,Q190))</f>
        <v>46</v>
      </c>
      <c r="P4" s="35"/>
      <c r="Q4" s="35"/>
      <c r="R4" s="35"/>
      <c r="S4" s="36"/>
      <c r="T4" s="37"/>
      <c r="U4" s="38"/>
      <c r="V4" s="4"/>
      <c r="W4" s="39"/>
      <c r="X4" s="40"/>
      <c r="Y4" s="41"/>
      <c r="Z4" s="41"/>
      <c r="AA4" s="41"/>
      <c r="AB4" s="42"/>
      <c r="AC4" s="39"/>
      <c r="AD4" s="39"/>
      <c r="AE4" s="39"/>
      <c r="AF4" s="39"/>
      <c r="AG4" s="39"/>
      <c r="AH4" s="39"/>
      <c r="AI4" s="39"/>
      <c r="AJ4" s="39"/>
      <c r="AK4" s="39"/>
      <c r="AL4" s="39"/>
      <c r="AM4" s="39"/>
      <c r="AN4" s="39"/>
      <c r="AO4" s="39"/>
      <c r="AP4" s="39"/>
      <c r="AQ4" s="39"/>
      <c r="AR4" s="39"/>
      <c r="AS4" s="39"/>
      <c r="AT4" s="39"/>
    </row>
    <row r="5" ht="1.5" customHeight="1">
      <c r="A5" s="27"/>
      <c r="B5" s="28"/>
      <c r="C5" s="29"/>
      <c r="D5" s="43"/>
      <c r="E5" s="44"/>
      <c r="F5" s="44"/>
      <c r="G5" s="44"/>
      <c r="H5" s="45"/>
      <c r="I5" s="32"/>
      <c r="J5" s="46"/>
      <c r="K5" s="46"/>
      <c r="L5" s="46"/>
      <c r="M5" s="46"/>
      <c r="N5" s="47"/>
      <c r="O5" s="48"/>
      <c r="P5" s="44"/>
      <c r="Q5" s="44"/>
      <c r="R5" s="44"/>
      <c r="S5" s="45"/>
      <c r="T5" s="49"/>
      <c r="U5" s="50"/>
      <c r="V5" s="51"/>
      <c r="W5" s="39"/>
      <c r="X5" s="40"/>
      <c r="Y5" s="41"/>
      <c r="Z5" s="41"/>
      <c r="AA5" s="41"/>
      <c r="AB5" s="42"/>
      <c r="AC5" s="39"/>
      <c r="AD5" s="39"/>
      <c r="AE5" s="39"/>
      <c r="AF5" s="39"/>
      <c r="AG5" s="39"/>
      <c r="AH5" s="39"/>
      <c r="AI5" s="39"/>
      <c r="AJ5" s="39"/>
      <c r="AK5" s="39"/>
      <c r="AL5" s="39"/>
      <c r="AM5" s="39"/>
      <c r="AN5" s="39"/>
      <c r="AO5" s="39"/>
      <c r="AP5" s="39"/>
      <c r="AQ5" s="39"/>
      <c r="AR5" s="39"/>
      <c r="AS5" s="39"/>
      <c r="AT5" s="39"/>
    </row>
    <row r="6" ht="10.5" customHeight="1">
      <c r="A6" s="52"/>
      <c r="B6" s="53"/>
      <c r="C6" s="54" t="s">
        <v>3</v>
      </c>
      <c r="D6" s="44"/>
      <c r="E6" s="44"/>
      <c r="F6" s="44"/>
      <c r="G6" s="44"/>
      <c r="H6" s="44"/>
      <c r="I6" s="44"/>
      <c r="J6" s="55"/>
      <c r="K6" s="55"/>
      <c r="L6" s="55"/>
      <c r="M6" s="55"/>
      <c r="N6" s="56" t="str">
        <f>if(and(G4+O4&gt;83, G4&gt;O4),"&lt;&lt; Tie Breaker", if(and(G4+O4&gt;83, G4&lt;O4),"Tie Breaker &gt;&gt;","Pts Avail: "&amp;83-D4-O4))</f>
        <v>Pts Avail: 0</v>
      </c>
      <c r="O6" s="44"/>
      <c r="P6" s="44"/>
      <c r="Q6" s="44"/>
      <c r="R6" s="44"/>
      <c r="S6" s="44"/>
      <c r="T6" s="44"/>
      <c r="U6" s="57"/>
      <c r="V6" s="58"/>
      <c r="W6" s="39"/>
      <c r="X6" s="59"/>
      <c r="Y6" s="41"/>
      <c r="Z6" s="41"/>
      <c r="AA6" s="41"/>
      <c r="AB6" s="42"/>
      <c r="AC6" s="39"/>
      <c r="AD6" s="39"/>
      <c r="AE6" s="39"/>
      <c r="AF6" s="39"/>
      <c r="AG6" s="39"/>
      <c r="AH6" s="39"/>
      <c r="AI6" s="39"/>
      <c r="AJ6" s="39"/>
      <c r="AK6" s="39"/>
      <c r="AL6" s="39"/>
      <c r="AM6" s="39"/>
      <c r="AN6" s="39"/>
      <c r="AO6" s="39"/>
      <c r="AP6" s="39"/>
      <c r="AQ6" s="39"/>
      <c r="AR6" s="39"/>
      <c r="AS6" s="39"/>
      <c r="AT6" s="39"/>
    </row>
    <row r="7" ht="7.5" customHeight="1">
      <c r="A7" s="60"/>
      <c r="B7" s="61"/>
      <c r="C7" s="62"/>
      <c r="D7" s="62"/>
      <c r="E7" s="62"/>
      <c r="F7" s="62"/>
      <c r="G7" s="62"/>
      <c r="H7" s="62"/>
      <c r="I7" s="62"/>
      <c r="J7" s="62"/>
      <c r="K7" s="62"/>
      <c r="L7" s="62"/>
      <c r="M7" s="62"/>
      <c r="N7" s="62"/>
      <c r="O7" s="62"/>
      <c r="P7" s="62"/>
      <c r="Q7" s="62"/>
      <c r="R7" s="62"/>
      <c r="S7" s="62"/>
      <c r="T7" s="62"/>
      <c r="U7" s="61"/>
      <c r="V7" s="61"/>
      <c r="W7" s="39"/>
      <c r="X7" s="63"/>
      <c r="Y7" s="41"/>
      <c r="Z7" s="41"/>
      <c r="AA7" s="41"/>
      <c r="AB7" s="42"/>
      <c r="AC7" s="39"/>
      <c r="AD7" s="39"/>
      <c r="AE7" s="39"/>
      <c r="AF7" s="39"/>
      <c r="AG7" s="39"/>
      <c r="AH7" s="39"/>
      <c r="AI7" s="39"/>
      <c r="AJ7" s="39"/>
      <c r="AK7" s="39"/>
      <c r="AL7" s="39"/>
      <c r="AM7" s="39"/>
      <c r="AN7" s="39"/>
      <c r="AO7" s="39"/>
      <c r="AP7" s="39"/>
      <c r="AQ7" s="39"/>
      <c r="AR7" s="39"/>
      <c r="AS7" s="39"/>
      <c r="AT7" s="39"/>
    </row>
    <row r="8" ht="6.0" customHeight="1">
      <c r="A8" s="64"/>
      <c r="B8" s="65"/>
      <c r="C8" s="66"/>
      <c r="D8" s="66"/>
      <c r="E8" s="66"/>
      <c r="F8" s="66"/>
      <c r="G8" s="66"/>
      <c r="H8" s="66"/>
      <c r="I8" s="66"/>
      <c r="J8" s="66"/>
      <c r="K8" s="66"/>
      <c r="L8" s="66"/>
      <c r="M8" s="66"/>
      <c r="N8" s="66"/>
      <c r="O8" s="66"/>
      <c r="P8" s="66"/>
      <c r="Q8" s="66"/>
      <c r="R8" s="66"/>
      <c r="S8" s="66"/>
      <c r="T8" s="66"/>
      <c r="U8" s="66"/>
      <c r="V8" s="66"/>
      <c r="W8" s="67"/>
      <c r="X8" s="67"/>
      <c r="Y8" s="67"/>
      <c r="Z8" s="67"/>
      <c r="AA8" s="67"/>
      <c r="AB8" s="67"/>
      <c r="AC8" s="67"/>
      <c r="AD8" s="67"/>
      <c r="AE8" s="67"/>
      <c r="AF8" s="67"/>
      <c r="AG8" s="67"/>
      <c r="AH8" s="67"/>
      <c r="AI8" s="67"/>
      <c r="AJ8" s="67"/>
      <c r="AK8" s="67"/>
      <c r="AL8" s="67"/>
      <c r="AM8" s="67"/>
      <c r="AN8" s="67"/>
      <c r="AO8" s="67"/>
      <c r="AP8" s="67"/>
      <c r="AQ8" s="67"/>
      <c r="AR8" s="67"/>
      <c r="AS8" s="67"/>
      <c r="AT8" s="67"/>
    </row>
    <row r="9" ht="11.25" customHeight="1">
      <c r="A9" s="68"/>
      <c r="B9" s="61"/>
      <c r="C9" s="62"/>
      <c r="D9" s="62"/>
      <c r="E9" s="62"/>
      <c r="F9" s="62"/>
      <c r="G9" s="62"/>
      <c r="H9" s="62"/>
      <c r="I9" s="62"/>
      <c r="J9" s="62"/>
      <c r="K9" s="62"/>
      <c r="L9" s="62"/>
      <c r="M9" s="62"/>
      <c r="N9" s="62"/>
      <c r="O9" s="62"/>
      <c r="P9" s="62"/>
      <c r="Q9" s="62"/>
      <c r="R9" s="62"/>
      <c r="S9" s="62"/>
      <c r="T9" s="62"/>
      <c r="U9" s="61"/>
      <c r="V9" s="61"/>
      <c r="W9" s="69"/>
      <c r="X9" s="63"/>
      <c r="Y9" s="41"/>
      <c r="Z9" s="41"/>
      <c r="AA9" s="41"/>
      <c r="AB9" s="42"/>
      <c r="AC9" s="39"/>
      <c r="AD9" s="39"/>
      <c r="AE9" s="39"/>
      <c r="AF9" s="39"/>
      <c r="AG9" s="39"/>
      <c r="AH9" s="39"/>
      <c r="AI9" s="39"/>
      <c r="AJ9" s="39"/>
      <c r="AK9" s="39"/>
      <c r="AL9" s="39"/>
      <c r="AM9" s="39"/>
      <c r="AN9" s="39"/>
      <c r="AO9" s="39"/>
      <c r="AP9" s="39"/>
      <c r="AQ9" s="39"/>
      <c r="AR9" s="39"/>
      <c r="AS9" s="39"/>
      <c r="AT9" s="39"/>
    </row>
    <row r="10" ht="15.0" customHeight="1">
      <c r="A10" s="68"/>
      <c r="B10" s="70" t="str">
        <f>'Master Input'!E6</f>
        <v>GVSU Meadows - Blue</v>
      </c>
      <c r="C10" s="71"/>
      <c r="D10" s="71"/>
      <c r="E10" s="71"/>
      <c r="F10" s="71"/>
      <c r="G10" s="71"/>
      <c r="H10" s="71"/>
      <c r="I10" s="71"/>
      <c r="J10" s="71"/>
      <c r="K10" s="71"/>
      <c r="L10" s="72" t="str">
        <f>'Master Input'!F6</f>
        <v>2-Man Best Ball</v>
      </c>
      <c r="M10" s="71"/>
      <c r="N10" s="71"/>
      <c r="O10" s="71"/>
      <c r="P10" s="71"/>
      <c r="Q10" s="71"/>
      <c r="R10" s="71"/>
      <c r="S10" s="71"/>
      <c r="T10" s="71"/>
      <c r="U10" s="73"/>
      <c r="V10" s="74"/>
      <c r="W10" s="69"/>
      <c r="X10" s="63"/>
      <c r="Y10" s="41"/>
      <c r="Z10" s="41"/>
      <c r="AA10" s="41"/>
      <c r="AB10" s="42"/>
      <c r="AC10" s="39"/>
      <c r="AD10" s="39"/>
      <c r="AE10" s="39"/>
      <c r="AF10" s="39"/>
      <c r="AG10" s="39"/>
      <c r="AH10" s="39"/>
      <c r="AI10" s="39"/>
      <c r="AJ10" s="39"/>
      <c r="AK10" s="39"/>
      <c r="AL10" s="39"/>
      <c r="AM10" s="39"/>
      <c r="AN10" s="39"/>
      <c r="AO10" s="39"/>
      <c r="AP10" s="39"/>
      <c r="AQ10" s="39"/>
      <c r="AR10" s="39"/>
      <c r="AS10" s="39"/>
      <c r="AT10" s="39"/>
    </row>
    <row r="11" ht="15.0" customHeight="1">
      <c r="A11" s="75"/>
      <c r="B11" s="76" t="s">
        <v>4</v>
      </c>
      <c r="C11" s="77"/>
      <c r="D11" s="77"/>
      <c r="E11" s="77"/>
      <c r="F11" s="77"/>
      <c r="G11" s="77"/>
      <c r="H11" s="77"/>
      <c r="I11" s="77"/>
      <c r="J11" s="77"/>
      <c r="K11" s="77"/>
      <c r="L11" s="77"/>
      <c r="M11" s="77"/>
      <c r="N11" s="77"/>
      <c r="O11" s="77"/>
      <c r="P11" s="77"/>
      <c r="Q11" s="77"/>
      <c r="R11" s="77"/>
      <c r="S11" s="77"/>
      <c r="T11" s="77"/>
      <c r="U11" s="78"/>
      <c r="V11" s="79"/>
      <c r="W11" s="69"/>
      <c r="X11" s="63"/>
      <c r="Y11" s="80"/>
      <c r="Z11" s="80"/>
      <c r="AA11" s="80"/>
      <c r="AB11" s="81"/>
      <c r="AC11" s="82"/>
      <c r="AD11" s="82"/>
      <c r="AE11" s="82"/>
      <c r="AF11" s="82"/>
      <c r="AG11" s="82"/>
      <c r="AH11" s="82"/>
      <c r="AI11" s="82"/>
      <c r="AJ11" s="82"/>
      <c r="AK11" s="82"/>
      <c r="AL11" s="82"/>
      <c r="AM11" s="82"/>
      <c r="AN11" s="82"/>
      <c r="AO11" s="82"/>
      <c r="AP11" s="82"/>
      <c r="AQ11" s="82"/>
      <c r="AR11" s="82"/>
      <c r="AS11" s="82"/>
      <c r="AT11" s="82"/>
    </row>
    <row r="12" ht="9.0" customHeight="1">
      <c r="A12" s="83"/>
      <c r="B12" s="84"/>
      <c r="C12" s="84"/>
      <c r="D12" s="84"/>
      <c r="E12" s="84"/>
      <c r="F12" s="84"/>
      <c r="G12" s="84"/>
      <c r="H12" s="85"/>
      <c r="I12" s="85"/>
      <c r="J12" s="85"/>
      <c r="K12" s="86"/>
      <c r="L12" s="87"/>
      <c r="M12" s="84"/>
      <c r="N12" s="84"/>
      <c r="O12" s="84"/>
      <c r="P12" s="84"/>
      <c r="Q12" s="84"/>
      <c r="R12" s="84"/>
      <c r="S12" s="84"/>
      <c r="T12" s="84"/>
      <c r="U12" s="51"/>
      <c r="V12" s="88"/>
      <c r="W12" s="89"/>
      <c r="X12" s="90"/>
      <c r="Y12" s="91"/>
      <c r="Z12" s="91"/>
      <c r="AA12" s="91"/>
      <c r="AB12" s="91"/>
      <c r="AC12" s="91"/>
      <c r="AD12" s="91"/>
      <c r="AE12" s="91"/>
      <c r="AF12" s="91"/>
      <c r="AG12" s="91"/>
      <c r="AH12" s="91"/>
      <c r="AI12" s="91"/>
      <c r="AJ12" s="91"/>
      <c r="AK12" s="91"/>
      <c r="AL12" s="91"/>
      <c r="AM12" s="91"/>
      <c r="AN12" s="91"/>
      <c r="AO12" s="91"/>
      <c r="AP12" s="91"/>
      <c r="AQ12" s="91"/>
      <c r="AR12" s="91"/>
      <c r="AS12" s="91"/>
      <c r="AT12" s="91"/>
    </row>
    <row r="13" ht="9.0" customHeight="1">
      <c r="A13" s="92" t="str">
        <f>W14</f>
        <v>R1_G1</v>
      </c>
      <c r="B13" s="93"/>
      <c r="C13" s="94" t="s">
        <v>5</v>
      </c>
      <c r="D13" s="71"/>
      <c r="E13" s="71"/>
      <c r="F13" s="71"/>
      <c r="G13" s="71"/>
      <c r="H13" s="95"/>
      <c r="I13" s="95"/>
      <c r="J13" s="96"/>
      <c r="K13" s="97" t="s">
        <v>6</v>
      </c>
      <c r="L13" s="98">
        <f>18-countif(AC15:AT15,"")
</f>
        <v>18</v>
      </c>
      <c r="M13" s="99"/>
      <c r="N13" s="100"/>
      <c r="O13" s="100"/>
      <c r="P13" s="101"/>
      <c r="Q13" s="101"/>
      <c r="R13" s="101"/>
      <c r="S13" s="101"/>
      <c r="T13" s="101"/>
      <c r="U13" s="102"/>
      <c r="V13" s="88"/>
      <c r="W13" s="103"/>
      <c r="X13" s="104"/>
      <c r="Y13" s="105" t="s">
        <v>7</v>
      </c>
      <c r="Z13" s="105" t="s">
        <v>8</v>
      </c>
      <c r="AA13" s="105" t="s">
        <v>9</v>
      </c>
      <c r="AB13" s="106" t="s">
        <v>10</v>
      </c>
      <c r="AC13" s="107">
        <v>1.0</v>
      </c>
      <c r="AD13" s="107">
        <v>2.0</v>
      </c>
      <c r="AE13" s="107">
        <v>3.0</v>
      </c>
      <c r="AF13" s="107">
        <v>4.0</v>
      </c>
      <c r="AG13" s="107">
        <v>5.0</v>
      </c>
      <c r="AH13" s="107">
        <v>6.0</v>
      </c>
      <c r="AI13" s="107">
        <v>7.0</v>
      </c>
      <c r="AJ13" s="107">
        <v>8.0</v>
      </c>
      <c r="AK13" s="107">
        <v>9.0</v>
      </c>
      <c r="AL13" s="107">
        <v>10.0</v>
      </c>
      <c r="AM13" s="107">
        <v>11.0</v>
      </c>
      <c r="AN13" s="107">
        <v>12.0</v>
      </c>
      <c r="AO13" s="107">
        <v>13.0</v>
      </c>
      <c r="AP13" s="107">
        <v>14.0</v>
      </c>
      <c r="AQ13" s="107">
        <v>15.0</v>
      </c>
      <c r="AR13" s="107">
        <v>16.0</v>
      </c>
      <c r="AS13" s="107">
        <v>17.0</v>
      </c>
      <c r="AT13" s="107">
        <v>18.0</v>
      </c>
    </row>
    <row r="14" ht="11.25" customHeight="1">
      <c r="A14" s="108"/>
      <c r="B14" s="109"/>
      <c r="C14" s="110" t="str">
        <f>'Match Selection'!G4</f>
        <v>CuzNick</v>
      </c>
      <c r="D14" s="20"/>
      <c r="E14" s="20"/>
      <c r="F14" s="20"/>
      <c r="G14" s="21"/>
      <c r="H14" s="111"/>
      <c r="I14" s="112" t="s">
        <v>7</v>
      </c>
      <c r="L14" s="112" t="s">
        <v>8</v>
      </c>
      <c r="O14" s="113"/>
      <c r="P14" s="114" t="str">
        <f>'Match Selection'!D4</f>
        <v>TJSC</v>
      </c>
      <c r="Q14" s="20"/>
      <c r="R14" s="20"/>
      <c r="S14" s="20"/>
      <c r="T14" s="21"/>
      <c r="U14" s="115"/>
      <c r="V14" s="88"/>
      <c r="W14" s="116" t="s">
        <v>11</v>
      </c>
      <c r="X14" s="104" t="s">
        <v>12</v>
      </c>
      <c r="Y14" s="117">
        <f>if(L13=0,"",sum(AC15:AK15))</f>
        <v>-7</v>
      </c>
      <c r="Z14" s="117">
        <f>if(L13&lt;10,"",sum(AL15:AT15))</f>
        <v>-1</v>
      </c>
      <c r="AA14" s="117">
        <f>if(L13&lt;10,"",sum(AC15:AT15))</f>
        <v>-8</v>
      </c>
      <c r="AB14" s="106" t="s">
        <v>13</v>
      </c>
      <c r="AC14" s="107">
        <v>4.0</v>
      </c>
      <c r="AD14" s="107">
        <v>5.0</v>
      </c>
      <c r="AE14" s="107">
        <v>6.0</v>
      </c>
      <c r="AF14" s="107">
        <v>7.0</v>
      </c>
      <c r="AG14" s="107">
        <v>8.0</v>
      </c>
      <c r="AH14" s="107">
        <v>9.0</v>
      </c>
      <c r="AI14" s="107">
        <v>10.0</v>
      </c>
      <c r="AJ14" s="107">
        <v>11.0</v>
      </c>
      <c r="AK14" s="107">
        <v>12.0</v>
      </c>
      <c r="AL14" s="107">
        <v>16.0</v>
      </c>
      <c r="AM14" s="107">
        <v>17.0</v>
      </c>
      <c r="AN14" s="107">
        <v>18.0</v>
      </c>
      <c r="AO14" s="107">
        <v>19.0</v>
      </c>
      <c r="AP14" s="107">
        <v>20.0</v>
      </c>
      <c r="AQ14" s="107">
        <v>21.0</v>
      </c>
      <c r="AR14" s="107">
        <v>22.0</v>
      </c>
      <c r="AS14" s="107">
        <v>23.0</v>
      </c>
      <c r="AT14" s="107">
        <v>24.0</v>
      </c>
    </row>
    <row r="15" ht="11.25" customHeight="1">
      <c r="A15" s="108"/>
      <c r="B15" s="118"/>
      <c r="C15" s="119" t="str">
        <f>'Match Selection'!G5</f>
        <v>Saugy</v>
      </c>
      <c r="D15" s="44"/>
      <c r="E15" s="44"/>
      <c r="F15" s="44"/>
      <c r="G15" s="45"/>
      <c r="H15" s="111"/>
      <c r="I15" s="120" t="str">
        <f>if(and(Y16&gt;0,Y14&lt;&gt;0,Y14&lt;&gt;"",Y17=""),abs(Y14)&amp;" UP",
if(abs(AG17)&gt;AG16,abs(AG17)&amp;"&amp;"&amp;AG16,
if(abs(AH17)&gt;AH16,abs(AH17)&amp;"&amp;"&amp;AH16,
if(abs(AI17)&gt;AI16,abs(AI17)&amp;"&amp;"&amp;AI16,
if(abs(AJ17)&gt;AJ16,abs(AJ17)&amp;"&amp;"&amp;AJ16,
if(abs(AK17)&gt;AK16,abs(AK17)&amp;"&amp;"&amp;AK16,"AS"))))))</f>
        <v>4&amp;3</v>
      </c>
      <c r="J15" s="20"/>
      <c r="K15" s="21"/>
      <c r="L15" s="120" t="str">
        <f>if(and(Z16&gt;0,Z14&lt;&gt;0,Z14&lt;&gt;"",Z17=""),abs(Z14)&amp;" UP",
if(abs(AP17)&gt;AP16,abs(AP17)&amp;"&amp;"&amp;AP16,
if(abs(AQ17)&gt;AQ16,abs(AQ17)&amp;"&amp;"&amp;AQ16,
if(abs(AR17)&gt;AR16,abs(AR17)&amp;"&amp;"&amp;AR16,
if(abs(AS17)&gt;AS16,abs(AS17)&amp;"&amp;"&amp;AS16,
if(abs(AT17)&gt;AT16,abs(AT17)&amp;"&amp;"&amp;AT16,"AS"))))))</f>
        <v>2&amp;1</v>
      </c>
      <c r="M15" s="20"/>
      <c r="N15" s="21"/>
      <c r="O15" s="113"/>
      <c r="P15" s="121" t="str">
        <f>'Match Selection'!D5</f>
        <v>Joe O</v>
      </c>
      <c r="Q15" s="44"/>
      <c r="R15" s="44"/>
      <c r="S15" s="44"/>
      <c r="T15" s="45"/>
      <c r="U15" s="115"/>
      <c r="V15" s="88"/>
      <c r="W15" s="122" t="str">
        <f>$L$10</f>
        <v>2-Man Best Ball</v>
      </c>
      <c r="X15" s="104" t="s">
        <v>14</v>
      </c>
      <c r="Y15" s="117">
        <f>if(L13=0,"",if(Y14=0,0,Y14*-1))</f>
        <v>7</v>
      </c>
      <c r="Z15" s="117">
        <f>if(L13&lt;10,"",if(Z14=0,0,Z14*-1))</f>
        <v>1</v>
      </c>
      <c r="AA15" s="117">
        <f>if(L13&lt;10,"",if(AA14=0,0,AA14*-1))</f>
        <v>8</v>
      </c>
      <c r="AB15" s="106" t="s">
        <v>15</v>
      </c>
      <c r="AC15" s="123">
        <f t="shared" ref="AC15:AT15" si="1">VLOOKUP("Match",indirect($W14&amp;"!"&amp;"$B$23:$y$23"),AC14)</f>
        <v>-1</v>
      </c>
      <c r="AD15" s="123">
        <f t="shared" si="1"/>
        <v>-1</v>
      </c>
      <c r="AE15" s="123">
        <f t="shared" si="1"/>
        <v>-1</v>
      </c>
      <c r="AF15" s="123">
        <f t="shared" si="1"/>
        <v>-1</v>
      </c>
      <c r="AG15" s="123">
        <f t="shared" si="1"/>
        <v>1</v>
      </c>
      <c r="AH15" s="123">
        <f t="shared" si="1"/>
        <v>-1</v>
      </c>
      <c r="AI15" s="123">
        <f t="shared" si="1"/>
        <v>-1</v>
      </c>
      <c r="AJ15" s="123">
        <f t="shared" si="1"/>
        <v>-1</v>
      </c>
      <c r="AK15" s="123">
        <f t="shared" si="1"/>
        <v>-1</v>
      </c>
      <c r="AL15" s="123">
        <f t="shared" si="1"/>
        <v>0</v>
      </c>
      <c r="AM15" s="123">
        <f t="shared" si="1"/>
        <v>0</v>
      </c>
      <c r="AN15" s="123">
        <f t="shared" si="1"/>
        <v>0</v>
      </c>
      <c r="AO15" s="123">
        <f t="shared" si="1"/>
        <v>-1</v>
      </c>
      <c r="AP15" s="123">
        <f t="shared" si="1"/>
        <v>0</v>
      </c>
      <c r="AQ15" s="123">
        <f t="shared" si="1"/>
        <v>1</v>
      </c>
      <c r="AR15" s="123">
        <f t="shared" si="1"/>
        <v>-1</v>
      </c>
      <c r="AS15" s="123">
        <f t="shared" si="1"/>
        <v>-1</v>
      </c>
      <c r="AT15" s="123">
        <f t="shared" si="1"/>
        <v>1</v>
      </c>
    </row>
    <row r="16" ht="9.0" customHeight="1">
      <c r="A16" s="108"/>
      <c r="B16" s="118"/>
      <c r="C16" s="124"/>
      <c r="D16" s="125" t="s">
        <v>16</v>
      </c>
      <c r="G16" s="126"/>
      <c r="H16" s="127"/>
      <c r="I16" s="127"/>
      <c r="J16" s="112" t="s">
        <v>9</v>
      </c>
      <c r="N16" s="126"/>
      <c r="O16" s="126"/>
      <c r="P16" s="126"/>
      <c r="Q16" s="128" t="s">
        <v>16</v>
      </c>
      <c r="T16" s="124"/>
      <c r="U16" s="115"/>
      <c r="V16" s="88"/>
      <c r="W16" s="103"/>
      <c r="X16" s="104" t="s">
        <v>17</v>
      </c>
      <c r="Y16" s="117">
        <f t="array" ref="Y16">(countif(indirect(W14&amp;"!"&amp;"$E$19:$M$19"),""))</f>
        <v>0</v>
      </c>
      <c r="Z16" s="117">
        <f t="array" ref="Z16">(countif(indirect(W14&amp;"!"&amp;"$Q$19:$Y$19"),""))</f>
        <v>0</v>
      </c>
      <c r="AA16" s="117">
        <f t="array" ref="AA16">(countif(indirect(W14&amp;"!"&amp;"$E$19:$M$19"),""))
+(countif(indirect(W14&amp;"!"&amp;"$Q$19:$Y$19"),""))</f>
        <v>0</v>
      </c>
      <c r="AB16" s="105" t="s">
        <v>18</v>
      </c>
      <c r="AC16" s="105">
        <v>8.0</v>
      </c>
      <c r="AD16" s="105">
        <v>7.0</v>
      </c>
      <c r="AE16" s="105">
        <v>6.0</v>
      </c>
      <c r="AF16" s="105">
        <v>5.0</v>
      </c>
      <c r="AG16" s="105">
        <v>4.0</v>
      </c>
      <c r="AH16" s="105">
        <v>3.0</v>
      </c>
      <c r="AI16" s="105">
        <v>2.0</v>
      </c>
      <c r="AJ16" s="105">
        <v>1.0</v>
      </c>
      <c r="AK16" s="105">
        <v>0.0</v>
      </c>
      <c r="AL16" s="105">
        <v>8.0</v>
      </c>
      <c r="AM16" s="105">
        <v>7.0</v>
      </c>
      <c r="AN16" s="105">
        <v>6.0</v>
      </c>
      <c r="AO16" s="105">
        <v>5.0</v>
      </c>
      <c r="AP16" s="105">
        <v>4.0</v>
      </c>
      <c r="AQ16" s="105">
        <v>3.0</v>
      </c>
      <c r="AR16" s="105">
        <v>2.0</v>
      </c>
      <c r="AS16" s="105">
        <v>1.0</v>
      </c>
      <c r="AT16" s="105">
        <v>0.0</v>
      </c>
    </row>
    <row r="17" ht="11.25" customHeight="1">
      <c r="A17" s="108"/>
      <c r="B17" s="118"/>
      <c r="C17" s="124"/>
      <c r="D17" s="110">
        <f>if(Y18="","",sum(Y18:AA18))</f>
        <v>4</v>
      </c>
      <c r="E17" s="20"/>
      <c r="F17" s="21"/>
      <c r="G17" s="129"/>
      <c r="H17" s="111"/>
      <c r="I17" s="111"/>
      <c r="J17" s="120" t="str">
        <f>if(and(AA16&gt;0,AA14&lt;&gt;0,AA14&lt;&gt;"",AA17=""),abs(AA14)&amp;" UP",
if(abs(AG19)&gt;AG18,abs(AG19)&amp;"&amp;"&amp;AG18,
if(abs(AH19)&gt;AH18,abs(AH19)&amp;"&amp;"&amp;AH18,
if(abs(AI19)&gt;AI18,abs(AI19)&amp;"&amp;"&amp;AI18,
if(abs(AJ19)&gt;AJ18,abs(AJ19)&amp;"&amp;"&amp;AJ18,
if(abs(AK19)&gt;AK18,abs(AK19)&amp;"&amp;"&amp;AK18,
if(abs(AL19)&gt;AL18,abs(AL19)&amp;"&amp;"&amp;AL18,
if(abs(AM19)&gt;AM18,abs(AM19)&amp;"&amp;"&amp;AM18,
if(abs(AN19)&gt;AN18,abs(AN19)&amp;"&amp;"&amp;AN18,
if(abs(AO19)&gt;AO18,abs(AO19)&amp;"&amp;"&amp;AO18,
if(abs(AP19)&gt;AP18,abs(AP19)&amp;"&amp;"&amp;AP18,
if(abs(AQ19)&gt;AQ18,abs(AQ19)&amp;"&amp;"&amp;AQ18,
if(abs(AR19)&gt;AR18,abs(AR19)&amp;"&amp;"&amp;AR18,
if(abs(AS19)&gt;AS18,abs(AS19)&amp;"&amp;"&amp;AS18,
if(abs(AT19)&gt;AT18,abs(AT19)&amp;"&amp;"&amp;AT18,
"AS")))))))))))))))</f>
        <v>7&amp;6</v>
      </c>
      <c r="K17" s="20"/>
      <c r="L17" s="20"/>
      <c r="M17" s="21"/>
      <c r="N17" s="111"/>
      <c r="O17" s="111"/>
      <c r="P17" s="130"/>
      <c r="Q17" s="114">
        <f>if(Y17="","",sum(Y17:AA17))</f>
        <v>0</v>
      </c>
      <c r="R17" s="20"/>
      <c r="S17" s="21"/>
      <c r="T17" s="124"/>
      <c r="U17" s="115"/>
      <c r="V17" s="88"/>
      <c r="W17" s="103"/>
      <c r="X17" s="104" t="s">
        <v>19</v>
      </c>
      <c r="Y17" s="117">
        <f>if(Y14="","",if(or(Y14&gt;Y16,Y15&gt;Y16,and(Y14=0,Y16=0)),
if(Y14=0,vlookup($W15,'Master Input'!$O$12:$R$18,'Master Input'!P$11,false)/2,
if(Y14&gt;0,vlookup($W15,'Master Input'!$O$12:$R$18,'Master Input'!P$11,false),
if(Y14&lt;0,0,""))),""))</f>
        <v>0</v>
      </c>
      <c r="Z17" s="117">
        <f>if(Z14="","",if(or(Z14&gt;Z16,Z15&gt;Z16,and(Z14=0,Z16=0)),
if(Z14=0,vlookup($W15,'Master Input'!$O$12:$R$18,'Master Input'!Q$11,false)/2,
if(Z14&gt;0,vlookup($W15,'Master Input'!$O$12:$R$18,'Master Input'!Q$11,false),
if(Z14&lt;0,0,""))),""))</f>
        <v>0</v>
      </c>
      <c r="AA17" s="117">
        <f>if(AA14="","",if(or(AA14&gt;AA16,AA15&gt;AA16,and(AA14=0,AA16=0)),
if(AA14=0,vlookup($W15,'Master Input'!$O$12:$R$18,'Master Input'!R$11,false)/2,
if(AA14&gt;0,vlookup($W15,'Master Input'!$O$12:$R$18,'Master Input'!R$11,false),
if(AA14&lt;0,0,""))),""))</f>
        <v>0</v>
      </c>
      <c r="AB17" s="105" t="s">
        <v>20</v>
      </c>
      <c r="AC17" s="131">
        <f>if(AC15="","",AC15)</f>
        <v>-1</v>
      </c>
      <c r="AD17" s="117">
        <f t="shared" ref="AD17:AK17" si="2">if(AD15="","",AD15+AC17)</f>
        <v>-2</v>
      </c>
      <c r="AE17" s="117">
        <f t="shared" si="2"/>
        <v>-3</v>
      </c>
      <c r="AF17" s="117">
        <f t="shared" si="2"/>
        <v>-4</v>
      </c>
      <c r="AG17" s="117">
        <f t="shared" si="2"/>
        <v>-3</v>
      </c>
      <c r="AH17" s="117">
        <f t="shared" si="2"/>
        <v>-4</v>
      </c>
      <c r="AI17" s="117">
        <f t="shared" si="2"/>
        <v>-5</v>
      </c>
      <c r="AJ17" s="117">
        <f t="shared" si="2"/>
        <v>-6</v>
      </c>
      <c r="AK17" s="117">
        <f t="shared" si="2"/>
        <v>-7</v>
      </c>
      <c r="AL17" s="131">
        <f>if(AL15="","",AL15)</f>
        <v>0</v>
      </c>
      <c r="AM17" s="117">
        <f t="shared" ref="AM17:AT17" si="3">if(AM15="","",AM15+AL17)</f>
        <v>0</v>
      </c>
      <c r="AN17" s="117">
        <f t="shared" si="3"/>
        <v>0</v>
      </c>
      <c r="AO17" s="117">
        <f t="shared" si="3"/>
        <v>-1</v>
      </c>
      <c r="AP17" s="117">
        <f t="shared" si="3"/>
        <v>-1</v>
      </c>
      <c r="AQ17" s="117">
        <f t="shared" si="3"/>
        <v>0</v>
      </c>
      <c r="AR17" s="117">
        <f t="shared" si="3"/>
        <v>-1</v>
      </c>
      <c r="AS17" s="117">
        <f t="shared" si="3"/>
        <v>-2</v>
      </c>
      <c r="AT17" s="117">
        <f t="shared" si="3"/>
        <v>-1</v>
      </c>
    </row>
    <row r="18" ht="7.5" customHeight="1">
      <c r="A18" s="108"/>
      <c r="B18" s="132"/>
      <c r="C18" s="124"/>
      <c r="D18" s="124"/>
      <c r="E18" s="124"/>
      <c r="F18" s="124"/>
      <c r="G18" s="113"/>
      <c r="H18" s="111"/>
      <c r="I18" s="111"/>
      <c r="J18" s="111"/>
      <c r="K18" s="46"/>
      <c r="L18" s="46"/>
      <c r="M18" s="113"/>
      <c r="N18" s="113"/>
      <c r="O18" s="113"/>
      <c r="P18" s="113"/>
      <c r="Q18" s="46"/>
      <c r="R18" s="46"/>
      <c r="S18" s="46"/>
      <c r="T18" s="46"/>
      <c r="U18" s="115"/>
      <c r="V18" s="88"/>
      <c r="W18" s="103"/>
      <c r="X18" s="104" t="s">
        <v>21</v>
      </c>
      <c r="Y18" s="117">
        <f>if(Y17="","",vlookup($W15,'Master Input'!$O$12:$R$18,'Master Input'!P$11,false)-Y17)</f>
        <v>1</v>
      </c>
      <c r="Z18" s="117">
        <f>if(Z17="","",vlookup($W15,'Master Input'!$O$12:$R$18,'Master Input'!Q$11,false)-Z17)</f>
        <v>1</v>
      </c>
      <c r="AA18" s="117">
        <f>if(AA17="","",vlookup($W15,'Master Input'!$O$12:$R$18,'Master Input'!R$11,false)-AA17)</f>
        <v>2</v>
      </c>
      <c r="AB18" s="105" t="s">
        <v>22</v>
      </c>
      <c r="AC18" s="105">
        <v>17.0</v>
      </c>
      <c r="AD18" s="105">
        <v>16.0</v>
      </c>
      <c r="AE18" s="105">
        <v>15.0</v>
      </c>
      <c r="AF18" s="105">
        <v>14.0</v>
      </c>
      <c r="AG18" s="105">
        <v>13.0</v>
      </c>
      <c r="AH18" s="105">
        <v>12.0</v>
      </c>
      <c r="AI18" s="105">
        <v>11.0</v>
      </c>
      <c r="AJ18" s="105">
        <v>10.0</v>
      </c>
      <c r="AK18" s="105">
        <v>9.0</v>
      </c>
      <c r="AL18" s="105">
        <v>8.0</v>
      </c>
      <c r="AM18" s="105">
        <v>7.0</v>
      </c>
      <c r="AN18" s="105">
        <v>6.0</v>
      </c>
      <c r="AO18" s="105">
        <v>5.0</v>
      </c>
      <c r="AP18" s="105">
        <v>4.0</v>
      </c>
      <c r="AQ18" s="105">
        <v>3.0</v>
      </c>
      <c r="AR18" s="105">
        <v>2.0</v>
      </c>
      <c r="AS18" s="105">
        <v>1.0</v>
      </c>
      <c r="AT18" s="105">
        <v>0.0</v>
      </c>
    </row>
    <row r="19" ht="11.25" customHeight="1">
      <c r="A19" s="108"/>
      <c r="B19" s="132"/>
      <c r="C19" s="133">
        <v>1.0</v>
      </c>
      <c r="D19" s="133">
        <v>2.0</v>
      </c>
      <c r="E19" s="133">
        <v>3.0</v>
      </c>
      <c r="F19" s="133">
        <v>4.0</v>
      </c>
      <c r="G19" s="133">
        <v>5.0</v>
      </c>
      <c r="H19" s="133">
        <v>6.0</v>
      </c>
      <c r="I19" s="133">
        <v>7.0</v>
      </c>
      <c r="J19" s="133">
        <v>8.0</v>
      </c>
      <c r="K19" s="134">
        <v>9.0</v>
      </c>
      <c r="L19" s="135">
        <v>10.0</v>
      </c>
      <c r="M19" s="133">
        <v>11.0</v>
      </c>
      <c r="N19" s="133">
        <v>12.0</v>
      </c>
      <c r="O19" s="133">
        <v>13.0</v>
      </c>
      <c r="P19" s="133">
        <v>14.0</v>
      </c>
      <c r="Q19" s="133">
        <v>15.0</v>
      </c>
      <c r="R19" s="133">
        <v>16.0</v>
      </c>
      <c r="S19" s="133">
        <v>17.0</v>
      </c>
      <c r="T19" s="133">
        <v>18.0</v>
      </c>
      <c r="U19" s="115"/>
      <c r="V19" s="88"/>
      <c r="W19" s="103"/>
      <c r="X19" s="104"/>
      <c r="Y19" s="105"/>
      <c r="Z19" s="105"/>
      <c r="AA19" s="105"/>
      <c r="AB19" s="105" t="s">
        <v>23</v>
      </c>
      <c r="AC19" s="131">
        <f>if(AC15="","",AC15)</f>
        <v>-1</v>
      </c>
      <c r="AD19" s="117">
        <f t="shared" ref="AD19:AT19" si="4">if(AD15="","",AD15+AC19)</f>
        <v>-2</v>
      </c>
      <c r="AE19" s="117">
        <f t="shared" si="4"/>
        <v>-3</v>
      </c>
      <c r="AF19" s="117">
        <f t="shared" si="4"/>
        <v>-4</v>
      </c>
      <c r="AG19" s="117">
        <f t="shared" si="4"/>
        <v>-3</v>
      </c>
      <c r="AH19" s="117">
        <f t="shared" si="4"/>
        <v>-4</v>
      </c>
      <c r="AI19" s="117">
        <f t="shared" si="4"/>
        <v>-5</v>
      </c>
      <c r="AJ19" s="117">
        <f t="shared" si="4"/>
        <v>-6</v>
      </c>
      <c r="AK19" s="117">
        <f t="shared" si="4"/>
        <v>-7</v>
      </c>
      <c r="AL19" s="117">
        <f t="shared" si="4"/>
        <v>-7</v>
      </c>
      <c r="AM19" s="117">
        <f t="shared" si="4"/>
        <v>-7</v>
      </c>
      <c r="AN19" s="117">
        <f t="shared" si="4"/>
        <v>-7</v>
      </c>
      <c r="AO19" s="117">
        <f t="shared" si="4"/>
        <v>-8</v>
      </c>
      <c r="AP19" s="117">
        <f t="shared" si="4"/>
        <v>-8</v>
      </c>
      <c r="AQ19" s="117">
        <f t="shared" si="4"/>
        <v>-7</v>
      </c>
      <c r="AR19" s="117">
        <f t="shared" si="4"/>
        <v>-8</v>
      </c>
      <c r="AS19" s="117">
        <f t="shared" si="4"/>
        <v>-9</v>
      </c>
      <c r="AT19" s="117">
        <f t="shared" si="4"/>
        <v>-8</v>
      </c>
    </row>
    <row r="20" ht="7.5" customHeight="1">
      <c r="A20" s="108"/>
      <c r="B20" s="136"/>
      <c r="C20" s="137"/>
      <c r="D20" s="137"/>
      <c r="E20" s="137"/>
      <c r="F20" s="137"/>
      <c r="G20" s="137"/>
      <c r="H20" s="138"/>
      <c r="I20" s="138"/>
      <c r="J20" s="139"/>
      <c r="K20" s="139"/>
      <c r="L20" s="139"/>
      <c r="M20" s="139"/>
      <c r="N20" s="140"/>
      <c r="O20" s="140"/>
      <c r="P20" s="137"/>
      <c r="Q20" s="137"/>
      <c r="R20" s="137"/>
      <c r="S20" s="137"/>
      <c r="T20" s="137"/>
      <c r="U20" s="141"/>
      <c r="V20" s="88"/>
      <c r="W20" s="103"/>
      <c r="X20" s="63"/>
      <c r="Y20" s="142"/>
      <c r="Z20" s="142"/>
      <c r="AA20" s="142"/>
      <c r="AB20" s="143"/>
      <c r="AC20" s="143"/>
      <c r="AD20" s="143"/>
      <c r="AE20" s="143"/>
      <c r="AF20" s="143"/>
      <c r="AG20" s="143"/>
      <c r="AH20" s="143"/>
      <c r="AI20" s="143"/>
      <c r="AJ20" s="143"/>
      <c r="AK20" s="143"/>
      <c r="AL20" s="143"/>
      <c r="AM20" s="143"/>
      <c r="AN20" s="143"/>
      <c r="AO20" s="143"/>
      <c r="AP20" s="143"/>
      <c r="AQ20" s="143"/>
      <c r="AR20" s="143"/>
      <c r="AS20" s="143"/>
      <c r="AT20" s="143"/>
    </row>
    <row r="21" ht="9.0" customHeight="1">
      <c r="A21" s="144"/>
      <c r="B21" s="51"/>
      <c r="C21" s="51"/>
      <c r="D21" s="51"/>
      <c r="E21" s="51"/>
      <c r="F21" s="51"/>
      <c r="G21" s="51"/>
      <c r="H21" s="85"/>
      <c r="I21" s="85"/>
      <c r="J21" s="145"/>
      <c r="K21" s="145"/>
      <c r="L21" s="145"/>
      <c r="M21" s="145"/>
      <c r="N21" s="84"/>
      <c r="O21" s="84"/>
      <c r="P21" s="51"/>
      <c r="Q21" s="51"/>
      <c r="R21" s="51"/>
      <c r="S21" s="51"/>
      <c r="T21" s="51"/>
      <c r="U21" s="51"/>
      <c r="V21" s="88"/>
      <c r="W21" s="89"/>
      <c r="X21" s="90"/>
      <c r="Y21" s="91"/>
      <c r="Z21" s="91"/>
      <c r="AA21" s="91"/>
      <c r="AB21" s="91"/>
      <c r="AC21" s="91"/>
      <c r="AD21" s="91"/>
      <c r="AE21" s="91"/>
      <c r="AF21" s="91"/>
      <c r="AG21" s="91"/>
      <c r="AH21" s="91"/>
      <c r="AI21" s="91"/>
      <c r="AJ21" s="91"/>
      <c r="AK21" s="91"/>
      <c r="AL21" s="91"/>
      <c r="AM21" s="91"/>
      <c r="AN21" s="91"/>
      <c r="AO21" s="91"/>
      <c r="AP21" s="91"/>
      <c r="AQ21" s="91"/>
      <c r="AR21" s="91"/>
      <c r="AS21" s="91"/>
      <c r="AT21" s="91"/>
    </row>
    <row r="22" ht="9.0" customHeight="1">
      <c r="A22" s="92" t="str">
        <f>W23</f>
        <v>R1_G2</v>
      </c>
      <c r="B22" s="93"/>
      <c r="C22" s="94" t="s">
        <v>24</v>
      </c>
      <c r="D22" s="71"/>
      <c r="E22" s="71"/>
      <c r="F22" s="71"/>
      <c r="G22" s="71"/>
      <c r="H22" s="95"/>
      <c r="I22" s="95"/>
      <c r="J22" s="96"/>
      <c r="K22" s="97" t="s">
        <v>6</v>
      </c>
      <c r="L22" s="98">
        <f>18-countif(AC24:AT24,"")
</f>
        <v>18</v>
      </c>
      <c r="M22" s="99"/>
      <c r="N22" s="100"/>
      <c r="O22" s="100"/>
      <c r="P22" s="101"/>
      <c r="Q22" s="101"/>
      <c r="R22" s="101"/>
      <c r="S22" s="101"/>
      <c r="T22" s="101"/>
      <c r="U22" s="102"/>
      <c r="V22" s="88"/>
      <c r="W22" s="103"/>
      <c r="X22" s="104"/>
      <c r="Y22" s="105" t="s">
        <v>7</v>
      </c>
      <c r="Z22" s="105" t="s">
        <v>8</v>
      </c>
      <c r="AA22" s="105" t="s">
        <v>9</v>
      </c>
      <c r="AB22" s="106" t="s">
        <v>10</v>
      </c>
      <c r="AC22" s="107">
        <v>1.0</v>
      </c>
      <c r="AD22" s="107">
        <v>2.0</v>
      </c>
      <c r="AE22" s="107">
        <v>3.0</v>
      </c>
      <c r="AF22" s="107">
        <v>4.0</v>
      </c>
      <c r="AG22" s="107">
        <v>5.0</v>
      </c>
      <c r="AH22" s="107">
        <v>6.0</v>
      </c>
      <c r="AI22" s="107">
        <v>7.0</v>
      </c>
      <c r="AJ22" s="107">
        <v>8.0</v>
      </c>
      <c r="AK22" s="107">
        <v>9.0</v>
      </c>
      <c r="AL22" s="107">
        <v>10.0</v>
      </c>
      <c r="AM22" s="107">
        <v>11.0</v>
      </c>
      <c r="AN22" s="107">
        <v>12.0</v>
      </c>
      <c r="AO22" s="107">
        <v>13.0</v>
      </c>
      <c r="AP22" s="107">
        <v>14.0</v>
      </c>
      <c r="AQ22" s="107">
        <v>15.0</v>
      </c>
      <c r="AR22" s="107">
        <v>16.0</v>
      </c>
      <c r="AS22" s="107">
        <v>17.0</v>
      </c>
      <c r="AT22" s="107">
        <v>18.0</v>
      </c>
    </row>
    <row r="23" ht="11.25" customHeight="1">
      <c r="A23" s="108"/>
      <c r="B23" s="109"/>
      <c r="C23" s="110" t="str">
        <f>'Match Selection'!M4</f>
        <v>Andy</v>
      </c>
      <c r="D23" s="20"/>
      <c r="E23" s="20"/>
      <c r="F23" s="20"/>
      <c r="G23" s="21"/>
      <c r="H23" s="111"/>
      <c r="I23" s="112" t="s">
        <v>7</v>
      </c>
      <c r="L23" s="112" t="s">
        <v>8</v>
      </c>
      <c r="O23" s="113"/>
      <c r="P23" s="114" t="str">
        <f>'Match Selection'!J4</f>
        <v>R-Mac</v>
      </c>
      <c r="Q23" s="20"/>
      <c r="R23" s="20"/>
      <c r="S23" s="20"/>
      <c r="T23" s="21"/>
      <c r="U23" s="115"/>
      <c r="V23" s="88"/>
      <c r="W23" s="116" t="s">
        <v>25</v>
      </c>
      <c r="X23" s="104" t="s">
        <v>12</v>
      </c>
      <c r="Y23" s="117">
        <f>if(L22=0,"",sum(AC24:AK24))</f>
        <v>-3</v>
      </c>
      <c r="Z23" s="117">
        <f>if(L22&lt;10,"",sum(AL24:AT24))</f>
        <v>-2</v>
      </c>
      <c r="AA23" s="117">
        <f>if(L22&lt;10,"",sum(AC24:AT24))</f>
        <v>-5</v>
      </c>
      <c r="AB23" s="106" t="s">
        <v>13</v>
      </c>
      <c r="AC23" s="107">
        <v>4.0</v>
      </c>
      <c r="AD23" s="107">
        <v>5.0</v>
      </c>
      <c r="AE23" s="107">
        <v>6.0</v>
      </c>
      <c r="AF23" s="107">
        <v>7.0</v>
      </c>
      <c r="AG23" s="107">
        <v>8.0</v>
      </c>
      <c r="AH23" s="107">
        <v>9.0</v>
      </c>
      <c r="AI23" s="107">
        <v>10.0</v>
      </c>
      <c r="AJ23" s="107">
        <v>11.0</v>
      </c>
      <c r="AK23" s="107">
        <v>12.0</v>
      </c>
      <c r="AL23" s="107">
        <v>16.0</v>
      </c>
      <c r="AM23" s="107">
        <v>17.0</v>
      </c>
      <c r="AN23" s="107">
        <v>18.0</v>
      </c>
      <c r="AO23" s="107">
        <v>19.0</v>
      </c>
      <c r="AP23" s="107">
        <v>20.0</v>
      </c>
      <c r="AQ23" s="107">
        <v>21.0</v>
      </c>
      <c r="AR23" s="107">
        <v>22.0</v>
      </c>
      <c r="AS23" s="107">
        <v>23.0</v>
      </c>
      <c r="AT23" s="107">
        <v>24.0</v>
      </c>
    </row>
    <row r="24" ht="11.25" customHeight="1">
      <c r="A24" s="108"/>
      <c r="B24" s="118"/>
      <c r="C24" s="119" t="str">
        <f>'Match Selection'!M5</f>
        <v>Pace</v>
      </c>
      <c r="D24" s="44"/>
      <c r="E24" s="44"/>
      <c r="F24" s="44"/>
      <c r="G24" s="45"/>
      <c r="H24" s="111"/>
      <c r="I24" s="120" t="str">
        <f>if(and(Y25&gt;0,Y23&lt;&gt;0,Y23&lt;&gt;"",Y26=""),abs(Y23)&amp;" UP",
if(abs(AG26)&gt;AG25,abs(AG26)&amp;"&amp;"&amp;AG25,
if(abs(AH26)&gt;AH25,abs(AH26)&amp;"&amp;"&amp;AH25,
if(abs(AI26)&gt;AI25,abs(AI26)&amp;"&amp;"&amp;AI25,
if(abs(AJ26)&gt;AJ25,abs(AJ26)&amp;"&amp;"&amp;AJ25,
if(abs(AK26)&gt;AK25,abs(AK26)&amp;"&amp;"&amp;AK25,"AS"))))))</f>
        <v>3&amp;2</v>
      </c>
      <c r="J24" s="20"/>
      <c r="K24" s="21"/>
      <c r="L24" s="120" t="str">
        <f>if(and(Z25&gt;0,Z23&lt;&gt;0,Z23&lt;&gt;"",Z26=""),abs(Z23)&amp;" UP",
if(abs(AP26)&gt;AP25,abs(AP26)&amp;"&amp;"&amp;AP25,
if(abs(AQ26)&gt;AQ25,abs(AQ26)&amp;"&amp;"&amp;AQ25,
if(abs(AR26)&gt;AR25,abs(AR26)&amp;"&amp;"&amp;AR25,
if(abs(AS26)&gt;AS25,abs(AS26)&amp;"&amp;"&amp;AS25,
if(abs(AT26)&gt;AT25,abs(AT26)&amp;"&amp;"&amp;AT25,"AS"))))))</f>
        <v>2&amp;0</v>
      </c>
      <c r="M24" s="20"/>
      <c r="N24" s="21"/>
      <c r="O24" s="113"/>
      <c r="P24" s="121" t="str">
        <f>'Match Selection'!J5</f>
        <v>T-Mo</v>
      </c>
      <c r="Q24" s="44"/>
      <c r="R24" s="44"/>
      <c r="S24" s="44"/>
      <c r="T24" s="45"/>
      <c r="U24" s="115"/>
      <c r="V24" s="88"/>
      <c r="W24" s="122" t="str">
        <f>$L$10</f>
        <v>2-Man Best Ball</v>
      </c>
      <c r="X24" s="104" t="s">
        <v>14</v>
      </c>
      <c r="Y24" s="117">
        <f>if(L22=0,"",if(Y23=0,0,Y23*-1))</f>
        <v>3</v>
      </c>
      <c r="Z24" s="117">
        <f>if(L22&lt;10,"",if(Z23=0,0,Z23*-1))</f>
        <v>2</v>
      </c>
      <c r="AA24" s="117">
        <f>if(L22&lt;10,"",if(AA23=0,0,AA23*-1))</f>
        <v>5</v>
      </c>
      <c r="AB24" s="106" t="s">
        <v>15</v>
      </c>
      <c r="AC24" s="123">
        <f t="shared" ref="AC24:AT24" si="5">VLOOKUP("Match",indirect($W23&amp;"!"&amp;"$B$23:$y$23"),AC23)</f>
        <v>-1</v>
      </c>
      <c r="AD24" s="123">
        <f t="shared" si="5"/>
        <v>0</v>
      </c>
      <c r="AE24" s="123">
        <f t="shared" si="5"/>
        <v>-1</v>
      </c>
      <c r="AF24" s="123">
        <f t="shared" si="5"/>
        <v>-1</v>
      </c>
      <c r="AG24" s="123">
        <f t="shared" si="5"/>
        <v>0</v>
      </c>
      <c r="AH24" s="123">
        <f t="shared" si="5"/>
        <v>0</v>
      </c>
      <c r="AI24" s="123">
        <f t="shared" si="5"/>
        <v>0</v>
      </c>
      <c r="AJ24" s="123">
        <f t="shared" si="5"/>
        <v>1</v>
      </c>
      <c r="AK24" s="123">
        <f t="shared" si="5"/>
        <v>-1</v>
      </c>
      <c r="AL24" s="123">
        <f t="shared" si="5"/>
        <v>-1</v>
      </c>
      <c r="AM24" s="123">
        <f t="shared" si="5"/>
        <v>0</v>
      </c>
      <c r="AN24" s="123">
        <f t="shared" si="5"/>
        <v>1</v>
      </c>
      <c r="AO24" s="123">
        <f t="shared" si="5"/>
        <v>0</v>
      </c>
      <c r="AP24" s="123">
        <f t="shared" si="5"/>
        <v>-1</v>
      </c>
      <c r="AQ24" s="123">
        <f t="shared" si="5"/>
        <v>-1</v>
      </c>
      <c r="AR24" s="123">
        <f t="shared" si="5"/>
        <v>1</v>
      </c>
      <c r="AS24" s="123">
        <f t="shared" si="5"/>
        <v>0</v>
      </c>
      <c r="AT24" s="123">
        <f t="shared" si="5"/>
        <v>-1</v>
      </c>
    </row>
    <row r="25" ht="9.0" customHeight="1">
      <c r="A25" s="108"/>
      <c r="B25" s="118"/>
      <c r="C25" s="124"/>
      <c r="D25" s="125" t="s">
        <v>16</v>
      </c>
      <c r="G25" s="126"/>
      <c r="H25" s="127"/>
      <c r="I25" s="127"/>
      <c r="J25" s="112" t="s">
        <v>9</v>
      </c>
      <c r="N25" s="126"/>
      <c r="O25" s="126"/>
      <c r="P25" s="126"/>
      <c r="Q25" s="128" t="s">
        <v>16</v>
      </c>
      <c r="T25" s="124"/>
      <c r="U25" s="115"/>
      <c r="V25" s="88"/>
      <c r="W25" s="103"/>
      <c r="X25" s="104" t="s">
        <v>17</v>
      </c>
      <c r="Y25" s="117">
        <f t="array" ref="Y25">(countif(indirect(W23&amp;"!"&amp;"$E$19:$M$19"),""))</f>
        <v>0</v>
      </c>
      <c r="Z25" s="117">
        <f t="array" ref="Z25">(countif(indirect(W23&amp;"!"&amp;"$Q$19:$Y$19"),""))</f>
        <v>0</v>
      </c>
      <c r="AA25" s="117">
        <f t="array" ref="AA25">(countif(indirect(W23&amp;"!"&amp;"$E$19:$M$19"),""))
+(countif(indirect(W23&amp;"!"&amp;"$Q$19:$Y$19"),""))</f>
        <v>0</v>
      </c>
      <c r="AB25" s="105" t="s">
        <v>18</v>
      </c>
      <c r="AC25" s="105">
        <v>8.0</v>
      </c>
      <c r="AD25" s="105">
        <v>7.0</v>
      </c>
      <c r="AE25" s="105">
        <v>6.0</v>
      </c>
      <c r="AF25" s="105">
        <v>5.0</v>
      </c>
      <c r="AG25" s="105">
        <v>4.0</v>
      </c>
      <c r="AH25" s="105">
        <v>3.0</v>
      </c>
      <c r="AI25" s="105">
        <v>2.0</v>
      </c>
      <c r="AJ25" s="105">
        <v>1.0</v>
      </c>
      <c r="AK25" s="105">
        <v>0.0</v>
      </c>
      <c r="AL25" s="105">
        <v>8.0</v>
      </c>
      <c r="AM25" s="105">
        <v>7.0</v>
      </c>
      <c r="AN25" s="105">
        <v>6.0</v>
      </c>
      <c r="AO25" s="105">
        <v>5.0</v>
      </c>
      <c r="AP25" s="105">
        <v>4.0</v>
      </c>
      <c r="AQ25" s="105">
        <v>3.0</v>
      </c>
      <c r="AR25" s="105">
        <v>2.0</v>
      </c>
      <c r="AS25" s="105">
        <v>1.0</v>
      </c>
      <c r="AT25" s="105">
        <v>0.0</v>
      </c>
    </row>
    <row r="26" ht="11.25" customHeight="1">
      <c r="A26" s="108"/>
      <c r="B26" s="118"/>
      <c r="C26" s="124"/>
      <c r="D26" s="110">
        <f>if(Y27="","",sum(Y27:AA27))</f>
        <v>4</v>
      </c>
      <c r="E26" s="20"/>
      <c r="F26" s="21"/>
      <c r="G26" s="129"/>
      <c r="H26" s="111"/>
      <c r="I26" s="111"/>
      <c r="J26" s="120" t="str">
        <f>if(and(AA25&gt;0,AA23&lt;&gt;0,AA23&lt;&gt;"",AA26=""),abs(AA23)&amp;" UP",
if(abs(AG28)&gt;AG27,abs(AG28)&amp;"&amp;"&amp;AG27,
if(abs(AH28)&gt;AH27,abs(AH28)&amp;"&amp;"&amp;AH27,
if(abs(AI28)&gt;AI27,abs(AI28)&amp;"&amp;"&amp;AI27,
if(abs(AJ28)&gt;AJ27,abs(AJ28)&amp;"&amp;"&amp;AJ27,
if(abs(AK28)&gt;AK27,abs(AK28)&amp;"&amp;"&amp;AK27,
if(abs(AL28)&gt;AL27,abs(AL28)&amp;"&amp;"&amp;AL27,
if(abs(AM28)&gt;AM27,abs(AM28)&amp;"&amp;"&amp;AM27,
if(abs(AN28)&gt;AN27,abs(AN28)&amp;"&amp;"&amp;AN27,
if(abs(AO28)&gt;AO27,abs(AO28)&amp;"&amp;"&amp;AO27,
if(abs(AP28)&gt;AP27,abs(AP28)&amp;"&amp;"&amp;AP27,
if(abs(AQ28)&gt;AQ27,abs(AQ28)&amp;"&amp;"&amp;AQ27,
if(abs(AR28)&gt;AR27,abs(AR28)&amp;"&amp;"&amp;AR27,
if(abs(AS28)&gt;AS27,abs(AS28)&amp;"&amp;"&amp;AS27,
if(abs(AT28)&gt;AT27,abs(AT28)&amp;"&amp;"&amp;AT27,
"AS")))))))))))))))</f>
        <v>5&amp;3</v>
      </c>
      <c r="K26" s="20"/>
      <c r="L26" s="20"/>
      <c r="M26" s="21"/>
      <c r="N26" s="111"/>
      <c r="O26" s="111"/>
      <c r="P26" s="130"/>
      <c r="Q26" s="114">
        <f>if(Y26="","",sum(Y26:AA26))</f>
        <v>0</v>
      </c>
      <c r="R26" s="20"/>
      <c r="S26" s="21"/>
      <c r="T26" s="124"/>
      <c r="U26" s="115"/>
      <c r="V26" s="88"/>
      <c r="W26" s="103"/>
      <c r="X26" s="104" t="s">
        <v>19</v>
      </c>
      <c r="Y26" s="117">
        <f>if(Y23="","",if(or(Y23&gt;Y25,Y24&gt;Y25,and(Y23=0,Y25=0)),
if(Y23=0,vlookup($W24,'Master Input'!$O$12:$R$18,'Master Input'!P$11,false)/2,
if(Y23&gt;0,vlookup($W24,'Master Input'!$O$12:$R$18,'Master Input'!P$11,false),
if(Y23&lt;0,0,""))),""))</f>
        <v>0</v>
      </c>
      <c r="Z26" s="117">
        <f>if(Z23="","",if(or(Z23&gt;Z25,Z24&gt;Z25,and(Z23=0,Z25=0)),
if(Z23=0,vlookup($W24,'Master Input'!$O$12:$R$18,'Master Input'!Q$11,false)/2,
if(Z23&gt;0,vlookup($W24,'Master Input'!$O$12:$R$18,'Master Input'!Q$11,false),
if(Z23&lt;0,0,""))),""))</f>
        <v>0</v>
      </c>
      <c r="AA26" s="117">
        <f>if(AA23="","",if(or(AA23&gt;AA25,AA24&gt;AA25,and(AA23=0,AA25=0)),
if(AA23=0,vlookup($W24,'Master Input'!$O$12:$R$18,'Master Input'!R$11,false)/2,
if(AA23&gt;0,vlookup($W24,'Master Input'!$O$12:$R$18,'Master Input'!R$11,false),
if(AA23&lt;0,0,""))),""))</f>
        <v>0</v>
      </c>
      <c r="AB26" s="105" t="s">
        <v>20</v>
      </c>
      <c r="AC26" s="131">
        <f>if(AC24="","",AC24)</f>
        <v>-1</v>
      </c>
      <c r="AD26" s="117">
        <f t="shared" ref="AD26:AK26" si="6">if(AD24="","",AD24+AC26)</f>
        <v>-1</v>
      </c>
      <c r="AE26" s="117">
        <f t="shared" si="6"/>
        <v>-2</v>
      </c>
      <c r="AF26" s="117">
        <f t="shared" si="6"/>
        <v>-3</v>
      </c>
      <c r="AG26" s="117">
        <f t="shared" si="6"/>
        <v>-3</v>
      </c>
      <c r="AH26" s="117">
        <f t="shared" si="6"/>
        <v>-3</v>
      </c>
      <c r="AI26" s="117">
        <f t="shared" si="6"/>
        <v>-3</v>
      </c>
      <c r="AJ26" s="117">
        <f t="shared" si="6"/>
        <v>-2</v>
      </c>
      <c r="AK26" s="117">
        <f t="shared" si="6"/>
        <v>-3</v>
      </c>
      <c r="AL26" s="131">
        <f>if(AL24="","",AL24)</f>
        <v>-1</v>
      </c>
      <c r="AM26" s="117">
        <f t="shared" ref="AM26:AT26" si="7">if(AM24="","",AM24+AL26)</f>
        <v>-1</v>
      </c>
      <c r="AN26" s="117">
        <f t="shared" si="7"/>
        <v>0</v>
      </c>
      <c r="AO26" s="117">
        <f t="shared" si="7"/>
        <v>0</v>
      </c>
      <c r="AP26" s="117">
        <f t="shared" si="7"/>
        <v>-1</v>
      </c>
      <c r="AQ26" s="117">
        <f t="shared" si="7"/>
        <v>-2</v>
      </c>
      <c r="AR26" s="117">
        <f t="shared" si="7"/>
        <v>-1</v>
      </c>
      <c r="AS26" s="117">
        <f t="shared" si="7"/>
        <v>-1</v>
      </c>
      <c r="AT26" s="117">
        <f t="shared" si="7"/>
        <v>-2</v>
      </c>
    </row>
    <row r="27" ht="7.5" customHeight="1">
      <c r="A27" s="108"/>
      <c r="B27" s="132"/>
      <c r="C27" s="124"/>
      <c r="D27" s="124"/>
      <c r="E27" s="124"/>
      <c r="F27" s="124"/>
      <c r="G27" s="113"/>
      <c r="H27" s="111"/>
      <c r="I27" s="111"/>
      <c r="J27" s="111"/>
      <c r="K27" s="46"/>
      <c r="L27" s="46"/>
      <c r="M27" s="113"/>
      <c r="N27" s="113"/>
      <c r="O27" s="113"/>
      <c r="P27" s="113"/>
      <c r="Q27" s="46"/>
      <c r="R27" s="46"/>
      <c r="S27" s="46"/>
      <c r="T27" s="46"/>
      <c r="U27" s="115"/>
      <c r="V27" s="88"/>
      <c r="W27" s="103"/>
      <c r="X27" s="104" t="s">
        <v>21</v>
      </c>
      <c r="Y27" s="117">
        <f>if(Y26="","",vlookup($W24,'Master Input'!$O$12:$R$18,'Master Input'!P$11,false)-Y26)</f>
        <v>1</v>
      </c>
      <c r="Z27" s="117">
        <f>if(Z26="","",vlookup($W24,'Master Input'!$O$12:$R$18,'Master Input'!Q$11,false)-Z26)</f>
        <v>1</v>
      </c>
      <c r="AA27" s="117">
        <f>if(AA26="","",vlookup($W24,'Master Input'!$O$12:$R$18,'Master Input'!R$11,false)-AA26)</f>
        <v>2</v>
      </c>
      <c r="AB27" s="105" t="s">
        <v>22</v>
      </c>
      <c r="AC27" s="105">
        <v>17.0</v>
      </c>
      <c r="AD27" s="105">
        <v>16.0</v>
      </c>
      <c r="AE27" s="105">
        <v>15.0</v>
      </c>
      <c r="AF27" s="105">
        <v>14.0</v>
      </c>
      <c r="AG27" s="105">
        <v>13.0</v>
      </c>
      <c r="AH27" s="105">
        <v>12.0</v>
      </c>
      <c r="AI27" s="105">
        <v>11.0</v>
      </c>
      <c r="AJ27" s="105">
        <v>10.0</v>
      </c>
      <c r="AK27" s="105">
        <v>9.0</v>
      </c>
      <c r="AL27" s="105">
        <v>8.0</v>
      </c>
      <c r="AM27" s="105">
        <v>7.0</v>
      </c>
      <c r="AN27" s="105">
        <v>6.0</v>
      </c>
      <c r="AO27" s="105">
        <v>5.0</v>
      </c>
      <c r="AP27" s="105">
        <v>4.0</v>
      </c>
      <c r="AQ27" s="105">
        <v>3.0</v>
      </c>
      <c r="AR27" s="105">
        <v>2.0</v>
      </c>
      <c r="AS27" s="105">
        <v>1.0</v>
      </c>
      <c r="AT27" s="105">
        <v>0.0</v>
      </c>
    </row>
    <row r="28" ht="11.25" customHeight="1">
      <c r="A28" s="108"/>
      <c r="B28" s="132"/>
      <c r="C28" s="133">
        <v>1.0</v>
      </c>
      <c r="D28" s="133">
        <v>2.0</v>
      </c>
      <c r="E28" s="133">
        <v>3.0</v>
      </c>
      <c r="F28" s="133">
        <v>4.0</v>
      </c>
      <c r="G28" s="133">
        <v>5.0</v>
      </c>
      <c r="H28" s="133">
        <v>6.0</v>
      </c>
      <c r="I28" s="133">
        <v>7.0</v>
      </c>
      <c r="J28" s="133">
        <v>8.0</v>
      </c>
      <c r="K28" s="134">
        <v>9.0</v>
      </c>
      <c r="L28" s="135">
        <v>10.0</v>
      </c>
      <c r="M28" s="133">
        <v>11.0</v>
      </c>
      <c r="N28" s="133">
        <v>12.0</v>
      </c>
      <c r="O28" s="133">
        <v>13.0</v>
      </c>
      <c r="P28" s="133">
        <v>14.0</v>
      </c>
      <c r="Q28" s="133">
        <v>15.0</v>
      </c>
      <c r="R28" s="133">
        <v>16.0</v>
      </c>
      <c r="S28" s="133">
        <v>17.0</v>
      </c>
      <c r="T28" s="133">
        <v>18.0</v>
      </c>
      <c r="U28" s="115"/>
      <c r="V28" s="88"/>
      <c r="W28" s="103"/>
      <c r="X28" s="104"/>
      <c r="Y28" s="105"/>
      <c r="Z28" s="105"/>
      <c r="AA28" s="105"/>
      <c r="AB28" s="105" t="s">
        <v>23</v>
      </c>
      <c r="AC28" s="131">
        <f>if(AC24="","",AC24)</f>
        <v>-1</v>
      </c>
      <c r="AD28" s="117">
        <f t="shared" ref="AD28:AT28" si="8">if(AD24="","",AD24+AC28)</f>
        <v>-1</v>
      </c>
      <c r="AE28" s="117">
        <f t="shared" si="8"/>
        <v>-2</v>
      </c>
      <c r="AF28" s="117">
        <f t="shared" si="8"/>
        <v>-3</v>
      </c>
      <c r="AG28" s="117">
        <f t="shared" si="8"/>
        <v>-3</v>
      </c>
      <c r="AH28" s="117">
        <f t="shared" si="8"/>
        <v>-3</v>
      </c>
      <c r="AI28" s="117">
        <f t="shared" si="8"/>
        <v>-3</v>
      </c>
      <c r="AJ28" s="117">
        <f t="shared" si="8"/>
        <v>-2</v>
      </c>
      <c r="AK28" s="117">
        <f t="shared" si="8"/>
        <v>-3</v>
      </c>
      <c r="AL28" s="117">
        <f t="shared" si="8"/>
        <v>-4</v>
      </c>
      <c r="AM28" s="117">
        <f t="shared" si="8"/>
        <v>-4</v>
      </c>
      <c r="AN28" s="117">
        <f t="shared" si="8"/>
        <v>-3</v>
      </c>
      <c r="AO28" s="117">
        <f t="shared" si="8"/>
        <v>-3</v>
      </c>
      <c r="AP28" s="117">
        <f t="shared" si="8"/>
        <v>-4</v>
      </c>
      <c r="AQ28" s="117">
        <f t="shared" si="8"/>
        <v>-5</v>
      </c>
      <c r="AR28" s="117">
        <f t="shared" si="8"/>
        <v>-4</v>
      </c>
      <c r="AS28" s="117">
        <f t="shared" si="8"/>
        <v>-4</v>
      </c>
      <c r="AT28" s="117">
        <f t="shared" si="8"/>
        <v>-5</v>
      </c>
    </row>
    <row r="29" ht="7.5" customHeight="1">
      <c r="A29" s="108"/>
      <c r="B29" s="136"/>
      <c r="C29" s="137"/>
      <c r="D29" s="137"/>
      <c r="E29" s="137"/>
      <c r="F29" s="137"/>
      <c r="G29" s="137"/>
      <c r="H29" s="138"/>
      <c r="I29" s="138"/>
      <c r="J29" s="139"/>
      <c r="K29" s="139"/>
      <c r="L29" s="139"/>
      <c r="M29" s="139"/>
      <c r="N29" s="140"/>
      <c r="O29" s="140"/>
      <c r="P29" s="137"/>
      <c r="Q29" s="137"/>
      <c r="R29" s="137"/>
      <c r="S29" s="137"/>
      <c r="T29" s="137"/>
      <c r="U29" s="141"/>
      <c r="V29" s="88"/>
      <c r="W29" s="103"/>
      <c r="X29" s="63"/>
      <c r="Y29" s="142"/>
      <c r="Z29" s="142"/>
      <c r="AA29" s="142"/>
      <c r="AB29" s="146"/>
      <c r="AC29" s="146"/>
      <c r="AD29" s="146"/>
      <c r="AE29" s="146"/>
      <c r="AF29" s="146"/>
      <c r="AG29" s="146"/>
      <c r="AH29" s="146"/>
      <c r="AI29" s="146"/>
      <c r="AJ29" s="146"/>
      <c r="AK29" s="146"/>
      <c r="AL29" s="146"/>
      <c r="AM29" s="146"/>
      <c r="AN29" s="146"/>
      <c r="AO29" s="146"/>
      <c r="AP29" s="146"/>
      <c r="AQ29" s="146"/>
      <c r="AR29" s="146"/>
      <c r="AS29" s="146"/>
      <c r="AT29" s="146"/>
    </row>
    <row r="30" ht="9.0" customHeight="1">
      <c r="A30" s="144"/>
      <c r="B30" s="51"/>
      <c r="C30" s="51"/>
      <c r="D30" s="51"/>
      <c r="E30" s="51"/>
      <c r="F30" s="51"/>
      <c r="G30" s="51"/>
      <c r="H30" s="85"/>
      <c r="I30" s="85"/>
      <c r="J30" s="145"/>
      <c r="K30" s="145"/>
      <c r="L30" s="145"/>
      <c r="M30" s="145"/>
      <c r="N30" s="84"/>
      <c r="O30" s="84"/>
      <c r="P30" s="51"/>
      <c r="Q30" s="51"/>
      <c r="R30" s="51"/>
      <c r="S30" s="51"/>
      <c r="T30" s="51"/>
      <c r="U30" s="51"/>
      <c r="V30" s="88"/>
      <c r="W30" s="89"/>
      <c r="X30" s="90"/>
      <c r="Y30" s="91"/>
      <c r="Z30" s="91"/>
      <c r="AA30" s="91"/>
      <c r="AB30" s="91"/>
      <c r="AC30" s="91"/>
      <c r="AD30" s="91"/>
      <c r="AE30" s="91"/>
      <c r="AF30" s="91"/>
      <c r="AG30" s="91"/>
      <c r="AH30" s="91"/>
      <c r="AI30" s="91"/>
      <c r="AJ30" s="91"/>
      <c r="AK30" s="91"/>
      <c r="AL30" s="91"/>
      <c r="AM30" s="91"/>
      <c r="AN30" s="91"/>
      <c r="AO30" s="91"/>
      <c r="AP30" s="91"/>
      <c r="AQ30" s="91"/>
      <c r="AR30" s="91"/>
      <c r="AS30" s="91"/>
      <c r="AT30" s="91"/>
    </row>
    <row r="31" ht="9.0" customHeight="1">
      <c r="A31" s="92" t="str">
        <f>W32</f>
        <v>R1_G3</v>
      </c>
      <c r="B31" s="93"/>
      <c r="C31" s="94" t="s">
        <v>26</v>
      </c>
      <c r="D31" s="71"/>
      <c r="E31" s="71"/>
      <c r="F31" s="71"/>
      <c r="G31" s="71"/>
      <c r="H31" s="95"/>
      <c r="I31" s="95"/>
      <c r="J31" s="96"/>
      <c r="K31" s="97" t="s">
        <v>6</v>
      </c>
      <c r="L31" s="98">
        <f>18-countif(AC33:AT33,"")
</f>
        <v>18</v>
      </c>
      <c r="M31" s="99"/>
      <c r="N31" s="100"/>
      <c r="O31" s="100"/>
      <c r="P31" s="101"/>
      <c r="Q31" s="101"/>
      <c r="R31" s="101"/>
      <c r="S31" s="101"/>
      <c r="T31" s="101"/>
      <c r="U31" s="102"/>
      <c r="V31" s="88"/>
      <c r="W31" s="103"/>
      <c r="X31" s="104"/>
      <c r="Y31" s="105" t="s">
        <v>7</v>
      </c>
      <c r="Z31" s="105" t="s">
        <v>8</v>
      </c>
      <c r="AA31" s="105" t="s">
        <v>9</v>
      </c>
      <c r="AB31" s="106" t="s">
        <v>10</v>
      </c>
      <c r="AC31" s="107">
        <v>1.0</v>
      </c>
      <c r="AD31" s="107">
        <v>2.0</v>
      </c>
      <c r="AE31" s="107">
        <v>3.0</v>
      </c>
      <c r="AF31" s="107">
        <v>4.0</v>
      </c>
      <c r="AG31" s="107">
        <v>5.0</v>
      </c>
      <c r="AH31" s="107">
        <v>6.0</v>
      </c>
      <c r="AI31" s="107">
        <v>7.0</v>
      </c>
      <c r="AJ31" s="107">
        <v>8.0</v>
      </c>
      <c r="AK31" s="107">
        <v>9.0</v>
      </c>
      <c r="AL31" s="107">
        <v>10.0</v>
      </c>
      <c r="AM31" s="107">
        <v>11.0</v>
      </c>
      <c r="AN31" s="107">
        <v>12.0</v>
      </c>
      <c r="AO31" s="107">
        <v>13.0</v>
      </c>
      <c r="AP31" s="107">
        <v>14.0</v>
      </c>
      <c r="AQ31" s="107">
        <v>15.0</v>
      </c>
      <c r="AR31" s="107">
        <v>16.0</v>
      </c>
      <c r="AS31" s="107">
        <v>17.0</v>
      </c>
      <c r="AT31" s="107">
        <v>18.0</v>
      </c>
    </row>
    <row r="32" ht="11.25" customHeight="1">
      <c r="A32" s="108"/>
      <c r="B32" s="109"/>
      <c r="C32" s="110" t="str">
        <f>'Match Selection'!S4</f>
        <v>House</v>
      </c>
      <c r="D32" s="20"/>
      <c r="E32" s="20"/>
      <c r="F32" s="20"/>
      <c r="G32" s="21"/>
      <c r="H32" s="111"/>
      <c r="I32" s="112" t="s">
        <v>7</v>
      </c>
      <c r="L32" s="112" t="s">
        <v>8</v>
      </c>
      <c r="O32" s="113"/>
      <c r="P32" s="114" t="str">
        <f>'Match Selection'!P4</f>
        <v>KJ</v>
      </c>
      <c r="Q32" s="20"/>
      <c r="R32" s="20"/>
      <c r="S32" s="20"/>
      <c r="T32" s="21"/>
      <c r="U32" s="115"/>
      <c r="V32" s="88"/>
      <c r="W32" s="116" t="s">
        <v>27</v>
      </c>
      <c r="X32" s="104" t="s">
        <v>12</v>
      </c>
      <c r="Y32" s="117">
        <f>if(L31=0,"",sum(AC33:AK33))</f>
        <v>1</v>
      </c>
      <c r="Z32" s="117">
        <f>if(L31&lt;10,"",sum(AL33:AT33))</f>
        <v>3</v>
      </c>
      <c r="AA32" s="117">
        <f>if(L31&lt;10,"",sum(AC33:AT33))</f>
        <v>4</v>
      </c>
      <c r="AB32" s="106" t="s">
        <v>13</v>
      </c>
      <c r="AC32" s="107">
        <v>4.0</v>
      </c>
      <c r="AD32" s="107">
        <v>5.0</v>
      </c>
      <c r="AE32" s="107">
        <v>6.0</v>
      </c>
      <c r="AF32" s="107">
        <v>7.0</v>
      </c>
      <c r="AG32" s="107">
        <v>8.0</v>
      </c>
      <c r="AH32" s="107">
        <v>9.0</v>
      </c>
      <c r="AI32" s="107">
        <v>10.0</v>
      </c>
      <c r="AJ32" s="107">
        <v>11.0</v>
      </c>
      <c r="AK32" s="107">
        <v>12.0</v>
      </c>
      <c r="AL32" s="107">
        <v>16.0</v>
      </c>
      <c r="AM32" s="107">
        <v>17.0</v>
      </c>
      <c r="AN32" s="107">
        <v>18.0</v>
      </c>
      <c r="AO32" s="107">
        <v>19.0</v>
      </c>
      <c r="AP32" s="107">
        <v>20.0</v>
      </c>
      <c r="AQ32" s="107">
        <v>21.0</v>
      </c>
      <c r="AR32" s="107">
        <v>22.0</v>
      </c>
      <c r="AS32" s="107">
        <v>23.0</v>
      </c>
      <c r="AT32" s="107">
        <v>24.0</v>
      </c>
    </row>
    <row r="33" ht="11.25" customHeight="1">
      <c r="A33" s="108"/>
      <c r="B33" s="118"/>
      <c r="C33" s="119" t="str">
        <f>'Match Selection'!S5</f>
        <v>Carp</v>
      </c>
      <c r="D33" s="44"/>
      <c r="E33" s="44"/>
      <c r="F33" s="44"/>
      <c r="G33" s="45"/>
      <c r="H33" s="111"/>
      <c r="I33" s="120" t="str">
        <f>if(and(Y34&gt;0,Y32&lt;&gt;0,Y32&lt;&gt;"",Y35=""),abs(Y32)&amp;" UP",
if(abs(AG35)&gt;AG34,abs(AG35)&amp;"&amp;"&amp;AG34,
if(abs(AH35)&gt;AH34,abs(AH35)&amp;"&amp;"&amp;AH34,
if(abs(AI35)&gt;AI34,abs(AI35)&amp;"&amp;"&amp;AI34,
if(abs(AJ35)&gt;AJ34,abs(AJ35)&amp;"&amp;"&amp;AJ34,
if(abs(AK35)&gt;AK34,abs(AK35)&amp;"&amp;"&amp;AK34,"AS"))))))</f>
        <v>1&amp;0</v>
      </c>
      <c r="J33" s="20"/>
      <c r="K33" s="21"/>
      <c r="L33" s="120" t="str">
        <f>if(and(Z34&gt;0,Z32&lt;&gt;0,Z32&lt;&gt;"",Z35=""),abs(Z32)&amp;" UP",
if(abs(AP35)&gt;AP34,abs(AP35)&amp;"&amp;"&amp;AP34,
if(abs(AQ35)&gt;AQ34,abs(AQ35)&amp;"&amp;"&amp;AQ34,
if(abs(AR35)&gt;AR34,abs(AR35)&amp;"&amp;"&amp;AR34,
if(abs(AS35)&gt;AS34,abs(AS35)&amp;"&amp;"&amp;AS34,
if(abs(AT35)&gt;AT34,abs(AT35)&amp;"&amp;"&amp;AT34,"AS"))))))</f>
        <v>3&amp;2</v>
      </c>
      <c r="M33" s="20"/>
      <c r="N33" s="21"/>
      <c r="O33" s="113"/>
      <c r="P33" s="121" t="str">
        <f>'Match Selection'!P5</f>
        <v>Weezy</v>
      </c>
      <c r="Q33" s="44"/>
      <c r="R33" s="44"/>
      <c r="S33" s="44"/>
      <c r="T33" s="45"/>
      <c r="U33" s="115"/>
      <c r="V33" s="88"/>
      <c r="W33" s="122" t="str">
        <f>$L$10</f>
        <v>2-Man Best Ball</v>
      </c>
      <c r="X33" s="104" t="s">
        <v>14</v>
      </c>
      <c r="Y33" s="117">
        <f>if(L31=0,"",if(Y32=0,0,Y32*-1))</f>
        <v>-1</v>
      </c>
      <c r="Z33" s="117">
        <f>if(L31&lt;10,"",if(Z32=0,0,Z32*-1))</f>
        <v>-3</v>
      </c>
      <c r="AA33" s="117">
        <f>if(L31&lt;10,"",if(AA32=0,0,AA32*-1))</f>
        <v>-4</v>
      </c>
      <c r="AB33" s="106" t="s">
        <v>15</v>
      </c>
      <c r="AC33" s="123">
        <f t="shared" ref="AC33:AT33" si="9">VLOOKUP("Match",indirect($W32&amp;"!"&amp;"$B$23:$y$23"),AC32)</f>
        <v>-1</v>
      </c>
      <c r="AD33" s="123">
        <f t="shared" si="9"/>
        <v>1</v>
      </c>
      <c r="AE33" s="123">
        <f t="shared" si="9"/>
        <v>0</v>
      </c>
      <c r="AF33" s="123">
        <f t="shared" si="9"/>
        <v>-1</v>
      </c>
      <c r="AG33" s="123">
        <f t="shared" si="9"/>
        <v>1</v>
      </c>
      <c r="AH33" s="123">
        <f t="shared" si="9"/>
        <v>0</v>
      </c>
      <c r="AI33" s="123">
        <f t="shared" si="9"/>
        <v>1</v>
      </c>
      <c r="AJ33" s="123">
        <f t="shared" si="9"/>
        <v>0</v>
      </c>
      <c r="AK33" s="123">
        <f t="shared" si="9"/>
        <v>0</v>
      </c>
      <c r="AL33" s="123">
        <f t="shared" si="9"/>
        <v>1</v>
      </c>
      <c r="AM33" s="123">
        <f t="shared" si="9"/>
        <v>1</v>
      </c>
      <c r="AN33" s="123">
        <f t="shared" si="9"/>
        <v>0</v>
      </c>
      <c r="AO33" s="123">
        <f t="shared" si="9"/>
        <v>0</v>
      </c>
      <c r="AP33" s="123">
        <f t="shared" si="9"/>
        <v>0</v>
      </c>
      <c r="AQ33" s="123">
        <f t="shared" si="9"/>
        <v>1</v>
      </c>
      <c r="AR33" s="123">
        <f t="shared" si="9"/>
        <v>0</v>
      </c>
      <c r="AS33" s="123">
        <f t="shared" si="9"/>
        <v>1</v>
      </c>
      <c r="AT33" s="123">
        <f t="shared" si="9"/>
        <v>-1</v>
      </c>
    </row>
    <row r="34" ht="9.0" customHeight="1">
      <c r="A34" s="108"/>
      <c r="B34" s="118"/>
      <c r="C34" s="124"/>
      <c r="D34" s="125" t="s">
        <v>16</v>
      </c>
      <c r="G34" s="126"/>
      <c r="H34" s="127"/>
      <c r="I34" s="127"/>
      <c r="J34" s="112" t="s">
        <v>9</v>
      </c>
      <c r="N34" s="126"/>
      <c r="O34" s="126"/>
      <c r="P34" s="126"/>
      <c r="Q34" s="128" t="s">
        <v>16</v>
      </c>
      <c r="T34" s="124"/>
      <c r="U34" s="115"/>
      <c r="V34" s="88"/>
      <c r="W34" s="103"/>
      <c r="X34" s="104" t="s">
        <v>17</v>
      </c>
      <c r="Y34" s="117">
        <f t="array" ref="Y34">(countif(indirect(W32&amp;"!"&amp;"$E$19:$M$19"),""))</f>
        <v>0</v>
      </c>
      <c r="Z34" s="117">
        <f t="array" ref="Z34">(countif(indirect(W32&amp;"!"&amp;"$Q$19:$Y$19"),""))</f>
        <v>0</v>
      </c>
      <c r="AA34" s="117">
        <f t="array" ref="AA34">(countif(indirect(W32&amp;"!"&amp;"$E$19:$M$19"),""))
+(countif(indirect(W32&amp;"!"&amp;"$Q$19:$Y$19"),""))</f>
        <v>0</v>
      </c>
      <c r="AB34" s="105" t="s">
        <v>18</v>
      </c>
      <c r="AC34" s="105">
        <v>8.0</v>
      </c>
      <c r="AD34" s="105">
        <v>7.0</v>
      </c>
      <c r="AE34" s="105">
        <v>6.0</v>
      </c>
      <c r="AF34" s="105">
        <v>5.0</v>
      </c>
      <c r="AG34" s="105">
        <v>4.0</v>
      </c>
      <c r="AH34" s="105">
        <v>3.0</v>
      </c>
      <c r="AI34" s="105">
        <v>2.0</v>
      </c>
      <c r="AJ34" s="105">
        <v>1.0</v>
      </c>
      <c r="AK34" s="105">
        <v>0.0</v>
      </c>
      <c r="AL34" s="105">
        <v>8.0</v>
      </c>
      <c r="AM34" s="105">
        <v>7.0</v>
      </c>
      <c r="AN34" s="105">
        <v>6.0</v>
      </c>
      <c r="AO34" s="105">
        <v>5.0</v>
      </c>
      <c r="AP34" s="105">
        <v>4.0</v>
      </c>
      <c r="AQ34" s="105">
        <v>3.0</v>
      </c>
      <c r="AR34" s="105">
        <v>2.0</v>
      </c>
      <c r="AS34" s="105">
        <v>1.0</v>
      </c>
      <c r="AT34" s="105">
        <v>0.0</v>
      </c>
    </row>
    <row r="35" ht="11.25" customHeight="1">
      <c r="A35" s="108"/>
      <c r="B35" s="118"/>
      <c r="C35" s="124"/>
      <c r="D35" s="110">
        <f>if(Y36="","",sum(Y36:AA36))</f>
        <v>0</v>
      </c>
      <c r="E35" s="20"/>
      <c r="F35" s="21"/>
      <c r="G35" s="129"/>
      <c r="H35" s="111"/>
      <c r="I35" s="111"/>
      <c r="J35" s="120" t="str">
        <f>if(and(AA34&gt;0,AA32&lt;&gt;0,AA32&lt;&gt;"",AA35=""),abs(AA32)&amp;" UP",
if(abs(AG37)&gt;AG36,abs(AG37)&amp;"&amp;"&amp;AG36,
if(abs(AH37)&gt;AH36,abs(AH37)&amp;"&amp;"&amp;AH36,
if(abs(AI37)&gt;AI36,abs(AI37)&amp;"&amp;"&amp;AI36,
if(abs(AJ37)&gt;AJ36,abs(AJ37)&amp;"&amp;"&amp;AJ36,
if(abs(AK37)&gt;AK36,abs(AK37)&amp;"&amp;"&amp;AK36,
if(abs(AL37)&gt;AL36,abs(AL37)&amp;"&amp;"&amp;AL36,
if(abs(AM37)&gt;AM36,abs(AM37)&amp;"&amp;"&amp;AM36,
if(abs(AN37)&gt;AN36,abs(AN37)&amp;"&amp;"&amp;AN36,
if(abs(AO37)&gt;AO36,abs(AO37)&amp;"&amp;"&amp;AO36,
if(abs(AP37)&gt;AP36,abs(AP37)&amp;"&amp;"&amp;AP36,
if(abs(AQ37)&gt;AQ36,abs(AQ37)&amp;"&amp;"&amp;AQ36,
if(abs(AR37)&gt;AR36,abs(AR37)&amp;"&amp;"&amp;AR36,
if(abs(AS37)&gt;AS36,abs(AS37)&amp;"&amp;"&amp;AS36,
if(abs(AT37)&gt;AT36,abs(AT37)&amp;"&amp;"&amp;AT36,
"AS")))))))))))))))</f>
        <v>4&amp;3</v>
      </c>
      <c r="K35" s="20"/>
      <c r="L35" s="20"/>
      <c r="M35" s="21"/>
      <c r="N35" s="111"/>
      <c r="O35" s="111"/>
      <c r="P35" s="130"/>
      <c r="Q35" s="114">
        <f>if(Y35="","",sum(Y35:AA35))</f>
        <v>4</v>
      </c>
      <c r="R35" s="20"/>
      <c r="S35" s="21"/>
      <c r="T35" s="124"/>
      <c r="U35" s="115"/>
      <c r="V35" s="88"/>
      <c r="W35" s="103"/>
      <c r="X35" s="104" t="s">
        <v>19</v>
      </c>
      <c r="Y35" s="117">
        <f>if(Y32="","",if(or(Y32&gt;Y34,Y33&gt;Y34,and(Y32=0,Y34=0)),
if(Y32=0,vlookup($W33,'Master Input'!$O$12:$R$18,'Master Input'!P$11,false)/2,
if(Y32&gt;0,vlookup($W33,'Master Input'!$O$12:$R$18,'Master Input'!P$11,false),
if(Y32&lt;0,0,""))),""))</f>
        <v>1</v>
      </c>
      <c r="Z35" s="117">
        <f>if(Z32="","",if(or(Z32&gt;Z34,Z33&gt;Z34,and(Z32=0,Z34=0)),
if(Z32=0,vlookup($W33,'Master Input'!$O$12:$R$18,'Master Input'!Q$11,false)/2,
if(Z32&gt;0,vlookup($W33,'Master Input'!$O$12:$R$18,'Master Input'!Q$11,false),
if(Z32&lt;0,0,""))),""))</f>
        <v>1</v>
      </c>
      <c r="AA35" s="117">
        <f>if(AA32="","",if(or(AA32&gt;AA34,AA33&gt;AA34,and(AA32=0,AA34=0)),
if(AA32=0,vlookup($W33,'Master Input'!$O$12:$R$18,'Master Input'!R$11,false)/2,
if(AA32&gt;0,vlookup($W33,'Master Input'!$O$12:$R$18,'Master Input'!R$11,false),
if(AA32&lt;0,0,""))),""))</f>
        <v>2</v>
      </c>
      <c r="AB35" s="105" t="s">
        <v>20</v>
      </c>
      <c r="AC35" s="131">
        <f>if(AC33="","",AC33)</f>
        <v>-1</v>
      </c>
      <c r="AD35" s="117">
        <f t="shared" ref="AD35:AK35" si="10">if(AD33="","",AD33+AC35)</f>
        <v>0</v>
      </c>
      <c r="AE35" s="117">
        <f t="shared" si="10"/>
        <v>0</v>
      </c>
      <c r="AF35" s="117">
        <f t="shared" si="10"/>
        <v>-1</v>
      </c>
      <c r="AG35" s="117">
        <f t="shared" si="10"/>
        <v>0</v>
      </c>
      <c r="AH35" s="117">
        <f t="shared" si="10"/>
        <v>0</v>
      </c>
      <c r="AI35" s="117">
        <f t="shared" si="10"/>
        <v>1</v>
      </c>
      <c r="AJ35" s="117">
        <f t="shared" si="10"/>
        <v>1</v>
      </c>
      <c r="AK35" s="117">
        <f t="shared" si="10"/>
        <v>1</v>
      </c>
      <c r="AL35" s="131">
        <f>if(AL33="","",AL33)</f>
        <v>1</v>
      </c>
      <c r="AM35" s="117">
        <f t="shared" ref="AM35:AT35" si="11">if(AM33="","",AM33+AL35)</f>
        <v>2</v>
      </c>
      <c r="AN35" s="117">
        <f t="shared" si="11"/>
        <v>2</v>
      </c>
      <c r="AO35" s="117">
        <f t="shared" si="11"/>
        <v>2</v>
      </c>
      <c r="AP35" s="117">
        <f t="shared" si="11"/>
        <v>2</v>
      </c>
      <c r="AQ35" s="117">
        <f t="shared" si="11"/>
        <v>3</v>
      </c>
      <c r="AR35" s="117">
        <f t="shared" si="11"/>
        <v>3</v>
      </c>
      <c r="AS35" s="117">
        <f t="shared" si="11"/>
        <v>4</v>
      </c>
      <c r="AT35" s="117">
        <f t="shared" si="11"/>
        <v>3</v>
      </c>
    </row>
    <row r="36" ht="7.5" customHeight="1">
      <c r="A36" s="108"/>
      <c r="B36" s="132"/>
      <c r="C36" s="124"/>
      <c r="D36" s="124"/>
      <c r="E36" s="124"/>
      <c r="F36" s="124"/>
      <c r="G36" s="113"/>
      <c r="H36" s="111"/>
      <c r="I36" s="111"/>
      <c r="J36" s="111"/>
      <c r="K36" s="46"/>
      <c r="L36" s="46"/>
      <c r="M36" s="113"/>
      <c r="N36" s="113"/>
      <c r="O36" s="113"/>
      <c r="P36" s="113"/>
      <c r="Q36" s="46"/>
      <c r="R36" s="46"/>
      <c r="S36" s="46"/>
      <c r="T36" s="46"/>
      <c r="U36" s="115"/>
      <c r="V36" s="88"/>
      <c r="W36" s="103"/>
      <c r="X36" s="104" t="s">
        <v>21</v>
      </c>
      <c r="Y36" s="117">
        <f>if(Y35="","",vlookup($W33,'Master Input'!$O$12:$R$18,'Master Input'!P$11,false)-Y35)</f>
        <v>0</v>
      </c>
      <c r="Z36" s="117">
        <f>if(Z35="","",vlookup($W33,'Master Input'!$O$12:$R$18,'Master Input'!Q$11,false)-Z35)</f>
        <v>0</v>
      </c>
      <c r="AA36" s="117">
        <f>if(AA35="","",vlookup($W33,'Master Input'!$O$12:$R$18,'Master Input'!R$11,false)-AA35)</f>
        <v>0</v>
      </c>
      <c r="AB36" s="105" t="s">
        <v>22</v>
      </c>
      <c r="AC36" s="105">
        <v>17.0</v>
      </c>
      <c r="AD36" s="105">
        <v>16.0</v>
      </c>
      <c r="AE36" s="105">
        <v>15.0</v>
      </c>
      <c r="AF36" s="105">
        <v>14.0</v>
      </c>
      <c r="AG36" s="105">
        <v>13.0</v>
      </c>
      <c r="AH36" s="105">
        <v>12.0</v>
      </c>
      <c r="AI36" s="105">
        <v>11.0</v>
      </c>
      <c r="AJ36" s="105">
        <v>10.0</v>
      </c>
      <c r="AK36" s="105">
        <v>9.0</v>
      </c>
      <c r="AL36" s="105">
        <v>8.0</v>
      </c>
      <c r="AM36" s="105">
        <v>7.0</v>
      </c>
      <c r="AN36" s="105">
        <v>6.0</v>
      </c>
      <c r="AO36" s="105">
        <v>5.0</v>
      </c>
      <c r="AP36" s="105">
        <v>4.0</v>
      </c>
      <c r="AQ36" s="105">
        <v>3.0</v>
      </c>
      <c r="AR36" s="105">
        <v>2.0</v>
      </c>
      <c r="AS36" s="105">
        <v>1.0</v>
      </c>
      <c r="AT36" s="105">
        <v>0.0</v>
      </c>
    </row>
    <row r="37" ht="11.25" customHeight="1">
      <c r="A37" s="108"/>
      <c r="B37" s="132"/>
      <c r="C37" s="133">
        <v>1.0</v>
      </c>
      <c r="D37" s="133">
        <v>2.0</v>
      </c>
      <c r="E37" s="133">
        <v>3.0</v>
      </c>
      <c r="F37" s="133">
        <v>4.0</v>
      </c>
      <c r="G37" s="133">
        <v>5.0</v>
      </c>
      <c r="H37" s="133">
        <v>6.0</v>
      </c>
      <c r="I37" s="133">
        <v>7.0</v>
      </c>
      <c r="J37" s="133">
        <v>8.0</v>
      </c>
      <c r="K37" s="134">
        <v>9.0</v>
      </c>
      <c r="L37" s="135">
        <v>10.0</v>
      </c>
      <c r="M37" s="133">
        <v>11.0</v>
      </c>
      <c r="N37" s="133">
        <v>12.0</v>
      </c>
      <c r="O37" s="133">
        <v>13.0</v>
      </c>
      <c r="P37" s="133">
        <v>14.0</v>
      </c>
      <c r="Q37" s="133">
        <v>15.0</v>
      </c>
      <c r="R37" s="133">
        <v>16.0</v>
      </c>
      <c r="S37" s="133">
        <v>17.0</v>
      </c>
      <c r="T37" s="133">
        <v>18.0</v>
      </c>
      <c r="U37" s="115"/>
      <c r="V37" s="88"/>
      <c r="W37" s="103"/>
      <c r="X37" s="104"/>
      <c r="Y37" s="105"/>
      <c r="Z37" s="105"/>
      <c r="AA37" s="105"/>
      <c r="AB37" s="105" t="s">
        <v>23</v>
      </c>
      <c r="AC37" s="131">
        <f>if(AC33="","",AC33)</f>
        <v>-1</v>
      </c>
      <c r="AD37" s="117">
        <f t="shared" ref="AD37:AT37" si="12">if(AD33="","",AD33+AC37)</f>
        <v>0</v>
      </c>
      <c r="AE37" s="117">
        <f t="shared" si="12"/>
        <v>0</v>
      </c>
      <c r="AF37" s="117">
        <f t="shared" si="12"/>
        <v>-1</v>
      </c>
      <c r="AG37" s="117">
        <f t="shared" si="12"/>
        <v>0</v>
      </c>
      <c r="AH37" s="117">
        <f t="shared" si="12"/>
        <v>0</v>
      </c>
      <c r="AI37" s="117">
        <f t="shared" si="12"/>
        <v>1</v>
      </c>
      <c r="AJ37" s="117">
        <f t="shared" si="12"/>
        <v>1</v>
      </c>
      <c r="AK37" s="117">
        <f t="shared" si="12"/>
        <v>1</v>
      </c>
      <c r="AL37" s="117">
        <f t="shared" si="12"/>
        <v>2</v>
      </c>
      <c r="AM37" s="117">
        <f t="shared" si="12"/>
        <v>3</v>
      </c>
      <c r="AN37" s="117">
        <f t="shared" si="12"/>
        <v>3</v>
      </c>
      <c r="AO37" s="117">
        <f t="shared" si="12"/>
        <v>3</v>
      </c>
      <c r="AP37" s="117">
        <f t="shared" si="12"/>
        <v>3</v>
      </c>
      <c r="AQ37" s="117">
        <f t="shared" si="12"/>
        <v>4</v>
      </c>
      <c r="AR37" s="117">
        <f t="shared" si="12"/>
        <v>4</v>
      </c>
      <c r="AS37" s="117">
        <f t="shared" si="12"/>
        <v>5</v>
      </c>
      <c r="AT37" s="117">
        <f t="shared" si="12"/>
        <v>4</v>
      </c>
    </row>
    <row r="38" ht="7.5" customHeight="1">
      <c r="A38" s="108"/>
      <c r="B38" s="136"/>
      <c r="C38" s="137"/>
      <c r="D38" s="137"/>
      <c r="E38" s="137"/>
      <c r="F38" s="137"/>
      <c r="G38" s="137"/>
      <c r="H38" s="138"/>
      <c r="I38" s="138"/>
      <c r="J38" s="139"/>
      <c r="K38" s="139"/>
      <c r="L38" s="139"/>
      <c r="M38" s="139"/>
      <c r="N38" s="140"/>
      <c r="O38" s="140"/>
      <c r="P38" s="137"/>
      <c r="Q38" s="137"/>
      <c r="R38" s="137"/>
      <c r="S38" s="137"/>
      <c r="T38" s="137"/>
      <c r="U38" s="141"/>
      <c r="V38" s="88"/>
      <c r="W38" s="103"/>
      <c r="X38" s="63"/>
      <c r="Y38" s="142"/>
      <c r="Z38" s="142"/>
      <c r="AA38" s="142"/>
      <c r="AB38" s="146"/>
      <c r="AC38" s="146"/>
      <c r="AD38" s="146"/>
      <c r="AE38" s="146"/>
      <c r="AF38" s="146"/>
      <c r="AG38" s="146"/>
      <c r="AH38" s="146"/>
      <c r="AI38" s="146"/>
      <c r="AJ38" s="146"/>
      <c r="AK38" s="146"/>
      <c r="AL38" s="146"/>
      <c r="AM38" s="146"/>
      <c r="AN38" s="146"/>
      <c r="AO38" s="146"/>
      <c r="AP38" s="146"/>
      <c r="AQ38" s="146"/>
      <c r="AR38" s="146"/>
      <c r="AS38" s="146"/>
      <c r="AT38" s="146"/>
    </row>
    <row r="39" ht="9.0" customHeight="1">
      <c r="A39" s="144"/>
      <c r="B39" s="51"/>
      <c r="C39" s="51"/>
      <c r="D39" s="51"/>
      <c r="E39" s="51"/>
      <c r="F39" s="51"/>
      <c r="G39" s="51"/>
      <c r="H39" s="85"/>
      <c r="I39" s="85"/>
      <c r="J39" s="145"/>
      <c r="K39" s="145"/>
      <c r="L39" s="145"/>
      <c r="M39" s="145"/>
      <c r="N39" s="84"/>
      <c r="O39" s="84"/>
      <c r="P39" s="51"/>
      <c r="Q39" s="51"/>
      <c r="R39" s="51"/>
      <c r="S39" s="51"/>
      <c r="T39" s="51"/>
      <c r="U39" s="51"/>
      <c r="V39" s="88"/>
      <c r="W39" s="89"/>
      <c r="X39" s="90"/>
      <c r="Y39" s="91"/>
      <c r="Z39" s="91"/>
      <c r="AA39" s="91"/>
      <c r="AB39" s="91"/>
      <c r="AC39" s="91"/>
      <c r="AD39" s="91"/>
      <c r="AE39" s="91"/>
      <c r="AF39" s="91"/>
      <c r="AG39" s="91"/>
      <c r="AH39" s="91"/>
      <c r="AI39" s="91"/>
      <c r="AJ39" s="91"/>
      <c r="AK39" s="91"/>
      <c r="AL39" s="91"/>
      <c r="AM39" s="91"/>
      <c r="AN39" s="91"/>
      <c r="AO39" s="91"/>
      <c r="AP39" s="91"/>
      <c r="AQ39" s="91"/>
      <c r="AR39" s="91"/>
      <c r="AS39" s="91"/>
      <c r="AT39" s="91"/>
    </row>
    <row r="40" ht="9.0" customHeight="1">
      <c r="A40" s="92" t="str">
        <f>W41</f>
        <v>R1_G4</v>
      </c>
      <c r="B40" s="93"/>
      <c r="C40" s="94" t="s">
        <v>28</v>
      </c>
      <c r="D40" s="71"/>
      <c r="E40" s="71"/>
      <c r="F40" s="71"/>
      <c r="G40" s="71"/>
      <c r="H40" s="95"/>
      <c r="I40" s="95"/>
      <c r="J40" s="96"/>
      <c r="K40" s="97" t="s">
        <v>6</v>
      </c>
      <c r="L40" s="98">
        <f>18-countif(AC42:AT42,"")
</f>
        <v>18</v>
      </c>
      <c r="M40" s="99"/>
      <c r="N40" s="100"/>
      <c r="O40" s="100"/>
      <c r="P40" s="101"/>
      <c r="Q40" s="101"/>
      <c r="R40" s="101"/>
      <c r="S40" s="101"/>
      <c r="T40" s="101"/>
      <c r="U40" s="102"/>
      <c r="V40" s="88"/>
      <c r="W40" s="103"/>
      <c r="X40" s="104"/>
      <c r="Y40" s="105" t="s">
        <v>7</v>
      </c>
      <c r="Z40" s="105" t="s">
        <v>8</v>
      </c>
      <c r="AA40" s="105" t="s">
        <v>9</v>
      </c>
      <c r="AB40" s="106" t="s">
        <v>10</v>
      </c>
      <c r="AC40" s="107">
        <v>1.0</v>
      </c>
      <c r="AD40" s="107">
        <v>2.0</v>
      </c>
      <c r="AE40" s="107">
        <v>3.0</v>
      </c>
      <c r="AF40" s="107">
        <v>4.0</v>
      </c>
      <c r="AG40" s="107">
        <v>5.0</v>
      </c>
      <c r="AH40" s="107">
        <v>6.0</v>
      </c>
      <c r="AI40" s="107">
        <v>7.0</v>
      </c>
      <c r="AJ40" s="107">
        <v>8.0</v>
      </c>
      <c r="AK40" s="107">
        <v>9.0</v>
      </c>
      <c r="AL40" s="107">
        <v>10.0</v>
      </c>
      <c r="AM40" s="107">
        <v>11.0</v>
      </c>
      <c r="AN40" s="107">
        <v>12.0</v>
      </c>
      <c r="AO40" s="107">
        <v>13.0</v>
      </c>
      <c r="AP40" s="107">
        <v>14.0</v>
      </c>
      <c r="AQ40" s="107">
        <v>15.0</v>
      </c>
      <c r="AR40" s="107">
        <v>16.0</v>
      </c>
      <c r="AS40" s="107">
        <v>17.0</v>
      </c>
      <c r="AT40" s="107">
        <v>18.0</v>
      </c>
    </row>
    <row r="41" ht="11.25" customHeight="1">
      <c r="A41" s="108"/>
      <c r="B41" s="109"/>
      <c r="C41" s="110" t="str">
        <f>'Match Selection'!Y4</f>
        <v>Jensen</v>
      </c>
      <c r="D41" s="20"/>
      <c r="E41" s="20"/>
      <c r="F41" s="20"/>
      <c r="G41" s="21"/>
      <c r="H41" s="111"/>
      <c r="I41" s="112" t="s">
        <v>7</v>
      </c>
      <c r="L41" s="112" t="s">
        <v>8</v>
      </c>
      <c r="O41" s="113"/>
      <c r="P41" s="114" t="str">
        <f>'Match Selection'!V4</f>
        <v>Telly</v>
      </c>
      <c r="Q41" s="20"/>
      <c r="R41" s="20"/>
      <c r="S41" s="20"/>
      <c r="T41" s="21"/>
      <c r="U41" s="115"/>
      <c r="V41" s="88"/>
      <c r="W41" s="116" t="s">
        <v>29</v>
      </c>
      <c r="X41" s="104" t="s">
        <v>12</v>
      </c>
      <c r="Y41" s="117">
        <f>if(L40=0,"",sum(AC42:AK42))</f>
        <v>-4</v>
      </c>
      <c r="Z41" s="117">
        <f>if(L40&lt;10,"",sum(AL42:AT42))</f>
        <v>0</v>
      </c>
      <c r="AA41" s="117">
        <f>if(L40&lt;10,"",sum(AC42:AT42))</f>
        <v>-4</v>
      </c>
      <c r="AB41" s="106" t="s">
        <v>13</v>
      </c>
      <c r="AC41" s="107">
        <v>4.0</v>
      </c>
      <c r="AD41" s="107">
        <v>5.0</v>
      </c>
      <c r="AE41" s="107">
        <v>6.0</v>
      </c>
      <c r="AF41" s="107">
        <v>7.0</v>
      </c>
      <c r="AG41" s="107">
        <v>8.0</v>
      </c>
      <c r="AH41" s="107">
        <v>9.0</v>
      </c>
      <c r="AI41" s="107">
        <v>10.0</v>
      </c>
      <c r="AJ41" s="107">
        <v>11.0</v>
      </c>
      <c r="AK41" s="107">
        <v>12.0</v>
      </c>
      <c r="AL41" s="107">
        <v>16.0</v>
      </c>
      <c r="AM41" s="107">
        <v>17.0</v>
      </c>
      <c r="AN41" s="107">
        <v>18.0</v>
      </c>
      <c r="AO41" s="107">
        <v>19.0</v>
      </c>
      <c r="AP41" s="107">
        <v>20.0</v>
      </c>
      <c r="AQ41" s="107">
        <v>21.0</v>
      </c>
      <c r="AR41" s="107">
        <v>22.0</v>
      </c>
      <c r="AS41" s="107">
        <v>23.0</v>
      </c>
      <c r="AT41" s="107">
        <v>24.0</v>
      </c>
    </row>
    <row r="42" ht="11.25" customHeight="1">
      <c r="A42" s="108"/>
      <c r="B42" s="118"/>
      <c r="C42" s="119" t="str">
        <f>'Match Selection'!Y5</f>
        <v>DK</v>
      </c>
      <c r="D42" s="44"/>
      <c r="E42" s="44"/>
      <c r="F42" s="44"/>
      <c r="G42" s="45"/>
      <c r="H42" s="111"/>
      <c r="I42" s="120" t="str">
        <f>if(and(Y43&gt;0,Y41&lt;&gt;0,Y41&lt;&gt;"",Y44=""),abs(Y41)&amp;" UP",
if(abs(AG44)&gt;AG43,abs(AG44)&amp;"&amp;"&amp;AG43,
if(abs(AH44)&gt;AH43,abs(AH44)&amp;"&amp;"&amp;AH43,
if(abs(AI44)&gt;AI43,abs(AI44)&amp;"&amp;"&amp;AI43,
if(abs(AJ44)&gt;AJ43,abs(AJ44)&amp;"&amp;"&amp;AJ43,
if(abs(AK44)&gt;AK43,abs(AK44)&amp;"&amp;"&amp;AK43,"AS"))))))</f>
        <v>3&amp;2</v>
      </c>
      <c r="J42" s="20"/>
      <c r="K42" s="21"/>
      <c r="L42" s="120" t="str">
        <f>if(and(Z43&gt;0,Z41&lt;&gt;0,Z41&lt;&gt;"",Z44=""),abs(Z41)&amp;" UP",
if(abs(AP44)&gt;AP43,abs(AP44)&amp;"&amp;"&amp;AP43,
if(abs(AQ44)&gt;AQ43,abs(AQ44)&amp;"&amp;"&amp;AQ43,
if(abs(AR44)&gt;AR43,abs(AR44)&amp;"&amp;"&amp;AR43,
if(abs(AS44)&gt;AS43,abs(AS44)&amp;"&amp;"&amp;AS43,
if(abs(AT44)&gt;AT43,abs(AT44)&amp;"&amp;"&amp;AT43,"AS"))))))</f>
        <v>AS</v>
      </c>
      <c r="M42" s="20"/>
      <c r="N42" s="21"/>
      <c r="O42" s="113"/>
      <c r="P42" s="121" t="str">
        <f>'Match Selection'!V5</f>
        <v>Hile</v>
      </c>
      <c r="Q42" s="44"/>
      <c r="R42" s="44"/>
      <c r="S42" s="44"/>
      <c r="T42" s="45"/>
      <c r="U42" s="115"/>
      <c r="V42" s="88"/>
      <c r="W42" s="122" t="str">
        <f>$L$10</f>
        <v>2-Man Best Ball</v>
      </c>
      <c r="X42" s="104" t="s">
        <v>14</v>
      </c>
      <c r="Y42" s="117">
        <f>if(L40=0,"",if(Y41=0,0,Y41*-1))</f>
        <v>4</v>
      </c>
      <c r="Z42" s="117">
        <f>if(L40&lt;10,"",if(Z41=0,0,Z41*-1))</f>
        <v>0</v>
      </c>
      <c r="AA42" s="117">
        <f>if(L40&lt;10,"",if(AA41=0,0,AA41*-1))</f>
        <v>4</v>
      </c>
      <c r="AB42" s="106" t="s">
        <v>15</v>
      </c>
      <c r="AC42" s="123">
        <f t="shared" ref="AC42:AT42" si="13">VLOOKUP("Match",indirect($W41&amp;"!"&amp;"$B$23:$y$23"),AC41)</f>
        <v>-1</v>
      </c>
      <c r="AD42" s="123">
        <f t="shared" si="13"/>
        <v>0</v>
      </c>
      <c r="AE42" s="123">
        <f t="shared" si="13"/>
        <v>0</v>
      </c>
      <c r="AF42" s="123">
        <f t="shared" si="13"/>
        <v>0</v>
      </c>
      <c r="AG42" s="123">
        <f t="shared" si="13"/>
        <v>-1</v>
      </c>
      <c r="AH42" s="123">
        <f t="shared" si="13"/>
        <v>0</v>
      </c>
      <c r="AI42" s="123">
        <f t="shared" si="13"/>
        <v>-1</v>
      </c>
      <c r="AJ42" s="123">
        <f t="shared" si="13"/>
        <v>-1</v>
      </c>
      <c r="AK42" s="123">
        <f t="shared" si="13"/>
        <v>0</v>
      </c>
      <c r="AL42" s="123">
        <f t="shared" si="13"/>
        <v>1</v>
      </c>
      <c r="AM42" s="123">
        <f t="shared" si="13"/>
        <v>0</v>
      </c>
      <c r="AN42" s="123">
        <f t="shared" si="13"/>
        <v>1</v>
      </c>
      <c r="AO42" s="123">
        <f t="shared" si="13"/>
        <v>0</v>
      </c>
      <c r="AP42" s="123">
        <f t="shared" si="13"/>
        <v>-1</v>
      </c>
      <c r="AQ42" s="123">
        <f t="shared" si="13"/>
        <v>-1</v>
      </c>
      <c r="AR42" s="123">
        <f t="shared" si="13"/>
        <v>1</v>
      </c>
      <c r="AS42" s="123">
        <f t="shared" si="13"/>
        <v>-1</v>
      </c>
      <c r="AT42" s="123">
        <f t="shared" si="13"/>
        <v>0</v>
      </c>
    </row>
    <row r="43" ht="9.0" customHeight="1">
      <c r="A43" s="108"/>
      <c r="B43" s="118"/>
      <c r="C43" s="124"/>
      <c r="D43" s="125" t="s">
        <v>16</v>
      </c>
      <c r="G43" s="126"/>
      <c r="H43" s="127"/>
      <c r="I43" s="127"/>
      <c r="J43" s="112" t="s">
        <v>9</v>
      </c>
      <c r="N43" s="126"/>
      <c r="O43" s="126"/>
      <c r="P43" s="126"/>
      <c r="Q43" s="128" t="s">
        <v>16</v>
      </c>
      <c r="T43" s="124"/>
      <c r="U43" s="115"/>
      <c r="V43" s="88"/>
      <c r="W43" s="103"/>
      <c r="X43" s="104" t="s">
        <v>17</v>
      </c>
      <c r="Y43" s="117">
        <f t="array" ref="Y43">(countif(indirect(W41&amp;"!"&amp;"$E$19:$M$19"),""))</f>
        <v>0</v>
      </c>
      <c r="Z43" s="117">
        <f t="array" ref="Z43">(countif(indirect(W41&amp;"!"&amp;"$Q$19:$Y$19"),""))</f>
        <v>0</v>
      </c>
      <c r="AA43" s="117">
        <f t="array" ref="AA43">(countif(indirect(W41&amp;"!"&amp;"$E$19:$M$19"),""))
+(countif(indirect(W41&amp;"!"&amp;"$Q$19:$Y$19"),""))</f>
        <v>0</v>
      </c>
      <c r="AB43" s="105" t="s">
        <v>18</v>
      </c>
      <c r="AC43" s="105">
        <v>8.0</v>
      </c>
      <c r="AD43" s="105">
        <v>7.0</v>
      </c>
      <c r="AE43" s="105">
        <v>6.0</v>
      </c>
      <c r="AF43" s="105">
        <v>5.0</v>
      </c>
      <c r="AG43" s="105">
        <v>4.0</v>
      </c>
      <c r="AH43" s="105">
        <v>3.0</v>
      </c>
      <c r="AI43" s="105">
        <v>2.0</v>
      </c>
      <c r="AJ43" s="105">
        <v>1.0</v>
      </c>
      <c r="AK43" s="105">
        <v>0.0</v>
      </c>
      <c r="AL43" s="105">
        <v>8.0</v>
      </c>
      <c r="AM43" s="105">
        <v>7.0</v>
      </c>
      <c r="AN43" s="105">
        <v>6.0</v>
      </c>
      <c r="AO43" s="105">
        <v>5.0</v>
      </c>
      <c r="AP43" s="105">
        <v>4.0</v>
      </c>
      <c r="AQ43" s="105">
        <v>3.0</v>
      </c>
      <c r="AR43" s="105">
        <v>2.0</v>
      </c>
      <c r="AS43" s="105">
        <v>1.0</v>
      </c>
      <c r="AT43" s="105">
        <v>0.0</v>
      </c>
    </row>
    <row r="44" ht="11.25" customHeight="1">
      <c r="A44" s="108"/>
      <c r="B44" s="118"/>
      <c r="C44" s="124"/>
      <c r="D44" s="110">
        <f>if(Y45="","",sum(Y45:AA45))</f>
        <v>3.5</v>
      </c>
      <c r="E44" s="20"/>
      <c r="F44" s="21"/>
      <c r="G44" s="129"/>
      <c r="H44" s="111"/>
      <c r="I44" s="111"/>
      <c r="J44" s="120" t="str">
        <f>if(and(AA43&gt;0,AA41&lt;&gt;0,AA41&lt;&gt;"",AA44=""),abs(AA41)&amp;" UP",
if(abs(AG46)&gt;AG45,abs(AG46)&amp;"&amp;"&amp;AG45,
if(abs(AH46)&gt;AH45,abs(AH46)&amp;"&amp;"&amp;AH45,
if(abs(AI46)&gt;AI45,abs(AI46)&amp;"&amp;"&amp;AI45,
if(abs(AJ46)&gt;AJ45,abs(AJ46)&amp;"&amp;"&amp;AJ45,
if(abs(AK46)&gt;AK45,abs(AK46)&amp;"&amp;"&amp;AK45,
if(abs(AL46)&gt;AL45,abs(AL46)&amp;"&amp;"&amp;AL45,
if(abs(AM46)&gt;AM45,abs(AM46)&amp;"&amp;"&amp;AM45,
if(abs(AN46)&gt;AN45,abs(AN46)&amp;"&amp;"&amp;AN45,
if(abs(AO46)&gt;AO45,abs(AO46)&amp;"&amp;"&amp;AO45,
if(abs(AP46)&gt;AP45,abs(AP46)&amp;"&amp;"&amp;AP45,
if(abs(AQ46)&gt;AQ45,abs(AQ46)&amp;"&amp;"&amp;AQ45,
if(abs(AR46)&gt;AR45,abs(AR46)&amp;"&amp;"&amp;AR45,
if(abs(AS46)&gt;AS45,abs(AS46)&amp;"&amp;"&amp;AS45,
if(abs(AT46)&gt;AT45,abs(AT46)&amp;"&amp;"&amp;AT45,
"AS")))))))))))))))</f>
        <v>4&amp;3</v>
      </c>
      <c r="K44" s="20"/>
      <c r="L44" s="20"/>
      <c r="M44" s="21"/>
      <c r="N44" s="111"/>
      <c r="O44" s="111"/>
      <c r="P44" s="130"/>
      <c r="Q44" s="114">
        <f>if(Y44="","",sum(Y44:AA44))</f>
        <v>0.5</v>
      </c>
      <c r="R44" s="20"/>
      <c r="S44" s="21"/>
      <c r="T44" s="124"/>
      <c r="U44" s="115"/>
      <c r="V44" s="88"/>
      <c r="W44" s="103"/>
      <c r="X44" s="104" t="s">
        <v>19</v>
      </c>
      <c r="Y44" s="117">
        <f>if(Y41="","",if(or(Y41&gt;Y43,Y42&gt;Y43,and(Y41=0,Y43=0)),
if(Y41=0,vlookup($W42,'Master Input'!$O$12:$R$18,'Master Input'!P$11,false)/2,
if(Y41&gt;0,vlookup($W42,'Master Input'!$O$12:$R$18,'Master Input'!P$11,false),
if(Y41&lt;0,0,""))),""))</f>
        <v>0</v>
      </c>
      <c r="Z44" s="117">
        <f>if(Z41="","",if(or(Z41&gt;Z43,Z42&gt;Z43,and(Z41=0,Z43=0)),
if(Z41=0,vlookup($W42,'Master Input'!$O$12:$R$18,'Master Input'!Q$11,false)/2,
if(Z41&gt;0,vlookup($W42,'Master Input'!$O$12:$R$18,'Master Input'!Q$11,false),
if(Z41&lt;0,0,""))),""))</f>
        <v>0.5</v>
      </c>
      <c r="AA44" s="117">
        <f>if(AA41="","",if(or(AA41&gt;AA43,AA42&gt;AA43,and(AA41=0,AA43=0)),
if(AA41=0,vlookup($W42,'Master Input'!$O$12:$R$18,'Master Input'!R$11,false)/2,
if(AA41&gt;0,vlookup($W42,'Master Input'!$O$12:$R$18,'Master Input'!R$11,false),
if(AA41&lt;0,0,""))),""))</f>
        <v>0</v>
      </c>
      <c r="AB44" s="105" t="s">
        <v>20</v>
      </c>
      <c r="AC44" s="131">
        <f>if(AC42="","",AC42)</f>
        <v>-1</v>
      </c>
      <c r="AD44" s="117">
        <f t="shared" ref="AD44:AK44" si="14">if(AD42="","",AD42+AC44)</f>
        <v>-1</v>
      </c>
      <c r="AE44" s="117">
        <f t="shared" si="14"/>
        <v>-1</v>
      </c>
      <c r="AF44" s="117">
        <f t="shared" si="14"/>
        <v>-1</v>
      </c>
      <c r="AG44" s="117">
        <f t="shared" si="14"/>
        <v>-2</v>
      </c>
      <c r="AH44" s="117">
        <f t="shared" si="14"/>
        <v>-2</v>
      </c>
      <c r="AI44" s="117">
        <f t="shared" si="14"/>
        <v>-3</v>
      </c>
      <c r="AJ44" s="117">
        <f t="shared" si="14"/>
        <v>-4</v>
      </c>
      <c r="AK44" s="117">
        <f t="shared" si="14"/>
        <v>-4</v>
      </c>
      <c r="AL44" s="131">
        <f>if(AL42="","",AL42)</f>
        <v>1</v>
      </c>
      <c r="AM44" s="117">
        <f t="shared" ref="AM44:AT44" si="15">AM42+AL44</f>
        <v>1</v>
      </c>
      <c r="AN44" s="117">
        <f t="shared" si="15"/>
        <v>2</v>
      </c>
      <c r="AO44" s="117">
        <f t="shared" si="15"/>
        <v>2</v>
      </c>
      <c r="AP44" s="117">
        <f t="shared" si="15"/>
        <v>1</v>
      </c>
      <c r="AQ44" s="117">
        <f t="shared" si="15"/>
        <v>0</v>
      </c>
      <c r="AR44" s="117">
        <f t="shared" si="15"/>
        <v>1</v>
      </c>
      <c r="AS44" s="117">
        <f t="shared" si="15"/>
        <v>0</v>
      </c>
      <c r="AT44" s="117">
        <f t="shared" si="15"/>
        <v>0</v>
      </c>
    </row>
    <row r="45" ht="7.5" customHeight="1">
      <c r="A45" s="108"/>
      <c r="B45" s="132"/>
      <c r="C45" s="124"/>
      <c r="D45" s="124"/>
      <c r="E45" s="124"/>
      <c r="F45" s="124"/>
      <c r="G45" s="113"/>
      <c r="H45" s="111"/>
      <c r="I45" s="111"/>
      <c r="J45" s="111"/>
      <c r="K45" s="46"/>
      <c r="L45" s="46"/>
      <c r="M45" s="113"/>
      <c r="N45" s="113"/>
      <c r="O45" s="113"/>
      <c r="P45" s="113"/>
      <c r="Q45" s="46"/>
      <c r="R45" s="46"/>
      <c r="S45" s="46"/>
      <c r="T45" s="46"/>
      <c r="U45" s="115"/>
      <c r="V45" s="88"/>
      <c r="W45" s="103"/>
      <c r="X45" s="104" t="s">
        <v>21</v>
      </c>
      <c r="Y45" s="117">
        <f>if(Y44="","",vlookup($W42,'Master Input'!$O$12:$R$18,'Master Input'!P$11,false)-Y44)</f>
        <v>1</v>
      </c>
      <c r="Z45" s="117">
        <f>if(Z44="","",vlookup($W42,'Master Input'!$O$12:$R$18,'Master Input'!Q$11,false)-Z44)</f>
        <v>0.5</v>
      </c>
      <c r="AA45" s="117">
        <f>if(AA44="","",vlookup($W42,'Master Input'!$O$12:$R$18,'Master Input'!R$11,false)-AA44)</f>
        <v>2</v>
      </c>
      <c r="AB45" s="105" t="s">
        <v>22</v>
      </c>
      <c r="AC45" s="105">
        <v>17.0</v>
      </c>
      <c r="AD45" s="105">
        <v>16.0</v>
      </c>
      <c r="AE45" s="105">
        <v>15.0</v>
      </c>
      <c r="AF45" s="105">
        <v>14.0</v>
      </c>
      <c r="AG45" s="105">
        <v>13.0</v>
      </c>
      <c r="AH45" s="105">
        <v>12.0</v>
      </c>
      <c r="AI45" s="105">
        <v>11.0</v>
      </c>
      <c r="AJ45" s="105">
        <v>10.0</v>
      </c>
      <c r="AK45" s="105">
        <v>9.0</v>
      </c>
      <c r="AL45" s="105">
        <v>8.0</v>
      </c>
      <c r="AM45" s="105">
        <v>7.0</v>
      </c>
      <c r="AN45" s="105">
        <v>6.0</v>
      </c>
      <c r="AO45" s="105">
        <v>5.0</v>
      </c>
      <c r="AP45" s="105">
        <v>4.0</v>
      </c>
      <c r="AQ45" s="105">
        <v>3.0</v>
      </c>
      <c r="AR45" s="105">
        <v>2.0</v>
      </c>
      <c r="AS45" s="105">
        <v>1.0</v>
      </c>
      <c r="AT45" s="105">
        <v>0.0</v>
      </c>
    </row>
    <row r="46" ht="11.25" customHeight="1">
      <c r="A46" s="108"/>
      <c r="B46" s="132"/>
      <c r="C46" s="133">
        <v>1.0</v>
      </c>
      <c r="D46" s="133">
        <v>2.0</v>
      </c>
      <c r="E46" s="133">
        <v>3.0</v>
      </c>
      <c r="F46" s="133">
        <v>4.0</v>
      </c>
      <c r="G46" s="133">
        <v>5.0</v>
      </c>
      <c r="H46" s="133">
        <v>6.0</v>
      </c>
      <c r="I46" s="133">
        <v>7.0</v>
      </c>
      <c r="J46" s="133">
        <v>8.0</v>
      </c>
      <c r="K46" s="134">
        <v>9.0</v>
      </c>
      <c r="L46" s="135">
        <v>10.0</v>
      </c>
      <c r="M46" s="133">
        <v>11.0</v>
      </c>
      <c r="N46" s="133">
        <v>12.0</v>
      </c>
      <c r="O46" s="133">
        <v>13.0</v>
      </c>
      <c r="P46" s="133">
        <v>14.0</v>
      </c>
      <c r="Q46" s="133">
        <v>15.0</v>
      </c>
      <c r="R46" s="133">
        <v>16.0</v>
      </c>
      <c r="S46" s="133">
        <v>17.0</v>
      </c>
      <c r="T46" s="133">
        <v>18.0</v>
      </c>
      <c r="U46" s="115"/>
      <c r="V46" s="88"/>
      <c r="W46" s="103"/>
      <c r="X46" s="104"/>
      <c r="Y46" s="105"/>
      <c r="Z46" s="105"/>
      <c r="AA46" s="105"/>
      <c r="AB46" s="105" t="s">
        <v>23</v>
      </c>
      <c r="AC46" s="131">
        <f>if(AC42="","",AC42)</f>
        <v>-1</v>
      </c>
      <c r="AD46" s="117">
        <f t="shared" ref="AD46:AL46" si="16">if(AD42="","",AD42+AC46)</f>
        <v>-1</v>
      </c>
      <c r="AE46" s="117">
        <f t="shared" si="16"/>
        <v>-1</v>
      </c>
      <c r="AF46" s="117">
        <f t="shared" si="16"/>
        <v>-1</v>
      </c>
      <c r="AG46" s="117">
        <f t="shared" si="16"/>
        <v>-2</v>
      </c>
      <c r="AH46" s="117">
        <f t="shared" si="16"/>
        <v>-2</v>
      </c>
      <c r="AI46" s="117">
        <f t="shared" si="16"/>
        <v>-3</v>
      </c>
      <c r="AJ46" s="117">
        <f t="shared" si="16"/>
        <v>-4</v>
      </c>
      <c r="AK46" s="117">
        <f t="shared" si="16"/>
        <v>-4</v>
      </c>
      <c r="AL46" s="117">
        <f t="shared" si="16"/>
        <v>-3</v>
      </c>
      <c r="AM46" s="117">
        <f t="shared" ref="AM46:AT46" si="17">AM42+AL46</f>
        <v>-3</v>
      </c>
      <c r="AN46" s="117">
        <f t="shared" si="17"/>
        <v>-2</v>
      </c>
      <c r="AO46" s="117">
        <f t="shared" si="17"/>
        <v>-2</v>
      </c>
      <c r="AP46" s="117">
        <f t="shared" si="17"/>
        <v>-3</v>
      </c>
      <c r="AQ46" s="117">
        <f t="shared" si="17"/>
        <v>-4</v>
      </c>
      <c r="AR46" s="117">
        <f t="shared" si="17"/>
        <v>-3</v>
      </c>
      <c r="AS46" s="117">
        <f t="shared" si="17"/>
        <v>-4</v>
      </c>
      <c r="AT46" s="117">
        <f t="shared" si="17"/>
        <v>-4</v>
      </c>
    </row>
    <row r="47" ht="7.5" customHeight="1">
      <c r="A47" s="108"/>
      <c r="B47" s="136"/>
      <c r="C47" s="137"/>
      <c r="D47" s="137"/>
      <c r="E47" s="137"/>
      <c r="F47" s="137"/>
      <c r="G47" s="137"/>
      <c r="H47" s="138"/>
      <c r="I47" s="138"/>
      <c r="J47" s="139"/>
      <c r="K47" s="139"/>
      <c r="L47" s="139"/>
      <c r="M47" s="139"/>
      <c r="N47" s="140"/>
      <c r="O47" s="140"/>
      <c r="P47" s="137"/>
      <c r="Q47" s="137"/>
      <c r="R47" s="137"/>
      <c r="S47" s="137"/>
      <c r="T47" s="137"/>
      <c r="U47" s="141"/>
      <c r="V47" s="88"/>
      <c r="W47" s="103"/>
      <c r="X47" s="63"/>
      <c r="Y47" s="142"/>
      <c r="Z47" s="142"/>
      <c r="AA47" s="142"/>
      <c r="AB47" s="81"/>
      <c r="AC47" s="82"/>
      <c r="AD47" s="82"/>
      <c r="AE47" s="82"/>
      <c r="AF47" s="82"/>
      <c r="AG47" s="82"/>
      <c r="AH47" s="82"/>
      <c r="AI47" s="82"/>
      <c r="AJ47" s="82"/>
      <c r="AK47" s="82"/>
      <c r="AL47" s="82"/>
      <c r="AM47" s="82"/>
      <c r="AN47" s="82"/>
      <c r="AO47" s="82"/>
      <c r="AP47" s="82"/>
      <c r="AQ47" s="82"/>
      <c r="AR47" s="82"/>
      <c r="AS47" s="82"/>
      <c r="AT47" s="82"/>
    </row>
    <row r="48" ht="11.25" customHeight="1">
      <c r="A48" s="147"/>
      <c r="B48" s="148"/>
      <c r="C48" s="148"/>
      <c r="D48" s="148"/>
      <c r="E48" s="148"/>
      <c r="F48" s="148"/>
      <c r="G48" s="148"/>
      <c r="H48" s="148"/>
      <c r="I48" s="148"/>
      <c r="J48" s="148"/>
      <c r="K48" s="148"/>
      <c r="L48" s="148"/>
      <c r="M48" s="148"/>
      <c r="N48" s="148"/>
      <c r="O48" s="148"/>
      <c r="P48" s="148"/>
      <c r="Q48" s="148"/>
      <c r="R48" s="148"/>
      <c r="S48" s="148"/>
      <c r="T48" s="148"/>
      <c r="U48" s="148"/>
      <c r="V48" s="88"/>
      <c r="W48" s="89"/>
      <c r="X48" s="90"/>
      <c r="Y48" s="149"/>
      <c r="Z48" s="149"/>
      <c r="AA48" s="149"/>
      <c r="AB48" s="150"/>
      <c r="AC48" s="151"/>
      <c r="AD48" s="151"/>
      <c r="AE48" s="151"/>
      <c r="AF48" s="151"/>
      <c r="AG48" s="151"/>
      <c r="AH48" s="151"/>
      <c r="AI48" s="151"/>
      <c r="AJ48" s="151"/>
      <c r="AK48" s="151"/>
      <c r="AL48" s="151"/>
      <c r="AM48" s="151"/>
      <c r="AN48" s="151"/>
      <c r="AO48" s="151"/>
      <c r="AP48" s="151"/>
      <c r="AQ48" s="151"/>
      <c r="AR48" s="151"/>
      <c r="AS48" s="151"/>
      <c r="AT48" s="151"/>
    </row>
    <row r="49" ht="11.25" customHeight="1">
      <c r="A49" s="152"/>
      <c r="B49" s="153"/>
      <c r="C49" s="153"/>
      <c r="D49" s="153"/>
      <c r="E49" s="153"/>
      <c r="F49" s="153"/>
      <c r="G49" s="153"/>
      <c r="H49" s="153"/>
      <c r="I49" s="153"/>
      <c r="J49" s="153"/>
      <c r="K49" s="153"/>
      <c r="L49" s="153"/>
      <c r="M49" s="153"/>
      <c r="N49" s="153"/>
      <c r="O49" s="153"/>
      <c r="P49" s="153"/>
      <c r="Q49" s="153"/>
      <c r="R49" s="153"/>
      <c r="S49" s="153"/>
      <c r="T49" s="153"/>
      <c r="U49" s="153"/>
      <c r="V49" s="154"/>
      <c r="W49" s="89"/>
      <c r="X49" s="90"/>
      <c r="Y49" s="155"/>
      <c r="Z49" s="155"/>
      <c r="AA49" s="155"/>
      <c r="AB49" s="150"/>
      <c r="AC49" s="151"/>
      <c r="AD49" s="151"/>
      <c r="AE49" s="151"/>
      <c r="AF49" s="151"/>
      <c r="AG49" s="151"/>
      <c r="AH49" s="151"/>
      <c r="AI49" s="151"/>
      <c r="AJ49" s="151"/>
      <c r="AK49" s="151"/>
      <c r="AL49" s="151"/>
      <c r="AM49" s="151"/>
      <c r="AN49" s="151"/>
      <c r="AO49" s="151"/>
      <c r="AP49" s="151"/>
      <c r="AQ49" s="151"/>
      <c r="AR49" s="151"/>
      <c r="AS49" s="151"/>
      <c r="AT49" s="151"/>
    </row>
    <row r="50" ht="15.0" customHeight="1">
      <c r="A50" s="144"/>
      <c r="B50" s="156" t="str">
        <f>'Master Input'!G6</f>
        <v>Ravines GC - White</v>
      </c>
      <c r="C50" s="157"/>
      <c r="D50" s="157"/>
      <c r="E50" s="157"/>
      <c r="F50" s="157"/>
      <c r="G50" s="157"/>
      <c r="H50" s="157"/>
      <c r="I50" s="157"/>
      <c r="J50" s="157"/>
      <c r="K50" s="157"/>
      <c r="L50" s="158" t="str">
        <f>'Master Input'!H6</f>
        <v>Singles Matches</v>
      </c>
      <c r="M50" s="157"/>
      <c r="N50" s="157"/>
      <c r="O50" s="157"/>
      <c r="P50" s="157"/>
      <c r="Q50" s="157"/>
      <c r="R50" s="157"/>
      <c r="S50" s="157"/>
      <c r="T50" s="157"/>
      <c r="U50" s="159"/>
      <c r="V50" s="88"/>
      <c r="W50" s="103"/>
      <c r="X50" s="63"/>
      <c r="Y50" s="143"/>
      <c r="Z50" s="143"/>
      <c r="AA50" s="143"/>
      <c r="AB50" s="81"/>
      <c r="AC50" s="82"/>
      <c r="AD50" s="82"/>
      <c r="AE50" s="82"/>
      <c r="AF50" s="82"/>
      <c r="AG50" s="82"/>
      <c r="AH50" s="82"/>
      <c r="AI50" s="82"/>
      <c r="AJ50" s="82"/>
      <c r="AK50" s="82"/>
      <c r="AL50" s="82"/>
      <c r="AM50" s="82"/>
      <c r="AN50" s="82"/>
      <c r="AO50" s="82"/>
      <c r="AP50" s="82"/>
      <c r="AQ50" s="82"/>
      <c r="AR50" s="82"/>
      <c r="AS50" s="82"/>
      <c r="AT50" s="82"/>
    </row>
    <row r="51" ht="15.0" customHeight="1">
      <c r="A51" s="144"/>
      <c r="B51" s="160" t="s">
        <v>4</v>
      </c>
      <c r="C51" s="161"/>
      <c r="D51" s="161"/>
      <c r="E51" s="161"/>
      <c r="F51" s="161"/>
      <c r="G51" s="161"/>
      <c r="H51" s="161"/>
      <c r="I51" s="161"/>
      <c r="J51" s="161"/>
      <c r="K51" s="161"/>
      <c r="L51" s="161"/>
      <c r="M51" s="161"/>
      <c r="N51" s="161"/>
      <c r="O51" s="161"/>
      <c r="P51" s="161"/>
      <c r="Q51" s="161"/>
      <c r="R51" s="161"/>
      <c r="S51" s="161"/>
      <c r="T51" s="161"/>
      <c r="U51" s="162"/>
      <c r="V51" s="88"/>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row>
    <row r="52" ht="11.25" customHeight="1">
      <c r="A52" s="147"/>
      <c r="B52" s="148"/>
      <c r="C52" s="148"/>
      <c r="D52" s="148"/>
      <c r="E52" s="148"/>
      <c r="F52" s="148"/>
      <c r="G52" s="148"/>
      <c r="H52" s="148"/>
      <c r="I52" s="148"/>
      <c r="J52" s="148"/>
      <c r="K52" s="148"/>
      <c r="L52" s="148"/>
      <c r="M52" s="148"/>
      <c r="N52" s="148"/>
      <c r="O52" s="148"/>
      <c r="P52" s="148"/>
      <c r="Q52" s="148"/>
      <c r="R52" s="148"/>
      <c r="S52" s="148"/>
      <c r="T52" s="148"/>
      <c r="U52" s="148"/>
      <c r="V52" s="88"/>
      <c r="W52" s="89"/>
      <c r="X52" s="90"/>
      <c r="Y52" s="149"/>
      <c r="Z52" s="149"/>
      <c r="AA52" s="149"/>
      <c r="AB52" s="163"/>
      <c r="AC52" s="164"/>
      <c r="AD52" s="164"/>
      <c r="AE52" s="164"/>
      <c r="AF52" s="164"/>
      <c r="AG52" s="164"/>
      <c r="AH52" s="164"/>
      <c r="AI52" s="164"/>
      <c r="AJ52" s="164"/>
      <c r="AK52" s="164"/>
      <c r="AL52" s="164"/>
      <c r="AM52" s="164"/>
      <c r="AN52" s="164"/>
      <c r="AO52" s="164"/>
      <c r="AP52" s="164"/>
      <c r="AQ52" s="164"/>
      <c r="AR52" s="164"/>
      <c r="AS52" s="164"/>
      <c r="AT52" s="164"/>
    </row>
    <row r="53" ht="9.0" customHeight="1">
      <c r="A53" s="165" t="str">
        <f>W54</f>
        <v>R2_G1</v>
      </c>
      <c r="B53" s="166"/>
      <c r="C53" s="167" t="s">
        <v>5</v>
      </c>
      <c r="D53" s="157"/>
      <c r="E53" s="157"/>
      <c r="F53" s="157"/>
      <c r="G53" s="157"/>
      <c r="H53" s="168"/>
      <c r="I53" s="168"/>
      <c r="J53" s="169"/>
      <c r="K53" s="170" t="s">
        <v>6</v>
      </c>
      <c r="L53" s="171">
        <f>18-countif(AC55:AT55,"")
</f>
        <v>18</v>
      </c>
      <c r="M53" s="172"/>
      <c r="N53" s="173"/>
      <c r="O53" s="173"/>
      <c r="P53" s="173"/>
      <c r="Q53" s="173"/>
      <c r="R53" s="173"/>
      <c r="S53" s="173"/>
      <c r="T53" s="173"/>
      <c r="U53" s="174"/>
      <c r="V53" s="88"/>
      <c r="W53" s="103"/>
      <c r="X53" s="104"/>
      <c r="Y53" s="105" t="s">
        <v>7</v>
      </c>
      <c r="Z53" s="105" t="s">
        <v>8</v>
      </c>
      <c r="AA53" s="105" t="s">
        <v>9</v>
      </c>
      <c r="AB53" s="106" t="s">
        <v>10</v>
      </c>
      <c r="AC53" s="107">
        <v>1.0</v>
      </c>
      <c r="AD53" s="107">
        <v>2.0</v>
      </c>
      <c r="AE53" s="107">
        <v>3.0</v>
      </c>
      <c r="AF53" s="107">
        <v>4.0</v>
      </c>
      <c r="AG53" s="107">
        <v>5.0</v>
      </c>
      <c r="AH53" s="107">
        <v>6.0</v>
      </c>
      <c r="AI53" s="107">
        <v>7.0</v>
      </c>
      <c r="AJ53" s="107">
        <v>8.0</v>
      </c>
      <c r="AK53" s="107">
        <v>9.0</v>
      </c>
      <c r="AL53" s="107">
        <v>10.0</v>
      </c>
      <c r="AM53" s="107">
        <v>11.0</v>
      </c>
      <c r="AN53" s="107">
        <v>12.0</v>
      </c>
      <c r="AO53" s="107">
        <v>13.0</v>
      </c>
      <c r="AP53" s="107">
        <v>14.0</v>
      </c>
      <c r="AQ53" s="107">
        <v>15.0</v>
      </c>
      <c r="AR53" s="107">
        <v>16.0</v>
      </c>
      <c r="AS53" s="107">
        <v>17.0</v>
      </c>
      <c r="AT53" s="107">
        <v>18.0</v>
      </c>
    </row>
    <row r="54" ht="9.0" customHeight="1">
      <c r="A54" s="108"/>
      <c r="B54" s="175"/>
      <c r="C54" s="176" t="str">
        <f t="array" ref="C54">if(W56="top",indirect($W54&amp;"!"&amp;"A11"),indirect($W54&amp;"!"&amp;"A17"))</f>
        <v>CuzNick</v>
      </c>
      <c r="D54" s="35"/>
      <c r="E54" s="35"/>
      <c r="F54" s="35"/>
      <c r="G54" s="36"/>
      <c r="H54" s="111"/>
      <c r="I54" s="112" t="s">
        <v>7</v>
      </c>
      <c r="L54" s="112" t="s">
        <v>8</v>
      </c>
      <c r="O54" s="113"/>
      <c r="P54" s="177" t="str">
        <f t="array" ref="P54">if(W56="top",indirect($W54&amp;"!"&amp;"A8"),indirect($W54&amp;"!"&amp;"A14"))</f>
        <v>Telly</v>
      </c>
      <c r="Q54" s="35"/>
      <c r="R54" s="35"/>
      <c r="S54" s="35"/>
      <c r="T54" s="36"/>
      <c r="U54" s="178"/>
      <c r="V54" s="88"/>
      <c r="W54" s="116" t="s">
        <v>30</v>
      </c>
      <c r="X54" s="104" t="s">
        <v>12</v>
      </c>
      <c r="Y54" s="117">
        <f>if(L53=0,"",sum(AC55:AK55))</f>
        <v>-1</v>
      </c>
      <c r="Z54" s="117">
        <f>if(L53&lt;10,"",sum(AL55:AT55))</f>
        <v>1</v>
      </c>
      <c r="AA54" s="117">
        <f>if(L53&lt;10,"",sum(AC55:AT55))</f>
        <v>0</v>
      </c>
      <c r="AB54" s="106" t="s">
        <v>13</v>
      </c>
      <c r="AC54" s="107">
        <v>4.0</v>
      </c>
      <c r="AD54" s="107">
        <v>5.0</v>
      </c>
      <c r="AE54" s="107">
        <v>6.0</v>
      </c>
      <c r="AF54" s="107">
        <v>7.0</v>
      </c>
      <c r="AG54" s="107">
        <v>8.0</v>
      </c>
      <c r="AH54" s="107">
        <v>9.0</v>
      </c>
      <c r="AI54" s="107">
        <v>10.0</v>
      </c>
      <c r="AJ54" s="107">
        <v>11.0</v>
      </c>
      <c r="AK54" s="107">
        <v>12.0</v>
      </c>
      <c r="AL54" s="107">
        <v>16.0</v>
      </c>
      <c r="AM54" s="107">
        <v>17.0</v>
      </c>
      <c r="AN54" s="107">
        <v>18.0</v>
      </c>
      <c r="AO54" s="107">
        <v>19.0</v>
      </c>
      <c r="AP54" s="107">
        <v>20.0</v>
      </c>
      <c r="AQ54" s="107">
        <v>21.0</v>
      </c>
      <c r="AR54" s="107">
        <v>22.0</v>
      </c>
      <c r="AS54" s="107">
        <v>23.0</v>
      </c>
      <c r="AT54" s="107">
        <v>24.0</v>
      </c>
    </row>
    <row r="55" ht="11.25" customHeight="1">
      <c r="A55" s="108"/>
      <c r="B55" s="179"/>
      <c r="C55" s="180"/>
      <c r="D55" s="44"/>
      <c r="E55" s="44"/>
      <c r="F55" s="44"/>
      <c r="G55" s="45"/>
      <c r="H55" s="111"/>
      <c r="I55" s="120" t="str">
        <f>if(and(Y56&gt;0,Y54&lt;&gt;0,Y54&lt;&gt;"",Y57=""),abs(Y54)&amp;" UP",
if(abs(AG57)&gt;AG56,abs(AG57)&amp;"&amp;"&amp;AG56,
if(abs(AH57)&gt;AH56,abs(AH57)&amp;"&amp;"&amp;AH56,
if(abs(AI57)&gt;AI56,abs(AI57)&amp;"&amp;"&amp;AI56,
if(abs(AJ57)&gt;AJ56,abs(AJ57)&amp;"&amp;"&amp;AJ56,
if(abs(AK57)&gt;AK56,abs(AK57)&amp;"&amp;"&amp;AK56,"AS"))))))</f>
        <v>2&amp;1</v>
      </c>
      <c r="J55" s="20"/>
      <c r="K55" s="21"/>
      <c r="L55" s="120" t="str">
        <f>if(and(Z56&gt;0,Z54&lt;&gt;0,Z54&lt;&gt;"",Z57=""),abs(Z54)&amp;" UP",
if(abs(AP57)&gt;AP56,abs(AP57)&amp;"&amp;"&amp;AP56,
if(abs(AQ57)&gt;AQ56,abs(AQ57)&amp;"&amp;"&amp;AQ56,
if(abs(AR57)&gt;AR56,abs(AR57)&amp;"&amp;"&amp;AR56,
if(abs(AS57)&gt;AS56,abs(AS57)&amp;"&amp;"&amp;AS56,
if(abs(AT57)&gt;AT56,abs(AT57)&amp;"&amp;"&amp;AT56,"AS"))))))</f>
        <v>1&amp;0</v>
      </c>
      <c r="M55" s="20"/>
      <c r="N55" s="21"/>
      <c r="O55" s="113"/>
      <c r="P55" s="180"/>
      <c r="Q55" s="44"/>
      <c r="R55" s="44"/>
      <c r="S55" s="44"/>
      <c r="T55" s="45"/>
      <c r="U55" s="178"/>
      <c r="V55" s="88"/>
      <c r="W55" s="122" t="str">
        <f>$L$50</f>
        <v>Singles Matches</v>
      </c>
      <c r="X55" s="104" t="s">
        <v>14</v>
      </c>
      <c r="Y55" s="117">
        <f>if(L53=0,"",if(Y54=0,0,Y54*-1))</f>
        <v>1</v>
      </c>
      <c r="Z55" s="117">
        <f>if(L53&lt;10,"",if(Z54=0,0,Z54*-1))</f>
        <v>-1</v>
      </c>
      <c r="AA55" s="117">
        <f>if(L53&lt;10,"",if(AA54=0,0,AA54*-1))</f>
        <v>0</v>
      </c>
      <c r="AB55" s="106" t="s">
        <v>15</v>
      </c>
      <c r="AC55" s="123">
        <f t="shared" ref="AC55:AT55" si="18">VLOOKUP($W56&amp;" - Front",indirect($W54&amp;"!"&amp;"$B$28:$y$31"),AC54,false)</f>
        <v>1</v>
      </c>
      <c r="AD55" s="123">
        <f t="shared" si="18"/>
        <v>-1</v>
      </c>
      <c r="AE55" s="123">
        <f t="shared" si="18"/>
        <v>1</v>
      </c>
      <c r="AF55" s="123">
        <f t="shared" si="18"/>
        <v>-1</v>
      </c>
      <c r="AG55" s="123">
        <f t="shared" si="18"/>
        <v>-1</v>
      </c>
      <c r="AH55" s="123">
        <f t="shared" si="18"/>
        <v>-1</v>
      </c>
      <c r="AI55" s="123">
        <f t="shared" si="18"/>
        <v>0</v>
      </c>
      <c r="AJ55" s="123">
        <f t="shared" si="18"/>
        <v>0</v>
      </c>
      <c r="AK55" s="123">
        <f t="shared" si="18"/>
        <v>1</v>
      </c>
      <c r="AL55" s="123">
        <f t="shared" si="18"/>
        <v>0</v>
      </c>
      <c r="AM55" s="123">
        <f t="shared" si="18"/>
        <v>0</v>
      </c>
      <c r="AN55" s="123">
        <f t="shared" si="18"/>
        <v>0</v>
      </c>
      <c r="AO55" s="123">
        <f t="shared" si="18"/>
        <v>0</v>
      </c>
      <c r="AP55" s="123">
        <f t="shared" si="18"/>
        <v>0</v>
      </c>
      <c r="AQ55" s="123">
        <f t="shared" si="18"/>
        <v>-1</v>
      </c>
      <c r="AR55" s="123">
        <f t="shared" si="18"/>
        <v>1</v>
      </c>
      <c r="AS55" s="123">
        <f t="shared" si="18"/>
        <v>0</v>
      </c>
      <c r="AT55" s="123">
        <f t="shared" si="18"/>
        <v>1</v>
      </c>
    </row>
    <row r="56" ht="9.0" customHeight="1">
      <c r="A56" s="108"/>
      <c r="B56" s="179"/>
      <c r="C56" s="46"/>
      <c r="D56" s="125" t="s">
        <v>16</v>
      </c>
      <c r="G56" s="113"/>
      <c r="H56" s="111"/>
      <c r="I56" s="111"/>
      <c r="J56" s="112" t="s">
        <v>9</v>
      </c>
      <c r="N56" s="113"/>
      <c r="O56" s="113"/>
      <c r="P56" s="113"/>
      <c r="Q56" s="128" t="s">
        <v>16</v>
      </c>
      <c r="T56" s="46"/>
      <c r="U56" s="178"/>
      <c r="V56" s="88"/>
      <c r="W56" s="116" t="s">
        <v>31</v>
      </c>
      <c r="X56" s="104" t="s">
        <v>17</v>
      </c>
      <c r="Y56" s="117">
        <f t="array" ref="Y56">(countif(indirect(W54&amp;"!"&amp;"$E$20:$M$20"),""))</f>
        <v>0</v>
      </c>
      <c r="Z56" s="117">
        <f t="array" ref="Z56">(countif(indirect(W54&amp;"!"&amp;"$Q$20:$Y$20"),""))</f>
        <v>0</v>
      </c>
      <c r="AA56" s="117">
        <f t="array" ref="AA56">(countif(indirect(W54&amp;"!"&amp;"$E$20:$M$20"),""))
+(countif(indirect(W54&amp;"!"&amp;"$Q$20:$Y$20"),""))</f>
        <v>0</v>
      </c>
      <c r="AB56" s="105" t="s">
        <v>18</v>
      </c>
      <c r="AC56" s="105">
        <v>8.0</v>
      </c>
      <c r="AD56" s="105">
        <v>7.0</v>
      </c>
      <c r="AE56" s="105">
        <v>6.0</v>
      </c>
      <c r="AF56" s="105">
        <v>5.0</v>
      </c>
      <c r="AG56" s="105">
        <v>4.0</v>
      </c>
      <c r="AH56" s="105">
        <v>3.0</v>
      </c>
      <c r="AI56" s="105">
        <v>2.0</v>
      </c>
      <c r="AJ56" s="105">
        <v>1.0</v>
      </c>
      <c r="AK56" s="105">
        <v>0.0</v>
      </c>
      <c r="AL56" s="105">
        <v>8.0</v>
      </c>
      <c r="AM56" s="105">
        <v>7.0</v>
      </c>
      <c r="AN56" s="105">
        <v>6.0</v>
      </c>
      <c r="AO56" s="105">
        <v>5.0</v>
      </c>
      <c r="AP56" s="105">
        <v>4.0</v>
      </c>
      <c r="AQ56" s="105">
        <v>3.0</v>
      </c>
      <c r="AR56" s="105">
        <v>2.0</v>
      </c>
      <c r="AS56" s="105">
        <v>1.0</v>
      </c>
      <c r="AT56" s="105">
        <v>0.0</v>
      </c>
    </row>
    <row r="57" ht="11.25" customHeight="1">
      <c r="A57" s="108"/>
      <c r="B57" s="179"/>
      <c r="C57" s="46"/>
      <c r="D57" s="110">
        <f>if(Y58="","",sum(Y58:AA58))</f>
        <v>1.5</v>
      </c>
      <c r="E57" s="20"/>
      <c r="F57" s="21"/>
      <c r="G57" s="181"/>
      <c r="H57" s="111"/>
      <c r="I57" s="111"/>
      <c r="J57" s="120" t="str">
        <f>if(and(AA56&gt;0,AA54&lt;&gt;0,AA54&lt;&gt;"",AA57=""),abs(AA54)&amp;" UP",
if(abs(AG59)&gt;AG58,abs(AG59)&amp;"&amp;"&amp;AG58,
if(abs(AH59)&gt;AH58,abs(AH59)&amp;"&amp;"&amp;AH58,
if(abs(AI59)&gt;AI58,abs(AI59)&amp;"&amp;"&amp;AI58,
if(abs(AJ59)&gt;AJ58,abs(AJ59)&amp;"&amp;"&amp;AJ58,
if(abs(AK59)&gt;AK58,abs(AK59)&amp;"&amp;"&amp;AK58,
if(abs(AL59)&gt;AL58,abs(AL59)&amp;"&amp;"&amp;AL58,
if(abs(AM59)&gt;AM58,abs(AM59)&amp;"&amp;"&amp;AM58,
if(abs(AN59)&gt;AN58,abs(AN59)&amp;"&amp;"&amp;AN58,
if(abs(AO59)&gt;AO58,abs(AO59)&amp;"&amp;"&amp;AO58,
if(abs(AP59)&gt;AP58,abs(AP59)&amp;"&amp;"&amp;AP58,
if(abs(AQ59)&gt;AQ58,abs(AQ59)&amp;"&amp;"&amp;AQ58,
if(abs(AR59)&gt;AR58,abs(AR59)&amp;"&amp;"&amp;AR58,
if(abs(AS59)&gt;AS58,abs(AS59)&amp;"&amp;"&amp;AS58,
if(abs(AT59)&gt;AT58,abs(AT59)&amp;"&amp;"&amp;AT58,
"AS")))))))))))))))</f>
        <v>AS</v>
      </c>
      <c r="K57" s="20"/>
      <c r="L57" s="20"/>
      <c r="M57" s="21"/>
      <c r="N57" s="111"/>
      <c r="O57" s="111"/>
      <c r="P57" s="130"/>
      <c r="Q57" s="114">
        <f>if(Y57="","",sum(Y57:AA57))</f>
        <v>1.5</v>
      </c>
      <c r="R57" s="20"/>
      <c r="S57" s="21"/>
      <c r="T57" s="46"/>
      <c r="U57" s="178"/>
      <c r="V57" s="88"/>
      <c r="W57" s="103"/>
      <c r="X57" s="104" t="s">
        <v>19</v>
      </c>
      <c r="Y57" s="117">
        <f>if(Y54="","",if(or(Y54&gt;Y56,Y55&gt;Y56,and(Y54=0,Y56=0)),
if(Y54=0,vlookup($W55,'Master Input'!$O$12:$R$18,'Master Input'!P$11,false)/2,
if(Y54&gt;0,vlookup($W55,'Master Input'!$O$12:$R$18,'Master Input'!P$11,false),
if(Y54&lt;0,0,""))),""))</f>
        <v>0</v>
      </c>
      <c r="Z57" s="117">
        <f>if(Z54="","",if(or(Z54&gt;Z56,Z55&gt;Z56,and(Z54=0,Z56=0)),
if(Z54=0,vlookup($W55,'Master Input'!$O$12:$R$18,'Master Input'!Q$11,false)/2,
if(Z54&gt;0,vlookup($W55,'Master Input'!$O$12:$R$18,'Master Input'!Q$11,false),
if(Z54&lt;0,0,""))),""))</f>
        <v>1</v>
      </c>
      <c r="AA57" s="117">
        <f>if(AA54="","",if(or(AA54&gt;AA56,AA55&gt;AA56,and(AA54=0,AA56=0)),
if(AA54=0,vlookup($W55,'Master Input'!$O$12:$R$18,'Master Input'!R$11,false)/2,
if(AA54&gt;0,vlookup($W55,'Master Input'!$O$12:$R$18,'Master Input'!R$11,false),
if(AA54&lt;0,0,""))),""))</f>
        <v>0.5</v>
      </c>
      <c r="AB57" s="105" t="s">
        <v>20</v>
      </c>
      <c r="AC57" s="131">
        <f>if(AC55="","",AC55)</f>
        <v>1</v>
      </c>
      <c r="AD57" s="117">
        <f t="shared" ref="AD57:AK57" si="19">if(AD55="","",AD55+AC57)</f>
        <v>0</v>
      </c>
      <c r="AE57" s="117">
        <f t="shared" si="19"/>
        <v>1</v>
      </c>
      <c r="AF57" s="117">
        <f t="shared" si="19"/>
        <v>0</v>
      </c>
      <c r="AG57" s="117">
        <f t="shared" si="19"/>
        <v>-1</v>
      </c>
      <c r="AH57" s="117">
        <f t="shared" si="19"/>
        <v>-2</v>
      </c>
      <c r="AI57" s="117">
        <f t="shared" si="19"/>
        <v>-2</v>
      </c>
      <c r="AJ57" s="117">
        <f t="shared" si="19"/>
        <v>-2</v>
      </c>
      <c r="AK57" s="117">
        <f t="shared" si="19"/>
        <v>-1</v>
      </c>
      <c r="AL57" s="131">
        <f>if(AL55="","",AL55)</f>
        <v>0</v>
      </c>
      <c r="AM57" s="117">
        <f t="shared" ref="AM57:AT57" si="20">if(AM55="","",AM55+AL57)</f>
        <v>0</v>
      </c>
      <c r="AN57" s="117">
        <f t="shared" si="20"/>
        <v>0</v>
      </c>
      <c r="AO57" s="117">
        <f t="shared" si="20"/>
        <v>0</v>
      </c>
      <c r="AP57" s="117">
        <f t="shared" si="20"/>
        <v>0</v>
      </c>
      <c r="AQ57" s="117">
        <f t="shared" si="20"/>
        <v>-1</v>
      </c>
      <c r="AR57" s="117">
        <f t="shared" si="20"/>
        <v>0</v>
      </c>
      <c r="AS57" s="117">
        <f t="shared" si="20"/>
        <v>0</v>
      </c>
      <c r="AT57" s="117">
        <f t="shared" si="20"/>
        <v>1</v>
      </c>
    </row>
    <row r="58" ht="7.5" customHeight="1">
      <c r="A58" s="108"/>
      <c r="B58" s="182"/>
      <c r="C58" s="124"/>
      <c r="D58" s="124"/>
      <c r="E58" s="124"/>
      <c r="F58" s="124"/>
      <c r="G58" s="113"/>
      <c r="H58" s="111"/>
      <c r="I58" s="111"/>
      <c r="J58" s="111"/>
      <c r="K58" s="46"/>
      <c r="L58" s="46"/>
      <c r="M58" s="113"/>
      <c r="N58" s="113"/>
      <c r="O58" s="113"/>
      <c r="P58" s="113"/>
      <c r="Q58" s="46"/>
      <c r="R58" s="46"/>
      <c r="S58" s="46"/>
      <c r="T58" s="46"/>
      <c r="U58" s="178"/>
      <c r="V58" s="88"/>
      <c r="W58" s="103"/>
      <c r="X58" s="104" t="s">
        <v>21</v>
      </c>
      <c r="Y58" s="117">
        <f>if(Y57="","",vlookup($W55,'Master Input'!$O$12:$R$18,'Master Input'!P$11,false)-Y57)</f>
        <v>1</v>
      </c>
      <c r="Z58" s="117">
        <f>if(Z57="","",vlookup($W55,'Master Input'!$O$12:$R$18,'Master Input'!Q$11,false)-Z57)</f>
        <v>0</v>
      </c>
      <c r="AA58" s="117">
        <f>if(AA57="","",vlookup($W55,'Master Input'!$O$12:$R$18,'Master Input'!R$11,false)-AA57)</f>
        <v>0.5</v>
      </c>
      <c r="AB58" s="105" t="s">
        <v>22</v>
      </c>
      <c r="AC58" s="105">
        <v>17.0</v>
      </c>
      <c r="AD58" s="105">
        <v>16.0</v>
      </c>
      <c r="AE58" s="105">
        <v>15.0</v>
      </c>
      <c r="AF58" s="105">
        <v>14.0</v>
      </c>
      <c r="AG58" s="105">
        <v>13.0</v>
      </c>
      <c r="AH58" s="105">
        <v>12.0</v>
      </c>
      <c r="AI58" s="105">
        <v>11.0</v>
      </c>
      <c r="AJ58" s="105">
        <v>10.0</v>
      </c>
      <c r="AK58" s="105">
        <v>9.0</v>
      </c>
      <c r="AL58" s="105">
        <v>8.0</v>
      </c>
      <c r="AM58" s="105">
        <v>7.0</v>
      </c>
      <c r="AN58" s="105">
        <v>6.0</v>
      </c>
      <c r="AO58" s="105">
        <v>5.0</v>
      </c>
      <c r="AP58" s="105">
        <v>4.0</v>
      </c>
      <c r="AQ58" s="105">
        <v>3.0</v>
      </c>
      <c r="AR58" s="105">
        <v>2.0</v>
      </c>
      <c r="AS58" s="105">
        <v>1.0</v>
      </c>
      <c r="AT58" s="105">
        <v>0.0</v>
      </c>
    </row>
    <row r="59" ht="11.25" customHeight="1">
      <c r="A59" s="108"/>
      <c r="B59" s="182"/>
      <c r="C59" s="183">
        <v>1.0</v>
      </c>
      <c r="D59" s="183">
        <v>2.0</v>
      </c>
      <c r="E59" s="183">
        <v>3.0</v>
      </c>
      <c r="F59" s="183">
        <v>4.0</v>
      </c>
      <c r="G59" s="183">
        <v>5.0</v>
      </c>
      <c r="H59" s="183">
        <v>6.0</v>
      </c>
      <c r="I59" s="183">
        <v>7.0</v>
      </c>
      <c r="J59" s="183">
        <v>8.0</v>
      </c>
      <c r="K59" s="184">
        <v>9.0</v>
      </c>
      <c r="L59" s="185">
        <v>10.0</v>
      </c>
      <c r="M59" s="183">
        <v>11.0</v>
      </c>
      <c r="N59" s="183">
        <v>12.0</v>
      </c>
      <c r="O59" s="183">
        <v>13.0</v>
      </c>
      <c r="P59" s="183">
        <v>14.0</v>
      </c>
      <c r="Q59" s="183">
        <v>15.0</v>
      </c>
      <c r="R59" s="183">
        <v>16.0</v>
      </c>
      <c r="S59" s="183">
        <v>17.0</v>
      </c>
      <c r="T59" s="183">
        <v>18.0</v>
      </c>
      <c r="U59" s="178"/>
      <c r="V59" s="88"/>
      <c r="W59" s="103"/>
      <c r="X59" s="104"/>
      <c r="Y59" s="105"/>
      <c r="Z59" s="105"/>
      <c r="AA59" s="105"/>
      <c r="AB59" s="105" t="s">
        <v>23</v>
      </c>
      <c r="AC59" s="131">
        <f>if(AC55="","",AC55)</f>
        <v>1</v>
      </c>
      <c r="AD59" s="117">
        <f t="shared" ref="AD59:AT59" si="21">if(AD55="","",AD55+AC59)</f>
        <v>0</v>
      </c>
      <c r="AE59" s="117">
        <f t="shared" si="21"/>
        <v>1</v>
      </c>
      <c r="AF59" s="117">
        <f t="shared" si="21"/>
        <v>0</v>
      </c>
      <c r="AG59" s="117">
        <f t="shared" si="21"/>
        <v>-1</v>
      </c>
      <c r="AH59" s="117">
        <f t="shared" si="21"/>
        <v>-2</v>
      </c>
      <c r="AI59" s="117">
        <f t="shared" si="21"/>
        <v>-2</v>
      </c>
      <c r="AJ59" s="117">
        <f t="shared" si="21"/>
        <v>-2</v>
      </c>
      <c r="AK59" s="117">
        <f t="shared" si="21"/>
        <v>-1</v>
      </c>
      <c r="AL59" s="117">
        <f t="shared" si="21"/>
        <v>-1</v>
      </c>
      <c r="AM59" s="117">
        <f t="shared" si="21"/>
        <v>-1</v>
      </c>
      <c r="AN59" s="117">
        <f t="shared" si="21"/>
        <v>-1</v>
      </c>
      <c r="AO59" s="117">
        <f t="shared" si="21"/>
        <v>-1</v>
      </c>
      <c r="AP59" s="117">
        <f t="shared" si="21"/>
        <v>-1</v>
      </c>
      <c r="AQ59" s="117">
        <f t="shared" si="21"/>
        <v>-2</v>
      </c>
      <c r="AR59" s="117">
        <f t="shared" si="21"/>
        <v>-1</v>
      </c>
      <c r="AS59" s="117">
        <f t="shared" si="21"/>
        <v>-1</v>
      </c>
      <c r="AT59" s="117">
        <f t="shared" si="21"/>
        <v>0</v>
      </c>
    </row>
    <row r="60" ht="7.5" customHeight="1">
      <c r="A60" s="108"/>
      <c r="B60" s="186"/>
      <c r="C60" s="187"/>
      <c r="D60" s="187"/>
      <c r="E60" s="187"/>
      <c r="F60" s="187"/>
      <c r="G60" s="187"/>
      <c r="H60" s="188"/>
      <c r="I60" s="188"/>
      <c r="J60" s="189"/>
      <c r="K60" s="189"/>
      <c r="L60" s="189"/>
      <c r="M60" s="189"/>
      <c r="N60" s="190"/>
      <c r="O60" s="190"/>
      <c r="P60" s="187"/>
      <c r="Q60" s="187"/>
      <c r="R60" s="187"/>
      <c r="S60" s="187"/>
      <c r="T60" s="187"/>
      <c r="U60" s="191"/>
      <c r="V60" s="88"/>
      <c r="W60" s="103"/>
      <c r="X60" s="63"/>
      <c r="Y60" s="142"/>
      <c r="Z60" s="142"/>
      <c r="AA60" s="142"/>
      <c r="AB60" s="81"/>
      <c r="AC60" s="82"/>
      <c r="AD60" s="82"/>
      <c r="AE60" s="82"/>
      <c r="AF60" s="82"/>
      <c r="AG60" s="82"/>
      <c r="AH60" s="82"/>
      <c r="AI60" s="82"/>
      <c r="AJ60" s="82"/>
      <c r="AK60" s="82"/>
      <c r="AL60" s="82"/>
      <c r="AM60" s="82"/>
      <c r="AN60" s="82"/>
      <c r="AO60" s="82"/>
      <c r="AP60" s="82"/>
      <c r="AQ60" s="82"/>
      <c r="AR60" s="82"/>
      <c r="AS60" s="82"/>
      <c r="AT60" s="82"/>
    </row>
    <row r="61" ht="7.5" customHeight="1">
      <c r="A61" s="147"/>
      <c r="B61" s="148"/>
      <c r="C61" s="192"/>
      <c r="D61" s="192"/>
      <c r="E61" s="192"/>
      <c r="F61" s="192"/>
      <c r="G61" s="192"/>
      <c r="H61" s="192"/>
      <c r="I61" s="4"/>
      <c r="J61" s="192"/>
      <c r="K61" s="192"/>
      <c r="L61" s="192"/>
      <c r="M61" s="192"/>
      <c r="N61" s="4"/>
      <c r="O61" s="192"/>
      <c r="P61" s="192"/>
      <c r="Q61" s="192"/>
      <c r="R61" s="192"/>
      <c r="S61" s="192"/>
      <c r="T61" s="192"/>
      <c r="U61" s="51"/>
      <c r="V61" s="88"/>
      <c r="W61" s="89"/>
      <c r="X61" s="90"/>
      <c r="Y61" s="149"/>
      <c r="Z61" s="149"/>
      <c r="AA61" s="149"/>
      <c r="AB61" s="150"/>
      <c r="AC61" s="151"/>
      <c r="AD61" s="151"/>
      <c r="AE61" s="151"/>
      <c r="AF61" s="151"/>
      <c r="AG61" s="151"/>
      <c r="AH61" s="151"/>
      <c r="AI61" s="151"/>
      <c r="AJ61" s="151"/>
      <c r="AK61" s="151"/>
      <c r="AL61" s="151"/>
      <c r="AM61" s="151"/>
      <c r="AN61" s="151"/>
      <c r="AO61" s="151"/>
      <c r="AP61" s="151"/>
      <c r="AQ61" s="151"/>
      <c r="AR61" s="151"/>
      <c r="AS61" s="151"/>
      <c r="AT61" s="151"/>
    </row>
    <row r="62" ht="9.0" customHeight="1">
      <c r="A62" s="165" t="str">
        <f>W63</f>
        <v>R2_G1</v>
      </c>
      <c r="B62" s="166"/>
      <c r="C62" s="167" t="s">
        <v>24</v>
      </c>
      <c r="D62" s="157"/>
      <c r="E62" s="157"/>
      <c r="F62" s="157"/>
      <c r="G62" s="157"/>
      <c r="H62" s="168"/>
      <c r="I62" s="168"/>
      <c r="J62" s="169"/>
      <c r="K62" s="170" t="s">
        <v>6</v>
      </c>
      <c r="L62" s="171">
        <f>18-countif(AC64:AT64,"")
</f>
        <v>18</v>
      </c>
      <c r="M62" s="172"/>
      <c r="N62" s="173"/>
      <c r="O62" s="173"/>
      <c r="P62" s="173"/>
      <c r="Q62" s="173"/>
      <c r="R62" s="173"/>
      <c r="S62" s="173"/>
      <c r="T62" s="173"/>
      <c r="U62" s="174"/>
      <c r="V62" s="88"/>
      <c r="W62" s="103"/>
      <c r="X62" s="104"/>
      <c r="Y62" s="105" t="s">
        <v>7</v>
      </c>
      <c r="Z62" s="105" t="s">
        <v>8</v>
      </c>
      <c r="AA62" s="105" t="s">
        <v>9</v>
      </c>
      <c r="AB62" s="106" t="s">
        <v>10</v>
      </c>
      <c r="AC62" s="107">
        <v>1.0</v>
      </c>
      <c r="AD62" s="107">
        <v>2.0</v>
      </c>
      <c r="AE62" s="107">
        <v>3.0</v>
      </c>
      <c r="AF62" s="107">
        <v>4.0</v>
      </c>
      <c r="AG62" s="107">
        <v>5.0</v>
      </c>
      <c r="AH62" s="107">
        <v>6.0</v>
      </c>
      <c r="AI62" s="107">
        <v>7.0</v>
      </c>
      <c r="AJ62" s="107">
        <v>8.0</v>
      </c>
      <c r="AK62" s="107">
        <v>9.0</v>
      </c>
      <c r="AL62" s="107">
        <v>10.0</v>
      </c>
      <c r="AM62" s="107">
        <v>11.0</v>
      </c>
      <c r="AN62" s="107">
        <v>12.0</v>
      </c>
      <c r="AO62" s="107">
        <v>13.0</v>
      </c>
      <c r="AP62" s="107">
        <v>14.0</v>
      </c>
      <c r="AQ62" s="107">
        <v>15.0</v>
      </c>
      <c r="AR62" s="107">
        <v>16.0</v>
      </c>
      <c r="AS62" s="107">
        <v>17.0</v>
      </c>
      <c r="AT62" s="107">
        <v>18.0</v>
      </c>
    </row>
    <row r="63" ht="9.0" customHeight="1">
      <c r="A63" s="108"/>
      <c r="B63" s="175"/>
      <c r="C63" s="176" t="str">
        <f t="array" ref="C63">if(W65="top",indirect($W63&amp;"!"&amp;"A11"),indirect($W63&amp;"!"&amp;"A18"))</f>
        <v>Andy</v>
      </c>
      <c r="D63" s="35"/>
      <c r="E63" s="35"/>
      <c r="F63" s="35"/>
      <c r="G63" s="36"/>
      <c r="H63" s="111"/>
      <c r="I63" s="112" t="s">
        <v>7</v>
      </c>
      <c r="L63" s="112" t="s">
        <v>8</v>
      </c>
      <c r="O63" s="113"/>
      <c r="P63" s="177" t="str">
        <f t="array" ref="P63">if(W65="top",indirect($W63&amp;"!"&amp;"A8"),indirect($W63&amp;"!"&amp;"A15"))</f>
        <v>R-Mac</v>
      </c>
      <c r="Q63" s="35"/>
      <c r="R63" s="35"/>
      <c r="S63" s="35"/>
      <c r="T63" s="36"/>
      <c r="U63" s="178"/>
      <c r="V63" s="88"/>
      <c r="W63" s="116" t="s">
        <v>30</v>
      </c>
      <c r="X63" s="104" t="s">
        <v>12</v>
      </c>
      <c r="Y63" s="117">
        <f>if(L62=0,"",sum(AC64:AK64))</f>
        <v>0</v>
      </c>
      <c r="Z63" s="117">
        <f>if(L62&lt;10,"",sum(AL64:AT64))</f>
        <v>2</v>
      </c>
      <c r="AA63" s="117">
        <f>if(L62&lt;10,"",sum(AC64:AT64))</f>
        <v>2</v>
      </c>
      <c r="AB63" s="106" t="s">
        <v>13</v>
      </c>
      <c r="AC63" s="107">
        <v>4.0</v>
      </c>
      <c r="AD63" s="107">
        <v>5.0</v>
      </c>
      <c r="AE63" s="107">
        <v>6.0</v>
      </c>
      <c r="AF63" s="107">
        <v>7.0</v>
      </c>
      <c r="AG63" s="107">
        <v>8.0</v>
      </c>
      <c r="AH63" s="107">
        <v>9.0</v>
      </c>
      <c r="AI63" s="107">
        <v>10.0</v>
      </c>
      <c r="AJ63" s="107">
        <v>11.0</v>
      </c>
      <c r="AK63" s="107">
        <v>12.0</v>
      </c>
      <c r="AL63" s="107">
        <v>16.0</v>
      </c>
      <c r="AM63" s="107">
        <v>17.0</v>
      </c>
      <c r="AN63" s="107">
        <v>18.0</v>
      </c>
      <c r="AO63" s="107">
        <v>19.0</v>
      </c>
      <c r="AP63" s="107">
        <v>20.0</v>
      </c>
      <c r="AQ63" s="107">
        <v>21.0</v>
      </c>
      <c r="AR63" s="107">
        <v>22.0</v>
      </c>
      <c r="AS63" s="107">
        <v>23.0</v>
      </c>
      <c r="AT63" s="107">
        <v>24.0</v>
      </c>
    </row>
    <row r="64" ht="11.25" customHeight="1">
      <c r="A64" s="108"/>
      <c r="B64" s="179"/>
      <c r="C64" s="180"/>
      <c r="D64" s="44"/>
      <c r="E64" s="44"/>
      <c r="F64" s="44"/>
      <c r="G64" s="45"/>
      <c r="H64" s="111"/>
      <c r="I64" s="120" t="str">
        <f>if(and(Y65&gt;0,Y63&lt;&gt;0,Y63&lt;&gt;"",Y66=""),abs(Y63)&amp;" UP",
if(abs(AG66)&gt;AG65,abs(AG66)&amp;"&amp;"&amp;AG65,
if(abs(AH66)&gt;AH65,abs(AH66)&amp;"&amp;"&amp;AH65,
if(abs(AI66)&gt;AI65,abs(AI66)&amp;"&amp;"&amp;AI65,
if(abs(AJ66)&gt;AJ65,abs(AJ66)&amp;"&amp;"&amp;AJ65,
if(abs(AK66)&gt;AK65,abs(AK66)&amp;"&amp;"&amp;AK65,"AS"))))))</f>
        <v>AS</v>
      </c>
      <c r="J64" s="20"/>
      <c r="K64" s="21"/>
      <c r="L64" s="120" t="str">
        <f>if(and(Z65&gt;0,Z63&lt;&gt;0,Z63&lt;&gt;"",Z66=""),abs(Z63)&amp;" UP",
if(abs(AP66)&gt;AP65,abs(AP66)&amp;"&amp;"&amp;AP65,
if(abs(AQ66)&gt;AQ65,abs(AQ66)&amp;"&amp;"&amp;AQ65,
if(abs(AR66)&gt;AR65,abs(AR66)&amp;"&amp;"&amp;AR65,
if(abs(AS66)&gt;AS65,abs(AS66)&amp;"&amp;"&amp;AS65,
if(abs(AT66)&gt;AT65,abs(AT66)&amp;"&amp;"&amp;AT65,"AS"))))))</f>
        <v>2&amp;0</v>
      </c>
      <c r="M64" s="20"/>
      <c r="N64" s="21"/>
      <c r="O64" s="113"/>
      <c r="P64" s="180"/>
      <c r="Q64" s="44"/>
      <c r="R64" s="44"/>
      <c r="S64" s="44"/>
      <c r="T64" s="45"/>
      <c r="U64" s="178"/>
      <c r="V64" s="88"/>
      <c r="W64" s="122" t="str">
        <f>$L$50</f>
        <v>Singles Matches</v>
      </c>
      <c r="X64" s="104" t="s">
        <v>14</v>
      </c>
      <c r="Y64" s="117">
        <f>if(L62=0,"",if(Y63=0,0,Y63*-1))</f>
        <v>0</v>
      </c>
      <c r="Z64" s="117">
        <f>if(L62&lt;10,"",if(Z63=0,0,Z63*-1))</f>
        <v>-2</v>
      </c>
      <c r="AA64" s="117">
        <f>if(L62&lt;10,"",if(AA63=0,0,AA63*-1))</f>
        <v>-2</v>
      </c>
      <c r="AB64" s="106" t="s">
        <v>15</v>
      </c>
      <c r="AC64" s="123">
        <f t="shared" ref="AC64:AT64" si="22">VLOOKUP($W65&amp;" - Front",indirect($W63&amp;"!"&amp;"$B$28:$y$31"),AC63,false)</f>
        <v>-1</v>
      </c>
      <c r="AD64" s="123">
        <f t="shared" si="22"/>
        <v>0</v>
      </c>
      <c r="AE64" s="123">
        <f t="shared" si="22"/>
        <v>1</v>
      </c>
      <c r="AF64" s="123">
        <f t="shared" si="22"/>
        <v>1</v>
      </c>
      <c r="AG64" s="123">
        <f t="shared" si="22"/>
        <v>0</v>
      </c>
      <c r="AH64" s="123">
        <f t="shared" si="22"/>
        <v>0</v>
      </c>
      <c r="AI64" s="123">
        <f t="shared" si="22"/>
        <v>-1</v>
      </c>
      <c r="AJ64" s="123">
        <f t="shared" si="22"/>
        <v>1</v>
      </c>
      <c r="AK64" s="123">
        <f t="shared" si="22"/>
        <v>-1</v>
      </c>
      <c r="AL64" s="123">
        <f t="shared" si="22"/>
        <v>-1</v>
      </c>
      <c r="AM64" s="123">
        <f t="shared" si="22"/>
        <v>1</v>
      </c>
      <c r="AN64" s="123">
        <f t="shared" si="22"/>
        <v>1</v>
      </c>
      <c r="AO64" s="123">
        <f t="shared" si="22"/>
        <v>-1</v>
      </c>
      <c r="AP64" s="123">
        <f t="shared" si="22"/>
        <v>1</v>
      </c>
      <c r="AQ64" s="123">
        <f t="shared" si="22"/>
        <v>0</v>
      </c>
      <c r="AR64" s="123">
        <f t="shared" si="22"/>
        <v>0</v>
      </c>
      <c r="AS64" s="123">
        <f t="shared" si="22"/>
        <v>0</v>
      </c>
      <c r="AT64" s="123">
        <f t="shared" si="22"/>
        <v>1</v>
      </c>
    </row>
    <row r="65" ht="9.0" customHeight="1">
      <c r="A65" s="108"/>
      <c r="B65" s="179"/>
      <c r="C65" s="46"/>
      <c r="D65" s="125" t="s">
        <v>16</v>
      </c>
      <c r="G65" s="113"/>
      <c r="H65" s="111"/>
      <c r="I65" s="111"/>
      <c r="J65" s="112" t="s">
        <v>9</v>
      </c>
      <c r="N65" s="113"/>
      <c r="O65" s="113"/>
      <c r="P65" s="113"/>
      <c r="Q65" s="128" t="s">
        <v>16</v>
      </c>
      <c r="T65" s="46"/>
      <c r="U65" s="178"/>
      <c r="V65" s="88"/>
      <c r="W65" s="116" t="s">
        <v>32</v>
      </c>
      <c r="X65" s="104" t="s">
        <v>17</v>
      </c>
      <c r="Y65" s="117">
        <f t="array" ref="Y65">(countif(indirect(W63&amp;"!"&amp;"$E$20:$M$20"),""))</f>
        <v>0</v>
      </c>
      <c r="Z65" s="117">
        <f t="array" ref="Z65">(countif(indirect(W63&amp;"!"&amp;"$Q$20:$Y$20"),""))</f>
        <v>0</v>
      </c>
      <c r="AA65" s="117">
        <f t="array" ref="AA65">(countif(indirect(W63&amp;"!"&amp;"$E$20:$M$20"),""))
+(countif(indirect(W63&amp;"!"&amp;"$Q$20:$Y$20"),""))</f>
        <v>0</v>
      </c>
      <c r="AB65" s="105" t="s">
        <v>18</v>
      </c>
      <c r="AC65" s="105">
        <v>8.0</v>
      </c>
      <c r="AD65" s="105">
        <v>7.0</v>
      </c>
      <c r="AE65" s="105">
        <v>6.0</v>
      </c>
      <c r="AF65" s="105">
        <v>5.0</v>
      </c>
      <c r="AG65" s="105">
        <v>4.0</v>
      </c>
      <c r="AH65" s="105">
        <v>3.0</v>
      </c>
      <c r="AI65" s="105">
        <v>2.0</v>
      </c>
      <c r="AJ65" s="105">
        <v>1.0</v>
      </c>
      <c r="AK65" s="105">
        <v>0.0</v>
      </c>
      <c r="AL65" s="105">
        <v>8.0</v>
      </c>
      <c r="AM65" s="105">
        <v>7.0</v>
      </c>
      <c r="AN65" s="105">
        <v>6.0</v>
      </c>
      <c r="AO65" s="105">
        <v>5.0</v>
      </c>
      <c r="AP65" s="105">
        <v>4.0</v>
      </c>
      <c r="AQ65" s="105">
        <v>3.0</v>
      </c>
      <c r="AR65" s="105">
        <v>2.0</v>
      </c>
      <c r="AS65" s="105">
        <v>1.0</v>
      </c>
      <c r="AT65" s="105">
        <v>0.0</v>
      </c>
    </row>
    <row r="66" ht="11.25" customHeight="1">
      <c r="A66" s="108"/>
      <c r="B66" s="179"/>
      <c r="C66" s="46"/>
      <c r="D66" s="110">
        <f>if(Y67="","",sum(Y67:AA67))</f>
        <v>0.5</v>
      </c>
      <c r="E66" s="20"/>
      <c r="F66" s="21"/>
      <c r="G66" s="181"/>
      <c r="H66" s="111"/>
      <c r="I66" s="111"/>
      <c r="J66" s="120" t="str">
        <f>if(and(AA65&gt;0,AA63&lt;&gt;0,AA63&lt;&gt;"",AA66=""),abs(AA63)&amp;" UP",
if(abs(AG68)&gt;AG67,abs(AG68)&amp;"&amp;"&amp;AG67,
if(abs(AH68)&gt;AH67,abs(AH68)&amp;"&amp;"&amp;AH67,
if(abs(AI68)&gt;AI67,abs(AI68)&amp;"&amp;"&amp;AI67,
if(abs(AJ68)&gt;AJ67,abs(AJ68)&amp;"&amp;"&amp;AJ67,
if(abs(AK68)&gt;AK67,abs(AK68)&amp;"&amp;"&amp;AK67,
if(abs(AL68)&gt;AL67,abs(AL68)&amp;"&amp;"&amp;AL67,
if(abs(AM68)&gt;AM67,abs(AM68)&amp;"&amp;"&amp;AM67,
if(abs(AN68)&gt;AN67,abs(AN68)&amp;"&amp;"&amp;AN67,
if(abs(AO68)&gt;AO67,abs(AO68)&amp;"&amp;"&amp;AO67,
if(abs(AP68)&gt;AP67,abs(AP68)&amp;"&amp;"&amp;AP67,
if(abs(AQ68)&gt;AQ67,abs(AQ68)&amp;"&amp;"&amp;AQ67,
if(abs(AR68)&gt;AR67,abs(AR68)&amp;"&amp;"&amp;AR67,
if(abs(AS68)&gt;AS67,abs(AS68)&amp;"&amp;"&amp;AS67,
if(abs(AT68)&gt;AT67,abs(AT68)&amp;"&amp;"&amp;AT67,
"AS")))))))))))))))</f>
        <v>2&amp;0</v>
      </c>
      <c r="K66" s="20"/>
      <c r="L66" s="20"/>
      <c r="M66" s="21"/>
      <c r="N66" s="111"/>
      <c r="O66" s="111"/>
      <c r="P66" s="130"/>
      <c r="Q66" s="114">
        <f>if(Y66="","",sum(Y66:AA66))</f>
        <v>2.5</v>
      </c>
      <c r="R66" s="20"/>
      <c r="S66" s="21"/>
      <c r="T66" s="46"/>
      <c r="U66" s="178"/>
      <c r="V66" s="88"/>
      <c r="W66" s="103"/>
      <c r="X66" s="104" t="s">
        <v>19</v>
      </c>
      <c r="Y66" s="117">
        <f>if(Y63="","",if(or(Y63&gt;Y65,Y64&gt;Y65,and(Y63=0,Y65=0)),
if(Y63=0,vlookup($W64,'Master Input'!$O$12:$R$18,'Master Input'!P$11,false)/2,
if(Y63&gt;0,vlookup($W64,'Master Input'!$O$12:$R$18,'Master Input'!P$11,false),
if(Y63&lt;0,0,""))),""))</f>
        <v>0.5</v>
      </c>
      <c r="Z66" s="117">
        <f>if(Z63="","",if(or(Z63&gt;Z65,Z64&gt;Z65,and(Z63=0,Z65=0)),
if(Z63=0,vlookup($W64,'Master Input'!$O$12:$R$18,'Master Input'!Q$11,false)/2,
if(Z63&gt;0,vlookup($W64,'Master Input'!$O$12:$R$18,'Master Input'!Q$11,false),
if(Z63&lt;0,0,""))),""))</f>
        <v>1</v>
      </c>
      <c r="AA66" s="117">
        <f>if(AA63="","",if(or(AA63&gt;AA65,AA64&gt;AA65,and(AA63=0,AA65=0)),
if(AA63=0,vlookup($W64,'Master Input'!$O$12:$R$18,'Master Input'!R$11,false)/2,
if(AA63&gt;0,vlookup($W64,'Master Input'!$O$12:$R$18,'Master Input'!R$11,false),
if(AA63&lt;0,0,""))),""))</f>
        <v>1</v>
      </c>
      <c r="AB66" s="105" t="s">
        <v>20</v>
      </c>
      <c r="AC66" s="131">
        <f>if(AC64="","",AC64)</f>
        <v>-1</v>
      </c>
      <c r="AD66" s="117">
        <f t="shared" ref="AD66:AK66" si="23">if(AD64="","",AD64+AC66)</f>
        <v>-1</v>
      </c>
      <c r="AE66" s="117">
        <f t="shared" si="23"/>
        <v>0</v>
      </c>
      <c r="AF66" s="117">
        <f t="shared" si="23"/>
        <v>1</v>
      </c>
      <c r="AG66" s="117">
        <f t="shared" si="23"/>
        <v>1</v>
      </c>
      <c r="AH66" s="117">
        <f t="shared" si="23"/>
        <v>1</v>
      </c>
      <c r="AI66" s="117">
        <f t="shared" si="23"/>
        <v>0</v>
      </c>
      <c r="AJ66" s="117">
        <f t="shared" si="23"/>
        <v>1</v>
      </c>
      <c r="AK66" s="117">
        <f t="shared" si="23"/>
        <v>0</v>
      </c>
      <c r="AL66" s="131">
        <f>if(AL64="","",AL64)</f>
        <v>-1</v>
      </c>
      <c r="AM66" s="117">
        <f t="shared" ref="AM66:AT66" si="24">if(AM64="","",AM64+AL66)</f>
        <v>0</v>
      </c>
      <c r="AN66" s="117">
        <f t="shared" si="24"/>
        <v>1</v>
      </c>
      <c r="AO66" s="117">
        <f t="shared" si="24"/>
        <v>0</v>
      </c>
      <c r="AP66" s="117">
        <f t="shared" si="24"/>
        <v>1</v>
      </c>
      <c r="AQ66" s="117">
        <f t="shared" si="24"/>
        <v>1</v>
      </c>
      <c r="AR66" s="117">
        <f t="shared" si="24"/>
        <v>1</v>
      </c>
      <c r="AS66" s="117">
        <f t="shared" si="24"/>
        <v>1</v>
      </c>
      <c r="AT66" s="117">
        <f t="shared" si="24"/>
        <v>2</v>
      </c>
    </row>
    <row r="67" ht="7.5" customHeight="1">
      <c r="A67" s="108"/>
      <c r="B67" s="182"/>
      <c r="C67" s="124"/>
      <c r="D67" s="124"/>
      <c r="E67" s="124"/>
      <c r="F67" s="124"/>
      <c r="G67" s="113"/>
      <c r="H67" s="111"/>
      <c r="I67" s="111"/>
      <c r="J67" s="111"/>
      <c r="K67" s="46"/>
      <c r="L67" s="46"/>
      <c r="M67" s="113"/>
      <c r="N67" s="113"/>
      <c r="O67" s="113"/>
      <c r="P67" s="113"/>
      <c r="Q67" s="46"/>
      <c r="R67" s="46"/>
      <c r="S67" s="46"/>
      <c r="T67" s="46"/>
      <c r="U67" s="178"/>
      <c r="V67" s="88"/>
      <c r="W67" s="103"/>
      <c r="X67" s="104" t="s">
        <v>21</v>
      </c>
      <c r="Y67" s="117">
        <f>if(Y66="","",vlookup($W64,'Master Input'!$O$12:$R$18,'Master Input'!P$11,false)-Y66)</f>
        <v>0.5</v>
      </c>
      <c r="Z67" s="117">
        <f>if(Z66="","",vlookup($W64,'Master Input'!$O$12:$R$18,'Master Input'!Q$11,false)-Z66)</f>
        <v>0</v>
      </c>
      <c r="AA67" s="117">
        <f>if(AA66="","",vlookup($W64,'Master Input'!$O$12:$R$18,'Master Input'!R$11,false)-AA66)</f>
        <v>0</v>
      </c>
      <c r="AB67" s="105" t="s">
        <v>22</v>
      </c>
      <c r="AC67" s="105">
        <v>17.0</v>
      </c>
      <c r="AD67" s="105">
        <v>16.0</v>
      </c>
      <c r="AE67" s="105">
        <v>15.0</v>
      </c>
      <c r="AF67" s="105">
        <v>14.0</v>
      </c>
      <c r="AG67" s="105">
        <v>13.0</v>
      </c>
      <c r="AH67" s="105">
        <v>12.0</v>
      </c>
      <c r="AI67" s="105">
        <v>11.0</v>
      </c>
      <c r="AJ67" s="105">
        <v>10.0</v>
      </c>
      <c r="AK67" s="105">
        <v>9.0</v>
      </c>
      <c r="AL67" s="105">
        <v>8.0</v>
      </c>
      <c r="AM67" s="105">
        <v>7.0</v>
      </c>
      <c r="AN67" s="105">
        <v>6.0</v>
      </c>
      <c r="AO67" s="105">
        <v>5.0</v>
      </c>
      <c r="AP67" s="105">
        <v>4.0</v>
      </c>
      <c r="AQ67" s="105">
        <v>3.0</v>
      </c>
      <c r="AR67" s="105">
        <v>2.0</v>
      </c>
      <c r="AS67" s="105">
        <v>1.0</v>
      </c>
      <c r="AT67" s="105">
        <v>0.0</v>
      </c>
    </row>
    <row r="68" ht="11.25" customHeight="1">
      <c r="A68" s="108"/>
      <c r="B68" s="182"/>
      <c r="C68" s="183">
        <v>1.0</v>
      </c>
      <c r="D68" s="183">
        <v>2.0</v>
      </c>
      <c r="E68" s="183">
        <v>3.0</v>
      </c>
      <c r="F68" s="183">
        <v>4.0</v>
      </c>
      <c r="G68" s="183">
        <v>5.0</v>
      </c>
      <c r="H68" s="183">
        <v>6.0</v>
      </c>
      <c r="I68" s="183">
        <v>7.0</v>
      </c>
      <c r="J68" s="183">
        <v>8.0</v>
      </c>
      <c r="K68" s="184">
        <v>9.0</v>
      </c>
      <c r="L68" s="185">
        <v>10.0</v>
      </c>
      <c r="M68" s="183">
        <v>11.0</v>
      </c>
      <c r="N68" s="183">
        <v>12.0</v>
      </c>
      <c r="O68" s="183">
        <v>13.0</v>
      </c>
      <c r="P68" s="183">
        <v>14.0</v>
      </c>
      <c r="Q68" s="183">
        <v>15.0</v>
      </c>
      <c r="R68" s="183">
        <v>16.0</v>
      </c>
      <c r="S68" s="183">
        <v>17.0</v>
      </c>
      <c r="T68" s="183">
        <v>18.0</v>
      </c>
      <c r="U68" s="178"/>
      <c r="V68" s="88"/>
      <c r="W68" s="103"/>
      <c r="X68" s="104"/>
      <c r="Y68" s="105"/>
      <c r="Z68" s="105"/>
      <c r="AA68" s="105"/>
      <c r="AB68" s="105" t="s">
        <v>23</v>
      </c>
      <c r="AC68" s="131">
        <f>if(AC64="","",AC64)</f>
        <v>-1</v>
      </c>
      <c r="AD68" s="117">
        <f t="shared" ref="AD68:AT68" si="25">if(AD64="","",AD64+AC68)</f>
        <v>-1</v>
      </c>
      <c r="AE68" s="117">
        <f t="shared" si="25"/>
        <v>0</v>
      </c>
      <c r="AF68" s="117">
        <f t="shared" si="25"/>
        <v>1</v>
      </c>
      <c r="AG68" s="117">
        <f t="shared" si="25"/>
        <v>1</v>
      </c>
      <c r="AH68" s="117">
        <f t="shared" si="25"/>
        <v>1</v>
      </c>
      <c r="AI68" s="117">
        <f t="shared" si="25"/>
        <v>0</v>
      </c>
      <c r="AJ68" s="117">
        <f t="shared" si="25"/>
        <v>1</v>
      </c>
      <c r="AK68" s="117">
        <f t="shared" si="25"/>
        <v>0</v>
      </c>
      <c r="AL68" s="117">
        <f t="shared" si="25"/>
        <v>-1</v>
      </c>
      <c r="AM68" s="117">
        <f t="shared" si="25"/>
        <v>0</v>
      </c>
      <c r="AN68" s="117">
        <f t="shared" si="25"/>
        <v>1</v>
      </c>
      <c r="AO68" s="117">
        <f t="shared" si="25"/>
        <v>0</v>
      </c>
      <c r="AP68" s="117">
        <f t="shared" si="25"/>
        <v>1</v>
      </c>
      <c r="AQ68" s="117">
        <f t="shared" si="25"/>
        <v>1</v>
      </c>
      <c r="AR68" s="117">
        <f t="shared" si="25"/>
        <v>1</v>
      </c>
      <c r="AS68" s="117">
        <f t="shared" si="25"/>
        <v>1</v>
      </c>
      <c r="AT68" s="117">
        <f t="shared" si="25"/>
        <v>2</v>
      </c>
    </row>
    <row r="69" ht="7.5" customHeight="1">
      <c r="A69" s="108"/>
      <c r="B69" s="186"/>
      <c r="C69" s="187"/>
      <c r="D69" s="187"/>
      <c r="E69" s="187"/>
      <c r="F69" s="187"/>
      <c r="G69" s="187"/>
      <c r="H69" s="188"/>
      <c r="I69" s="188"/>
      <c r="J69" s="189"/>
      <c r="K69" s="189"/>
      <c r="L69" s="189"/>
      <c r="M69" s="189"/>
      <c r="N69" s="190"/>
      <c r="O69" s="190"/>
      <c r="P69" s="187"/>
      <c r="Q69" s="187"/>
      <c r="R69" s="187"/>
      <c r="S69" s="187"/>
      <c r="T69" s="187"/>
      <c r="U69" s="191"/>
      <c r="V69" s="88"/>
      <c r="W69" s="103"/>
      <c r="X69" s="63"/>
      <c r="Y69" s="142"/>
      <c r="Z69" s="142"/>
      <c r="AA69" s="142"/>
      <c r="AB69" s="81"/>
      <c r="AC69" s="82"/>
      <c r="AD69" s="82"/>
      <c r="AE69" s="82"/>
      <c r="AF69" s="82"/>
      <c r="AG69" s="82"/>
      <c r="AH69" s="82"/>
      <c r="AI69" s="82"/>
      <c r="AJ69" s="82"/>
      <c r="AK69" s="82"/>
      <c r="AL69" s="82"/>
      <c r="AM69" s="82"/>
      <c r="AN69" s="82"/>
      <c r="AO69" s="82"/>
      <c r="AP69" s="82"/>
      <c r="AQ69" s="82"/>
      <c r="AR69" s="82"/>
      <c r="AS69" s="82"/>
      <c r="AT69" s="82"/>
    </row>
    <row r="70" ht="7.5" customHeight="1">
      <c r="A70" s="147"/>
      <c r="B70" s="148"/>
      <c r="C70" s="192"/>
      <c r="D70" s="192"/>
      <c r="E70" s="192"/>
      <c r="F70" s="192"/>
      <c r="G70" s="192"/>
      <c r="H70" s="192"/>
      <c r="I70" s="4"/>
      <c r="J70" s="192"/>
      <c r="K70" s="192"/>
      <c r="L70" s="192"/>
      <c r="M70" s="192"/>
      <c r="N70" s="4"/>
      <c r="O70" s="192"/>
      <c r="P70" s="192"/>
      <c r="Q70" s="192"/>
      <c r="R70" s="192"/>
      <c r="S70" s="192"/>
      <c r="T70" s="192"/>
      <c r="U70" s="51"/>
      <c r="V70" s="88"/>
      <c r="W70" s="89"/>
      <c r="X70" s="90"/>
      <c r="Y70" s="149"/>
      <c r="Z70" s="149"/>
      <c r="AA70" s="149"/>
      <c r="AB70" s="150"/>
      <c r="AC70" s="151"/>
      <c r="AD70" s="151"/>
      <c r="AE70" s="151"/>
      <c r="AF70" s="151"/>
      <c r="AG70" s="151"/>
      <c r="AH70" s="151"/>
      <c r="AI70" s="151"/>
      <c r="AJ70" s="151"/>
      <c r="AK70" s="151"/>
      <c r="AL70" s="151"/>
      <c r="AM70" s="151"/>
      <c r="AN70" s="151"/>
      <c r="AO70" s="151"/>
      <c r="AP70" s="151"/>
      <c r="AQ70" s="151"/>
      <c r="AR70" s="151"/>
      <c r="AS70" s="151"/>
      <c r="AT70" s="151"/>
    </row>
    <row r="71" ht="9.0" customHeight="1">
      <c r="A71" s="165" t="str">
        <f>W72</f>
        <v>R2_G2</v>
      </c>
      <c r="B71" s="166"/>
      <c r="C71" s="167" t="s">
        <v>26</v>
      </c>
      <c r="D71" s="157"/>
      <c r="E71" s="157"/>
      <c r="F71" s="157"/>
      <c r="G71" s="157"/>
      <c r="H71" s="168"/>
      <c r="I71" s="168"/>
      <c r="J71" s="169"/>
      <c r="K71" s="170" t="s">
        <v>6</v>
      </c>
      <c r="L71" s="171">
        <f>18-countif(AC73:AT73,"")
</f>
        <v>18</v>
      </c>
      <c r="M71" s="172"/>
      <c r="N71" s="173"/>
      <c r="O71" s="173"/>
      <c r="P71" s="173"/>
      <c r="Q71" s="173"/>
      <c r="R71" s="173"/>
      <c r="S71" s="173"/>
      <c r="T71" s="173"/>
      <c r="U71" s="174"/>
      <c r="V71" s="88"/>
      <c r="W71" s="103"/>
      <c r="X71" s="104"/>
      <c r="Y71" s="105" t="s">
        <v>7</v>
      </c>
      <c r="Z71" s="105" t="s">
        <v>8</v>
      </c>
      <c r="AA71" s="105" t="s">
        <v>9</v>
      </c>
      <c r="AB71" s="106" t="s">
        <v>10</v>
      </c>
      <c r="AC71" s="107">
        <v>1.0</v>
      </c>
      <c r="AD71" s="107">
        <v>2.0</v>
      </c>
      <c r="AE71" s="107">
        <v>3.0</v>
      </c>
      <c r="AF71" s="107">
        <v>4.0</v>
      </c>
      <c r="AG71" s="107">
        <v>5.0</v>
      </c>
      <c r="AH71" s="107">
        <v>6.0</v>
      </c>
      <c r="AI71" s="107">
        <v>7.0</v>
      </c>
      <c r="AJ71" s="107">
        <v>8.0</v>
      </c>
      <c r="AK71" s="107">
        <v>9.0</v>
      </c>
      <c r="AL71" s="107">
        <v>10.0</v>
      </c>
      <c r="AM71" s="107">
        <v>11.0</v>
      </c>
      <c r="AN71" s="107">
        <v>12.0</v>
      </c>
      <c r="AO71" s="107">
        <v>13.0</v>
      </c>
      <c r="AP71" s="107">
        <v>14.0</v>
      </c>
      <c r="AQ71" s="107">
        <v>15.0</v>
      </c>
      <c r="AR71" s="107">
        <v>16.0</v>
      </c>
      <c r="AS71" s="107">
        <v>17.0</v>
      </c>
      <c r="AT71" s="107">
        <v>18.0</v>
      </c>
    </row>
    <row r="72" ht="9.0" customHeight="1">
      <c r="A72" s="108"/>
      <c r="B72" s="175"/>
      <c r="C72" s="176" t="str">
        <f t="array" ref="C72">if(W74="top",indirect($W72&amp;"!"&amp;"A11"),indirect($W72&amp;"!"&amp;"A17"))</f>
        <v>Pace</v>
      </c>
      <c r="D72" s="35"/>
      <c r="E72" s="35"/>
      <c r="F72" s="35"/>
      <c r="G72" s="36"/>
      <c r="H72" s="111"/>
      <c r="I72" s="112" t="s">
        <v>7</v>
      </c>
      <c r="L72" s="112" t="s">
        <v>8</v>
      </c>
      <c r="O72" s="113"/>
      <c r="P72" s="177" t="str">
        <f t="array" ref="P72">if(W74="top",indirect($W72&amp;"!"&amp;"A8"),indirect($W72&amp;"!"&amp;"A14"))</f>
        <v>Weezy</v>
      </c>
      <c r="Q72" s="35"/>
      <c r="R72" s="35"/>
      <c r="S72" s="35"/>
      <c r="T72" s="36"/>
      <c r="U72" s="178"/>
      <c r="V72" s="88"/>
      <c r="W72" s="116" t="s">
        <v>33</v>
      </c>
      <c r="X72" s="104" t="s">
        <v>12</v>
      </c>
      <c r="Y72" s="117">
        <f>if(L71=0,"",sum(AC73:AK73))</f>
        <v>1</v>
      </c>
      <c r="Z72" s="117">
        <f>if(L71&lt;10,"",sum(AL73:AT73))</f>
        <v>0</v>
      </c>
      <c r="AA72" s="117">
        <f>if(L71&lt;10,"",sum(AC73:AT73))</f>
        <v>1</v>
      </c>
      <c r="AB72" s="106" t="s">
        <v>13</v>
      </c>
      <c r="AC72" s="107">
        <v>4.0</v>
      </c>
      <c r="AD72" s="107">
        <v>5.0</v>
      </c>
      <c r="AE72" s="107">
        <v>6.0</v>
      </c>
      <c r="AF72" s="107">
        <v>7.0</v>
      </c>
      <c r="AG72" s="107">
        <v>8.0</v>
      </c>
      <c r="AH72" s="107">
        <v>9.0</v>
      </c>
      <c r="AI72" s="107">
        <v>10.0</v>
      </c>
      <c r="AJ72" s="107">
        <v>11.0</v>
      </c>
      <c r="AK72" s="107">
        <v>12.0</v>
      </c>
      <c r="AL72" s="107">
        <v>16.0</v>
      </c>
      <c r="AM72" s="107">
        <v>17.0</v>
      </c>
      <c r="AN72" s="107">
        <v>18.0</v>
      </c>
      <c r="AO72" s="107">
        <v>19.0</v>
      </c>
      <c r="AP72" s="107">
        <v>20.0</v>
      </c>
      <c r="AQ72" s="107">
        <v>21.0</v>
      </c>
      <c r="AR72" s="107">
        <v>22.0</v>
      </c>
      <c r="AS72" s="107">
        <v>23.0</v>
      </c>
      <c r="AT72" s="107">
        <v>24.0</v>
      </c>
    </row>
    <row r="73" ht="11.25" customHeight="1">
      <c r="A73" s="108"/>
      <c r="B73" s="179"/>
      <c r="C73" s="180"/>
      <c r="D73" s="44"/>
      <c r="E73" s="44"/>
      <c r="F73" s="44"/>
      <c r="G73" s="45"/>
      <c r="H73" s="111"/>
      <c r="I73" s="120" t="str">
        <f>if(and(Y74&gt;0,Y72&lt;&gt;0,Y72&lt;&gt;"",Y75=""),abs(Y72)&amp;" UP",
if(abs(AG75)&gt;AG74,abs(AG75)&amp;"&amp;"&amp;AG74,
if(abs(AH75)&gt;AH74,abs(AH75)&amp;"&amp;"&amp;AH74,
if(abs(AI75)&gt;AI74,abs(AI75)&amp;"&amp;"&amp;AI74,
if(abs(AJ75)&gt;AJ74,abs(AJ75)&amp;"&amp;"&amp;AJ74,
if(abs(AK75)&gt;AK74,abs(AK75)&amp;"&amp;"&amp;AK74,"AS"))))))</f>
        <v>2&amp;1</v>
      </c>
      <c r="J73" s="20"/>
      <c r="K73" s="21"/>
      <c r="L73" s="120" t="str">
        <f>if(and(Z74&gt;0,Z72&lt;&gt;0,Z72&lt;&gt;"",Z75=""),abs(Z72)&amp;" UP",
if(abs(AP75)&gt;AP74,abs(AP75)&amp;"&amp;"&amp;AP74,
if(abs(AQ75)&gt;AQ74,abs(AQ75)&amp;"&amp;"&amp;AQ74,
if(abs(AR75)&gt;AR74,abs(AR75)&amp;"&amp;"&amp;AR74,
if(abs(AS75)&gt;AS74,abs(AS75)&amp;"&amp;"&amp;AS74,
if(abs(AT75)&gt;AT74,abs(AT75)&amp;"&amp;"&amp;AT74,"AS"))))))</f>
        <v>AS</v>
      </c>
      <c r="M73" s="20"/>
      <c r="N73" s="21"/>
      <c r="O73" s="113"/>
      <c r="P73" s="180"/>
      <c r="Q73" s="44"/>
      <c r="R73" s="44"/>
      <c r="S73" s="44"/>
      <c r="T73" s="45"/>
      <c r="U73" s="178"/>
      <c r="V73" s="88"/>
      <c r="W73" s="122" t="str">
        <f>$L$50</f>
        <v>Singles Matches</v>
      </c>
      <c r="X73" s="104" t="s">
        <v>14</v>
      </c>
      <c r="Y73" s="117">
        <f>if(L71=0,"",if(Y72=0,0,Y72*-1))</f>
        <v>-1</v>
      </c>
      <c r="Z73" s="117">
        <f>if(L71&lt;10,"",if(Z72=0,0,Z72*-1))</f>
        <v>0</v>
      </c>
      <c r="AA73" s="117">
        <f>if(L71&lt;10,"",if(AA72=0,0,AA72*-1))</f>
        <v>-1</v>
      </c>
      <c r="AB73" s="106" t="s">
        <v>15</v>
      </c>
      <c r="AC73" s="123">
        <f t="shared" ref="AC73:AT73" si="26">VLOOKUP($W74&amp;" - Front",indirect($W72&amp;"!"&amp;"$B$28:$y$31"),AC72,false)</f>
        <v>1</v>
      </c>
      <c r="AD73" s="123">
        <f t="shared" si="26"/>
        <v>-1</v>
      </c>
      <c r="AE73" s="123">
        <f t="shared" si="26"/>
        <v>0</v>
      </c>
      <c r="AF73" s="123">
        <f t="shared" si="26"/>
        <v>1</v>
      </c>
      <c r="AG73" s="123">
        <f t="shared" si="26"/>
        <v>1</v>
      </c>
      <c r="AH73" s="123">
        <f t="shared" si="26"/>
        <v>-1</v>
      </c>
      <c r="AI73" s="123">
        <f t="shared" si="26"/>
        <v>1</v>
      </c>
      <c r="AJ73" s="123">
        <f t="shared" si="26"/>
        <v>0</v>
      </c>
      <c r="AK73" s="123">
        <f t="shared" si="26"/>
        <v>-1</v>
      </c>
      <c r="AL73" s="123">
        <f t="shared" si="26"/>
        <v>1</v>
      </c>
      <c r="AM73" s="123">
        <f t="shared" si="26"/>
        <v>1</v>
      </c>
      <c r="AN73" s="123">
        <f t="shared" si="26"/>
        <v>-1</v>
      </c>
      <c r="AO73" s="123">
        <f t="shared" si="26"/>
        <v>-1</v>
      </c>
      <c r="AP73" s="123">
        <f t="shared" si="26"/>
        <v>-1</v>
      </c>
      <c r="AQ73" s="123">
        <f t="shared" si="26"/>
        <v>0</v>
      </c>
      <c r="AR73" s="123">
        <f t="shared" si="26"/>
        <v>-1</v>
      </c>
      <c r="AS73" s="123">
        <f t="shared" si="26"/>
        <v>1</v>
      </c>
      <c r="AT73" s="123">
        <f t="shared" si="26"/>
        <v>1</v>
      </c>
    </row>
    <row r="74" ht="9.0" customHeight="1">
      <c r="A74" s="108"/>
      <c r="B74" s="179"/>
      <c r="C74" s="46"/>
      <c r="D74" s="125" t="s">
        <v>16</v>
      </c>
      <c r="G74" s="113"/>
      <c r="H74" s="111"/>
      <c r="I74" s="111"/>
      <c r="J74" s="112" t="s">
        <v>9</v>
      </c>
      <c r="N74" s="113"/>
      <c r="O74" s="113"/>
      <c r="P74" s="113"/>
      <c r="Q74" s="128" t="s">
        <v>16</v>
      </c>
      <c r="T74" s="46"/>
      <c r="U74" s="178"/>
      <c r="V74" s="88"/>
      <c r="W74" s="116" t="s">
        <v>31</v>
      </c>
      <c r="X74" s="104" t="s">
        <v>17</v>
      </c>
      <c r="Y74" s="117">
        <f t="array" ref="Y74">(countif(indirect(W72&amp;"!"&amp;"$E$20:$M$20"),""))</f>
        <v>0</v>
      </c>
      <c r="Z74" s="117">
        <f t="array" ref="Z74">(countif(indirect(W72&amp;"!"&amp;"$Q$20:$Y$20"),""))</f>
        <v>0</v>
      </c>
      <c r="AA74" s="117">
        <f t="array" ref="AA74">(countif(indirect(W72&amp;"!"&amp;"$E$20:$M$20"),""))
+(countif(indirect(W72&amp;"!"&amp;"$Q$20:$Y$20"),""))</f>
        <v>0</v>
      </c>
      <c r="AB74" s="105" t="s">
        <v>18</v>
      </c>
      <c r="AC74" s="105">
        <v>8.0</v>
      </c>
      <c r="AD74" s="105">
        <v>7.0</v>
      </c>
      <c r="AE74" s="105">
        <v>6.0</v>
      </c>
      <c r="AF74" s="105">
        <v>5.0</v>
      </c>
      <c r="AG74" s="105">
        <v>4.0</v>
      </c>
      <c r="AH74" s="105">
        <v>3.0</v>
      </c>
      <c r="AI74" s="105">
        <v>2.0</v>
      </c>
      <c r="AJ74" s="105">
        <v>1.0</v>
      </c>
      <c r="AK74" s="105">
        <v>0.0</v>
      </c>
      <c r="AL74" s="105">
        <v>8.0</v>
      </c>
      <c r="AM74" s="105">
        <v>7.0</v>
      </c>
      <c r="AN74" s="105">
        <v>6.0</v>
      </c>
      <c r="AO74" s="105">
        <v>5.0</v>
      </c>
      <c r="AP74" s="105">
        <v>4.0</v>
      </c>
      <c r="AQ74" s="105">
        <v>3.0</v>
      </c>
      <c r="AR74" s="105">
        <v>2.0</v>
      </c>
      <c r="AS74" s="105">
        <v>1.0</v>
      </c>
      <c r="AT74" s="105">
        <v>0.0</v>
      </c>
    </row>
    <row r="75" ht="11.25" customHeight="1">
      <c r="A75" s="108"/>
      <c r="B75" s="179"/>
      <c r="C75" s="46"/>
      <c r="D75" s="110">
        <f>if(Y76="","",sum(Y76:AA76))</f>
        <v>0.5</v>
      </c>
      <c r="E75" s="20"/>
      <c r="F75" s="21"/>
      <c r="G75" s="181"/>
      <c r="H75" s="111"/>
      <c r="I75" s="111"/>
      <c r="J75" s="120" t="str">
        <f>if(and(AA74&gt;0,AA72&lt;&gt;0,AA72&lt;&gt;"",AA75=""),abs(AA72)&amp;" UP",
if(abs(AG77)&gt;AG76,abs(AG77)&amp;"&amp;"&amp;AG76,
if(abs(AH77)&gt;AH76,abs(AH77)&amp;"&amp;"&amp;AH76,
if(abs(AI77)&gt;AI76,abs(AI77)&amp;"&amp;"&amp;AI76,
if(abs(AJ77)&gt;AJ76,abs(AJ77)&amp;"&amp;"&amp;AJ76,
if(abs(AK77)&gt;AK76,abs(AK77)&amp;"&amp;"&amp;AK76,
if(abs(AL77)&gt;AL76,abs(AL77)&amp;"&amp;"&amp;AL76,
if(abs(AM77)&gt;AM76,abs(AM77)&amp;"&amp;"&amp;AM76,
if(abs(AN77)&gt;AN76,abs(AN77)&amp;"&amp;"&amp;AN76,
if(abs(AO77)&gt;AO76,abs(AO77)&amp;"&amp;"&amp;AO76,
if(abs(AP77)&gt;AP76,abs(AP77)&amp;"&amp;"&amp;AP76,
if(abs(AQ77)&gt;AQ76,abs(AQ77)&amp;"&amp;"&amp;AQ76,
if(abs(AR77)&gt;AR76,abs(AR77)&amp;"&amp;"&amp;AR76,
if(abs(AS77)&gt;AS76,abs(AS77)&amp;"&amp;"&amp;AS76,
if(abs(AT77)&gt;AT76,abs(AT77)&amp;"&amp;"&amp;AT76,
"AS")))))))))))))))</f>
        <v>1&amp;0</v>
      </c>
      <c r="K75" s="20"/>
      <c r="L75" s="20"/>
      <c r="M75" s="21"/>
      <c r="N75" s="111"/>
      <c r="O75" s="111"/>
      <c r="P75" s="130"/>
      <c r="Q75" s="114">
        <f>if(Y75="","",sum(Y75:AA75))</f>
        <v>2.5</v>
      </c>
      <c r="R75" s="20"/>
      <c r="S75" s="21"/>
      <c r="T75" s="46"/>
      <c r="U75" s="178"/>
      <c r="V75" s="88"/>
      <c r="W75" s="103"/>
      <c r="X75" s="104" t="s">
        <v>19</v>
      </c>
      <c r="Y75" s="117">
        <f>if(Y72="","",if(or(Y72&gt;Y74,Y73&gt;Y74,and(Y72=0,Y74=0)),
if(Y72=0,vlookup($W73,'Master Input'!$O$12:$R$18,'Master Input'!P$11,false)/2,
if(Y72&gt;0,vlookup($W73,'Master Input'!$O$12:$R$18,'Master Input'!P$11,false),
if(Y72&lt;0,0,""))),""))</f>
        <v>1</v>
      </c>
      <c r="Z75" s="117">
        <f>if(Z72="","",if(or(Z72&gt;Z74,Z73&gt;Z74,and(Z72=0,Z74=0)),
if(Z72=0,vlookup($W73,'Master Input'!$O$12:$R$18,'Master Input'!Q$11,false)/2,
if(Z72&gt;0,vlookup($W73,'Master Input'!$O$12:$R$18,'Master Input'!Q$11,false),
if(Z72&lt;0,0,""))),""))</f>
        <v>0.5</v>
      </c>
      <c r="AA75" s="117">
        <f>if(AA72="","",if(or(AA72&gt;AA74,AA73&gt;AA74,and(AA72=0,AA74=0)),
if(AA72=0,vlookup($W73,'Master Input'!$O$12:$R$18,'Master Input'!R$11,false)/2,
if(AA72&gt;0,vlookup($W73,'Master Input'!$O$12:$R$18,'Master Input'!R$11,false),
if(AA72&lt;0,0,""))),""))</f>
        <v>1</v>
      </c>
      <c r="AB75" s="105" t="s">
        <v>20</v>
      </c>
      <c r="AC75" s="131">
        <f>if(AC73="","",AC73)</f>
        <v>1</v>
      </c>
      <c r="AD75" s="117">
        <f t="shared" ref="AD75:AK75" si="27">if(AD73="","",AD73+AC75)</f>
        <v>0</v>
      </c>
      <c r="AE75" s="117">
        <f t="shared" si="27"/>
        <v>0</v>
      </c>
      <c r="AF75" s="117">
        <f t="shared" si="27"/>
        <v>1</v>
      </c>
      <c r="AG75" s="117">
        <f t="shared" si="27"/>
        <v>2</v>
      </c>
      <c r="AH75" s="117">
        <f t="shared" si="27"/>
        <v>1</v>
      </c>
      <c r="AI75" s="117">
        <f t="shared" si="27"/>
        <v>2</v>
      </c>
      <c r="AJ75" s="117">
        <f t="shared" si="27"/>
        <v>2</v>
      </c>
      <c r="AK75" s="117">
        <f t="shared" si="27"/>
        <v>1</v>
      </c>
      <c r="AL75" s="131">
        <f>if(AL73="","",AL73)</f>
        <v>1</v>
      </c>
      <c r="AM75" s="117">
        <f t="shared" ref="AM75:AT75" si="28">if(AM73="","",AM73+AL75)</f>
        <v>2</v>
      </c>
      <c r="AN75" s="117">
        <f t="shared" si="28"/>
        <v>1</v>
      </c>
      <c r="AO75" s="117">
        <f t="shared" si="28"/>
        <v>0</v>
      </c>
      <c r="AP75" s="117">
        <f t="shared" si="28"/>
        <v>-1</v>
      </c>
      <c r="AQ75" s="117">
        <f t="shared" si="28"/>
        <v>-1</v>
      </c>
      <c r="AR75" s="117">
        <f t="shared" si="28"/>
        <v>-2</v>
      </c>
      <c r="AS75" s="117">
        <f t="shared" si="28"/>
        <v>-1</v>
      </c>
      <c r="AT75" s="117">
        <f t="shared" si="28"/>
        <v>0</v>
      </c>
    </row>
    <row r="76" ht="7.5" customHeight="1">
      <c r="A76" s="108"/>
      <c r="B76" s="182"/>
      <c r="C76" s="124"/>
      <c r="D76" s="124"/>
      <c r="E76" s="124"/>
      <c r="F76" s="124"/>
      <c r="G76" s="113"/>
      <c r="H76" s="111"/>
      <c r="I76" s="111"/>
      <c r="J76" s="111"/>
      <c r="K76" s="46"/>
      <c r="L76" s="46"/>
      <c r="M76" s="113"/>
      <c r="N76" s="113"/>
      <c r="O76" s="113"/>
      <c r="P76" s="113"/>
      <c r="Q76" s="46"/>
      <c r="R76" s="46"/>
      <c r="S76" s="46"/>
      <c r="T76" s="46"/>
      <c r="U76" s="178"/>
      <c r="V76" s="88"/>
      <c r="W76" s="103"/>
      <c r="X76" s="104" t="s">
        <v>21</v>
      </c>
      <c r="Y76" s="117">
        <f>if(Y75="","",vlookup($W73,'Master Input'!$O$12:$R$18,'Master Input'!P$11,false)-Y75)</f>
        <v>0</v>
      </c>
      <c r="Z76" s="117">
        <f>if(Z75="","",vlookup($W73,'Master Input'!$O$12:$R$18,'Master Input'!Q$11,false)-Z75)</f>
        <v>0.5</v>
      </c>
      <c r="AA76" s="117">
        <f>if(AA75="","",vlookup($W73,'Master Input'!$O$12:$R$18,'Master Input'!R$11,false)-AA75)</f>
        <v>0</v>
      </c>
      <c r="AB76" s="105" t="s">
        <v>22</v>
      </c>
      <c r="AC76" s="105">
        <v>17.0</v>
      </c>
      <c r="AD76" s="105">
        <v>16.0</v>
      </c>
      <c r="AE76" s="105">
        <v>15.0</v>
      </c>
      <c r="AF76" s="105">
        <v>14.0</v>
      </c>
      <c r="AG76" s="105">
        <v>13.0</v>
      </c>
      <c r="AH76" s="105">
        <v>12.0</v>
      </c>
      <c r="AI76" s="105">
        <v>11.0</v>
      </c>
      <c r="AJ76" s="105">
        <v>10.0</v>
      </c>
      <c r="AK76" s="105">
        <v>9.0</v>
      </c>
      <c r="AL76" s="105">
        <v>8.0</v>
      </c>
      <c r="AM76" s="105">
        <v>7.0</v>
      </c>
      <c r="AN76" s="105">
        <v>6.0</v>
      </c>
      <c r="AO76" s="105">
        <v>5.0</v>
      </c>
      <c r="AP76" s="105">
        <v>4.0</v>
      </c>
      <c r="AQ76" s="105">
        <v>3.0</v>
      </c>
      <c r="AR76" s="105">
        <v>2.0</v>
      </c>
      <c r="AS76" s="105">
        <v>1.0</v>
      </c>
      <c r="AT76" s="105">
        <v>0.0</v>
      </c>
    </row>
    <row r="77" ht="11.25" customHeight="1">
      <c r="A77" s="108"/>
      <c r="B77" s="182"/>
      <c r="C77" s="183">
        <v>1.0</v>
      </c>
      <c r="D77" s="183">
        <v>2.0</v>
      </c>
      <c r="E77" s="183">
        <v>3.0</v>
      </c>
      <c r="F77" s="183">
        <v>4.0</v>
      </c>
      <c r="G77" s="183">
        <v>5.0</v>
      </c>
      <c r="H77" s="183">
        <v>6.0</v>
      </c>
      <c r="I77" s="183">
        <v>7.0</v>
      </c>
      <c r="J77" s="183">
        <v>8.0</v>
      </c>
      <c r="K77" s="184">
        <v>9.0</v>
      </c>
      <c r="L77" s="185">
        <v>10.0</v>
      </c>
      <c r="M77" s="183">
        <v>11.0</v>
      </c>
      <c r="N77" s="183">
        <v>12.0</v>
      </c>
      <c r="O77" s="183">
        <v>13.0</v>
      </c>
      <c r="P77" s="183">
        <v>14.0</v>
      </c>
      <c r="Q77" s="183">
        <v>15.0</v>
      </c>
      <c r="R77" s="183">
        <v>16.0</v>
      </c>
      <c r="S77" s="183">
        <v>17.0</v>
      </c>
      <c r="T77" s="183">
        <v>18.0</v>
      </c>
      <c r="U77" s="178"/>
      <c r="V77" s="88"/>
      <c r="W77" s="103"/>
      <c r="X77" s="104"/>
      <c r="Y77" s="105"/>
      <c r="Z77" s="105"/>
      <c r="AA77" s="105"/>
      <c r="AB77" s="105" t="s">
        <v>23</v>
      </c>
      <c r="AC77" s="131">
        <f>if(AC73="","",AC73)</f>
        <v>1</v>
      </c>
      <c r="AD77" s="117">
        <f t="shared" ref="AD77:AT77" si="29">if(AD73="","",AD73+AC77)</f>
        <v>0</v>
      </c>
      <c r="AE77" s="117">
        <f t="shared" si="29"/>
        <v>0</v>
      </c>
      <c r="AF77" s="117">
        <f t="shared" si="29"/>
        <v>1</v>
      </c>
      <c r="AG77" s="117">
        <f t="shared" si="29"/>
        <v>2</v>
      </c>
      <c r="AH77" s="117">
        <f t="shared" si="29"/>
        <v>1</v>
      </c>
      <c r="AI77" s="117">
        <f t="shared" si="29"/>
        <v>2</v>
      </c>
      <c r="AJ77" s="117">
        <f t="shared" si="29"/>
        <v>2</v>
      </c>
      <c r="AK77" s="117">
        <f t="shared" si="29"/>
        <v>1</v>
      </c>
      <c r="AL77" s="117">
        <f t="shared" si="29"/>
        <v>2</v>
      </c>
      <c r="AM77" s="117">
        <f t="shared" si="29"/>
        <v>3</v>
      </c>
      <c r="AN77" s="117">
        <f t="shared" si="29"/>
        <v>2</v>
      </c>
      <c r="AO77" s="117">
        <f t="shared" si="29"/>
        <v>1</v>
      </c>
      <c r="AP77" s="117">
        <f t="shared" si="29"/>
        <v>0</v>
      </c>
      <c r="AQ77" s="117">
        <f t="shared" si="29"/>
        <v>0</v>
      </c>
      <c r="AR77" s="117">
        <f t="shared" si="29"/>
        <v>-1</v>
      </c>
      <c r="AS77" s="117">
        <f t="shared" si="29"/>
        <v>0</v>
      </c>
      <c r="AT77" s="117">
        <f t="shared" si="29"/>
        <v>1</v>
      </c>
    </row>
    <row r="78" ht="7.5" customHeight="1">
      <c r="A78" s="108"/>
      <c r="B78" s="186"/>
      <c r="C78" s="187"/>
      <c r="D78" s="187"/>
      <c r="E78" s="187"/>
      <c r="F78" s="187"/>
      <c r="G78" s="187"/>
      <c r="H78" s="188"/>
      <c r="I78" s="188"/>
      <c r="J78" s="189"/>
      <c r="K78" s="189"/>
      <c r="L78" s="189"/>
      <c r="M78" s="189"/>
      <c r="N78" s="190"/>
      <c r="O78" s="190"/>
      <c r="P78" s="187"/>
      <c r="Q78" s="187"/>
      <c r="R78" s="187"/>
      <c r="S78" s="187"/>
      <c r="T78" s="187"/>
      <c r="U78" s="191"/>
      <c r="V78" s="88"/>
      <c r="W78" s="103"/>
      <c r="X78" s="63"/>
      <c r="Y78" s="142"/>
      <c r="Z78" s="142"/>
      <c r="AA78" s="142"/>
      <c r="AB78" s="81"/>
      <c r="AC78" s="82"/>
      <c r="AD78" s="82"/>
      <c r="AE78" s="82"/>
      <c r="AF78" s="82"/>
      <c r="AG78" s="82"/>
      <c r="AH78" s="82"/>
      <c r="AI78" s="82"/>
      <c r="AJ78" s="82"/>
      <c r="AK78" s="82"/>
      <c r="AL78" s="82"/>
      <c r="AM78" s="82"/>
      <c r="AN78" s="82"/>
      <c r="AO78" s="82"/>
      <c r="AP78" s="82"/>
      <c r="AQ78" s="82"/>
      <c r="AR78" s="82"/>
      <c r="AS78" s="82"/>
      <c r="AT78" s="82"/>
    </row>
    <row r="79" ht="7.5" customHeight="1">
      <c r="A79" s="147"/>
      <c r="B79" s="148"/>
      <c r="C79" s="192"/>
      <c r="D79" s="192"/>
      <c r="E79" s="192"/>
      <c r="F79" s="192"/>
      <c r="G79" s="192"/>
      <c r="H79" s="192"/>
      <c r="I79" s="4"/>
      <c r="J79" s="192"/>
      <c r="K79" s="192"/>
      <c r="L79" s="192"/>
      <c r="M79" s="192"/>
      <c r="N79" s="4"/>
      <c r="O79" s="192"/>
      <c r="P79" s="192"/>
      <c r="Q79" s="192"/>
      <c r="R79" s="192"/>
      <c r="S79" s="192"/>
      <c r="T79" s="192"/>
      <c r="U79" s="51"/>
      <c r="V79" s="88"/>
      <c r="W79" s="89"/>
      <c r="X79" s="90"/>
      <c r="Y79" s="149"/>
      <c r="Z79" s="149"/>
      <c r="AA79" s="149"/>
      <c r="AB79" s="150"/>
      <c r="AC79" s="151"/>
      <c r="AD79" s="151"/>
      <c r="AE79" s="151"/>
      <c r="AF79" s="151"/>
      <c r="AG79" s="151"/>
      <c r="AH79" s="151"/>
      <c r="AI79" s="151"/>
      <c r="AJ79" s="151"/>
      <c r="AK79" s="151"/>
      <c r="AL79" s="151"/>
      <c r="AM79" s="151"/>
      <c r="AN79" s="151"/>
      <c r="AO79" s="151"/>
      <c r="AP79" s="151"/>
      <c r="AQ79" s="151"/>
      <c r="AR79" s="151"/>
      <c r="AS79" s="151"/>
      <c r="AT79" s="151"/>
    </row>
    <row r="80" ht="9.0" customHeight="1">
      <c r="A80" s="165" t="str">
        <f>W81</f>
        <v>R2_G2</v>
      </c>
      <c r="B80" s="166"/>
      <c r="C80" s="167" t="s">
        <v>28</v>
      </c>
      <c r="D80" s="157"/>
      <c r="E80" s="157"/>
      <c r="F80" s="157"/>
      <c r="G80" s="157"/>
      <c r="H80" s="168"/>
      <c r="I80" s="168"/>
      <c r="J80" s="169"/>
      <c r="K80" s="170" t="s">
        <v>6</v>
      </c>
      <c r="L80" s="171">
        <f>18-countif(AC82:AT82,"")
</f>
        <v>18</v>
      </c>
      <c r="M80" s="172"/>
      <c r="N80" s="173"/>
      <c r="O80" s="173"/>
      <c r="P80" s="173"/>
      <c r="Q80" s="173"/>
      <c r="R80" s="173"/>
      <c r="S80" s="173"/>
      <c r="T80" s="173"/>
      <c r="U80" s="174"/>
      <c r="V80" s="88"/>
      <c r="W80" s="103"/>
      <c r="X80" s="104"/>
      <c r="Y80" s="105" t="s">
        <v>7</v>
      </c>
      <c r="Z80" s="105" t="s">
        <v>8</v>
      </c>
      <c r="AA80" s="105" t="s">
        <v>9</v>
      </c>
      <c r="AB80" s="106" t="s">
        <v>10</v>
      </c>
      <c r="AC80" s="107">
        <v>1.0</v>
      </c>
      <c r="AD80" s="107">
        <v>2.0</v>
      </c>
      <c r="AE80" s="107">
        <v>3.0</v>
      </c>
      <c r="AF80" s="107">
        <v>4.0</v>
      </c>
      <c r="AG80" s="107">
        <v>5.0</v>
      </c>
      <c r="AH80" s="107">
        <v>6.0</v>
      </c>
      <c r="AI80" s="107">
        <v>7.0</v>
      </c>
      <c r="AJ80" s="107">
        <v>8.0</v>
      </c>
      <c r="AK80" s="107">
        <v>9.0</v>
      </c>
      <c r="AL80" s="107">
        <v>10.0</v>
      </c>
      <c r="AM80" s="107">
        <v>11.0</v>
      </c>
      <c r="AN80" s="107">
        <v>12.0</v>
      </c>
      <c r="AO80" s="107">
        <v>13.0</v>
      </c>
      <c r="AP80" s="107">
        <v>14.0</v>
      </c>
      <c r="AQ80" s="107">
        <v>15.0</v>
      </c>
      <c r="AR80" s="107">
        <v>16.0</v>
      </c>
      <c r="AS80" s="107">
        <v>17.0</v>
      </c>
      <c r="AT80" s="107">
        <v>18.0</v>
      </c>
    </row>
    <row r="81" ht="9.0" customHeight="1">
      <c r="A81" s="108"/>
      <c r="B81" s="175"/>
      <c r="C81" s="176" t="str">
        <f t="array" ref="C81">if(W83="top",indirect($W81&amp;"!"&amp;"A11"),indirect($W81&amp;"!"&amp;"A18"))</f>
        <v>House</v>
      </c>
      <c r="D81" s="35"/>
      <c r="E81" s="35"/>
      <c r="F81" s="35"/>
      <c r="G81" s="36"/>
      <c r="H81" s="111"/>
      <c r="I81" s="112" t="s">
        <v>7</v>
      </c>
      <c r="L81" s="112" t="s">
        <v>8</v>
      </c>
      <c r="O81" s="113"/>
      <c r="P81" s="177" t="str">
        <f t="array" ref="P81">if(W83="top",indirect($W81&amp;"!"&amp;"A8"),indirect($W81&amp;"!"&amp;"A15"))</f>
        <v>T-Mo</v>
      </c>
      <c r="Q81" s="35"/>
      <c r="R81" s="35"/>
      <c r="S81" s="35"/>
      <c r="T81" s="36"/>
      <c r="U81" s="178"/>
      <c r="V81" s="88"/>
      <c r="W81" s="116" t="s">
        <v>33</v>
      </c>
      <c r="X81" s="104" t="s">
        <v>12</v>
      </c>
      <c r="Y81" s="117">
        <f>if(L80=0,"",sum(AC82:AK82))</f>
        <v>1</v>
      </c>
      <c r="Z81" s="117">
        <f>if(L80&lt;10,"",sum(AL82:AT82))</f>
        <v>1</v>
      </c>
      <c r="AA81" s="117">
        <f>if(L80&lt;10,"",sum(AC82:AT82))</f>
        <v>2</v>
      </c>
      <c r="AB81" s="106" t="s">
        <v>13</v>
      </c>
      <c r="AC81" s="107">
        <v>4.0</v>
      </c>
      <c r="AD81" s="107">
        <v>5.0</v>
      </c>
      <c r="AE81" s="107">
        <v>6.0</v>
      </c>
      <c r="AF81" s="107">
        <v>7.0</v>
      </c>
      <c r="AG81" s="107">
        <v>8.0</v>
      </c>
      <c r="AH81" s="107">
        <v>9.0</v>
      </c>
      <c r="AI81" s="107">
        <v>10.0</v>
      </c>
      <c r="AJ81" s="107">
        <v>11.0</v>
      </c>
      <c r="AK81" s="107">
        <v>12.0</v>
      </c>
      <c r="AL81" s="107">
        <v>16.0</v>
      </c>
      <c r="AM81" s="107">
        <v>17.0</v>
      </c>
      <c r="AN81" s="107">
        <v>18.0</v>
      </c>
      <c r="AO81" s="107">
        <v>19.0</v>
      </c>
      <c r="AP81" s="107">
        <v>20.0</v>
      </c>
      <c r="AQ81" s="107">
        <v>21.0</v>
      </c>
      <c r="AR81" s="107">
        <v>22.0</v>
      </c>
      <c r="AS81" s="107">
        <v>23.0</v>
      </c>
      <c r="AT81" s="107">
        <v>24.0</v>
      </c>
    </row>
    <row r="82" ht="11.25" customHeight="1">
      <c r="A82" s="108"/>
      <c r="B82" s="179"/>
      <c r="C82" s="180"/>
      <c r="D82" s="44"/>
      <c r="E82" s="44"/>
      <c r="F82" s="44"/>
      <c r="G82" s="45"/>
      <c r="H82" s="111"/>
      <c r="I82" s="120" t="str">
        <f>if(and(Y83&gt;0,Y81&lt;&gt;0,Y81&lt;&gt;"",Y84=""),abs(Y81)&amp;" UP",
if(abs(AG84)&gt;AG83,abs(AG84)&amp;"&amp;"&amp;AG83,
if(abs(AH84)&gt;AH83,abs(AH84)&amp;"&amp;"&amp;AH83,
if(abs(AI84)&gt;AI83,abs(AI84)&amp;"&amp;"&amp;AI83,
if(abs(AJ84)&gt;AJ83,abs(AJ84)&amp;"&amp;"&amp;AJ83,
if(abs(AK84)&gt;AK83,abs(AK84)&amp;"&amp;"&amp;AK83,"AS"))))))</f>
        <v>1&amp;0</v>
      </c>
      <c r="J82" s="20"/>
      <c r="K82" s="21"/>
      <c r="L82" s="120" t="str">
        <f>if(and(Z83&gt;0,Z81&lt;&gt;0,Z81&lt;&gt;"",Z84=""),abs(Z81)&amp;" UP",
if(abs(AP84)&gt;AP83,abs(AP84)&amp;"&amp;"&amp;AP83,
if(abs(AQ84)&gt;AQ83,abs(AQ84)&amp;"&amp;"&amp;AQ83,
if(abs(AR84)&gt;AR83,abs(AR84)&amp;"&amp;"&amp;AR83,
if(abs(AS84)&gt;AS83,abs(AS84)&amp;"&amp;"&amp;AS83,
if(abs(AT84)&gt;AT83,abs(AT84)&amp;"&amp;"&amp;AT83,"AS"))))))</f>
        <v>1&amp;0</v>
      </c>
      <c r="M82" s="20"/>
      <c r="N82" s="21"/>
      <c r="O82" s="113"/>
      <c r="P82" s="180"/>
      <c r="Q82" s="44"/>
      <c r="R82" s="44"/>
      <c r="S82" s="44"/>
      <c r="T82" s="45"/>
      <c r="U82" s="178"/>
      <c r="V82" s="88"/>
      <c r="W82" s="122" t="str">
        <f>$L$50</f>
        <v>Singles Matches</v>
      </c>
      <c r="X82" s="104" t="s">
        <v>14</v>
      </c>
      <c r="Y82" s="117">
        <f>if(L80=0,"",if(Y81=0,0,Y81*-1))</f>
        <v>-1</v>
      </c>
      <c r="Z82" s="117">
        <f>if(L80&lt;10,"",if(Z81=0,0,Z81*-1))</f>
        <v>-1</v>
      </c>
      <c r="AA82" s="117">
        <f>if(L80&lt;10,"",if(AA81=0,0,AA81*-1))</f>
        <v>-2</v>
      </c>
      <c r="AB82" s="106" t="s">
        <v>15</v>
      </c>
      <c r="AC82" s="123">
        <f t="shared" ref="AC82:AT82" si="30">VLOOKUP($W83&amp;" - Front",indirect($W81&amp;"!"&amp;"$B$28:$y$31"),AC81,false)</f>
        <v>-1</v>
      </c>
      <c r="AD82" s="123">
        <f t="shared" si="30"/>
        <v>0</v>
      </c>
      <c r="AE82" s="123">
        <f t="shared" si="30"/>
        <v>0</v>
      </c>
      <c r="AF82" s="123">
        <f t="shared" si="30"/>
        <v>-1</v>
      </c>
      <c r="AG82" s="123">
        <f t="shared" si="30"/>
        <v>1</v>
      </c>
      <c r="AH82" s="123">
        <f t="shared" si="30"/>
        <v>0</v>
      </c>
      <c r="AI82" s="123">
        <f t="shared" si="30"/>
        <v>0</v>
      </c>
      <c r="AJ82" s="123">
        <f t="shared" si="30"/>
        <v>1</v>
      </c>
      <c r="AK82" s="123">
        <f t="shared" si="30"/>
        <v>1</v>
      </c>
      <c r="AL82" s="123">
        <f t="shared" si="30"/>
        <v>0</v>
      </c>
      <c r="AM82" s="123">
        <f t="shared" si="30"/>
        <v>-1</v>
      </c>
      <c r="AN82" s="123">
        <f t="shared" si="30"/>
        <v>1</v>
      </c>
      <c r="AO82" s="123">
        <f t="shared" si="30"/>
        <v>1</v>
      </c>
      <c r="AP82" s="123">
        <f t="shared" si="30"/>
        <v>0</v>
      </c>
      <c r="AQ82" s="123">
        <f t="shared" si="30"/>
        <v>-1</v>
      </c>
      <c r="AR82" s="123">
        <f t="shared" si="30"/>
        <v>0</v>
      </c>
      <c r="AS82" s="123">
        <f t="shared" si="30"/>
        <v>1</v>
      </c>
      <c r="AT82" s="123">
        <f t="shared" si="30"/>
        <v>0</v>
      </c>
    </row>
    <row r="83" ht="9.0" customHeight="1">
      <c r="A83" s="108"/>
      <c r="B83" s="179"/>
      <c r="C83" s="46"/>
      <c r="D83" s="125" t="s">
        <v>16</v>
      </c>
      <c r="G83" s="113"/>
      <c r="H83" s="111"/>
      <c r="I83" s="111"/>
      <c r="J83" s="112" t="s">
        <v>9</v>
      </c>
      <c r="N83" s="113"/>
      <c r="O83" s="113"/>
      <c r="P83" s="113"/>
      <c r="Q83" s="128" t="s">
        <v>16</v>
      </c>
      <c r="T83" s="46"/>
      <c r="U83" s="178"/>
      <c r="V83" s="88"/>
      <c r="W83" s="116" t="s">
        <v>32</v>
      </c>
      <c r="X83" s="104" t="s">
        <v>17</v>
      </c>
      <c r="Y83" s="117">
        <f t="array" ref="Y83">(countif(indirect(W81&amp;"!"&amp;"$E$20:$M$20"),""))</f>
        <v>0</v>
      </c>
      <c r="Z83" s="117">
        <f t="array" ref="Z83">(countif(indirect(W81&amp;"!"&amp;"$Q$20:$Y$20"),""))</f>
        <v>0</v>
      </c>
      <c r="AA83" s="117">
        <f t="array" ref="AA83">(countif(indirect(W81&amp;"!"&amp;"$E$20:$M$20"),""))
+(countif(indirect(W81&amp;"!"&amp;"$Q$20:$Y$20"),""))</f>
        <v>0</v>
      </c>
      <c r="AB83" s="105" t="s">
        <v>18</v>
      </c>
      <c r="AC83" s="105">
        <v>8.0</v>
      </c>
      <c r="AD83" s="105">
        <v>7.0</v>
      </c>
      <c r="AE83" s="105">
        <v>6.0</v>
      </c>
      <c r="AF83" s="105">
        <v>5.0</v>
      </c>
      <c r="AG83" s="105">
        <v>4.0</v>
      </c>
      <c r="AH83" s="105">
        <v>3.0</v>
      </c>
      <c r="AI83" s="105">
        <v>2.0</v>
      </c>
      <c r="AJ83" s="105">
        <v>1.0</v>
      </c>
      <c r="AK83" s="105">
        <v>0.0</v>
      </c>
      <c r="AL83" s="105">
        <v>8.0</v>
      </c>
      <c r="AM83" s="105">
        <v>7.0</v>
      </c>
      <c r="AN83" s="105">
        <v>6.0</v>
      </c>
      <c r="AO83" s="105">
        <v>5.0</v>
      </c>
      <c r="AP83" s="105">
        <v>4.0</v>
      </c>
      <c r="AQ83" s="105">
        <v>3.0</v>
      </c>
      <c r="AR83" s="105">
        <v>2.0</v>
      </c>
      <c r="AS83" s="105">
        <v>1.0</v>
      </c>
      <c r="AT83" s="105">
        <v>0.0</v>
      </c>
    </row>
    <row r="84" ht="11.25" customHeight="1">
      <c r="A84" s="108"/>
      <c r="B84" s="179"/>
      <c r="C84" s="46"/>
      <c r="D84" s="110">
        <f>if(Y85="","",sum(Y85:AA85))</f>
        <v>0</v>
      </c>
      <c r="E84" s="20"/>
      <c r="F84" s="21"/>
      <c r="G84" s="181"/>
      <c r="H84" s="111"/>
      <c r="I84" s="111"/>
      <c r="J84" s="120" t="str">
        <f>if(and(AA83&gt;0,AA81&lt;&gt;0,AA81&lt;&gt;"",AA84=""),abs(AA81)&amp;" UP",
if(abs(AG86)&gt;AG85,abs(AG86)&amp;"&amp;"&amp;AG85,
if(abs(AH86)&gt;AH85,abs(AH86)&amp;"&amp;"&amp;AH85,
if(abs(AI86)&gt;AI85,abs(AI86)&amp;"&amp;"&amp;AI85,
if(abs(AJ86)&gt;AJ85,abs(AJ86)&amp;"&amp;"&amp;AJ85,
if(abs(AK86)&gt;AK85,abs(AK86)&amp;"&amp;"&amp;AK85,
if(abs(AL86)&gt;AL85,abs(AL86)&amp;"&amp;"&amp;AL85,
if(abs(AM86)&gt;AM85,abs(AM86)&amp;"&amp;"&amp;AM85,
if(abs(AN86)&gt;AN85,abs(AN86)&amp;"&amp;"&amp;AN85,
if(abs(AO86)&gt;AO85,abs(AO86)&amp;"&amp;"&amp;AO85,
if(abs(AP86)&gt;AP85,abs(AP86)&amp;"&amp;"&amp;AP85,
if(abs(AQ86)&gt;AQ85,abs(AQ86)&amp;"&amp;"&amp;AQ85,
if(abs(AR86)&gt;AR85,abs(AR86)&amp;"&amp;"&amp;AR85,
if(abs(AS86)&gt;AS85,abs(AS86)&amp;"&amp;"&amp;AS85,
if(abs(AT86)&gt;AT85,abs(AT86)&amp;"&amp;"&amp;AT85,
"AS")))))))))))))))</f>
        <v>2&amp;1</v>
      </c>
      <c r="K84" s="20"/>
      <c r="L84" s="20"/>
      <c r="M84" s="21"/>
      <c r="N84" s="111"/>
      <c r="O84" s="111"/>
      <c r="P84" s="130"/>
      <c r="Q84" s="114">
        <f>if(Y84="","",sum(Y84:AA84))</f>
        <v>3</v>
      </c>
      <c r="R84" s="20"/>
      <c r="S84" s="21"/>
      <c r="T84" s="46"/>
      <c r="U84" s="178"/>
      <c r="V84" s="88"/>
      <c r="W84" s="103"/>
      <c r="X84" s="104" t="s">
        <v>19</v>
      </c>
      <c r="Y84" s="117">
        <f>if(Y81="","",if(or(Y81&gt;Y83,Y82&gt;Y83,and(Y81=0,Y83=0)),
if(Y81=0,vlookup($W82,'Master Input'!$O$12:$R$18,'Master Input'!P$11,false)/2,
if(Y81&gt;0,vlookup($W82,'Master Input'!$O$12:$R$18,'Master Input'!P$11,false),
if(Y81&lt;0,0,""))),""))</f>
        <v>1</v>
      </c>
      <c r="Z84" s="117">
        <f>if(Z81="","",if(or(Z81&gt;Z83,Z82&gt;Z83,and(Z81=0,Z83=0)),
if(Z81=0,vlookup($W82,'Master Input'!$O$12:$R$18,'Master Input'!Q$11,false)/2,
if(Z81&gt;0,vlookup($W82,'Master Input'!$O$12:$R$18,'Master Input'!Q$11,false),
if(Z81&lt;0,0,""))),""))</f>
        <v>1</v>
      </c>
      <c r="AA84" s="117">
        <f>if(AA81="","",if(or(AA81&gt;AA83,AA82&gt;AA83,and(AA81=0,AA83=0)),
if(AA81=0,vlookup($W82,'Master Input'!$O$12:$R$18,'Master Input'!R$11,false)/2,
if(AA81&gt;0,vlookup($W82,'Master Input'!$O$12:$R$18,'Master Input'!R$11,false),
if(AA81&lt;0,0,""))),""))</f>
        <v>1</v>
      </c>
      <c r="AB84" s="105" t="s">
        <v>20</v>
      </c>
      <c r="AC84" s="131">
        <f>if(AC82="","",AC82)</f>
        <v>-1</v>
      </c>
      <c r="AD84" s="117">
        <f t="shared" ref="AD84:AK84" si="31">if(AD82="","",AD82+AC84)</f>
        <v>-1</v>
      </c>
      <c r="AE84" s="117">
        <f t="shared" si="31"/>
        <v>-1</v>
      </c>
      <c r="AF84" s="117">
        <f t="shared" si="31"/>
        <v>-2</v>
      </c>
      <c r="AG84" s="117">
        <f t="shared" si="31"/>
        <v>-1</v>
      </c>
      <c r="AH84" s="117">
        <f t="shared" si="31"/>
        <v>-1</v>
      </c>
      <c r="AI84" s="117">
        <f t="shared" si="31"/>
        <v>-1</v>
      </c>
      <c r="AJ84" s="117">
        <f t="shared" si="31"/>
        <v>0</v>
      </c>
      <c r="AK84" s="117">
        <f t="shared" si="31"/>
        <v>1</v>
      </c>
      <c r="AL84" s="131">
        <f>if(AL82="","",AL82)</f>
        <v>0</v>
      </c>
      <c r="AM84" s="117">
        <f t="shared" ref="AM84:AT84" si="32">if(AM82="","",AM82+AL84)</f>
        <v>-1</v>
      </c>
      <c r="AN84" s="117">
        <f t="shared" si="32"/>
        <v>0</v>
      </c>
      <c r="AO84" s="117">
        <f t="shared" si="32"/>
        <v>1</v>
      </c>
      <c r="AP84" s="117">
        <f t="shared" si="32"/>
        <v>1</v>
      </c>
      <c r="AQ84" s="117">
        <f t="shared" si="32"/>
        <v>0</v>
      </c>
      <c r="AR84" s="117">
        <f t="shared" si="32"/>
        <v>0</v>
      </c>
      <c r="AS84" s="117">
        <f t="shared" si="32"/>
        <v>1</v>
      </c>
      <c r="AT84" s="117">
        <f t="shared" si="32"/>
        <v>1</v>
      </c>
    </row>
    <row r="85" ht="7.5" customHeight="1">
      <c r="A85" s="108"/>
      <c r="B85" s="182"/>
      <c r="C85" s="124"/>
      <c r="D85" s="124"/>
      <c r="E85" s="124"/>
      <c r="F85" s="124"/>
      <c r="G85" s="113"/>
      <c r="H85" s="111"/>
      <c r="I85" s="111"/>
      <c r="J85" s="111"/>
      <c r="K85" s="46"/>
      <c r="L85" s="46"/>
      <c r="M85" s="113"/>
      <c r="N85" s="113"/>
      <c r="O85" s="113"/>
      <c r="P85" s="113"/>
      <c r="Q85" s="46"/>
      <c r="R85" s="46"/>
      <c r="S85" s="46"/>
      <c r="T85" s="46"/>
      <c r="U85" s="178"/>
      <c r="V85" s="88"/>
      <c r="W85" s="103"/>
      <c r="X85" s="104" t="s">
        <v>21</v>
      </c>
      <c r="Y85" s="117">
        <f>if(Y84="","",vlookup($W82,'Master Input'!$O$12:$R$18,'Master Input'!P$11,false)-Y84)</f>
        <v>0</v>
      </c>
      <c r="Z85" s="117">
        <f>if(Z84="","",vlookup($W82,'Master Input'!$O$12:$R$18,'Master Input'!Q$11,false)-Z84)</f>
        <v>0</v>
      </c>
      <c r="AA85" s="117">
        <f>if(AA84="","",vlookup($W82,'Master Input'!$O$12:$R$18,'Master Input'!R$11,false)-AA84)</f>
        <v>0</v>
      </c>
      <c r="AB85" s="105" t="s">
        <v>22</v>
      </c>
      <c r="AC85" s="105">
        <v>17.0</v>
      </c>
      <c r="AD85" s="105">
        <v>16.0</v>
      </c>
      <c r="AE85" s="105">
        <v>15.0</v>
      </c>
      <c r="AF85" s="105">
        <v>14.0</v>
      </c>
      <c r="AG85" s="105">
        <v>13.0</v>
      </c>
      <c r="AH85" s="105">
        <v>12.0</v>
      </c>
      <c r="AI85" s="105">
        <v>11.0</v>
      </c>
      <c r="AJ85" s="105">
        <v>10.0</v>
      </c>
      <c r="AK85" s="105">
        <v>9.0</v>
      </c>
      <c r="AL85" s="105">
        <v>8.0</v>
      </c>
      <c r="AM85" s="105">
        <v>7.0</v>
      </c>
      <c r="AN85" s="105">
        <v>6.0</v>
      </c>
      <c r="AO85" s="105">
        <v>5.0</v>
      </c>
      <c r="AP85" s="105">
        <v>4.0</v>
      </c>
      <c r="AQ85" s="105">
        <v>3.0</v>
      </c>
      <c r="AR85" s="105">
        <v>2.0</v>
      </c>
      <c r="AS85" s="105">
        <v>1.0</v>
      </c>
      <c r="AT85" s="105">
        <v>0.0</v>
      </c>
    </row>
    <row r="86" ht="11.25" customHeight="1">
      <c r="A86" s="108"/>
      <c r="B86" s="182"/>
      <c r="C86" s="183">
        <v>1.0</v>
      </c>
      <c r="D86" s="183">
        <v>2.0</v>
      </c>
      <c r="E86" s="183">
        <v>3.0</v>
      </c>
      <c r="F86" s="183">
        <v>4.0</v>
      </c>
      <c r="G86" s="183">
        <v>5.0</v>
      </c>
      <c r="H86" s="183">
        <v>6.0</v>
      </c>
      <c r="I86" s="183">
        <v>7.0</v>
      </c>
      <c r="J86" s="183">
        <v>8.0</v>
      </c>
      <c r="K86" s="184">
        <v>9.0</v>
      </c>
      <c r="L86" s="185">
        <v>10.0</v>
      </c>
      <c r="M86" s="183">
        <v>11.0</v>
      </c>
      <c r="N86" s="183">
        <v>12.0</v>
      </c>
      <c r="O86" s="183">
        <v>13.0</v>
      </c>
      <c r="P86" s="183">
        <v>14.0</v>
      </c>
      <c r="Q86" s="183">
        <v>15.0</v>
      </c>
      <c r="R86" s="183">
        <v>16.0</v>
      </c>
      <c r="S86" s="183">
        <v>17.0</v>
      </c>
      <c r="T86" s="183">
        <v>18.0</v>
      </c>
      <c r="U86" s="178"/>
      <c r="V86" s="88"/>
      <c r="W86" s="103"/>
      <c r="X86" s="104"/>
      <c r="Y86" s="105"/>
      <c r="Z86" s="105"/>
      <c r="AA86" s="105"/>
      <c r="AB86" s="105" t="s">
        <v>23</v>
      </c>
      <c r="AC86" s="131">
        <f>if(AC82="","",AC82)</f>
        <v>-1</v>
      </c>
      <c r="AD86" s="117">
        <f t="shared" ref="AD86:AT86" si="33">if(AD82="","",AD82+AC86)</f>
        <v>-1</v>
      </c>
      <c r="AE86" s="117">
        <f t="shared" si="33"/>
        <v>-1</v>
      </c>
      <c r="AF86" s="117">
        <f t="shared" si="33"/>
        <v>-2</v>
      </c>
      <c r="AG86" s="117">
        <f t="shared" si="33"/>
        <v>-1</v>
      </c>
      <c r="AH86" s="117">
        <f t="shared" si="33"/>
        <v>-1</v>
      </c>
      <c r="AI86" s="117">
        <f t="shared" si="33"/>
        <v>-1</v>
      </c>
      <c r="AJ86" s="117">
        <f t="shared" si="33"/>
        <v>0</v>
      </c>
      <c r="AK86" s="117">
        <f t="shared" si="33"/>
        <v>1</v>
      </c>
      <c r="AL86" s="117">
        <f t="shared" si="33"/>
        <v>1</v>
      </c>
      <c r="AM86" s="117">
        <f t="shared" si="33"/>
        <v>0</v>
      </c>
      <c r="AN86" s="117">
        <f t="shared" si="33"/>
        <v>1</v>
      </c>
      <c r="AO86" s="117">
        <f t="shared" si="33"/>
        <v>2</v>
      </c>
      <c r="AP86" s="117">
        <f t="shared" si="33"/>
        <v>2</v>
      </c>
      <c r="AQ86" s="117">
        <f t="shared" si="33"/>
        <v>1</v>
      </c>
      <c r="AR86" s="117">
        <f t="shared" si="33"/>
        <v>1</v>
      </c>
      <c r="AS86" s="117">
        <f t="shared" si="33"/>
        <v>2</v>
      </c>
      <c r="AT86" s="117">
        <f t="shared" si="33"/>
        <v>2</v>
      </c>
    </row>
    <row r="87" ht="7.5" customHeight="1">
      <c r="A87" s="108"/>
      <c r="B87" s="186"/>
      <c r="C87" s="187"/>
      <c r="D87" s="187"/>
      <c r="E87" s="187"/>
      <c r="F87" s="187"/>
      <c r="G87" s="187"/>
      <c r="H87" s="188"/>
      <c r="I87" s="188"/>
      <c r="J87" s="189"/>
      <c r="K87" s="189"/>
      <c r="L87" s="189"/>
      <c r="M87" s="189"/>
      <c r="N87" s="190"/>
      <c r="O87" s="190"/>
      <c r="P87" s="187"/>
      <c r="Q87" s="187"/>
      <c r="R87" s="187"/>
      <c r="S87" s="187"/>
      <c r="T87" s="187"/>
      <c r="U87" s="191"/>
      <c r="V87" s="88"/>
      <c r="W87" s="103"/>
      <c r="X87" s="63"/>
      <c r="Y87" s="142"/>
      <c r="Z87" s="142"/>
      <c r="AA87" s="142"/>
      <c r="AB87" s="81"/>
      <c r="AC87" s="82"/>
      <c r="AD87" s="82"/>
      <c r="AE87" s="82"/>
      <c r="AF87" s="82"/>
      <c r="AG87" s="82"/>
      <c r="AH87" s="82"/>
      <c r="AI87" s="82"/>
      <c r="AJ87" s="82"/>
      <c r="AK87" s="82"/>
      <c r="AL87" s="82"/>
      <c r="AM87" s="82"/>
      <c r="AN87" s="82"/>
      <c r="AO87" s="82"/>
      <c r="AP87" s="82"/>
      <c r="AQ87" s="82"/>
      <c r="AR87" s="82"/>
      <c r="AS87" s="82"/>
      <c r="AT87" s="82"/>
    </row>
    <row r="88" ht="7.5" customHeight="1">
      <c r="A88" s="147"/>
      <c r="B88" s="148"/>
      <c r="C88" s="192"/>
      <c r="D88" s="192"/>
      <c r="E88" s="192"/>
      <c r="F88" s="192"/>
      <c r="G88" s="192"/>
      <c r="H88" s="192"/>
      <c r="I88" s="4"/>
      <c r="J88" s="192"/>
      <c r="K88" s="192"/>
      <c r="L88" s="192"/>
      <c r="M88" s="192"/>
      <c r="N88" s="4"/>
      <c r="O88" s="192"/>
      <c r="P88" s="192"/>
      <c r="Q88" s="192"/>
      <c r="R88" s="192"/>
      <c r="S88" s="192"/>
      <c r="T88" s="192"/>
      <c r="U88" s="51"/>
      <c r="V88" s="88"/>
      <c r="W88" s="89"/>
      <c r="X88" s="90"/>
      <c r="Y88" s="149"/>
      <c r="Z88" s="149"/>
      <c r="AA88" s="149"/>
      <c r="AB88" s="150"/>
      <c r="AC88" s="151"/>
      <c r="AD88" s="151"/>
      <c r="AE88" s="151"/>
      <c r="AF88" s="151"/>
      <c r="AG88" s="151"/>
      <c r="AH88" s="151"/>
      <c r="AI88" s="151"/>
      <c r="AJ88" s="151"/>
      <c r="AK88" s="151"/>
      <c r="AL88" s="151"/>
      <c r="AM88" s="151"/>
      <c r="AN88" s="151"/>
      <c r="AO88" s="151"/>
      <c r="AP88" s="151"/>
      <c r="AQ88" s="151"/>
      <c r="AR88" s="151"/>
      <c r="AS88" s="151"/>
      <c r="AT88" s="151"/>
    </row>
    <row r="89" ht="9.0" customHeight="1">
      <c r="A89" s="165" t="str">
        <f>W90</f>
        <v>R2_G3</v>
      </c>
      <c r="B89" s="166"/>
      <c r="C89" s="167" t="s">
        <v>34</v>
      </c>
      <c r="D89" s="157"/>
      <c r="E89" s="157"/>
      <c r="F89" s="157"/>
      <c r="G89" s="157"/>
      <c r="H89" s="168"/>
      <c r="I89" s="168"/>
      <c r="J89" s="169"/>
      <c r="K89" s="170" t="s">
        <v>6</v>
      </c>
      <c r="L89" s="171">
        <f>18-countif(AC91:AT91,"")
</f>
        <v>18</v>
      </c>
      <c r="M89" s="172"/>
      <c r="N89" s="173"/>
      <c r="O89" s="173"/>
      <c r="P89" s="173"/>
      <c r="Q89" s="173"/>
      <c r="R89" s="173"/>
      <c r="S89" s="173"/>
      <c r="T89" s="173"/>
      <c r="U89" s="174"/>
      <c r="V89" s="193"/>
      <c r="W89" s="103"/>
      <c r="X89" s="104"/>
      <c r="Y89" s="105" t="s">
        <v>7</v>
      </c>
      <c r="Z89" s="105" t="s">
        <v>8</v>
      </c>
      <c r="AA89" s="105" t="s">
        <v>9</v>
      </c>
      <c r="AB89" s="106" t="s">
        <v>10</v>
      </c>
      <c r="AC89" s="107">
        <v>1.0</v>
      </c>
      <c r="AD89" s="107">
        <v>2.0</v>
      </c>
      <c r="AE89" s="107">
        <v>3.0</v>
      </c>
      <c r="AF89" s="107">
        <v>4.0</v>
      </c>
      <c r="AG89" s="107">
        <v>5.0</v>
      </c>
      <c r="AH89" s="107">
        <v>6.0</v>
      </c>
      <c r="AI89" s="107">
        <v>7.0</v>
      </c>
      <c r="AJ89" s="107">
        <v>8.0</v>
      </c>
      <c r="AK89" s="107">
        <v>9.0</v>
      </c>
      <c r="AL89" s="107">
        <v>10.0</v>
      </c>
      <c r="AM89" s="107">
        <v>11.0</v>
      </c>
      <c r="AN89" s="107">
        <v>12.0</v>
      </c>
      <c r="AO89" s="107">
        <v>13.0</v>
      </c>
      <c r="AP89" s="107">
        <v>14.0</v>
      </c>
      <c r="AQ89" s="107">
        <v>15.0</v>
      </c>
      <c r="AR89" s="107">
        <v>16.0</v>
      </c>
      <c r="AS89" s="107">
        <v>17.0</v>
      </c>
      <c r="AT89" s="107">
        <v>18.0</v>
      </c>
    </row>
    <row r="90" ht="9.0" customHeight="1">
      <c r="A90" s="108"/>
      <c r="B90" s="175"/>
      <c r="C90" s="176" t="str">
        <f t="array" ref="C90">if(W92="top",indirect($W90&amp;"!"&amp;"A11"),indirect($W90&amp;"!"&amp;"A17"))</f>
        <v>Jensen</v>
      </c>
      <c r="D90" s="35"/>
      <c r="E90" s="35"/>
      <c r="F90" s="35"/>
      <c r="G90" s="36"/>
      <c r="H90" s="111"/>
      <c r="I90" s="112" t="s">
        <v>7</v>
      </c>
      <c r="L90" s="112" t="s">
        <v>8</v>
      </c>
      <c r="O90" s="113"/>
      <c r="P90" s="177" t="str">
        <f t="array" ref="P90">if(W92="top",indirect($W90&amp;"!"&amp;"A8"),indirect($W90&amp;"!"&amp;"A14"))</f>
        <v>KJ</v>
      </c>
      <c r="Q90" s="35"/>
      <c r="R90" s="35"/>
      <c r="S90" s="35"/>
      <c r="T90" s="36"/>
      <c r="U90" s="178"/>
      <c r="V90" s="193"/>
      <c r="W90" s="116" t="s">
        <v>35</v>
      </c>
      <c r="X90" s="104" t="s">
        <v>12</v>
      </c>
      <c r="Y90" s="117">
        <f>if(L89=0,"",sum(AC91:AK91))</f>
        <v>-3</v>
      </c>
      <c r="Z90" s="117">
        <f>if(L89&lt;10,"",sum(AL91:AT91))</f>
        <v>4</v>
      </c>
      <c r="AA90" s="117">
        <f>if(L89&lt;10,"",sum(AC91:AT91))</f>
        <v>1</v>
      </c>
      <c r="AB90" s="106" t="s">
        <v>13</v>
      </c>
      <c r="AC90" s="107">
        <v>4.0</v>
      </c>
      <c r="AD90" s="107">
        <v>5.0</v>
      </c>
      <c r="AE90" s="107">
        <v>6.0</v>
      </c>
      <c r="AF90" s="107">
        <v>7.0</v>
      </c>
      <c r="AG90" s="107">
        <v>8.0</v>
      </c>
      <c r="AH90" s="107">
        <v>9.0</v>
      </c>
      <c r="AI90" s="107">
        <v>10.0</v>
      </c>
      <c r="AJ90" s="107">
        <v>11.0</v>
      </c>
      <c r="AK90" s="107">
        <v>12.0</v>
      </c>
      <c r="AL90" s="107">
        <v>16.0</v>
      </c>
      <c r="AM90" s="107">
        <v>17.0</v>
      </c>
      <c r="AN90" s="107">
        <v>18.0</v>
      </c>
      <c r="AO90" s="107">
        <v>19.0</v>
      </c>
      <c r="AP90" s="107">
        <v>20.0</v>
      </c>
      <c r="AQ90" s="107">
        <v>21.0</v>
      </c>
      <c r="AR90" s="107">
        <v>22.0</v>
      </c>
      <c r="AS90" s="107">
        <v>23.0</v>
      </c>
      <c r="AT90" s="107">
        <v>24.0</v>
      </c>
    </row>
    <row r="91" ht="11.25" customHeight="1">
      <c r="A91" s="108"/>
      <c r="B91" s="179"/>
      <c r="C91" s="180"/>
      <c r="D91" s="44"/>
      <c r="E91" s="44"/>
      <c r="F91" s="44"/>
      <c r="G91" s="45"/>
      <c r="H91" s="111"/>
      <c r="I91" s="120" t="str">
        <f>if(and(Y92&gt;0,Y90&lt;&gt;0,Y90&lt;&gt;"",Y93=""),abs(Y90)&amp;" UP",
if(abs(AG93)&gt;AG92,abs(AG93)&amp;"&amp;"&amp;AG92,
if(abs(AH93)&gt;AH92,abs(AH93)&amp;"&amp;"&amp;AH92,
if(abs(AI93)&gt;AI92,abs(AI93)&amp;"&amp;"&amp;AI92,
if(abs(AJ93)&gt;AJ92,abs(AJ93)&amp;"&amp;"&amp;AJ92,
if(abs(AK93)&gt;AK92,abs(AK93)&amp;"&amp;"&amp;AK92,"AS"))))))</f>
        <v>3&amp;1</v>
      </c>
      <c r="J91" s="20"/>
      <c r="K91" s="21"/>
      <c r="L91" s="120" t="str">
        <f>if(and(Z92&gt;0,Z90&lt;&gt;0,Z90&lt;&gt;"",Z93=""),abs(Z90)&amp;" UP",
if(abs(AP93)&gt;AP92,abs(AP93)&amp;"&amp;"&amp;AP92,
if(abs(AQ93)&gt;AQ92,abs(AQ93)&amp;"&amp;"&amp;AQ92,
if(abs(AR93)&gt;AR92,abs(AR93)&amp;"&amp;"&amp;AR92,
if(abs(AS93)&gt;AS92,abs(AS93)&amp;"&amp;"&amp;AS92,
if(abs(AT93)&gt;AT92,abs(AT93)&amp;"&amp;"&amp;AT92,"AS"))))))</f>
        <v>3&amp;1</v>
      </c>
      <c r="M91" s="20"/>
      <c r="N91" s="21"/>
      <c r="O91" s="113"/>
      <c r="P91" s="180"/>
      <c r="Q91" s="44"/>
      <c r="R91" s="44"/>
      <c r="S91" s="44"/>
      <c r="T91" s="45"/>
      <c r="U91" s="178"/>
      <c r="V91" s="193"/>
      <c r="W91" s="122" t="str">
        <f>$L$50</f>
        <v>Singles Matches</v>
      </c>
      <c r="X91" s="104" t="s">
        <v>14</v>
      </c>
      <c r="Y91" s="117">
        <f>if(L89=0,"",if(Y90=0,0,Y90*-1))</f>
        <v>3</v>
      </c>
      <c r="Z91" s="117">
        <f>if(L89&lt;10,"",if(Z90=0,0,Z90*-1))</f>
        <v>-4</v>
      </c>
      <c r="AA91" s="117">
        <f>if(L89&lt;10,"",if(AA90=0,0,AA90*-1))</f>
        <v>-1</v>
      </c>
      <c r="AB91" s="106" t="s">
        <v>15</v>
      </c>
      <c r="AC91" s="123">
        <f t="shared" ref="AC91:AT91" si="34">VLOOKUP($W92&amp;" - Front",indirect($W90&amp;"!"&amp;"$B$28:$y$31"),AC90,false)</f>
        <v>-1</v>
      </c>
      <c r="AD91" s="123">
        <f t="shared" si="34"/>
        <v>0</v>
      </c>
      <c r="AE91" s="123">
        <f t="shared" si="34"/>
        <v>0</v>
      </c>
      <c r="AF91" s="123">
        <f t="shared" si="34"/>
        <v>1</v>
      </c>
      <c r="AG91" s="123">
        <f t="shared" si="34"/>
        <v>0</v>
      </c>
      <c r="AH91" s="123">
        <f t="shared" si="34"/>
        <v>-1</v>
      </c>
      <c r="AI91" s="123">
        <f t="shared" si="34"/>
        <v>-1</v>
      </c>
      <c r="AJ91" s="123">
        <f t="shared" si="34"/>
        <v>-1</v>
      </c>
      <c r="AK91" s="123">
        <f t="shared" si="34"/>
        <v>0</v>
      </c>
      <c r="AL91" s="123">
        <f t="shared" si="34"/>
        <v>-1</v>
      </c>
      <c r="AM91" s="123">
        <f t="shared" si="34"/>
        <v>0</v>
      </c>
      <c r="AN91" s="123">
        <f t="shared" si="34"/>
        <v>0</v>
      </c>
      <c r="AO91" s="123">
        <f t="shared" si="34"/>
        <v>1</v>
      </c>
      <c r="AP91" s="123">
        <f t="shared" si="34"/>
        <v>1</v>
      </c>
      <c r="AQ91" s="123">
        <f t="shared" si="34"/>
        <v>0</v>
      </c>
      <c r="AR91" s="123">
        <f t="shared" si="34"/>
        <v>1</v>
      </c>
      <c r="AS91" s="123">
        <f t="shared" si="34"/>
        <v>1</v>
      </c>
      <c r="AT91" s="123">
        <f t="shared" si="34"/>
        <v>1</v>
      </c>
    </row>
    <row r="92" ht="9.0" customHeight="1">
      <c r="A92" s="108"/>
      <c r="B92" s="179"/>
      <c r="C92" s="46"/>
      <c r="D92" s="125" t="s">
        <v>16</v>
      </c>
      <c r="G92" s="113"/>
      <c r="H92" s="111"/>
      <c r="I92" s="111"/>
      <c r="J92" s="112" t="s">
        <v>9</v>
      </c>
      <c r="N92" s="113"/>
      <c r="O92" s="113"/>
      <c r="P92" s="113"/>
      <c r="Q92" s="128" t="s">
        <v>16</v>
      </c>
      <c r="T92" s="46"/>
      <c r="U92" s="178"/>
      <c r="V92" s="193"/>
      <c r="W92" s="116" t="s">
        <v>31</v>
      </c>
      <c r="X92" s="104" t="s">
        <v>17</v>
      </c>
      <c r="Y92" s="117">
        <f t="array" ref="Y92">(countif(indirect(W90&amp;"!"&amp;"$E$20:$M$20"),""))</f>
        <v>0</v>
      </c>
      <c r="Z92" s="117">
        <f t="array" ref="Z92">(countif(indirect(W90&amp;"!"&amp;"$Q$20:$Y$20"),""))</f>
        <v>0</v>
      </c>
      <c r="AA92" s="117">
        <f t="array" ref="AA92">(countif(indirect(W90&amp;"!"&amp;"$E$20:$M$20"),""))
+(countif(indirect(W90&amp;"!"&amp;"$Q$20:$Y$20"),""))</f>
        <v>0</v>
      </c>
      <c r="AB92" s="105" t="s">
        <v>18</v>
      </c>
      <c r="AC92" s="105">
        <v>8.0</v>
      </c>
      <c r="AD92" s="105">
        <v>7.0</v>
      </c>
      <c r="AE92" s="105">
        <v>6.0</v>
      </c>
      <c r="AF92" s="105">
        <v>5.0</v>
      </c>
      <c r="AG92" s="105">
        <v>4.0</v>
      </c>
      <c r="AH92" s="105">
        <v>3.0</v>
      </c>
      <c r="AI92" s="105">
        <v>2.0</v>
      </c>
      <c r="AJ92" s="105">
        <v>1.0</v>
      </c>
      <c r="AK92" s="105">
        <v>0.0</v>
      </c>
      <c r="AL92" s="105">
        <v>8.0</v>
      </c>
      <c r="AM92" s="105">
        <v>7.0</v>
      </c>
      <c r="AN92" s="105">
        <v>6.0</v>
      </c>
      <c r="AO92" s="105">
        <v>5.0</v>
      </c>
      <c r="AP92" s="105">
        <v>4.0</v>
      </c>
      <c r="AQ92" s="105">
        <v>3.0</v>
      </c>
      <c r="AR92" s="105">
        <v>2.0</v>
      </c>
      <c r="AS92" s="105">
        <v>1.0</v>
      </c>
      <c r="AT92" s="105">
        <v>0.0</v>
      </c>
    </row>
    <row r="93" ht="11.25" customHeight="1">
      <c r="A93" s="108"/>
      <c r="B93" s="179"/>
      <c r="C93" s="46"/>
      <c r="D93" s="110">
        <f>if(Y94="","",sum(Y94:AA94))</f>
        <v>1</v>
      </c>
      <c r="E93" s="20"/>
      <c r="F93" s="21"/>
      <c r="G93" s="181"/>
      <c r="H93" s="111"/>
      <c r="I93" s="111"/>
      <c r="J93" s="120" t="str">
        <f>if(and(AA92&gt;0,AA90&lt;&gt;0,AA90&lt;&gt;"",AA93=""),abs(AA90)&amp;" UP",
if(abs(AG95)&gt;AG94,abs(AG95)&amp;"&amp;"&amp;AG94,
if(abs(AH95)&gt;AH94,abs(AH95)&amp;"&amp;"&amp;AH94,
if(abs(AI95)&gt;AI94,abs(AI95)&amp;"&amp;"&amp;AI94,
if(abs(AJ95)&gt;AJ94,abs(AJ95)&amp;"&amp;"&amp;AJ94,
if(abs(AK95)&gt;AK94,abs(AK95)&amp;"&amp;"&amp;AK94,
if(abs(AL95)&gt;AL94,abs(AL95)&amp;"&amp;"&amp;AL94,
if(abs(AM95)&gt;AM94,abs(AM95)&amp;"&amp;"&amp;AM94,
if(abs(AN95)&gt;AN94,abs(AN95)&amp;"&amp;"&amp;AN94,
if(abs(AO95)&gt;AO94,abs(AO95)&amp;"&amp;"&amp;AO94,
if(abs(AP95)&gt;AP94,abs(AP95)&amp;"&amp;"&amp;AP94,
if(abs(AQ95)&gt;AQ94,abs(AQ95)&amp;"&amp;"&amp;AQ94,
if(abs(AR95)&gt;AR94,abs(AR95)&amp;"&amp;"&amp;AR94,
if(abs(AS95)&gt;AS94,abs(AS95)&amp;"&amp;"&amp;AS94,
if(abs(AT95)&gt;AT94,abs(AT95)&amp;"&amp;"&amp;AT94,
"AS")))))))))))))))</f>
        <v>1&amp;0</v>
      </c>
      <c r="K93" s="20"/>
      <c r="L93" s="20"/>
      <c r="M93" s="21"/>
      <c r="N93" s="111"/>
      <c r="O93" s="111"/>
      <c r="P93" s="130"/>
      <c r="Q93" s="114">
        <f>if(Y93="","",sum(Y93:AA93))</f>
        <v>2</v>
      </c>
      <c r="R93" s="20"/>
      <c r="S93" s="21"/>
      <c r="T93" s="46"/>
      <c r="U93" s="178"/>
      <c r="V93" s="193"/>
      <c r="W93" s="103"/>
      <c r="X93" s="104" t="s">
        <v>19</v>
      </c>
      <c r="Y93" s="117">
        <f>if(Y90="","",if(or(Y90&gt;Y92,Y91&gt;Y92,and(Y90=0,Y92=0)),
if(Y90=0,vlookup($W91,'Master Input'!$O$12:$R$18,'Master Input'!P$11,false)/2,
if(Y90&gt;0,vlookup($W91,'Master Input'!$O$12:$R$18,'Master Input'!P$11,false),
if(Y90&lt;0,0,""))),""))</f>
        <v>0</v>
      </c>
      <c r="Z93" s="117">
        <f>if(Z90="","",if(or(Z90&gt;Z92,Z91&gt;Z92,and(Z90=0,Z92=0)),
if(Z90=0,vlookup($W91,'Master Input'!$O$12:$R$18,'Master Input'!Q$11,false)/2,
if(Z90&gt;0,vlookup($W91,'Master Input'!$O$12:$R$18,'Master Input'!Q$11,false),
if(Z90&lt;0,0,""))),""))</f>
        <v>1</v>
      </c>
      <c r="AA93" s="117">
        <f>if(AA90="","",if(or(AA90&gt;AA92,AA91&gt;AA92,and(AA90=0,AA92=0)),
if(AA90=0,vlookup($W91,'Master Input'!$O$12:$R$18,'Master Input'!R$11,false)/2,
if(AA90&gt;0,vlookup($W91,'Master Input'!$O$12:$R$18,'Master Input'!R$11,false),
if(AA90&lt;0,0,""))),""))</f>
        <v>1</v>
      </c>
      <c r="AB93" s="105" t="s">
        <v>20</v>
      </c>
      <c r="AC93" s="131">
        <f>if(AC91="","",AC91)</f>
        <v>-1</v>
      </c>
      <c r="AD93" s="117">
        <f t="shared" ref="AD93:AK93" si="35">if(AD91="","",AD91+AC93)</f>
        <v>-1</v>
      </c>
      <c r="AE93" s="117">
        <f t="shared" si="35"/>
        <v>-1</v>
      </c>
      <c r="AF93" s="117">
        <f t="shared" si="35"/>
        <v>0</v>
      </c>
      <c r="AG93" s="117">
        <f t="shared" si="35"/>
        <v>0</v>
      </c>
      <c r="AH93" s="117">
        <f t="shared" si="35"/>
        <v>-1</v>
      </c>
      <c r="AI93" s="117">
        <f t="shared" si="35"/>
        <v>-2</v>
      </c>
      <c r="AJ93" s="117">
        <f t="shared" si="35"/>
        <v>-3</v>
      </c>
      <c r="AK93" s="117">
        <f t="shared" si="35"/>
        <v>-3</v>
      </c>
      <c r="AL93" s="131">
        <f>if(AL91="","",AL91)</f>
        <v>-1</v>
      </c>
      <c r="AM93" s="117">
        <f t="shared" ref="AM93:AT93" si="36">if(AM91="","",AM91+AL93)</f>
        <v>-1</v>
      </c>
      <c r="AN93" s="117">
        <f t="shared" si="36"/>
        <v>-1</v>
      </c>
      <c r="AO93" s="117">
        <f t="shared" si="36"/>
        <v>0</v>
      </c>
      <c r="AP93" s="117">
        <f t="shared" si="36"/>
        <v>1</v>
      </c>
      <c r="AQ93" s="117">
        <f t="shared" si="36"/>
        <v>1</v>
      </c>
      <c r="AR93" s="117">
        <f t="shared" si="36"/>
        <v>2</v>
      </c>
      <c r="AS93" s="117">
        <f t="shared" si="36"/>
        <v>3</v>
      </c>
      <c r="AT93" s="117">
        <f t="shared" si="36"/>
        <v>4</v>
      </c>
    </row>
    <row r="94" ht="7.5" customHeight="1">
      <c r="A94" s="108"/>
      <c r="B94" s="182"/>
      <c r="C94" s="124"/>
      <c r="D94" s="124"/>
      <c r="E94" s="124"/>
      <c r="F94" s="124"/>
      <c r="G94" s="113"/>
      <c r="H94" s="111"/>
      <c r="I94" s="111"/>
      <c r="J94" s="111"/>
      <c r="K94" s="46"/>
      <c r="L94" s="46"/>
      <c r="M94" s="113"/>
      <c r="N94" s="113"/>
      <c r="O94" s="113"/>
      <c r="P94" s="113"/>
      <c r="Q94" s="46"/>
      <c r="R94" s="46"/>
      <c r="S94" s="46"/>
      <c r="T94" s="46"/>
      <c r="U94" s="178"/>
      <c r="V94" s="193"/>
      <c r="W94" s="103"/>
      <c r="X94" s="104" t="s">
        <v>21</v>
      </c>
      <c r="Y94" s="117">
        <f>if(Y93="","",vlookup($W91,'Master Input'!$O$12:$R$18,'Master Input'!P$11,false)-Y93)</f>
        <v>1</v>
      </c>
      <c r="Z94" s="117">
        <f>if(Z93="","",vlookup($W91,'Master Input'!$O$12:$R$18,'Master Input'!Q$11,false)-Z93)</f>
        <v>0</v>
      </c>
      <c r="AA94" s="117">
        <f>if(AA93="","",vlookup($W91,'Master Input'!$O$12:$R$18,'Master Input'!R$11,false)-AA93)</f>
        <v>0</v>
      </c>
      <c r="AB94" s="105" t="s">
        <v>22</v>
      </c>
      <c r="AC94" s="105">
        <v>17.0</v>
      </c>
      <c r="AD94" s="105">
        <v>16.0</v>
      </c>
      <c r="AE94" s="105">
        <v>15.0</v>
      </c>
      <c r="AF94" s="105">
        <v>14.0</v>
      </c>
      <c r="AG94" s="105">
        <v>13.0</v>
      </c>
      <c r="AH94" s="105">
        <v>12.0</v>
      </c>
      <c r="AI94" s="105">
        <v>11.0</v>
      </c>
      <c r="AJ94" s="105">
        <v>10.0</v>
      </c>
      <c r="AK94" s="105">
        <v>9.0</v>
      </c>
      <c r="AL94" s="105">
        <v>8.0</v>
      </c>
      <c r="AM94" s="105">
        <v>7.0</v>
      </c>
      <c r="AN94" s="105">
        <v>6.0</v>
      </c>
      <c r="AO94" s="105">
        <v>5.0</v>
      </c>
      <c r="AP94" s="105">
        <v>4.0</v>
      </c>
      <c r="AQ94" s="105">
        <v>3.0</v>
      </c>
      <c r="AR94" s="105">
        <v>2.0</v>
      </c>
      <c r="AS94" s="105">
        <v>1.0</v>
      </c>
      <c r="AT94" s="105">
        <v>0.0</v>
      </c>
    </row>
    <row r="95" ht="11.25" customHeight="1">
      <c r="A95" s="108"/>
      <c r="B95" s="182"/>
      <c r="C95" s="183">
        <v>1.0</v>
      </c>
      <c r="D95" s="183">
        <v>2.0</v>
      </c>
      <c r="E95" s="183">
        <v>3.0</v>
      </c>
      <c r="F95" s="183">
        <v>4.0</v>
      </c>
      <c r="G95" s="183">
        <v>5.0</v>
      </c>
      <c r="H95" s="183">
        <v>6.0</v>
      </c>
      <c r="I95" s="183">
        <v>7.0</v>
      </c>
      <c r="J95" s="183">
        <v>8.0</v>
      </c>
      <c r="K95" s="184">
        <v>9.0</v>
      </c>
      <c r="L95" s="185">
        <v>10.0</v>
      </c>
      <c r="M95" s="183">
        <v>11.0</v>
      </c>
      <c r="N95" s="183">
        <v>12.0</v>
      </c>
      <c r="O95" s="183">
        <v>13.0</v>
      </c>
      <c r="P95" s="183">
        <v>14.0</v>
      </c>
      <c r="Q95" s="183">
        <v>15.0</v>
      </c>
      <c r="R95" s="183">
        <v>16.0</v>
      </c>
      <c r="S95" s="183">
        <v>17.0</v>
      </c>
      <c r="T95" s="183">
        <v>18.0</v>
      </c>
      <c r="U95" s="178"/>
      <c r="V95" s="193"/>
      <c r="W95" s="103"/>
      <c r="X95" s="104"/>
      <c r="Y95" s="105"/>
      <c r="Z95" s="105"/>
      <c r="AA95" s="105"/>
      <c r="AB95" s="105" t="s">
        <v>23</v>
      </c>
      <c r="AC95" s="131">
        <f>if(AC91="","",AC91)</f>
        <v>-1</v>
      </c>
      <c r="AD95" s="117">
        <f t="shared" ref="AD95:AT95" si="37">if(AD91="","",AD91+AC95)</f>
        <v>-1</v>
      </c>
      <c r="AE95" s="117">
        <f t="shared" si="37"/>
        <v>-1</v>
      </c>
      <c r="AF95" s="117">
        <f t="shared" si="37"/>
        <v>0</v>
      </c>
      <c r="AG95" s="117">
        <f t="shared" si="37"/>
        <v>0</v>
      </c>
      <c r="AH95" s="117">
        <f t="shared" si="37"/>
        <v>-1</v>
      </c>
      <c r="AI95" s="117">
        <f t="shared" si="37"/>
        <v>-2</v>
      </c>
      <c r="AJ95" s="117">
        <f t="shared" si="37"/>
        <v>-3</v>
      </c>
      <c r="AK95" s="117">
        <f t="shared" si="37"/>
        <v>-3</v>
      </c>
      <c r="AL95" s="117">
        <f t="shared" si="37"/>
        <v>-4</v>
      </c>
      <c r="AM95" s="117">
        <f t="shared" si="37"/>
        <v>-4</v>
      </c>
      <c r="AN95" s="117">
        <f t="shared" si="37"/>
        <v>-4</v>
      </c>
      <c r="AO95" s="117">
        <f t="shared" si="37"/>
        <v>-3</v>
      </c>
      <c r="AP95" s="117">
        <f t="shared" si="37"/>
        <v>-2</v>
      </c>
      <c r="AQ95" s="117">
        <f t="shared" si="37"/>
        <v>-2</v>
      </c>
      <c r="AR95" s="117">
        <f t="shared" si="37"/>
        <v>-1</v>
      </c>
      <c r="AS95" s="117">
        <f t="shared" si="37"/>
        <v>0</v>
      </c>
      <c r="AT95" s="117">
        <f t="shared" si="37"/>
        <v>1</v>
      </c>
    </row>
    <row r="96" ht="7.5" customHeight="1">
      <c r="A96" s="108"/>
      <c r="B96" s="186"/>
      <c r="C96" s="187"/>
      <c r="D96" s="187"/>
      <c r="E96" s="187"/>
      <c r="F96" s="187"/>
      <c r="G96" s="187"/>
      <c r="H96" s="188"/>
      <c r="I96" s="188"/>
      <c r="J96" s="189"/>
      <c r="K96" s="189"/>
      <c r="L96" s="189"/>
      <c r="M96" s="189"/>
      <c r="N96" s="190"/>
      <c r="O96" s="190"/>
      <c r="P96" s="187"/>
      <c r="Q96" s="187"/>
      <c r="R96" s="187"/>
      <c r="S96" s="187"/>
      <c r="T96" s="187"/>
      <c r="U96" s="191"/>
      <c r="V96" s="193"/>
      <c r="W96" s="103"/>
      <c r="X96" s="63"/>
      <c r="Y96" s="142"/>
      <c r="Z96" s="142"/>
      <c r="AA96" s="142"/>
      <c r="AB96" s="81"/>
      <c r="AC96" s="82"/>
      <c r="AD96" s="82"/>
      <c r="AE96" s="82"/>
      <c r="AF96" s="82"/>
      <c r="AG96" s="82"/>
      <c r="AH96" s="82"/>
      <c r="AI96" s="82"/>
      <c r="AJ96" s="82"/>
      <c r="AK96" s="82"/>
      <c r="AL96" s="82"/>
      <c r="AM96" s="82"/>
      <c r="AN96" s="82"/>
      <c r="AO96" s="82"/>
      <c r="AP96" s="82"/>
      <c r="AQ96" s="82"/>
      <c r="AR96" s="82"/>
      <c r="AS96" s="82"/>
      <c r="AT96" s="82"/>
    </row>
    <row r="97" ht="7.5" customHeight="1">
      <c r="A97" s="194"/>
      <c r="B97" s="195"/>
      <c r="C97" s="196"/>
      <c r="D97" s="196"/>
      <c r="E97" s="196"/>
      <c r="F97" s="196"/>
      <c r="G97" s="196"/>
      <c r="H97" s="196"/>
      <c r="I97" s="4"/>
      <c r="J97" s="192"/>
      <c r="K97" s="192"/>
      <c r="L97" s="192"/>
      <c r="M97" s="192"/>
      <c r="N97" s="4"/>
      <c r="O97" s="196"/>
      <c r="P97" s="196"/>
      <c r="Q97" s="196"/>
      <c r="R97" s="196"/>
      <c r="S97" s="196"/>
      <c r="T97" s="196"/>
      <c r="U97" s="197"/>
      <c r="V97" s="193"/>
      <c r="W97" s="89"/>
      <c r="X97" s="90"/>
      <c r="Y97" s="149"/>
      <c r="Z97" s="149"/>
      <c r="AA97" s="149"/>
      <c r="AB97" s="150"/>
      <c r="AC97" s="151"/>
      <c r="AD97" s="151"/>
      <c r="AE97" s="151"/>
      <c r="AF97" s="151"/>
      <c r="AG97" s="151"/>
      <c r="AH97" s="151"/>
      <c r="AI97" s="151"/>
      <c r="AJ97" s="151"/>
      <c r="AK97" s="151"/>
      <c r="AL97" s="151"/>
      <c r="AM97" s="151"/>
      <c r="AN97" s="151"/>
      <c r="AO97" s="151"/>
      <c r="AP97" s="151"/>
      <c r="AQ97" s="151"/>
      <c r="AR97" s="151"/>
      <c r="AS97" s="151"/>
      <c r="AT97" s="151"/>
    </row>
    <row r="98" ht="9.0" customHeight="1">
      <c r="A98" s="165" t="str">
        <f>W99</f>
        <v>R2_G3</v>
      </c>
      <c r="B98" s="166"/>
      <c r="C98" s="167" t="s">
        <v>36</v>
      </c>
      <c r="D98" s="157"/>
      <c r="E98" s="157"/>
      <c r="F98" s="157"/>
      <c r="G98" s="157"/>
      <c r="H98" s="168"/>
      <c r="I98" s="168"/>
      <c r="J98" s="169"/>
      <c r="K98" s="170" t="s">
        <v>6</v>
      </c>
      <c r="L98" s="171">
        <f>18-countif(AC100:AT100,"")
</f>
        <v>18</v>
      </c>
      <c r="M98" s="172"/>
      <c r="N98" s="173"/>
      <c r="O98" s="173"/>
      <c r="P98" s="173"/>
      <c r="Q98" s="173"/>
      <c r="R98" s="173"/>
      <c r="S98" s="173"/>
      <c r="T98" s="173"/>
      <c r="U98" s="174"/>
      <c r="V98" s="193"/>
      <c r="W98" s="103"/>
      <c r="X98" s="104"/>
      <c r="Y98" s="105" t="s">
        <v>7</v>
      </c>
      <c r="Z98" s="105" t="s">
        <v>8</v>
      </c>
      <c r="AA98" s="105" t="s">
        <v>9</v>
      </c>
      <c r="AB98" s="106" t="s">
        <v>10</v>
      </c>
      <c r="AC98" s="107">
        <v>1.0</v>
      </c>
      <c r="AD98" s="107">
        <v>2.0</v>
      </c>
      <c r="AE98" s="107">
        <v>3.0</v>
      </c>
      <c r="AF98" s="107">
        <v>4.0</v>
      </c>
      <c r="AG98" s="107">
        <v>5.0</v>
      </c>
      <c r="AH98" s="107">
        <v>6.0</v>
      </c>
      <c r="AI98" s="107">
        <v>7.0</v>
      </c>
      <c r="AJ98" s="107">
        <v>8.0</v>
      </c>
      <c r="AK98" s="107">
        <v>9.0</v>
      </c>
      <c r="AL98" s="107">
        <v>10.0</v>
      </c>
      <c r="AM98" s="107">
        <v>11.0</v>
      </c>
      <c r="AN98" s="107">
        <v>12.0</v>
      </c>
      <c r="AO98" s="107">
        <v>13.0</v>
      </c>
      <c r="AP98" s="107">
        <v>14.0</v>
      </c>
      <c r="AQ98" s="107">
        <v>15.0</v>
      </c>
      <c r="AR98" s="107">
        <v>16.0</v>
      </c>
      <c r="AS98" s="107">
        <v>17.0</v>
      </c>
      <c r="AT98" s="107">
        <v>18.0</v>
      </c>
    </row>
    <row r="99" ht="9.0" customHeight="1">
      <c r="A99" s="108"/>
      <c r="B99" s="175"/>
      <c r="C99" s="176" t="str">
        <f t="array" ref="C99">if(W101="top",indirect($W99&amp;"!"&amp;"A11"),indirect($W99&amp;"!"&amp;"A18"))</f>
        <v>DK</v>
      </c>
      <c r="D99" s="35"/>
      <c r="E99" s="35"/>
      <c r="F99" s="35"/>
      <c r="G99" s="36"/>
      <c r="H99" s="111"/>
      <c r="I99" s="112" t="s">
        <v>7</v>
      </c>
      <c r="L99" s="112" t="s">
        <v>8</v>
      </c>
      <c r="O99" s="113"/>
      <c r="P99" s="177" t="str">
        <f t="array" ref="P99">if(W101="top",indirect($W99&amp;"!"&amp;"A8"),indirect($W99&amp;"!"&amp;"A15"))</f>
        <v>TJSC</v>
      </c>
      <c r="Q99" s="35"/>
      <c r="R99" s="35"/>
      <c r="S99" s="35"/>
      <c r="T99" s="36"/>
      <c r="U99" s="178"/>
      <c r="V99" s="193"/>
      <c r="W99" s="116" t="s">
        <v>35</v>
      </c>
      <c r="X99" s="104" t="s">
        <v>12</v>
      </c>
      <c r="Y99" s="117">
        <f>if(L98=0,"",sum(AC100:AK100))</f>
        <v>-1</v>
      </c>
      <c r="Z99" s="117">
        <f>if(L98&lt;10,"",sum(AL100:AT100))</f>
        <v>-1</v>
      </c>
      <c r="AA99" s="117">
        <f>if(L98&lt;10,"",sum(AC100:AT100))</f>
        <v>-2</v>
      </c>
      <c r="AB99" s="106" t="s">
        <v>13</v>
      </c>
      <c r="AC99" s="107">
        <v>4.0</v>
      </c>
      <c r="AD99" s="107">
        <v>5.0</v>
      </c>
      <c r="AE99" s="107">
        <v>6.0</v>
      </c>
      <c r="AF99" s="107">
        <v>7.0</v>
      </c>
      <c r="AG99" s="107">
        <v>8.0</v>
      </c>
      <c r="AH99" s="107">
        <v>9.0</v>
      </c>
      <c r="AI99" s="107">
        <v>10.0</v>
      </c>
      <c r="AJ99" s="107">
        <v>11.0</v>
      </c>
      <c r="AK99" s="107">
        <v>12.0</v>
      </c>
      <c r="AL99" s="107">
        <v>16.0</v>
      </c>
      <c r="AM99" s="107">
        <v>17.0</v>
      </c>
      <c r="AN99" s="107">
        <v>18.0</v>
      </c>
      <c r="AO99" s="107">
        <v>19.0</v>
      </c>
      <c r="AP99" s="107">
        <v>20.0</v>
      </c>
      <c r="AQ99" s="107">
        <v>21.0</v>
      </c>
      <c r="AR99" s="107">
        <v>22.0</v>
      </c>
      <c r="AS99" s="107">
        <v>23.0</v>
      </c>
      <c r="AT99" s="107">
        <v>24.0</v>
      </c>
    </row>
    <row r="100" ht="11.25" customHeight="1">
      <c r="A100" s="108"/>
      <c r="B100" s="179"/>
      <c r="C100" s="180"/>
      <c r="D100" s="44"/>
      <c r="E100" s="44"/>
      <c r="F100" s="44"/>
      <c r="G100" s="45"/>
      <c r="H100" s="111"/>
      <c r="I100" s="120" t="str">
        <f>if(and(Y101&gt;0,Y99&lt;&gt;0,Y99&lt;&gt;"",Y102=""),abs(Y99)&amp;" UP",
if(abs(AG102)&gt;AG101,abs(AG102)&amp;"&amp;"&amp;AG101,
if(abs(AH102)&gt;AH101,abs(AH102)&amp;"&amp;"&amp;AH101,
if(abs(AI102)&gt;AI101,abs(AI102)&amp;"&amp;"&amp;AI101,
if(abs(AJ102)&gt;AJ101,abs(AJ102)&amp;"&amp;"&amp;AJ101,
if(abs(AK102)&gt;AK101,abs(AK102)&amp;"&amp;"&amp;AK101,"AS"))))))</f>
        <v>1&amp;0</v>
      </c>
      <c r="J100" s="20"/>
      <c r="K100" s="21"/>
      <c r="L100" s="120" t="str">
        <f>if(and(Z101&gt;0,Z99&lt;&gt;0,Z99&lt;&gt;"",Z102=""),abs(Z99)&amp;" UP",
if(abs(AP102)&gt;AP101,abs(AP102)&amp;"&amp;"&amp;AP101,
if(abs(AQ102)&gt;AQ101,abs(AQ102)&amp;"&amp;"&amp;AQ101,
if(abs(AR102)&gt;AR101,abs(AR102)&amp;"&amp;"&amp;AR101,
if(abs(AS102)&gt;AS101,abs(AS102)&amp;"&amp;"&amp;AS101,
if(abs(AT102)&gt;AT101,abs(AT102)&amp;"&amp;"&amp;AT101,"AS"))))))</f>
        <v>2&amp;1</v>
      </c>
      <c r="M100" s="20"/>
      <c r="N100" s="21"/>
      <c r="O100" s="113"/>
      <c r="P100" s="180"/>
      <c r="Q100" s="44"/>
      <c r="R100" s="44"/>
      <c r="S100" s="44"/>
      <c r="T100" s="45"/>
      <c r="U100" s="178"/>
      <c r="V100" s="193"/>
      <c r="W100" s="122" t="str">
        <f>$L$50</f>
        <v>Singles Matches</v>
      </c>
      <c r="X100" s="104" t="s">
        <v>14</v>
      </c>
      <c r="Y100" s="117">
        <f>if(L98=0,"",if(Y99=0,0,Y99*-1))</f>
        <v>1</v>
      </c>
      <c r="Z100" s="117">
        <f>if(L98&lt;10,"",if(Z99=0,0,Z99*-1))</f>
        <v>1</v>
      </c>
      <c r="AA100" s="117">
        <f>if(L98&lt;10,"",if(AA99=0,0,AA99*-1))</f>
        <v>2</v>
      </c>
      <c r="AB100" s="106" t="s">
        <v>15</v>
      </c>
      <c r="AC100" s="123">
        <f t="shared" ref="AC100:AT100" si="38">VLOOKUP($W101&amp;" - Front",indirect($W99&amp;"!"&amp;"$B$28:$y$31"),AC99,false)</f>
        <v>-1</v>
      </c>
      <c r="AD100" s="123">
        <f t="shared" si="38"/>
        <v>1</v>
      </c>
      <c r="AE100" s="123">
        <f t="shared" si="38"/>
        <v>0</v>
      </c>
      <c r="AF100" s="123">
        <f t="shared" si="38"/>
        <v>1</v>
      </c>
      <c r="AG100" s="123">
        <f t="shared" si="38"/>
        <v>1</v>
      </c>
      <c r="AH100" s="123">
        <f t="shared" si="38"/>
        <v>-1</v>
      </c>
      <c r="AI100" s="123">
        <f t="shared" si="38"/>
        <v>0</v>
      </c>
      <c r="AJ100" s="123">
        <f t="shared" si="38"/>
        <v>-1</v>
      </c>
      <c r="AK100" s="123">
        <f t="shared" si="38"/>
        <v>-1</v>
      </c>
      <c r="AL100" s="123">
        <f t="shared" si="38"/>
        <v>1</v>
      </c>
      <c r="AM100" s="123">
        <f t="shared" si="38"/>
        <v>-1</v>
      </c>
      <c r="AN100" s="123">
        <f t="shared" si="38"/>
        <v>-1</v>
      </c>
      <c r="AO100" s="123">
        <f t="shared" si="38"/>
        <v>0</v>
      </c>
      <c r="AP100" s="123">
        <f t="shared" si="38"/>
        <v>-1</v>
      </c>
      <c r="AQ100" s="123">
        <f t="shared" si="38"/>
        <v>1</v>
      </c>
      <c r="AR100" s="123">
        <f t="shared" si="38"/>
        <v>0</v>
      </c>
      <c r="AS100" s="123">
        <f t="shared" si="38"/>
        <v>-1</v>
      </c>
      <c r="AT100" s="123">
        <f t="shared" si="38"/>
        <v>1</v>
      </c>
    </row>
    <row r="101" ht="9.0" customHeight="1">
      <c r="A101" s="108"/>
      <c r="B101" s="179"/>
      <c r="C101" s="46"/>
      <c r="D101" s="125" t="s">
        <v>16</v>
      </c>
      <c r="G101" s="113"/>
      <c r="H101" s="111"/>
      <c r="I101" s="111"/>
      <c r="J101" s="112" t="s">
        <v>9</v>
      </c>
      <c r="N101" s="113"/>
      <c r="O101" s="113"/>
      <c r="P101" s="113"/>
      <c r="Q101" s="128" t="s">
        <v>16</v>
      </c>
      <c r="T101" s="46"/>
      <c r="U101" s="178"/>
      <c r="V101" s="193"/>
      <c r="W101" s="116" t="s">
        <v>32</v>
      </c>
      <c r="X101" s="104" t="s">
        <v>17</v>
      </c>
      <c r="Y101" s="117">
        <f t="array" ref="Y101">(countif(indirect(W99&amp;"!"&amp;"$E$20:$M$20"),""))</f>
        <v>0</v>
      </c>
      <c r="Z101" s="117">
        <f t="array" ref="Z101">(countif(indirect(W99&amp;"!"&amp;"$Q$20:$Y$20"),""))</f>
        <v>0</v>
      </c>
      <c r="AA101" s="117">
        <f t="array" ref="AA101">(countif(indirect(W99&amp;"!"&amp;"$E$20:$M$20"),""))
+(countif(indirect(W99&amp;"!"&amp;"$Q$20:$Y$20"),""))</f>
        <v>0</v>
      </c>
      <c r="AB101" s="105" t="s">
        <v>18</v>
      </c>
      <c r="AC101" s="105">
        <v>8.0</v>
      </c>
      <c r="AD101" s="105">
        <v>7.0</v>
      </c>
      <c r="AE101" s="105">
        <v>6.0</v>
      </c>
      <c r="AF101" s="105">
        <v>5.0</v>
      </c>
      <c r="AG101" s="105">
        <v>4.0</v>
      </c>
      <c r="AH101" s="105">
        <v>3.0</v>
      </c>
      <c r="AI101" s="105">
        <v>2.0</v>
      </c>
      <c r="AJ101" s="105">
        <v>1.0</v>
      </c>
      <c r="AK101" s="105">
        <v>0.0</v>
      </c>
      <c r="AL101" s="105">
        <v>8.0</v>
      </c>
      <c r="AM101" s="105">
        <v>7.0</v>
      </c>
      <c r="AN101" s="105">
        <v>6.0</v>
      </c>
      <c r="AO101" s="105">
        <v>5.0</v>
      </c>
      <c r="AP101" s="105">
        <v>4.0</v>
      </c>
      <c r="AQ101" s="105">
        <v>3.0</v>
      </c>
      <c r="AR101" s="105">
        <v>2.0</v>
      </c>
      <c r="AS101" s="105">
        <v>1.0</v>
      </c>
      <c r="AT101" s="105">
        <v>0.0</v>
      </c>
    </row>
    <row r="102" ht="11.25" customHeight="1">
      <c r="A102" s="108"/>
      <c r="B102" s="179"/>
      <c r="C102" s="46"/>
      <c r="D102" s="110">
        <f>if(Y103="","",sum(Y103:AA103))</f>
        <v>3</v>
      </c>
      <c r="E102" s="20"/>
      <c r="F102" s="21"/>
      <c r="G102" s="181"/>
      <c r="H102" s="111"/>
      <c r="I102" s="111"/>
      <c r="J102" s="120" t="str">
        <f>if(and(AA101&gt;0,AA99&lt;&gt;0,AA99&lt;&gt;"",AA102=""),abs(AA99)&amp;" UP",
if(abs(AG104)&gt;AG103,abs(AG104)&amp;"&amp;"&amp;AG103,
if(abs(AH104)&gt;AH103,abs(AH104)&amp;"&amp;"&amp;AH103,
if(abs(AI104)&gt;AI103,abs(AI104)&amp;"&amp;"&amp;AI103,
if(abs(AJ104)&gt;AJ103,abs(AJ104)&amp;"&amp;"&amp;AJ103,
if(abs(AK104)&gt;AK103,abs(AK104)&amp;"&amp;"&amp;AK103,
if(abs(AL104)&gt;AL103,abs(AL104)&amp;"&amp;"&amp;AL103,
if(abs(AM104)&gt;AM103,abs(AM104)&amp;"&amp;"&amp;AM103,
if(abs(AN104)&gt;AN103,abs(AN104)&amp;"&amp;"&amp;AN103,
if(abs(AO104)&gt;AO103,abs(AO104)&amp;"&amp;"&amp;AO103,
if(abs(AP104)&gt;AP103,abs(AP104)&amp;"&amp;"&amp;AP103,
if(abs(AQ104)&gt;AQ103,abs(AQ104)&amp;"&amp;"&amp;AQ103,
if(abs(AR104)&gt;AR103,abs(AR104)&amp;"&amp;"&amp;AR103,
if(abs(AS104)&gt;AS103,abs(AS104)&amp;"&amp;"&amp;AS103,
if(abs(AT104)&gt;AT103,abs(AT104)&amp;"&amp;"&amp;AT103,
"AS")))))))))))))))</f>
        <v>3&amp;1</v>
      </c>
      <c r="K102" s="20"/>
      <c r="L102" s="20"/>
      <c r="M102" s="21"/>
      <c r="N102" s="111"/>
      <c r="O102" s="111"/>
      <c r="P102" s="130"/>
      <c r="Q102" s="114">
        <f>if(Y102="","",sum(Y102:AA102))</f>
        <v>0</v>
      </c>
      <c r="R102" s="20"/>
      <c r="S102" s="21"/>
      <c r="T102" s="46"/>
      <c r="U102" s="178"/>
      <c r="V102" s="193"/>
      <c r="W102" s="103"/>
      <c r="X102" s="104" t="s">
        <v>19</v>
      </c>
      <c r="Y102" s="117">
        <f>if(Y99="","",if(or(Y99&gt;Y101,Y100&gt;Y101,and(Y99=0,Y101=0)),
if(Y99=0,vlookup($W100,'Master Input'!$O$12:$R$18,'Master Input'!P$11,false)/2,
if(Y99&gt;0,vlookup($W100,'Master Input'!$O$12:$R$18,'Master Input'!P$11,false),
if(Y99&lt;0,0,""))),""))</f>
        <v>0</v>
      </c>
      <c r="Z102" s="117">
        <f>if(Z99="","",if(or(Z99&gt;Z101,Z100&gt;Z101,and(Z99=0,Z101=0)),
if(Z99=0,vlookup($W100,'Master Input'!$O$12:$R$18,'Master Input'!Q$11,false)/2,
if(Z99&gt;0,vlookup($W100,'Master Input'!$O$12:$R$18,'Master Input'!Q$11,false),
if(Z99&lt;0,0,""))),""))</f>
        <v>0</v>
      </c>
      <c r="AA102" s="117">
        <f>if(AA99="","",if(or(AA99&gt;AA101,AA100&gt;AA101,and(AA99=0,AA101=0)),
if(AA99=0,vlookup($W100,'Master Input'!$O$12:$R$18,'Master Input'!R$11,false)/2,
if(AA99&gt;0,vlookup($W100,'Master Input'!$O$12:$R$18,'Master Input'!R$11,false),
if(AA99&lt;0,0,""))),""))</f>
        <v>0</v>
      </c>
      <c r="AB102" s="105" t="s">
        <v>20</v>
      </c>
      <c r="AC102" s="131">
        <f>if(AC100="","",AC100)</f>
        <v>-1</v>
      </c>
      <c r="AD102" s="117">
        <f t="shared" ref="AD102:AK102" si="39">if(AD100="","",AD100+AC102)</f>
        <v>0</v>
      </c>
      <c r="AE102" s="117">
        <f t="shared" si="39"/>
        <v>0</v>
      </c>
      <c r="AF102" s="117">
        <f t="shared" si="39"/>
        <v>1</v>
      </c>
      <c r="AG102" s="117">
        <f t="shared" si="39"/>
        <v>2</v>
      </c>
      <c r="AH102" s="117">
        <f t="shared" si="39"/>
        <v>1</v>
      </c>
      <c r="AI102" s="117">
        <f t="shared" si="39"/>
        <v>1</v>
      </c>
      <c r="AJ102" s="117">
        <f t="shared" si="39"/>
        <v>0</v>
      </c>
      <c r="AK102" s="117">
        <f t="shared" si="39"/>
        <v>-1</v>
      </c>
      <c r="AL102" s="131">
        <f>if(AL100="","",AL100)</f>
        <v>1</v>
      </c>
      <c r="AM102" s="117">
        <f t="shared" ref="AM102:AT102" si="40">if(AM100="","",AM100+AL102)</f>
        <v>0</v>
      </c>
      <c r="AN102" s="117">
        <f t="shared" si="40"/>
        <v>-1</v>
      </c>
      <c r="AO102" s="117">
        <f t="shared" si="40"/>
        <v>-1</v>
      </c>
      <c r="AP102" s="117">
        <f t="shared" si="40"/>
        <v>-2</v>
      </c>
      <c r="AQ102" s="117">
        <f t="shared" si="40"/>
        <v>-1</v>
      </c>
      <c r="AR102" s="117">
        <f t="shared" si="40"/>
        <v>-1</v>
      </c>
      <c r="AS102" s="117">
        <f t="shared" si="40"/>
        <v>-2</v>
      </c>
      <c r="AT102" s="117">
        <f t="shared" si="40"/>
        <v>-1</v>
      </c>
    </row>
    <row r="103" ht="7.5" customHeight="1">
      <c r="A103" s="108"/>
      <c r="B103" s="182"/>
      <c r="C103" s="124"/>
      <c r="D103" s="124"/>
      <c r="E103" s="124"/>
      <c r="F103" s="124"/>
      <c r="G103" s="113"/>
      <c r="H103" s="111"/>
      <c r="I103" s="111"/>
      <c r="J103" s="111"/>
      <c r="K103" s="46"/>
      <c r="L103" s="46"/>
      <c r="M103" s="113"/>
      <c r="N103" s="113"/>
      <c r="O103" s="113"/>
      <c r="P103" s="113"/>
      <c r="Q103" s="46"/>
      <c r="R103" s="46"/>
      <c r="S103" s="46"/>
      <c r="T103" s="46"/>
      <c r="U103" s="178"/>
      <c r="V103" s="193"/>
      <c r="W103" s="103"/>
      <c r="X103" s="104" t="s">
        <v>21</v>
      </c>
      <c r="Y103" s="117">
        <f>if(Y102="","",vlookup($W100,'Master Input'!$O$12:$R$18,'Master Input'!P$11,false)-Y102)</f>
        <v>1</v>
      </c>
      <c r="Z103" s="117">
        <f>if(Z102="","",vlookup($W100,'Master Input'!$O$12:$R$18,'Master Input'!Q$11,false)-Z102)</f>
        <v>1</v>
      </c>
      <c r="AA103" s="117">
        <f>if(AA102="","",vlookup($W100,'Master Input'!$O$12:$R$18,'Master Input'!R$11,false)-AA102)</f>
        <v>1</v>
      </c>
      <c r="AB103" s="105" t="s">
        <v>22</v>
      </c>
      <c r="AC103" s="105">
        <v>17.0</v>
      </c>
      <c r="AD103" s="105">
        <v>16.0</v>
      </c>
      <c r="AE103" s="105">
        <v>15.0</v>
      </c>
      <c r="AF103" s="105">
        <v>14.0</v>
      </c>
      <c r="AG103" s="105">
        <v>13.0</v>
      </c>
      <c r="AH103" s="105">
        <v>12.0</v>
      </c>
      <c r="AI103" s="105">
        <v>11.0</v>
      </c>
      <c r="AJ103" s="105">
        <v>10.0</v>
      </c>
      <c r="AK103" s="105">
        <v>9.0</v>
      </c>
      <c r="AL103" s="105">
        <v>8.0</v>
      </c>
      <c r="AM103" s="105">
        <v>7.0</v>
      </c>
      <c r="AN103" s="105">
        <v>6.0</v>
      </c>
      <c r="AO103" s="105">
        <v>5.0</v>
      </c>
      <c r="AP103" s="105">
        <v>4.0</v>
      </c>
      <c r="AQ103" s="105">
        <v>3.0</v>
      </c>
      <c r="AR103" s="105">
        <v>2.0</v>
      </c>
      <c r="AS103" s="105">
        <v>1.0</v>
      </c>
      <c r="AT103" s="105">
        <v>0.0</v>
      </c>
    </row>
    <row r="104" ht="11.25" customHeight="1">
      <c r="A104" s="108"/>
      <c r="B104" s="182"/>
      <c r="C104" s="183">
        <v>1.0</v>
      </c>
      <c r="D104" s="183">
        <v>2.0</v>
      </c>
      <c r="E104" s="183">
        <v>3.0</v>
      </c>
      <c r="F104" s="183">
        <v>4.0</v>
      </c>
      <c r="G104" s="183">
        <v>5.0</v>
      </c>
      <c r="H104" s="183">
        <v>6.0</v>
      </c>
      <c r="I104" s="183">
        <v>7.0</v>
      </c>
      <c r="J104" s="183">
        <v>8.0</v>
      </c>
      <c r="K104" s="184">
        <v>9.0</v>
      </c>
      <c r="L104" s="185">
        <v>10.0</v>
      </c>
      <c r="M104" s="183">
        <v>11.0</v>
      </c>
      <c r="N104" s="183">
        <v>12.0</v>
      </c>
      <c r="O104" s="183">
        <v>13.0</v>
      </c>
      <c r="P104" s="183">
        <v>14.0</v>
      </c>
      <c r="Q104" s="183">
        <v>15.0</v>
      </c>
      <c r="R104" s="183">
        <v>16.0</v>
      </c>
      <c r="S104" s="183">
        <v>17.0</v>
      </c>
      <c r="T104" s="183">
        <v>18.0</v>
      </c>
      <c r="U104" s="178"/>
      <c r="V104" s="193"/>
      <c r="W104" s="103"/>
      <c r="X104" s="104"/>
      <c r="Y104" s="105"/>
      <c r="Z104" s="105"/>
      <c r="AA104" s="105"/>
      <c r="AB104" s="105" t="s">
        <v>23</v>
      </c>
      <c r="AC104" s="131">
        <f>if(AC100="","",AC100)</f>
        <v>-1</v>
      </c>
      <c r="AD104" s="117">
        <f t="shared" ref="AD104:AT104" si="41">if(AD100="","",AD100+AC104)</f>
        <v>0</v>
      </c>
      <c r="AE104" s="117">
        <f t="shared" si="41"/>
        <v>0</v>
      </c>
      <c r="AF104" s="117">
        <f t="shared" si="41"/>
        <v>1</v>
      </c>
      <c r="AG104" s="117">
        <f t="shared" si="41"/>
        <v>2</v>
      </c>
      <c r="AH104" s="117">
        <f t="shared" si="41"/>
        <v>1</v>
      </c>
      <c r="AI104" s="117">
        <f t="shared" si="41"/>
        <v>1</v>
      </c>
      <c r="AJ104" s="117">
        <f t="shared" si="41"/>
        <v>0</v>
      </c>
      <c r="AK104" s="117">
        <f t="shared" si="41"/>
        <v>-1</v>
      </c>
      <c r="AL104" s="117">
        <f t="shared" si="41"/>
        <v>0</v>
      </c>
      <c r="AM104" s="117">
        <f t="shared" si="41"/>
        <v>-1</v>
      </c>
      <c r="AN104" s="117">
        <f t="shared" si="41"/>
        <v>-2</v>
      </c>
      <c r="AO104" s="117">
        <f t="shared" si="41"/>
        <v>-2</v>
      </c>
      <c r="AP104" s="117">
        <f t="shared" si="41"/>
        <v>-3</v>
      </c>
      <c r="AQ104" s="117">
        <f t="shared" si="41"/>
        <v>-2</v>
      </c>
      <c r="AR104" s="117">
        <f t="shared" si="41"/>
        <v>-2</v>
      </c>
      <c r="AS104" s="117">
        <f t="shared" si="41"/>
        <v>-3</v>
      </c>
      <c r="AT104" s="117">
        <f t="shared" si="41"/>
        <v>-2</v>
      </c>
    </row>
    <row r="105" ht="7.5" customHeight="1">
      <c r="A105" s="108"/>
      <c r="B105" s="186"/>
      <c r="C105" s="187"/>
      <c r="D105" s="187"/>
      <c r="E105" s="187"/>
      <c r="F105" s="187"/>
      <c r="G105" s="187"/>
      <c r="H105" s="188"/>
      <c r="I105" s="188"/>
      <c r="J105" s="189"/>
      <c r="K105" s="189"/>
      <c r="L105" s="189"/>
      <c r="M105" s="189"/>
      <c r="N105" s="190"/>
      <c r="O105" s="190"/>
      <c r="P105" s="187"/>
      <c r="Q105" s="187"/>
      <c r="R105" s="187"/>
      <c r="S105" s="187"/>
      <c r="T105" s="187"/>
      <c r="U105" s="191"/>
      <c r="V105" s="193"/>
      <c r="W105" s="103"/>
      <c r="X105" s="63"/>
      <c r="Y105" s="142"/>
      <c r="Z105" s="142"/>
      <c r="AA105" s="142"/>
      <c r="AB105" s="81"/>
      <c r="AC105" s="82"/>
      <c r="AD105" s="82"/>
      <c r="AE105" s="82"/>
      <c r="AF105" s="82"/>
      <c r="AG105" s="82"/>
      <c r="AH105" s="82"/>
      <c r="AI105" s="82"/>
      <c r="AJ105" s="82"/>
      <c r="AK105" s="82"/>
      <c r="AL105" s="82"/>
      <c r="AM105" s="82"/>
      <c r="AN105" s="82"/>
      <c r="AO105" s="82"/>
      <c r="AP105" s="82"/>
      <c r="AQ105" s="82"/>
      <c r="AR105" s="82"/>
      <c r="AS105" s="82"/>
      <c r="AT105" s="82"/>
    </row>
    <row r="106" ht="7.5" customHeight="1">
      <c r="A106" s="194"/>
      <c r="B106" s="195"/>
      <c r="C106" s="196"/>
      <c r="D106" s="196"/>
      <c r="E106" s="196"/>
      <c r="F106" s="196"/>
      <c r="G106" s="196"/>
      <c r="H106" s="196"/>
      <c r="I106" s="4"/>
      <c r="J106" s="192"/>
      <c r="K106" s="192"/>
      <c r="L106" s="192"/>
      <c r="M106" s="192"/>
      <c r="N106" s="4"/>
      <c r="O106" s="196"/>
      <c r="P106" s="196"/>
      <c r="Q106" s="196"/>
      <c r="R106" s="196"/>
      <c r="S106" s="196"/>
      <c r="T106" s="196"/>
      <c r="U106" s="197"/>
      <c r="V106" s="193"/>
      <c r="W106" s="89"/>
      <c r="X106" s="90"/>
      <c r="Y106" s="149"/>
      <c r="Z106" s="149"/>
      <c r="AA106" s="149"/>
      <c r="AB106" s="150"/>
      <c r="AC106" s="151"/>
      <c r="AD106" s="151"/>
      <c r="AE106" s="151"/>
      <c r="AF106" s="151"/>
      <c r="AG106" s="151"/>
      <c r="AH106" s="151"/>
      <c r="AI106" s="151"/>
      <c r="AJ106" s="151"/>
      <c r="AK106" s="151"/>
      <c r="AL106" s="151"/>
      <c r="AM106" s="151"/>
      <c r="AN106" s="151"/>
      <c r="AO106" s="151"/>
      <c r="AP106" s="151"/>
      <c r="AQ106" s="151"/>
      <c r="AR106" s="151"/>
      <c r="AS106" s="151"/>
      <c r="AT106" s="151"/>
    </row>
    <row r="107" ht="9.0" customHeight="1">
      <c r="A107" s="165" t="str">
        <f>W108</f>
        <v>R2_G4</v>
      </c>
      <c r="B107" s="166"/>
      <c r="C107" s="167" t="s">
        <v>37</v>
      </c>
      <c r="D107" s="157"/>
      <c r="E107" s="157"/>
      <c r="F107" s="157"/>
      <c r="G107" s="157"/>
      <c r="H107" s="168"/>
      <c r="I107" s="168"/>
      <c r="J107" s="169"/>
      <c r="K107" s="170" t="s">
        <v>6</v>
      </c>
      <c r="L107" s="171">
        <f>18-countif(AC109:AT109,"")
</f>
        <v>18</v>
      </c>
      <c r="M107" s="172"/>
      <c r="N107" s="173"/>
      <c r="O107" s="173"/>
      <c r="P107" s="173"/>
      <c r="Q107" s="173"/>
      <c r="R107" s="173"/>
      <c r="S107" s="173"/>
      <c r="T107" s="173"/>
      <c r="U107" s="174"/>
      <c r="V107" s="193"/>
      <c r="W107" s="103"/>
      <c r="X107" s="104"/>
      <c r="Y107" s="105" t="s">
        <v>7</v>
      </c>
      <c r="Z107" s="105" t="s">
        <v>8</v>
      </c>
      <c r="AA107" s="105" t="s">
        <v>9</v>
      </c>
      <c r="AB107" s="106" t="s">
        <v>10</v>
      </c>
      <c r="AC107" s="107">
        <v>1.0</v>
      </c>
      <c r="AD107" s="107">
        <v>2.0</v>
      </c>
      <c r="AE107" s="107">
        <v>3.0</v>
      </c>
      <c r="AF107" s="107">
        <v>4.0</v>
      </c>
      <c r="AG107" s="107">
        <v>5.0</v>
      </c>
      <c r="AH107" s="107">
        <v>6.0</v>
      </c>
      <c r="AI107" s="107">
        <v>7.0</v>
      </c>
      <c r="AJ107" s="107">
        <v>8.0</v>
      </c>
      <c r="AK107" s="107">
        <v>9.0</v>
      </c>
      <c r="AL107" s="107">
        <v>10.0</v>
      </c>
      <c r="AM107" s="107">
        <v>11.0</v>
      </c>
      <c r="AN107" s="107">
        <v>12.0</v>
      </c>
      <c r="AO107" s="107">
        <v>13.0</v>
      </c>
      <c r="AP107" s="107">
        <v>14.0</v>
      </c>
      <c r="AQ107" s="107">
        <v>15.0</v>
      </c>
      <c r="AR107" s="107">
        <v>16.0</v>
      </c>
      <c r="AS107" s="107">
        <v>17.0</v>
      </c>
      <c r="AT107" s="107">
        <v>18.0</v>
      </c>
    </row>
    <row r="108" ht="9.0" customHeight="1">
      <c r="A108" s="108"/>
      <c r="B108" s="175"/>
      <c r="C108" s="176" t="str">
        <f t="array" ref="C108">if(W110="top",indirect($W108&amp;"!"&amp;"A11"),indirect($W108&amp;"!"&amp;"A17"))</f>
        <v>Carp</v>
      </c>
      <c r="D108" s="35"/>
      <c r="E108" s="35"/>
      <c r="F108" s="35"/>
      <c r="G108" s="36"/>
      <c r="H108" s="111"/>
      <c r="I108" s="112" t="s">
        <v>7</v>
      </c>
      <c r="L108" s="112" t="s">
        <v>8</v>
      </c>
      <c r="O108" s="113"/>
      <c r="P108" s="177" t="str">
        <f t="array" ref="P108">if(W110="top",indirect($W108&amp;"!"&amp;"A8"),indirect($W108&amp;"!"&amp;"A14"))</f>
        <v>Joe O</v>
      </c>
      <c r="Q108" s="35"/>
      <c r="R108" s="35"/>
      <c r="S108" s="35"/>
      <c r="T108" s="36"/>
      <c r="U108" s="178"/>
      <c r="V108" s="193"/>
      <c r="W108" s="116" t="s">
        <v>38</v>
      </c>
      <c r="X108" s="104" t="s">
        <v>12</v>
      </c>
      <c r="Y108" s="117">
        <f>if(L107=0,"",sum(AC109:AK109))</f>
        <v>1</v>
      </c>
      <c r="Z108" s="117">
        <f>if(L107&lt;10,"",sum(AL109:AT109))</f>
        <v>2</v>
      </c>
      <c r="AA108" s="117">
        <f>if(L107&lt;10,"",sum(AC109:AT109))</f>
        <v>3</v>
      </c>
      <c r="AB108" s="106" t="s">
        <v>13</v>
      </c>
      <c r="AC108" s="107">
        <v>4.0</v>
      </c>
      <c r="AD108" s="107">
        <v>5.0</v>
      </c>
      <c r="AE108" s="107">
        <v>6.0</v>
      </c>
      <c r="AF108" s="107">
        <v>7.0</v>
      </c>
      <c r="AG108" s="107">
        <v>8.0</v>
      </c>
      <c r="AH108" s="107">
        <v>9.0</v>
      </c>
      <c r="AI108" s="107">
        <v>10.0</v>
      </c>
      <c r="AJ108" s="107">
        <v>11.0</v>
      </c>
      <c r="AK108" s="107">
        <v>12.0</v>
      </c>
      <c r="AL108" s="107">
        <v>16.0</v>
      </c>
      <c r="AM108" s="107">
        <v>17.0</v>
      </c>
      <c r="AN108" s="107">
        <v>18.0</v>
      </c>
      <c r="AO108" s="107">
        <v>19.0</v>
      </c>
      <c r="AP108" s="107">
        <v>20.0</v>
      </c>
      <c r="AQ108" s="107">
        <v>21.0</v>
      </c>
      <c r="AR108" s="107">
        <v>22.0</v>
      </c>
      <c r="AS108" s="107">
        <v>23.0</v>
      </c>
      <c r="AT108" s="107">
        <v>24.0</v>
      </c>
    </row>
    <row r="109" ht="11.25" customHeight="1">
      <c r="A109" s="108"/>
      <c r="B109" s="179"/>
      <c r="C109" s="180"/>
      <c r="D109" s="44"/>
      <c r="E109" s="44"/>
      <c r="F109" s="44"/>
      <c r="G109" s="45"/>
      <c r="H109" s="111"/>
      <c r="I109" s="120" t="str">
        <f>if(and(Y110&gt;0,Y108&lt;&gt;0,Y108&lt;&gt;"",Y111=""),abs(Y108)&amp;" UP",
if(abs(AG111)&gt;AG110,abs(AG111)&amp;"&amp;"&amp;AG110,
if(abs(AH111)&gt;AH110,abs(AH111)&amp;"&amp;"&amp;AH110,
if(abs(AI111)&gt;AI110,abs(AI111)&amp;"&amp;"&amp;AI110,
if(abs(AJ111)&gt;AJ110,abs(AJ111)&amp;"&amp;"&amp;AJ110,
if(abs(AK111)&gt;AK110,abs(AK111)&amp;"&amp;"&amp;AK110,"AS"))))))</f>
        <v>2&amp;1</v>
      </c>
      <c r="J109" s="20"/>
      <c r="K109" s="21"/>
      <c r="L109" s="120" t="str">
        <f>if(and(Z110&gt;0,Z108&lt;&gt;0,Z108&lt;&gt;"",Z111=""),abs(Z108)&amp;" UP",
if(abs(AP111)&gt;AP110,abs(AP111)&amp;"&amp;"&amp;AP110,
if(abs(AQ111)&gt;AQ110,abs(AQ111)&amp;"&amp;"&amp;AQ110,
if(abs(AR111)&gt;AR110,abs(AR111)&amp;"&amp;"&amp;AR110,
if(abs(AS111)&gt;AS110,abs(AS111)&amp;"&amp;"&amp;AS110,
if(abs(AT111)&gt;AT110,abs(AT111)&amp;"&amp;"&amp;AT110,"AS"))))))</f>
        <v>2&amp;0</v>
      </c>
      <c r="M109" s="20"/>
      <c r="N109" s="21"/>
      <c r="O109" s="113"/>
      <c r="P109" s="180"/>
      <c r="Q109" s="44"/>
      <c r="R109" s="44"/>
      <c r="S109" s="44"/>
      <c r="T109" s="45"/>
      <c r="U109" s="178"/>
      <c r="V109" s="193"/>
      <c r="W109" s="122" t="str">
        <f>$L$50</f>
        <v>Singles Matches</v>
      </c>
      <c r="X109" s="104" t="s">
        <v>14</v>
      </c>
      <c r="Y109" s="117">
        <f>if(L107=0,"",if(Y108=0,0,Y108*-1))</f>
        <v>-1</v>
      </c>
      <c r="Z109" s="117">
        <f>if(L107&lt;10,"",if(Z108=0,0,Z108*-1))</f>
        <v>-2</v>
      </c>
      <c r="AA109" s="117">
        <f>if(L107&lt;10,"",if(AA108=0,0,AA108*-1))</f>
        <v>-3</v>
      </c>
      <c r="AB109" s="106" t="s">
        <v>15</v>
      </c>
      <c r="AC109" s="123">
        <f t="shared" ref="AC109:AT109" si="42">VLOOKUP($W110&amp;" - Front",indirect($W108&amp;"!"&amp;"$B$28:$y$31"),AC108,false)</f>
        <v>1</v>
      </c>
      <c r="AD109" s="123">
        <f t="shared" si="42"/>
        <v>-1</v>
      </c>
      <c r="AE109" s="123">
        <f t="shared" si="42"/>
        <v>1</v>
      </c>
      <c r="AF109" s="123">
        <f t="shared" si="42"/>
        <v>0</v>
      </c>
      <c r="AG109" s="123">
        <f t="shared" si="42"/>
        <v>1</v>
      </c>
      <c r="AH109" s="123">
        <f t="shared" si="42"/>
        <v>0</v>
      </c>
      <c r="AI109" s="123">
        <f t="shared" si="42"/>
        <v>0</v>
      </c>
      <c r="AJ109" s="123">
        <f t="shared" si="42"/>
        <v>0</v>
      </c>
      <c r="AK109" s="123">
        <f t="shared" si="42"/>
        <v>-1</v>
      </c>
      <c r="AL109" s="123">
        <f t="shared" si="42"/>
        <v>1</v>
      </c>
      <c r="AM109" s="123">
        <f t="shared" si="42"/>
        <v>-1</v>
      </c>
      <c r="AN109" s="123">
        <f t="shared" si="42"/>
        <v>1</v>
      </c>
      <c r="AO109" s="123">
        <f t="shared" si="42"/>
        <v>1</v>
      </c>
      <c r="AP109" s="123">
        <f t="shared" si="42"/>
        <v>-1</v>
      </c>
      <c r="AQ109" s="123">
        <f t="shared" si="42"/>
        <v>0</v>
      </c>
      <c r="AR109" s="123">
        <f t="shared" si="42"/>
        <v>-1</v>
      </c>
      <c r="AS109" s="123">
        <f t="shared" si="42"/>
        <v>1</v>
      </c>
      <c r="AT109" s="123">
        <f t="shared" si="42"/>
        <v>1</v>
      </c>
    </row>
    <row r="110" ht="9.0" customHeight="1">
      <c r="A110" s="108"/>
      <c r="B110" s="179"/>
      <c r="C110" s="46"/>
      <c r="D110" s="125" t="s">
        <v>16</v>
      </c>
      <c r="G110" s="113"/>
      <c r="H110" s="111"/>
      <c r="I110" s="111"/>
      <c r="J110" s="112" t="s">
        <v>9</v>
      </c>
      <c r="N110" s="113"/>
      <c r="O110" s="113"/>
      <c r="P110" s="113"/>
      <c r="Q110" s="128" t="s">
        <v>16</v>
      </c>
      <c r="T110" s="46"/>
      <c r="U110" s="178"/>
      <c r="V110" s="193"/>
      <c r="W110" s="116" t="s">
        <v>31</v>
      </c>
      <c r="X110" s="104" t="s">
        <v>17</v>
      </c>
      <c r="Y110" s="117">
        <f t="array" ref="Y110">(countif(indirect(W108&amp;"!"&amp;"$E$20:$M$20"),""))</f>
        <v>0</v>
      </c>
      <c r="Z110" s="117">
        <f t="array" ref="Z110">(countif(indirect(W108&amp;"!"&amp;"$Q$20:$Y$20"),""))</f>
        <v>0</v>
      </c>
      <c r="AA110" s="117">
        <f t="array" ref="AA110">(countif(indirect(W108&amp;"!"&amp;"$E$20:$M$20"),""))
+(countif(indirect(W108&amp;"!"&amp;"$Q$20:$Y$20"),""))</f>
        <v>0</v>
      </c>
      <c r="AB110" s="105" t="s">
        <v>18</v>
      </c>
      <c r="AC110" s="105">
        <v>8.0</v>
      </c>
      <c r="AD110" s="105">
        <v>7.0</v>
      </c>
      <c r="AE110" s="105">
        <v>6.0</v>
      </c>
      <c r="AF110" s="105">
        <v>5.0</v>
      </c>
      <c r="AG110" s="105">
        <v>4.0</v>
      </c>
      <c r="AH110" s="105">
        <v>3.0</v>
      </c>
      <c r="AI110" s="105">
        <v>2.0</v>
      </c>
      <c r="AJ110" s="105">
        <v>1.0</v>
      </c>
      <c r="AK110" s="105">
        <v>0.0</v>
      </c>
      <c r="AL110" s="105">
        <v>8.0</v>
      </c>
      <c r="AM110" s="105">
        <v>7.0</v>
      </c>
      <c r="AN110" s="105">
        <v>6.0</v>
      </c>
      <c r="AO110" s="105">
        <v>5.0</v>
      </c>
      <c r="AP110" s="105">
        <v>4.0</v>
      </c>
      <c r="AQ110" s="105">
        <v>3.0</v>
      </c>
      <c r="AR110" s="105">
        <v>2.0</v>
      </c>
      <c r="AS110" s="105">
        <v>1.0</v>
      </c>
      <c r="AT110" s="105">
        <v>0.0</v>
      </c>
    </row>
    <row r="111" ht="11.25" customHeight="1">
      <c r="A111" s="108"/>
      <c r="B111" s="179"/>
      <c r="C111" s="46"/>
      <c r="D111" s="110">
        <f>if(Y112="","",sum(Y112:AA112))</f>
        <v>0</v>
      </c>
      <c r="E111" s="20"/>
      <c r="F111" s="21"/>
      <c r="G111" s="181"/>
      <c r="H111" s="111"/>
      <c r="I111" s="111"/>
      <c r="J111" s="120" t="str">
        <f>if(and(AA110&gt;0,AA108&lt;&gt;0,AA108&lt;&gt;"",AA111=""),abs(AA108)&amp;" UP",
if(abs(AG113)&gt;AG112,abs(AG113)&amp;"&amp;"&amp;AG112,
if(abs(AH113)&gt;AH112,abs(AH113)&amp;"&amp;"&amp;AH112,
if(abs(AI113)&gt;AI112,abs(AI113)&amp;"&amp;"&amp;AI112,
if(abs(AJ113)&gt;AJ112,abs(AJ113)&amp;"&amp;"&amp;AJ112,
if(abs(AK113)&gt;AK112,abs(AK113)&amp;"&amp;"&amp;AK112,
if(abs(AL113)&gt;AL112,abs(AL113)&amp;"&amp;"&amp;AL112,
if(abs(AM113)&gt;AM112,abs(AM113)&amp;"&amp;"&amp;AM112,
if(abs(AN113)&gt;AN112,abs(AN113)&amp;"&amp;"&amp;AN112,
if(abs(AO113)&gt;AO112,abs(AO113)&amp;"&amp;"&amp;AO112,
if(abs(AP113)&gt;AP112,abs(AP113)&amp;"&amp;"&amp;AP112,
if(abs(AQ113)&gt;AQ112,abs(AQ113)&amp;"&amp;"&amp;AQ112,
if(abs(AR113)&gt;AR112,abs(AR113)&amp;"&amp;"&amp;AR112,
if(abs(AS113)&gt;AS112,abs(AS113)&amp;"&amp;"&amp;AS112,
if(abs(AT113)&gt;AT112,abs(AT113)&amp;"&amp;"&amp;AT112,
"AS")))))))))))))))</f>
        <v>2&amp;1</v>
      </c>
      <c r="K111" s="20"/>
      <c r="L111" s="20"/>
      <c r="M111" s="21"/>
      <c r="N111" s="111"/>
      <c r="O111" s="111"/>
      <c r="P111" s="130"/>
      <c r="Q111" s="114">
        <f>if(Y111="","",sum(Y111:AA111))</f>
        <v>3</v>
      </c>
      <c r="R111" s="20"/>
      <c r="S111" s="21"/>
      <c r="T111" s="46"/>
      <c r="U111" s="178"/>
      <c r="V111" s="193"/>
      <c r="W111" s="103"/>
      <c r="X111" s="104" t="s">
        <v>19</v>
      </c>
      <c r="Y111" s="117">
        <f>if(Y108="","",if(or(Y108&gt;Y110,Y109&gt;Y110,and(Y108=0,Y110=0)),
if(Y108=0,vlookup($W109,'Master Input'!$O$12:$R$18,'Master Input'!P$11,false)/2,
if(Y108&gt;0,vlookup($W109,'Master Input'!$O$12:$R$18,'Master Input'!P$11,false),
if(Y108&lt;0,0,""))),""))</f>
        <v>1</v>
      </c>
      <c r="Z111" s="117">
        <f>if(Z108="","",if(or(Z108&gt;Z110,Z109&gt;Z110,and(Z108=0,Z110=0)),
if(Z108=0,vlookup($W109,'Master Input'!$O$12:$R$18,'Master Input'!Q$11,false)/2,
if(Z108&gt;0,vlookup($W109,'Master Input'!$O$12:$R$18,'Master Input'!Q$11,false),
if(Z108&lt;0,0,""))),""))</f>
        <v>1</v>
      </c>
      <c r="AA111" s="117">
        <f>if(AA108="","",if(or(AA108&gt;AA110,AA109&gt;AA110,and(AA108=0,AA110=0)),
if(AA108=0,vlookup($W109,'Master Input'!$O$12:$R$18,'Master Input'!R$11,false)/2,
if(AA108&gt;0,vlookup($W109,'Master Input'!$O$12:$R$18,'Master Input'!R$11,false),
if(AA108&lt;0,0,""))),""))</f>
        <v>1</v>
      </c>
      <c r="AB111" s="105" t="s">
        <v>20</v>
      </c>
      <c r="AC111" s="131">
        <f>if(AC109="","",AC109)</f>
        <v>1</v>
      </c>
      <c r="AD111" s="117">
        <f t="shared" ref="AD111:AK111" si="43">if(AD109="","",AD109+AC111)</f>
        <v>0</v>
      </c>
      <c r="AE111" s="117">
        <f t="shared" si="43"/>
        <v>1</v>
      </c>
      <c r="AF111" s="117">
        <f t="shared" si="43"/>
        <v>1</v>
      </c>
      <c r="AG111" s="117">
        <f t="shared" si="43"/>
        <v>2</v>
      </c>
      <c r="AH111" s="117">
        <f t="shared" si="43"/>
        <v>2</v>
      </c>
      <c r="AI111" s="117">
        <f t="shared" si="43"/>
        <v>2</v>
      </c>
      <c r="AJ111" s="117">
        <f t="shared" si="43"/>
        <v>2</v>
      </c>
      <c r="AK111" s="117">
        <f t="shared" si="43"/>
        <v>1</v>
      </c>
      <c r="AL111" s="131">
        <f>if(AL109="","",AL109)</f>
        <v>1</v>
      </c>
      <c r="AM111" s="117">
        <f t="shared" ref="AM111:AT111" si="44">if(AM109="","",AM109+AL111)</f>
        <v>0</v>
      </c>
      <c r="AN111" s="117">
        <f t="shared" si="44"/>
        <v>1</v>
      </c>
      <c r="AO111" s="117">
        <f t="shared" si="44"/>
        <v>2</v>
      </c>
      <c r="AP111" s="117">
        <f t="shared" si="44"/>
        <v>1</v>
      </c>
      <c r="AQ111" s="117">
        <f t="shared" si="44"/>
        <v>1</v>
      </c>
      <c r="AR111" s="117">
        <f t="shared" si="44"/>
        <v>0</v>
      </c>
      <c r="AS111" s="117">
        <f t="shared" si="44"/>
        <v>1</v>
      </c>
      <c r="AT111" s="117">
        <f t="shared" si="44"/>
        <v>2</v>
      </c>
    </row>
    <row r="112" ht="7.5" customHeight="1">
      <c r="A112" s="108"/>
      <c r="B112" s="182"/>
      <c r="C112" s="124"/>
      <c r="D112" s="124"/>
      <c r="E112" s="124"/>
      <c r="F112" s="124"/>
      <c r="G112" s="113"/>
      <c r="H112" s="111"/>
      <c r="I112" s="111"/>
      <c r="J112" s="111"/>
      <c r="K112" s="46"/>
      <c r="L112" s="46"/>
      <c r="M112" s="113"/>
      <c r="N112" s="113"/>
      <c r="O112" s="113"/>
      <c r="P112" s="113"/>
      <c r="Q112" s="46"/>
      <c r="R112" s="46"/>
      <c r="S112" s="46"/>
      <c r="T112" s="46"/>
      <c r="U112" s="178"/>
      <c r="V112" s="193"/>
      <c r="W112" s="103"/>
      <c r="X112" s="104" t="s">
        <v>21</v>
      </c>
      <c r="Y112" s="117">
        <f>if(Y111="","",vlookup($W109,'Master Input'!$O$12:$R$18,'Master Input'!P$11,false)-Y111)</f>
        <v>0</v>
      </c>
      <c r="Z112" s="117">
        <f>if(Z111="","",vlookup($W109,'Master Input'!$O$12:$R$18,'Master Input'!Q$11,false)-Z111)</f>
        <v>0</v>
      </c>
      <c r="AA112" s="117">
        <f>if(AA111="","",vlookup($W109,'Master Input'!$O$12:$R$18,'Master Input'!R$11,false)-AA111)</f>
        <v>0</v>
      </c>
      <c r="AB112" s="105" t="s">
        <v>22</v>
      </c>
      <c r="AC112" s="105">
        <v>17.0</v>
      </c>
      <c r="AD112" s="105">
        <v>16.0</v>
      </c>
      <c r="AE112" s="105">
        <v>15.0</v>
      </c>
      <c r="AF112" s="105">
        <v>14.0</v>
      </c>
      <c r="AG112" s="105">
        <v>13.0</v>
      </c>
      <c r="AH112" s="105">
        <v>12.0</v>
      </c>
      <c r="AI112" s="105">
        <v>11.0</v>
      </c>
      <c r="AJ112" s="105">
        <v>10.0</v>
      </c>
      <c r="AK112" s="105">
        <v>9.0</v>
      </c>
      <c r="AL112" s="105">
        <v>8.0</v>
      </c>
      <c r="AM112" s="105">
        <v>7.0</v>
      </c>
      <c r="AN112" s="105">
        <v>6.0</v>
      </c>
      <c r="AO112" s="105">
        <v>5.0</v>
      </c>
      <c r="AP112" s="105">
        <v>4.0</v>
      </c>
      <c r="AQ112" s="105">
        <v>3.0</v>
      </c>
      <c r="AR112" s="105">
        <v>2.0</v>
      </c>
      <c r="AS112" s="105">
        <v>1.0</v>
      </c>
      <c r="AT112" s="105">
        <v>0.0</v>
      </c>
    </row>
    <row r="113" ht="11.25" customHeight="1">
      <c r="A113" s="108"/>
      <c r="B113" s="182"/>
      <c r="C113" s="183">
        <v>1.0</v>
      </c>
      <c r="D113" s="183">
        <v>2.0</v>
      </c>
      <c r="E113" s="183">
        <v>3.0</v>
      </c>
      <c r="F113" s="183">
        <v>4.0</v>
      </c>
      <c r="G113" s="183">
        <v>5.0</v>
      </c>
      <c r="H113" s="183">
        <v>6.0</v>
      </c>
      <c r="I113" s="183">
        <v>7.0</v>
      </c>
      <c r="J113" s="183">
        <v>8.0</v>
      </c>
      <c r="K113" s="184">
        <v>9.0</v>
      </c>
      <c r="L113" s="185">
        <v>10.0</v>
      </c>
      <c r="M113" s="183">
        <v>11.0</v>
      </c>
      <c r="N113" s="183">
        <v>12.0</v>
      </c>
      <c r="O113" s="183">
        <v>13.0</v>
      </c>
      <c r="P113" s="183">
        <v>14.0</v>
      </c>
      <c r="Q113" s="183">
        <v>15.0</v>
      </c>
      <c r="R113" s="183">
        <v>16.0</v>
      </c>
      <c r="S113" s="183">
        <v>17.0</v>
      </c>
      <c r="T113" s="183">
        <v>18.0</v>
      </c>
      <c r="U113" s="178"/>
      <c r="V113" s="193"/>
      <c r="W113" s="103"/>
      <c r="X113" s="104"/>
      <c r="Y113" s="105"/>
      <c r="Z113" s="105"/>
      <c r="AA113" s="105"/>
      <c r="AB113" s="105" t="s">
        <v>23</v>
      </c>
      <c r="AC113" s="131">
        <f>if(AC109="","",AC109)</f>
        <v>1</v>
      </c>
      <c r="AD113" s="117">
        <f t="shared" ref="AD113:AT113" si="45">if(AD109="","",AD109+AC113)</f>
        <v>0</v>
      </c>
      <c r="AE113" s="117">
        <f t="shared" si="45"/>
        <v>1</v>
      </c>
      <c r="AF113" s="117">
        <f t="shared" si="45"/>
        <v>1</v>
      </c>
      <c r="AG113" s="117">
        <f t="shared" si="45"/>
        <v>2</v>
      </c>
      <c r="AH113" s="117">
        <f t="shared" si="45"/>
        <v>2</v>
      </c>
      <c r="AI113" s="117">
        <f t="shared" si="45"/>
        <v>2</v>
      </c>
      <c r="AJ113" s="117">
        <f t="shared" si="45"/>
        <v>2</v>
      </c>
      <c r="AK113" s="117">
        <f t="shared" si="45"/>
        <v>1</v>
      </c>
      <c r="AL113" s="117">
        <f t="shared" si="45"/>
        <v>2</v>
      </c>
      <c r="AM113" s="117">
        <f t="shared" si="45"/>
        <v>1</v>
      </c>
      <c r="AN113" s="117">
        <f t="shared" si="45"/>
        <v>2</v>
      </c>
      <c r="AO113" s="117">
        <f t="shared" si="45"/>
        <v>3</v>
      </c>
      <c r="AP113" s="117">
        <f t="shared" si="45"/>
        <v>2</v>
      </c>
      <c r="AQ113" s="117">
        <f t="shared" si="45"/>
        <v>2</v>
      </c>
      <c r="AR113" s="117">
        <f t="shared" si="45"/>
        <v>1</v>
      </c>
      <c r="AS113" s="117">
        <f t="shared" si="45"/>
        <v>2</v>
      </c>
      <c r="AT113" s="117">
        <f t="shared" si="45"/>
        <v>3</v>
      </c>
    </row>
    <row r="114" ht="7.5" customHeight="1">
      <c r="A114" s="108"/>
      <c r="B114" s="186"/>
      <c r="C114" s="187"/>
      <c r="D114" s="187"/>
      <c r="E114" s="187"/>
      <c r="F114" s="187"/>
      <c r="G114" s="187"/>
      <c r="H114" s="188"/>
      <c r="I114" s="188"/>
      <c r="J114" s="189"/>
      <c r="K114" s="189"/>
      <c r="L114" s="189"/>
      <c r="M114" s="189"/>
      <c r="N114" s="190"/>
      <c r="O114" s="190"/>
      <c r="P114" s="187"/>
      <c r="Q114" s="187"/>
      <c r="R114" s="187"/>
      <c r="S114" s="187"/>
      <c r="T114" s="187"/>
      <c r="U114" s="191"/>
      <c r="V114" s="193"/>
      <c r="W114" s="103"/>
      <c r="X114" s="63"/>
      <c r="Y114" s="142"/>
      <c r="Z114" s="142"/>
      <c r="AA114" s="142"/>
      <c r="AB114" s="81"/>
      <c r="AC114" s="82"/>
      <c r="AD114" s="82"/>
      <c r="AE114" s="82"/>
      <c r="AF114" s="82"/>
      <c r="AG114" s="82"/>
      <c r="AH114" s="82"/>
      <c r="AI114" s="82"/>
      <c r="AJ114" s="82"/>
      <c r="AK114" s="82"/>
      <c r="AL114" s="82"/>
      <c r="AM114" s="82"/>
      <c r="AN114" s="82"/>
      <c r="AO114" s="82"/>
      <c r="AP114" s="82"/>
      <c r="AQ114" s="82"/>
      <c r="AR114" s="82"/>
      <c r="AS114" s="82"/>
      <c r="AT114" s="82"/>
    </row>
    <row r="115" ht="7.5" customHeight="1">
      <c r="A115" s="194"/>
      <c r="B115" s="195"/>
      <c r="C115" s="198"/>
      <c r="D115" s="198"/>
      <c r="E115" s="198"/>
      <c r="F115" s="198"/>
      <c r="G115" s="196"/>
      <c r="H115" s="196"/>
      <c r="I115" s="4"/>
      <c r="J115" s="192"/>
      <c r="K115" s="192"/>
      <c r="L115" s="192"/>
      <c r="M115" s="192"/>
      <c r="N115" s="4"/>
      <c r="O115" s="196"/>
      <c r="P115" s="196"/>
      <c r="Q115" s="198"/>
      <c r="R115" s="198"/>
      <c r="S115" s="198"/>
      <c r="T115" s="198"/>
      <c r="U115" s="197"/>
      <c r="V115" s="193"/>
      <c r="W115" s="89"/>
      <c r="X115" s="90"/>
      <c r="Y115" s="149"/>
      <c r="Z115" s="149"/>
      <c r="AA115" s="149"/>
      <c r="AB115" s="150"/>
      <c r="AC115" s="151"/>
      <c r="AD115" s="151"/>
      <c r="AE115" s="151"/>
      <c r="AF115" s="151"/>
      <c r="AG115" s="151"/>
      <c r="AH115" s="151"/>
      <c r="AI115" s="151"/>
      <c r="AJ115" s="151"/>
      <c r="AK115" s="151"/>
      <c r="AL115" s="151"/>
      <c r="AM115" s="151"/>
      <c r="AN115" s="151"/>
      <c r="AO115" s="151"/>
      <c r="AP115" s="151"/>
      <c r="AQ115" s="151"/>
      <c r="AR115" s="151"/>
      <c r="AS115" s="151"/>
      <c r="AT115" s="151"/>
    </row>
    <row r="116" ht="9.0" customHeight="1">
      <c r="A116" s="165" t="str">
        <f>W117</f>
        <v>R2_G4</v>
      </c>
      <c r="B116" s="166"/>
      <c r="C116" s="167" t="s">
        <v>39</v>
      </c>
      <c r="D116" s="157"/>
      <c r="E116" s="157"/>
      <c r="F116" s="157"/>
      <c r="G116" s="157"/>
      <c r="H116" s="168"/>
      <c r="I116" s="168"/>
      <c r="J116" s="169"/>
      <c r="K116" s="170" t="s">
        <v>6</v>
      </c>
      <c r="L116" s="171">
        <f>18-countif(AC118:AT118,"")
</f>
        <v>18</v>
      </c>
      <c r="M116" s="172"/>
      <c r="N116" s="173"/>
      <c r="O116" s="173"/>
      <c r="P116" s="173"/>
      <c r="Q116" s="173"/>
      <c r="R116" s="173"/>
      <c r="S116" s="173"/>
      <c r="T116" s="173"/>
      <c r="U116" s="174"/>
      <c r="V116" s="193"/>
      <c r="W116" s="103"/>
      <c r="X116" s="104"/>
      <c r="Y116" s="105" t="s">
        <v>7</v>
      </c>
      <c r="Z116" s="105" t="s">
        <v>8</v>
      </c>
      <c r="AA116" s="105" t="s">
        <v>9</v>
      </c>
      <c r="AB116" s="106" t="s">
        <v>10</v>
      </c>
      <c r="AC116" s="107">
        <v>1.0</v>
      </c>
      <c r="AD116" s="107">
        <v>2.0</v>
      </c>
      <c r="AE116" s="107">
        <v>3.0</v>
      </c>
      <c r="AF116" s="107">
        <v>4.0</v>
      </c>
      <c r="AG116" s="107">
        <v>5.0</v>
      </c>
      <c r="AH116" s="107">
        <v>6.0</v>
      </c>
      <c r="AI116" s="107">
        <v>7.0</v>
      </c>
      <c r="AJ116" s="107">
        <v>8.0</v>
      </c>
      <c r="AK116" s="107">
        <v>9.0</v>
      </c>
      <c r="AL116" s="107">
        <v>10.0</v>
      </c>
      <c r="AM116" s="107">
        <v>11.0</v>
      </c>
      <c r="AN116" s="107">
        <v>12.0</v>
      </c>
      <c r="AO116" s="107">
        <v>13.0</v>
      </c>
      <c r="AP116" s="107">
        <v>14.0</v>
      </c>
      <c r="AQ116" s="107">
        <v>15.0</v>
      </c>
      <c r="AR116" s="107">
        <v>16.0</v>
      </c>
      <c r="AS116" s="107">
        <v>17.0</v>
      </c>
      <c r="AT116" s="107">
        <v>18.0</v>
      </c>
    </row>
    <row r="117" ht="9.0" customHeight="1">
      <c r="A117" s="108"/>
      <c r="B117" s="175"/>
      <c r="C117" s="176" t="str">
        <f t="array" ref="C117">if(W119="top",indirect($W117&amp;"!"&amp;"A11"),indirect($W117&amp;"!"&amp;"A18"))</f>
        <v>Saugy</v>
      </c>
      <c r="D117" s="35"/>
      <c r="E117" s="35"/>
      <c r="F117" s="35"/>
      <c r="G117" s="36"/>
      <c r="H117" s="111"/>
      <c r="I117" s="112" t="s">
        <v>7</v>
      </c>
      <c r="L117" s="112" t="s">
        <v>8</v>
      </c>
      <c r="O117" s="113"/>
      <c r="P117" s="177" t="str">
        <f t="array" ref="P117">if(W119="top",indirect($W117&amp;"!"&amp;"A8"),indirect($W117&amp;"!"&amp;"A15"))</f>
        <v>Hile</v>
      </c>
      <c r="Q117" s="35"/>
      <c r="R117" s="35"/>
      <c r="S117" s="35"/>
      <c r="T117" s="36"/>
      <c r="U117" s="178"/>
      <c r="V117" s="193"/>
      <c r="W117" s="116" t="s">
        <v>38</v>
      </c>
      <c r="X117" s="104" t="s">
        <v>12</v>
      </c>
      <c r="Y117" s="117">
        <f>if(L116=0,"",sum(AC118:AK118))</f>
        <v>3</v>
      </c>
      <c r="Z117" s="117">
        <f>if(L116&lt;10,"",sum(AL118:AT118))</f>
        <v>5</v>
      </c>
      <c r="AA117" s="117">
        <f>if(L116&lt;10,"",sum(AC118:AT118))</f>
        <v>8</v>
      </c>
      <c r="AB117" s="106" t="s">
        <v>13</v>
      </c>
      <c r="AC117" s="107">
        <v>4.0</v>
      </c>
      <c r="AD117" s="107">
        <v>5.0</v>
      </c>
      <c r="AE117" s="107">
        <v>6.0</v>
      </c>
      <c r="AF117" s="107">
        <v>7.0</v>
      </c>
      <c r="AG117" s="107">
        <v>8.0</v>
      </c>
      <c r="AH117" s="107">
        <v>9.0</v>
      </c>
      <c r="AI117" s="107">
        <v>10.0</v>
      </c>
      <c r="AJ117" s="107">
        <v>11.0</v>
      </c>
      <c r="AK117" s="107">
        <v>12.0</v>
      </c>
      <c r="AL117" s="107">
        <v>16.0</v>
      </c>
      <c r="AM117" s="107">
        <v>17.0</v>
      </c>
      <c r="AN117" s="107">
        <v>18.0</v>
      </c>
      <c r="AO117" s="107">
        <v>19.0</v>
      </c>
      <c r="AP117" s="107">
        <v>20.0</v>
      </c>
      <c r="AQ117" s="107">
        <v>21.0</v>
      </c>
      <c r="AR117" s="107">
        <v>22.0</v>
      </c>
      <c r="AS117" s="107">
        <v>23.0</v>
      </c>
      <c r="AT117" s="107">
        <v>24.0</v>
      </c>
    </row>
    <row r="118" ht="11.25" customHeight="1">
      <c r="A118" s="108"/>
      <c r="B118" s="179"/>
      <c r="C118" s="180"/>
      <c r="D118" s="44"/>
      <c r="E118" s="44"/>
      <c r="F118" s="44"/>
      <c r="G118" s="45"/>
      <c r="H118" s="111"/>
      <c r="I118" s="120" t="str">
        <f>if(and(Y119&gt;0,Y117&lt;&gt;0,Y117&lt;&gt;"",Y120=""),abs(Y117)&amp;" UP",
if(abs(AG120)&gt;AG119,abs(AG120)&amp;"&amp;"&amp;AG119,
if(abs(AH120)&gt;AH119,abs(AH120)&amp;"&amp;"&amp;AH119,
if(abs(AI120)&gt;AI119,abs(AI120)&amp;"&amp;"&amp;AI119,
if(abs(AJ120)&gt;AJ119,abs(AJ120)&amp;"&amp;"&amp;AJ119,
if(abs(AK120)&gt;AK119,abs(AK120)&amp;"&amp;"&amp;AK119,"AS"))))))</f>
        <v>3&amp;2</v>
      </c>
      <c r="J118" s="20"/>
      <c r="K118" s="21"/>
      <c r="L118" s="120" t="str">
        <f>if(and(Z119&gt;0,Z117&lt;&gt;0,Z117&lt;&gt;"",Z120=""),abs(Z117)&amp;" UP",
if(abs(AP120)&gt;AP119,abs(AP120)&amp;"&amp;"&amp;AP119,
if(abs(AQ120)&gt;AQ119,abs(AQ120)&amp;"&amp;"&amp;AQ119,
if(abs(AR120)&gt;AR119,abs(AR120)&amp;"&amp;"&amp;AR119,
if(abs(AS120)&gt;AS119,abs(AS120)&amp;"&amp;"&amp;AS119,
if(abs(AT120)&gt;AT119,abs(AT120)&amp;"&amp;"&amp;AT119,"AS"))))))</f>
        <v>3&amp;2</v>
      </c>
      <c r="M118" s="20"/>
      <c r="N118" s="21"/>
      <c r="O118" s="113"/>
      <c r="P118" s="180"/>
      <c r="Q118" s="44"/>
      <c r="R118" s="44"/>
      <c r="S118" s="44"/>
      <c r="T118" s="45"/>
      <c r="U118" s="178"/>
      <c r="V118" s="193"/>
      <c r="W118" s="122" t="str">
        <f>$L$50</f>
        <v>Singles Matches</v>
      </c>
      <c r="X118" s="104" t="s">
        <v>14</v>
      </c>
      <c r="Y118" s="117">
        <f>if(L116=0,"",if(Y117=0,0,Y117*-1))</f>
        <v>-3</v>
      </c>
      <c r="Z118" s="117">
        <f>if(L116&lt;10,"",if(Z117=0,0,Z117*-1))</f>
        <v>-5</v>
      </c>
      <c r="AA118" s="117">
        <f>if(L116&lt;10,"",if(AA117=0,0,AA117*-1))</f>
        <v>-8</v>
      </c>
      <c r="AB118" s="106" t="s">
        <v>15</v>
      </c>
      <c r="AC118" s="123">
        <f t="shared" ref="AC118:AT118" si="46">VLOOKUP($W119&amp;" - Front",indirect($W117&amp;"!"&amp;"$B$28:$y$31"),AC117,false)</f>
        <v>1</v>
      </c>
      <c r="AD118" s="123">
        <f t="shared" si="46"/>
        <v>0</v>
      </c>
      <c r="AE118" s="123">
        <f t="shared" si="46"/>
        <v>0</v>
      </c>
      <c r="AF118" s="123">
        <f t="shared" si="46"/>
        <v>0</v>
      </c>
      <c r="AG118" s="123">
        <f t="shared" si="46"/>
        <v>0</v>
      </c>
      <c r="AH118" s="123">
        <f t="shared" si="46"/>
        <v>1</v>
      </c>
      <c r="AI118" s="123">
        <f t="shared" si="46"/>
        <v>1</v>
      </c>
      <c r="AJ118" s="123">
        <f t="shared" si="46"/>
        <v>1</v>
      </c>
      <c r="AK118" s="123">
        <f t="shared" si="46"/>
        <v>-1</v>
      </c>
      <c r="AL118" s="123">
        <f t="shared" si="46"/>
        <v>1</v>
      </c>
      <c r="AM118" s="123">
        <f t="shared" si="46"/>
        <v>1</v>
      </c>
      <c r="AN118" s="123">
        <f t="shared" si="46"/>
        <v>-1</v>
      </c>
      <c r="AO118" s="123">
        <f t="shared" si="46"/>
        <v>1</v>
      </c>
      <c r="AP118" s="123">
        <f t="shared" si="46"/>
        <v>1</v>
      </c>
      <c r="AQ118" s="123">
        <f t="shared" si="46"/>
        <v>0</v>
      </c>
      <c r="AR118" s="123">
        <f t="shared" si="46"/>
        <v>0</v>
      </c>
      <c r="AS118" s="123">
        <f t="shared" si="46"/>
        <v>1</v>
      </c>
      <c r="AT118" s="123">
        <f t="shared" si="46"/>
        <v>1</v>
      </c>
    </row>
    <row r="119" ht="9.0" customHeight="1">
      <c r="A119" s="108"/>
      <c r="B119" s="179"/>
      <c r="C119" s="46"/>
      <c r="D119" s="125" t="s">
        <v>16</v>
      </c>
      <c r="G119" s="113"/>
      <c r="H119" s="111"/>
      <c r="I119" s="111"/>
      <c r="J119" s="112" t="s">
        <v>9</v>
      </c>
      <c r="N119" s="113"/>
      <c r="O119" s="113"/>
      <c r="P119" s="113"/>
      <c r="Q119" s="128" t="s">
        <v>16</v>
      </c>
      <c r="T119" s="46"/>
      <c r="U119" s="178"/>
      <c r="V119" s="193"/>
      <c r="W119" s="116" t="s">
        <v>32</v>
      </c>
      <c r="X119" s="104" t="s">
        <v>17</v>
      </c>
      <c r="Y119" s="117">
        <f t="array" ref="Y119">(countif(indirect(W117&amp;"!"&amp;"$E$20:$M$20"),""))</f>
        <v>0</v>
      </c>
      <c r="Z119" s="117">
        <f t="array" ref="Z119">(countif(indirect(W117&amp;"!"&amp;"$Q$20:$Y$20"),""))</f>
        <v>0</v>
      </c>
      <c r="AA119" s="117">
        <f t="array" ref="AA119">(countif(indirect(W117&amp;"!"&amp;"$E$20:$M$20"),""))
+(countif(indirect(W117&amp;"!"&amp;"$Q$20:$Y$20"),""))</f>
        <v>0</v>
      </c>
      <c r="AB119" s="105" t="s">
        <v>18</v>
      </c>
      <c r="AC119" s="105">
        <v>8.0</v>
      </c>
      <c r="AD119" s="105">
        <v>7.0</v>
      </c>
      <c r="AE119" s="105">
        <v>6.0</v>
      </c>
      <c r="AF119" s="105">
        <v>5.0</v>
      </c>
      <c r="AG119" s="105">
        <v>4.0</v>
      </c>
      <c r="AH119" s="105">
        <v>3.0</v>
      </c>
      <c r="AI119" s="105">
        <v>2.0</v>
      </c>
      <c r="AJ119" s="105">
        <v>1.0</v>
      </c>
      <c r="AK119" s="105">
        <v>0.0</v>
      </c>
      <c r="AL119" s="105">
        <v>8.0</v>
      </c>
      <c r="AM119" s="105">
        <v>7.0</v>
      </c>
      <c r="AN119" s="105">
        <v>6.0</v>
      </c>
      <c r="AO119" s="105">
        <v>5.0</v>
      </c>
      <c r="AP119" s="105">
        <v>4.0</v>
      </c>
      <c r="AQ119" s="105">
        <v>3.0</v>
      </c>
      <c r="AR119" s="105">
        <v>2.0</v>
      </c>
      <c r="AS119" s="105">
        <v>1.0</v>
      </c>
      <c r="AT119" s="105">
        <v>0.0</v>
      </c>
    </row>
    <row r="120" ht="11.25" customHeight="1">
      <c r="A120" s="108"/>
      <c r="B120" s="179"/>
      <c r="C120" s="46"/>
      <c r="D120" s="110">
        <f>if(Y121="","",sum(Y121:AA121))</f>
        <v>0</v>
      </c>
      <c r="E120" s="20"/>
      <c r="F120" s="21"/>
      <c r="G120" s="181"/>
      <c r="H120" s="111"/>
      <c r="I120" s="111"/>
      <c r="J120" s="120" t="str">
        <f>if(and(AA119&gt;0,AA117&lt;&gt;0,AA117&lt;&gt;"",AA120=""),abs(AA117)&amp;" UP",
if(abs(AG122)&gt;AG121,abs(AG122)&amp;"&amp;"&amp;AG121,
if(abs(AH122)&gt;AH121,abs(AH122)&amp;"&amp;"&amp;AH121,
if(abs(AI122)&gt;AI121,abs(AI122)&amp;"&amp;"&amp;AI121,
if(abs(AJ122)&gt;AJ121,abs(AJ122)&amp;"&amp;"&amp;AJ121,
if(abs(AK122)&gt;AK121,abs(AK122)&amp;"&amp;"&amp;AK121,
if(abs(AL122)&gt;AL121,abs(AL122)&amp;"&amp;"&amp;AL121,
if(abs(AM122)&gt;AM121,abs(AM122)&amp;"&amp;"&amp;AM121,
if(abs(AN122)&gt;AN121,abs(AN122)&amp;"&amp;"&amp;AN121,
if(abs(AO122)&gt;AO121,abs(AO122)&amp;"&amp;"&amp;AO121,
if(abs(AP122)&gt;AP121,abs(AP122)&amp;"&amp;"&amp;AP121,
if(abs(AQ122)&gt;AQ121,abs(AQ122)&amp;"&amp;"&amp;AQ121,
if(abs(AR122)&gt;AR121,abs(AR122)&amp;"&amp;"&amp;AR121,
if(abs(AS122)&gt;AS121,abs(AS122)&amp;"&amp;"&amp;AS121,
if(abs(AT122)&gt;AT121,abs(AT122)&amp;"&amp;"&amp;AT121,
"AS")))))))))))))))</f>
        <v>6&amp;4</v>
      </c>
      <c r="K120" s="20"/>
      <c r="L120" s="20"/>
      <c r="M120" s="21"/>
      <c r="N120" s="111"/>
      <c r="O120" s="111"/>
      <c r="P120" s="130"/>
      <c r="Q120" s="114">
        <f>if(Y120="","",sum(Y120:AA120))</f>
        <v>3</v>
      </c>
      <c r="R120" s="20"/>
      <c r="S120" s="21"/>
      <c r="T120" s="46"/>
      <c r="U120" s="178"/>
      <c r="V120" s="193"/>
      <c r="W120" s="143"/>
      <c r="X120" s="104" t="s">
        <v>19</v>
      </c>
      <c r="Y120" s="117">
        <f>if(Y117="","",if(or(Y117&gt;Y119,Y118&gt;Y119,and(Y117=0,Y119=0)),
if(Y117=0,vlookup($W118,'Master Input'!$O$12:$R$18,'Master Input'!P$11,false)/2,
if(Y117&gt;0,vlookup($W118,'Master Input'!$O$12:$R$18,'Master Input'!P$11,false),
if(Y117&lt;0,0,""))),""))</f>
        <v>1</v>
      </c>
      <c r="Z120" s="117">
        <f>if(Z117="","",if(or(Z117&gt;Z119,Z118&gt;Z119,and(Z117=0,Z119=0)),
if(Z117=0,vlookup($W118,'Master Input'!$O$12:$R$18,'Master Input'!Q$11,false)/2,
if(Z117&gt;0,vlookup($W118,'Master Input'!$O$12:$R$18,'Master Input'!Q$11,false),
if(Z117&lt;0,0,""))),""))</f>
        <v>1</v>
      </c>
      <c r="AA120" s="117">
        <f>if(AA117="","",if(or(AA117&gt;AA119,AA118&gt;AA119,and(AA117=0,AA119=0)),
if(AA117=0,vlookup($W118,'Master Input'!$O$12:$R$18,'Master Input'!R$11,false)/2,
if(AA117&gt;0,vlookup($W118,'Master Input'!$O$12:$R$18,'Master Input'!R$11,false),
if(AA117&lt;0,0,""))),""))</f>
        <v>1</v>
      </c>
      <c r="AB120" s="105" t="s">
        <v>20</v>
      </c>
      <c r="AC120" s="131">
        <f>if(AC118="","",AC118)</f>
        <v>1</v>
      </c>
      <c r="AD120" s="117">
        <f t="shared" ref="AD120:AK120" si="47">if(AD118="","",AD118+AC120)</f>
        <v>1</v>
      </c>
      <c r="AE120" s="117">
        <f t="shared" si="47"/>
        <v>1</v>
      </c>
      <c r="AF120" s="117">
        <f t="shared" si="47"/>
        <v>1</v>
      </c>
      <c r="AG120" s="117">
        <f t="shared" si="47"/>
        <v>1</v>
      </c>
      <c r="AH120" s="117">
        <f t="shared" si="47"/>
        <v>2</v>
      </c>
      <c r="AI120" s="117">
        <f t="shared" si="47"/>
        <v>3</v>
      </c>
      <c r="AJ120" s="117">
        <f t="shared" si="47"/>
        <v>4</v>
      </c>
      <c r="AK120" s="117">
        <f t="shared" si="47"/>
        <v>3</v>
      </c>
      <c r="AL120" s="131">
        <f>if(AL118="","",AL118)</f>
        <v>1</v>
      </c>
      <c r="AM120" s="117">
        <f t="shared" ref="AM120:AT120" si="48">if(AM118="","",AM118+AL120)</f>
        <v>2</v>
      </c>
      <c r="AN120" s="117">
        <f t="shared" si="48"/>
        <v>1</v>
      </c>
      <c r="AO120" s="117">
        <f t="shared" si="48"/>
        <v>2</v>
      </c>
      <c r="AP120" s="117">
        <f t="shared" si="48"/>
        <v>3</v>
      </c>
      <c r="AQ120" s="117">
        <f t="shared" si="48"/>
        <v>3</v>
      </c>
      <c r="AR120" s="117">
        <f t="shared" si="48"/>
        <v>3</v>
      </c>
      <c r="AS120" s="117">
        <f t="shared" si="48"/>
        <v>4</v>
      </c>
      <c r="AT120" s="117">
        <f t="shared" si="48"/>
        <v>5</v>
      </c>
    </row>
    <row r="121" ht="7.5" customHeight="1">
      <c r="A121" s="108"/>
      <c r="B121" s="182"/>
      <c r="C121" s="124"/>
      <c r="D121" s="124"/>
      <c r="E121" s="124"/>
      <c r="F121" s="124"/>
      <c r="G121" s="113"/>
      <c r="H121" s="111"/>
      <c r="I121" s="111"/>
      <c r="J121" s="111"/>
      <c r="K121" s="46"/>
      <c r="L121" s="46"/>
      <c r="M121" s="113"/>
      <c r="N121" s="113"/>
      <c r="O121" s="113"/>
      <c r="P121" s="113"/>
      <c r="Q121" s="46"/>
      <c r="R121" s="46"/>
      <c r="S121" s="46"/>
      <c r="T121" s="46"/>
      <c r="U121" s="178"/>
      <c r="V121" s="193"/>
      <c r="W121" s="143"/>
      <c r="X121" s="104" t="s">
        <v>21</v>
      </c>
      <c r="Y121" s="117">
        <f>if(Y120="","",vlookup($W118,'Master Input'!$O$12:$R$18,'Master Input'!P$11,false)-Y120)</f>
        <v>0</v>
      </c>
      <c r="Z121" s="117">
        <f>if(Z120="","",vlookup($W118,'Master Input'!$O$12:$R$18,'Master Input'!Q$11,false)-Z120)</f>
        <v>0</v>
      </c>
      <c r="AA121" s="117">
        <f>if(AA120="","",vlookup($W118,'Master Input'!$O$12:$R$18,'Master Input'!R$11,false)-AA120)</f>
        <v>0</v>
      </c>
      <c r="AB121" s="105" t="s">
        <v>22</v>
      </c>
      <c r="AC121" s="105">
        <v>17.0</v>
      </c>
      <c r="AD121" s="105">
        <v>16.0</v>
      </c>
      <c r="AE121" s="105">
        <v>15.0</v>
      </c>
      <c r="AF121" s="105">
        <v>14.0</v>
      </c>
      <c r="AG121" s="105">
        <v>13.0</v>
      </c>
      <c r="AH121" s="105">
        <v>12.0</v>
      </c>
      <c r="AI121" s="105">
        <v>11.0</v>
      </c>
      <c r="AJ121" s="105">
        <v>10.0</v>
      </c>
      <c r="AK121" s="105">
        <v>9.0</v>
      </c>
      <c r="AL121" s="105">
        <v>8.0</v>
      </c>
      <c r="AM121" s="105">
        <v>7.0</v>
      </c>
      <c r="AN121" s="105">
        <v>6.0</v>
      </c>
      <c r="AO121" s="105">
        <v>5.0</v>
      </c>
      <c r="AP121" s="105">
        <v>4.0</v>
      </c>
      <c r="AQ121" s="105">
        <v>3.0</v>
      </c>
      <c r="AR121" s="105">
        <v>2.0</v>
      </c>
      <c r="AS121" s="105">
        <v>1.0</v>
      </c>
      <c r="AT121" s="105">
        <v>0.0</v>
      </c>
    </row>
    <row r="122" ht="11.25" customHeight="1">
      <c r="A122" s="108"/>
      <c r="B122" s="182"/>
      <c r="C122" s="183">
        <v>1.0</v>
      </c>
      <c r="D122" s="183">
        <v>2.0</v>
      </c>
      <c r="E122" s="183">
        <v>3.0</v>
      </c>
      <c r="F122" s="183">
        <v>4.0</v>
      </c>
      <c r="G122" s="183">
        <v>5.0</v>
      </c>
      <c r="H122" s="183">
        <v>6.0</v>
      </c>
      <c r="I122" s="183">
        <v>7.0</v>
      </c>
      <c r="J122" s="183">
        <v>8.0</v>
      </c>
      <c r="K122" s="184">
        <v>9.0</v>
      </c>
      <c r="L122" s="185">
        <v>10.0</v>
      </c>
      <c r="M122" s="183">
        <v>11.0</v>
      </c>
      <c r="N122" s="183">
        <v>12.0</v>
      </c>
      <c r="O122" s="183">
        <v>13.0</v>
      </c>
      <c r="P122" s="183">
        <v>14.0</v>
      </c>
      <c r="Q122" s="183">
        <v>15.0</v>
      </c>
      <c r="R122" s="183">
        <v>16.0</v>
      </c>
      <c r="S122" s="183">
        <v>17.0</v>
      </c>
      <c r="T122" s="183">
        <v>18.0</v>
      </c>
      <c r="U122" s="178"/>
      <c r="V122" s="193"/>
      <c r="W122" s="143"/>
      <c r="X122" s="104"/>
      <c r="Y122" s="105"/>
      <c r="Z122" s="105"/>
      <c r="AA122" s="105"/>
      <c r="AB122" s="105" t="s">
        <v>23</v>
      </c>
      <c r="AC122" s="131">
        <f>if(AC118="","",AC118)</f>
        <v>1</v>
      </c>
      <c r="AD122" s="117">
        <f t="shared" ref="AD122:AT122" si="49">if(AD118="","",AD118+AC122)</f>
        <v>1</v>
      </c>
      <c r="AE122" s="117">
        <f t="shared" si="49"/>
        <v>1</v>
      </c>
      <c r="AF122" s="117">
        <f t="shared" si="49"/>
        <v>1</v>
      </c>
      <c r="AG122" s="117">
        <f t="shared" si="49"/>
        <v>1</v>
      </c>
      <c r="AH122" s="117">
        <f t="shared" si="49"/>
        <v>2</v>
      </c>
      <c r="AI122" s="117">
        <f t="shared" si="49"/>
        <v>3</v>
      </c>
      <c r="AJ122" s="117">
        <f t="shared" si="49"/>
        <v>4</v>
      </c>
      <c r="AK122" s="117">
        <f t="shared" si="49"/>
        <v>3</v>
      </c>
      <c r="AL122" s="117">
        <f t="shared" si="49"/>
        <v>4</v>
      </c>
      <c r="AM122" s="117">
        <f t="shared" si="49"/>
        <v>5</v>
      </c>
      <c r="AN122" s="117">
        <f t="shared" si="49"/>
        <v>4</v>
      </c>
      <c r="AO122" s="117">
        <f t="shared" si="49"/>
        <v>5</v>
      </c>
      <c r="AP122" s="117">
        <f t="shared" si="49"/>
        <v>6</v>
      </c>
      <c r="AQ122" s="117">
        <f t="shared" si="49"/>
        <v>6</v>
      </c>
      <c r="AR122" s="117">
        <f t="shared" si="49"/>
        <v>6</v>
      </c>
      <c r="AS122" s="117">
        <f t="shared" si="49"/>
        <v>7</v>
      </c>
      <c r="AT122" s="117">
        <f t="shared" si="49"/>
        <v>8</v>
      </c>
    </row>
    <row r="123" ht="7.5" customHeight="1">
      <c r="A123" s="108"/>
      <c r="B123" s="186"/>
      <c r="C123" s="187"/>
      <c r="D123" s="187"/>
      <c r="E123" s="187"/>
      <c r="F123" s="187"/>
      <c r="G123" s="187"/>
      <c r="H123" s="188"/>
      <c r="I123" s="188"/>
      <c r="J123" s="189"/>
      <c r="K123" s="189"/>
      <c r="L123" s="189"/>
      <c r="M123" s="189"/>
      <c r="N123" s="190"/>
      <c r="O123" s="190"/>
      <c r="P123" s="187"/>
      <c r="Q123" s="187"/>
      <c r="R123" s="187"/>
      <c r="S123" s="187"/>
      <c r="T123" s="187"/>
      <c r="U123" s="191"/>
      <c r="V123" s="193"/>
      <c r="W123" s="143"/>
      <c r="X123" s="143"/>
      <c r="Y123" s="143"/>
      <c r="Z123" s="143"/>
      <c r="AA123" s="143"/>
      <c r="AB123" s="143"/>
      <c r="AC123" s="143"/>
      <c r="AD123" s="143"/>
      <c r="AE123" s="143"/>
      <c r="AF123" s="143"/>
      <c r="AG123" s="143"/>
      <c r="AH123" s="143"/>
      <c r="AI123" s="143"/>
      <c r="AJ123" s="143"/>
      <c r="AK123" s="143"/>
      <c r="AL123" s="143"/>
      <c r="AM123" s="143"/>
      <c r="AN123" s="143"/>
      <c r="AO123" s="143"/>
      <c r="AP123" s="143"/>
      <c r="AQ123" s="143"/>
      <c r="AR123" s="143"/>
      <c r="AS123" s="143"/>
      <c r="AT123" s="143"/>
    </row>
    <row r="124" ht="11.25" customHeight="1">
      <c r="A124" s="147"/>
      <c r="B124" s="148"/>
      <c r="C124" s="148"/>
      <c r="D124" s="148"/>
      <c r="E124" s="148"/>
      <c r="F124" s="148"/>
      <c r="G124" s="148"/>
      <c r="H124" s="148"/>
      <c r="I124" s="148"/>
      <c r="J124" s="148"/>
      <c r="K124" s="148"/>
      <c r="L124" s="148"/>
      <c r="M124" s="148"/>
      <c r="N124" s="148"/>
      <c r="O124" s="148"/>
      <c r="P124" s="148"/>
      <c r="Q124" s="148"/>
      <c r="R124" s="148"/>
      <c r="S124" s="148"/>
      <c r="T124" s="148"/>
      <c r="U124" s="148"/>
      <c r="V124" s="88"/>
      <c r="W124" s="89"/>
      <c r="X124" s="90"/>
      <c r="Y124" s="149"/>
      <c r="Z124" s="149"/>
      <c r="AA124" s="149"/>
      <c r="AB124" s="150"/>
      <c r="AC124" s="151"/>
      <c r="AD124" s="151"/>
      <c r="AE124" s="151"/>
      <c r="AF124" s="151"/>
      <c r="AG124" s="151"/>
      <c r="AH124" s="151"/>
      <c r="AI124" s="151"/>
      <c r="AJ124" s="151"/>
      <c r="AK124" s="151"/>
      <c r="AL124" s="151"/>
      <c r="AM124" s="151"/>
      <c r="AN124" s="151"/>
      <c r="AO124" s="151"/>
      <c r="AP124" s="151"/>
      <c r="AQ124" s="151"/>
      <c r="AR124" s="151"/>
      <c r="AS124" s="151"/>
      <c r="AT124" s="151"/>
    </row>
    <row r="125" ht="11.25" customHeight="1">
      <c r="A125" s="152"/>
      <c r="B125" s="153"/>
      <c r="C125" s="153"/>
      <c r="D125" s="153"/>
      <c r="E125" s="153"/>
      <c r="F125" s="153"/>
      <c r="G125" s="153"/>
      <c r="H125" s="153"/>
      <c r="I125" s="153"/>
      <c r="J125" s="153"/>
      <c r="K125" s="153"/>
      <c r="L125" s="153"/>
      <c r="M125" s="153"/>
      <c r="N125" s="153"/>
      <c r="O125" s="153"/>
      <c r="P125" s="153"/>
      <c r="Q125" s="153"/>
      <c r="R125" s="153"/>
      <c r="S125" s="153"/>
      <c r="T125" s="153"/>
      <c r="U125" s="153"/>
      <c r="V125" s="154"/>
      <c r="W125" s="89"/>
      <c r="X125" s="90"/>
      <c r="Y125" s="149"/>
      <c r="Z125" s="149"/>
      <c r="AA125" s="149"/>
      <c r="AB125" s="150"/>
      <c r="AC125" s="151"/>
      <c r="AD125" s="151"/>
      <c r="AE125" s="151"/>
      <c r="AF125" s="151"/>
      <c r="AG125" s="151"/>
      <c r="AH125" s="151"/>
      <c r="AI125" s="151"/>
      <c r="AJ125" s="151"/>
      <c r="AK125" s="151"/>
      <c r="AL125" s="151"/>
      <c r="AM125" s="151"/>
      <c r="AN125" s="151"/>
      <c r="AO125" s="151"/>
      <c r="AP125" s="151"/>
      <c r="AQ125" s="151"/>
      <c r="AR125" s="151"/>
      <c r="AS125" s="151"/>
      <c r="AT125" s="151"/>
    </row>
    <row r="126" ht="15.0" customHeight="1">
      <c r="A126" s="147"/>
      <c r="B126" s="199" t="str">
        <f>'Master Input'!I6</f>
        <v>Ravines GC - White</v>
      </c>
      <c r="C126" s="200"/>
      <c r="D126" s="200"/>
      <c r="E126" s="200"/>
      <c r="F126" s="200"/>
      <c r="G126" s="200"/>
      <c r="H126" s="200"/>
      <c r="I126" s="200"/>
      <c r="J126" s="200"/>
      <c r="K126" s="200"/>
      <c r="L126" s="201" t="str">
        <f>'Master Input'!J6</f>
        <v>2-Man Tilt</v>
      </c>
      <c r="M126" s="200"/>
      <c r="N126" s="200"/>
      <c r="O126" s="200"/>
      <c r="P126" s="200"/>
      <c r="Q126" s="200"/>
      <c r="R126" s="200"/>
      <c r="S126" s="200"/>
      <c r="T126" s="200"/>
      <c r="U126" s="202"/>
      <c r="V126" s="88"/>
      <c r="W126" s="103"/>
      <c r="X126" s="63"/>
      <c r="Y126" s="142"/>
      <c r="Z126" s="142"/>
      <c r="AA126" s="142"/>
      <c r="AB126" s="81"/>
      <c r="AC126" s="82"/>
      <c r="AD126" s="82"/>
      <c r="AE126" s="82"/>
      <c r="AF126" s="82"/>
      <c r="AG126" s="82"/>
      <c r="AH126" s="82"/>
      <c r="AI126" s="82"/>
      <c r="AJ126" s="82"/>
      <c r="AK126" s="82"/>
      <c r="AL126" s="82"/>
      <c r="AM126" s="82"/>
      <c r="AN126" s="82"/>
      <c r="AO126" s="82"/>
      <c r="AP126" s="82"/>
      <c r="AQ126" s="82"/>
      <c r="AR126" s="82"/>
      <c r="AS126" s="82"/>
      <c r="AT126" s="82"/>
    </row>
    <row r="127" ht="15.0" customHeight="1">
      <c r="A127" s="147"/>
      <c r="B127" s="203" t="s">
        <v>40</v>
      </c>
      <c r="C127" s="204"/>
      <c r="D127" s="204"/>
      <c r="E127" s="204"/>
      <c r="F127" s="204"/>
      <c r="G127" s="204"/>
      <c r="H127" s="204"/>
      <c r="I127" s="204"/>
      <c r="J127" s="204"/>
      <c r="K127" s="204"/>
      <c r="L127" s="204"/>
      <c r="M127" s="204"/>
      <c r="N127" s="204"/>
      <c r="O127" s="204"/>
      <c r="P127" s="204"/>
      <c r="Q127" s="204"/>
      <c r="R127" s="204"/>
      <c r="S127" s="204"/>
      <c r="T127" s="204"/>
      <c r="U127" s="205"/>
      <c r="V127" s="88"/>
      <c r="W127" s="69"/>
      <c r="X127" s="63"/>
      <c r="Y127" s="143"/>
      <c r="Z127" s="143"/>
      <c r="AA127" s="143"/>
      <c r="AB127" s="81"/>
      <c r="AC127" s="82"/>
      <c r="AD127" s="82"/>
      <c r="AE127" s="82"/>
      <c r="AF127" s="82"/>
      <c r="AG127" s="82"/>
      <c r="AH127" s="82"/>
      <c r="AI127" s="82"/>
      <c r="AJ127" s="82"/>
      <c r="AK127" s="82"/>
      <c r="AL127" s="82"/>
      <c r="AM127" s="82"/>
      <c r="AN127" s="82"/>
      <c r="AO127" s="82"/>
      <c r="AP127" s="82"/>
      <c r="AQ127" s="82"/>
      <c r="AR127" s="82"/>
      <c r="AS127" s="82"/>
      <c r="AT127" s="82"/>
    </row>
    <row r="128" ht="7.5" customHeight="1">
      <c r="A128" s="147"/>
      <c r="B128" s="148"/>
      <c r="C128" s="148"/>
      <c r="D128" s="148"/>
      <c r="E128" s="148"/>
      <c r="F128" s="148"/>
      <c r="G128" s="148"/>
      <c r="H128" s="148"/>
      <c r="I128" s="148"/>
      <c r="J128" s="148"/>
      <c r="K128" s="148"/>
      <c r="L128" s="148"/>
      <c r="M128" s="148"/>
      <c r="N128" s="148"/>
      <c r="O128" s="148"/>
      <c r="P128" s="148"/>
      <c r="Q128" s="148"/>
      <c r="R128" s="148"/>
      <c r="S128" s="148"/>
      <c r="T128" s="148"/>
      <c r="U128" s="148"/>
      <c r="V128" s="88"/>
      <c r="W128" s="89"/>
      <c r="X128" s="90"/>
      <c r="Y128" s="91"/>
      <c r="Z128" s="91"/>
      <c r="AA128" s="91"/>
      <c r="AB128" s="91"/>
      <c r="AC128" s="91"/>
      <c r="AD128" s="91"/>
      <c r="AE128" s="91"/>
      <c r="AF128" s="91"/>
      <c r="AG128" s="91"/>
      <c r="AH128" s="91"/>
      <c r="AI128" s="91"/>
      <c r="AJ128" s="91"/>
      <c r="AK128" s="91"/>
      <c r="AL128" s="91"/>
      <c r="AM128" s="91"/>
      <c r="AN128" s="91"/>
      <c r="AO128" s="91"/>
      <c r="AP128" s="91"/>
      <c r="AQ128" s="91"/>
      <c r="AR128" s="91"/>
      <c r="AS128" s="91"/>
      <c r="AT128" s="91"/>
    </row>
    <row r="129" ht="9.0" customHeight="1">
      <c r="A129" s="206" t="str">
        <f>W130</f>
        <v>R3_G1</v>
      </c>
      <c r="B129" s="207"/>
      <c r="C129" s="208" t="s">
        <v>5</v>
      </c>
      <c r="D129" s="200"/>
      <c r="E129" s="200"/>
      <c r="F129" s="200"/>
      <c r="G129" s="200"/>
      <c r="H129" s="209"/>
      <c r="I129" s="209"/>
      <c r="J129" s="210"/>
      <c r="K129" s="211" t="s">
        <v>6</v>
      </c>
      <c r="L129" s="212">
        <f>18-countif(AC131:AT131,"")
</f>
        <v>18</v>
      </c>
      <c r="M129" s="213"/>
      <c r="N129" s="214"/>
      <c r="O129" s="214"/>
      <c r="P129" s="214"/>
      <c r="Q129" s="214"/>
      <c r="R129" s="214"/>
      <c r="S129" s="214"/>
      <c r="T129" s="214"/>
      <c r="U129" s="215"/>
      <c r="V129" s="88"/>
      <c r="W129" s="103"/>
      <c r="X129" s="104"/>
      <c r="Y129" s="105" t="s">
        <v>7</v>
      </c>
      <c r="Z129" s="105" t="s">
        <v>8</v>
      </c>
      <c r="AA129" s="105" t="s">
        <v>9</v>
      </c>
      <c r="AB129" s="106" t="s">
        <v>10</v>
      </c>
      <c r="AC129" s="107">
        <v>1.0</v>
      </c>
      <c r="AD129" s="107">
        <v>2.0</v>
      </c>
      <c r="AE129" s="107">
        <v>3.0</v>
      </c>
      <c r="AF129" s="107">
        <v>4.0</v>
      </c>
      <c r="AG129" s="107">
        <v>5.0</v>
      </c>
      <c r="AH129" s="107">
        <v>6.0</v>
      </c>
      <c r="AI129" s="107">
        <v>7.0</v>
      </c>
      <c r="AJ129" s="107">
        <v>8.0</v>
      </c>
      <c r="AK129" s="107">
        <v>9.0</v>
      </c>
      <c r="AL129" s="107">
        <v>10.0</v>
      </c>
      <c r="AM129" s="107">
        <v>11.0</v>
      </c>
      <c r="AN129" s="107">
        <v>12.0</v>
      </c>
      <c r="AO129" s="107">
        <v>13.0</v>
      </c>
      <c r="AP129" s="107">
        <v>14.0</v>
      </c>
      <c r="AQ129" s="107">
        <v>15.0</v>
      </c>
      <c r="AR129" s="107">
        <v>16.0</v>
      </c>
      <c r="AS129" s="107">
        <v>17.0</v>
      </c>
      <c r="AT129" s="107">
        <v>18.0</v>
      </c>
    </row>
    <row r="130" ht="11.25" customHeight="1">
      <c r="A130" s="108"/>
      <c r="B130" s="216"/>
      <c r="C130" s="110" t="str">
        <f>'Match Selection'!G14</f>
        <v>Andy</v>
      </c>
      <c r="D130" s="20"/>
      <c r="E130" s="20"/>
      <c r="F130" s="20"/>
      <c r="G130" s="21"/>
      <c r="H130" s="217" t="s">
        <v>41</v>
      </c>
      <c r="K130" s="46"/>
      <c r="L130" s="46"/>
      <c r="M130" s="218" t="s">
        <v>41</v>
      </c>
      <c r="P130" s="114" t="str">
        <f>'Match Selection'!D14</f>
        <v>T-Mo</v>
      </c>
      <c r="Q130" s="20"/>
      <c r="R130" s="20"/>
      <c r="S130" s="20"/>
      <c r="T130" s="21"/>
      <c r="U130" s="219"/>
      <c r="V130" s="88"/>
      <c r="W130" s="116" t="s">
        <v>42</v>
      </c>
      <c r="X130" s="104" t="s">
        <v>12</v>
      </c>
      <c r="Y130" s="117" t="s">
        <v>43</v>
      </c>
      <c r="Z130" s="117" t="s">
        <v>43</v>
      </c>
      <c r="AA130" s="220">
        <f t="array" ref="AA130">indirect($W130&amp;"!"&amp;"AB26")</f>
        <v>62</v>
      </c>
      <c r="AB130" s="106" t="s">
        <v>13</v>
      </c>
      <c r="AC130" s="107">
        <v>3.0</v>
      </c>
      <c r="AD130" s="107">
        <v>4.0</v>
      </c>
      <c r="AE130" s="107">
        <v>5.0</v>
      </c>
      <c r="AF130" s="107">
        <v>6.0</v>
      </c>
      <c r="AG130" s="107">
        <v>7.0</v>
      </c>
      <c r="AH130" s="107">
        <v>8.0</v>
      </c>
      <c r="AI130" s="107">
        <v>9.0</v>
      </c>
      <c r="AJ130" s="107">
        <v>10.0</v>
      </c>
      <c r="AK130" s="107">
        <v>11.0</v>
      </c>
      <c r="AL130" s="107">
        <v>18.0</v>
      </c>
      <c r="AM130" s="107">
        <v>19.0</v>
      </c>
      <c r="AN130" s="107">
        <v>20.0</v>
      </c>
      <c r="AO130" s="107">
        <v>21.0</v>
      </c>
      <c r="AP130" s="107">
        <v>22.0</v>
      </c>
      <c r="AQ130" s="107">
        <v>23.0</v>
      </c>
      <c r="AR130" s="107">
        <v>24.0</v>
      </c>
      <c r="AS130" s="107">
        <v>25.0</v>
      </c>
      <c r="AT130" s="107">
        <v>26.0</v>
      </c>
    </row>
    <row r="131" ht="11.25" customHeight="1">
      <c r="A131" s="108"/>
      <c r="B131" s="221"/>
      <c r="C131" s="119" t="str">
        <f>'Match Selection'!G15</f>
        <v>House</v>
      </c>
      <c r="D131" s="44"/>
      <c r="E131" s="44"/>
      <c r="F131" s="44"/>
      <c r="G131" s="45"/>
      <c r="H131" s="222">
        <f>AA131</f>
        <v>34</v>
      </c>
      <c r="I131" s="20"/>
      <c r="J131" s="21"/>
      <c r="K131" s="46"/>
      <c r="L131" s="46"/>
      <c r="M131" s="223">
        <f>AA130</f>
        <v>62</v>
      </c>
      <c r="N131" s="20"/>
      <c r="O131" s="20"/>
      <c r="P131" s="121" t="str">
        <f>'Match Selection'!D15</f>
        <v>TJSC</v>
      </c>
      <c r="Q131" s="44"/>
      <c r="R131" s="44"/>
      <c r="S131" s="44"/>
      <c r="T131" s="45"/>
      <c r="U131" s="219"/>
      <c r="V131" s="88"/>
      <c r="W131" s="122" t="str">
        <f>$L$126</f>
        <v>2-Man Tilt</v>
      </c>
      <c r="X131" s="104" t="s">
        <v>14</v>
      </c>
      <c r="Y131" s="117" t="s">
        <v>43</v>
      </c>
      <c r="Z131" s="117" t="s">
        <v>43</v>
      </c>
      <c r="AA131" s="220">
        <f t="array" ref="AA131">indirect($W130&amp;"!"&amp;"AB27")</f>
        <v>34</v>
      </c>
      <c r="AB131" s="106" t="s">
        <v>15</v>
      </c>
      <c r="AC131" s="123">
        <f t="array" ref="AC131">VLOOKUP('Master Input'!$A$19,indirect($W130&amp;"!"&amp;"$A$31:$z$31"),AC130)</f>
        <v>0</v>
      </c>
      <c r="AD131" s="123">
        <f t="array" ref="AD131">VLOOKUP('Master Input'!$A$19,indirect($W130&amp;"!"&amp;"$A$31:$z$31"),AD130)</f>
        <v>0</v>
      </c>
      <c r="AE131" s="123">
        <f t="array" ref="AE131">VLOOKUP('Master Input'!$A$19,indirect($W130&amp;"!"&amp;"$A$31:$z$31"),AE130)</f>
        <v>1</v>
      </c>
      <c r="AF131" s="123">
        <f t="array" ref="AF131">VLOOKUP('Master Input'!$A$19,indirect($W130&amp;"!"&amp;"$A$31:$z$31"),AF130)</f>
        <v>1</v>
      </c>
      <c r="AG131" s="123">
        <f t="array" ref="AG131">VLOOKUP('Master Input'!$A$19,indirect($W130&amp;"!"&amp;"$A$31:$z$31"),AG130)</f>
        <v>-1</v>
      </c>
      <c r="AH131" s="123">
        <f t="array" ref="AH131">VLOOKUP('Master Input'!$A$19,indirect($W130&amp;"!"&amp;"$A$31:$z$31"),AH130)</f>
        <v>-1</v>
      </c>
      <c r="AI131" s="123">
        <f t="array" ref="AI131">VLOOKUP('Master Input'!$A$19,indirect($W130&amp;"!"&amp;"$A$31:$z$31"),AI130)</f>
        <v>-1</v>
      </c>
      <c r="AJ131" s="123">
        <f t="array" ref="AJ131">VLOOKUP('Master Input'!$A$19,indirect($W130&amp;"!"&amp;"$A$31:$z$31"),AJ130)</f>
        <v>-1</v>
      </c>
      <c r="AK131" s="123">
        <f t="array" ref="AK131">VLOOKUP('Master Input'!$A$19,indirect($W130&amp;"!"&amp;"$A$31:$z$31"),AK130)</f>
        <v>1</v>
      </c>
      <c r="AL131" s="123">
        <f t="array" ref="AL131">VLOOKUP('Master Input'!$A$19,indirect($W130&amp;"!"&amp;"$A$31:$z$31"),AL130)</f>
        <v>1</v>
      </c>
      <c r="AM131" s="123">
        <f t="array" ref="AM131">VLOOKUP('Master Input'!$A$19,indirect($W130&amp;"!"&amp;"$A$31:$z$31"),AM130)</f>
        <v>0</v>
      </c>
      <c r="AN131" s="123">
        <f t="array" ref="AN131">VLOOKUP('Master Input'!$A$19,indirect($W130&amp;"!"&amp;"$A$31:$z$31"),AN130)</f>
        <v>1</v>
      </c>
      <c r="AO131" s="123">
        <f t="array" ref="AO131">VLOOKUP('Master Input'!$A$19,indirect($W130&amp;"!"&amp;"$A$31:$z$31"),AO130)</f>
        <v>-1</v>
      </c>
      <c r="AP131" s="123">
        <f t="array" ref="AP131">VLOOKUP('Master Input'!$A$19,indirect($W130&amp;"!"&amp;"$A$31:$z$31"),AP130)</f>
        <v>1</v>
      </c>
      <c r="AQ131" s="123">
        <f t="array" ref="AQ131">VLOOKUP('Master Input'!$A$19,indirect($W130&amp;"!"&amp;"$A$31:$z$31"),AQ130)</f>
        <v>1</v>
      </c>
      <c r="AR131" s="123">
        <f t="array" ref="AR131">VLOOKUP('Master Input'!$A$19,indirect($W130&amp;"!"&amp;"$A$31:$z$31"),AR130)</f>
        <v>0</v>
      </c>
      <c r="AS131" s="123">
        <f t="array" ref="AS131">VLOOKUP('Master Input'!$A$19,indirect($W130&amp;"!"&amp;"$A$31:$z$31"),AS130)</f>
        <v>-1</v>
      </c>
      <c r="AT131" s="123">
        <f t="array" ref="AT131">VLOOKUP('Master Input'!$A$19,indirect($W130&amp;"!"&amp;"$A$31:$z$31"),AT130)</f>
        <v>-1</v>
      </c>
    </row>
    <row r="132" ht="9.0" customHeight="1">
      <c r="A132" s="108"/>
      <c r="B132" s="221"/>
      <c r="C132" s="46"/>
      <c r="D132" s="125" t="s">
        <v>44</v>
      </c>
      <c r="G132" s="113"/>
      <c r="H132" s="111"/>
      <c r="I132" s="111"/>
      <c r="J132" s="112" t="s">
        <v>45</v>
      </c>
      <c r="N132" s="113"/>
      <c r="O132" s="113"/>
      <c r="P132" s="113"/>
      <c r="Q132" s="128" t="s">
        <v>44</v>
      </c>
      <c r="T132" s="46"/>
      <c r="U132" s="219"/>
      <c r="V132" s="88"/>
      <c r="W132" s="103"/>
      <c r="X132" s="104" t="s">
        <v>17</v>
      </c>
      <c r="Y132" s="117" t="s">
        <v>43</v>
      </c>
      <c r="Z132" s="117" t="s">
        <v>43</v>
      </c>
      <c r="AA132" s="117">
        <f>countif(AC131:AT131,"")</f>
        <v>0</v>
      </c>
      <c r="AB132" s="105" t="s">
        <v>18</v>
      </c>
      <c r="AC132" s="105">
        <v>8.0</v>
      </c>
      <c r="AD132" s="105">
        <v>7.0</v>
      </c>
      <c r="AE132" s="105">
        <v>6.0</v>
      </c>
      <c r="AF132" s="105">
        <v>5.0</v>
      </c>
      <c r="AG132" s="105">
        <v>4.0</v>
      </c>
      <c r="AH132" s="105">
        <v>3.0</v>
      </c>
      <c r="AI132" s="105">
        <v>2.0</v>
      </c>
      <c r="AJ132" s="105">
        <v>1.0</v>
      </c>
      <c r="AK132" s="105">
        <v>0.0</v>
      </c>
      <c r="AL132" s="105">
        <v>8.0</v>
      </c>
      <c r="AM132" s="105">
        <v>7.0</v>
      </c>
      <c r="AN132" s="105">
        <v>6.0</v>
      </c>
      <c r="AO132" s="105">
        <v>5.0</v>
      </c>
      <c r="AP132" s="105">
        <v>4.0</v>
      </c>
      <c r="AQ132" s="105">
        <v>3.0</v>
      </c>
      <c r="AR132" s="105">
        <v>2.0</v>
      </c>
      <c r="AS132" s="105">
        <v>1.0</v>
      </c>
      <c r="AT132" s="105">
        <v>0.0</v>
      </c>
    </row>
    <row r="133" ht="11.25" customHeight="1">
      <c r="A133" s="108"/>
      <c r="B133" s="221"/>
      <c r="C133" s="46"/>
      <c r="D133" s="110">
        <f>if(AA134="","",sum(Y134:AA134))</f>
        <v>0.5</v>
      </c>
      <c r="E133" s="20"/>
      <c r="F133" s="21"/>
      <c r="G133" s="181"/>
      <c r="H133" s="111"/>
      <c r="I133" s="111"/>
      <c r="J133" s="224">
        <f>abs(AA131-AA130)</f>
        <v>28</v>
      </c>
      <c r="K133" s="20"/>
      <c r="L133" s="20"/>
      <c r="M133" s="21"/>
      <c r="N133" s="111"/>
      <c r="O133" s="111"/>
      <c r="P133" s="130"/>
      <c r="Q133" s="114">
        <f>if(AA133="","",sum(Y133:AA133))</f>
        <v>3.5</v>
      </c>
      <c r="R133" s="20"/>
      <c r="S133" s="21"/>
      <c r="T133" s="46"/>
      <c r="U133" s="219"/>
      <c r="V133" s="88"/>
      <c r="W133" s="103"/>
      <c r="X133" s="104" t="s">
        <v>19</v>
      </c>
      <c r="Y133" s="117" t="s">
        <v>43</v>
      </c>
      <c r="Z133" s="117" t="s">
        <v>43</v>
      </c>
      <c r="AA133" s="117">
        <f t="array" ref="AA133">indirect($W130&amp;"!"&amp;"AC26")</f>
        <v>3.5</v>
      </c>
      <c r="AB133" s="105" t="s">
        <v>20</v>
      </c>
      <c r="AC133" s="117" t="s">
        <v>43</v>
      </c>
      <c r="AD133" s="117" t="s">
        <v>43</v>
      </c>
      <c r="AE133" s="117" t="s">
        <v>43</v>
      </c>
      <c r="AF133" s="117" t="s">
        <v>43</v>
      </c>
      <c r="AG133" s="117" t="s">
        <v>43</v>
      </c>
      <c r="AH133" s="117" t="s">
        <v>43</v>
      </c>
      <c r="AI133" s="117" t="s">
        <v>43</v>
      </c>
      <c r="AJ133" s="117" t="s">
        <v>43</v>
      </c>
      <c r="AK133" s="117" t="s">
        <v>43</v>
      </c>
      <c r="AL133" s="117" t="s">
        <v>43</v>
      </c>
      <c r="AM133" s="117" t="s">
        <v>43</v>
      </c>
      <c r="AN133" s="117" t="s">
        <v>43</v>
      </c>
      <c r="AO133" s="117" t="s">
        <v>43</v>
      </c>
      <c r="AP133" s="117" t="s">
        <v>43</v>
      </c>
      <c r="AQ133" s="117" t="s">
        <v>43</v>
      </c>
      <c r="AR133" s="117" t="s">
        <v>43</v>
      </c>
      <c r="AS133" s="117" t="s">
        <v>43</v>
      </c>
      <c r="AT133" s="117" t="s">
        <v>43</v>
      </c>
    </row>
    <row r="134" ht="7.5" customHeight="1">
      <c r="A134" s="108"/>
      <c r="B134" s="225"/>
      <c r="C134" s="124"/>
      <c r="D134" s="124"/>
      <c r="E134" s="124"/>
      <c r="F134" s="124"/>
      <c r="G134" s="113"/>
      <c r="H134" s="111"/>
      <c r="I134" s="111"/>
      <c r="J134" s="111"/>
      <c r="K134" s="46"/>
      <c r="L134" s="46"/>
      <c r="M134" s="113"/>
      <c r="N134" s="113"/>
      <c r="O134" s="113"/>
      <c r="P134" s="113"/>
      <c r="Q134" s="46"/>
      <c r="R134" s="46"/>
      <c r="S134" s="46"/>
      <c r="T134" s="46"/>
      <c r="U134" s="219"/>
      <c r="V134" s="88"/>
      <c r="W134" s="103"/>
      <c r="X134" s="104" t="s">
        <v>21</v>
      </c>
      <c r="Y134" s="117" t="s">
        <v>43</v>
      </c>
      <c r="Z134" s="117" t="s">
        <v>43</v>
      </c>
      <c r="AA134" s="117">
        <f t="array" ref="AA134">indirect($W130&amp;"!"&amp;"AC27")</f>
        <v>0.5</v>
      </c>
      <c r="AB134" s="105" t="s">
        <v>22</v>
      </c>
      <c r="AC134" s="105">
        <v>17.0</v>
      </c>
      <c r="AD134" s="105">
        <v>16.0</v>
      </c>
      <c r="AE134" s="105">
        <v>15.0</v>
      </c>
      <c r="AF134" s="105">
        <v>14.0</v>
      </c>
      <c r="AG134" s="105">
        <v>13.0</v>
      </c>
      <c r="AH134" s="105">
        <v>12.0</v>
      </c>
      <c r="AI134" s="105">
        <v>11.0</v>
      </c>
      <c r="AJ134" s="105">
        <v>10.0</v>
      </c>
      <c r="AK134" s="105">
        <v>9.0</v>
      </c>
      <c r="AL134" s="105">
        <v>8.0</v>
      </c>
      <c r="AM134" s="105">
        <v>7.0</v>
      </c>
      <c r="AN134" s="105">
        <v>6.0</v>
      </c>
      <c r="AO134" s="105">
        <v>5.0</v>
      </c>
      <c r="AP134" s="105">
        <v>4.0</v>
      </c>
      <c r="AQ134" s="105">
        <v>3.0</v>
      </c>
      <c r="AR134" s="105">
        <v>2.0</v>
      </c>
      <c r="AS134" s="105">
        <v>1.0</v>
      </c>
      <c r="AT134" s="105">
        <v>0.0</v>
      </c>
    </row>
    <row r="135" ht="11.25" customHeight="1">
      <c r="A135" s="108"/>
      <c r="B135" s="225"/>
      <c r="C135" s="183">
        <v>1.0</v>
      </c>
      <c r="D135" s="183">
        <v>2.0</v>
      </c>
      <c r="E135" s="183">
        <v>3.0</v>
      </c>
      <c r="F135" s="183">
        <v>4.0</v>
      </c>
      <c r="G135" s="183">
        <v>5.0</v>
      </c>
      <c r="H135" s="183">
        <v>6.0</v>
      </c>
      <c r="I135" s="183">
        <v>7.0</v>
      </c>
      <c r="J135" s="183">
        <v>8.0</v>
      </c>
      <c r="K135" s="184">
        <v>9.0</v>
      </c>
      <c r="L135" s="185">
        <v>10.0</v>
      </c>
      <c r="M135" s="183">
        <v>11.0</v>
      </c>
      <c r="N135" s="183">
        <v>12.0</v>
      </c>
      <c r="O135" s="183">
        <v>13.0</v>
      </c>
      <c r="P135" s="183">
        <v>14.0</v>
      </c>
      <c r="Q135" s="183">
        <v>15.0</v>
      </c>
      <c r="R135" s="183">
        <v>16.0</v>
      </c>
      <c r="S135" s="183">
        <v>17.0</v>
      </c>
      <c r="T135" s="183">
        <v>18.0</v>
      </c>
      <c r="U135" s="219"/>
      <c r="V135" s="88"/>
      <c r="W135" s="103"/>
      <c r="X135" s="104"/>
      <c r="Y135" s="105"/>
      <c r="Z135" s="105"/>
      <c r="AA135" s="105"/>
      <c r="AB135" s="105" t="s">
        <v>23</v>
      </c>
      <c r="AC135" s="117" t="s">
        <v>43</v>
      </c>
      <c r="AD135" s="117" t="s">
        <v>43</v>
      </c>
      <c r="AE135" s="117" t="s">
        <v>43</v>
      </c>
      <c r="AF135" s="117" t="s">
        <v>43</v>
      </c>
      <c r="AG135" s="117" t="s">
        <v>43</v>
      </c>
      <c r="AH135" s="117" t="s">
        <v>43</v>
      </c>
      <c r="AI135" s="117" t="s">
        <v>43</v>
      </c>
      <c r="AJ135" s="117" t="s">
        <v>43</v>
      </c>
      <c r="AK135" s="117" t="s">
        <v>43</v>
      </c>
      <c r="AL135" s="117" t="s">
        <v>43</v>
      </c>
      <c r="AM135" s="117" t="s">
        <v>43</v>
      </c>
      <c r="AN135" s="117" t="s">
        <v>43</v>
      </c>
      <c r="AO135" s="117" t="s">
        <v>43</v>
      </c>
      <c r="AP135" s="117" t="s">
        <v>43</v>
      </c>
      <c r="AQ135" s="117" t="s">
        <v>43</v>
      </c>
      <c r="AR135" s="117" t="s">
        <v>43</v>
      </c>
      <c r="AS135" s="117" t="s">
        <v>43</v>
      </c>
      <c r="AT135" s="117" t="s">
        <v>43</v>
      </c>
    </row>
    <row r="136" ht="7.5" customHeight="1">
      <c r="A136" s="108"/>
      <c r="B136" s="226"/>
      <c r="C136" s="227"/>
      <c r="D136" s="227"/>
      <c r="E136" s="227"/>
      <c r="F136" s="227"/>
      <c r="G136" s="227"/>
      <c r="H136" s="228"/>
      <c r="I136" s="228"/>
      <c r="J136" s="229"/>
      <c r="K136" s="229"/>
      <c r="L136" s="229"/>
      <c r="M136" s="229"/>
      <c r="N136" s="230"/>
      <c r="O136" s="230"/>
      <c r="P136" s="227"/>
      <c r="Q136" s="227"/>
      <c r="R136" s="227"/>
      <c r="S136" s="227"/>
      <c r="T136" s="227"/>
      <c r="U136" s="231"/>
      <c r="V136" s="88"/>
      <c r="W136" s="103"/>
      <c r="X136" s="63"/>
      <c r="Y136" s="142"/>
      <c r="Z136" s="142"/>
      <c r="AA136" s="142"/>
      <c r="AB136" s="143"/>
      <c r="AC136" s="143"/>
      <c r="AD136" s="143"/>
      <c r="AE136" s="143"/>
      <c r="AF136" s="143"/>
      <c r="AG136" s="143"/>
      <c r="AH136" s="143"/>
      <c r="AI136" s="143"/>
      <c r="AJ136" s="143"/>
      <c r="AK136" s="143"/>
      <c r="AL136" s="143"/>
      <c r="AM136" s="143"/>
      <c r="AN136" s="143"/>
      <c r="AO136" s="143"/>
      <c r="AP136" s="143"/>
      <c r="AQ136" s="143"/>
      <c r="AR136" s="143"/>
      <c r="AS136" s="143"/>
      <c r="AT136" s="143"/>
    </row>
    <row r="137" ht="7.5" customHeight="1">
      <c r="A137" s="147"/>
      <c r="B137" s="51"/>
      <c r="C137" s="51"/>
      <c r="D137" s="51"/>
      <c r="E137" s="51"/>
      <c r="F137" s="51"/>
      <c r="G137" s="51"/>
      <c r="H137" s="85"/>
      <c r="I137" s="85"/>
      <c r="J137" s="145"/>
      <c r="K137" s="145"/>
      <c r="L137" s="145"/>
      <c r="M137" s="145"/>
      <c r="N137" s="84"/>
      <c r="O137" s="84"/>
      <c r="P137" s="51"/>
      <c r="Q137" s="51"/>
      <c r="R137" s="51"/>
      <c r="S137" s="51"/>
      <c r="T137" s="51"/>
      <c r="U137" s="51"/>
      <c r="V137" s="88"/>
      <c r="W137" s="89"/>
      <c r="X137" s="90"/>
      <c r="Y137" s="91"/>
      <c r="Z137" s="91"/>
      <c r="AA137" s="91"/>
      <c r="AB137" s="91"/>
      <c r="AC137" s="91"/>
      <c r="AD137" s="91"/>
      <c r="AE137" s="91"/>
      <c r="AF137" s="91"/>
      <c r="AG137" s="91"/>
      <c r="AH137" s="91"/>
      <c r="AI137" s="91"/>
      <c r="AJ137" s="91"/>
      <c r="AK137" s="91"/>
      <c r="AL137" s="91"/>
      <c r="AM137" s="91"/>
      <c r="AN137" s="91"/>
      <c r="AO137" s="91"/>
      <c r="AP137" s="91"/>
      <c r="AQ137" s="91"/>
      <c r="AR137" s="91"/>
      <c r="AS137" s="91"/>
      <c r="AT137" s="91"/>
    </row>
    <row r="138" ht="9.0" customHeight="1">
      <c r="A138" s="206" t="str">
        <f>W139</f>
        <v>R3_G2</v>
      </c>
      <c r="B138" s="207"/>
      <c r="C138" s="208" t="s">
        <v>24</v>
      </c>
      <c r="D138" s="200"/>
      <c r="E138" s="200"/>
      <c r="F138" s="200"/>
      <c r="G138" s="200"/>
      <c r="H138" s="209"/>
      <c r="I138" s="209"/>
      <c r="J138" s="210"/>
      <c r="K138" s="211" t="s">
        <v>6</v>
      </c>
      <c r="L138" s="212">
        <f>18-countif(AC140:AT140,"")
</f>
        <v>18</v>
      </c>
      <c r="M138" s="213"/>
      <c r="N138" s="214"/>
      <c r="O138" s="214"/>
      <c r="P138" s="214"/>
      <c r="Q138" s="214"/>
      <c r="R138" s="214"/>
      <c r="S138" s="214"/>
      <c r="T138" s="214"/>
      <c r="U138" s="215"/>
      <c r="V138" s="88"/>
      <c r="W138" s="103"/>
      <c r="X138" s="104"/>
      <c r="Y138" s="105" t="s">
        <v>7</v>
      </c>
      <c r="Z138" s="105" t="s">
        <v>8</v>
      </c>
      <c r="AA138" s="105" t="s">
        <v>9</v>
      </c>
      <c r="AB138" s="106" t="s">
        <v>10</v>
      </c>
      <c r="AC138" s="107">
        <v>1.0</v>
      </c>
      <c r="AD138" s="107">
        <v>2.0</v>
      </c>
      <c r="AE138" s="107">
        <v>3.0</v>
      </c>
      <c r="AF138" s="107">
        <v>4.0</v>
      </c>
      <c r="AG138" s="107">
        <v>5.0</v>
      </c>
      <c r="AH138" s="107">
        <v>6.0</v>
      </c>
      <c r="AI138" s="107">
        <v>7.0</v>
      </c>
      <c r="AJ138" s="107">
        <v>8.0</v>
      </c>
      <c r="AK138" s="107">
        <v>9.0</v>
      </c>
      <c r="AL138" s="107">
        <v>10.0</v>
      </c>
      <c r="AM138" s="107">
        <v>11.0</v>
      </c>
      <c r="AN138" s="107">
        <v>12.0</v>
      </c>
      <c r="AO138" s="107">
        <v>13.0</v>
      </c>
      <c r="AP138" s="107">
        <v>14.0</v>
      </c>
      <c r="AQ138" s="107">
        <v>15.0</v>
      </c>
      <c r="AR138" s="107">
        <v>16.0</v>
      </c>
      <c r="AS138" s="107">
        <v>17.0</v>
      </c>
      <c r="AT138" s="107">
        <v>18.0</v>
      </c>
    </row>
    <row r="139" ht="11.25" customHeight="1">
      <c r="A139" s="108"/>
      <c r="B139" s="216"/>
      <c r="C139" s="110" t="str">
        <f>'Match Selection'!M14</f>
        <v>CuzNick</v>
      </c>
      <c r="D139" s="20"/>
      <c r="E139" s="20"/>
      <c r="F139" s="20"/>
      <c r="G139" s="21"/>
      <c r="H139" s="217" t="s">
        <v>41</v>
      </c>
      <c r="K139" s="46"/>
      <c r="L139" s="46"/>
      <c r="M139" s="218" t="s">
        <v>41</v>
      </c>
      <c r="P139" s="114" t="str">
        <f>'Match Selection'!J14</f>
        <v>KJ</v>
      </c>
      <c r="Q139" s="20"/>
      <c r="R139" s="20"/>
      <c r="S139" s="20"/>
      <c r="T139" s="21"/>
      <c r="U139" s="219"/>
      <c r="V139" s="88"/>
      <c r="W139" s="116" t="s">
        <v>46</v>
      </c>
      <c r="X139" s="104" t="s">
        <v>12</v>
      </c>
      <c r="Y139" s="117" t="s">
        <v>43</v>
      </c>
      <c r="Z139" s="117" t="s">
        <v>43</v>
      </c>
      <c r="AA139" s="220">
        <f t="array" ref="AA139">indirect($W139&amp;"!"&amp;"AB26")</f>
        <v>60</v>
      </c>
      <c r="AB139" s="106" t="s">
        <v>13</v>
      </c>
      <c r="AC139" s="107">
        <v>3.0</v>
      </c>
      <c r="AD139" s="107">
        <v>4.0</v>
      </c>
      <c r="AE139" s="107">
        <v>5.0</v>
      </c>
      <c r="AF139" s="107">
        <v>6.0</v>
      </c>
      <c r="AG139" s="107">
        <v>7.0</v>
      </c>
      <c r="AH139" s="107">
        <v>8.0</v>
      </c>
      <c r="AI139" s="107">
        <v>9.0</v>
      </c>
      <c r="AJ139" s="107">
        <v>10.0</v>
      </c>
      <c r="AK139" s="107">
        <v>11.0</v>
      </c>
      <c r="AL139" s="107">
        <v>18.0</v>
      </c>
      <c r="AM139" s="107">
        <v>19.0</v>
      </c>
      <c r="AN139" s="107">
        <v>20.0</v>
      </c>
      <c r="AO139" s="107">
        <v>21.0</v>
      </c>
      <c r="AP139" s="107">
        <v>22.0</v>
      </c>
      <c r="AQ139" s="107">
        <v>23.0</v>
      </c>
      <c r="AR139" s="107">
        <v>24.0</v>
      </c>
      <c r="AS139" s="107">
        <v>25.0</v>
      </c>
      <c r="AT139" s="107">
        <v>26.0</v>
      </c>
    </row>
    <row r="140" ht="11.25" customHeight="1">
      <c r="A140" s="108"/>
      <c r="B140" s="221"/>
      <c r="C140" s="119" t="str">
        <f>'Match Selection'!M15</f>
        <v>DK</v>
      </c>
      <c r="D140" s="44"/>
      <c r="E140" s="44"/>
      <c r="F140" s="44"/>
      <c r="G140" s="45"/>
      <c r="H140" s="222">
        <f>AA140</f>
        <v>104</v>
      </c>
      <c r="I140" s="20"/>
      <c r="J140" s="21"/>
      <c r="K140" s="46"/>
      <c r="L140" s="46"/>
      <c r="M140" s="223">
        <f>AA139</f>
        <v>60</v>
      </c>
      <c r="N140" s="20"/>
      <c r="O140" s="20"/>
      <c r="P140" s="121" t="str">
        <f>'Match Selection'!J15</f>
        <v>Joe O</v>
      </c>
      <c r="Q140" s="44"/>
      <c r="R140" s="44"/>
      <c r="S140" s="44"/>
      <c r="T140" s="45"/>
      <c r="U140" s="219"/>
      <c r="V140" s="88"/>
      <c r="W140" s="122" t="str">
        <f>$L$126</f>
        <v>2-Man Tilt</v>
      </c>
      <c r="X140" s="104" t="s">
        <v>14</v>
      </c>
      <c r="Y140" s="117" t="s">
        <v>43</v>
      </c>
      <c r="Z140" s="117" t="s">
        <v>43</v>
      </c>
      <c r="AA140" s="220">
        <f t="array" ref="AA140">indirect($W139&amp;"!"&amp;"AB27")</f>
        <v>104</v>
      </c>
      <c r="AB140" s="106" t="s">
        <v>15</v>
      </c>
      <c r="AC140" s="123">
        <f t="array" ref="AC140">VLOOKUP('Master Input'!$A$19,indirect($W139&amp;"!"&amp;"$A$31:$z$31"),AC139)</f>
        <v>-1</v>
      </c>
      <c r="AD140" s="123">
        <f t="array" ref="AD140">VLOOKUP('Master Input'!$A$19,indirect($W139&amp;"!"&amp;"$A$31:$z$31"),AD139)</f>
        <v>-1</v>
      </c>
      <c r="AE140" s="123">
        <f t="array" ref="AE140">VLOOKUP('Master Input'!$A$19,indirect($W139&amp;"!"&amp;"$A$31:$z$31"),AE139)</f>
        <v>-1</v>
      </c>
      <c r="AF140" s="123">
        <f t="array" ref="AF140">VLOOKUP('Master Input'!$A$19,indirect($W139&amp;"!"&amp;"$A$31:$z$31"),AF139)</f>
        <v>1</v>
      </c>
      <c r="AG140" s="123">
        <f t="array" ref="AG140">VLOOKUP('Master Input'!$A$19,indirect($W139&amp;"!"&amp;"$A$31:$z$31"),AG139)</f>
        <v>-1</v>
      </c>
      <c r="AH140" s="123">
        <f t="array" ref="AH140">VLOOKUP('Master Input'!$A$19,indirect($W139&amp;"!"&amp;"$A$31:$z$31"),AH139)</f>
        <v>-1</v>
      </c>
      <c r="AI140" s="123">
        <f t="array" ref="AI140">VLOOKUP('Master Input'!$A$19,indirect($W139&amp;"!"&amp;"$A$31:$z$31"),AI139)</f>
        <v>0</v>
      </c>
      <c r="AJ140" s="123">
        <f t="array" ref="AJ140">VLOOKUP('Master Input'!$A$19,indirect($W139&amp;"!"&amp;"$A$31:$z$31"),AJ139)</f>
        <v>1</v>
      </c>
      <c r="AK140" s="123">
        <f t="array" ref="AK140">VLOOKUP('Master Input'!$A$19,indirect($W139&amp;"!"&amp;"$A$31:$z$31"),AK139)</f>
        <v>-1</v>
      </c>
      <c r="AL140" s="123">
        <f t="array" ref="AL140">VLOOKUP('Master Input'!$A$19,indirect($W139&amp;"!"&amp;"$A$31:$z$31"),AL139)</f>
        <v>-1</v>
      </c>
      <c r="AM140" s="123">
        <f t="array" ref="AM140">VLOOKUP('Master Input'!$A$19,indirect($W139&amp;"!"&amp;"$A$31:$z$31"),AM139)</f>
        <v>0</v>
      </c>
      <c r="AN140" s="123">
        <f t="array" ref="AN140">VLOOKUP('Master Input'!$A$19,indirect($W139&amp;"!"&amp;"$A$31:$z$31"),AN139)</f>
        <v>-1</v>
      </c>
      <c r="AO140" s="123">
        <f t="array" ref="AO140">VLOOKUP('Master Input'!$A$19,indirect($W139&amp;"!"&amp;"$A$31:$z$31"),AO139)</f>
        <v>-1</v>
      </c>
      <c r="AP140" s="123">
        <f t="array" ref="AP140">VLOOKUP('Master Input'!$A$19,indirect($W139&amp;"!"&amp;"$A$31:$z$31"),AP139)</f>
        <v>1</v>
      </c>
      <c r="AQ140" s="123">
        <f t="array" ref="AQ140">VLOOKUP('Master Input'!$A$19,indirect($W139&amp;"!"&amp;"$A$31:$z$31"),AQ139)</f>
        <v>-1</v>
      </c>
      <c r="AR140" s="123">
        <f t="array" ref="AR140">VLOOKUP('Master Input'!$A$19,indirect($W139&amp;"!"&amp;"$A$31:$z$31"),AR139)</f>
        <v>-1</v>
      </c>
      <c r="AS140" s="123">
        <f t="array" ref="AS140">VLOOKUP('Master Input'!$A$19,indirect($W139&amp;"!"&amp;"$A$31:$z$31"),AS139)</f>
        <v>1</v>
      </c>
      <c r="AT140" s="123">
        <f t="array" ref="AT140">VLOOKUP('Master Input'!$A$19,indirect($W139&amp;"!"&amp;"$A$31:$z$31"),AT139)</f>
        <v>1</v>
      </c>
    </row>
    <row r="141" ht="9.0" customHeight="1">
      <c r="A141" s="108"/>
      <c r="B141" s="221"/>
      <c r="C141" s="46"/>
      <c r="D141" s="125" t="s">
        <v>44</v>
      </c>
      <c r="G141" s="113"/>
      <c r="H141" s="111"/>
      <c r="I141" s="111"/>
      <c r="J141" s="112" t="s">
        <v>45</v>
      </c>
      <c r="N141" s="113"/>
      <c r="O141" s="113"/>
      <c r="P141" s="113"/>
      <c r="Q141" s="128" t="s">
        <v>44</v>
      </c>
      <c r="T141" s="46"/>
      <c r="U141" s="219"/>
      <c r="V141" s="88"/>
      <c r="W141" s="103"/>
      <c r="X141" s="104" t="s">
        <v>17</v>
      </c>
      <c r="Y141" s="117" t="s">
        <v>43</v>
      </c>
      <c r="Z141" s="117" t="s">
        <v>43</v>
      </c>
      <c r="AA141" s="117">
        <f>countif(AC140:AT140,"")</f>
        <v>0</v>
      </c>
      <c r="AB141" s="105" t="s">
        <v>18</v>
      </c>
      <c r="AC141" s="105">
        <v>8.0</v>
      </c>
      <c r="AD141" s="105">
        <v>7.0</v>
      </c>
      <c r="AE141" s="105">
        <v>6.0</v>
      </c>
      <c r="AF141" s="105">
        <v>5.0</v>
      </c>
      <c r="AG141" s="105">
        <v>4.0</v>
      </c>
      <c r="AH141" s="105">
        <v>3.0</v>
      </c>
      <c r="AI141" s="105">
        <v>2.0</v>
      </c>
      <c r="AJ141" s="105">
        <v>1.0</v>
      </c>
      <c r="AK141" s="105">
        <v>0.0</v>
      </c>
      <c r="AL141" s="105">
        <v>8.0</v>
      </c>
      <c r="AM141" s="105">
        <v>7.0</v>
      </c>
      <c r="AN141" s="105">
        <v>6.0</v>
      </c>
      <c r="AO141" s="105">
        <v>5.0</v>
      </c>
      <c r="AP141" s="105">
        <v>4.0</v>
      </c>
      <c r="AQ141" s="105">
        <v>3.0</v>
      </c>
      <c r="AR141" s="105">
        <v>2.0</v>
      </c>
      <c r="AS141" s="105">
        <v>1.0</v>
      </c>
      <c r="AT141" s="105">
        <v>0.0</v>
      </c>
    </row>
    <row r="142" ht="11.25" customHeight="1">
      <c r="A142" s="108"/>
      <c r="B142" s="221"/>
      <c r="C142" s="46"/>
      <c r="D142" s="110">
        <f>if(AA143="","",sum(Y143:AA143))</f>
        <v>4</v>
      </c>
      <c r="E142" s="20"/>
      <c r="F142" s="21"/>
      <c r="G142" s="181"/>
      <c r="H142" s="111"/>
      <c r="I142" s="111"/>
      <c r="J142" s="224">
        <f>abs(AA140-AA139)</f>
        <v>44</v>
      </c>
      <c r="K142" s="20"/>
      <c r="L142" s="20"/>
      <c r="M142" s="21"/>
      <c r="N142" s="111"/>
      <c r="O142" s="111"/>
      <c r="P142" s="130"/>
      <c r="Q142" s="114">
        <f>if(AA142="","",sum(Y142:AA142))</f>
        <v>0</v>
      </c>
      <c r="R142" s="20"/>
      <c r="S142" s="21"/>
      <c r="T142" s="46"/>
      <c r="U142" s="219"/>
      <c r="V142" s="88"/>
      <c r="W142" s="103"/>
      <c r="X142" s="104" t="s">
        <v>19</v>
      </c>
      <c r="Y142" s="117" t="s">
        <v>43</v>
      </c>
      <c r="Z142" s="117" t="s">
        <v>43</v>
      </c>
      <c r="AA142" s="117">
        <f t="array" ref="AA142">indirect($W139&amp;"!"&amp;"AC26")</f>
        <v>0</v>
      </c>
      <c r="AB142" s="105" t="s">
        <v>20</v>
      </c>
      <c r="AC142" s="117" t="s">
        <v>43</v>
      </c>
      <c r="AD142" s="117" t="s">
        <v>43</v>
      </c>
      <c r="AE142" s="117" t="s">
        <v>43</v>
      </c>
      <c r="AF142" s="117" t="s">
        <v>43</v>
      </c>
      <c r="AG142" s="117" t="s">
        <v>43</v>
      </c>
      <c r="AH142" s="117" t="s">
        <v>43</v>
      </c>
      <c r="AI142" s="117" t="s">
        <v>43</v>
      </c>
      <c r="AJ142" s="117" t="s">
        <v>43</v>
      </c>
      <c r="AK142" s="117" t="s">
        <v>43</v>
      </c>
      <c r="AL142" s="117" t="s">
        <v>43</v>
      </c>
      <c r="AM142" s="117" t="s">
        <v>43</v>
      </c>
      <c r="AN142" s="117" t="s">
        <v>43</v>
      </c>
      <c r="AO142" s="117" t="s">
        <v>43</v>
      </c>
      <c r="AP142" s="117" t="s">
        <v>43</v>
      </c>
      <c r="AQ142" s="117" t="s">
        <v>43</v>
      </c>
      <c r="AR142" s="117" t="s">
        <v>43</v>
      </c>
      <c r="AS142" s="117" t="s">
        <v>43</v>
      </c>
      <c r="AT142" s="117" t="s">
        <v>43</v>
      </c>
    </row>
    <row r="143" ht="7.5" customHeight="1">
      <c r="A143" s="108"/>
      <c r="B143" s="225"/>
      <c r="C143" s="124"/>
      <c r="D143" s="124"/>
      <c r="E143" s="124"/>
      <c r="F143" s="124"/>
      <c r="G143" s="113"/>
      <c r="H143" s="111"/>
      <c r="I143" s="111"/>
      <c r="J143" s="111"/>
      <c r="K143" s="46"/>
      <c r="L143" s="46"/>
      <c r="M143" s="113"/>
      <c r="N143" s="113"/>
      <c r="O143" s="113"/>
      <c r="P143" s="113"/>
      <c r="Q143" s="46"/>
      <c r="R143" s="46"/>
      <c r="S143" s="46"/>
      <c r="T143" s="46"/>
      <c r="U143" s="219"/>
      <c r="V143" s="88"/>
      <c r="W143" s="103"/>
      <c r="X143" s="104" t="s">
        <v>21</v>
      </c>
      <c r="Y143" s="117" t="s">
        <v>43</v>
      </c>
      <c r="Z143" s="117" t="s">
        <v>43</v>
      </c>
      <c r="AA143" s="117">
        <f t="array" ref="AA143">indirect($W139&amp;"!"&amp;"AC27")</f>
        <v>4</v>
      </c>
      <c r="AB143" s="105" t="s">
        <v>22</v>
      </c>
      <c r="AC143" s="105">
        <v>17.0</v>
      </c>
      <c r="AD143" s="105">
        <v>16.0</v>
      </c>
      <c r="AE143" s="105">
        <v>15.0</v>
      </c>
      <c r="AF143" s="105">
        <v>14.0</v>
      </c>
      <c r="AG143" s="105">
        <v>13.0</v>
      </c>
      <c r="AH143" s="105">
        <v>12.0</v>
      </c>
      <c r="AI143" s="105">
        <v>11.0</v>
      </c>
      <c r="AJ143" s="105">
        <v>10.0</v>
      </c>
      <c r="AK143" s="105">
        <v>9.0</v>
      </c>
      <c r="AL143" s="105">
        <v>8.0</v>
      </c>
      <c r="AM143" s="105">
        <v>7.0</v>
      </c>
      <c r="AN143" s="105">
        <v>6.0</v>
      </c>
      <c r="AO143" s="105">
        <v>5.0</v>
      </c>
      <c r="AP143" s="105">
        <v>4.0</v>
      </c>
      <c r="AQ143" s="105">
        <v>3.0</v>
      </c>
      <c r="AR143" s="105">
        <v>2.0</v>
      </c>
      <c r="AS143" s="105">
        <v>1.0</v>
      </c>
      <c r="AT143" s="105">
        <v>0.0</v>
      </c>
    </row>
    <row r="144" ht="11.25" customHeight="1">
      <c r="A144" s="108"/>
      <c r="B144" s="225"/>
      <c r="C144" s="183">
        <v>1.0</v>
      </c>
      <c r="D144" s="183">
        <v>2.0</v>
      </c>
      <c r="E144" s="183">
        <v>3.0</v>
      </c>
      <c r="F144" s="183">
        <v>4.0</v>
      </c>
      <c r="G144" s="183">
        <v>5.0</v>
      </c>
      <c r="H144" s="183">
        <v>6.0</v>
      </c>
      <c r="I144" s="183">
        <v>7.0</v>
      </c>
      <c r="J144" s="183">
        <v>8.0</v>
      </c>
      <c r="K144" s="184">
        <v>9.0</v>
      </c>
      <c r="L144" s="185">
        <v>10.0</v>
      </c>
      <c r="M144" s="183">
        <v>11.0</v>
      </c>
      <c r="N144" s="183">
        <v>12.0</v>
      </c>
      <c r="O144" s="183">
        <v>13.0</v>
      </c>
      <c r="P144" s="183">
        <v>14.0</v>
      </c>
      <c r="Q144" s="183">
        <v>15.0</v>
      </c>
      <c r="R144" s="183">
        <v>16.0</v>
      </c>
      <c r="S144" s="183">
        <v>17.0</v>
      </c>
      <c r="T144" s="183">
        <v>18.0</v>
      </c>
      <c r="U144" s="219"/>
      <c r="V144" s="88"/>
      <c r="W144" s="103"/>
      <c r="X144" s="104"/>
      <c r="Y144" s="105"/>
      <c r="Z144" s="105"/>
      <c r="AA144" s="105"/>
      <c r="AB144" s="105" t="s">
        <v>23</v>
      </c>
      <c r="AC144" s="117" t="s">
        <v>43</v>
      </c>
      <c r="AD144" s="117" t="s">
        <v>43</v>
      </c>
      <c r="AE144" s="117" t="s">
        <v>43</v>
      </c>
      <c r="AF144" s="117" t="s">
        <v>43</v>
      </c>
      <c r="AG144" s="117" t="s">
        <v>43</v>
      </c>
      <c r="AH144" s="117" t="s">
        <v>43</v>
      </c>
      <c r="AI144" s="117" t="s">
        <v>43</v>
      </c>
      <c r="AJ144" s="117" t="s">
        <v>43</v>
      </c>
      <c r="AK144" s="117" t="s">
        <v>43</v>
      </c>
      <c r="AL144" s="117" t="s">
        <v>43</v>
      </c>
      <c r="AM144" s="117" t="s">
        <v>43</v>
      </c>
      <c r="AN144" s="117" t="s">
        <v>43</v>
      </c>
      <c r="AO144" s="117" t="s">
        <v>43</v>
      </c>
      <c r="AP144" s="117" t="s">
        <v>43</v>
      </c>
      <c r="AQ144" s="117" t="s">
        <v>43</v>
      </c>
      <c r="AR144" s="117" t="s">
        <v>43</v>
      </c>
      <c r="AS144" s="117" t="s">
        <v>43</v>
      </c>
      <c r="AT144" s="117" t="s">
        <v>43</v>
      </c>
    </row>
    <row r="145" ht="7.5" customHeight="1">
      <c r="A145" s="108"/>
      <c r="B145" s="226"/>
      <c r="C145" s="227"/>
      <c r="D145" s="227"/>
      <c r="E145" s="227"/>
      <c r="F145" s="227"/>
      <c r="G145" s="227"/>
      <c r="H145" s="228"/>
      <c r="I145" s="228"/>
      <c r="J145" s="229"/>
      <c r="K145" s="229"/>
      <c r="L145" s="229"/>
      <c r="M145" s="229"/>
      <c r="N145" s="230"/>
      <c r="O145" s="230"/>
      <c r="P145" s="227"/>
      <c r="Q145" s="227"/>
      <c r="R145" s="227"/>
      <c r="S145" s="227"/>
      <c r="T145" s="227"/>
      <c r="U145" s="231"/>
      <c r="V145" s="88"/>
      <c r="W145" s="103"/>
      <c r="X145" s="63"/>
      <c r="Y145" s="142"/>
      <c r="Z145" s="142"/>
      <c r="AA145" s="142"/>
      <c r="AB145" s="146"/>
      <c r="AC145" s="146"/>
      <c r="AD145" s="146"/>
      <c r="AE145" s="146"/>
      <c r="AF145" s="146"/>
      <c r="AG145" s="146"/>
      <c r="AH145" s="146"/>
      <c r="AI145" s="146"/>
      <c r="AJ145" s="146"/>
      <c r="AK145" s="146"/>
      <c r="AL145" s="146"/>
      <c r="AM145" s="146"/>
      <c r="AN145" s="146"/>
      <c r="AO145" s="146"/>
      <c r="AP145" s="146"/>
      <c r="AQ145" s="146"/>
      <c r="AR145" s="146"/>
      <c r="AS145" s="146"/>
      <c r="AT145" s="146"/>
    </row>
    <row r="146" ht="7.5" customHeight="1">
      <c r="A146" s="147"/>
      <c r="B146" s="51"/>
      <c r="C146" s="51"/>
      <c r="D146" s="51"/>
      <c r="E146" s="51"/>
      <c r="F146" s="51"/>
      <c r="G146" s="51"/>
      <c r="H146" s="85"/>
      <c r="I146" s="85"/>
      <c r="J146" s="145"/>
      <c r="K146" s="145"/>
      <c r="L146" s="145"/>
      <c r="M146" s="145"/>
      <c r="N146" s="84"/>
      <c r="O146" s="84"/>
      <c r="P146" s="51"/>
      <c r="Q146" s="51"/>
      <c r="R146" s="51"/>
      <c r="S146" s="51"/>
      <c r="T146" s="51"/>
      <c r="U146" s="51"/>
      <c r="V146" s="88"/>
      <c r="W146" s="89"/>
      <c r="X146" s="90"/>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row>
    <row r="147" ht="9.0" customHeight="1">
      <c r="A147" s="206" t="str">
        <f>W148</f>
        <v>R3_G3</v>
      </c>
      <c r="B147" s="207"/>
      <c r="C147" s="208" t="s">
        <v>26</v>
      </c>
      <c r="D147" s="200"/>
      <c r="E147" s="200"/>
      <c r="F147" s="200"/>
      <c r="G147" s="200"/>
      <c r="H147" s="209"/>
      <c r="I147" s="209"/>
      <c r="J147" s="210"/>
      <c r="K147" s="211" t="s">
        <v>6</v>
      </c>
      <c r="L147" s="212">
        <f>18-countif(AC149:AT149,"")
</f>
        <v>18</v>
      </c>
      <c r="M147" s="213"/>
      <c r="N147" s="214"/>
      <c r="O147" s="214"/>
      <c r="P147" s="214"/>
      <c r="Q147" s="214"/>
      <c r="R147" s="214"/>
      <c r="S147" s="214"/>
      <c r="T147" s="214"/>
      <c r="U147" s="215"/>
      <c r="V147" s="88"/>
      <c r="W147" s="103"/>
      <c r="X147" s="104"/>
      <c r="Y147" s="105" t="s">
        <v>7</v>
      </c>
      <c r="Z147" s="105" t="s">
        <v>8</v>
      </c>
      <c r="AA147" s="105" t="s">
        <v>9</v>
      </c>
      <c r="AB147" s="106" t="s">
        <v>10</v>
      </c>
      <c r="AC147" s="107">
        <v>1.0</v>
      </c>
      <c r="AD147" s="107">
        <v>2.0</v>
      </c>
      <c r="AE147" s="107">
        <v>3.0</v>
      </c>
      <c r="AF147" s="107">
        <v>4.0</v>
      </c>
      <c r="AG147" s="107">
        <v>5.0</v>
      </c>
      <c r="AH147" s="107">
        <v>6.0</v>
      </c>
      <c r="AI147" s="107">
        <v>7.0</v>
      </c>
      <c r="AJ147" s="107">
        <v>8.0</v>
      </c>
      <c r="AK147" s="107">
        <v>9.0</v>
      </c>
      <c r="AL147" s="107">
        <v>10.0</v>
      </c>
      <c r="AM147" s="107">
        <v>11.0</v>
      </c>
      <c r="AN147" s="107">
        <v>12.0</v>
      </c>
      <c r="AO147" s="107">
        <v>13.0</v>
      </c>
      <c r="AP147" s="107">
        <v>14.0</v>
      </c>
      <c r="AQ147" s="107">
        <v>15.0</v>
      </c>
      <c r="AR147" s="107">
        <v>16.0</v>
      </c>
      <c r="AS147" s="107">
        <v>17.0</v>
      </c>
      <c r="AT147" s="107">
        <v>18.0</v>
      </c>
    </row>
    <row r="148" ht="11.25" customHeight="1">
      <c r="A148" s="108"/>
      <c r="B148" s="216"/>
      <c r="C148" s="110" t="str">
        <f>'Match Selection'!S14</f>
        <v>Jensen</v>
      </c>
      <c r="D148" s="20"/>
      <c r="E148" s="20"/>
      <c r="F148" s="20"/>
      <c r="G148" s="21"/>
      <c r="H148" s="217" t="s">
        <v>41</v>
      </c>
      <c r="K148" s="46"/>
      <c r="L148" s="46"/>
      <c r="M148" s="218" t="s">
        <v>41</v>
      </c>
      <c r="P148" s="114" t="str">
        <f>'Match Selection'!P14</f>
        <v>Telly</v>
      </c>
      <c r="Q148" s="20"/>
      <c r="R148" s="20"/>
      <c r="S148" s="20"/>
      <c r="T148" s="21"/>
      <c r="U148" s="219"/>
      <c r="V148" s="88"/>
      <c r="W148" s="116" t="s">
        <v>47</v>
      </c>
      <c r="X148" s="104" t="s">
        <v>12</v>
      </c>
      <c r="Y148" s="117" t="s">
        <v>43</v>
      </c>
      <c r="Z148" s="117" t="s">
        <v>43</v>
      </c>
      <c r="AA148" s="220">
        <f t="array" ref="AA148">indirect($W148&amp;"!"&amp;"AB26")</f>
        <v>24</v>
      </c>
      <c r="AB148" s="106" t="s">
        <v>13</v>
      </c>
      <c r="AC148" s="107">
        <v>3.0</v>
      </c>
      <c r="AD148" s="107">
        <v>4.0</v>
      </c>
      <c r="AE148" s="107">
        <v>5.0</v>
      </c>
      <c r="AF148" s="107">
        <v>6.0</v>
      </c>
      <c r="AG148" s="107">
        <v>7.0</v>
      </c>
      <c r="AH148" s="107">
        <v>8.0</v>
      </c>
      <c r="AI148" s="107">
        <v>9.0</v>
      </c>
      <c r="AJ148" s="107">
        <v>10.0</v>
      </c>
      <c r="AK148" s="107">
        <v>11.0</v>
      </c>
      <c r="AL148" s="107">
        <v>18.0</v>
      </c>
      <c r="AM148" s="107">
        <v>19.0</v>
      </c>
      <c r="AN148" s="107">
        <v>20.0</v>
      </c>
      <c r="AO148" s="107">
        <v>21.0</v>
      </c>
      <c r="AP148" s="107">
        <v>22.0</v>
      </c>
      <c r="AQ148" s="107">
        <v>23.0</v>
      </c>
      <c r="AR148" s="107">
        <v>24.0</v>
      </c>
      <c r="AS148" s="107">
        <v>25.0</v>
      </c>
      <c r="AT148" s="107">
        <v>26.0</v>
      </c>
    </row>
    <row r="149" ht="11.25" customHeight="1">
      <c r="A149" s="108"/>
      <c r="B149" s="221"/>
      <c r="C149" s="119" t="str">
        <f>'Match Selection'!S15</f>
        <v>Carp</v>
      </c>
      <c r="D149" s="44"/>
      <c r="E149" s="44"/>
      <c r="F149" s="44"/>
      <c r="G149" s="45"/>
      <c r="H149" s="222">
        <f>AA149</f>
        <v>56</v>
      </c>
      <c r="I149" s="20"/>
      <c r="J149" s="21"/>
      <c r="K149" s="46"/>
      <c r="L149" s="46"/>
      <c r="M149" s="223">
        <f>AA148</f>
        <v>24</v>
      </c>
      <c r="N149" s="20"/>
      <c r="O149" s="20"/>
      <c r="P149" s="121" t="str">
        <f>'Match Selection'!P15</f>
        <v>Weezy</v>
      </c>
      <c r="Q149" s="44"/>
      <c r="R149" s="44"/>
      <c r="S149" s="44"/>
      <c r="T149" s="45"/>
      <c r="U149" s="219"/>
      <c r="V149" s="88"/>
      <c r="W149" s="122" t="str">
        <f>$L$126</f>
        <v>2-Man Tilt</v>
      </c>
      <c r="X149" s="104" t="s">
        <v>14</v>
      </c>
      <c r="Y149" s="117" t="s">
        <v>43</v>
      </c>
      <c r="Z149" s="117" t="s">
        <v>43</v>
      </c>
      <c r="AA149" s="220">
        <f t="array" ref="AA149">indirect($W148&amp;"!"&amp;"AB27")</f>
        <v>56</v>
      </c>
      <c r="AB149" s="106" t="s">
        <v>15</v>
      </c>
      <c r="AC149" s="123">
        <f t="array" ref="AC149">VLOOKUP('Master Input'!$A$19,indirect($W148&amp;"!"&amp;"$A$31:$z$31"),AC148)</f>
        <v>1</v>
      </c>
      <c r="AD149" s="123">
        <f t="array" ref="AD149">VLOOKUP('Master Input'!$A$19,indirect($W148&amp;"!"&amp;"$A$31:$z$31"),AD148)</f>
        <v>-1</v>
      </c>
      <c r="AE149" s="123">
        <f t="array" ref="AE149">VLOOKUP('Master Input'!$A$19,indirect($W148&amp;"!"&amp;"$A$31:$z$31"),AE148)</f>
        <v>1</v>
      </c>
      <c r="AF149" s="123">
        <f t="array" ref="AF149">VLOOKUP('Master Input'!$A$19,indirect($W148&amp;"!"&amp;"$A$31:$z$31"),AF148)</f>
        <v>-1</v>
      </c>
      <c r="AG149" s="123">
        <f t="array" ref="AG149">VLOOKUP('Master Input'!$A$19,indirect($W148&amp;"!"&amp;"$A$31:$z$31"),AG148)</f>
        <v>-1</v>
      </c>
      <c r="AH149" s="123">
        <f t="array" ref="AH149">VLOOKUP('Master Input'!$A$19,indirect($W148&amp;"!"&amp;"$A$31:$z$31"),AH148)</f>
        <v>-1</v>
      </c>
      <c r="AI149" s="123">
        <f t="array" ref="AI149">VLOOKUP('Master Input'!$A$19,indirect($W148&amp;"!"&amp;"$A$31:$z$31"),AI148)</f>
        <v>0</v>
      </c>
      <c r="AJ149" s="123">
        <f t="array" ref="AJ149">VLOOKUP('Master Input'!$A$19,indirect($W148&amp;"!"&amp;"$A$31:$z$31"),AJ148)</f>
        <v>0</v>
      </c>
      <c r="AK149" s="123">
        <f t="array" ref="AK149">VLOOKUP('Master Input'!$A$19,indirect($W148&amp;"!"&amp;"$A$31:$z$31"),AK148)</f>
        <v>1</v>
      </c>
      <c r="AL149" s="123">
        <f t="array" ref="AL149">VLOOKUP('Master Input'!$A$19,indirect($W148&amp;"!"&amp;"$A$31:$z$31"),AL148)</f>
        <v>-1</v>
      </c>
      <c r="AM149" s="123">
        <f t="array" ref="AM149">VLOOKUP('Master Input'!$A$19,indirect($W148&amp;"!"&amp;"$A$31:$z$31"),AM148)</f>
        <v>-1</v>
      </c>
      <c r="AN149" s="123">
        <f t="array" ref="AN149">VLOOKUP('Master Input'!$A$19,indirect($W148&amp;"!"&amp;"$A$31:$z$31"),AN148)</f>
        <v>0</v>
      </c>
      <c r="AO149" s="123">
        <f t="array" ref="AO149">VLOOKUP('Master Input'!$A$19,indirect($W148&amp;"!"&amp;"$A$31:$z$31"),AO148)</f>
        <v>-1</v>
      </c>
      <c r="AP149" s="123">
        <f t="array" ref="AP149">VLOOKUP('Master Input'!$A$19,indirect($W148&amp;"!"&amp;"$A$31:$z$31"),AP148)</f>
        <v>-1</v>
      </c>
      <c r="AQ149" s="123">
        <f t="array" ref="AQ149">VLOOKUP('Master Input'!$A$19,indirect($W148&amp;"!"&amp;"$A$31:$z$31"),AQ148)</f>
        <v>0</v>
      </c>
      <c r="AR149" s="123">
        <f t="array" ref="AR149">VLOOKUP('Master Input'!$A$19,indirect($W148&amp;"!"&amp;"$A$31:$z$31"),AR148)</f>
        <v>-1</v>
      </c>
      <c r="AS149" s="123">
        <f t="array" ref="AS149">VLOOKUP('Master Input'!$A$19,indirect($W148&amp;"!"&amp;"$A$31:$z$31"),AS148)</f>
        <v>-1</v>
      </c>
      <c r="AT149" s="123">
        <f t="array" ref="AT149">VLOOKUP('Master Input'!$A$19,indirect($W148&amp;"!"&amp;"$A$31:$z$31"),AT148)</f>
        <v>1</v>
      </c>
    </row>
    <row r="150" ht="9.0" customHeight="1">
      <c r="A150" s="108"/>
      <c r="B150" s="221"/>
      <c r="C150" s="46"/>
      <c r="D150" s="125" t="s">
        <v>44</v>
      </c>
      <c r="G150" s="113"/>
      <c r="H150" s="111"/>
      <c r="I150" s="111"/>
      <c r="J150" s="112" t="s">
        <v>45</v>
      </c>
      <c r="N150" s="113"/>
      <c r="O150" s="113"/>
      <c r="P150" s="113"/>
      <c r="Q150" s="128" t="s">
        <v>44</v>
      </c>
      <c r="T150" s="46"/>
      <c r="U150" s="219"/>
      <c r="V150" s="88"/>
      <c r="W150" s="103"/>
      <c r="X150" s="104" t="s">
        <v>17</v>
      </c>
      <c r="Y150" s="117" t="s">
        <v>43</v>
      </c>
      <c r="Z150" s="117" t="s">
        <v>43</v>
      </c>
      <c r="AA150" s="117">
        <f>countif(AC149:AT149,"")</f>
        <v>0</v>
      </c>
      <c r="AB150" s="105" t="s">
        <v>18</v>
      </c>
      <c r="AC150" s="105">
        <v>8.0</v>
      </c>
      <c r="AD150" s="105">
        <v>7.0</v>
      </c>
      <c r="AE150" s="105">
        <v>6.0</v>
      </c>
      <c r="AF150" s="105">
        <v>5.0</v>
      </c>
      <c r="AG150" s="105">
        <v>4.0</v>
      </c>
      <c r="AH150" s="105">
        <v>3.0</v>
      </c>
      <c r="AI150" s="105">
        <v>2.0</v>
      </c>
      <c r="AJ150" s="105">
        <v>1.0</v>
      </c>
      <c r="AK150" s="105">
        <v>0.0</v>
      </c>
      <c r="AL150" s="105">
        <v>8.0</v>
      </c>
      <c r="AM150" s="105">
        <v>7.0</v>
      </c>
      <c r="AN150" s="105">
        <v>6.0</v>
      </c>
      <c r="AO150" s="105">
        <v>5.0</v>
      </c>
      <c r="AP150" s="105">
        <v>4.0</v>
      </c>
      <c r="AQ150" s="105">
        <v>3.0</v>
      </c>
      <c r="AR150" s="105">
        <v>2.0</v>
      </c>
      <c r="AS150" s="105">
        <v>1.0</v>
      </c>
      <c r="AT150" s="105">
        <v>0.0</v>
      </c>
    </row>
    <row r="151" ht="11.25" customHeight="1">
      <c r="A151" s="108"/>
      <c r="B151" s="221"/>
      <c r="C151" s="46"/>
      <c r="D151" s="110">
        <f>if(AA152="","",sum(Y152:AA152))</f>
        <v>4</v>
      </c>
      <c r="E151" s="20"/>
      <c r="F151" s="21"/>
      <c r="G151" s="181"/>
      <c r="H151" s="111"/>
      <c r="I151" s="111"/>
      <c r="J151" s="224">
        <f>abs(AA149-AA148)</f>
        <v>32</v>
      </c>
      <c r="K151" s="20"/>
      <c r="L151" s="20"/>
      <c r="M151" s="21"/>
      <c r="N151" s="111"/>
      <c r="O151" s="111"/>
      <c r="P151" s="130"/>
      <c r="Q151" s="114">
        <f>if(AA151="","",sum(Y151:AA151))</f>
        <v>0</v>
      </c>
      <c r="R151" s="20"/>
      <c r="S151" s="21"/>
      <c r="T151" s="46"/>
      <c r="U151" s="219"/>
      <c r="V151" s="88"/>
      <c r="W151" s="103"/>
      <c r="X151" s="104" t="s">
        <v>19</v>
      </c>
      <c r="Y151" s="117" t="s">
        <v>43</v>
      </c>
      <c r="Z151" s="117" t="s">
        <v>43</v>
      </c>
      <c r="AA151" s="117">
        <f t="array" ref="AA151">indirect($W148&amp;"!"&amp;"AC26")</f>
        <v>0</v>
      </c>
      <c r="AB151" s="105" t="s">
        <v>20</v>
      </c>
      <c r="AC151" s="117" t="s">
        <v>43</v>
      </c>
      <c r="AD151" s="117" t="s">
        <v>43</v>
      </c>
      <c r="AE151" s="117" t="s">
        <v>43</v>
      </c>
      <c r="AF151" s="117" t="s">
        <v>43</v>
      </c>
      <c r="AG151" s="117" t="s">
        <v>43</v>
      </c>
      <c r="AH151" s="117" t="s">
        <v>43</v>
      </c>
      <c r="AI151" s="117" t="s">
        <v>43</v>
      </c>
      <c r="AJ151" s="117" t="s">
        <v>43</v>
      </c>
      <c r="AK151" s="117" t="s">
        <v>43</v>
      </c>
      <c r="AL151" s="117" t="s">
        <v>43</v>
      </c>
      <c r="AM151" s="117" t="s">
        <v>43</v>
      </c>
      <c r="AN151" s="117" t="s">
        <v>43</v>
      </c>
      <c r="AO151" s="117" t="s">
        <v>43</v>
      </c>
      <c r="AP151" s="117" t="s">
        <v>43</v>
      </c>
      <c r="AQ151" s="117" t="s">
        <v>43</v>
      </c>
      <c r="AR151" s="117" t="s">
        <v>43</v>
      </c>
      <c r="AS151" s="117" t="s">
        <v>43</v>
      </c>
      <c r="AT151" s="117" t="s">
        <v>43</v>
      </c>
    </row>
    <row r="152" ht="7.5" customHeight="1">
      <c r="A152" s="108"/>
      <c r="B152" s="225"/>
      <c r="C152" s="124"/>
      <c r="D152" s="124"/>
      <c r="E152" s="124"/>
      <c r="F152" s="124"/>
      <c r="G152" s="113"/>
      <c r="H152" s="111"/>
      <c r="I152" s="111"/>
      <c r="J152" s="111"/>
      <c r="K152" s="46"/>
      <c r="L152" s="46"/>
      <c r="M152" s="113"/>
      <c r="N152" s="113"/>
      <c r="O152" s="113"/>
      <c r="P152" s="113"/>
      <c r="Q152" s="46"/>
      <c r="R152" s="46"/>
      <c r="S152" s="46"/>
      <c r="T152" s="46"/>
      <c r="U152" s="219"/>
      <c r="V152" s="88"/>
      <c r="W152" s="103"/>
      <c r="X152" s="104" t="s">
        <v>21</v>
      </c>
      <c r="Y152" s="117" t="s">
        <v>43</v>
      </c>
      <c r="Z152" s="117" t="s">
        <v>43</v>
      </c>
      <c r="AA152" s="117">
        <f t="array" ref="AA152">indirect($W148&amp;"!"&amp;"AC27")</f>
        <v>4</v>
      </c>
      <c r="AB152" s="105" t="s">
        <v>22</v>
      </c>
      <c r="AC152" s="105">
        <v>17.0</v>
      </c>
      <c r="AD152" s="105">
        <v>16.0</v>
      </c>
      <c r="AE152" s="105">
        <v>15.0</v>
      </c>
      <c r="AF152" s="105">
        <v>14.0</v>
      </c>
      <c r="AG152" s="105">
        <v>13.0</v>
      </c>
      <c r="AH152" s="105">
        <v>12.0</v>
      </c>
      <c r="AI152" s="105">
        <v>11.0</v>
      </c>
      <c r="AJ152" s="105">
        <v>10.0</v>
      </c>
      <c r="AK152" s="105">
        <v>9.0</v>
      </c>
      <c r="AL152" s="105">
        <v>8.0</v>
      </c>
      <c r="AM152" s="105">
        <v>7.0</v>
      </c>
      <c r="AN152" s="105">
        <v>6.0</v>
      </c>
      <c r="AO152" s="105">
        <v>5.0</v>
      </c>
      <c r="AP152" s="105">
        <v>4.0</v>
      </c>
      <c r="AQ152" s="105">
        <v>3.0</v>
      </c>
      <c r="AR152" s="105">
        <v>2.0</v>
      </c>
      <c r="AS152" s="105">
        <v>1.0</v>
      </c>
      <c r="AT152" s="105">
        <v>0.0</v>
      </c>
    </row>
    <row r="153" ht="11.25" customHeight="1">
      <c r="A153" s="108"/>
      <c r="B153" s="225"/>
      <c r="C153" s="183">
        <v>1.0</v>
      </c>
      <c r="D153" s="183">
        <v>2.0</v>
      </c>
      <c r="E153" s="183">
        <v>3.0</v>
      </c>
      <c r="F153" s="183">
        <v>4.0</v>
      </c>
      <c r="G153" s="183">
        <v>5.0</v>
      </c>
      <c r="H153" s="183">
        <v>6.0</v>
      </c>
      <c r="I153" s="183">
        <v>7.0</v>
      </c>
      <c r="J153" s="183">
        <v>8.0</v>
      </c>
      <c r="K153" s="184">
        <v>9.0</v>
      </c>
      <c r="L153" s="185">
        <v>10.0</v>
      </c>
      <c r="M153" s="183">
        <v>11.0</v>
      </c>
      <c r="N153" s="183">
        <v>12.0</v>
      </c>
      <c r="O153" s="183">
        <v>13.0</v>
      </c>
      <c r="P153" s="183">
        <v>14.0</v>
      </c>
      <c r="Q153" s="183">
        <v>15.0</v>
      </c>
      <c r="R153" s="183">
        <v>16.0</v>
      </c>
      <c r="S153" s="183">
        <v>17.0</v>
      </c>
      <c r="T153" s="183">
        <v>18.0</v>
      </c>
      <c r="U153" s="219"/>
      <c r="V153" s="88"/>
      <c r="W153" s="103"/>
      <c r="X153" s="104"/>
      <c r="Y153" s="105"/>
      <c r="Z153" s="105"/>
      <c r="AA153" s="105"/>
      <c r="AB153" s="105" t="s">
        <v>23</v>
      </c>
      <c r="AC153" s="117" t="s">
        <v>43</v>
      </c>
      <c r="AD153" s="117" t="s">
        <v>43</v>
      </c>
      <c r="AE153" s="117" t="s">
        <v>43</v>
      </c>
      <c r="AF153" s="117" t="s">
        <v>43</v>
      </c>
      <c r="AG153" s="117" t="s">
        <v>43</v>
      </c>
      <c r="AH153" s="117" t="s">
        <v>43</v>
      </c>
      <c r="AI153" s="117" t="s">
        <v>43</v>
      </c>
      <c r="AJ153" s="117" t="s">
        <v>43</v>
      </c>
      <c r="AK153" s="117" t="s">
        <v>43</v>
      </c>
      <c r="AL153" s="117" t="s">
        <v>43</v>
      </c>
      <c r="AM153" s="117" t="s">
        <v>43</v>
      </c>
      <c r="AN153" s="117" t="s">
        <v>43</v>
      </c>
      <c r="AO153" s="117" t="s">
        <v>43</v>
      </c>
      <c r="AP153" s="117" t="s">
        <v>43</v>
      </c>
      <c r="AQ153" s="117" t="s">
        <v>43</v>
      </c>
      <c r="AR153" s="117" t="s">
        <v>43</v>
      </c>
      <c r="AS153" s="117" t="s">
        <v>43</v>
      </c>
      <c r="AT153" s="117" t="s">
        <v>43</v>
      </c>
    </row>
    <row r="154" ht="7.5" customHeight="1">
      <c r="A154" s="108"/>
      <c r="B154" s="226"/>
      <c r="C154" s="227"/>
      <c r="D154" s="227"/>
      <c r="E154" s="227"/>
      <c r="F154" s="227"/>
      <c r="G154" s="227"/>
      <c r="H154" s="228"/>
      <c r="I154" s="228"/>
      <c r="J154" s="229"/>
      <c r="K154" s="229"/>
      <c r="L154" s="229"/>
      <c r="M154" s="229"/>
      <c r="N154" s="230"/>
      <c r="O154" s="230"/>
      <c r="P154" s="227"/>
      <c r="Q154" s="227"/>
      <c r="R154" s="227"/>
      <c r="S154" s="227"/>
      <c r="T154" s="227"/>
      <c r="U154" s="231"/>
      <c r="V154" s="88"/>
      <c r="W154" s="103"/>
      <c r="X154" s="63"/>
      <c r="Y154" s="142"/>
      <c r="Z154" s="142"/>
      <c r="AA154" s="142"/>
      <c r="AB154" s="146"/>
      <c r="AC154" s="146"/>
      <c r="AD154" s="146"/>
      <c r="AE154" s="146"/>
      <c r="AF154" s="146"/>
      <c r="AG154" s="146"/>
      <c r="AH154" s="146"/>
      <c r="AI154" s="146"/>
      <c r="AJ154" s="146"/>
      <c r="AK154" s="146"/>
      <c r="AL154" s="146"/>
      <c r="AM154" s="146"/>
      <c r="AN154" s="146"/>
      <c r="AO154" s="146"/>
      <c r="AP154" s="146"/>
      <c r="AQ154" s="146"/>
      <c r="AR154" s="146"/>
      <c r="AS154" s="146"/>
      <c r="AT154" s="146"/>
    </row>
    <row r="155" ht="7.5" customHeight="1">
      <c r="A155" s="194"/>
      <c r="B155" s="51"/>
      <c r="C155" s="51"/>
      <c r="D155" s="51"/>
      <c r="E155" s="51"/>
      <c r="F155" s="51"/>
      <c r="G155" s="51"/>
      <c r="H155" s="85"/>
      <c r="I155" s="85"/>
      <c r="J155" s="145"/>
      <c r="K155" s="145"/>
      <c r="L155" s="145"/>
      <c r="M155" s="145"/>
      <c r="N155" s="84"/>
      <c r="O155" s="84"/>
      <c r="P155" s="51"/>
      <c r="Q155" s="51"/>
      <c r="R155" s="51"/>
      <c r="S155" s="51"/>
      <c r="T155" s="51"/>
      <c r="U155" s="51"/>
      <c r="V155" s="88"/>
      <c r="W155" s="89"/>
      <c r="X155" s="90"/>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row>
    <row r="156" ht="9.0" customHeight="1">
      <c r="A156" s="206" t="str">
        <f>W157</f>
        <v>R3_G4</v>
      </c>
      <c r="B156" s="207"/>
      <c r="C156" s="208" t="s">
        <v>28</v>
      </c>
      <c r="D156" s="200"/>
      <c r="E156" s="200"/>
      <c r="F156" s="200"/>
      <c r="G156" s="200"/>
      <c r="H156" s="209"/>
      <c r="I156" s="209"/>
      <c r="J156" s="210"/>
      <c r="K156" s="211" t="s">
        <v>6</v>
      </c>
      <c r="L156" s="212">
        <f>18-countif(AC158:AT158,"")
</f>
        <v>18</v>
      </c>
      <c r="M156" s="213"/>
      <c r="N156" s="214"/>
      <c r="O156" s="214"/>
      <c r="P156" s="214"/>
      <c r="Q156" s="214"/>
      <c r="R156" s="214"/>
      <c r="S156" s="214"/>
      <c r="T156" s="214"/>
      <c r="U156" s="215"/>
      <c r="V156" s="88"/>
      <c r="W156" s="103"/>
      <c r="X156" s="104"/>
      <c r="Y156" s="105" t="s">
        <v>7</v>
      </c>
      <c r="Z156" s="105" t="s">
        <v>8</v>
      </c>
      <c r="AA156" s="105" t="s">
        <v>9</v>
      </c>
      <c r="AB156" s="106" t="s">
        <v>10</v>
      </c>
      <c r="AC156" s="107">
        <v>1.0</v>
      </c>
      <c r="AD156" s="107">
        <v>2.0</v>
      </c>
      <c r="AE156" s="107">
        <v>3.0</v>
      </c>
      <c r="AF156" s="107">
        <v>4.0</v>
      </c>
      <c r="AG156" s="107">
        <v>5.0</v>
      </c>
      <c r="AH156" s="107">
        <v>6.0</v>
      </c>
      <c r="AI156" s="107">
        <v>7.0</v>
      </c>
      <c r="AJ156" s="107">
        <v>8.0</v>
      </c>
      <c r="AK156" s="107">
        <v>9.0</v>
      </c>
      <c r="AL156" s="107">
        <v>10.0</v>
      </c>
      <c r="AM156" s="107">
        <v>11.0</v>
      </c>
      <c r="AN156" s="107">
        <v>12.0</v>
      </c>
      <c r="AO156" s="107">
        <v>13.0</v>
      </c>
      <c r="AP156" s="107">
        <v>14.0</v>
      </c>
      <c r="AQ156" s="107">
        <v>15.0</v>
      </c>
      <c r="AR156" s="107">
        <v>16.0</v>
      </c>
      <c r="AS156" s="107">
        <v>17.0</v>
      </c>
      <c r="AT156" s="107">
        <v>18.0</v>
      </c>
    </row>
    <row r="157" ht="11.25" customHeight="1">
      <c r="A157" s="108"/>
      <c r="B157" s="216"/>
      <c r="C157" s="110" t="str">
        <f>'Match Selection'!Y14</f>
        <v>Pace</v>
      </c>
      <c r="D157" s="20"/>
      <c r="E157" s="20"/>
      <c r="F157" s="20"/>
      <c r="G157" s="21"/>
      <c r="H157" s="217" t="s">
        <v>41</v>
      </c>
      <c r="K157" s="46"/>
      <c r="L157" s="46"/>
      <c r="M157" s="218" t="s">
        <v>41</v>
      </c>
      <c r="P157" s="114" t="str">
        <f>'Match Selection'!V14</f>
        <v>R-Mac</v>
      </c>
      <c r="Q157" s="20"/>
      <c r="R157" s="20"/>
      <c r="S157" s="20"/>
      <c r="T157" s="21"/>
      <c r="U157" s="219"/>
      <c r="V157" s="88"/>
      <c r="W157" s="116" t="s">
        <v>48</v>
      </c>
      <c r="X157" s="104" t="s">
        <v>12</v>
      </c>
      <c r="Y157" s="117" t="s">
        <v>43</v>
      </c>
      <c r="Z157" s="117" t="s">
        <v>43</v>
      </c>
      <c r="AA157" s="220">
        <f t="array" ref="AA157">indirect($W157&amp;"!"&amp;"AB26")</f>
        <v>86</v>
      </c>
      <c r="AB157" s="106" t="s">
        <v>13</v>
      </c>
      <c r="AC157" s="107">
        <v>3.0</v>
      </c>
      <c r="AD157" s="107">
        <v>4.0</v>
      </c>
      <c r="AE157" s="107">
        <v>5.0</v>
      </c>
      <c r="AF157" s="107">
        <v>6.0</v>
      </c>
      <c r="AG157" s="107">
        <v>7.0</v>
      </c>
      <c r="AH157" s="107">
        <v>8.0</v>
      </c>
      <c r="AI157" s="107">
        <v>9.0</v>
      </c>
      <c r="AJ157" s="107">
        <v>10.0</v>
      </c>
      <c r="AK157" s="107">
        <v>11.0</v>
      </c>
      <c r="AL157" s="107">
        <v>18.0</v>
      </c>
      <c r="AM157" s="107">
        <v>19.0</v>
      </c>
      <c r="AN157" s="107">
        <v>20.0</v>
      </c>
      <c r="AO157" s="107">
        <v>21.0</v>
      </c>
      <c r="AP157" s="107">
        <v>22.0</v>
      </c>
      <c r="AQ157" s="107">
        <v>23.0</v>
      </c>
      <c r="AR157" s="107">
        <v>24.0</v>
      </c>
      <c r="AS157" s="107">
        <v>25.0</v>
      </c>
      <c r="AT157" s="107">
        <v>26.0</v>
      </c>
    </row>
    <row r="158" ht="11.25" customHeight="1">
      <c r="A158" s="108"/>
      <c r="B158" s="221"/>
      <c r="C158" s="119" t="str">
        <f>'Match Selection'!Y15</f>
        <v>Saugy</v>
      </c>
      <c r="D158" s="44"/>
      <c r="E158" s="44"/>
      <c r="F158" s="44"/>
      <c r="G158" s="45"/>
      <c r="H158" s="222">
        <f>AA158</f>
        <v>36</v>
      </c>
      <c r="I158" s="20"/>
      <c r="J158" s="21"/>
      <c r="K158" s="46"/>
      <c r="L158" s="46"/>
      <c r="M158" s="223">
        <f>AA157</f>
        <v>86</v>
      </c>
      <c r="N158" s="20"/>
      <c r="O158" s="20"/>
      <c r="P158" s="121" t="str">
        <f>'Match Selection'!V15</f>
        <v>Hile</v>
      </c>
      <c r="Q158" s="44"/>
      <c r="R158" s="44"/>
      <c r="S158" s="44"/>
      <c r="T158" s="45"/>
      <c r="U158" s="219"/>
      <c r="V158" s="88"/>
      <c r="W158" s="122" t="str">
        <f>$L$126</f>
        <v>2-Man Tilt</v>
      </c>
      <c r="X158" s="104" t="s">
        <v>14</v>
      </c>
      <c r="Y158" s="117" t="s">
        <v>43</v>
      </c>
      <c r="Z158" s="117" t="s">
        <v>43</v>
      </c>
      <c r="AA158" s="220">
        <f t="array" ref="AA158">indirect($W157&amp;"!"&amp;"AB27")</f>
        <v>36</v>
      </c>
      <c r="AB158" s="106" t="s">
        <v>15</v>
      </c>
      <c r="AC158" s="123">
        <f t="array" ref="AC158">VLOOKUP('Master Input'!$A$19,indirect($W157&amp;"!"&amp;"$A$31:$z$31"),AC157)</f>
        <v>-1</v>
      </c>
      <c r="AD158" s="123">
        <f t="array" ref="AD158">VLOOKUP('Master Input'!$A$19,indirect($W157&amp;"!"&amp;"$A$31:$z$31"),AD157)</f>
        <v>1</v>
      </c>
      <c r="AE158" s="123">
        <f t="array" ref="AE158">VLOOKUP('Master Input'!$A$19,indirect($W157&amp;"!"&amp;"$A$31:$z$31"),AE157)</f>
        <v>1</v>
      </c>
      <c r="AF158" s="123">
        <f t="array" ref="AF158">VLOOKUP('Master Input'!$A$19,indirect($W157&amp;"!"&amp;"$A$31:$z$31"),AF157)</f>
        <v>-1</v>
      </c>
      <c r="AG158" s="123">
        <f t="array" ref="AG158">VLOOKUP('Master Input'!$A$19,indirect($W157&amp;"!"&amp;"$A$31:$z$31"),AG157)</f>
        <v>0</v>
      </c>
      <c r="AH158" s="123">
        <f t="array" ref="AH158">VLOOKUP('Master Input'!$A$19,indirect($W157&amp;"!"&amp;"$A$31:$z$31"),AH157)</f>
        <v>-1</v>
      </c>
      <c r="AI158" s="123">
        <f t="array" ref="AI158">VLOOKUP('Master Input'!$A$19,indirect($W157&amp;"!"&amp;"$A$31:$z$31"),AI157)</f>
        <v>1</v>
      </c>
      <c r="AJ158" s="123">
        <f t="array" ref="AJ158">VLOOKUP('Master Input'!$A$19,indirect($W157&amp;"!"&amp;"$A$31:$z$31"),AJ157)</f>
        <v>1</v>
      </c>
      <c r="AK158" s="123">
        <f t="array" ref="AK158">VLOOKUP('Master Input'!$A$19,indirect($W157&amp;"!"&amp;"$A$31:$z$31"),AK157)</f>
        <v>1</v>
      </c>
      <c r="AL158" s="123">
        <f t="array" ref="AL158">VLOOKUP('Master Input'!$A$19,indirect($W157&amp;"!"&amp;"$A$31:$z$31"),AL157)</f>
        <v>1</v>
      </c>
      <c r="AM158" s="123">
        <f t="array" ref="AM158">VLOOKUP('Master Input'!$A$19,indirect($W157&amp;"!"&amp;"$A$31:$z$31"),AM157)</f>
        <v>0</v>
      </c>
      <c r="AN158" s="123">
        <f t="array" ref="AN158">VLOOKUP('Master Input'!$A$19,indirect($W157&amp;"!"&amp;"$A$31:$z$31"),AN157)</f>
        <v>1</v>
      </c>
      <c r="AO158" s="123">
        <f t="array" ref="AO158">VLOOKUP('Master Input'!$A$19,indirect($W157&amp;"!"&amp;"$A$31:$z$31"),AO157)</f>
        <v>1</v>
      </c>
      <c r="AP158" s="123">
        <f t="array" ref="AP158">VLOOKUP('Master Input'!$A$19,indirect($W157&amp;"!"&amp;"$A$31:$z$31"),AP157)</f>
        <v>1</v>
      </c>
      <c r="AQ158" s="123">
        <f t="array" ref="AQ158">VLOOKUP('Master Input'!$A$19,indirect($W157&amp;"!"&amp;"$A$31:$z$31"),AQ157)</f>
        <v>1</v>
      </c>
      <c r="AR158" s="123">
        <f t="array" ref="AR158">VLOOKUP('Master Input'!$A$19,indirect($W157&amp;"!"&amp;"$A$31:$z$31"),AR157)</f>
        <v>-1</v>
      </c>
      <c r="AS158" s="123">
        <f t="array" ref="AS158">VLOOKUP('Master Input'!$A$19,indirect($W157&amp;"!"&amp;"$A$31:$z$31"),AS157)</f>
        <v>-1</v>
      </c>
      <c r="AT158" s="123">
        <f t="array" ref="AT158">VLOOKUP('Master Input'!$A$19,indirect($W157&amp;"!"&amp;"$A$31:$z$31"),AT157)</f>
        <v>1</v>
      </c>
    </row>
    <row r="159" ht="9.0" customHeight="1">
      <c r="A159" s="108"/>
      <c r="B159" s="221"/>
      <c r="C159" s="46"/>
      <c r="D159" s="125" t="s">
        <v>44</v>
      </c>
      <c r="G159" s="113"/>
      <c r="H159" s="111"/>
      <c r="I159" s="111"/>
      <c r="J159" s="112" t="s">
        <v>45</v>
      </c>
      <c r="N159" s="113"/>
      <c r="O159" s="113"/>
      <c r="P159" s="113"/>
      <c r="Q159" s="128" t="s">
        <v>44</v>
      </c>
      <c r="T159" s="46"/>
      <c r="U159" s="219"/>
      <c r="V159" s="88"/>
      <c r="W159" s="103"/>
      <c r="X159" s="104" t="s">
        <v>17</v>
      </c>
      <c r="Y159" s="117" t="s">
        <v>43</v>
      </c>
      <c r="Z159" s="117" t="s">
        <v>43</v>
      </c>
      <c r="AA159" s="117">
        <f>countif(AC158:AT158,"")</f>
        <v>0</v>
      </c>
      <c r="AB159" s="105" t="s">
        <v>18</v>
      </c>
      <c r="AC159" s="105">
        <v>8.0</v>
      </c>
      <c r="AD159" s="105">
        <v>7.0</v>
      </c>
      <c r="AE159" s="105">
        <v>6.0</v>
      </c>
      <c r="AF159" s="105">
        <v>5.0</v>
      </c>
      <c r="AG159" s="105">
        <v>4.0</v>
      </c>
      <c r="AH159" s="105">
        <v>3.0</v>
      </c>
      <c r="AI159" s="105">
        <v>2.0</v>
      </c>
      <c r="AJ159" s="105">
        <v>1.0</v>
      </c>
      <c r="AK159" s="105">
        <v>0.0</v>
      </c>
      <c r="AL159" s="105">
        <v>8.0</v>
      </c>
      <c r="AM159" s="105">
        <v>7.0</v>
      </c>
      <c r="AN159" s="105">
        <v>6.0</v>
      </c>
      <c r="AO159" s="105">
        <v>5.0</v>
      </c>
      <c r="AP159" s="105">
        <v>4.0</v>
      </c>
      <c r="AQ159" s="105">
        <v>3.0</v>
      </c>
      <c r="AR159" s="105">
        <v>2.0</v>
      </c>
      <c r="AS159" s="105">
        <v>1.0</v>
      </c>
      <c r="AT159" s="105">
        <v>0.0</v>
      </c>
    </row>
    <row r="160" ht="11.25" customHeight="1">
      <c r="A160" s="108"/>
      <c r="B160" s="221"/>
      <c r="C160" s="46"/>
      <c r="D160" s="110">
        <f>if(AA161="","",sum(Y161:AA161))</f>
        <v>0</v>
      </c>
      <c r="E160" s="20"/>
      <c r="F160" s="21"/>
      <c r="G160" s="181"/>
      <c r="H160" s="111"/>
      <c r="I160" s="111"/>
      <c r="J160" s="224">
        <f>abs(AA158-AA157)</f>
        <v>50</v>
      </c>
      <c r="K160" s="20"/>
      <c r="L160" s="20"/>
      <c r="M160" s="21"/>
      <c r="N160" s="111"/>
      <c r="O160" s="111"/>
      <c r="P160" s="130"/>
      <c r="Q160" s="114">
        <f>if(AA160="","",sum(Y160:AA160))</f>
        <v>4</v>
      </c>
      <c r="R160" s="20"/>
      <c r="S160" s="21"/>
      <c r="T160" s="46"/>
      <c r="U160" s="219"/>
      <c r="V160" s="88"/>
      <c r="W160" s="103"/>
      <c r="X160" s="104" t="s">
        <v>19</v>
      </c>
      <c r="Y160" s="117" t="s">
        <v>43</v>
      </c>
      <c r="Z160" s="117" t="s">
        <v>43</v>
      </c>
      <c r="AA160" s="117">
        <f t="array" ref="AA160">indirect($W157&amp;"!"&amp;"AC26")</f>
        <v>4</v>
      </c>
      <c r="AB160" s="105" t="s">
        <v>20</v>
      </c>
      <c r="AC160" s="117" t="s">
        <v>43</v>
      </c>
      <c r="AD160" s="117" t="s">
        <v>43</v>
      </c>
      <c r="AE160" s="117" t="s">
        <v>43</v>
      </c>
      <c r="AF160" s="117" t="s">
        <v>43</v>
      </c>
      <c r="AG160" s="117" t="s">
        <v>43</v>
      </c>
      <c r="AH160" s="117" t="s">
        <v>43</v>
      </c>
      <c r="AI160" s="117" t="s">
        <v>43</v>
      </c>
      <c r="AJ160" s="117" t="s">
        <v>43</v>
      </c>
      <c r="AK160" s="117" t="s">
        <v>43</v>
      </c>
      <c r="AL160" s="117" t="s">
        <v>43</v>
      </c>
      <c r="AM160" s="117" t="s">
        <v>43</v>
      </c>
      <c r="AN160" s="117" t="s">
        <v>43</v>
      </c>
      <c r="AO160" s="117" t="s">
        <v>43</v>
      </c>
      <c r="AP160" s="117" t="s">
        <v>43</v>
      </c>
      <c r="AQ160" s="117" t="s">
        <v>43</v>
      </c>
      <c r="AR160" s="117" t="s">
        <v>43</v>
      </c>
      <c r="AS160" s="117" t="s">
        <v>43</v>
      </c>
      <c r="AT160" s="117" t="s">
        <v>43</v>
      </c>
    </row>
    <row r="161" ht="7.5" customHeight="1">
      <c r="A161" s="108"/>
      <c r="B161" s="225"/>
      <c r="C161" s="124"/>
      <c r="D161" s="124"/>
      <c r="E161" s="124"/>
      <c r="F161" s="124"/>
      <c r="G161" s="113"/>
      <c r="H161" s="111"/>
      <c r="I161" s="111"/>
      <c r="J161" s="111"/>
      <c r="K161" s="46"/>
      <c r="L161" s="46"/>
      <c r="M161" s="113"/>
      <c r="N161" s="113"/>
      <c r="O161" s="113"/>
      <c r="P161" s="113"/>
      <c r="Q161" s="46"/>
      <c r="R161" s="46"/>
      <c r="S161" s="46"/>
      <c r="T161" s="46"/>
      <c r="U161" s="219"/>
      <c r="V161" s="88"/>
      <c r="W161" s="103"/>
      <c r="X161" s="104" t="s">
        <v>21</v>
      </c>
      <c r="Y161" s="117" t="s">
        <v>43</v>
      </c>
      <c r="Z161" s="117" t="s">
        <v>43</v>
      </c>
      <c r="AA161" s="117">
        <f t="array" ref="AA161">indirect($W157&amp;"!"&amp;"AC27")</f>
        <v>0</v>
      </c>
      <c r="AB161" s="105" t="s">
        <v>22</v>
      </c>
      <c r="AC161" s="105">
        <v>17.0</v>
      </c>
      <c r="AD161" s="105">
        <v>16.0</v>
      </c>
      <c r="AE161" s="105">
        <v>15.0</v>
      </c>
      <c r="AF161" s="105">
        <v>14.0</v>
      </c>
      <c r="AG161" s="105">
        <v>13.0</v>
      </c>
      <c r="AH161" s="105">
        <v>12.0</v>
      </c>
      <c r="AI161" s="105">
        <v>11.0</v>
      </c>
      <c r="AJ161" s="105">
        <v>10.0</v>
      </c>
      <c r="AK161" s="105">
        <v>9.0</v>
      </c>
      <c r="AL161" s="105">
        <v>8.0</v>
      </c>
      <c r="AM161" s="105">
        <v>7.0</v>
      </c>
      <c r="AN161" s="105">
        <v>6.0</v>
      </c>
      <c r="AO161" s="105">
        <v>5.0</v>
      </c>
      <c r="AP161" s="105">
        <v>4.0</v>
      </c>
      <c r="AQ161" s="105">
        <v>3.0</v>
      </c>
      <c r="AR161" s="105">
        <v>2.0</v>
      </c>
      <c r="AS161" s="105">
        <v>1.0</v>
      </c>
      <c r="AT161" s="105">
        <v>0.0</v>
      </c>
    </row>
    <row r="162" ht="11.25" customHeight="1">
      <c r="A162" s="108"/>
      <c r="B162" s="225"/>
      <c r="C162" s="183">
        <v>1.0</v>
      </c>
      <c r="D162" s="183">
        <v>2.0</v>
      </c>
      <c r="E162" s="183">
        <v>3.0</v>
      </c>
      <c r="F162" s="183">
        <v>4.0</v>
      </c>
      <c r="G162" s="183">
        <v>5.0</v>
      </c>
      <c r="H162" s="183">
        <v>6.0</v>
      </c>
      <c r="I162" s="183">
        <v>7.0</v>
      </c>
      <c r="J162" s="183">
        <v>8.0</v>
      </c>
      <c r="K162" s="184">
        <v>9.0</v>
      </c>
      <c r="L162" s="185">
        <v>10.0</v>
      </c>
      <c r="M162" s="183">
        <v>11.0</v>
      </c>
      <c r="N162" s="183">
        <v>12.0</v>
      </c>
      <c r="O162" s="183">
        <v>13.0</v>
      </c>
      <c r="P162" s="183">
        <v>14.0</v>
      </c>
      <c r="Q162" s="183">
        <v>15.0</v>
      </c>
      <c r="R162" s="183">
        <v>16.0</v>
      </c>
      <c r="S162" s="183">
        <v>17.0</v>
      </c>
      <c r="T162" s="183">
        <v>18.0</v>
      </c>
      <c r="U162" s="219"/>
      <c r="V162" s="88"/>
      <c r="W162" s="103"/>
      <c r="X162" s="104"/>
      <c r="Y162" s="105"/>
      <c r="Z162" s="105"/>
      <c r="AA162" s="105"/>
      <c r="AB162" s="105" t="s">
        <v>23</v>
      </c>
      <c r="AC162" s="117" t="s">
        <v>43</v>
      </c>
      <c r="AD162" s="117" t="s">
        <v>43</v>
      </c>
      <c r="AE162" s="117" t="s">
        <v>43</v>
      </c>
      <c r="AF162" s="117" t="s">
        <v>43</v>
      </c>
      <c r="AG162" s="117" t="s">
        <v>43</v>
      </c>
      <c r="AH162" s="117" t="s">
        <v>43</v>
      </c>
      <c r="AI162" s="117" t="s">
        <v>43</v>
      </c>
      <c r="AJ162" s="117" t="s">
        <v>43</v>
      </c>
      <c r="AK162" s="117" t="s">
        <v>43</v>
      </c>
      <c r="AL162" s="117" t="s">
        <v>43</v>
      </c>
      <c r="AM162" s="117" t="s">
        <v>43</v>
      </c>
      <c r="AN162" s="117" t="s">
        <v>43</v>
      </c>
      <c r="AO162" s="117" t="s">
        <v>43</v>
      </c>
      <c r="AP162" s="117" t="s">
        <v>43</v>
      </c>
      <c r="AQ162" s="117" t="s">
        <v>43</v>
      </c>
      <c r="AR162" s="117" t="s">
        <v>43</v>
      </c>
      <c r="AS162" s="117" t="s">
        <v>43</v>
      </c>
      <c r="AT162" s="117" t="s">
        <v>43</v>
      </c>
    </row>
    <row r="163" ht="7.5" customHeight="1">
      <c r="A163" s="108"/>
      <c r="B163" s="226"/>
      <c r="C163" s="227"/>
      <c r="D163" s="227"/>
      <c r="E163" s="227"/>
      <c r="F163" s="227"/>
      <c r="G163" s="227"/>
      <c r="H163" s="228"/>
      <c r="I163" s="228"/>
      <c r="J163" s="229"/>
      <c r="K163" s="229"/>
      <c r="L163" s="229"/>
      <c r="M163" s="229"/>
      <c r="N163" s="230"/>
      <c r="O163" s="230"/>
      <c r="P163" s="227"/>
      <c r="Q163" s="227"/>
      <c r="R163" s="227"/>
      <c r="S163" s="227"/>
      <c r="T163" s="227"/>
      <c r="U163" s="231"/>
      <c r="V163" s="88"/>
      <c r="W163" s="103"/>
      <c r="X163" s="63"/>
      <c r="Y163" s="142"/>
      <c r="Z163" s="142"/>
      <c r="AA163" s="142"/>
      <c r="AB163" s="81"/>
      <c r="AC163" s="82"/>
      <c r="AD163" s="82"/>
      <c r="AE163" s="82"/>
      <c r="AF163" s="82"/>
      <c r="AG163" s="82"/>
      <c r="AH163" s="82"/>
      <c r="AI163" s="82"/>
      <c r="AJ163" s="82"/>
      <c r="AK163" s="82"/>
      <c r="AL163" s="82"/>
      <c r="AM163" s="82"/>
      <c r="AN163" s="82"/>
      <c r="AO163" s="82"/>
      <c r="AP163" s="82"/>
      <c r="AQ163" s="82"/>
      <c r="AR163" s="82"/>
      <c r="AS163" s="82"/>
      <c r="AT163" s="82"/>
    </row>
    <row r="164" ht="11.25" customHeight="1">
      <c r="A164" s="147"/>
      <c r="B164" s="148"/>
      <c r="C164" s="148"/>
      <c r="D164" s="148"/>
      <c r="E164" s="148"/>
      <c r="F164" s="148"/>
      <c r="G164" s="148"/>
      <c r="H164" s="148"/>
      <c r="I164" s="148"/>
      <c r="J164" s="148"/>
      <c r="K164" s="148"/>
      <c r="L164" s="148"/>
      <c r="M164" s="148"/>
      <c r="N164" s="148"/>
      <c r="O164" s="148"/>
      <c r="P164" s="148"/>
      <c r="Q164" s="148"/>
      <c r="R164" s="148"/>
      <c r="S164" s="148"/>
      <c r="T164" s="148"/>
      <c r="U164" s="148"/>
      <c r="V164" s="88"/>
      <c r="W164" s="89"/>
      <c r="X164" s="90"/>
      <c r="Y164" s="149"/>
      <c r="Z164" s="149"/>
      <c r="AA164" s="149"/>
      <c r="AB164" s="150"/>
      <c r="AC164" s="151"/>
      <c r="AD164" s="151"/>
      <c r="AE164" s="151"/>
      <c r="AF164" s="151"/>
      <c r="AG164" s="151"/>
      <c r="AH164" s="151"/>
      <c r="AI164" s="151"/>
      <c r="AJ164" s="151"/>
      <c r="AK164" s="151"/>
      <c r="AL164" s="151"/>
      <c r="AM164" s="151"/>
      <c r="AN164" s="151"/>
      <c r="AO164" s="151"/>
      <c r="AP164" s="151"/>
      <c r="AQ164" s="151"/>
      <c r="AR164" s="151"/>
      <c r="AS164" s="151"/>
      <c r="AT164" s="151"/>
    </row>
    <row r="165" ht="11.25" customHeight="1">
      <c r="A165" s="152"/>
      <c r="B165" s="153"/>
      <c r="C165" s="153"/>
      <c r="D165" s="153"/>
      <c r="E165" s="153"/>
      <c r="F165" s="153"/>
      <c r="G165" s="153"/>
      <c r="H165" s="153"/>
      <c r="I165" s="153"/>
      <c r="J165" s="153"/>
      <c r="K165" s="153"/>
      <c r="L165" s="153"/>
      <c r="M165" s="153"/>
      <c r="N165" s="153"/>
      <c r="O165" s="153"/>
      <c r="P165" s="153"/>
      <c r="Q165" s="153"/>
      <c r="R165" s="153"/>
      <c r="S165" s="153"/>
      <c r="T165" s="153"/>
      <c r="U165" s="153"/>
      <c r="V165" s="154"/>
      <c r="W165" s="232"/>
      <c r="X165" s="233"/>
      <c r="Y165" s="233"/>
      <c r="Z165" s="233"/>
      <c r="AA165" s="233"/>
      <c r="AB165" s="233"/>
      <c r="AC165" s="234"/>
      <c r="AD165" s="234"/>
      <c r="AE165" s="234"/>
      <c r="AF165" s="234"/>
      <c r="AG165" s="234"/>
      <c r="AH165" s="234"/>
      <c r="AI165" s="234"/>
      <c r="AJ165" s="234"/>
      <c r="AK165" s="234"/>
      <c r="AL165" s="234"/>
      <c r="AM165" s="234"/>
      <c r="AN165" s="234"/>
      <c r="AO165" s="234"/>
      <c r="AP165" s="234"/>
      <c r="AQ165" s="234"/>
      <c r="AR165" s="234"/>
      <c r="AS165" s="234"/>
      <c r="AT165" s="234"/>
    </row>
    <row r="166">
      <c r="A166" s="235"/>
      <c r="B166" s="236" t="str">
        <f>'Master Input'!K6</f>
        <v>American Dunes - Freedom/WH</v>
      </c>
      <c r="C166" s="237"/>
      <c r="D166" s="237"/>
      <c r="E166" s="237"/>
      <c r="F166" s="237"/>
      <c r="G166" s="237"/>
      <c r="H166" s="237"/>
      <c r="I166" s="237"/>
      <c r="J166" s="237"/>
      <c r="K166" s="237"/>
      <c r="L166" s="238" t="str">
        <f>'Master Input'!L6</f>
        <v>Team Best Ball</v>
      </c>
      <c r="M166" s="237"/>
      <c r="N166" s="237"/>
      <c r="O166" s="237"/>
      <c r="P166" s="237"/>
      <c r="Q166" s="237"/>
      <c r="R166" s="237"/>
      <c r="S166" s="237"/>
      <c r="T166" s="237"/>
      <c r="U166" s="239"/>
      <c r="V166" s="240"/>
      <c r="W166" s="103"/>
      <c r="X166" s="63"/>
      <c r="Y166" s="142"/>
      <c r="Z166" s="142"/>
      <c r="AA166" s="142"/>
      <c r="AB166" s="81"/>
      <c r="AC166" s="82"/>
      <c r="AD166" s="82"/>
      <c r="AE166" s="82"/>
      <c r="AF166" s="82"/>
      <c r="AG166" s="82"/>
      <c r="AH166" s="82"/>
      <c r="AI166" s="82"/>
      <c r="AJ166" s="82"/>
      <c r="AK166" s="82"/>
      <c r="AL166" s="82"/>
      <c r="AM166" s="82"/>
      <c r="AN166" s="82"/>
      <c r="AO166" s="82"/>
      <c r="AP166" s="82"/>
      <c r="AQ166" s="82"/>
      <c r="AR166" s="82"/>
      <c r="AS166" s="82"/>
      <c r="AT166" s="82"/>
    </row>
    <row r="167">
      <c r="A167" s="235"/>
      <c r="B167" s="241" t="s">
        <v>49</v>
      </c>
      <c r="C167" s="242"/>
      <c r="D167" s="242"/>
      <c r="E167" s="242"/>
      <c r="F167" s="242"/>
      <c r="G167" s="242"/>
      <c r="H167" s="242"/>
      <c r="I167" s="242"/>
      <c r="J167" s="242"/>
      <c r="K167" s="242"/>
      <c r="L167" s="242"/>
      <c r="M167" s="242"/>
      <c r="N167" s="242"/>
      <c r="O167" s="242"/>
      <c r="P167" s="242"/>
      <c r="Q167" s="242"/>
      <c r="R167" s="242"/>
      <c r="S167" s="242"/>
      <c r="T167" s="242"/>
      <c r="U167" s="243"/>
      <c r="V167" s="240"/>
      <c r="W167" s="103"/>
      <c r="X167" s="63"/>
      <c r="Y167" s="142"/>
      <c r="Z167" s="142"/>
      <c r="AA167" s="142"/>
      <c r="AB167" s="81"/>
      <c r="AC167" s="82"/>
      <c r="AD167" s="82"/>
      <c r="AE167" s="82"/>
      <c r="AF167" s="82"/>
      <c r="AG167" s="82"/>
      <c r="AH167" s="82"/>
      <c r="AI167" s="82"/>
      <c r="AJ167" s="82"/>
      <c r="AK167" s="82"/>
      <c r="AL167" s="82"/>
      <c r="AM167" s="82"/>
      <c r="AN167" s="82"/>
      <c r="AO167" s="82"/>
      <c r="AP167" s="82"/>
      <c r="AQ167" s="82"/>
      <c r="AR167" s="82"/>
      <c r="AS167" s="82"/>
      <c r="AT167" s="82"/>
    </row>
    <row r="168" ht="11.25" customHeight="1">
      <c r="A168" s="235"/>
      <c r="B168" s="5"/>
      <c r="C168" s="5"/>
      <c r="D168" s="5"/>
      <c r="E168" s="5"/>
      <c r="F168" s="5"/>
      <c r="G168" s="5"/>
      <c r="H168" s="5"/>
      <c r="I168" s="5"/>
      <c r="J168" s="5"/>
      <c r="K168" s="5"/>
      <c r="L168" s="5"/>
      <c r="M168" s="5"/>
      <c r="N168" s="5"/>
      <c r="O168" s="5"/>
      <c r="P168" s="5"/>
      <c r="Q168" s="5"/>
      <c r="R168" s="5"/>
      <c r="S168" s="5"/>
      <c r="T168" s="5"/>
      <c r="U168" s="5"/>
      <c r="V168" s="240"/>
      <c r="W168" s="103"/>
      <c r="X168" s="63"/>
      <c r="Y168" s="142"/>
      <c r="Z168" s="142"/>
      <c r="AA168" s="142"/>
      <c r="AB168" s="81"/>
      <c r="AC168" s="82"/>
      <c r="AD168" s="82"/>
      <c r="AE168" s="82"/>
      <c r="AF168" s="82"/>
      <c r="AG168" s="82"/>
      <c r="AH168" s="82"/>
      <c r="AI168" s="82"/>
      <c r="AJ168" s="82"/>
      <c r="AK168" s="82"/>
      <c r="AL168" s="82"/>
      <c r="AM168" s="82"/>
      <c r="AN168" s="82"/>
      <c r="AO168" s="82"/>
      <c r="AP168" s="82"/>
      <c r="AQ168" s="82"/>
      <c r="AR168" s="82"/>
      <c r="AS168" s="82"/>
      <c r="AT168" s="82"/>
    </row>
    <row r="169" ht="22.5" customHeight="1">
      <c r="A169" s="235"/>
      <c r="B169" s="244"/>
      <c r="C169" s="245"/>
      <c r="D169" s="246" t="s">
        <v>16</v>
      </c>
      <c r="E169" s="247"/>
      <c r="F169" s="247"/>
      <c r="G169" s="248"/>
      <c r="H169" s="246" t="s">
        <v>50</v>
      </c>
      <c r="I169" s="247"/>
      <c r="J169" s="249"/>
      <c r="K169" s="250" t="s">
        <v>51</v>
      </c>
      <c r="L169" s="247"/>
      <c r="M169" s="251"/>
      <c r="N169" s="252" t="s">
        <v>50</v>
      </c>
      <c r="O169" s="247"/>
      <c r="P169" s="253"/>
      <c r="Q169" s="252" t="s">
        <v>16</v>
      </c>
      <c r="R169" s="247"/>
      <c r="S169" s="247"/>
      <c r="T169" s="245"/>
      <c r="U169" s="254"/>
      <c r="V169" s="240"/>
      <c r="W169" s="255"/>
      <c r="X169" s="256"/>
      <c r="Y169" s="257"/>
      <c r="Z169" s="257"/>
      <c r="AA169" s="257"/>
      <c r="AB169" s="258"/>
      <c r="AC169" s="259"/>
      <c r="AD169" s="259"/>
      <c r="AE169" s="259"/>
      <c r="AF169" s="259"/>
      <c r="AG169" s="259"/>
      <c r="AH169" s="259"/>
      <c r="AI169" s="259"/>
      <c r="AJ169" s="259"/>
      <c r="AK169" s="259"/>
      <c r="AL169" s="259"/>
      <c r="AM169" s="259"/>
      <c r="AN169" s="259"/>
      <c r="AO169" s="259"/>
      <c r="AP169" s="259"/>
      <c r="AQ169" s="259"/>
      <c r="AR169" s="259"/>
      <c r="AS169" s="259"/>
      <c r="AT169" s="259"/>
    </row>
    <row r="170" ht="15.0" customHeight="1">
      <c r="A170" s="260"/>
      <c r="B170" s="261"/>
      <c r="C170" s="181"/>
      <c r="D170" s="262">
        <f>'FINAL COUNTDOWN'!B2</f>
        <v>0.5</v>
      </c>
      <c r="E170" s="20"/>
      <c r="F170" s="21"/>
      <c r="G170" s="181"/>
      <c r="H170" s="120">
        <f>'FINAL COUNTDOWN'!F2</f>
        <v>-3</v>
      </c>
      <c r="I170" s="21"/>
      <c r="J170" s="181"/>
      <c r="K170" s="263">
        <v>1.0</v>
      </c>
      <c r="L170" s="21"/>
      <c r="M170" s="264"/>
      <c r="N170" s="120">
        <f>'FINAL COUNTDOWN'!L2</f>
        <v>-3</v>
      </c>
      <c r="O170" s="21"/>
      <c r="P170" s="181"/>
      <c r="Q170" s="262">
        <f>'FINAL COUNTDOWN'!O2</f>
        <v>0.5</v>
      </c>
      <c r="R170" s="20"/>
      <c r="S170" s="21"/>
      <c r="T170" s="181"/>
      <c r="U170" s="265"/>
      <c r="V170" s="266"/>
      <c r="W170" s="267"/>
      <c r="X170" s="268"/>
      <c r="Y170" s="269"/>
      <c r="Z170" s="269"/>
      <c r="AA170" s="269"/>
      <c r="AB170" s="270"/>
      <c r="AC170" s="271"/>
      <c r="AD170" s="271"/>
      <c r="AE170" s="271"/>
      <c r="AF170" s="271"/>
      <c r="AG170" s="271"/>
      <c r="AH170" s="271"/>
      <c r="AI170" s="271"/>
      <c r="AJ170" s="271"/>
      <c r="AK170" s="271"/>
      <c r="AL170" s="271"/>
      <c r="AM170" s="271"/>
      <c r="AN170" s="271"/>
      <c r="AO170" s="271"/>
      <c r="AP170" s="271"/>
      <c r="AQ170" s="271"/>
      <c r="AR170" s="271"/>
      <c r="AS170" s="271"/>
      <c r="AT170" s="271"/>
    </row>
    <row r="171">
      <c r="A171" s="260"/>
      <c r="B171" s="261"/>
      <c r="C171" s="181"/>
      <c r="D171" s="262">
        <f>'FINAL COUNTDOWN'!B3</f>
        <v>0</v>
      </c>
      <c r="E171" s="20"/>
      <c r="F171" s="21"/>
      <c r="G171" s="181"/>
      <c r="H171" s="120">
        <f>'FINAL COUNTDOWN'!F3</f>
        <v>2</v>
      </c>
      <c r="I171" s="21"/>
      <c r="J171" s="181"/>
      <c r="K171" s="263">
        <v>2.0</v>
      </c>
      <c r="L171" s="21"/>
      <c r="M171" s="264"/>
      <c r="N171" s="120">
        <f>'FINAL COUNTDOWN'!L3</f>
        <v>0</v>
      </c>
      <c r="O171" s="21"/>
      <c r="P171" s="181"/>
      <c r="Q171" s="262">
        <f>'FINAL COUNTDOWN'!O3</f>
        <v>1</v>
      </c>
      <c r="R171" s="20"/>
      <c r="S171" s="21"/>
      <c r="T171" s="181"/>
      <c r="U171" s="265"/>
      <c r="V171" s="266"/>
      <c r="W171" s="267"/>
      <c r="X171" s="268"/>
      <c r="Y171" s="269"/>
      <c r="Z171" s="269"/>
      <c r="AA171" s="269"/>
      <c r="AB171" s="270"/>
      <c r="AC171" s="271"/>
      <c r="AD171" s="271"/>
      <c r="AE171" s="271"/>
      <c r="AF171" s="271"/>
      <c r="AG171" s="271"/>
      <c r="AH171" s="271"/>
      <c r="AI171" s="271"/>
      <c r="AJ171" s="271"/>
      <c r="AK171" s="271"/>
      <c r="AL171" s="271"/>
      <c r="AM171" s="271"/>
      <c r="AN171" s="271"/>
      <c r="AO171" s="271"/>
      <c r="AP171" s="271"/>
      <c r="AQ171" s="271"/>
      <c r="AR171" s="271"/>
      <c r="AS171" s="271"/>
      <c r="AT171" s="271"/>
    </row>
    <row r="172">
      <c r="A172" s="260"/>
      <c r="B172" s="261"/>
      <c r="C172" s="181"/>
      <c r="D172" s="262">
        <f>'FINAL COUNTDOWN'!B4</f>
        <v>1</v>
      </c>
      <c r="E172" s="20"/>
      <c r="F172" s="21"/>
      <c r="G172" s="181"/>
      <c r="H172" s="120">
        <f>'FINAL COUNTDOWN'!F4</f>
        <v>1</v>
      </c>
      <c r="I172" s="21"/>
      <c r="J172" s="181"/>
      <c r="K172" s="263">
        <v>3.0</v>
      </c>
      <c r="L172" s="21"/>
      <c r="M172" s="264"/>
      <c r="N172" s="120">
        <f>'FINAL COUNTDOWN'!L4</f>
        <v>2</v>
      </c>
      <c r="O172" s="21"/>
      <c r="P172" s="181"/>
      <c r="Q172" s="262">
        <f>'FINAL COUNTDOWN'!O4</f>
        <v>0</v>
      </c>
      <c r="R172" s="20"/>
      <c r="S172" s="21"/>
      <c r="T172" s="181"/>
      <c r="U172" s="265"/>
      <c r="V172" s="266"/>
      <c r="W172" s="267"/>
      <c r="X172" s="268"/>
      <c r="Y172" s="269"/>
      <c r="Z172" s="269"/>
      <c r="AA172" s="269"/>
      <c r="AB172" s="270"/>
      <c r="AC172" s="271"/>
      <c r="AD172" s="271"/>
      <c r="AE172" s="271"/>
      <c r="AF172" s="271"/>
      <c r="AG172" s="271"/>
      <c r="AH172" s="271"/>
      <c r="AI172" s="271"/>
      <c r="AJ172" s="271"/>
      <c r="AK172" s="271"/>
      <c r="AL172" s="271"/>
      <c r="AM172" s="271"/>
      <c r="AN172" s="271"/>
      <c r="AO172" s="271"/>
      <c r="AP172" s="271"/>
      <c r="AQ172" s="271"/>
      <c r="AR172" s="271"/>
      <c r="AS172" s="271"/>
      <c r="AT172" s="271"/>
    </row>
    <row r="173">
      <c r="A173" s="260"/>
      <c r="B173" s="261"/>
      <c r="C173" s="181"/>
      <c r="D173" s="262">
        <f>'FINAL COUNTDOWN'!B5</f>
        <v>0</v>
      </c>
      <c r="E173" s="20"/>
      <c r="F173" s="21"/>
      <c r="G173" s="181"/>
      <c r="H173" s="120">
        <f>'FINAL COUNTDOWN'!F5</f>
        <v>1</v>
      </c>
      <c r="I173" s="21"/>
      <c r="J173" s="181"/>
      <c r="K173" s="263">
        <v>4.0</v>
      </c>
      <c r="L173" s="21"/>
      <c r="M173" s="264"/>
      <c r="N173" s="120">
        <f>'FINAL COUNTDOWN'!L5</f>
        <v>0</v>
      </c>
      <c r="O173" s="21"/>
      <c r="P173" s="181"/>
      <c r="Q173" s="262">
        <f>'FINAL COUNTDOWN'!O5</f>
        <v>1</v>
      </c>
      <c r="R173" s="20"/>
      <c r="S173" s="21"/>
      <c r="T173" s="181"/>
      <c r="U173" s="265"/>
      <c r="V173" s="266"/>
      <c r="W173" s="267"/>
      <c r="X173" s="268"/>
      <c r="Y173" s="269"/>
      <c r="Z173" s="269"/>
      <c r="AA173" s="269"/>
      <c r="AB173" s="270"/>
      <c r="AC173" s="271"/>
      <c r="AD173" s="271"/>
      <c r="AE173" s="271"/>
      <c r="AF173" s="271"/>
      <c r="AG173" s="271"/>
      <c r="AH173" s="271"/>
      <c r="AI173" s="271"/>
      <c r="AJ173" s="271"/>
      <c r="AK173" s="271"/>
      <c r="AL173" s="271"/>
      <c r="AM173" s="271"/>
      <c r="AN173" s="271"/>
      <c r="AO173" s="271"/>
      <c r="AP173" s="271"/>
      <c r="AQ173" s="271"/>
      <c r="AR173" s="271"/>
      <c r="AS173" s="271"/>
      <c r="AT173" s="271"/>
    </row>
    <row r="174">
      <c r="A174" s="260"/>
      <c r="B174" s="261"/>
      <c r="C174" s="181"/>
      <c r="D174" s="262">
        <f>'FINAL COUNTDOWN'!B6</f>
        <v>0.5</v>
      </c>
      <c r="E174" s="20"/>
      <c r="F174" s="21"/>
      <c r="G174" s="181"/>
      <c r="H174" s="120">
        <f>'FINAL COUNTDOWN'!F6</f>
        <v>-2</v>
      </c>
      <c r="I174" s="21"/>
      <c r="J174" s="181"/>
      <c r="K174" s="263">
        <v>5.0</v>
      </c>
      <c r="L174" s="21"/>
      <c r="M174" s="264"/>
      <c r="N174" s="120">
        <f>'FINAL COUNTDOWN'!L6</f>
        <v>-2</v>
      </c>
      <c r="O174" s="21"/>
      <c r="P174" s="181"/>
      <c r="Q174" s="262">
        <f>'FINAL COUNTDOWN'!O6</f>
        <v>0.5</v>
      </c>
      <c r="R174" s="20"/>
      <c r="S174" s="21"/>
      <c r="T174" s="181"/>
      <c r="U174" s="265"/>
      <c r="V174" s="266"/>
      <c r="W174" s="267"/>
      <c r="X174" s="268"/>
      <c r="Y174" s="269"/>
      <c r="Z174" s="269"/>
      <c r="AA174" s="269"/>
      <c r="AB174" s="270"/>
      <c r="AC174" s="271"/>
      <c r="AD174" s="271"/>
      <c r="AE174" s="271"/>
      <c r="AF174" s="271"/>
      <c r="AG174" s="271"/>
      <c r="AH174" s="271"/>
      <c r="AI174" s="271"/>
      <c r="AJ174" s="271"/>
      <c r="AK174" s="271"/>
      <c r="AL174" s="271"/>
      <c r="AM174" s="271"/>
      <c r="AN174" s="271"/>
      <c r="AO174" s="271"/>
      <c r="AP174" s="271"/>
      <c r="AQ174" s="271"/>
      <c r="AR174" s="271"/>
      <c r="AS174" s="271"/>
      <c r="AT174" s="271"/>
    </row>
    <row r="175">
      <c r="A175" s="260"/>
      <c r="B175" s="261"/>
      <c r="C175" s="181"/>
      <c r="D175" s="262">
        <f>'FINAL COUNTDOWN'!B7</f>
        <v>0.5</v>
      </c>
      <c r="E175" s="20"/>
      <c r="F175" s="21"/>
      <c r="G175" s="181"/>
      <c r="H175" s="120">
        <f>'FINAL COUNTDOWN'!F7</f>
        <v>0</v>
      </c>
      <c r="I175" s="21"/>
      <c r="J175" s="181"/>
      <c r="K175" s="263">
        <v>6.0</v>
      </c>
      <c r="L175" s="21"/>
      <c r="M175" s="264"/>
      <c r="N175" s="120">
        <f>'FINAL COUNTDOWN'!L7</f>
        <v>0</v>
      </c>
      <c r="O175" s="21"/>
      <c r="P175" s="181"/>
      <c r="Q175" s="262">
        <f>'FINAL COUNTDOWN'!O7</f>
        <v>0.5</v>
      </c>
      <c r="R175" s="20"/>
      <c r="S175" s="21"/>
      <c r="T175" s="181"/>
      <c r="U175" s="265"/>
      <c r="V175" s="266"/>
      <c r="W175" s="267"/>
      <c r="X175" s="268"/>
      <c r="Y175" s="269"/>
      <c r="Z175" s="269"/>
      <c r="AA175" s="269"/>
      <c r="AB175" s="270"/>
      <c r="AC175" s="271"/>
      <c r="AD175" s="271"/>
      <c r="AE175" s="271"/>
      <c r="AF175" s="271"/>
      <c r="AG175" s="271"/>
      <c r="AH175" s="271"/>
      <c r="AI175" s="271"/>
      <c r="AJ175" s="271"/>
      <c r="AK175" s="271"/>
      <c r="AL175" s="271"/>
      <c r="AM175" s="271"/>
      <c r="AN175" s="271"/>
      <c r="AO175" s="271"/>
      <c r="AP175" s="271"/>
      <c r="AQ175" s="271"/>
      <c r="AR175" s="271"/>
      <c r="AS175" s="271"/>
      <c r="AT175" s="271"/>
    </row>
    <row r="176">
      <c r="A176" s="260"/>
      <c r="B176" s="261"/>
      <c r="C176" s="181"/>
      <c r="D176" s="262">
        <f>'FINAL COUNTDOWN'!B8</f>
        <v>0.5</v>
      </c>
      <c r="E176" s="20"/>
      <c r="F176" s="21"/>
      <c r="G176" s="181"/>
      <c r="H176" s="120">
        <f>'FINAL COUNTDOWN'!F8</f>
        <v>-2</v>
      </c>
      <c r="I176" s="21"/>
      <c r="J176" s="181"/>
      <c r="K176" s="263">
        <v>7.0</v>
      </c>
      <c r="L176" s="21"/>
      <c r="M176" s="264"/>
      <c r="N176" s="120">
        <f>'FINAL COUNTDOWN'!L8</f>
        <v>-2</v>
      </c>
      <c r="O176" s="21"/>
      <c r="P176" s="181"/>
      <c r="Q176" s="262">
        <f>'FINAL COUNTDOWN'!O8</f>
        <v>0.5</v>
      </c>
      <c r="R176" s="20"/>
      <c r="S176" s="21"/>
      <c r="T176" s="181"/>
      <c r="U176" s="265"/>
      <c r="V176" s="266"/>
      <c r="W176" s="267"/>
      <c r="X176" s="268"/>
      <c r="Y176" s="269"/>
      <c r="Z176" s="269"/>
      <c r="AA176" s="269"/>
      <c r="AB176" s="270"/>
      <c r="AC176" s="271"/>
      <c r="AD176" s="271"/>
      <c r="AE176" s="271"/>
      <c r="AF176" s="271"/>
      <c r="AG176" s="271"/>
      <c r="AH176" s="271"/>
      <c r="AI176" s="271"/>
      <c r="AJ176" s="271"/>
      <c r="AK176" s="271"/>
      <c r="AL176" s="271"/>
      <c r="AM176" s="271"/>
      <c r="AN176" s="271"/>
      <c r="AO176" s="271"/>
      <c r="AP176" s="271"/>
      <c r="AQ176" s="271"/>
      <c r="AR176" s="271"/>
      <c r="AS176" s="271"/>
      <c r="AT176" s="271"/>
    </row>
    <row r="177">
      <c r="A177" s="260"/>
      <c r="B177" s="261"/>
      <c r="C177" s="181"/>
      <c r="D177" s="262">
        <f>'FINAL COUNTDOWN'!B9</f>
        <v>0.5</v>
      </c>
      <c r="E177" s="20"/>
      <c r="F177" s="21"/>
      <c r="G177" s="181"/>
      <c r="H177" s="120">
        <f>'FINAL COUNTDOWN'!F9</f>
        <v>-2</v>
      </c>
      <c r="I177" s="21"/>
      <c r="J177" s="181"/>
      <c r="K177" s="263">
        <v>8.0</v>
      </c>
      <c r="L177" s="21"/>
      <c r="M177" s="264"/>
      <c r="N177" s="120">
        <f>'FINAL COUNTDOWN'!L9</f>
        <v>-2</v>
      </c>
      <c r="O177" s="21"/>
      <c r="P177" s="181"/>
      <c r="Q177" s="262">
        <f>'FINAL COUNTDOWN'!O9</f>
        <v>0.5</v>
      </c>
      <c r="R177" s="20"/>
      <c r="S177" s="21"/>
      <c r="T177" s="181"/>
      <c r="U177" s="265"/>
      <c r="V177" s="266"/>
      <c r="W177" s="267"/>
      <c r="X177" s="268"/>
      <c r="Y177" s="269"/>
      <c r="Z177" s="269"/>
      <c r="AA177" s="269"/>
      <c r="AB177" s="270"/>
      <c r="AC177" s="271"/>
      <c r="AD177" s="271"/>
      <c r="AE177" s="271"/>
      <c r="AF177" s="271"/>
      <c r="AG177" s="271"/>
      <c r="AH177" s="271"/>
      <c r="AI177" s="271"/>
      <c r="AJ177" s="271"/>
      <c r="AK177" s="271"/>
      <c r="AL177" s="271"/>
      <c r="AM177" s="271"/>
      <c r="AN177" s="271"/>
      <c r="AO177" s="271"/>
      <c r="AP177" s="271"/>
      <c r="AQ177" s="271"/>
      <c r="AR177" s="271"/>
      <c r="AS177" s="271"/>
      <c r="AT177" s="271"/>
    </row>
    <row r="178">
      <c r="A178" s="260"/>
      <c r="B178" s="261"/>
      <c r="C178" s="181"/>
      <c r="D178" s="262">
        <f>'FINAL COUNTDOWN'!B10</f>
        <v>0</v>
      </c>
      <c r="E178" s="20"/>
      <c r="F178" s="21"/>
      <c r="G178" s="181"/>
      <c r="H178" s="120">
        <f>'FINAL COUNTDOWN'!F10</f>
        <v>-2</v>
      </c>
      <c r="I178" s="21"/>
      <c r="J178" s="181"/>
      <c r="K178" s="263">
        <v>9.0</v>
      </c>
      <c r="L178" s="21"/>
      <c r="M178" s="264"/>
      <c r="N178" s="120">
        <f>'FINAL COUNTDOWN'!L10</f>
        <v>-4</v>
      </c>
      <c r="O178" s="21"/>
      <c r="P178" s="181"/>
      <c r="Q178" s="262">
        <f>'FINAL COUNTDOWN'!O10</f>
        <v>1</v>
      </c>
      <c r="R178" s="20"/>
      <c r="S178" s="21"/>
      <c r="T178" s="181"/>
      <c r="U178" s="265"/>
      <c r="V178" s="266"/>
      <c r="W178" s="267"/>
      <c r="X178" s="268"/>
      <c r="Y178" s="269"/>
      <c r="Z178" s="269"/>
      <c r="AA178" s="269"/>
      <c r="AB178" s="270"/>
      <c r="AC178" s="271"/>
      <c r="AD178" s="271"/>
      <c r="AE178" s="271"/>
      <c r="AF178" s="271"/>
      <c r="AG178" s="271"/>
      <c r="AH178" s="271"/>
      <c r="AI178" s="271"/>
      <c r="AJ178" s="271"/>
      <c r="AK178" s="271"/>
      <c r="AL178" s="271"/>
      <c r="AM178" s="271"/>
      <c r="AN178" s="271"/>
      <c r="AO178" s="271"/>
      <c r="AP178" s="271"/>
      <c r="AQ178" s="271"/>
      <c r="AR178" s="271"/>
      <c r="AS178" s="271"/>
      <c r="AT178" s="271"/>
    </row>
    <row r="179" ht="11.25" customHeight="1">
      <c r="A179" s="260"/>
      <c r="B179" s="261"/>
      <c r="C179" s="181"/>
      <c r="D179" s="181"/>
      <c r="E179" s="181"/>
      <c r="F179" s="181"/>
      <c r="G179" s="181"/>
      <c r="H179" s="181"/>
      <c r="I179" s="181"/>
      <c r="J179" s="181"/>
      <c r="K179" s="272"/>
      <c r="L179" s="272"/>
      <c r="M179" s="181"/>
      <c r="N179" s="181"/>
      <c r="O179" s="181"/>
      <c r="P179" s="181"/>
      <c r="Q179" s="181"/>
      <c r="R179" s="181"/>
      <c r="S179" s="181"/>
      <c r="T179" s="181"/>
      <c r="U179" s="265"/>
      <c r="V179" s="266"/>
      <c r="W179" s="267"/>
      <c r="X179" s="268"/>
      <c r="Y179" s="269"/>
      <c r="Z179" s="269"/>
      <c r="AA179" s="269"/>
      <c r="AB179" s="270"/>
      <c r="AC179" s="271"/>
      <c r="AD179" s="271"/>
      <c r="AE179" s="271"/>
      <c r="AF179" s="271"/>
      <c r="AG179" s="271"/>
      <c r="AH179" s="271"/>
      <c r="AI179" s="271"/>
      <c r="AJ179" s="271"/>
      <c r="AK179" s="271"/>
      <c r="AL179" s="271"/>
      <c r="AM179" s="271"/>
      <c r="AN179" s="271"/>
      <c r="AO179" s="271"/>
      <c r="AP179" s="271"/>
      <c r="AQ179" s="271"/>
      <c r="AR179" s="271"/>
      <c r="AS179" s="271"/>
      <c r="AT179" s="271"/>
    </row>
    <row r="180">
      <c r="A180" s="260"/>
      <c r="B180" s="261"/>
      <c r="C180" s="181"/>
      <c r="D180" s="262">
        <f>'FINAL COUNTDOWN'!B12</f>
        <v>0</v>
      </c>
      <c r="E180" s="20"/>
      <c r="F180" s="21"/>
      <c r="G180" s="181"/>
      <c r="H180" s="120">
        <f>'FINAL COUNTDOWN'!F12</f>
        <v>1</v>
      </c>
      <c r="I180" s="21"/>
      <c r="J180" s="181"/>
      <c r="K180" s="263">
        <v>10.0</v>
      </c>
      <c r="L180" s="21"/>
      <c r="M180" s="264"/>
      <c r="N180" s="120">
        <f>'FINAL COUNTDOWN'!L12</f>
        <v>-1</v>
      </c>
      <c r="O180" s="21"/>
      <c r="P180" s="181"/>
      <c r="Q180" s="262">
        <f>'FINAL COUNTDOWN'!O12</f>
        <v>2</v>
      </c>
      <c r="R180" s="20"/>
      <c r="S180" s="21"/>
      <c r="T180" s="181"/>
      <c r="U180" s="265"/>
      <c r="V180" s="266"/>
      <c r="W180" s="267"/>
      <c r="X180" s="268"/>
      <c r="Y180" s="269"/>
      <c r="Z180" s="269"/>
      <c r="AA180" s="269"/>
      <c r="AB180" s="270"/>
      <c r="AC180" s="271"/>
      <c r="AD180" s="271"/>
      <c r="AE180" s="271"/>
      <c r="AF180" s="271"/>
      <c r="AG180" s="271"/>
      <c r="AH180" s="271"/>
      <c r="AI180" s="271"/>
      <c r="AJ180" s="271"/>
      <c r="AK180" s="271"/>
      <c r="AL180" s="271"/>
      <c r="AM180" s="271"/>
      <c r="AN180" s="271"/>
      <c r="AO180" s="271"/>
      <c r="AP180" s="271"/>
      <c r="AQ180" s="271"/>
      <c r="AR180" s="271"/>
      <c r="AS180" s="271"/>
      <c r="AT180" s="271"/>
    </row>
    <row r="181">
      <c r="A181" s="260"/>
      <c r="B181" s="261"/>
      <c r="C181" s="181"/>
      <c r="D181" s="262">
        <f>'FINAL COUNTDOWN'!B13</f>
        <v>2</v>
      </c>
      <c r="E181" s="20"/>
      <c r="F181" s="21"/>
      <c r="G181" s="181"/>
      <c r="H181" s="120">
        <f>'FINAL COUNTDOWN'!F13</f>
        <v>-2</v>
      </c>
      <c r="I181" s="21"/>
      <c r="J181" s="181"/>
      <c r="K181" s="263">
        <v>11.0</v>
      </c>
      <c r="L181" s="21"/>
      <c r="M181" s="264"/>
      <c r="N181" s="120">
        <f>'FINAL COUNTDOWN'!L13</f>
        <v>1</v>
      </c>
      <c r="O181" s="21"/>
      <c r="P181" s="181"/>
      <c r="Q181" s="262">
        <f>'FINAL COUNTDOWN'!O13</f>
        <v>0</v>
      </c>
      <c r="R181" s="20"/>
      <c r="S181" s="21"/>
      <c r="T181" s="181"/>
      <c r="U181" s="265"/>
      <c r="V181" s="266"/>
      <c r="W181" s="267"/>
      <c r="X181" s="268"/>
      <c r="Y181" s="269"/>
      <c r="Z181" s="269"/>
      <c r="AA181" s="269"/>
      <c r="AB181" s="270"/>
      <c r="AC181" s="271"/>
      <c r="AD181" s="271"/>
      <c r="AE181" s="271"/>
      <c r="AF181" s="271"/>
      <c r="AG181" s="271"/>
      <c r="AH181" s="271"/>
      <c r="AI181" s="271"/>
      <c r="AJ181" s="271"/>
      <c r="AK181" s="271"/>
      <c r="AL181" s="271"/>
      <c r="AM181" s="271"/>
      <c r="AN181" s="271"/>
      <c r="AO181" s="271"/>
      <c r="AP181" s="271"/>
      <c r="AQ181" s="271"/>
      <c r="AR181" s="271"/>
      <c r="AS181" s="271"/>
      <c r="AT181" s="271"/>
    </row>
    <row r="182">
      <c r="A182" s="260"/>
      <c r="B182" s="261"/>
      <c r="C182" s="181"/>
      <c r="D182" s="262">
        <f>'FINAL COUNTDOWN'!B14</f>
        <v>1</v>
      </c>
      <c r="E182" s="20"/>
      <c r="F182" s="21"/>
      <c r="G182" s="181"/>
      <c r="H182" s="120">
        <f>'FINAL COUNTDOWN'!F14</f>
        <v>-1</v>
      </c>
      <c r="I182" s="21"/>
      <c r="J182" s="181"/>
      <c r="K182" s="263">
        <v>12.0</v>
      </c>
      <c r="L182" s="21"/>
      <c r="M182" s="264"/>
      <c r="N182" s="120">
        <f>'FINAL COUNTDOWN'!L14</f>
        <v>-1</v>
      </c>
      <c r="O182" s="21"/>
      <c r="P182" s="181"/>
      <c r="Q182" s="262">
        <f>'FINAL COUNTDOWN'!O14</f>
        <v>1</v>
      </c>
      <c r="R182" s="20"/>
      <c r="S182" s="21"/>
      <c r="T182" s="181"/>
      <c r="U182" s="265"/>
      <c r="V182" s="266"/>
      <c r="W182" s="267"/>
      <c r="X182" s="268"/>
      <c r="Y182" s="269"/>
      <c r="Z182" s="269"/>
      <c r="AA182" s="269"/>
      <c r="AB182" s="270"/>
      <c r="AC182" s="271"/>
      <c r="AD182" s="271"/>
      <c r="AE182" s="271"/>
      <c r="AF182" s="271"/>
      <c r="AG182" s="271"/>
      <c r="AH182" s="271"/>
      <c r="AI182" s="271"/>
      <c r="AJ182" s="271"/>
      <c r="AK182" s="271"/>
      <c r="AL182" s="271"/>
      <c r="AM182" s="271"/>
      <c r="AN182" s="271"/>
      <c r="AO182" s="271"/>
      <c r="AP182" s="271"/>
      <c r="AQ182" s="271"/>
      <c r="AR182" s="271"/>
      <c r="AS182" s="271"/>
      <c r="AT182" s="271"/>
    </row>
    <row r="183" ht="15.0" customHeight="1">
      <c r="A183" s="260"/>
      <c r="B183" s="261"/>
      <c r="C183" s="181"/>
      <c r="D183" s="262">
        <f>'FINAL COUNTDOWN'!B15</f>
        <v>0</v>
      </c>
      <c r="E183" s="20"/>
      <c r="F183" s="21"/>
      <c r="G183" s="181"/>
      <c r="H183" s="120">
        <f>'FINAL COUNTDOWN'!F15</f>
        <v>2</v>
      </c>
      <c r="I183" s="21"/>
      <c r="J183" s="181"/>
      <c r="K183" s="263">
        <v>13.0</v>
      </c>
      <c r="L183" s="21"/>
      <c r="M183" s="264"/>
      <c r="N183" s="120">
        <f>'FINAL COUNTDOWN'!L15</f>
        <v>1</v>
      </c>
      <c r="O183" s="21"/>
      <c r="P183" s="181"/>
      <c r="Q183" s="262">
        <f>'FINAL COUNTDOWN'!O15</f>
        <v>2</v>
      </c>
      <c r="R183" s="20"/>
      <c r="S183" s="21"/>
      <c r="T183" s="181"/>
      <c r="U183" s="265"/>
      <c r="V183" s="266"/>
      <c r="W183" s="267"/>
      <c r="X183" s="268"/>
      <c r="Y183" s="269"/>
      <c r="Z183" s="269"/>
      <c r="AA183" s="269"/>
      <c r="AB183" s="270"/>
      <c r="AC183" s="271"/>
      <c r="AD183" s="271"/>
      <c r="AE183" s="271"/>
      <c r="AF183" s="271"/>
      <c r="AG183" s="271"/>
      <c r="AH183" s="271"/>
      <c r="AI183" s="271"/>
      <c r="AJ183" s="271"/>
      <c r="AK183" s="271"/>
      <c r="AL183" s="271"/>
      <c r="AM183" s="271"/>
      <c r="AN183" s="271"/>
      <c r="AO183" s="271"/>
      <c r="AP183" s="271"/>
      <c r="AQ183" s="271"/>
      <c r="AR183" s="271"/>
      <c r="AS183" s="271"/>
      <c r="AT183" s="271"/>
    </row>
    <row r="184">
      <c r="A184" s="260"/>
      <c r="B184" s="261"/>
      <c r="C184" s="181"/>
      <c r="D184" s="262">
        <f>'FINAL COUNTDOWN'!B16</f>
        <v>2</v>
      </c>
      <c r="E184" s="20"/>
      <c r="F184" s="21"/>
      <c r="G184" s="181"/>
      <c r="H184" s="120">
        <f>'FINAL COUNTDOWN'!F16</f>
        <v>-6</v>
      </c>
      <c r="I184" s="21"/>
      <c r="J184" s="181"/>
      <c r="K184" s="263">
        <v>14.0</v>
      </c>
      <c r="L184" s="21"/>
      <c r="M184" s="264"/>
      <c r="N184" s="120">
        <f>'FINAL COUNTDOWN'!L16</f>
        <v>-3</v>
      </c>
      <c r="O184" s="21"/>
      <c r="P184" s="181"/>
      <c r="Q184" s="262">
        <f>'FINAL COUNTDOWN'!O16</f>
        <v>0</v>
      </c>
      <c r="R184" s="20"/>
      <c r="S184" s="21"/>
      <c r="T184" s="181"/>
      <c r="U184" s="265"/>
      <c r="V184" s="266"/>
      <c r="W184" s="267"/>
      <c r="X184" s="268"/>
      <c r="Y184" s="269"/>
      <c r="Z184" s="269"/>
      <c r="AA184" s="269"/>
      <c r="AB184" s="270"/>
      <c r="AC184" s="271"/>
      <c r="AD184" s="271"/>
      <c r="AE184" s="271"/>
      <c r="AF184" s="271"/>
      <c r="AG184" s="271"/>
      <c r="AH184" s="271"/>
      <c r="AI184" s="271"/>
      <c r="AJ184" s="271"/>
      <c r="AK184" s="271"/>
      <c r="AL184" s="271"/>
      <c r="AM184" s="271"/>
      <c r="AN184" s="271"/>
      <c r="AO184" s="271"/>
      <c r="AP184" s="271"/>
      <c r="AQ184" s="271"/>
      <c r="AR184" s="271"/>
      <c r="AS184" s="271"/>
      <c r="AT184" s="271"/>
    </row>
    <row r="185">
      <c r="A185" s="260"/>
      <c r="B185" s="261"/>
      <c r="C185" s="181"/>
      <c r="D185" s="262">
        <f>'FINAL COUNTDOWN'!B17</f>
        <v>2</v>
      </c>
      <c r="E185" s="20"/>
      <c r="F185" s="21"/>
      <c r="G185" s="181"/>
      <c r="H185" s="120">
        <f>'FINAL COUNTDOWN'!F17</f>
        <v>-3</v>
      </c>
      <c r="I185" s="21"/>
      <c r="J185" s="181"/>
      <c r="K185" s="263">
        <v>15.0</v>
      </c>
      <c r="L185" s="21"/>
      <c r="M185" s="264"/>
      <c r="N185" s="120">
        <f>'FINAL COUNTDOWN'!L17</f>
        <v>-1</v>
      </c>
      <c r="O185" s="21"/>
      <c r="P185" s="181"/>
      <c r="Q185" s="262">
        <f>'FINAL COUNTDOWN'!O17</f>
        <v>0</v>
      </c>
      <c r="R185" s="20"/>
      <c r="S185" s="21"/>
      <c r="T185" s="181"/>
      <c r="U185" s="265"/>
      <c r="V185" s="266"/>
      <c r="W185" s="267"/>
      <c r="X185" s="268"/>
      <c r="Y185" s="269"/>
      <c r="Z185" s="269"/>
      <c r="AA185" s="269"/>
      <c r="AB185" s="270"/>
      <c r="AC185" s="271"/>
      <c r="AD185" s="271"/>
      <c r="AE185" s="271"/>
      <c r="AF185" s="271"/>
      <c r="AG185" s="271"/>
      <c r="AH185" s="271"/>
      <c r="AI185" s="271"/>
      <c r="AJ185" s="271"/>
      <c r="AK185" s="271"/>
      <c r="AL185" s="271"/>
      <c r="AM185" s="271"/>
      <c r="AN185" s="271"/>
      <c r="AO185" s="271"/>
      <c r="AP185" s="271"/>
      <c r="AQ185" s="271"/>
      <c r="AR185" s="271"/>
      <c r="AS185" s="271"/>
      <c r="AT185" s="271"/>
    </row>
    <row r="186">
      <c r="A186" s="260"/>
      <c r="B186" s="261"/>
      <c r="C186" s="181"/>
      <c r="D186" s="262">
        <f>'FINAL COUNTDOWN'!B18</f>
        <v>0</v>
      </c>
      <c r="E186" s="20"/>
      <c r="F186" s="21"/>
      <c r="G186" s="181"/>
      <c r="H186" s="120">
        <f>'FINAL COUNTDOWN'!F18</f>
        <v>2</v>
      </c>
      <c r="I186" s="21"/>
      <c r="J186" s="181"/>
      <c r="K186" s="263">
        <v>16.0</v>
      </c>
      <c r="L186" s="21"/>
      <c r="M186" s="264"/>
      <c r="N186" s="120">
        <f>'FINAL COUNTDOWN'!L18</f>
        <v>1</v>
      </c>
      <c r="O186" s="21"/>
      <c r="P186" s="181"/>
      <c r="Q186" s="262">
        <f>'FINAL COUNTDOWN'!O18</f>
        <v>2</v>
      </c>
      <c r="R186" s="20"/>
      <c r="S186" s="21"/>
      <c r="T186" s="181"/>
      <c r="U186" s="265"/>
      <c r="V186" s="266"/>
      <c r="W186" s="267"/>
      <c r="X186" s="268"/>
      <c r="Y186" s="269"/>
      <c r="Z186" s="269"/>
      <c r="AA186" s="269"/>
      <c r="AB186" s="270"/>
      <c r="AC186" s="271"/>
      <c r="AD186" s="271"/>
      <c r="AE186" s="271"/>
      <c r="AF186" s="271"/>
      <c r="AG186" s="271"/>
      <c r="AH186" s="271"/>
      <c r="AI186" s="271"/>
      <c r="AJ186" s="271"/>
      <c r="AK186" s="271"/>
      <c r="AL186" s="271"/>
      <c r="AM186" s="271"/>
      <c r="AN186" s="271"/>
      <c r="AO186" s="271"/>
      <c r="AP186" s="271"/>
      <c r="AQ186" s="271"/>
      <c r="AR186" s="271"/>
      <c r="AS186" s="271"/>
      <c r="AT186" s="271"/>
    </row>
    <row r="187">
      <c r="A187" s="260"/>
      <c r="B187" s="261"/>
      <c r="C187" s="181"/>
      <c r="D187" s="262">
        <f>'FINAL COUNTDOWN'!B19</f>
        <v>0</v>
      </c>
      <c r="E187" s="20"/>
      <c r="F187" s="21"/>
      <c r="G187" s="181"/>
      <c r="H187" s="120">
        <f>'FINAL COUNTDOWN'!F19</f>
        <v>-1</v>
      </c>
      <c r="I187" s="21"/>
      <c r="J187" s="181"/>
      <c r="K187" s="263">
        <v>17.0</v>
      </c>
      <c r="L187" s="21"/>
      <c r="M187" s="264"/>
      <c r="N187" s="120">
        <f>'FINAL COUNTDOWN'!L19</f>
        <v>-4</v>
      </c>
      <c r="O187" s="21"/>
      <c r="P187" s="181"/>
      <c r="Q187" s="262">
        <f>'FINAL COUNTDOWN'!O19</f>
        <v>2</v>
      </c>
      <c r="R187" s="20"/>
      <c r="S187" s="21"/>
      <c r="T187" s="181"/>
      <c r="U187" s="265"/>
      <c r="V187" s="266"/>
      <c r="W187" s="267"/>
      <c r="X187" s="268"/>
      <c r="Y187" s="269"/>
      <c r="Z187" s="269"/>
      <c r="AA187" s="269"/>
      <c r="AB187" s="270"/>
      <c r="AC187" s="271"/>
      <c r="AD187" s="271"/>
      <c r="AE187" s="271"/>
      <c r="AF187" s="271"/>
      <c r="AG187" s="271"/>
      <c r="AH187" s="271"/>
      <c r="AI187" s="271"/>
      <c r="AJ187" s="271"/>
      <c r="AK187" s="271"/>
      <c r="AL187" s="271"/>
      <c r="AM187" s="271"/>
      <c r="AN187" s="271"/>
      <c r="AO187" s="271"/>
      <c r="AP187" s="271"/>
      <c r="AQ187" s="271"/>
      <c r="AR187" s="271"/>
      <c r="AS187" s="271"/>
      <c r="AT187" s="271"/>
    </row>
    <row r="188">
      <c r="A188" s="260"/>
      <c r="B188" s="261"/>
      <c r="C188" s="181"/>
      <c r="D188" s="262">
        <f>'FINAL COUNTDOWN'!B20</f>
        <v>0</v>
      </c>
      <c r="E188" s="20"/>
      <c r="F188" s="21"/>
      <c r="G188" s="181"/>
      <c r="H188" s="120">
        <f>'FINAL COUNTDOWN'!F20</f>
        <v>1</v>
      </c>
      <c r="I188" s="21"/>
      <c r="J188" s="181"/>
      <c r="K188" s="263">
        <v>18.0</v>
      </c>
      <c r="L188" s="21"/>
      <c r="M188" s="264"/>
      <c r="N188" s="120">
        <f>'FINAL COUNTDOWN'!L20</f>
        <v>0</v>
      </c>
      <c r="O188" s="21"/>
      <c r="P188" s="181"/>
      <c r="Q188" s="262">
        <f>'FINAL COUNTDOWN'!O20</f>
        <v>2</v>
      </c>
      <c r="R188" s="20"/>
      <c r="S188" s="21"/>
      <c r="T188" s="181"/>
      <c r="U188" s="265"/>
      <c r="V188" s="266"/>
      <c r="W188" s="267"/>
      <c r="X188" s="268"/>
      <c r="Y188" s="269"/>
      <c r="Z188" s="269"/>
      <c r="AA188" s="269"/>
      <c r="AB188" s="270"/>
      <c r="AC188" s="271"/>
      <c r="AD188" s="271"/>
      <c r="AE188" s="271"/>
      <c r="AF188" s="271"/>
      <c r="AG188" s="271"/>
      <c r="AH188" s="271"/>
      <c r="AI188" s="271"/>
      <c r="AJ188" s="271"/>
      <c r="AK188" s="271"/>
      <c r="AL188" s="271"/>
      <c r="AM188" s="271"/>
      <c r="AN188" s="271"/>
      <c r="AO188" s="271"/>
      <c r="AP188" s="271"/>
      <c r="AQ188" s="271"/>
      <c r="AR188" s="271"/>
      <c r="AS188" s="271"/>
      <c r="AT188" s="271"/>
    </row>
    <row r="189">
      <c r="A189" s="273"/>
      <c r="B189" s="274"/>
      <c r="C189" s="275"/>
      <c r="D189" s="276" t="s">
        <v>16</v>
      </c>
      <c r="G189" s="276" t="s">
        <v>50</v>
      </c>
      <c r="K189" s="277"/>
      <c r="M189" s="278" t="s">
        <v>50</v>
      </c>
      <c r="Q189" s="278" t="s">
        <v>16</v>
      </c>
      <c r="T189" s="275"/>
      <c r="U189" s="279"/>
      <c r="V189" s="193"/>
      <c r="W189" s="255"/>
      <c r="X189" s="256"/>
      <c r="Y189" s="257"/>
      <c r="Z189" s="257"/>
      <c r="AA189" s="257"/>
      <c r="AB189" s="258"/>
      <c r="AC189" s="259"/>
      <c r="AD189" s="259"/>
      <c r="AE189" s="259"/>
      <c r="AF189" s="259"/>
      <c r="AG189" s="259"/>
      <c r="AH189" s="259"/>
      <c r="AI189" s="259"/>
      <c r="AJ189" s="259"/>
      <c r="AK189" s="259"/>
      <c r="AL189" s="259"/>
      <c r="AM189" s="259"/>
      <c r="AN189" s="259"/>
      <c r="AO189" s="259"/>
      <c r="AP189" s="259"/>
      <c r="AQ189" s="259"/>
      <c r="AR189" s="259"/>
      <c r="AS189" s="259"/>
      <c r="AT189" s="259"/>
    </row>
    <row r="190">
      <c r="A190" s="260"/>
      <c r="B190" s="261"/>
      <c r="C190" s="181"/>
      <c r="D190" s="262">
        <f>sum(D170:D188)</f>
        <v>10.5</v>
      </c>
      <c r="E190" s="20"/>
      <c r="F190" s="21"/>
      <c r="G190" s="181"/>
      <c r="H190" s="120">
        <f>sum(H170:I188)</f>
        <v>-14</v>
      </c>
      <c r="I190" s="21"/>
      <c r="J190" s="280" t="s">
        <v>52</v>
      </c>
      <c r="N190" s="120">
        <f>sum(N170:O188)</f>
        <v>-18</v>
      </c>
      <c r="O190" s="21"/>
      <c r="P190" s="181"/>
      <c r="Q190" s="262">
        <f>sum(Q170:Q188)</f>
        <v>16.5</v>
      </c>
      <c r="R190" s="20"/>
      <c r="S190" s="21"/>
      <c r="T190" s="181"/>
      <c r="U190" s="265"/>
      <c r="V190" s="266"/>
      <c r="W190" s="267"/>
      <c r="X190" s="268"/>
      <c r="Y190" s="269"/>
      <c r="Z190" s="269"/>
      <c r="AA190" s="269"/>
      <c r="AB190" s="270"/>
      <c r="AC190" s="271"/>
      <c r="AD190" s="271"/>
      <c r="AE190" s="271"/>
      <c r="AF190" s="271"/>
      <c r="AG190" s="271"/>
      <c r="AH190" s="271"/>
      <c r="AI190" s="271"/>
      <c r="AJ190" s="271"/>
      <c r="AK190" s="271"/>
      <c r="AL190" s="271"/>
      <c r="AM190" s="271"/>
      <c r="AN190" s="271"/>
      <c r="AO190" s="271"/>
      <c r="AP190" s="271"/>
      <c r="AQ190" s="271"/>
      <c r="AR190" s="271"/>
      <c r="AS190" s="271"/>
      <c r="AT190" s="271"/>
    </row>
    <row r="191" ht="11.25" customHeight="1">
      <c r="A191" s="260"/>
      <c r="B191" s="261"/>
      <c r="C191" s="281"/>
      <c r="D191" s="181"/>
      <c r="E191" s="181"/>
      <c r="F191" s="281"/>
      <c r="G191" s="281"/>
      <c r="H191" s="181"/>
      <c r="I191" s="282"/>
      <c r="J191" s="280"/>
      <c r="K191" s="280"/>
      <c r="L191" s="280"/>
      <c r="M191" s="280"/>
      <c r="N191" s="282"/>
      <c r="O191" s="281"/>
      <c r="P191" s="281"/>
      <c r="Q191" s="281"/>
      <c r="R191" s="281"/>
      <c r="S191" s="281"/>
      <c r="T191" s="281"/>
      <c r="U191" s="265"/>
      <c r="V191" s="266"/>
      <c r="W191" s="267"/>
      <c r="X191" s="268"/>
      <c r="Y191" s="269"/>
      <c r="Z191" s="269"/>
      <c r="AA191" s="269"/>
      <c r="AB191" s="270"/>
      <c r="AC191" s="271"/>
      <c r="AD191" s="271"/>
      <c r="AE191" s="271"/>
      <c r="AF191" s="271"/>
      <c r="AG191" s="271"/>
      <c r="AH191" s="271"/>
      <c r="AI191" s="271"/>
      <c r="AJ191" s="271"/>
      <c r="AK191" s="271"/>
      <c r="AL191" s="271"/>
      <c r="AM191" s="271"/>
      <c r="AN191" s="271"/>
      <c r="AO191" s="271"/>
      <c r="AP191" s="271"/>
      <c r="AQ191" s="271"/>
      <c r="AR191" s="271"/>
      <c r="AS191" s="271"/>
      <c r="AT191" s="271"/>
    </row>
    <row r="192">
      <c r="A192" s="283"/>
      <c r="B192" s="261"/>
      <c r="C192" s="281"/>
      <c r="D192" s="262" t="str">
        <f>'FINAL COUNTDOWN'!B24</f>
        <v/>
      </c>
      <c r="E192" s="20"/>
      <c r="F192" s="21"/>
      <c r="G192" s="181"/>
      <c r="H192" s="280" t="s">
        <v>53</v>
      </c>
      <c r="P192" s="181"/>
      <c r="Q192" s="262" t="str">
        <f>'FINAL COUNTDOWN'!O24</f>
        <v/>
      </c>
      <c r="R192" s="20"/>
      <c r="S192" s="21"/>
      <c r="T192" s="281"/>
      <c r="U192" s="265"/>
      <c r="V192" s="284"/>
      <c r="W192" s="267"/>
      <c r="X192" s="268"/>
      <c r="Y192" s="269"/>
      <c r="Z192" s="269"/>
      <c r="AA192" s="269"/>
      <c r="AB192" s="270"/>
      <c r="AC192" s="271"/>
      <c r="AD192" s="271"/>
      <c r="AE192" s="271"/>
      <c r="AF192" s="271"/>
      <c r="AG192" s="271"/>
      <c r="AH192" s="271"/>
      <c r="AI192" s="271"/>
      <c r="AJ192" s="271"/>
      <c r="AK192" s="271"/>
      <c r="AL192" s="271"/>
      <c r="AM192" s="271"/>
      <c r="AN192" s="271"/>
      <c r="AO192" s="271"/>
      <c r="AP192" s="271"/>
      <c r="AQ192" s="271"/>
      <c r="AR192" s="271"/>
      <c r="AS192" s="271"/>
      <c r="AT192" s="271"/>
    </row>
    <row r="193" ht="11.25" customHeight="1">
      <c r="A193" s="285"/>
      <c r="B193" s="286"/>
      <c r="C193" s="287"/>
      <c r="D193" s="287"/>
      <c r="E193" s="287"/>
      <c r="F193" s="287"/>
      <c r="G193" s="288"/>
      <c r="H193" s="288"/>
      <c r="I193" s="289"/>
      <c r="J193" s="289"/>
      <c r="K193" s="289"/>
      <c r="L193" s="289"/>
      <c r="M193" s="289"/>
      <c r="N193" s="289"/>
      <c r="O193" s="288"/>
      <c r="P193" s="288"/>
      <c r="Q193" s="287"/>
      <c r="R193" s="287"/>
      <c r="S193" s="287"/>
      <c r="T193" s="287"/>
      <c r="U193" s="290"/>
      <c r="V193" s="197"/>
      <c r="W193" s="146"/>
      <c r="X193" s="291"/>
      <c r="Y193" s="146"/>
      <c r="Z193" s="146"/>
      <c r="AA193" s="146"/>
      <c r="AB193" s="146"/>
      <c r="AC193" s="146"/>
      <c r="AD193" s="146"/>
      <c r="AE193" s="146"/>
      <c r="AF193" s="146"/>
      <c r="AG193" s="146"/>
      <c r="AH193" s="146"/>
      <c r="AI193" s="146"/>
      <c r="AJ193" s="146"/>
      <c r="AK193" s="146"/>
      <c r="AL193" s="146"/>
      <c r="AM193" s="146"/>
      <c r="AN193" s="146"/>
      <c r="AO193" s="146"/>
      <c r="AP193" s="146"/>
      <c r="AQ193" s="146"/>
      <c r="AR193" s="146"/>
      <c r="AS193" s="146"/>
      <c r="AT193" s="146"/>
    </row>
    <row r="194">
      <c r="A194" s="285"/>
      <c r="B194" s="195"/>
      <c r="C194" s="292"/>
      <c r="D194" s="4"/>
      <c r="E194" s="4"/>
      <c r="F194" s="292"/>
      <c r="G194" s="292"/>
      <c r="H194" s="4"/>
      <c r="I194" s="293"/>
      <c r="J194" s="293"/>
      <c r="K194" s="293"/>
      <c r="L194" s="293"/>
      <c r="M194" s="293"/>
      <c r="N194" s="293"/>
      <c r="O194" s="292"/>
      <c r="P194" s="292"/>
      <c r="Q194" s="292"/>
      <c r="R194" s="292"/>
      <c r="S194" s="292"/>
      <c r="T194" s="292"/>
      <c r="U194" s="197"/>
      <c r="V194" s="197"/>
      <c r="W194" s="155"/>
      <c r="X194" s="294"/>
      <c r="Y194" s="155"/>
      <c r="Z194" s="155"/>
      <c r="AA194" s="155"/>
      <c r="AB194" s="155"/>
      <c r="AC194" s="155"/>
      <c r="AD194" s="155"/>
      <c r="AE194" s="155"/>
      <c r="AF194" s="155"/>
      <c r="AG194" s="155"/>
      <c r="AH194" s="155"/>
      <c r="AI194" s="155"/>
      <c r="AJ194" s="155"/>
      <c r="AK194" s="155"/>
      <c r="AL194" s="155"/>
      <c r="AM194" s="155"/>
      <c r="AN194" s="155"/>
      <c r="AO194" s="155"/>
      <c r="AP194" s="155"/>
      <c r="AQ194" s="155"/>
      <c r="AR194" s="155"/>
      <c r="AS194" s="155"/>
      <c r="AT194" s="155"/>
    </row>
  </sheetData>
  <mergeCells count="368">
    <mergeCell ref="D120:F120"/>
    <mergeCell ref="C129:G129"/>
    <mergeCell ref="C107:G107"/>
    <mergeCell ref="C108:G109"/>
    <mergeCell ref="D110:F110"/>
    <mergeCell ref="D111:F111"/>
    <mergeCell ref="C116:G116"/>
    <mergeCell ref="C117:G118"/>
    <mergeCell ref="D119:F119"/>
    <mergeCell ref="D141:F141"/>
    <mergeCell ref="D142:F142"/>
    <mergeCell ref="C130:G130"/>
    <mergeCell ref="C131:G131"/>
    <mergeCell ref="D132:F132"/>
    <mergeCell ref="D133:F133"/>
    <mergeCell ref="C138:G138"/>
    <mergeCell ref="C139:G139"/>
    <mergeCell ref="C140:G140"/>
    <mergeCell ref="C156:G156"/>
    <mergeCell ref="C157:G157"/>
    <mergeCell ref="A138:A145"/>
    <mergeCell ref="A147:A154"/>
    <mergeCell ref="C147:G147"/>
    <mergeCell ref="C148:G148"/>
    <mergeCell ref="C149:G149"/>
    <mergeCell ref="D150:F150"/>
    <mergeCell ref="D151:F151"/>
    <mergeCell ref="C14:G14"/>
    <mergeCell ref="C15:G15"/>
    <mergeCell ref="C13:G13"/>
    <mergeCell ref="D16:F16"/>
    <mergeCell ref="C22:G22"/>
    <mergeCell ref="C23:G23"/>
    <mergeCell ref="C24:G24"/>
    <mergeCell ref="D25:F25"/>
    <mergeCell ref="D26:F26"/>
    <mergeCell ref="C53:G53"/>
    <mergeCell ref="C54:G55"/>
    <mergeCell ref="A40:A47"/>
    <mergeCell ref="C40:G40"/>
    <mergeCell ref="C41:G41"/>
    <mergeCell ref="C42:G42"/>
    <mergeCell ref="D43:F43"/>
    <mergeCell ref="D44:F44"/>
    <mergeCell ref="A53:A60"/>
    <mergeCell ref="A62:A69"/>
    <mergeCell ref="C62:G62"/>
    <mergeCell ref="C63:G64"/>
    <mergeCell ref="D65:F65"/>
    <mergeCell ref="D66:F66"/>
    <mergeCell ref="C71:G71"/>
    <mergeCell ref="D75:F75"/>
    <mergeCell ref="A71:A78"/>
    <mergeCell ref="A80:A87"/>
    <mergeCell ref="A89:A96"/>
    <mergeCell ref="A98:A105"/>
    <mergeCell ref="A107:A114"/>
    <mergeCell ref="A116:A123"/>
    <mergeCell ref="A129:A136"/>
    <mergeCell ref="A156:A163"/>
    <mergeCell ref="C158:G158"/>
    <mergeCell ref="D159:F159"/>
    <mergeCell ref="D160:F160"/>
    <mergeCell ref="D56:F56"/>
    <mergeCell ref="D57:F57"/>
    <mergeCell ref="D93:F93"/>
    <mergeCell ref="C98:G98"/>
    <mergeCell ref="C99:G100"/>
    <mergeCell ref="D101:F101"/>
    <mergeCell ref="D102:F102"/>
    <mergeCell ref="N169:O169"/>
    <mergeCell ref="Q169:S169"/>
    <mergeCell ref="K170:L170"/>
    <mergeCell ref="N170:O170"/>
    <mergeCell ref="J160:M160"/>
    <mergeCell ref="B166:K166"/>
    <mergeCell ref="L166:U166"/>
    <mergeCell ref="B167:U167"/>
    <mergeCell ref="D169:F169"/>
    <mergeCell ref="K169:L169"/>
    <mergeCell ref="D170:F170"/>
    <mergeCell ref="Q170:S170"/>
    <mergeCell ref="I108:K108"/>
    <mergeCell ref="L108:N108"/>
    <mergeCell ref="P108:T109"/>
    <mergeCell ref="I109:K109"/>
    <mergeCell ref="L109:N109"/>
    <mergeCell ref="J110:M110"/>
    <mergeCell ref="J111:M111"/>
    <mergeCell ref="Q110:S110"/>
    <mergeCell ref="Q111:S111"/>
    <mergeCell ref="B126:K126"/>
    <mergeCell ref="L126:U126"/>
    <mergeCell ref="B127:U127"/>
    <mergeCell ref="M130:O130"/>
    <mergeCell ref="P130:T130"/>
    <mergeCell ref="H130:J130"/>
    <mergeCell ref="M131:O131"/>
    <mergeCell ref="P131:T131"/>
    <mergeCell ref="J132:M132"/>
    <mergeCell ref="Q132:S132"/>
    <mergeCell ref="J133:M133"/>
    <mergeCell ref="Q133:S133"/>
    <mergeCell ref="P140:T140"/>
    <mergeCell ref="Q141:S141"/>
    <mergeCell ref="H131:J131"/>
    <mergeCell ref="H139:J139"/>
    <mergeCell ref="M139:O139"/>
    <mergeCell ref="P139:T139"/>
    <mergeCell ref="H140:J140"/>
    <mergeCell ref="M140:O140"/>
    <mergeCell ref="J141:M141"/>
    <mergeCell ref="J142:M142"/>
    <mergeCell ref="Q142:S142"/>
    <mergeCell ref="H148:J148"/>
    <mergeCell ref="M148:O148"/>
    <mergeCell ref="P148:T148"/>
    <mergeCell ref="H149:J149"/>
    <mergeCell ref="P149:T149"/>
    <mergeCell ref="H171:I171"/>
    <mergeCell ref="H172:I172"/>
    <mergeCell ref="H182:I182"/>
    <mergeCell ref="H183:I183"/>
    <mergeCell ref="H174:I174"/>
    <mergeCell ref="H175:I175"/>
    <mergeCell ref="H176:I176"/>
    <mergeCell ref="H177:I177"/>
    <mergeCell ref="H178:I178"/>
    <mergeCell ref="H180:I180"/>
    <mergeCell ref="H181:I181"/>
    <mergeCell ref="N183:O183"/>
    <mergeCell ref="N184:O184"/>
    <mergeCell ref="N190:O190"/>
    <mergeCell ref="N175:O175"/>
    <mergeCell ref="N176:O176"/>
    <mergeCell ref="N177:O177"/>
    <mergeCell ref="N178:O178"/>
    <mergeCell ref="N180:O180"/>
    <mergeCell ref="N181:O181"/>
    <mergeCell ref="N182:O182"/>
    <mergeCell ref="Q184:S184"/>
    <mergeCell ref="Q185:S185"/>
    <mergeCell ref="Q190:S190"/>
    <mergeCell ref="Q192:S192"/>
    <mergeCell ref="Q176:S176"/>
    <mergeCell ref="Q177:S177"/>
    <mergeCell ref="Q178:S178"/>
    <mergeCell ref="Q180:S180"/>
    <mergeCell ref="Q181:S181"/>
    <mergeCell ref="Q182:S182"/>
    <mergeCell ref="Q183:S183"/>
    <mergeCell ref="D183:F183"/>
    <mergeCell ref="D184:F184"/>
    <mergeCell ref="H184:I184"/>
    <mergeCell ref="D185:F185"/>
    <mergeCell ref="H185:I185"/>
    <mergeCell ref="D186:F186"/>
    <mergeCell ref="D187:F187"/>
    <mergeCell ref="D190:F190"/>
    <mergeCell ref="D192:F192"/>
    <mergeCell ref="H192:O192"/>
    <mergeCell ref="D188:F188"/>
    <mergeCell ref="H188:I188"/>
    <mergeCell ref="D189:F189"/>
    <mergeCell ref="G189:J189"/>
    <mergeCell ref="K189:L189"/>
    <mergeCell ref="H190:I190"/>
    <mergeCell ref="J190:M190"/>
    <mergeCell ref="H169:I169"/>
    <mergeCell ref="H170:I170"/>
    <mergeCell ref="D171:F171"/>
    <mergeCell ref="K171:L171"/>
    <mergeCell ref="Q171:S171"/>
    <mergeCell ref="K172:L172"/>
    <mergeCell ref="Q172:S172"/>
    <mergeCell ref="D172:F172"/>
    <mergeCell ref="D173:F173"/>
    <mergeCell ref="H173:I173"/>
    <mergeCell ref="K173:L173"/>
    <mergeCell ref="D174:F174"/>
    <mergeCell ref="K174:L174"/>
    <mergeCell ref="K175:L175"/>
    <mergeCell ref="N171:O171"/>
    <mergeCell ref="N172:O172"/>
    <mergeCell ref="N173:O173"/>
    <mergeCell ref="Q173:S173"/>
    <mergeCell ref="N174:O174"/>
    <mergeCell ref="Q174:S174"/>
    <mergeCell ref="Q175:S175"/>
    <mergeCell ref="D175:F175"/>
    <mergeCell ref="D176:F176"/>
    <mergeCell ref="D177:F177"/>
    <mergeCell ref="D178:F178"/>
    <mergeCell ref="D180:F180"/>
    <mergeCell ref="D181:F181"/>
    <mergeCell ref="D182:F182"/>
    <mergeCell ref="K184:L184"/>
    <mergeCell ref="K185:L185"/>
    <mergeCell ref="N185:O185"/>
    <mergeCell ref="K186:L186"/>
    <mergeCell ref="N186:O186"/>
    <mergeCell ref="Q186:S186"/>
    <mergeCell ref="K176:L176"/>
    <mergeCell ref="K177:L177"/>
    <mergeCell ref="K178:L178"/>
    <mergeCell ref="K180:L180"/>
    <mergeCell ref="K181:L181"/>
    <mergeCell ref="K182:L182"/>
    <mergeCell ref="K183:L183"/>
    <mergeCell ref="K188:L188"/>
    <mergeCell ref="M189:P189"/>
    <mergeCell ref="Q189:S189"/>
    <mergeCell ref="H186:I186"/>
    <mergeCell ref="H187:I187"/>
    <mergeCell ref="K187:L187"/>
    <mergeCell ref="N187:O187"/>
    <mergeCell ref="Q187:S187"/>
    <mergeCell ref="N188:O188"/>
    <mergeCell ref="Q188:S188"/>
    <mergeCell ref="P33:T33"/>
    <mergeCell ref="Q34:S34"/>
    <mergeCell ref="P15:T15"/>
    <mergeCell ref="Q16:S16"/>
    <mergeCell ref="P23:T23"/>
    <mergeCell ref="P24:T24"/>
    <mergeCell ref="Q25:S25"/>
    <mergeCell ref="Q26:S26"/>
    <mergeCell ref="P32:T32"/>
    <mergeCell ref="I24:K24"/>
    <mergeCell ref="I32:K32"/>
    <mergeCell ref="L32:N32"/>
    <mergeCell ref="L33:N33"/>
    <mergeCell ref="J34:M34"/>
    <mergeCell ref="J35:M35"/>
    <mergeCell ref="Q35:S35"/>
    <mergeCell ref="J44:M44"/>
    <mergeCell ref="Q44:S44"/>
    <mergeCell ref="I33:K33"/>
    <mergeCell ref="I41:K41"/>
    <mergeCell ref="L41:N41"/>
    <mergeCell ref="P41:T41"/>
    <mergeCell ref="I42:K42"/>
    <mergeCell ref="L42:N42"/>
    <mergeCell ref="J43:M43"/>
    <mergeCell ref="D3:H3"/>
    <mergeCell ref="O3:S3"/>
    <mergeCell ref="D4:H4"/>
    <mergeCell ref="O4:S4"/>
    <mergeCell ref="D5:H5"/>
    <mergeCell ref="O5:S5"/>
    <mergeCell ref="N6:T6"/>
    <mergeCell ref="I14:K14"/>
    <mergeCell ref="L14:N14"/>
    <mergeCell ref="I15:K15"/>
    <mergeCell ref="L15:N15"/>
    <mergeCell ref="C6:I6"/>
    <mergeCell ref="B10:K10"/>
    <mergeCell ref="L10:U10"/>
    <mergeCell ref="B11:U11"/>
    <mergeCell ref="A13:A20"/>
    <mergeCell ref="P14:T14"/>
    <mergeCell ref="D17:F17"/>
    <mergeCell ref="Q17:S17"/>
    <mergeCell ref="A22:A29"/>
    <mergeCell ref="A31:A38"/>
    <mergeCell ref="C31:G31"/>
    <mergeCell ref="C32:G32"/>
    <mergeCell ref="C33:G33"/>
    <mergeCell ref="D34:F34"/>
    <mergeCell ref="D35:F35"/>
    <mergeCell ref="J16:M16"/>
    <mergeCell ref="J17:M17"/>
    <mergeCell ref="I23:K23"/>
    <mergeCell ref="L23:N23"/>
    <mergeCell ref="L24:N24"/>
    <mergeCell ref="J25:M25"/>
    <mergeCell ref="J26:M26"/>
    <mergeCell ref="P42:T42"/>
    <mergeCell ref="Q43:S43"/>
    <mergeCell ref="B50:K50"/>
    <mergeCell ref="L50:U50"/>
    <mergeCell ref="B51:U51"/>
    <mergeCell ref="L54:N54"/>
    <mergeCell ref="P54:T55"/>
    <mergeCell ref="L55:N55"/>
    <mergeCell ref="C90:G91"/>
    <mergeCell ref="D92:F92"/>
    <mergeCell ref="C72:G73"/>
    <mergeCell ref="D74:F74"/>
    <mergeCell ref="C80:G80"/>
    <mergeCell ref="C81:G82"/>
    <mergeCell ref="D83:F83"/>
    <mergeCell ref="D84:F84"/>
    <mergeCell ref="C89:G89"/>
    <mergeCell ref="Q101:S101"/>
    <mergeCell ref="Q102:S102"/>
    <mergeCell ref="I99:K99"/>
    <mergeCell ref="L99:N99"/>
    <mergeCell ref="P99:T100"/>
    <mergeCell ref="I100:K100"/>
    <mergeCell ref="L100:N100"/>
    <mergeCell ref="J101:M101"/>
    <mergeCell ref="J102:M102"/>
    <mergeCell ref="I54:K54"/>
    <mergeCell ref="I55:K55"/>
    <mergeCell ref="J56:M56"/>
    <mergeCell ref="Q56:S56"/>
    <mergeCell ref="J57:M57"/>
    <mergeCell ref="Q57:S57"/>
    <mergeCell ref="I63:K63"/>
    <mergeCell ref="L63:N63"/>
    <mergeCell ref="P63:T64"/>
    <mergeCell ref="L64:N64"/>
    <mergeCell ref="J65:M65"/>
    <mergeCell ref="Q65:S65"/>
    <mergeCell ref="J66:M66"/>
    <mergeCell ref="Q66:S66"/>
    <mergeCell ref="I64:K64"/>
    <mergeCell ref="I72:K72"/>
    <mergeCell ref="L72:N72"/>
    <mergeCell ref="P72:T73"/>
    <mergeCell ref="I73:K73"/>
    <mergeCell ref="L73:N73"/>
    <mergeCell ref="Q74:S74"/>
    <mergeCell ref="Q75:S75"/>
    <mergeCell ref="P81:T82"/>
    <mergeCell ref="Q83:S83"/>
    <mergeCell ref="Q84:S84"/>
    <mergeCell ref="P90:T91"/>
    <mergeCell ref="Q92:S92"/>
    <mergeCell ref="Q93:S93"/>
    <mergeCell ref="J74:M74"/>
    <mergeCell ref="J75:M75"/>
    <mergeCell ref="I81:K81"/>
    <mergeCell ref="L81:N81"/>
    <mergeCell ref="L82:N82"/>
    <mergeCell ref="J83:M83"/>
    <mergeCell ref="J84:M84"/>
    <mergeCell ref="I82:K82"/>
    <mergeCell ref="I90:K90"/>
    <mergeCell ref="L90:N90"/>
    <mergeCell ref="I91:K91"/>
    <mergeCell ref="L91:N91"/>
    <mergeCell ref="J92:M92"/>
    <mergeCell ref="J93:M93"/>
    <mergeCell ref="Q119:S119"/>
    <mergeCell ref="Q120:S120"/>
    <mergeCell ref="I117:K117"/>
    <mergeCell ref="L117:N117"/>
    <mergeCell ref="P117:T118"/>
    <mergeCell ref="I118:K118"/>
    <mergeCell ref="L118:N118"/>
    <mergeCell ref="J119:M119"/>
    <mergeCell ref="J120:M120"/>
    <mergeCell ref="M149:O149"/>
    <mergeCell ref="J150:M150"/>
    <mergeCell ref="Q150:S150"/>
    <mergeCell ref="J151:M151"/>
    <mergeCell ref="Q151:S151"/>
    <mergeCell ref="M157:O157"/>
    <mergeCell ref="P157:T157"/>
    <mergeCell ref="H157:J157"/>
    <mergeCell ref="H158:J158"/>
    <mergeCell ref="M158:O158"/>
    <mergeCell ref="P158:T158"/>
    <mergeCell ref="J159:M159"/>
    <mergeCell ref="Q159:S159"/>
    <mergeCell ref="Q160:S160"/>
  </mergeCells>
  <conditionalFormatting sqref="C19:T19 C28:T28 C37:T37 C46:T46 C59:T59 C68:T68 C77:T77 C86:T86 C95:T95 C104:T104 C113:T113 C122:T122 C135:T135 C144:T144 C153:T153 C162:T162">
    <cfRule type="expression" dxfId="0" priority="1">
      <formula>AC15=-1</formula>
    </cfRule>
  </conditionalFormatting>
  <conditionalFormatting sqref="C19:T19 C28:T28 C37:T37 C46:T46 C59:T59 C68:T68 C77:T77 C86:T86 C95:T95 C104:T104 C113:T113 C122:T122 C135:T135 C144:T144 C153:T153 C162:T162">
    <cfRule type="expression" dxfId="1" priority="2">
      <formula>AC15=1</formula>
    </cfRule>
  </conditionalFormatting>
  <conditionalFormatting sqref="C19:T19 C28:T28 C37:T37 C46:T46 C59:T59 C68:T68 C77:T77 C86:T86 C95:T95 C104:T104 C113:T113 C122:T122 C135:T135 C144:T144 C153:T153 C162:T162">
    <cfRule type="expression" dxfId="2" priority="3">
      <formula>AC15=0</formula>
    </cfRule>
  </conditionalFormatting>
  <conditionalFormatting sqref="I15:K15 I24:K24 I33:K33 I42:K42 I55:K55 I64:K64 I73:K73 I82:K82 I91:K91 I100:K100 I109:K109 I118:K118">
    <cfRule type="expression" dxfId="1" priority="4">
      <formula>and(Y14&gt;0,Y14&gt;Y16,Y14&lt;&gt;"")</formula>
    </cfRule>
  </conditionalFormatting>
  <conditionalFormatting sqref="I15:K15 I24:K24 I33:K33 I42:K42 I55:K55 I64:K64 I73:K73 I82:K82 I91:K91 I100:K100 I109:K109 I118:K118">
    <cfRule type="expression" dxfId="0" priority="5">
      <formula>and(Y15&gt;0,Y15&gt;Y16,Y15&lt;&gt;"")</formula>
    </cfRule>
  </conditionalFormatting>
  <conditionalFormatting sqref="I15:K15 I24:K24 I33:K33 I42:K42 I55:K55 I64:K64 I73:K73 I82:K82 I91:K91 I100:K100 I109:K109 I118:K118">
    <cfRule type="expression" dxfId="3" priority="6">
      <formula>and(Y14=0,Y16=0,Y14&lt;&gt;"")</formula>
    </cfRule>
  </conditionalFormatting>
  <conditionalFormatting sqref="I15:K15 I24:K24 I33:K33 I42:K42 I55:K55 I64:K64 I73:K73 I82:K82 I91:K91 I100:K100 I109:K109 I118:K118">
    <cfRule type="expression" dxfId="4" priority="7">
      <formula>and(Y14&gt;0,Y14&lt;=Y16,Y14&lt;&gt;"")</formula>
    </cfRule>
  </conditionalFormatting>
  <conditionalFormatting sqref="I15:K15 I24:K24 I33:K33 I42:K42 I55:K55 I64:K64 I73:K73 I82:K82 I91:K91 I100:K100 I109:K109 I118:K118">
    <cfRule type="expression" dxfId="5" priority="8">
      <formula>and(Y15&gt;0,Y15&lt;=Y16,Y15&lt;&gt;"")</formula>
    </cfRule>
  </conditionalFormatting>
  <conditionalFormatting sqref="L15:N15 L24:N24 L33:N33 L42:N42 L55:N55 L64:N64 L73:N73 L82:N82 L91:N91 L100:N100 L109:N109 L118:N118">
    <cfRule type="expression" dxfId="1" priority="9">
      <formula>and(Z14&gt;0,Z14&gt;Z16,Z14&lt;&gt;"")</formula>
    </cfRule>
  </conditionalFormatting>
  <conditionalFormatting sqref="L15:N15 L24:N24 L33:N33 L42:N42 L55:N55 L64:N64 L73:N73 L82:N82 L91:N91 L100:N100 L109:N109 L118:N118">
    <cfRule type="expression" dxfId="0" priority="10">
      <formula>and(Z15&gt;0,Z15&gt;Z16,Z15&lt;&gt;"")</formula>
    </cfRule>
  </conditionalFormatting>
  <conditionalFormatting sqref="L15:N15 L24:N24 L33:N33 L42:N42 L55:N55 L64:N64 L73:N73 L82:N82 L91:N91 L100:N100 L109:N109 L118:N118">
    <cfRule type="expression" dxfId="3" priority="11">
      <formula>and(Z14=0,Z16=0,Z14&lt;&gt;"")</formula>
    </cfRule>
  </conditionalFormatting>
  <conditionalFormatting sqref="L15:N15 L24:N24 L33:N33 L42:N42 L55:N55 L64:N64 L73:N73 L82:N82 L91:N91 L100:N100 L109:N109 L118:N118">
    <cfRule type="expression" dxfId="4" priority="12">
      <formula>and(Z14&gt;0,Z14&lt;=Z16,Z14&lt;&gt;"")</formula>
    </cfRule>
  </conditionalFormatting>
  <conditionalFormatting sqref="L15:N15 L24:N24 L33:N33 L42:N42 L55:N55 L64:N64 L73:N73 L82:N82 L91:N91 L100:N100 L109:N109 L118:N118">
    <cfRule type="expression" dxfId="5" priority="13">
      <formula>and(Z15&gt;0,Z15&lt;=Z16,Z15&lt;&gt;"")</formula>
    </cfRule>
  </conditionalFormatting>
  <conditionalFormatting sqref="L15:N15 L24:N24 L33:N33 L42:N42 L55:N55 L64:N64 L73:N73 L82:N82 L91:N91 L100:N100 L109:N109 L118:N118">
    <cfRule type="expression" dxfId="6" priority="14">
      <formula>and(Z14=0,Z16&gt;0)</formula>
    </cfRule>
  </conditionalFormatting>
  <conditionalFormatting sqref="J17:M17 J26:M26 J35:M35 J44:M44 J57:M57 J66:M66 J75:M75 J84:M84 J93:M93 J102:M102 J111:M111 J120:M120">
    <cfRule type="expression" dxfId="1" priority="15">
      <formula>and(AA14&gt;0,AA14&gt;AA16,AA14&lt;&gt;"")</formula>
    </cfRule>
  </conditionalFormatting>
  <conditionalFormatting sqref="J17:M17 J26:M26 J35:M35 J44:M44 J57:M57 J66:M66 J75:M75 J84:M84 J93:M93 J102:M102 J111:M111 J120:M120">
    <cfRule type="expression" dxfId="3" priority="16">
      <formula>and(AA14=0,AA16=0,AA14&lt;&gt;"")</formula>
    </cfRule>
  </conditionalFormatting>
  <conditionalFormatting sqref="J17:M17 J26:M26 J35:M35 J44:M44 J57:M57 J66:M66 J75:M75 J84:M84 J93:M93 J102:M102 J111:M111 J120:M120">
    <cfRule type="expression" dxfId="0" priority="17">
      <formula>and(AA15&gt;0,AA15&gt;AA16,AA15&lt;&gt;"")</formula>
    </cfRule>
  </conditionalFormatting>
  <conditionalFormatting sqref="I15:K15 I24:K24 I33:K33 I42:K42 I55:K55 I64:K64 I73:K73 I82:K82 I91:K91 I100:K100 I109:K109 I118:K118">
    <cfRule type="expression" dxfId="7" priority="18">
      <formula>and(Y14=0,Y14&lt;=Y16)</formula>
    </cfRule>
  </conditionalFormatting>
  <conditionalFormatting sqref="J17:M17 J26:M26 J35:M35 J44:M44 J57:M57 J66:M66 J75:M75 J84:M84 J93:M93 J102:M102 J111:M111 J120:M120">
    <cfRule type="expression" dxfId="4" priority="19">
      <formula>and(AA14&gt;0,AA14&lt;=AA16,AA14&lt;&gt;"")</formula>
    </cfRule>
  </conditionalFormatting>
  <conditionalFormatting sqref="J17:M17 J26:M26 J35:M35 J44:M44 J57:M57 J66:M66 J75:M75 J84:M84 J93:M93 J102:M102 J111:M111 J120:M120">
    <cfRule type="expression" dxfId="5" priority="20">
      <formula>and(AA15&gt;0,AA15&lt;=AA16,AA15&lt;&gt;"")</formula>
    </cfRule>
  </conditionalFormatting>
  <conditionalFormatting sqref="J17:M17 J26:M26 J35:M35 J44:M44 J57:M57 J66:M66 J75:M75 J84:M84 J93:M93 J102:M102 J111:M111 J120:M120">
    <cfRule type="expression" dxfId="7" priority="21">
      <formula>and(AA14=0,AA14&lt;=AA16)</formula>
    </cfRule>
  </conditionalFormatting>
  <conditionalFormatting sqref="D17:F17 D26:F26 D35:F35 D44:F44 D57:F57 D66:F66 D75:F75 D84:F84 D93:F93 D102:F102 D111:F111 D120:F120 D133:F133 D142:F142 D151:F151 D160:F160">
    <cfRule type="expression" dxfId="0" priority="22">
      <formula>and(Q17&lt;D17,D17+Q17&gt;2)</formula>
    </cfRule>
  </conditionalFormatting>
  <conditionalFormatting sqref="Q17:S17 Q26:S26 Q35:S35 Q44:S44 Q57:S57 Q66:S66 Q75:S75 Q84:S84 Q93:S93 Q102:S102 Q111:S111 Q120:S120 Q133:S133 Q142:S142 Q151:S151 Q160:S160">
    <cfRule type="expression" dxfId="1" priority="23">
      <formula>and(Q17&gt;D17,D17+Q17&gt;2)</formula>
    </cfRule>
  </conditionalFormatting>
  <conditionalFormatting sqref="P14:T14 P23:T23 P32:T32 P41:T41 P54:T54 P63:T63 P72:T72 P81:T81 P90:T90 P99:T99 P108:T108 P117:T117 P130:T130 P139:T139 P148:T148 P157:T157">
    <cfRule type="expression" dxfId="1" priority="24">
      <formula>and(Q17&gt;D17,D17+Q17&gt;2)</formula>
    </cfRule>
  </conditionalFormatting>
  <conditionalFormatting sqref="P15:T15 P24:T24 P33:T33 P42:T42 P131:T131 P140:T140 P149:T149 P158:T158">
    <cfRule type="expression" dxfId="1" priority="25">
      <formula>and(Q17&gt;D17,D17+Q17&gt;3)</formula>
    </cfRule>
  </conditionalFormatting>
  <conditionalFormatting sqref="C14:G14 C23:G23 C32:G32 C41:G41 C54:G54 C63:G63 C72:G72 C81:G81 C90:G90 C99:G99 C108:G108 C117:G117 C130:G130 C139:G139 C148:G148 C157:G157">
    <cfRule type="expression" dxfId="0" priority="26">
      <formula>and(Q17&lt;D17,D17+Q17&gt;2)</formula>
    </cfRule>
  </conditionalFormatting>
  <conditionalFormatting sqref="C15:G15 C24:G24 C33:G33 C42:G42 C131:G131 C140:G140 C149:G149 C158:G158">
    <cfRule type="expression" dxfId="0" priority="27">
      <formula>and(Q17&lt;D17,D17+Q17&gt;3)</formula>
    </cfRule>
  </conditionalFormatting>
  <conditionalFormatting sqref="C14:G14 C23:G23 C32:G32 C41:G41 C54:G54 C63:G63 C72:G72 C81:G81 C90:G90 C99:G99 C108:G108 C117:G117 C130:G130 C139:G139 C148:G148 C157:G157">
    <cfRule type="expression" dxfId="8" priority="28">
      <formula>and(Q17=D17,D17+Q17&gt;2)</formula>
    </cfRule>
  </conditionalFormatting>
  <conditionalFormatting sqref="C15:G15 C24:G24 C33:G33 C42:G42 C131:G131 C140:G140 C149:G149 C158:G158">
    <cfRule type="expression" dxfId="8" priority="29">
      <formula>and(Q17=D17,D17+Q17&gt;3)</formula>
    </cfRule>
  </conditionalFormatting>
  <conditionalFormatting sqref="D17:F17 D26:F26 D35:F35 D44:F44 D57:F57 D66:F66 D75:F75 D84:F84 D93:F93 D102:F102 D111:F111 D120:F120 D133:F133 D142:F142 D151:F151 D160:F160">
    <cfRule type="expression" dxfId="8" priority="30">
      <formula>and(Q17=D17,D17+Q17&gt;2)</formula>
    </cfRule>
  </conditionalFormatting>
  <conditionalFormatting sqref="P14:T14 P23:T23 P32:T32 P41:T41 P54:T54 P63:T63 P72:T72 P81:T81 P90:T90 P99:T99 P108:T108 P117:T117 P130:T130 P139:T139 P148:T148 P157:T157">
    <cfRule type="expression" dxfId="9" priority="31">
      <formula>and(Q17=D17,D17+Q17&gt;2)</formula>
    </cfRule>
  </conditionalFormatting>
  <conditionalFormatting sqref="P15:T15 P24:T24 P33:T33 P42:T42 P131:T131 P140:T140 P149:T149 P158:T158">
    <cfRule type="expression" dxfId="9" priority="32">
      <formula>and(Q17=D17,D17+Q17&gt;3)</formula>
    </cfRule>
  </conditionalFormatting>
  <conditionalFormatting sqref="Q17:S17 Q26:S26 Q35:S35 Q44:S44 Q57:S57 Q66:S66 Q75:S75 Q84:S84 Q93:S93 Q102:S102 Q111:S111 Q120:S120 Q133:S133 Q142:S142 Q151:S151 Q160:S160">
    <cfRule type="expression" dxfId="9" priority="33">
      <formula>and(Q17=D17,D17+Q17&gt;2)</formula>
    </cfRule>
  </conditionalFormatting>
  <conditionalFormatting sqref="C13:G13 C22:G22 C31:G31 C40:G40 C53:G53 C62:G62 C71:G71 C80:G80 C89:G89 C98:G98 C107:G107 C116:G116 C129:G129 C138:G138 C147:G147 C156:G156">
    <cfRule type="beginsWith" dxfId="10" priority="34" operator="beginsWith" text="R1">
      <formula>LEFT((C13),LEN("R1"))=("R1")</formula>
    </cfRule>
  </conditionalFormatting>
  <conditionalFormatting sqref="C13:G13 C22:G22 C31:G31 C40:G40 C53:G53 C62:G62 C71:G71 C80:G80 C89:G89 C98:G98 C107:G107 C116:G116 C129:G129 C138:G138 C147:G147 C156:G156">
    <cfRule type="beginsWith" dxfId="11" priority="35" operator="beginsWith" text="R2">
      <formula>LEFT((C13),LEN("R2"))=("R2")</formula>
    </cfRule>
  </conditionalFormatting>
  <conditionalFormatting sqref="C13:G13 C22:G22 C31:G31 C40:G40 C53:G53 C62:G62 C71:G71 C80:G80 C89:G89 C98:G98 C107:G107 C116:G116 C129:G129 C138:G138 C147:G147 C156:G156">
    <cfRule type="beginsWith" dxfId="12" priority="36" operator="beginsWith" text="R3">
      <formula>LEFT((C13),LEN("R3"))=("R3")</formula>
    </cfRule>
  </conditionalFormatting>
  <conditionalFormatting sqref="Q170:S178 Q180:S188 Q190 Q192">
    <cfRule type="cellIs" dxfId="1" priority="37" operator="greaterThan">
      <formula>D170</formula>
    </cfRule>
  </conditionalFormatting>
  <conditionalFormatting sqref="Q170:S178 Q180:S188 Q190 Q192">
    <cfRule type="expression" dxfId="9" priority="38">
      <formula>and(Q170=D170,Q170&lt;&gt;"")</formula>
    </cfRule>
  </conditionalFormatting>
  <conditionalFormatting sqref="Q170:S178 Q180:S188 Q190 Q192">
    <cfRule type="cellIs" dxfId="13" priority="39" operator="lessThan">
      <formula>D170</formula>
    </cfRule>
  </conditionalFormatting>
  <conditionalFormatting sqref="D170:F178 D180:F188 D190:F190 D192">
    <cfRule type="cellIs" dxfId="0" priority="40" operator="greaterThan">
      <formula>$Q170</formula>
    </cfRule>
  </conditionalFormatting>
  <conditionalFormatting sqref="D170:F178 D180:F188 D190:F190 D192">
    <cfRule type="expression" dxfId="8" priority="41">
      <formula>and(Q170=D170,D170&lt;&gt;"")</formula>
    </cfRule>
  </conditionalFormatting>
  <conditionalFormatting sqref="D170:F178 D180:F188 D190:F190 D192">
    <cfRule type="cellIs" dxfId="14" priority="42" operator="lessThan">
      <formula>$Q170</formula>
    </cfRule>
  </conditionalFormatting>
  <conditionalFormatting sqref="H170:I178 H180:I188 H190:I190">
    <cfRule type="cellIs" dxfId="0" priority="43" operator="lessThan">
      <formula>$N170</formula>
    </cfRule>
  </conditionalFormatting>
  <conditionalFormatting sqref="H170:I178 H180:I188 H190:I190">
    <cfRule type="expression" dxfId="8" priority="44">
      <formula>and(H170=N170,H170&lt;&gt;"")</formula>
    </cfRule>
  </conditionalFormatting>
  <conditionalFormatting sqref="H170:I178 H180:I188 H190:I190">
    <cfRule type="cellIs" dxfId="14" priority="45" operator="greaterThan">
      <formula>$N170</formula>
    </cfRule>
  </conditionalFormatting>
  <conditionalFormatting sqref="N170:O178 N180:O188 N190">
    <cfRule type="expression" dxfId="9" priority="46">
      <formula>and(H170=N170,N170&lt;&gt;"")</formula>
    </cfRule>
  </conditionalFormatting>
  <conditionalFormatting sqref="N170:O178 N180:O188 N190">
    <cfRule type="cellIs" dxfId="13" priority="47" operator="greaterThan">
      <formula>$H170</formula>
    </cfRule>
  </conditionalFormatting>
  <conditionalFormatting sqref="N170:O178 N180:O188 N190">
    <cfRule type="cellIs" dxfId="1" priority="48" operator="lessThan">
      <formula>$H170</formula>
    </cfRule>
  </conditionalFormatting>
  <conditionalFormatting sqref="H131:J131 H140:J140 H149:J149 H158:J158">
    <cfRule type="expression" dxfId="2" priority="49">
      <formula>and(H131=M131,AA132=0)</formula>
    </cfRule>
  </conditionalFormatting>
  <conditionalFormatting sqref="M131:O131 M140:O140 M149:O149 M158:O158">
    <cfRule type="expression" dxfId="2" priority="50">
      <formula>and(H131=M131,AA132=0)</formula>
    </cfRule>
  </conditionalFormatting>
  <conditionalFormatting sqref="H131:J131 H140:J140 H149:J149 H158:J158">
    <cfRule type="expression" dxfId="0" priority="51">
      <formula>and(H131&gt;M131,AA132=0)</formula>
    </cfRule>
  </conditionalFormatting>
  <conditionalFormatting sqref="M131:O131 M140:O140 M149:O149 M158:O158">
    <cfRule type="expression" dxfId="1" priority="52">
      <formula>and(H131&lt;M131,AA132=0)</formula>
    </cfRule>
  </conditionalFormatting>
  <conditionalFormatting sqref="J133:M133 J142:M142 J151:M151 J160:M160">
    <cfRule type="expression" dxfId="14" priority="53">
      <formula>and(H131&gt;M131,AA132&gt;0)</formula>
    </cfRule>
  </conditionalFormatting>
  <conditionalFormatting sqref="J133:M133 J142:M142 J151:M151 J160:M160">
    <cfRule type="expression" dxfId="13" priority="54">
      <formula>and(H131&lt;M131,AA132&gt;0)</formula>
    </cfRule>
  </conditionalFormatting>
  <conditionalFormatting sqref="J133:M133 J142:M142 J151:M151 J160:M160">
    <cfRule type="expression" dxfId="0" priority="55">
      <formula>and(H131&gt;M131,AA132=0)</formula>
    </cfRule>
  </conditionalFormatting>
  <conditionalFormatting sqref="J133:M133 J142:M142 J151:M151 J160:M160">
    <cfRule type="expression" dxfId="1" priority="56">
      <formula>and(H131&lt;M131,AA132=0)</formula>
    </cfRule>
  </conditionalFormatting>
  <conditionalFormatting sqref="J133:M133 J142:M142 J151:M151 J160:M160">
    <cfRule type="expression" dxfId="2" priority="57">
      <formula>and(H131=M131,AA132=0)</formula>
    </cfRule>
  </conditionalFormatting>
  <printOptions gridLines="1" horizontalCentered="1"/>
  <pageMargins bottom="0.25" footer="0.0" header="0.0" left="0.5" right="0.5" top="0.25"/>
  <pageSetup fitToWidth="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95" t="s">
        <v>54</v>
      </c>
      <c r="B1" s="296">
        <f>'Master Input'!E3</f>
        <v>0.5208333333</v>
      </c>
      <c r="C1" s="297" t="str">
        <f>'Master Input'!$E$2</f>
        <v>Round 1</v>
      </c>
      <c r="D1" s="298"/>
      <c r="E1" s="297" t="str">
        <f>'Master Input'!$E$6</f>
        <v>GVSU Meadows - Blue</v>
      </c>
      <c r="F1" s="299"/>
      <c r="G1" s="299"/>
      <c r="H1" s="299"/>
      <c r="I1" s="299"/>
      <c r="J1" s="299"/>
      <c r="K1" s="299"/>
      <c r="L1" s="299"/>
      <c r="M1" s="299"/>
      <c r="N1" s="300"/>
      <c r="O1" s="301"/>
      <c r="P1" s="302" t="str">
        <f>'Master Input'!$E$2</f>
        <v>Round 1</v>
      </c>
      <c r="Q1" s="298"/>
      <c r="R1" s="297" t="str">
        <f>'Master Input'!$E$6</f>
        <v>GVSU Meadows - Blue</v>
      </c>
      <c r="S1" s="303"/>
      <c r="T1" s="303"/>
      <c r="U1" s="303"/>
      <c r="V1" s="303"/>
      <c r="W1" s="303"/>
      <c r="X1" s="303"/>
      <c r="Y1" s="303"/>
      <c r="Z1" s="303"/>
      <c r="AA1" s="303"/>
      <c r="AB1" s="304"/>
    </row>
    <row r="2" ht="14.25" customHeight="1">
      <c r="A2" s="305" t="s">
        <v>55</v>
      </c>
      <c r="B2" s="306" t="str">
        <f>'Match Selection'!B4</f>
        <v>2-Man Best Ball</v>
      </c>
      <c r="C2" s="307"/>
      <c r="D2" s="308" t="s">
        <v>55</v>
      </c>
      <c r="E2" s="309">
        <f>vlookup($E1, 'Course List'!$A$3:$AS$14,5+E4, false)</f>
        <v>2</v>
      </c>
      <c r="F2" s="310">
        <f>vlookup($E1, 'Course List'!$A$3:$AS$14,5+F4, false)</f>
        <v>8</v>
      </c>
      <c r="G2" s="310">
        <f>vlookup($E1, 'Course List'!$A$3:$AS$14,5+G4, false)</f>
        <v>14</v>
      </c>
      <c r="H2" s="310">
        <f>vlookup($E1, 'Course List'!$A$3:$AS$14,5+H4, false)</f>
        <v>12</v>
      </c>
      <c r="I2" s="310">
        <f>vlookup($E1, 'Course List'!$A$3:$AS$14,5+I4, false)</f>
        <v>6</v>
      </c>
      <c r="J2" s="310">
        <f>vlookup($E1, 'Course List'!$A$3:$AS$14,5+J4, false)</f>
        <v>18</v>
      </c>
      <c r="K2" s="310">
        <f>vlookup($E1, 'Course List'!$A$3:$AS$14,5+K4, false)</f>
        <v>10</v>
      </c>
      <c r="L2" s="310">
        <f>vlookup($E1, 'Course List'!$A$3:$AS$14,5+L4, false)</f>
        <v>4</v>
      </c>
      <c r="M2" s="311">
        <f>vlookup($E1, 'Course List'!$A$3:$AS$14,5+M4, false)</f>
        <v>16</v>
      </c>
      <c r="N2" s="312"/>
      <c r="O2" s="313"/>
      <c r="P2" s="314" t="s">
        <v>55</v>
      </c>
      <c r="Q2" s="309">
        <f>vlookup($E1, 'Course List'!$A$3:$AS$14,5+Q4, false)</f>
        <v>13</v>
      </c>
      <c r="R2" s="310">
        <f>vlookup($E1, 'Course List'!$A$3:$AS$14,5+R4, false)</f>
        <v>3</v>
      </c>
      <c r="S2" s="310">
        <f>vlookup($E1, 'Course List'!$A$3:$AS$14,5+S4, false)</f>
        <v>9</v>
      </c>
      <c r="T2" s="310">
        <f>vlookup($E1, 'Course List'!$A$3:$AS$14,5+T4, false)</f>
        <v>15</v>
      </c>
      <c r="U2" s="310">
        <f>vlookup($E1, 'Course List'!$A$3:$AS$14,5+U4, false)</f>
        <v>11</v>
      </c>
      <c r="V2" s="310">
        <f>vlookup($E1, 'Course List'!$A$3:$AS$14,5+V4, false)</f>
        <v>5</v>
      </c>
      <c r="W2" s="310">
        <f>vlookup($E1, 'Course List'!$A$3:$AS$14,5+W4, false)</f>
        <v>7</v>
      </c>
      <c r="X2" s="310">
        <f>vlookup($E1, 'Course List'!$A$3:$AS$14,5+X4, false)</f>
        <v>17</v>
      </c>
      <c r="Y2" s="311">
        <f>vlookup($E1, 'Course List'!$A$3:$AS$14,5+Y4, false)</f>
        <v>1</v>
      </c>
      <c r="Z2" s="312"/>
      <c r="AA2" s="315"/>
      <c r="AB2" s="316"/>
    </row>
    <row r="3" ht="14.25" customHeight="1">
      <c r="A3" s="305" t="s">
        <v>56</v>
      </c>
      <c r="B3" s="317"/>
      <c r="C3" s="318"/>
      <c r="D3" s="319" t="s">
        <v>56</v>
      </c>
      <c r="E3" s="320">
        <f>vlookup($E1, 'Course List'!$A$3:$AS$14,27+E4, false)</f>
        <v>4</v>
      </c>
      <c r="F3" s="321">
        <f>vlookup($E1, 'Course List'!$A$3:$AS$14,27+F4, false)</f>
        <v>4</v>
      </c>
      <c r="G3" s="321">
        <f>vlookup($E1, 'Course List'!$A$3:$AS$14,27+G4, false)</f>
        <v>3</v>
      </c>
      <c r="H3" s="321">
        <f>vlookup($E1, 'Course List'!$A$3:$AS$14,27+H4, false)</f>
        <v>5</v>
      </c>
      <c r="I3" s="321">
        <f>vlookup($E1, 'Course List'!$A$3:$AS$14,27+I4, false)</f>
        <v>4</v>
      </c>
      <c r="J3" s="321">
        <f>vlookup($E1, 'Course List'!$A$3:$AS$14,27+J4, false)</f>
        <v>4</v>
      </c>
      <c r="K3" s="321">
        <f>vlookup($E1, 'Course List'!$A$3:$AS$14,27+K4, false)</f>
        <v>3</v>
      </c>
      <c r="L3" s="321">
        <f>vlookup($E1, 'Course List'!$A$3:$AS$14,27+L4, false)</f>
        <v>4</v>
      </c>
      <c r="M3" s="322">
        <f>vlookup($E1, 'Course List'!$A$3:$AS$14,27+M4, false)</f>
        <v>5</v>
      </c>
      <c r="N3" s="323">
        <f>SUM(E3:M3)</f>
        <v>36</v>
      </c>
      <c r="O3" s="313"/>
      <c r="P3" s="305" t="s">
        <v>56</v>
      </c>
      <c r="Q3" s="320">
        <f>vlookup($E1, 'Course List'!$A$3:$AS$14,27+Q4, false)</f>
        <v>4</v>
      </c>
      <c r="R3" s="321">
        <f>vlookup($E1, 'Course List'!$A$3:$AS$14,27+R4, false)</f>
        <v>4</v>
      </c>
      <c r="S3" s="321">
        <f>vlookup($E1, 'Course List'!$A$3:$AS$14,27+S4, false)</f>
        <v>4</v>
      </c>
      <c r="T3" s="321">
        <f>vlookup($E1, 'Course List'!$A$3:$AS$14,27+T4, false)</f>
        <v>3</v>
      </c>
      <c r="U3" s="321">
        <f>vlookup($E1, 'Course List'!$A$3:$AS$14,27+U4, false)</f>
        <v>5</v>
      </c>
      <c r="V3" s="321">
        <f>vlookup($E1, 'Course List'!$A$3:$AS$14,27+V4, false)</f>
        <v>4</v>
      </c>
      <c r="W3" s="321">
        <f>vlookup($E1, 'Course List'!$A$3:$AS$14,27+W4, false)</f>
        <v>4</v>
      </c>
      <c r="X3" s="321">
        <f>vlookup($E1, 'Course List'!$A$3:$AS$14,27+X4, false)</f>
        <v>3</v>
      </c>
      <c r="Y3" s="322">
        <f>vlookup($E1, 'Course List'!$A$3:$AS$14,27+Y4, false)</f>
        <v>4</v>
      </c>
      <c r="Z3" s="323">
        <f>SUM(Q3:Y3)</f>
        <v>35</v>
      </c>
      <c r="AA3" s="321">
        <f>N3+Z3</f>
        <v>71</v>
      </c>
      <c r="AB3" s="324"/>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343"/>
      <c r="B6" s="344"/>
      <c r="C6" s="345"/>
      <c r="D6" s="346"/>
      <c r="E6" s="347" t="str">
        <f t="shared" ref="E6:M6" si="1">if(E7=1,"O", if(E7=2,"O   O",""))</f>
        <v>O</v>
      </c>
      <c r="F6" s="348" t="str">
        <f t="shared" si="1"/>
        <v/>
      </c>
      <c r="G6" s="349" t="str">
        <f t="shared" si="1"/>
        <v/>
      </c>
      <c r="H6" s="348" t="str">
        <f t="shared" si="1"/>
        <v/>
      </c>
      <c r="I6" s="349" t="str">
        <f t="shared" si="1"/>
        <v>O</v>
      </c>
      <c r="J6" s="348" t="str">
        <f t="shared" si="1"/>
        <v/>
      </c>
      <c r="K6" s="349" t="str">
        <f t="shared" si="1"/>
        <v/>
      </c>
      <c r="L6" s="348" t="str">
        <f t="shared" si="1"/>
        <v>O</v>
      </c>
      <c r="M6" s="349" t="str">
        <f t="shared" si="1"/>
        <v/>
      </c>
      <c r="N6" s="350"/>
      <c r="O6" s="351"/>
      <c r="P6" s="352"/>
      <c r="Q6" s="347" t="str">
        <f t="shared" ref="Q6:Y6" si="2">if(Q7=1,"O", if(Q7=2,"O   O",""))</f>
        <v/>
      </c>
      <c r="R6" s="348" t="str">
        <f t="shared" si="2"/>
        <v>O</v>
      </c>
      <c r="S6" s="349" t="str">
        <f t="shared" si="2"/>
        <v/>
      </c>
      <c r="T6" s="348" t="str">
        <f t="shared" si="2"/>
        <v/>
      </c>
      <c r="U6" s="349" t="str">
        <f t="shared" si="2"/>
        <v/>
      </c>
      <c r="V6" s="348" t="str">
        <f t="shared" si="2"/>
        <v>O</v>
      </c>
      <c r="W6" s="349" t="str">
        <f t="shared" si="2"/>
        <v/>
      </c>
      <c r="X6" s="348" t="str">
        <f t="shared" si="2"/>
        <v/>
      </c>
      <c r="Y6" s="349" t="str">
        <f t="shared" si="2"/>
        <v>O</v>
      </c>
      <c r="Z6" s="353"/>
      <c r="AA6" s="354"/>
      <c r="AB6" s="355"/>
    </row>
    <row r="7" ht="22.5" hidden="1" customHeight="1">
      <c r="A7" s="356"/>
      <c r="B7" s="357"/>
      <c r="C7" s="358"/>
      <c r="D7" s="359"/>
      <c r="E7" s="360">
        <f t="shared" ref="E7:M7" si="3">IF($D8&gt;0,FLOOR($D8/18,1),0)+IF(AND(MOD($D8,18)&gt;=E$2,$D8&gt;0),1,0)-IF(E$2-18&gt;$D8,1,0)</f>
        <v>1</v>
      </c>
      <c r="F7" s="361">
        <f t="shared" si="3"/>
        <v>0</v>
      </c>
      <c r="G7" s="362">
        <f t="shared" si="3"/>
        <v>0</v>
      </c>
      <c r="H7" s="361">
        <f t="shared" si="3"/>
        <v>0</v>
      </c>
      <c r="I7" s="362">
        <f t="shared" si="3"/>
        <v>1</v>
      </c>
      <c r="J7" s="361">
        <f t="shared" si="3"/>
        <v>0</v>
      </c>
      <c r="K7" s="362">
        <f t="shared" si="3"/>
        <v>0</v>
      </c>
      <c r="L7" s="361">
        <f t="shared" si="3"/>
        <v>1</v>
      </c>
      <c r="M7" s="362">
        <f t="shared" si="3"/>
        <v>0</v>
      </c>
      <c r="N7" s="363"/>
      <c r="O7" s="364"/>
      <c r="P7" s="365"/>
      <c r="Q7" s="360">
        <f t="shared" ref="Q7:Y7" si="4">IF($D8&gt;0,FLOOR($D8/18,1),0)+IF(AND(MOD($D8,18)&gt;=Q$2,$D8&gt;0),1,0)-IF(Q$2-18&gt;$D8,1,0)</f>
        <v>0</v>
      </c>
      <c r="R7" s="361">
        <f t="shared" si="4"/>
        <v>1</v>
      </c>
      <c r="S7" s="362">
        <f t="shared" si="4"/>
        <v>0</v>
      </c>
      <c r="T7" s="361">
        <f t="shared" si="4"/>
        <v>0</v>
      </c>
      <c r="U7" s="362">
        <f t="shared" si="4"/>
        <v>0</v>
      </c>
      <c r="V7" s="361">
        <f t="shared" si="4"/>
        <v>1</v>
      </c>
      <c r="W7" s="362">
        <f t="shared" si="4"/>
        <v>0</v>
      </c>
      <c r="X7" s="361">
        <f t="shared" si="4"/>
        <v>0</v>
      </c>
      <c r="Y7" s="362">
        <f t="shared" si="4"/>
        <v>1</v>
      </c>
      <c r="Z7" s="366"/>
      <c r="AA7" s="367"/>
      <c r="AB7" s="368"/>
    </row>
    <row r="8" ht="27.0" customHeight="1">
      <c r="A8" s="369" t="str">
        <f>'Match Selection'!D4</f>
        <v>TJSC</v>
      </c>
      <c r="B8" s="370" t="str">
        <f>vlookup(A8, 'Master Input'!$A$11:$B$27, 2, false)</f>
        <v>Drivers</v>
      </c>
      <c r="C8" s="371">
        <f>vlookup(A8,'Master Input'!$A$11:$L$27,'Master Input'!$F$28, false)</f>
        <v>15</v>
      </c>
      <c r="D8" s="372">
        <f>C8-SMALL($C$8:$C$17,1)</f>
        <v>6</v>
      </c>
      <c r="E8" s="373">
        <v>7.0</v>
      </c>
      <c r="F8" s="374">
        <v>5.0</v>
      </c>
      <c r="G8" s="375">
        <v>4.0</v>
      </c>
      <c r="H8" s="374">
        <v>6.0</v>
      </c>
      <c r="I8" s="375">
        <v>4.0</v>
      </c>
      <c r="J8" s="374">
        <v>5.0</v>
      </c>
      <c r="K8" s="375">
        <v>4.0</v>
      </c>
      <c r="L8" s="374">
        <v>6.0</v>
      </c>
      <c r="M8" s="375">
        <v>7.0</v>
      </c>
      <c r="N8" s="376">
        <f>if(M8="","", sum(E8:M8))</f>
        <v>48</v>
      </c>
      <c r="O8" s="364"/>
      <c r="P8" s="377" t="str">
        <f>A8</f>
        <v>TJSC</v>
      </c>
      <c r="Q8" s="373">
        <v>4.0</v>
      </c>
      <c r="R8" s="374">
        <v>5.0</v>
      </c>
      <c r="S8" s="375">
        <v>4.0</v>
      </c>
      <c r="T8" s="374">
        <v>5.0</v>
      </c>
      <c r="U8" s="375">
        <v>7.0</v>
      </c>
      <c r="V8" s="374">
        <v>5.0</v>
      </c>
      <c r="W8" s="375">
        <v>5.0</v>
      </c>
      <c r="X8" s="374">
        <v>4.0</v>
      </c>
      <c r="Y8" s="375">
        <v>4.0</v>
      </c>
      <c r="Z8" s="376">
        <f>if(Y8="","", sum(Q8:Y8))</f>
        <v>43</v>
      </c>
      <c r="AA8" s="378">
        <f>if(Z8="", "", sum(N8,Z8))</f>
        <v>91</v>
      </c>
      <c r="AB8" s="379">
        <f>if(Y8="", "", AA8-C8)</f>
        <v>76</v>
      </c>
    </row>
    <row r="9" ht="7.5" customHeight="1">
      <c r="A9" s="380"/>
      <c r="B9" s="381"/>
      <c r="C9" s="382"/>
      <c r="D9" s="383"/>
      <c r="E9" s="384" t="str">
        <f t="shared" ref="E9:M9" si="5">if(E10=1,"O", if(E10=2,"O   O",""))</f>
        <v>O</v>
      </c>
      <c r="F9" s="385" t="str">
        <f t="shared" si="5"/>
        <v>O</v>
      </c>
      <c r="G9" s="386" t="str">
        <f t="shared" si="5"/>
        <v/>
      </c>
      <c r="H9" s="385" t="str">
        <f t="shared" si="5"/>
        <v/>
      </c>
      <c r="I9" s="386" t="str">
        <f t="shared" si="5"/>
        <v>O</v>
      </c>
      <c r="J9" s="385" t="str">
        <f t="shared" si="5"/>
        <v/>
      </c>
      <c r="K9" s="386" t="str">
        <f t="shared" si="5"/>
        <v/>
      </c>
      <c r="L9" s="385" t="str">
        <f t="shared" si="5"/>
        <v>O</v>
      </c>
      <c r="M9" s="386" t="str">
        <f t="shared" si="5"/>
        <v/>
      </c>
      <c r="N9" s="387"/>
      <c r="O9" s="351"/>
      <c r="P9" s="388"/>
      <c r="Q9" s="384" t="str">
        <f t="shared" ref="Q9:Y9" si="6">if(Q10=1,"O", if(Q10=2,"O   O",""))</f>
        <v/>
      </c>
      <c r="R9" s="385" t="str">
        <f t="shared" si="6"/>
        <v>O</v>
      </c>
      <c r="S9" s="386" t="str">
        <f t="shared" si="6"/>
        <v/>
      </c>
      <c r="T9" s="385" t="str">
        <f t="shared" si="6"/>
        <v/>
      </c>
      <c r="U9" s="386" t="str">
        <f t="shared" si="6"/>
        <v/>
      </c>
      <c r="V9" s="385" t="str">
        <f t="shared" si="6"/>
        <v>O</v>
      </c>
      <c r="W9" s="386" t="str">
        <f t="shared" si="6"/>
        <v>O</v>
      </c>
      <c r="X9" s="385" t="str">
        <f t="shared" si="6"/>
        <v/>
      </c>
      <c r="Y9" s="386" t="str">
        <f t="shared" si="6"/>
        <v>O</v>
      </c>
      <c r="Z9" s="389"/>
      <c r="AA9" s="390"/>
      <c r="AB9" s="391"/>
    </row>
    <row r="10" ht="22.5" hidden="1" customHeight="1">
      <c r="A10" s="392"/>
      <c r="B10" s="393"/>
      <c r="C10" s="394"/>
      <c r="D10" s="359"/>
      <c r="E10" s="360">
        <f t="shared" ref="E10:M10" si="7">IF($D11&gt;0,FLOOR($D11/18,1),0)+IF(AND(MOD($D11,18)&gt;=E$2,$D11&gt;0),1,0)-IF(E$2-18&gt;$D11,1,0)</f>
        <v>1</v>
      </c>
      <c r="F10" s="361">
        <f t="shared" si="7"/>
        <v>1</v>
      </c>
      <c r="G10" s="362">
        <f t="shared" si="7"/>
        <v>0</v>
      </c>
      <c r="H10" s="361">
        <f t="shared" si="7"/>
        <v>0</v>
      </c>
      <c r="I10" s="362">
        <f t="shared" si="7"/>
        <v>1</v>
      </c>
      <c r="J10" s="361">
        <f t="shared" si="7"/>
        <v>0</v>
      </c>
      <c r="K10" s="362">
        <f t="shared" si="7"/>
        <v>0</v>
      </c>
      <c r="L10" s="361">
        <f t="shared" si="7"/>
        <v>1</v>
      </c>
      <c r="M10" s="362">
        <f t="shared" si="7"/>
        <v>0</v>
      </c>
      <c r="N10" s="363"/>
      <c r="O10" s="364"/>
      <c r="P10" s="395"/>
      <c r="Q10" s="360">
        <f t="shared" ref="Q10:Y10" si="8">IF($D11&gt;0,FLOOR($D11/18,1),0)+IF(AND(MOD($D11,18)&gt;=Q$2,$D11&gt;0),1,0)-IF(Q$2-18&gt;$D11,1,0)</f>
        <v>0</v>
      </c>
      <c r="R10" s="361">
        <f t="shared" si="8"/>
        <v>1</v>
      </c>
      <c r="S10" s="362">
        <f t="shared" si="8"/>
        <v>0</v>
      </c>
      <c r="T10" s="361">
        <f t="shared" si="8"/>
        <v>0</v>
      </c>
      <c r="U10" s="362">
        <f t="shared" si="8"/>
        <v>0</v>
      </c>
      <c r="V10" s="361">
        <f t="shared" si="8"/>
        <v>1</v>
      </c>
      <c r="W10" s="362">
        <f t="shared" si="8"/>
        <v>1</v>
      </c>
      <c r="X10" s="361">
        <f t="shared" si="8"/>
        <v>0</v>
      </c>
      <c r="Y10" s="362">
        <f t="shared" si="8"/>
        <v>1</v>
      </c>
      <c r="Z10" s="366"/>
      <c r="AA10" s="367"/>
      <c r="AB10" s="368"/>
    </row>
    <row r="11" ht="27.0" customHeight="1">
      <c r="A11" s="396" t="str">
        <f>'Match Selection'!D5</f>
        <v>Joe O</v>
      </c>
      <c r="B11" s="397" t="str">
        <f>vlookup(A11, 'Master Input'!$A$11:$B$27, 2, false)</f>
        <v>Drivers</v>
      </c>
      <c r="C11" s="371">
        <f>vlookup(A11,'Master Input'!$A$11:$L$27,'Master Input'!$F$28, false)</f>
        <v>17</v>
      </c>
      <c r="D11" s="372">
        <f>C11-SMALL($C$8:$C$17,1)</f>
        <v>8</v>
      </c>
      <c r="E11" s="373">
        <v>7.0</v>
      </c>
      <c r="F11" s="374">
        <v>6.0</v>
      </c>
      <c r="G11" s="375">
        <v>4.0</v>
      </c>
      <c r="H11" s="374">
        <v>6.0</v>
      </c>
      <c r="I11" s="375">
        <v>7.0</v>
      </c>
      <c r="J11" s="374">
        <v>7.0</v>
      </c>
      <c r="K11" s="375">
        <v>5.0</v>
      </c>
      <c r="L11" s="374">
        <v>6.0</v>
      </c>
      <c r="M11" s="375">
        <v>6.0</v>
      </c>
      <c r="N11" s="376">
        <f>if(M11="","", sum(E11:M11))</f>
        <v>54</v>
      </c>
      <c r="O11" s="364"/>
      <c r="P11" s="377" t="str">
        <f>A11</f>
        <v>Joe O</v>
      </c>
      <c r="Q11" s="373">
        <v>5.0</v>
      </c>
      <c r="R11" s="374">
        <v>6.0</v>
      </c>
      <c r="S11" s="375">
        <v>5.0</v>
      </c>
      <c r="T11" s="374">
        <v>5.0</v>
      </c>
      <c r="U11" s="375">
        <v>5.0</v>
      </c>
      <c r="V11" s="374">
        <v>4.0</v>
      </c>
      <c r="W11" s="375">
        <v>11.0</v>
      </c>
      <c r="X11" s="374">
        <v>5.0</v>
      </c>
      <c r="Y11" s="375">
        <v>8.0</v>
      </c>
      <c r="Z11" s="376">
        <f>if(Y11="","", sum(Q11:Y11))</f>
        <v>54</v>
      </c>
      <c r="AA11" s="378">
        <f>if(Z11="", "", sum(N11,Z11))</f>
        <v>108</v>
      </c>
      <c r="AB11" s="379">
        <f>if(Y11="", "", AA11-C11)</f>
        <v>91</v>
      </c>
    </row>
    <row r="12" ht="7.5" customHeight="1">
      <c r="A12" s="398"/>
      <c r="B12" s="399"/>
      <c r="C12" s="400"/>
      <c r="D12" s="401"/>
      <c r="E12" s="402" t="str">
        <f t="shared" ref="E12:M12" si="9">if(E13=1,"O", if(E13=2,"O   O",""))</f>
        <v/>
      </c>
      <c r="F12" s="403" t="str">
        <f t="shared" si="9"/>
        <v/>
      </c>
      <c r="G12" s="404" t="str">
        <f t="shared" si="9"/>
        <v/>
      </c>
      <c r="H12" s="403" t="str">
        <f t="shared" si="9"/>
        <v/>
      </c>
      <c r="I12" s="404" t="str">
        <f t="shared" si="9"/>
        <v/>
      </c>
      <c r="J12" s="403" t="str">
        <f t="shared" si="9"/>
        <v/>
      </c>
      <c r="K12" s="404" t="str">
        <f t="shared" si="9"/>
        <v/>
      </c>
      <c r="L12" s="403" t="str">
        <f t="shared" si="9"/>
        <v/>
      </c>
      <c r="M12" s="404" t="str">
        <f t="shared" si="9"/>
        <v/>
      </c>
      <c r="N12" s="405"/>
      <c r="O12" s="351"/>
      <c r="P12" s="406"/>
      <c r="Q12" s="402" t="str">
        <f t="shared" ref="Q12:Y12" si="10">if(Q13=1,"O", if(Q13=2,"O   O",""))</f>
        <v/>
      </c>
      <c r="R12" s="403" t="str">
        <f t="shared" si="10"/>
        <v/>
      </c>
      <c r="S12" s="404" t="str">
        <f t="shared" si="10"/>
        <v/>
      </c>
      <c r="T12" s="403" t="str">
        <f t="shared" si="10"/>
        <v/>
      </c>
      <c r="U12" s="404" t="str">
        <f t="shared" si="10"/>
        <v/>
      </c>
      <c r="V12" s="403" t="str">
        <f t="shared" si="10"/>
        <v/>
      </c>
      <c r="W12" s="404" t="str">
        <f t="shared" si="10"/>
        <v/>
      </c>
      <c r="X12" s="403" t="str">
        <f t="shared" si="10"/>
        <v/>
      </c>
      <c r="Y12" s="404" t="str">
        <f t="shared" si="10"/>
        <v/>
      </c>
      <c r="Z12" s="407"/>
      <c r="AA12" s="408"/>
      <c r="AB12" s="409"/>
    </row>
    <row r="13" ht="22.5" hidden="1" customHeight="1">
      <c r="A13" s="410"/>
      <c r="B13" s="411"/>
      <c r="C13" s="412"/>
      <c r="D13" s="413"/>
      <c r="E13" s="414">
        <f t="shared" ref="E13:M13" si="11">IF($D14&gt;0,FLOOR($D14/18,1),0)+IF(AND(MOD($D14,18)&gt;=E$2,$D14&gt;0),1,0)-IF(E$2-18&gt;$D14,1,0)</f>
        <v>0</v>
      </c>
      <c r="F13" s="415">
        <f t="shared" si="11"/>
        <v>0</v>
      </c>
      <c r="G13" s="416">
        <f t="shared" si="11"/>
        <v>0</v>
      </c>
      <c r="H13" s="415">
        <f t="shared" si="11"/>
        <v>0</v>
      </c>
      <c r="I13" s="416">
        <f t="shared" si="11"/>
        <v>0</v>
      </c>
      <c r="J13" s="415">
        <f t="shared" si="11"/>
        <v>0</v>
      </c>
      <c r="K13" s="416">
        <f t="shared" si="11"/>
        <v>0</v>
      </c>
      <c r="L13" s="415">
        <f t="shared" si="11"/>
        <v>0</v>
      </c>
      <c r="M13" s="416">
        <f t="shared" si="11"/>
        <v>0</v>
      </c>
      <c r="N13" s="363"/>
      <c r="O13" s="364"/>
      <c r="P13" s="417"/>
      <c r="Q13" s="414">
        <f t="shared" ref="Q13:Y13" si="12">IF($D14&gt;0,FLOOR($D14/18,1),0)+IF(AND(MOD($D14,18)&gt;=Q$2,$D14&gt;0),1,0)-IF(Q$2-18&gt;$D14,1,0)</f>
        <v>0</v>
      </c>
      <c r="R13" s="415">
        <f t="shared" si="12"/>
        <v>0</v>
      </c>
      <c r="S13" s="416">
        <f t="shared" si="12"/>
        <v>0</v>
      </c>
      <c r="T13" s="415">
        <f t="shared" si="12"/>
        <v>0</v>
      </c>
      <c r="U13" s="416">
        <f t="shared" si="12"/>
        <v>0</v>
      </c>
      <c r="V13" s="415">
        <f t="shared" si="12"/>
        <v>0</v>
      </c>
      <c r="W13" s="416">
        <f t="shared" si="12"/>
        <v>0</v>
      </c>
      <c r="X13" s="415">
        <f t="shared" si="12"/>
        <v>0</v>
      </c>
      <c r="Y13" s="416">
        <f t="shared" si="12"/>
        <v>0</v>
      </c>
      <c r="Z13" s="366"/>
      <c r="AA13" s="418"/>
      <c r="AB13" s="368"/>
    </row>
    <row r="14" ht="27.0" customHeight="1">
      <c r="A14" s="419" t="str">
        <f>'Match Selection'!G4</f>
        <v>CuzNick</v>
      </c>
      <c r="B14" s="420" t="str">
        <f>vlookup(A14, 'Master Input'!$A$11:$B$27, 2, false)</f>
        <v>Irons</v>
      </c>
      <c r="C14" s="421">
        <f>vlookup(A14,'Master Input'!$A$11:$L$27,'Master Input'!$F$28, false)</f>
        <v>9</v>
      </c>
      <c r="D14" s="422">
        <f>C14-SMALL($C$8:$C$17,1)</f>
        <v>0</v>
      </c>
      <c r="E14" s="423">
        <v>5.0</v>
      </c>
      <c r="F14" s="424">
        <v>5.0</v>
      </c>
      <c r="G14" s="425">
        <v>3.0</v>
      </c>
      <c r="H14" s="424">
        <v>4.0</v>
      </c>
      <c r="I14" s="425">
        <v>4.0</v>
      </c>
      <c r="J14" s="424">
        <v>5.0</v>
      </c>
      <c r="K14" s="425">
        <v>4.0</v>
      </c>
      <c r="L14" s="424">
        <v>3.0</v>
      </c>
      <c r="M14" s="425">
        <v>5.0</v>
      </c>
      <c r="N14" s="376">
        <f>if(M14="","", sum(E14:M14))</f>
        <v>38</v>
      </c>
      <c r="O14" s="364"/>
      <c r="P14" s="426" t="str">
        <f>A14</f>
        <v>CuzNick</v>
      </c>
      <c r="Q14" s="423">
        <v>4.0</v>
      </c>
      <c r="R14" s="424">
        <v>6.0</v>
      </c>
      <c r="S14" s="425">
        <v>4.0</v>
      </c>
      <c r="T14" s="424">
        <v>3.0</v>
      </c>
      <c r="U14" s="425">
        <v>5.0</v>
      </c>
      <c r="V14" s="424">
        <v>5.0</v>
      </c>
      <c r="W14" s="425">
        <v>4.0</v>
      </c>
      <c r="X14" s="424">
        <v>4.0</v>
      </c>
      <c r="Y14" s="425">
        <v>5.0</v>
      </c>
      <c r="Z14" s="376">
        <f>if(Y14="","", sum(Q14:Y14))</f>
        <v>40</v>
      </c>
      <c r="AA14" s="427">
        <f>if(Z14="", "", sum(N14,Z14))</f>
        <v>78</v>
      </c>
      <c r="AB14" s="379">
        <f>if(Y14="", "", AA14-C14)</f>
        <v>69</v>
      </c>
    </row>
    <row r="15" ht="7.5" customHeight="1">
      <c r="A15" s="398"/>
      <c r="B15" s="399"/>
      <c r="C15" s="400"/>
      <c r="D15" s="401"/>
      <c r="E15" s="402" t="str">
        <f t="shared" ref="E15:M15" si="13">if(E16=1,"O", if(E16=2,"O   O",""))</f>
        <v>O   O</v>
      </c>
      <c r="F15" s="403" t="str">
        <f t="shared" si="13"/>
        <v>O   O</v>
      </c>
      <c r="G15" s="404" t="str">
        <f t="shared" si="13"/>
        <v>O</v>
      </c>
      <c r="H15" s="403" t="str">
        <f t="shared" si="13"/>
        <v>O</v>
      </c>
      <c r="I15" s="404" t="str">
        <f t="shared" si="13"/>
        <v>O   O</v>
      </c>
      <c r="J15" s="403" t="str">
        <f t="shared" si="13"/>
        <v>O</v>
      </c>
      <c r="K15" s="404" t="str">
        <f t="shared" si="13"/>
        <v>O</v>
      </c>
      <c r="L15" s="403" t="str">
        <f t="shared" si="13"/>
        <v>O   O</v>
      </c>
      <c r="M15" s="404" t="str">
        <f t="shared" si="13"/>
        <v>O</v>
      </c>
      <c r="N15" s="405"/>
      <c r="O15" s="351"/>
      <c r="P15" s="406"/>
      <c r="Q15" s="402" t="str">
        <f t="shared" ref="Q15:Y15" si="14">if(Q16=1,"O", if(Q16=2,"O   O",""))</f>
        <v>O</v>
      </c>
      <c r="R15" s="403" t="str">
        <f t="shared" si="14"/>
        <v>O   O</v>
      </c>
      <c r="S15" s="404" t="str">
        <f t="shared" si="14"/>
        <v>O   O</v>
      </c>
      <c r="T15" s="403" t="str">
        <f t="shared" si="14"/>
        <v>O</v>
      </c>
      <c r="U15" s="404" t="str">
        <f t="shared" si="14"/>
        <v>O</v>
      </c>
      <c r="V15" s="403" t="str">
        <f t="shared" si="14"/>
        <v>O   O</v>
      </c>
      <c r="W15" s="404" t="str">
        <f t="shared" si="14"/>
        <v>O   O</v>
      </c>
      <c r="X15" s="403" t="str">
        <f t="shared" si="14"/>
        <v>O</v>
      </c>
      <c r="Y15" s="404" t="str">
        <f t="shared" si="14"/>
        <v>O   O</v>
      </c>
      <c r="Z15" s="407"/>
      <c r="AA15" s="428"/>
      <c r="AB15" s="409"/>
    </row>
    <row r="16" ht="22.5" hidden="1" customHeight="1">
      <c r="A16" s="410"/>
      <c r="B16" s="411"/>
      <c r="C16" s="412"/>
      <c r="D16" s="413"/>
      <c r="E16" s="414">
        <f t="shared" ref="E16:M16" si="15">IF($D17&gt;0,FLOOR($D17/18,1),0)+IF(AND(MOD($D17,18)&gt;=E$2,$D17&gt;0),1,0)-IF(E$2-18&gt;$D17,1,0)</f>
        <v>2</v>
      </c>
      <c r="F16" s="415">
        <f t="shared" si="15"/>
        <v>2</v>
      </c>
      <c r="G16" s="416">
        <f t="shared" si="15"/>
        <v>1</v>
      </c>
      <c r="H16" s="415">
        <f t="shared" si="15"/>
        <v>1</v>
      </c>
      <c r="I16" s="416">
        <f t="shared" si="15"/>
        <v>2</v>
      </c>
      <c r="J16" s="415">
        <f t="shared" si="15"/>
        <v>1</v>
      </c>
      <c r="K16" s="416">
        <f t="shared" si="15"/>
        <v>1</v>
      </c>
      <c r="L16" s="415">
        <f t="shared" si="15"/>
        <v>2</v>
      </c>
      <c r="M16" s="416">
        <f t="shared" si="15"/>
        <v>1</v>
      </c>
      <c r="N16" s="363"/>
      <c r="O16" s="364"/>
      <c r="P16" s="417"/>
      <c r="Q16" s="414">
        <f t="shared" ref="Q16:Y16" si="16">IF($D17&gt;0,FLOOR($D17/18,1),0)+IF(AND(MOD($D17,18)&gt;=Q$2,$D17&gt;0),1,0)-IF(Q$2-18&gt;$D17,1,0)</f>
        <v>1</v>
      </c>
      <c r="R16" s="415">
        <f t="shared" si="16"/>
        <v>2</v>
      </c>
      <c r="S16" s="416">
        <f t="shared" si="16"/>
        <v>2</v>
      </c>
      <c r="T16" s="415">
        <f t="shared" si="16"/>
        <v>1</v>
      </c>
      <c r="U16" s="416">
        <f t="shared" si="16"/>
        <v>1</v>
      </c>
      <c r="V16" s="415">
        <f t="shared" si="16"/>
        <v>2</v>
      </c>
      <c r="W16" s="416">
        <f t="shared" si="16"/>
        <v>2</v>
      </c>
      <c r="X16" s="415">
        <f t="shared" si="16"/>
        <v>1</v>
      </c>
      <c r="Y16" s="416">
        <f t="shared" si="16"/>
        <v>2</v>
      </c>
      <c r="Z16" s="366"/>
      <c r="AA16" s="418"/>
      <c r="AB16" s="368"/>
    </row>
    <row r="17" ht="27.0" customHeight="1">
      <c r="A17" s="429" t="str">
        <f>'Match Selection'!G5</f>
        <v>Saugy</v>
      </c>
      <c r="B17" s="430" t="str">
        <f>vlookup(A17, 'Master Input'!$A$11:$B$27, 2, false)</f>
        <v>Irons</v>
      </c>
      <c r="C17" s="431">
        <f>vlookup(A17,'Master Input'!$A$11:$L$27,'Master Input'!$F$28, false)</f>
        <v>36</v>
      </c>
      <c r="D17" s="432">
        <f>C17-SMALL($C$8:$C$17,1)</f>
        <v>27</v>
      </c>
      <c r="E17" s="433">
        <v>7.0</v>
      </c>
      <c r="F17" s="434">
        <v>6.0</v>
      </c>
      <c r="G17" s="435">
        <v>3.0</v>
      </c>
      <c r="H17" s="434">
        <v>10.0</v>
      </c>
      <c r="I17" s="435">
        <v>7.0</v>
      </c>
      <c r="J17" s="434">
        <v>5.0</v>
      </c>
      <c r="K17" s="435">
        <v>4.0</v>
      </c>
      <c r="L17" s="434">
        <v>6.0</v>
      </c>
      <c r="M17" s="435">
        <v>6.0</v>
      </c>
      <c r="N17" s="436">
        <f>if(M17="","", sum(E17:M17))</f>
        <v>54</v>
      </c>
      <c r="O17" s="364"/>
      <c r="P17" s="437" t="str">
        <f>A17</f>
        <v>Saugy</v>
      </c>
      <c r="Q17" s="433">
        <v>5.0</v>
      </c>
      <c r="R17" s="434">
        <v>6.0</v>
      </c>
      <c r="S17" s="435">
        <v>6.0</v>
      </c>
      <c r="T17" s="434">
        <v>4.0</v>
      </c>
      <c r="U17" s="435">
        <v>6.0</v>
      </c>
      <c r="V17" s="434">
        <v>9.0</v>
      </c>
      <c r="W17" s="435">
        <v>9.0</v>
      </c>
      <c r="X17" s="434">
        <v>3.0</v>
      </c>
      <c r="Y17" s="435">
        <v>9.0</v>
      </c>
      <c r="Z17" s="436">
        <f>if(Y17="","", sum(Q17:Y17))</f>
        <v>57</v>
      </c>
      <c r="AA17" s="438">
        <f>if(Z17="", "", sum(N17,Z17))</f>
        <v>111</v>
      </c>
      <c r="AB17" s="439">
        <f>if(Y17="", "", AA17-C17)</f>
        <v>75</v>
      </c>
    </row>
    <row r="18" ht="11.25" customHeight="1">
      <c r="A18" s="440"/>
      <c r="B18" s="441"/>
      <c r="C18" s="442"/>
      <c r="D18" s="443"/>
      <c r="E18" s="441"/>
      <c r="F18" s="441"/>
      <c r="G18" s="441"/>
      <c r="H18" s="441"/>
      <c r="I18" s="441"/>
      <c r="J18" s="441"/>
      <c r="K18" s="441"/>
      <c r="L18" s="441"/>
      <c r="M18" s="441"/>
      <c r="N18" s="444" t="s">
        <v>7</v>
      </c>
      <c r="O18" s="445"/>
      <c r="P18" s="441"/>
      <c r="Q18" s="441"/>
      <c r="R18" s="441"/>
      <c r="S18" s="441"/>
      <c r="T18" s="441"/>
      <c r="U18" s="441"/>
      <c r="V18" s="441"/>
      <c r="W18" s="441"/>
      <c r="X18" s="441"/>
      <c r="Y18" s="441"/>
      <c r="Z18" s="443"/>
      <c r="AA18" s="446"/>
      <c r="AB18" s="447" t="s">
        <v>64</v>
      </c>
    </row>
    <row r="19" ht="27.0" customHeight="1">
      <c r="A19" s="448" t="str">
        <f>B8&amp;" Status"</f>
        <v>Drivers Status</v>
      </c>
      <c r="B19" s="449" t="s">
        <v>65</v>
      </c>
      <c r="C19" s="450"/>
      <c r="D19" s="451"/>
      <c r="E19" s="452">
        <f>if(E23="","",E23)</f>
        <v>-1</v>
      </c>
      <c r="F19" s="453">
        <f t="shared" ref="F19:M19" si="17">if(F23="","",F23+E19)</f>
        <v>-2</v>
      </c>
      <c r="G19" s="453">
        <f t="shared" si="17"/>
        <v>-3</v>
      </c>
      <c r="H19" s="453">
        <f t="shared" si="17"/>
        <v>-4</v>
      </c>
      <c r="I19" s="453">
        <f t="shared" si="17"/>
        <v>-3</v>
      </c>
      <c r="J19" s="453">
        <f t="shared" si="17"/>
        <v>-4</v>
      </c>
      <c r="K19" s="453">
        <f t="shared" si="17"/>
        <v>-5</v>
      </c>
      <c r="L19" s="453">
        <f t="shared" si="17"/>
        <v>-6</v>
      </c>
      <c r="M19" s="453">
        <f t="shared" si="17"/>
        <v>-7</v>
      </c>
      <c r="N19" s="454">
        <f>if(M19="", "", if(M19&lt;0, 0, if(M19&gt;0, vlookup($B$2,'Master Input'!$O$12:$R$23,'Master Input'!P$11,false), vlookup($B$2,'Master Input'!$O$12:$R$23,'Master Input'!P$11,false)*0.5)))</f>
        <v>0</v>
      </c>
      <c r="O19" s="455"/>
      <c r="P19" s="456" t="s">
        <v>66</v>
      </c>
      <c r="Q19" s="457">
        <f>if(Q23="","",Q23+M19)</f>
        <v>-7</v>
      </c>
      <c r="R19" s="458">
        <f t="shared" ref="R19:Y19" si="18">if(R23="","",R23+Q19)</f>
        <v>-7</v>
      </c>
      <c r="S19" s="458">
        <f t="shared" si="18"/>
        <v>-7</v>
      </c>
      <c r="T19" s="458">
        <f t="shared" si="18"/>
        <v>-8</v>
      </c>
      <c r="U19" s="458">
        <f t="shared" si="18"/>
        <v>-8</v>
      </c>
      <c r="V19" s="458">
        <f t="shared" si="18"/>
        <v>-7</v>
      </c>
      <c r="W19" s="458">
        <f t="shared" si="18"/>
        <v>-8</v>
      </c>
      <c r="X19" s="458">
        <f t="shared" si="18"/>
        <v>-9</v>
      </c>
      <c r="Y19" s="458">
        <f t="shared" si="18"/>
        <v>-8</v>
      </c>
      <c r="Z19" s="459">
        <f>if(Y19="", "", if(Y19&lt;0, 0, if(Y19&gt;0, vlookup($B$2,'Master Input'!$O$12:$R$23,'Master Input'!R$11,false), vlookup($B$2,'Master Input'!$O$12:$R$23,'Master Input'!R$11,false)*0.5)))</f>
        <v>0</v>
      </c>
      <c r="AA19" s="460" t="s">
        <v>9</v>
      </c>
      <c r="AB19" s="461">
        <f>if(Z19="","", sum(N19,Z19,Z20))</f>
        <v>0</v>
      </c>
    </row>
    <row r="20" ht="27.0" customHeight="1">
      <c r="A20" s="462"/>
      <c r="B20" s="462"/>
      <c r="C20" s="463"/>
      <c r="D20" s="462"/>
      <c r="E20" s="464"/>
      <c r="F20" s="464"/>
      <c r="G20" s="464"/>
      <c r="H20" s="464"/>
      <c r="I20" s="464"/>
      <c r="J20" s="464"/>
      <c r="K20" s="464"/>
      <c r="L20" s="464"/>
      <c r="M20" s="464"/>
      <c r="N20" s="462"/>
      <c r="O20" s="455"/>
      <c r="P20" s="465" t="s">
        <v>67</v>
      </c>
      <c r="Q20" s="466">
        <f>if(Q23="","",Q23)</f>
        <v>0</v>
      </c>
      <c r="R20" s="467">
        <f t="shared" ref="R20:Y20" si="19">if(R23="","",R23+Q20)</f>
        <v>0</v>
      </c>
      <c r="S20" s="467">
        <f t="shared" si="19"/>
        <v>0</v>
      </c>
      <c r="T20" s="467">
        <f t="shared" si="19"/>
        <v>-1</v>
      </c>
      <c r="U20" s="467">
        <f t="shared" si="19"/>
        <v>-1</v>
      </c>
      <c r="V20" s="467">
        <f t="shared" si="19"/>
        <v>0</v>
      </c>
      <c r="W20" s="467">
        <f t="shared" si="19"/>
        <v>-1</v>
      </c>
      <c r="X20" s="467">
        <f t="shared" si="19"/>
        <v>-2</v>
      </c>
      <c r="Y20" s="467">
        <f t="shared" si="19"/>
        <v>-1</v>
      </c>
      <c r="Z20" s="468">
        <f>if(Y20="", "", if(Y20&lt;0, 0, if(Y20&gt;0, vlookup($B$2,'Master Input'!$O$12:$R$23,'Master Input'!Q$11,false), vlookup($B$2,'Master Input'!$O$12:$R$23,'Master Input'!Q$11,false)*0.5)))</f>
        <v>0</v>
      </c>
      <c r="AA20" s="460" t="s">
        <v>8</v>
      </c>
      <c r="AB20" s="469">
        <f>if(AB19="","",vlookup($B$2,'Master Input'!$O$12:$R$23,2,false)+vlookup($B$2,'Master Input'!$O$12:$R$23,3,false)+vlookup($B$2,'Master Input'!$O$12:$R$23,4,false)-AB19)</f>
        <v>4</v>
      </c>
    </row>
    <row r="21" ht="22.5" hidden="1" customHeight="1">
      <c r="A21" s="470"/>
      <c r="B21" s="471"/>
      <c r="C21" s="471"/>
      <c r="D21" s="471"/>
      <c r="E21" s="471"/>
      <c r="F21" s="471"/>
      <c r="G21" s="471"/>
      <c r="H21" s="471"/>
      <c r="I21" s="471"/>
      <c r="J21" s="471"/>
      <c r="K21" s="471"/>
      <c r="L21" s="471"/>
      <c r="M21" s="471"/>
      <c r="N21" s="470"/>
      <c r="O21" s="472"/>
      <c r="P21" s="473"/>
      <c r="Q21" s="474"/>
      <c r="R21" s="474"/>
      <c r="S21" s="474"/>
      <c r="T21" s="474"/>
      <c r="U21" s="474"/>
      <c r="V21" s="474"/>
      <c r="W21" s="474"/>
      <c r="X21" s="474"/>
      <c r="Y21" s="473"/>
      <c r="Z21" s="473"/>
      <c r="AA21" s="475"/>
      <c r="AB21" s="476"/>
    </row>
    <row r="22" hidden="1">
      <c r="A22" s="470"/>
      <c r="B22" s="477">
        <v>1.0</v>
      </c>
      <c r="C22" s="477">
        <v>2.0</v>
      </c>
      <c r="D22" s="477">
        <v>3.0</v>
      </c>
      <c r="E22" s="477">
        <v>4.0</v>
      </c>
      <c r="F22" s="477">
        <v>5.0</v>
      </c>
      <c r="G22" s="477">
        <v>6.0</v>
      </c>
      <c r="H22" s="477">
        <v>7.0</v>
      </c>
      <c r="I22" s="477">
        <v>8.0</v>
      </c>
      <c r="J22" s="477">
        <v>9.0</v>
      </c>
      <c r="K22" s="477">
        <v>10.0</v>
      </c>
      <c r="L22" s="477">
        <v>11.0</v>
      </c>
      <c r="M22" s="477">
        <v>12.0</v>
      </c>
      <c r="N22" s="477">
        <v>13.0</v>
      </c>
      <c r="O22" s="477">
        <v>14.0</v>
      </c>
      <c r="P22" s="477">
        <v>15.0</v>
      </c>
      <c r="Q22" s="477">
        <v>16.0</v>
      </c>
      <c r="R22" s="477">
        <v>17.0</v>
      </c>
      <c r="S22" s="477">
        <v>18.0</v>
      </c>
      <c r="T22" s="477">
        <v>19.0</v>
      </c>
      <c r="U22" s="477">
        <v>20.0</v>
      </c>
      <c r="V22" s="477">
        <v>21.0</v>
      </c>
      <c r="W22" s="477">
        <v>22.0</v>
      </c>
      <c r="X22" s="477">
        <v>23.0</v>
      </c>
      <c r="Y22" s="477">
        <v>24.0</v>
      </c>
      <c r="Z22" s="478" t="s">
        <v>51</v>
      </c>
      <c r="AA22" s="478" t="s">
        <v>68</v>
      </c>
      <c r="AB22" s="479" t="s">
        <v>69</v>
      </c>
    </row>
    <row r="23" ht="14.25" hidden="1" customHeight="1">
      <c r="A23" s="471"/>
      <c r="B23" s="470" t="s">
        <v>70</v>
      </c>
      <c r="C23" s="480"/>
      <c r="D23" s="470"/>
      <c r="E23" s="481">
        <f t="shared" ref="E23:M23" si="20">if(OR(E8="", E11="", E14="", E17=""), "",
if(small({E8-E7,E11-E10},1)&lt;small({E14-E13,E17-E16},1),1,
if(small({E8-E7,E11-E10},1)&gt;small({E14-E13,E17-E16},1),-1,
0)))</f>
        <v>-1</v>
      </c>
      <c r="F23" s="481">
        <f t="shared" si="20"/>
        <v>-1</v>
      </c>
      <c r="G23" s="481">
        <f t="shared" si="20"/>
        <v>-1</v>
      </c>
      <c r="H23" s="481">
        <f t="shared" si="20"/>
        <v>-1</v>
      </c>
      <c r="I23" s="481">
        <f t="shared" si="20"/>
        <v>1</v>
      </c>
      <c r="J23" s="481">
        <f t="shared" si="20"/>
        <v>-1</v>
      </c>
      <c r="K23" s="481">
        <f t="shared" si="20"/>
        <v>-1</v>
      </c>
      <c r="L23" s="481">
        <f t="shared" si="20"/>
        <v>-1</v>
      </c>
      <c r="M23" s="481">
        <f t="shared" si="20"/>
        <v>-1</v>
      </c>
      <c r="N23" s="470"/>
      <c r="O23" s="473"/>
      <c r="P23" s="473"/>
      <c r="Q23" s="481">
        <f t="shared" ref="Q23:Y23" si="21">if(OR(Q8="", Q11="", Q14="", Q17=""), "",
if(small({Q8-Q7,Q11-Q10},1)&lt;small({Q14-Q13,Q17-Q16},1),1,
if(small({Q8-Q7,Q11-Q10},1)&gt;small({Q14-Q13,Q17-Q16},1),-1,
0)))</f>
        <v>0</v>
      </c>
      <c r="R23" s="481">
        <f t="shared" si="21"/>
        <v>0</v>
      </c>
      <c r="S23" s="481">
        <f t="shared" si="21"/>
        <v>0</v>
      </c>
      <c r="T23" s="481">
        <f t="shared" si="21"/>
        <v>-1</v>
      </c>
      <c r="U23" s="481">
        <f t="shared" si="21"/>
        <v>0</v>
      </c>
      <c r="V23" s="481">
        <f t="shared" si="21"/>
        <v>1</v>
      </c>
      <c r="W23" s="481">
        <f t="shared" si="21"/>
        <v>-1</v>
      </c>
      <c r="X23" s="481">
        <f t="shared" si="21"/>
        <v>-1</v>
      </c>
      <c r="Y23" s="481">
        <f t="shared" si="21"/>
        <v>1</v>
      </c>
      <c r="Z23" s="478" t="s">
        <v>71</v>
      </c>
      <c r="AA23" s="478" t="s">
        <v>72</v>
      </c>
      <c r="AB23" s="482" t="s">
        <v>73</v>
      </c>
    </row>
    <row r="24" ht="14.25" hidden="1" customHeight="1">
      <c r="A24" s="483"/>
      <c r="B24" s="483" t="str">
        <f>B8</f>
        <v>Drivers</v>
      </c>
      <c r="C24" s="484"/>
      <c r="D24" s="483"/>
      <c r="E24" s="485">
        <f t="shared" ref="E24:M24" si="22">if(E23="","",(E23+1)/2)</f>
        <v>0</v>
      </c>
      <c r="F24" s="485">
        <f t="shared" si="22"/>
        <v>0</v>
      </c>
      <c r="G24" s="485">
        <f t="shared" si="22"/>
        <v>0</v>
      </c>
      <c r="H24" s="485">
        <f t="shared" si="22"/>
        <v>0</v>
      </c>
      <c r="I24" s="485">
        <f t="shared" si="22"/>
        <v>1</v>
      </c>
      <c r="J24" s="485">
        <f t="shared" si="22"/>
        <v>0</v>
      </c>
      <c r="K24" s="485">
        <f t="shared" si="22"/>
        <v>0</v>
      </c>
      <c r="L24" s="485">
        <f t="shared" si="22"/>
        <v>0</v>
      </c>
      <c r="M24" s="485">
        <f t="shared" si="22"/>
        <v>0</v>
      </c>
      <c r="N24" s="486">
        <f>if(M23="","",sum(E24:M24))</f>
        <v>1</v>
      </c>
      <c r="O24" s="483"/>
      <c r="P24" s="483"/>
      <c r="Q24" s="485">
        <f t="shared" ref="Q24:Y24" si="23">if(Q23="","",(Q23+1)/2)</f>
        <v>0.5</v>
      </c>
      <c r="R24" s="485">
        <f t="shared" si="23"/>
        <v>0.5</v>
      </c>
      <c r="S24" s="485">
        <f t="shared" si="23"/>
        <v>0.5</v>
      </c>
      <c r="T24" s="485">
        <f t="shared" si="23"/>
        <v>0</v>
      </c>
      <c r="U24" s="485">
        <f t="shared" si="23"/>
        <v>0.5</v>
      </c>
      <c r="V24" s="485">
        <f t="shared" si="23"/>
        <v>1</v>
      </c>
      <c r="W24" s="485">
        <f t="shared" si="23"/>
        <v>0</v>
      </c>
      <c r="X24" s="485">
        <f t="shared" si="23"/>
        <v>0</v>
      </c>
      <c r="Y24" s="485">
        <f t="shared" si="23"/>
        <v>1</v>
      </c>
      <c r="Z24" s="486">
        <f>if(Y23="","",sum(Q24:Y24))</f>
        <v>4</v>
      </c>
      <c r="AA24" s="487">
        <f>if(Y23="","",sum(Z24,N24))</f>
        <v>5</v>
      </c>
      <c r="AB24" s="488"/>
    </row>
    <row r="25" ht="14.25" hidden="1" customHeight="1">
      <c r="A25" s="470" t="str">
        <f>A8</f>
        <v>TJSC</v>
      </c>
      <c r="B25" s="470"/>
      <c r="C25" s="480"/>
      <c r="D25" s="470"/>
      <c r="E25" s="489">
        <f t="shared" ref="E25:M25" si="24">if(E23="","",if(E8-E7&lt;E11-E10,1,if(E8-E7=E11-E10,0.5,0)))</f>
        <v>0.5</v>
      </c>
      <c r="F25" s="489">
        <f t="shared" si="24"/>
        <v>0.5</v>
      </c>
      <c r="G25" s="489">
        <f t="shared" si="24"/>
        <v>0.5</v>
      </c>
      <c r="H25" s="489">
        <f t="shared" si="24"/>
        <v>0.5</v>
      </c>
      <c r="I25" s="489">
        <f t="shared" si="24"/>
        <v>1</v>
      </c>
      <c r="J25" s="489">
        <f t="shared" si="24"/>
        <v>1</v>
      </c>
      <c r="K25" s="489">
        <f t="shared" si="24"/>
        <v>1</v>
      </c>
      <c r="L25" s="489">
        <f t="shared" si="24"/>
        <v>0.5</v>
      </c>
      <c r="M25" s="489">
        <f t="shared" si="24"/>
        <v>0</v>
      </c>
      <c r="N25" s="470"/>
      <c r="O25" s="473"/>
      <c r="P25" s="473"/>
      <c r="Q25" s="489">
        <f t="shared" ref="Q25:Y25" si="25">if(Q23="","",if(Q8-Q7&lt;Q11-Q10,1,if(Q8-Q7=Q11-Q10,0.5,0)))</f>
        <v>1</v>
      </c>
      <c r="R25" s="489">
        <f t="shared" si="25"/>
        <v>1</v>
      </c>
      <c r="S25" s="489">
        <f t="shared" si="25"/>
        <v>1</v>
      </c>
      <c r="T25" s="489">
        <f t="shared" si="25"/>
        <v>0.5</v>
      </c>
      <c r="U25" s="489">
        <f t="shared" si="25"/>
        <v>0</v>
      </c>
      <c r="V25" s="489">
        <f t="shared" si="25"/>
        <v>0</v>
      </c>
      <c r="W25" s="489">
        <f t="shared" si="25"/>
        <v>1</v>
      </c>
      <c r="X25" s="489">
        <f t="shared" si="25"/>
        <v>1</v>
      </c>
      <c r="Y25" s="489">
        <f t="shared" si="25"/>
        <v>1</v>
      </c>
      <c r="Z25" s="490">
        <f t="shared" ref="Z25:Z26" si="28">if(Y25="","",sum(E25:M25,Q25:Y25))</f>
        <v>12</v>
      </c>
      <c r="AA25" s="491">
        <f t="shared" ref="AA25:AA26" si="29">if(Y25="","",sumproduct({E25:M25,Q25:Y25},{$E$24:$M$24,$Q$24:$Y$24}))</f>
        <v>3.5</v>
      </c>
      <c r="AB25" s="492">
        <f t="shared" ref="AB25:AB26" si="30">if(Y25="","",if($N$24=0,0,((sumproduct(E25:M25,$E$24:$M$24)/$N$24)*$N$19))
+if($Z$24=0,0,((sumproduct(Q25:Y25,$Q$24:$Y$24)/$Z$24)*$Z$20))
+if($AA$24=0,0,((AA25/$AA$24)*$Z$19)))</f>
        <v>0</v>
      </c>
    </row>
    <row r="26" ht="14.25" hidden="1" customHeight="1">
      <c r="A26" s="471" t="str">
        <f>A11</f>
        <v>Joe O</v>
      </c>
      <c r="B26" s="470"/>
      <c r="C26" s="480"/>
      <c r="D26" s="470"/>
      <c r="E26" s="489">
        <f t="shared" ref="E26:M26" si="26">if(E23="","",if(E8-E7&gt;E11-E10,1,if(E8-E7=E11-E10,0.5,0)))</f>
        <v>0.5</v>
      </c>
      <c r="F26" s="489">
        <f t="shared" si="26"/>
        <v>0.5</v>
      </c>
      <c r="G26" s="489">
        <f t="shared" si="26"/>
        <v>0.5</v>
      </c>
      <c r="H26" s="489">
        <f t="shared" si="26"/>
        <v>0.5</v>
      </c>
      <c r="I26" s="489">
        <f t="shared" si="26"/>
        <v>0</v>
      </c>
      <c r="J26" s="489">
        <f t="shared" si="26"/>
        <v>0</v>
      </c>
      <c r="K26" s="489">
        <f t="shared" si="26"/>
        <v>0</v>
      </c>
      <c r="L26" s="489">
        <f t="shared" si="26"/>
        <v>0.5</v>
      </c>
      <c r="M26" s="489">
        <f t="shared" si="26"/>
        <v>1</v>
      </c>
      <c r="N26" s="470"/>
      <c r="O26" s="473"/>
      <c r="P26" s="473"/>
      <c r="Q26" s="489">
        <f t="shared" ref="Q26:Y26" si="27">if(Q23="","",if(Q8-Q7&gt;Q11-Q10,1,if(Q8-Q7=Q11-Q10,0.5,0)))</f>
        <v>0</v>
      </c>
      <c r="R26" s="489">
        <f t="shared" si="27"/>
        <v>0</v>
      </c>
      <c r="S26" s="489">
        <f t="shared" si="27"/>
        <v>0</v>
      </c>
      <c r="T26" s="489">
        <f t="shared" si="27"/>
        <v>0.5</v>
      </c>
      <c r="U26" s="489">
        <f t="shared" si="27"/>
        <v>1</v>
      </c>
      <c r="V26" s="489">
        <f t="shared" si="27"/>
        <v>1</v>
      </c>
      <c r="W26" s="489">
        <f t="shared" si="27"/>
        <v>0</v>
      </c>
      <c r="X26" s="489">
        <f t="shared" si="27"/>
        <v>0</v>
      </c>
      <c r="Y26" s="489">
        <f t="shared" si="27"/>
        <v>0</v>
      </c>
      <c r="Z26" s="490">
        <f t="shared" si="28"/>
        <v>6</v>
      </c>
      <c r="AA26" s="491">
        <f t="shared" si="29"/>
        <v>1.5</v>
      </c>
      <c r="AB26" s="492">
        <f t="shared" si="30"/>
        <v>0</v>
      </c>
    </row>
    <row r="27" ht="14.25" hidden="1" customHeight="1">
      <c r="A27" s="483"/>
      <c r="B27" s="483" t="str">
        <f>B14</f>
        <v>Irons</v>
      </c>
      <c r="C27" s="484"/>
      <c r="D27" s="483"/>
      <c r="E27" s="485">
        <f t="shared" ref="E27:M27" si="31">if(E23="","",(1-E23)/2)</f>
        <v>1</v>
      </c>
      <c r="F27" s="485">
        <f t="shared" si="31"/>
        <v>1</v>
      </c>
      <c r="G27" s="485">
        <f t="shared" si="31"/>
        <v>1</v>
      </c>
      <c r="H27" s="485">
        <f t="shared" si="31"/>
        <v>1</v>
      </c>
      <c r="I27" s="485">
        <f t="shared" si="31"/>
        <v>0</v>
      </c>
      <c r="J27" s="485">
        <f t="shared" si="31"/>
        <v>1</v>
      </c>
      <c r="K27" s="485">
        <f t="shared" si="31"/>
        <v>1</v>
      </c>
      <c r="L27" s="485">
        <f t="shared" si="31"/>
        <v>1</v>
      </c>
      <c r="M27" s="485">
        <f t="shared" si="31"/>
        <v>1</v>
      </c>
      <c r="N27" s="486">
        <f>if(M26="","",sum(E27:M27))</f>
        <v>8</v>
      </c>
      <c r="O27" s="483"/>
      <c r="P27" s="483"/>
      <c r="Q27" s="485">
        <f t="shared" ref="Q27:Y27" si="32">if(Q23="","",(1-Q23)/2)</f>
        <v>0.5</v>
      </c>
      <c r="R27" s="485">
        <f t="shared" si="32"/>
        <v>0.5</v>
      </c>
      <c r="S27" s="485">
        <f t="shared" si="32"/>
        <v>0.5</v>
      </c>
      <c r="T27" s="485">
        <f t="shared" si="32"/>
        <v>1</v>
      </c>
      <c r="U27" s="485">
        <f t="shared" si="32"/>
        <v>0.5</v>
      </c>
      <c r="V27" s="485">
        <f t="shared" si="32"/>
        <v>0</v>
      </c>
      <c r="W27" s="485">
        <f t="shared" si="32"/>
        <v>1</v>
      </c>
      <c r="X27" s="485">
        <f t="shared" si="32"/>
        <v>1</v>
      </c>
      <c r="Y27" s="485">
        <f t="shared" si="32"/>
        <v>0</v>
      </c>
      <c r="Z27" s="486">
        <f>if(Y26="","",sum(Q27:Y27))</f>
        <v>5</v>
      </c>
      <c r="AA27" s="487">
        <f>if(Y26="","",sum(Z27,N27))</f>
        <v>13</v>
      </c>
      <c r="AB27" s="488"/>
    </row>
    <row r="28" ht="14.25" hidden="1" customHeight="1">
      <c r="A28" s="470" t="str">
        <f>A14</f>
        <v>CuzNick</v>
      </c>
      <c r="B28" s="470"/>
      <c r="C28" s="480"/>
      <c r="D28" s="470"/>
      <c r="E28" s="489">
        <f t="shared" ref="E28:M28" si="33">if(E23="","",if(E17-E16&gt;E14-E13,1,if(E17-E16=E14-E13,0.5,0)))</f>
        <v>0.5</v>
      </c>
      <c r="F28" s="489">
        <f t="shared" si="33"/>
        <v>0</v>
      </c>
      <c r="G28" s="489">
        <f t="shared" si="33"/>
        <v>0</v>
      </c>
      <c r="H28" s="489">
        <f t="shared" si="33"/>
        <v>1</v>
      </c>
      <c r="I28" s="489">
        <f t="shared" si="33"/>
        <v>1</v>
      </c>
      <c r="J28" s="489">
        <f t="shared" si="33"/>
        <v>0</v>
      </c>
      <c r="K28" s="489">
        <f t="shared" si="33"/>
        <v>0</v>
      </c>
      <c r="L28" s="489">
        <f t="shared" si="33"/>
        <v>1</v>
      </c>
      <c r="M28" s="489">
        <f t="shared" si="33"/>
        <v>0.5</v>
      </c>
      <c r="N28" s="470"/>
      <c r="O28" s="473"/>
      <c r="P28" s="473"/>
      <c r="Q28" s="489">
        <f t="shared" ref="Q28:Y28" si="34">if(Q23="","",if(Q17-Q16&gt;Q14-Q13,1,if(Q17-Q16=Q14-Q13,0.5,0)))</f>
        <v>0.5</v>
      </c>
      <c r="R28" s="489">
        <f t="shared" si="34"/>
        <v>0</v>
      </c>
      <c r="S28" s="489">
        <f t="shared" si="34"/>
        <v>0.5</v>
      </c>
      <c r="T28" s="489">
        <f t="shared" si="34"/>
        <v>0.5</v>
      </c>
      <c r="U28" s="489">
        <f t="shared" si="34"/>
        <v>0.5</v>
      </c>
      <c r="V28" s="489">
        <f t="shared" si="34"/>
        <v>1</v>
      </c>
      <c r="W28" s="489">
        <f t="shared" si="34"/>
        <v>1</v>
      </c>
      <c r="X28" s="489">
        <f t="shared" si="34"/>
        <v>0</v>
      </c>
      <c r="Y28" s="489">
        <f t="shared" si="34"/>
        <v>1</v>
      </c>
      <c r="Z28" s="490">
        <f t="shared" ref="Z28:Z29" si="37">if(Y28="","",sum(E28:M28,Q28:Y28))</f>
        <v>9</v>
      </c>
      <c r="AA28" s="491">
        <f t="shared" ref="AA28:AA29" si="38">if(Y28="","",sumproduct({E28:M28,Q28:Y28},{$E$27:$M$27,$Q$27:$Y$27}))</f>
        <v>5.25</v>
      </c>
      <c r="AB28" s="492">
        <f>if(Y28="","",if($N$27=0,0,((sumproduct(E28:M28,$E$27:$M$27)/$N$27)*(vlookup($B$2,'Master Input'!$O$12:$R$23,'Master Input'!P$11,false)-$N$19)))
+if($Z$27=0,0,((sumproduct(Q28:Y28,$Q$27:$Y$27)/$Z$27)*(vlookup($B$2,'Master Input'!$O$12:$R$23,'Master Input'!Q$11,false)-$Z$20)))
+if($AA$27=0,0,((AA28/$AA$27)*(vlookup($B$2,'Master Input'!$O$12:$R$23,'Master Input'!R$11,false)-$Z$19))))</f>
        <v>1.632692308</v>
      </c>
    </row>
    <row r="29" ht="14.25" hidden="1" customHeight="1">
      <c r="A29" s="470" t="str">
        <f>A17</f>
        <v>Saugy</v>
      </c>
      <c r="B29" s="470"/>
      <c r="C29" s="480"/>
      <c r="D29" s="470"/>
      <c r="E29" s="493">
        <f t="shared" ref="E29:M29" si="35">if(E23="","",if(E17-E16&lt;E14-E13,1,if(E17-E16=E14-E13,0.5,0)))</f>
        <v>0.5</v>
      </c>
      <c r="F29" s="493">
        <f t="shared" si="35"/>
        <v>1</v>
      </c>
      <c r="G29" s="493">
        <f t="shared" si="35"/>
        <v>1</v>
      </c>
      <c r="H29" s="493">
        <f t="shared" si="35"/>
        <v>0</v>
      </c>
      <c r="I29" s="493">
        <f t="shared" si="35"/>
        <v>0</v>
      </c>
      <c r="J29" s="493">
        <f t="shared" si="35"/>
        <v>1</v>
      </c>
      <c r="K29" s="493">
        <f t="shared" si="35"/>
        <v>1</v>
      </c>
      <c r="L29" s="493">
        <f t="shared" si="35"/>
        <v>0</v>
      </c>
      <c r="M29" s="493">
        <f t="shared" si="35"/>
        <v>0.5</v>
      </c>
      <c r="N29" s="470"/>
      <c r="O29" s="473"/>
      <c r="P29" s="473"/>
      <c r="Q29" s="493">
        <f t="shared" ref="Q29:Y29" si="36">if(Q23="","",if(Q17-Q16&lt;Q14-Q13,1,if(Q17-Q16=Q14-Q13,0.5,0)))</f>
        <v>0.5</v>
      </c>
      <c r="R29" s="493">
        <f t="shared" si="36"/>
        <v>1</v>
      </c>
      <c r="S29" s="493">
        <f t="shared" si="36"/>
        <v>0.5</v>
      </c>
      <c r="T29" s="493">
        <f t="shared" si="36"/>
        <v>0.5</v>
      </c>
      <c r="U29" s="493">
        <f t="shared" si="36"/>
        <v>0.5</v>
      </c>
      <c r="V29" s="493">
        <f t="shared" si="36"/>
        <v>0</v>
      </c>
      <c r="W29" s="493">
        <f t="shared" si="36"/>
        <v>0</v>
      </c>
      <c r="X29" s="493">
        <f t="shared" si="36"/>
        <v>1</v>
      </c>
      <c r="Y29" s="493">
        <f t="shared" si="36"/>
        <v>0</v>
      </c>
      <c r="Z29" s="490">
        <f t="shared" si="37"/>
        <v>9</v>
      </c>
      <c r="AA29" s="491">
        <f t="shared" si="38"/>
        <v>7.75</v>
      </c>
      <c r="AB29" s="492">
        <f>if(Y29="","",((sumproduct(E29:M29,$E$27:$M$27)/$N$27)*(vlookup($B$2,'Master Input'!$O$12:$R$23,'Master Input'!P$11,false)-$N$19))
+((sumproduct(Q29:Y29,$Q$27:$Y$27)/$Z$27)*(vlookup($B$2,'Master Input'!$O$12:$R$23,'Master Input'!Q$11,false)-$Z$20))
+((AA29/$AA$27)*(vlookup($B$2,'Master Input'!$O$12:$R$23,'Master Input'!R$11,false)-$Z$19)))</f>
        <v>2.367307692</v>
      </c>
    </row>
    <row r="30" ht="14.25" hidden="1" customHeight="1">
      <c r="A30" s="470"/>
      <c r="B30" s="470"/>
      <c r="C30" s="480"/>
      <c r="D30" s="470"/>
      <c r="E30" s="493">
        <f t="shared" ref="E30:M30" si="39">sum(E25:E26,E28:E29)</f>
        <v>2</v>
      </c>
      <c r="F30" s="493">
        <f t="shared" si="39"/>
        <v>2</v>
      </c>
      <c r="G30" s="493">
        <f t="shared" si="39"/>
        <v>2</v>
      </c>
      <c r="H30" s="493">
        <f t="shared" si="39"/>
        <v>2</v>
      </c>
      <c r="I30" s="493">
        <f t="shared" si="39"/>
        <v>2</v>
      </c>
      <c r="J30" s="493">
        <f t="shared" si="39"/>
        <v>2</v>
      </c>
      <c r="K30" s="493">
        <f t="shared" si="39"/>
        <v>2</v>
      </c>
      <c r="L30" s="493">
        <f t="shared" si="39"/>
        <v>2</v>
      </c>
      <c r="M30" s="493">
        <f t="shared" si="39"/>
        <v>2</v>
      </c>
      <c r="N30" s="470"/>
      <c r="O30" s="473"/>
      <c r="P30" s="473"/>
      <c r="Q30" s="493">
        <f t="shared" ref="Q30:Z30" si="40">sum(Q25:Q26,Q28:Q29)</f>
        <v>2</v>
      </c>
      <c r="R30" s="493">
        <f t="shared" si="40"/>
        <v>2</v>
      </c>
      <c r="S30" s="493">
        <f t="shared" si="40"/>
        <v>2</v>
      </c>
      <c r="T30" s="493">
        <f t="shared" si="40"/>
        <v>2</v>
      </c>
      <c r="U30" s="493">
        <f t="shared" si="40"/>
        <v>2</v>
      </c>
      <c r="V30" s="493">
        <f t="shared" si="40"/>
        <v>2</v>
      </c>
      <c r="W30" s="493">
        <f t="shared" si="40"/>
        <v>2</v>
      </c>
      <c r="X30" s="493">
        <f t="shared" si="40"/>
        <v>2</v>
      </c>
      <c r="Y30" s="493">
        <f t="shared" si="40"/>
        <v>2</v>
      </c>
      <c r="Z30" s="493">
        <f t="shared" si="40"/>
        <v>36</v>
      </c>
      <c r="AA30" s="475"/>
      <c r="AB30" s="494"/>
    </row>
  </sheetData>
  <mergeCells count="1">
    <mergeCell ref="B2:B3"/>
  </mergeCells>
  <conditionalFormatting sqref="AB20">
    <cfRule type="notContainsBlanks" dxfId="15" priority="1">
      <formula>LEN(TRIM(AB20))&gt;0</formula>
    </cfRule>
  </conditionalFormatting>
  <conditionalFormatting sqref="E8:M8 Q8:Y8">
    <cfRule type="expression" dxfId="16" priority="2">
      <formula>and(E$24=1,E$25&gt;0)</formula>
    </cfRule>
  </conditionalFormatting>
  <conditionalFormatting sqref="E11:M11 Q11:Y11">
    <cfRule type="expression" dxfId="16" priority="3">
      <formula>and(E$24=1,E$26&gt;0)</formula>
    </cfRule>
  </conditionalFormatting>
  <conditionalFormatting sqref="E14:M14 Q14:Y14">
    <cfRule type="expression" dxfId="15" priority="4">
      <formula>and(E$27=1,E$28&gt;0)</formula>
    </cfRule>
  </conditionalFormatting>
  <conditionalFormatting sqref="E17:M17 Q17:Y17">
    <cfRule type="expression" dxfId="15" priority="5">
      <formula>and(E$27=1,E$29&gt;0)</formula>
    </cfRule>
  </conditionalFormatting>
  <conditionalFormatting sqref="E8:M8 Q8:Y8">
    <cfRule type="expression" dxfId="2" priority="6">
      <formula>and(E$24=0.5,E$25&gt;0)</formula>
    </cfRule>
  </conditionalFormatting>
  <conditionalFormatting sqref="E11:M11 Q11:Y11">
    <cfRule type="expression" dxfId="2" priority="7">
      <formula>and(E$24=0.5,E$26&gt;0)</formula>
    </cfRule>
  </conditionalFormatting>
  <conditionalFormatting sqref="E14:M14 Q14:Y14">
    <cfRule type="expression" dxfId="2" priority="8">
      <formula>and(E$27=0.5,E$28&gt;0)</formula>
    </cfRule>
  </conditionalFormatting>
  <conditionalFormatting sqref="E17:M17 Q17:Y17">
    <cfRule type="expression" dxfId="2" priority="9">
      <formula>and(E$27=0.5,E$29&gt;0)</formula>
    </cfRule>
  </conditionalFormatting>
  <conditionalFormatting sqref="N19 Z19:Z20 AB19">
    <cfRule type="notContainsBlanks" dxfId="16" priority="10">
      <formula>LEN(TRIM(N19))&gt;0</formula>
    </cfRule>
  </conditionalFormatting>
  <printOptions horizontalCentered="1"/>
  <pageMargins bottom="0.5" footer="0.0" header="0.0" left="0.55"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95" t="s">
        <v>74</v>
      </c>
      <c r="B1" s="296">
        <f>'Master Input'!F3</f>
        <v>0.5277777778</v>
      </c>
      <c r="C1" s="297" t="str">
        <f>'Master Input'!$E$2</f>
        <v>Round 1</v>
      </c>
      <c r="D1" s="298"/>
      <c r="E1" s="297" t="str">
        <f>'Master Input'!$E$6</f>
        <v>GVSU Meadows - Blue</v>
      </c>
      <c r="F1" s="299"/>
      <c r="G1" s="299"/>
      <c r="H1" s="299"/>
      <c r="I1" s="299"/>
      <c r="J1" s="299"/>
      <c r="K1" s="299"/>
      <c r="L1" s="299"/>
      <c r="M1" s="299"/>
      <c r="N1" s="300"/>
      <c r="O1" s="301"/>
      <c r="P1" s="302" t="str">
        <f>'Master Input'!$E$2</f>
        <v>Round 1</v>
      </c>
      <c r="Q1" s="298"/>
      <c r="R1" s="297" t="str">
        <f>'Master Input'!$E$6</f>
        <v>GVSU Meadows - Blue</v>
      </c>
      <c r="S1" s="303"/>
      <c r="T1" s="303"/>
      <c r="U1" s="303"/>
      <c r="V1" s="303"/>
      <c r="W1" s="303"/>
      <c r="X1" s="303"/>
      <c r="Y1" s="303"/>
      <c r="Z1" s="303"/>
      <c r="AA1" s="303"/>
      <c r="AB1" s="304"/>
    </row>
    <row r="2" ht="14.25" customHeight="1">
      <c r="A2" s="305" t="s">
        <v>55</v>
      </c>
      <c r="B2" s="306" t="str">
        <f>'Match Selection'!B4</f>
        <v>2-Man Best Ball</v>
      </c>
      <c r="C2" s="307"/>
      <c r="D2" s="308" t="s">
        <v>55</v>
      </c>
      <c r="E2" s="309">
        <f>vlookup($E1, 'Course List'!$A$3:$AS$14,5+E4, false)</f>
        <v>2</v>
      </c>
      <c r="F2" s="310">
        <f>vlookup($E1, 'Course List'!$A$3:$AS$14,5+F4, false)</f>
        <v>8</v>
      </c>
      <c r="G2" s="310">
        <f>vlookup($E1, 'Course List'!$A$3:$AS$14,5+G4, false)</f>
        <v>14</v>
      </c>
      <c r="H2" s="310">
        <f>vlookup($E1, 'Course List'!$A$3:$AS$14,5+H4, false)</f>
        <v>12</v>
      </c>
      <c r="I2" s="310">
        <f>vlookup($E1, 'Course List'!$A$3:$AS$14,5+I4, false)</f>
        <v>6</v>
      </c>
      <c r="J2" s="310">
        <f>vlookup($E1, 'Course List'!$A$3:$AS$14,5+J4, false)</f>
        <v>18</v>
      </c>
      <c r="K2" s="310">
        <f>vlookup($E1, 'Course List'!$A$3:$AS$14,5+K4, false)</f>
        <v>10</v>
      </c>
      <c r="L2" s="310">
        <f>vlookup($E1, 'Course List'!$A$3:$AS$14,5+L4, false)</f>
        <v>4</v>
      </c>
      <c r="M2" s="311">
        <f>vlookup($E1, 'Course List'!$A$3:$AS$14,5+M4, false)</f>
        <v>16</v>
      </c>
      <c r="N2" s="312"/>
      <c r="O2" s="313"/>
      <c r="P2" s="314" t="s">
        <v>55</v>
      </c>
      <c r="Q2" s="309">
        <f>vlookup($E1, 'Course List'!$A$3:$AS$14,5+Q4, false)</f>
        <v>13</v>
      </c>
      <c r="R2" s="310">
        <f>vlookup($E1, 'Course List'!$A$3:$AS$14,5+R4, false)</f>
        <v>3</v>
      </c>
      <c r="S2" s="310">
        <f>vlookup($E1, 'Course List'!$A$3:$AS$14,5+S4, false)</f>
        <v>9</v>
      </c>
      <c r="T2" s="310">
        <f>vlookup($E1, 'Course List'!$A$3:$AS$14,5+T4, false)</f>
        <v>15</v>
      </c>
      <c r="U2" s="310">
        <f>vlookup($E1, 'Course List'!$A$3:$AS$14,5+U4, false)</f>
        <v>11</v>
      </c>
      <c r="V2" s="310">
        <f>vlookup($E1, 'Course List'!$A$3:$AS$14,5+V4, false)</f>
        <v>5</v>
      </c>
      <c r="W2" s="310">
        <f>vlookup($E1, 'Course List'!$A$3:$AS$14,5+W4, false)</f>
        <v>7</v>
      </c>
      <c r="X2" s="310">
        <f>vlookup($E1, 'Course List'!$A$3:$AS$14,5+X4, false)</f>
        <v>17</v>
      </c>
      <c r="Y2" s="311">
        <f>vlookup($E1, 'Course List'!$A$3:$AS$14,5+Y4, false)</f>
        <v>1</v>
      </c>
      <c r="Z2" s="312"/>
      <c r="AA2" s="315"/>
      <c r="AB2" s="316"/>
    </row>
    <row r="3" ht="14.25" customHeight="1">
      <c r="A3" s="305" t="s">
        <v>56</v>
      </c>
      <c r="B3" s="317"/>
      <c r="C3" s="318"/>
      <c r="D3" s="319" t="s">
        <v>56</v>
      </c>
      <c r="E3" s="320">
        <f>vlookup($E1, 'Course List'!$A$3:$AS$14,27+E4, false)</f>
        <v>4</v>
      </c>
      <c r="F3" s="321">
        <f>vlookup($E1, 'Course List'!$A$3:$AS$14,27+F4, false)</f>
        <v>4</v>
      </c>
      <c r="G3" s="321">
        <f>vlookup($E1, 'Course List'!$A$3:$AS$14,27+G4, false)</f>
        <v>3</v>
      </c>
      <c r="H3" s="321">
        <f>vlookup($E1, 'Course List'!$A$3:$AS$14,27+H4, false)</f>
        <v>5</v>
      </c>
      <c r="I3" s="321">
        <f>vlookup($E1, 'Course List'!$A$3:$AS$14,27+I4, false)</f>
        <v>4</v>
      </c>
      <c r="J3" s="321">
        <f>vlookup($E1, 'Course List'!$A$3:$AS$14,27+J4, false)</f>
        <v>4</v>
      </c>
      <c r="K3" s="321">
        <f>vlookup($E1, 'Course List'!$A$3:$AS$14,27+K4, false)</f>
        <v>3</v>
      </c>
      <c r="L3" s="321">
        <f>vlookup($E1, 'Course List'!$A$3:$AS$14,27+L4, false)</f>
        <v>4</v>
      </c>
      <c r="M3" s="322">
        <f>vlookup($E1, 'Course List'!$A$3:$AS$14,27+M4, false)</f>
        <v>5</v>
      </c>
      <c r="N3" s="323">
        <f>SUM(E3:M3)</f>
        <v>36</v>
      </c>
      <c r="O3" s="313"/>
      <c r="P3" s="305" t="s">
        <v>56</v>
      </c>
      <c r="Q3" s="320">
        <f>vlookup($E1, 'Course List'!$A$3:$AS$14,27+Q4, false)</f>
        <v>4</v>
      </c>
      <c r="R3" s="321">
        <f>vlookup($E1, 'Course List'!$A$3:$AS$14,27+R4, false)</f>
        <v>4</v>
      </c>
      <c r="S3" s="321">
        <f>vlookup($E1, 'Course List'!$A$3:$AS$14,27+S4, false)</f>
        <v>4</v>
      </c>
      <c r="T3" s="321">
        <f>vlookup($E1, 'Course List'!$A$3:$AS$14,27+T4, false)</f>
        <v>3</v>
      </c>
      <c r="U3" s="321">
        <f>vlookup($E1, 'Course List'!$A$3:$AS$14,27+U4, false)</f>
        <v>5</v>
      </c>
      <c r="V3" s="321">
        <f>vlookup($E1, 'Course List'!$A$3:$AS$14,27+V4, false)</f>
        <v>4</v>
      </c>
      <c r="W3" s="321">
        <f>vlookup($E1, 'Course List'!$A$3:$AS$14,27+W4, false)</f>
        <v>4</v>
      </c>
      <c r="X3" s="321">
        <f>vlookup($E1, 'Course List'!$A$3:$AS$14,27+X4, false)</f>
        <v>3</v>
      </c>
      <c r="Y3" s="322">
        <f>vlookup($E1, 'Course List'!$A$3:$AS$14,27+Y4, false)</f>
        <v>4</v>
      </c>
      <c r="Z3" s="323">
        <f>SUM(Q3:Y3)</f>
        <v>35</v>
      </c>
      <c r="AA3" s="321">
        <f>N3+Z3</f>
        <v>71</v>
      </c>
      <c r="AB3" s="324"/>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343"/>
      <c r="B6" s="344"/>
      <c r="C6" s="345"/>
      <c r="D6" s="346"/>
      <c r="E6" s="347" t="str">
        <f t="shared" ref="E6:M6" si="1">if(E7=1,"O", if(E7=2,"O   O",""))</f>
        <v>O</v>
      </c>
      <c r="F6" s="348" t="str">
        <f t="shared" si="1"/>
        <v/>
      </c>
      <c r="G6" s="349" t="str">
        <f t="shared" si="1"/>
        <v/>
      </c>
      <c r="H6" s="348" t="str">
        <f t="shared" si="1"/>
        <v/>
      </c>
      <c r="I6" s="349" t="str">
        <f t="shared" si="1"/>
        <v/>
      </c>
      <c r="J6" s="348" t="str">
        <f t="shared" si="1"/>
        <v/>
      </c>
      <c r="K6" s="349" t="str">
        <f t="shared" si="1"/>
        <v/>
      </c>
      <c r="L6" s="348" t="str">
        <f t="shared" si="1"/>
        <v/>
      </c>
      <c r="M6" s="349" t="str">
        <f t="shared" si="1"/>
        <v/>
      </c>
      <c r="N6" s="350"/>
      <c r="O6" s="351"/>
      <c r="P6" s="352"/>
      <c r="Q6" s="347" t="str">
        <f t="shared" ref="Q6:Y6" si="2">if(Q7=1,"O", if(Q7=2,"O   O",""))</f>
        <v/>
      </c>
      <c r="R6" s="348" t="str">
        <f t="shared" si="2"/>
        <v>O</v>
      </c>
      <c r="S6" s="349" t="str">
        <f t="shared" si="2"/>
        <v/>
      </c>
      <c r="T6" s="348" t="str">
        <f t="shared" si="2"/>
        <v/>
      </c>
      <c r="U6" s="349" t="str">
        <f t="shared" si="2"/>
        <v/>
      </c>
      <c r="V6" s="348" t="str">
        <f t="shared" si="2"/>
        <v/>
      </c>
      <c r="W6" s="349" t="str">
        <f t="shared" si="2"/>
        <v/>
      </c>
      <c r="X6" s="348" t="str">
        <f t="shared" si="2"/>
        <v/>
      </c>
      <c r="Y6" s="349" t="str">
        <f t="shared" si="2"/>
        <v>O</v>
      </c>
      <c r="Z6" s="353"/>
      <c r="AA6" s="354"/>
      <c r="AB6" s="355"/>
    </row>
    <row r="7" ht="22.5" hidden="1" customHeight="1">
      <c r="A7" s="356"/>
      <c r="B7" s="357"/>
      <c r="C7" s="358"/>
      <c r="D7" s="359"/>
      <c r="E7" s="360">
        <f t="shared" ref="E7:M7" si="3">IF($D8&gt;0,FLOOR($D8/18,1),0)+IF(AND(MOD($D8,18)&gt;=E$2,$D8&gt;0),1,0)-IF(E$2-18&gt;$D8,1,0)</f>
        <v>1</v>
      </c>
      <c r="F7" s="361">
        <f t="shared" si="3"/>
        <v>0</v>
      </c>
      <c r="G7" s="362">
        <f t="shared" si="3"/>
        <v>0</v>
      </c>
      <c r="H7" s="361">
        <f t="shared" si="3"/>
        <v>0</v>
      </c>
      <c r="I7" s="362">
        <f t="shared" si="3"/>
        <v>0</v>
      </c>
      <c r="J7" s="361">
        <f t="shared" si="3"/>
        <v>0</v>
      </c>
      <c r="K7" s="362">
        <f t="shared" si="3"/>
        <v>0</v>
      </c>
      <c r="L7" s="361">
        <f t="shared" si="3"/>
        <v>0</v>
      </c>
      <c r="M7" s="362">
        <f t="shared" si="3"/>
        <v>0</v>
      </c>
      <c r="N7" s="363"/>
      <c r="O7" s="364"/>
      <c r="P7" s="365"/>
      <c r="Q7" s="360">
        <f t="shared" ref="Q7:Y7" si="4">IF($D8&gt;0,FLOOR($D8/18,1),0)+IF(AND(MOD($D8,18)&gt;=Q$2,$D8&gt;0),1,0)-IF(Q$2-18&gt;$D8,1,0)</f>
        <v>0</v>
      </c>
      <c r="R7" s="361">
        <f t="shared" si="4"/>
        <v>1</v>
      </c>
      <c r="S7" s="362">
        <f t="shared" si="4"/>
        <v>0</v>
      </c>
      <c r="T7" s="361">
        <f t="shared" si="4"/>
        <v>0</v>
      </c>
      <c r="U7" s="362">
        <f t="shared" si="4"/>
        <v>0</v>
      </c>
      <c r="V7" s="361">
        <f t="shared" si="4"/>
        <v>0</v>
      </c>
      <c r="W7" s="362">
        <f t="shared" si="4"/>
        <v>0</v>
      </c>
      <c r="X7" s="361">
        <f t="shared" si="4"/>
        <v>0</v>
      </c>
      <c r="Y7" s="362">
        <f t="shared" si="4"/>
        <v>1</v>
      </c>
      <c r="Z7" s="366"/>
      <c r="AA7" s="367"/>
      <c r="AB7" s="368"/>
    </row>
    <row r="8" ht="27.0" customHeight="1">
      <c r="A8" s="369" t="str">
        <f>'Match Selection'!J4</f>
        <v>R-Mac</v>
      </c>
      <c r="B8" s="370" t="str">
        <f>vlookup(A8, 'Master Input'!$A$11:$B$27, 2, false)</f>
        <v>Drivers</v>
      </c>
      <c r="C8" s="371">
        <f>vlookup(A8,'Master Input'!$A$11:$L$27,'Master Input'!$F$28, false)</f>
        <v>12</v>
      </c>
      <c r="D8" s="372">
        <f>C8-SMALL($C$8:$C$17,1)</f>
        <v>3</v>
      </c>
      <c r="E8" s="373">
        <v>5.0</v>
      </c>
      <c r="F8" s="374">
        <v>5.0</v>
      </c>
      <c r="G8" s="375">
        <v>4.0</v>
      </c>
      <c r="H8" s="374">
        <v>7.0</v>
      </c>
      <c r="I8" s="375">
        <v>5.0</v>
      </c>
      <c r="J8" s="374">
        <v>4.0</v>
      </c>
      <c r="K8" s="375">
        <v>5.0</v>
      </c>
      <c r="L8" s="374">
        <v>4.0</v>
      </c>
      <c r="M8" s="375">
        <v>6.0</v>
      </c>
      <c r="N8" s="376">
        <f>if(M8="","", sum(E8:M8))</f>
        <v>45</v>
      </c>
      <c r="O8" s="364"/>
      <c r="P8" s="377" t="str">
        <f>A8</f>
        <v>R-Mac</v>
      </c>
      <c r="Q8" s="373">
        <v>5.0</v>
      </c>
      <c r="R8" s="374">
        <v>5.0</v>
      </c>
      <c r="S8" s="375">
        <v>4.0</v>
      </c>
      <c r="T8" s="374">
        <v>4.0</v>
      </c>
      <c r="U8" s="375">
        <v>9.0</v>
      </c>
      <c r="V8" s="374">
        <v>6.0</v>
      </c>
      <c r="W8" s="375">
        <v>4.0</v>
      </c>
      <c r="X8" s="374">
        <v>6.0</v>
      </c>
      <c r="Y8" s="375">
        <v>6.0</v>
      </c>
      <c r="Z8" s="376">
        <f>if(Y8="","", sum(Q8:Y8))</f>
        <v>49</v>
      </c>
      <c r="AA8" s="378">
        <f>if(Z8="", "", sum(N8,Z8))</f>
        <v>94</v>
      </c>
      <c r="AB8" s="379">
        <f>if(Y8="", "", AA8-C8)</f>
        <v>82</v>
      </c>
    </row>
    <row r="9" ht="7.5" customHeight="1">
      <c r="A9" s="380"/>
      <c r="B9" s="381"/>
      <c r="C9" s="382"/>
      <c r="D9" s="383"/>
      <c r="E9" s="384" t="str">
        <f t="shared" ref="E9:M9" si="5">if(E10=1,"O", if(E10=2,"O   O",""))</f>
        <v>O</v>
      </c>
      <c r="F9" s="385" t="str">
        <f t="shared" si="5"/>
        <v/>
      </c>
      <c r="G9" s="386" t="str">
        <f t="shared" si="5"/>
        <v/>
      </c>
      <c r="H9" s="385" t="str">
        <f t="shared" si="5"/>
        <v/>
      </c>
      <c r="I9" s="386" t="str">
        <f t="shared" si="5"/>
        <v/>
      </c>
      <c r="J9" s="385" t="str">
        <f t="shared" si="5"/>
        <v/>
      </c>
      <c r="K9" s="386" t="str">
        <f t="shared" si="5"/>
        <v/>
      </c>
      <c r="L9" s="385" t="str">
        <f t="shared" si="5"/>
        <v>O</v>
      </c>
      <c r="M9" s="386" t="str">
        <f t="shared" si="5"/>
        <v/>
      </c>
      <c r="N9" s="387"/>
      <c r="O9" s="351"/>
      <c r="P9" s="388"/>
      <c r="Q9" s="384" t="str">
        <f t="shared" ref="Q9:Y9" si="6">if(Q10=1,"O", if(Q10=2,"O   O",""))</f>
        <v/>
      </c>
      <c r="R9" s="385" t="str">
        <f t="shared" si="6"/>
        <v>O</v>
      </c>
      <c r="S9" s="386" t="str">
        <f t="shared" si="6"/>
        <v/>
      </c>
      <c r="T9" s="385" t="str">
        <f t="shared" si="6"/>
        <v/>
      </c>
      <c r="U9" s="386" t="str">
        <f t="shared" si="6"/>
        <v/>
      </c>
      <c r="V9" s="385" t="str">
        <f t="shared" si="6"/>
        <v/>
      </c>
      <c r="W9" s="386" t="str">
        <f t="shared" si="6"/>
        <v/>
      </c>
      <c r="X9" s="385" t="str">
        <f t="shared" si="6"/>
        <v/>
      </c>
      <c r="Y9" s="386" t="str">
        <f t="shared" si="6"/>
        <v>O</v>
      </c>
      <c r="Z9" s="389"/>
      <c r="AA9" s="390"/>
      <c r="AB9" s="391"/>
    </row>
    <row r="10" ht="22.5" hidden="1" customHeight="1">
      <c r="A10" s="392"/>
      <c r="B10" s="393"/>
      <c r="C10" s="394"/>
      <c r="D10" s="359"/>
      <c r="E10" s="360">
        <f t="shared" ref="E10:M10" si="7">IF($D11&gt;0,FLOOR($D11/18,1),0)+IF(AND(MOD($D11,18)&gt;=E$2,$D11&gt;0),1,0)-IF(E$2-18&gt;$D11,1,0)</f>
        <v>1</v>
      </c>
      <c r="F10" s="361">
        <f t="shared" si="7"/>
        <v>0</v>
      </c>
      <c r="G10" s="362">
        <f t="shared" si="7"/>
        <v>0</v>
      </c>
      <c r="H10" s="361">
        <f t="shared" si="7"/>
        <v>0</v>
      </c>
      <c r="I10" s="362">
        <f t="shared" si="7"/>
        <v>0</v>
      </c>
      <c r="J10" s="361">
        <f t="shared" si="7"/>
        <v>0</v>
      </c>
      <c r="K10" s="362">
        <f t="shared" si="7"/>
        <v>0</v>
      </c>
      <c r="L10" s="361">
        <f t="shared" si="7"/>
        <v>1</v>
      </c>
      <c r="M10" s="362">
        <f t="shared" si="7"/>
        <v>0</v>
      </c>
      <c r="N10" s="363"/>
      <c r="O10" s="364"/>
      <c r="P10" s="395"/>
      <c r="Q10" s="360">
        <f t="shared" ref="Q10:Y10" si="8">IF($D11&gt;0,FLOOR($D11/18,1),0)+IF(AND(MOD($D11,18)&gt;=Q$2,$D11&gt;0),1,0)-IF(Q$2-18&gt;$D11,1,0)</f>
        <v>0</v>
      </c>
      <c r="R10" s="361">
        <f t="shared" si="8"/>
        <v>1</v>
      </c>
      <c r="S10" s="362">
        <f t="shared" si="8"/>
        <v>0</v>
      </c>
      <c r="T10" s="361">
        <f t="shared" si="8"/>
        <v>0</v>
      </c>
      <c r="U10" s="362">
        <f t="shared" si="8"/>
        <v>0</v>
      </c>
      <c r="V10" s="361">
        <f t="shared" si="8"/>
        <v>0</v>
      </c>
      <c r="W10" s="362">
        <f t="shared" si="8"/>
        <v>0</v>
      </c>
      <c r="X10" s="361">
        <f t="shared" si="8"/>
        <v>0</v>
      </c>
      <c r="Y10" s="362">
        <f t="shared" si="8"/>
        <v>1</v>
      </c>
      <c r="Z10" s="366"/>
      <c r="AA10" s="367"/>
      <c r="AB10" s="368"/>
    </row>
    <row r="11" ht="27.0" customHeight="1">
      <c r="A11" s="396" t="str">
        <f>'Match Selection'!J5</f>
        <v>T-Mo</v>
      </c>
      <c r="B11" s="397" t="str">
        <f>vlookup(A11, 'Master Input'!$A$11:$B$27, 2, false)</f>
        <v>Drivers</v>
      </c>
      <c r="C11" s="371">
        <f>vlookup(A11,'Master Input'!$A$11:$L$27,'Master Input'!$F$28, false)</f>
        <v>13</v>
      </c>
      <c r="D11" s="372">
        <f>C11-SMALL($C$8:$C$17,1)</f>
        <v>4</v>
      </c>
      <c r="E11" s="373">
        <v>6.0</v>
      </c>
      <c r="F11" s="374">
        <v>6.0</v>
      </c>
      <c r="G11" s="375">
        <v>5.0</v>
      </c>
      <c r="H11" s="374">
        <v>7.0</v>
      </c>
      <c r="I11" s="375">
        <v>5.0</v>
      </c>
      <c r="J11" s="374">
        <v>4.0</v>
      </c>
      <c r="K11" s="375">
        <v>3.0</v>
      </c>
      <c r="L11" s="374">
        <v>4.0</v>
      </c>
      <c r="M11" s="375">
        <v>5.0</v>
      </c>
      <c r="N11" s="376">
        <f>if(M11="","", sum(E11:M11))</f>
        <v>45</v>
      </c>
      <c r="O11" s="364"/>
      <c r="P11" s="377" t="str">
        <f>A11</f>
        <v>T-Mo</v>
      </c>
      <c r="Q11" s="373">
        <v>5.0</v>
      </c>
      <c r="R11" s="374">
        <v>6.0</v>
      </c>
      <c r="S11" s="375">
        <v>5.0</v>
      </c>
      <c r="T11" s="374">
        <v>3.0</v>
      </c>
      <c r="U11" s="375">
        <v>6.0</v>
      </c>
      <c r="V11" s="374">
        <v>6.0</v>
      </c>
      <c r="W11" s="375">
        <v>5.0</v>
      </c>
      <c r="X11" s="374">
        <v>3.0</v>
      </c>
      <c r="Y11" s="375">
        <v>6.0</v>
      </c>
      <c r="Z11" s="376">
        <f>if(Y11="","", sum(Q11:Y11))</f>
        <v>45</v>
      </c>
      <c r="AA11" s="378">
        <f>if(Z11="", "", sum(N11,Z11))</f>
        <v>90</v>
      </c>
      <c r="AB11" s="379">
        <f>if(Y11="", "", AA11-C11)</f>
        <v>77</v>
      </c>
    </row>
    <row r="12" ht="7.5" customHeight="1">
      <c r="A12" s="398"/>
      <c r="B12" s="399"/>
      <c r="C12" s="400"/>
      <c r="D12" s="401"/>
      <c r="E12" s="402" t="str">
        <f t="shared" ref="E12:M12" si="9">if(E13=1,"O", if(E13=2,"O   O",""))</f>
        <v/>
      </c>
      <c r="F12" s="403" t="str">
        <f t="shared" si="9"/>
        <v/>
      </c>
      <c r="G12" s="404" t="str">
        <f t="shared" si="9"/>
        <v/>
      </c>
      <c r="H12" s="403" t="str">
        <f t="shared" si="9"/>
        <v/>
      </c>
      <c r="I12" s="404" t="str">
        <f t="shared" si="9"/>
        <v/>
      </c>
      <c r="J12" s="403" t="str">
        <f t="shared" si="9"/>
        <v/>
      </c>
      <c r="K12" s="404" t="str">
        <f t="shared" si="9"/>
        <v/>
      </c>
      <c r="L12" s="403" t="str">
        <f t="shared" si="9"/>
        <v/>
      </c>
      <c r="M12" s="404" t="str">
        <f t="shared" si="9"/>
        <v/>
      </c>
      <c r="N12" s="405"/>
      <c r="O12" s="351"/>
      <c r="P12" s="406"/>
      <c r="Q12" s="402" t="str">
        <f t="shared" ref="Q12:Y12" si="10">if(Q13=1,"O", if(Q13=2,"O   O",""))</f>
        <v/>
      </c>
      <c r="R12" s="403" t="str">
        <f t="shared" si="10"/>
        <v/>
      </c>
      <c r="S12" s="404" t="str">
        <f t="shared" si="10"/>
        <v/>
      </c>
      <c r="T12" s="403" t="str">
        <f t="shared" si="10"/>
        <v/>
      </c>
      <c r="U12" s="404" t="str">
        <f t="shared" si="10"/>
        <v/>
      </c>
      <c r="V12" s="403" t="str">
        <f t="shared" si="10"/>
        <v/>
      </c>
      <c r="W12" s="404" t="str">
        <f t="shared" si="10"/>
        <v/>
      </c>
      <c r="X12" s="403" t="str">
        <f t="shared" si="10"/>
        <v/>
      </c>
      <c r="Y12" s="404" t="str">
        <f t="shared" si="10"/>
        <v/>
      </c>
      <c r="Z12" s="407"/>
      <c r="AA12" s="408"/>
      <c r="AB12" s="409"/>
    </row>
    <row r="13" ht="22.5" hidden="1" customHeight="1">
      <c r="A13" s="410"/>
      <c r="B13" s="411"/>
      <c r="C13" s="412"/>
      <c r="D13" s="413"/>
      <c r="E13" s="414">
        <f t="shared" ref="E13:M13" si="11">IF($D14&gt;0,FLOOR($D14/18,1),0)+IF(AND(MOD($D14,18)&gt;=E$2,$D14&gt;0),1,0)-IF(E$2-18&gt;$D14,1,0)</f>
        <v>0</v>
      </c>
      <c r="F13" s="415">
        <f t="shared" si="11"/>
        <v>0</v>
      </c>
      <c r="G13" s="416">
        <f t="shared" si="11"/>
        <v>0</v>
      </c>
      <c r="H13" s="415">
        <f t="shared" si="11"/>
        <v>0</v>
      </c>
      <c r="I13" s="416">
        <f t="shared" si="11"/>
        <v>0</v>
      </c>
      <c r="J13" s="415">
        <f t="shared" si="11"/>
        <v>0</v>
      </c>
      <c r="K13" s="416">
        <f t="shared" si="11"/>
        <v>0</v>
      </c>
      <c r="L13" s="415">
        <f t="shared" si="11"/>
        <v>0</v>
      </c>
      <c r="M13" s="416">
        <f t="shared" si="11"/>
        <v>0</v>
      </c>
      <c r="N13" s="363"/>
      <c r="O13" s="364"/>
      <c r="P13" s="417"/>
      <c r="Q13" s="414">
        <f t="shared" ref="Q13:Y13" si="12">IF($D14&gt;0,FLOOR($D14/18,1),0)+IF(AND(MOD($D14,18)&gt;=Q$2,$D14&gt;0),1,0)-IF(Q$2-18&gt;$D14,1,0)</f>
        <v>0</v>
      </c>
      <c r="R13" s="415">
        <f t="shared" si="12"/>
        <v>0</v>
      </c>
      <c r="S13" s="416">
        <f t="shared" si="12"/>
        <v>0</v>
      </c>
      <c r="T13" s="415">
        <f t="shared" si="12"/>
        <v>0</v>
      </c>
      <c r="U13" s="416">
        <f t="shared" si="12"/>
        <v>0</v>
      </c>
      <c r="V13" s="415">
        <f t="shared" si="12"/>
        <v>0</v>
      </c>
      <c r="W13" s="416">
        <f t="shared" si="12"/>
        <v>0</v>
      </c>
      <c r="X13" s="415">
        <f t="shared" si="12"/>
        <v>0</v>
      </c>
      <c r="Y13" s="416">
        <f t="shared" si="12"/>
        <v>0</v>
      </c>
      <c r="Z13" s="366"/>
      <c r="AA13" s="418"/>
      <c r="AB13" s="368"/>
    </row>
    <row r="14" ht="27.0" customHeight="1">
      <c r="A14" s="419" t="str">
        <f>'Match Selection'!M4</f>
        <v>Andy</v>
      </c>
      <c r="B14" s="420" t="str">
        <f>vlookup(A14, 'Master Input'!$A$11:$B$27, 2, false)</f>
        <v>Irons</v>
      </c>
      <c r="C14" s="421">
        <f>vlookup(A14,'Master Input'!$A$11:$L$27,'Master Input'!$F$28, false)</f>
        <v>9</v>
      </c>
      <c r="D14" s="422">
        <f>C14-SMALL($C$8:$C$17,1)</f>
        <v>0</v>
      </c>
      <c r="E14" s="423">
        <v>6.0</v>
      </c>
      <c r="F14" s="424">
        <v>5.0</v>
      </c>
      <c r="G14" s="425">
        <v>4.0</v>
      </c>
      <c r="H14" s="424">
        <v>6.0</v>
      </c>
      <c r="I14" s="425">
        <v>5.0</v>
      </c>
      <c r="J14" s="424">
        <v>4.0</v>
      </c>
      <c r="K14" s="425">
        <v>4.0</v>
      </c>
      <c r="L14" s="424">
        <v>6.0</v>
      </c>
      <c r="M14" s="425">
        <v>8.0</v>
      </c>
      <c r="N14" s="376">
        <f>if(M14="","", sum(E14:M14))</f>
        <v>48</v>
      </c>
      <c r="O14" s="364"/>
      <c r="P14" s="426" t="str">
        <f>A14</f>
        <v>Andy</v>
      </c>
      <c r="Q14" s="423">
        <v>4.0</v>
      </c>
      <c r="R14" s="424">
        <v>5.0</v>
      </c>
      <c r="S14" s="425">
        <v>5.0</v>
      </c>
      <c r="T14" s="424">
        <v>3.0</v>
      </c>
      <c r="U14" s="425">
        <v>5.0</v>
      </c>
      <c r="V14" s="424">
        <v>4.0</v>
      </c>
      <c r="W14" s="425">
        <v>6.0</v>
      </c>
      <c r="X14" s="424">
        <v>3.0</v>
      </c>
      <c r="Y14" s="425">
        <v>4.0</v>
      </c>
      <c r="Z14" s="376">
        <f>if(Y14="","", sum(Q14:Y14))</f>
        <v>39</v>
      </c>
      <c r="AA14" s="427">
        <f>if(Z14="", "", sum(N14,Z14))</f>
        <v>87</v>
      </c>
      <c r="AB14" s="379">
        <f>if(Y14="", "", AA14-C14)</f>
        <v>78</v>
      </c>
    </row>
    <row r="15" ht="7.5" customHeight="1">
      <c r="A15" s="398"/>
      <c r="B15" s="399"/>
      <c r="C15" s="400"/>
      <c r="D15" s="401"/>
      <c r="E15" s="402" t="str">
        <f t="shared" ref="E15:M15" si="13">if(E16=1,"O", if(E16=2,"O   O",""))</f>
        <v>O</v>
      </c>
      <c r="F15" s="403" t="str">
        <f t="shared" si="13"/>
        <v/>
      </c>
      <c r="G15" s="404" t="str">
        <f t="shared" si="13"/>
        <v/>
      </c>
      <c r="H15" s="403" t="str">
        <f t="shared" si="13"/>
        <v/>
      </c>
      <c r="I15" s="404" t="str">
        <f t="shared" si="13"/>
        <v/>
      </c>
      <c r="J15" s="403" t="str">
        <f t="shared" si="13"/>
        <v/>
      </c>
      <c r="K15" s="404" t="str">
        <f t="shared" si="13"/>
        <v/>
      </c>
      <c r="L15" s="403" t="str">
        <f t="shared" si="13"/>
        <v/>
      </c>
      <c r="M15" s="404" t="str">
        <f t="shared" si="13"/>
        <v/>
      </c>
      <c r="N15" s="405"/>
      <c r="O15" s="351"/>
      <c r="P15" s="406"/>
      <c r="Q15" s="402" t="str">
        <f t="shared" ref="Q15:Y15" si="14">if(Q16=1,"O", if(Q16=2,"O   O",""))</f>
        <v/>
      </c>
      <c r="R15" s="403" t="str">
        <f t="shared" si="14"/>
        <v/>
      </c>
      <c r="S15" s="404" t="str">
        <f t="shared" si="14"/>
        <v/>
      </c>
      <c r="T15" s="403" t="str">
        <f t="shared" si="14"/>
        <v/>
      </c>
      <c r="U15" s="404" t="str">
        <f t="shared" si="14"/>
        <v/>
      </c>
      <c r="V15" s="403" t="str">
        <f t="shared" si="14"/>
        <v/>
      </c>
      <c r="W15" s="404" t="str">
        <f t="shared" si="14"/>
        <v/>
      </c>
      <c r="X15" s="403" t="str">
        <f t="shared" si="14"/>
        <v/>
      </c>
      <c r="Y15" s="404" t="str">
        <f t="shared" si="14"/>
        <v>O</v>
      </c>
      <c r="Z15" s="407"/>
      <c r="AA15" s="428"/>
      <c r="AB15" s="409"/>
    </row>
    <row r="16" ht="22.5" hidden="1" customHeight="1">
      <c r="A16" s="410"/>
      <c r="B16" s="411"/>
      <c r="C16" s="412"/>
      <c r="D16" s="413"/>
      <c r="E16" s="414">
        <f t="shared" ref="E16:M16" si="15">IF($D17&gt;0,FLOOR($D17/18,1),0)+IF(AND(MOD($D17,18)&gt;=E$2,$D17&gt;0),1,0)-IF(E$2-18&gt;$D17,1,0)</f>
        <v>1</v>
      </c>
      <c r="F16" s="415">
        <f t="shared" si="15"/>
        <v>0</v>
      </c>
      <c r="G16" s="416">
        <f t="shared" si="15"/>
        <v>0</v>
      </c>
      <c r="H16" s="415">
        <f t="shared" si="15"/>
        <v>0</v>
      </c>
      <c r="I16" s="416">
        <f t="shared" si="15"/>
        <v>0</v>
      </c>
      <c r="J16" s="415">
        <f t="shared" si="15"/>
        <v>0</v>
      </c>
      <c r="K16" s="416">
        <f t="shared" si="15"/>
        <v>0</v>
      </c>
      <c r="L16" s="415">
        <f t="shared" si="15"/>
        <v>0</v>
      </c>
      <c r="M16" s="416">
        <f t="shared" si="15"/>
        <v>0</v>
      </c>
      <c r="N16" s="363"/>
      <c r="O16" s="364"/>
      <c r="P16" s="417"/>
      <c r="Q16" s="414">
        <f t="shared" ref="Q16:Y16" si="16">IF($D17&gt;0,FLOOR($D17/18,1),0)+IF(AND(MOD($D17,18)&gt;=Q$2,$D17&gt;0),1,0)-IF(Q$2-18&gt;$D17,1,0)</f>
        <v>0</v>
      </c>
      <c r="R16" s="415">
        <f t="shared" si="16"/>
        <v>0</v>
      </c>
      <c r="S16" s="416">
        <f t="shared" si="16"/>
        <v>0</v>
      </c>
      <c r="T16" s="415">
        <f t="shared" si="16"/>
        <v>0</v>
      </c>
      <c r="U16" s="416">
        <f t="shared" si="16"/>
        <v>0</v>
      </c>
      <c r="V16" s="415">
        <f t="shared" si="16"/>
        <v>0</v>
      </c>
      <c r="W16" s="416">
        <f t="shared" si="16"/>
        <v>0</v>
      </c>
      <c r="X16" s="415">
        <f t="shared" si="16"/>
        <v>0</v>
      </c>
      <c r="Y16" s="416">
        <f t="shared" si="16"/>
        <v>1</v>
      </c>
      <c r="Z16" s="366"/>
      <c r="AA16" s="418"/>
      <c r="AB16" s="368"/>
    </row>
    <row r="17" ht="27.0" customHeight="1">
      <c r="A17" s="429" t="str">
        <f>'Match Selection'!M5</f>
        <v>Pace</v>
      </c>
      <c r="B17" s="430" t="str">
        <f>vlookup(A17, 'Master Input'!$A$11:$B$27, 2, false)</f>
        <v>Irons</v>
      </c>
      <c r="C17" s="431">
        <f>vlookup(A17,'Master Input'!$A$11:$L$27,'Master Input'!$F$28, false)</f>
        <v>11</v>
      </c>
      <c r="D17" s="432">
        <f>C17-SMALL($C$8:$C$17,1)</f>
        <v>2</v>
      </c>
      <c r="E17" s="433">
        <v>4.0</v>
      </c>
      <c r="F17" s="434">
        <v>5.0</v>
      </c>
      <c r="G17" s="435">
        <v>3.0</v>
      </c>
      <c r="H17" s="434">
        <v>6.0</v>
      </c>
      <c r="I17" s="435">
        <v>8.0</v>
      </c>
      <c r="J17" s="434">
        <v>4.0</v>
      </c>
      <c r="K17" s="435">
        <v>3.0</v>
      </c>
      <c r="L17" s="434">
        <v>6.0</v>
      </c>
      <c r="M17" s="435">
        <v>4.0</v>
      </c>
      <c r="N17" s="436">
        <f>if(M17="","", sum(E17:M17))</f>
        <v>43</v>
      </c>
      <c r="O17" s="364"/>
      <c r="P17" s="437" t="str">
        <f>A17</f>
        <v>Pace</v>
      </c>
      <c r="Q17" s="433">
        <v>4.0</v>
      </c>
      <c r="R17" s="434">
        <v>4.0</v>
      </c>
      <c r="S17" s="435">
        <v>5.0</v>
      </c>
      <c r="T17" s="434">
        <v>4.0</v>
      </c>
      <c r="U17" s="435">
        <v>5.0</v>
      </c>
      <c r="V17" s="434">
        <v>4.0</v>
      </c>
      <c r="W17" s="435">
        <v>6.0</v>
      </c>
      <c r="X17" s="434">
        <v>4.0</v>
      </c>
      <c r="Y17" s="435">
        <v>5.0</v>
      </c>
      <c r="Z17" s="436">
        <f>if(Y17="","", sum(Q17:Y17))</f>
        <v>41</v>
      </c>
      <c r="AA17" s="438">
        <f>if(Z17="", "", sum(N17,Z17))</f>
        <v>84</v>
      </c>
      <c r="AB17" s="439">
        <f>if(Y17="", "", AA17-C17)</f>
        <v>73</v>
      </c>
    </row>
    <row r="18" ht="11.25" customHeight="1">
      <c r="A18" s="440"/>
      <c r="B18" s="441"/>
      <c r="C18" s="442"/>
      <c r="D18" s="443"/>
      <c r="E18" s="441"/>
      <c r="F18" s="441"/>
      <c r="G18" s="441"/>
      <c r="H18" s="441"/>
      <c r="I18" s="441"/>
      <c r="J18" s="441"/>
      <c r="K18" s="441"/>
      <c r="L18" s="441"/>
      <c r="M18" s="441"/>
      <c r="N18" s="444" t="s">
        <v>7</v>
      </c>
      <c r="O18" s="445"/>
      <c r="P18" s="441"/>
      <c r="Q18" s="441"/>
      <c r="R18" s="441"/>
      <c r="S18" s="441"/>
      <c r="T18" s="441"/>
      <c r="U18" s="441"/>
      <c r="V18" s="441"/>
      <c r="W18" s="441"/>
      <c r="X18" s="441"/>
      <c r="Y18" s="441"/>
      <c r="Z18" s="443"/>
      <c r="AA18" s="446"/>
      <c r="AB18" s="447" t="s">
        <v>64</v>
      </c>
    </row>
    <row r="19" ht="27.0" customHeight="1">
      <c r="A19" s="448" t="str">
        <f>B8&amp;" Status"</f>
        <v>Drivers Status</v>
      </c>
      <c r="B19" s="449" t="s">
        <v>65</v>
      </c>
      <c r="C19" s="450"/>
      <c r="D19" s="451"/>
      <c r="E19" s="452">
        <f>if(E23="","",E23)</f>
        <v>-1</v>
      </c>
      <c r="F19" s="453">
        <f t="shared" ref="F19:M19" si="17">if(F23="","",F23+E19)</f>
        <v>-1</v>
      </c>
      <c r="G19" s="453">
        <f t="shared" si="17"/>
        <v>-2</v>
      </c>
      <c r="H19" s="453">
        <f t="shared" si="17"/>
        <v>-3</v>
      </c>
      <c r="I19" s="453">
        <f t="shared" si="17"/>
        <v>-3</v>
      </c>
      <c r="J19" s="453">
        <f t="shared" si="17"/>
        <v>-3</v>
      </c>
      <c r="K19" s="453">
        <f t="shared" si="17"/>
        <v>-3</v>
      </c>
      <c r="L19" s="453">
        <f t="shared" si="17"/>
        <v>-2</v>
      </c>
      <c r="M19" s="453">
        <f t="shared" si="17"/>
        <v>-3</v>
      </c>
      <c r="N19" s="454">
        <f>if(M19="", "", if(M19&lt;0, 0, if(M19&gt;0, vlookup($B$2,'Master Input'!$O$12:$R$23,'Master Input'!P$11,false), vlookup($B$2,'Master Input'!$O$12:$R$23,'Master Input'!P$11,false)*0.5)))</f>
        <v>0</v>
      </c>
      <c r="O19" s="455"/>
      <c r="P19" s="456" t="s">
        <v>66</v>
      </c>
      <c r="Q19" s="457">
        <f>if(Q23="","",Q23+M19)</f>
        <v>-4</v>
      </c>
      <c r="R19" s="458">
        <f t="shared" ref="R19:Y19" si="18">if(R23="","",R23+Q19)</f>
        <v>-4</v>
      </c>
      <c r="S19" s="458">
        <f t="shared" si="18"/>
        <v>-3</v>
      </c>
      <c r="T19" s="458">
        <f t="shared" si="18"/>
        <v>-3</v>
      </c>
      <c r="U19" s="458">
        <f t="shared" si="18"/>
        <v>-4</v>
      </c>
      <c r="V19" s="458">
        <f t="shared" si="18"/>
        <v>-5</v>
      </c>
      <c r="W19" s="458">
        <f t="shared" si="18"/>
        <v>-4</v>
      </c>
      <c r="X19" s="458">
        <f t="shared" si="18"/>
        <v>-4</v>
      </c>
      <c r="Y19" s="458">
        <f t="shared" si="18"/>
        <v>-5</v>
      </c>
      <c r="Z19" s="459">
        <f>if(Y19="", "", if(Y19&lt;0, 0, if(Y19&gt;0, vlookup($B$2,'Master Input'!$O$12:$R$23,'Master Input'!R$11,false), vlookup($B$2,'Master Input'!$O$12:$R$23,'Master Input'!R$11,false)*0.5)))</f>
        <v>0</v>
      </c>
      <c r="AA19" s="460" t="s">
        <v>9</v>
      </c>
      <c r="AB19" s="461">
        <f>if(Z19="","", sum(N19,Z19,Z20))</f>
        <v>0</v>
      </c>
    </row>
    <row r="20" ht="27.0" customHeight="1">
      <c r="A20" s="462"/>
      <c r="B20" s="462"/>
      <c r="C20" s="463"/>
      <c r="D20" s="462"/>
      <c r="E20" s="464"/>
      <c r="F20" s="464"/>
      <c r="G20" s="464"/>
      <c r="H20" s="464"/>
      <c r="I20" s="464"/>
      <c r="J20" s="464"/>
      <c r="K20" s="464"/>
      <c r="L20" s="464"/>
      <c r="M20" s="464"/>
      <c r="N20" s="462"/>
      <c r="O20" s="455"/>
      <c r="P20" s="465" t="s">
        <v>67</v>
      </c>
      <c r="Q20" s="466">
        <f>if(Q23="","",Q23)</f>
        <v>-1</v>
      </c>
      <c r="R20" s="467">
        <f t="shared" ref="R20:Y20" si="19">if(R23="","",R23+Q20)</f>
        <v>-1</v>
      </c>
      <c r="S20" s="467">
        <f t="shared" si="19"/>
        <v>0</v>
      </c>
      <c r="T20" s="467">
        <f t="shared" si="19"/>
        <v>0</v>
      </c>
      <c r="U20" s="467">
        <f t="shared" si="19"/>
        <v>-1</v>
      </c>
      <c r="V20" s="467">
        <f t="shared" si="19"/>
        <v>-2</v>
      </c>
      <c r="W20" s="467">
        <f t="shared" si="19"/>
        <v>-1</v>
      </c>
      <c r="X20" s="467">
        <f t="shared" si="19"/>
        <v>-1</v>
      </c>
      <c r="Y20" s="467">
        <f t="shared" si="19"/>
        <v>-2</v>
      </c>
      <c r="Z20" s="468">
        <f>if(Y20="", "", if(Y20&lt;0, 0, if(Y20&gt;0, vlookup($B$2,'Master Input'!$O$12:$R$23,'Master Input'!Q$11,false), vlookup($B$2,'Master Input'!$O$12:$R$23,'Master Input'!Q$11,false)*0.5)))</f>
        <v>0</v>
      </c>
      <c r="AA20" s="460" t="s">
        <v>8</v>
      </c>
      <c r="AB20" s="469">
        <f>if(AB19="","",vlookup($B$2,'Master Input'!$O$12:$R$23,2,false)+vlookup($B$2,'Master Input'!$O$12:$R$23,3,false)+vlookup($B$2,'Master Input'!$O$12:$R$23,4,false)-AB19)</f>
        <v>4</v>
      </c>
    </row>
    <row r="21" ht="22.5" hidden="1" customHeight="1">
      <c r="A21" s="470"/>
      <c r="B21" s="471"/>
      <c r="C21" s="471"/>
      <c r="D21" s="471"/>
      <c r="E21" s="471"/>
      <c r="F21" s="471"/>
      <c r="G21" s="471"/>
      <c r="H21" s="471"/>
      <c r="I21" s="471"/>
      <c r="J21" s="471"/>
      <c r="K21" s="471"/>
      <c r="L21" s="471"/>
      <c r="M21" s="471"/>
      <c r="N21" s="473"/>
      <c r="O21" s="473"/>
      <c r="P21" s="473"/>
      <c r="Q21" s="474"/>
      <c r="R21" s="474"/>
      <c r="S21" s="474"/>
      <c r="T21" s="474"/>
      <c r="U21" s="474"/>
      <c r="V21" s="474"/>
      <c r="W21" s="474"/>
      <c r="X21" s="474"/>
      <c r="Y21" s="473"/>
      <c r="Z21" s="473"/>
      <c r="AA21" s="475"/>
      <c r="AB21" s="470"/>
    </row>
    <row r="22" hidden="1">
      <c r="A22" s="470"/>
      <c r="B22" s="477">
        <v>1.0</v>
      </c>
      <c r="C22" s="477">
        <v>2.0</v>
      </c>
      <c r="D22" s="477">
        <v>3.0</v>
      </c>
      <c r="E22" s="477">
        <v>4.0</v>
      </c>
      <c r="F22" s="477">
        <v>5.0</v>
      </c>
      <c r="G22" s="477">
        <v>6.0</v>
      </c>
      <c r="H22" s="477">
        <v>7.0</v>
      </c>
      <c r="I22" s="477">
        <v>8.0</v>
      </c>
      <c r="J22" s="477">
        <v>9.0</v>
      </c>
      <c r="K22" s="477">
        <v>10.0</v>
      </c>
      <c r="L22" s="477">
        <v>11.0</v>
      </c>
      <c r="M22" s="477">
        <v>12.0</v>
      </c>
      <c r="N22" s="477">
        <v>13.0</v>
      </c>
      <c r="O22" s="477">
        <v>14.0</v>
      </c>
      <c r="P22" s="477">
        <v>15.0</v>
      </c>
      <c r="Q22" s="477">
        <v>16.0</v>
      </c>
      <c r="R22" s="477">
        <v>17.0</v>
      </c>
      <c r="S22" s="477">
        <v>18.0</v>
      </c>
      <c r="T22" s="477">
        <v>19.0</v>
      </c>
      <c r="U22" s="477">
        <v>20.0</v>
      </c>
      <c r="V22" s="477">
        <v>21.0</v>
      </c>
      <c r="W22" s="477">
        <v>22.0</v>
      </c>
      <c r="X22" s="477">
        <v>23.0</v>
      </c>
      <c r="Y22" s="477">
        <v>24.0</v>
      </c>
      <c r="Z22" s="478" t="s">
        <v>51</v>
      </c>
      <c r="AA22" s="478" t="s">
        <v>68</v>
      </c>
      <c r="AB22" s="479" t="s">
        <v>69</v>
      </c>
    </row>
    <row r="23" ht="14.25" hidden="1" customHeight="1">
      <c r="A23" s="471"/>
      <c r="B23" s="470" t="s">
        <v>70</v>
      </c>
      <c r="C23" s="480"/>
      <c r="D23" s="470"/>
      <c r="E23" s="481">
        <f t="shared" ref="E23:M23" si="20">if(OR(E8="", E11="", E14="", E17=""), "",
if(small({E8-E7,E11-E10},1)&lt;small({E14-E13,E17-E16},1),1,
if(small({E8-E7,E11-E10},1)&gt;small({E14-E13,E17-E16},1),-1,
0)))</f>
        <v>-1</v>
      </c>
      <c r="F23" s="481">
        <f t="shared" si="20"/>
        <v>0</v>
      </c>
      <c r="G23" s="481">
        <f t="shared" si="20"/>
        <v>-1</v>
      </c>
      <c r="H23" s="481">
        <f t="shared" si="20"/>
        <v>-1</v>
      </c>
      <c r="I23" s="481">
        <f t="shared" si="20"/>
        <v>0</v>
      </c>
      <c r="J23" s="481">
        <f t="shared" si="20"/>
        <v>0</v>
      </c>
      <c r="K23" s="481">
        <f t="shared" si="20"/>
        <v>0</v>
      </c>
      <c r="L23" s="481">
        <f t="shared" si="20"/>
        <v>1</v>
      </c>
      <c r="M23" s="481">
        <f t="shared" si="20"/>
        <v>-1</v>
      </c>
      <c r="N23" s="470"/>
      <c r="O23" s="473"/>
      <c r="P23" s="473"/>
      <c r="Q23" s="481">
        <f t="shared" ref="Q23:Y23" si="21">if(OR(Q8="", Q11="", Q14="", Q17=""), "",
if(small({Q8-Q7,Q11-Q10},1)&lt;small({Q14-Q13,Q17-Q16},1),1,
if(small({Q8-Q7,Q11-Q10},1)&gt;small({Q14-Q13,Q17-Q16},1),-1,
0)))</f>
        <v>-1</v>
      </c>
      <c r="R23" s="481">
        <f t="shared" si="21"/>
        <v>0</v>
      </c>
      <c r="S23" s="481">
        <f t="shared" si="21"/>
        <v>1</v>
      </c>
      <c r="T23" s="481">
        <f t="shared" si="21"/>
        <v>0</v>
      </c>
      <c r="U23" s="481">
        <f t="shared" si="21"/>
        <v>-1</v>
      </c>
      <c r="V23" s="481">
        <f t="shared" si="21"/>
        <v>-1</v>
      </c>
      <c r="W23" s="481">
        <f t="shared" si="21"/>
        <v>1</v>
      </c>
      <c r="X23" s="481">
        <f t="shared" si="21"/>
        <v>0</v>
      </c>
      <c r="Y23" s="481">
        <f t="shared" si="21"/>
        <v>-1</v>
      </c>
      <c r="Z23" s="478" t="s">
        <v>71</v>
      </c>
      <c r="AA23" s="478" t="s">
        <v>72</v>
      </c>
      <c r="AB23" s="482" t="s">
        <v>73</v>
      </c>
    </row>
    <row r="24" ht="14.25" hidden="1" customHeight="1">
      <c r="A24" s="483"/>
      <c r="B24" s="483" t="str">
        <f>B8</f>
        <v>Drivers</v>
      </c>
      <c r="C24" s="484"/>
      <c r="D24" s="483"/>
      <c r="E24" s="485">
        <f t="shared" ref="E24:M24" si="22">if(E23="","",(E23+1)/2)</f>
        <v>0</v>
      </c>
      <c r="F24" s="485">
        <f t="shared" si="22"/>
        <v>0.5</v>
      </c>
      <c r="G24" s="485">
        <f t="shared" si="22"/>
        <v>0</v>
      </c>
      <c r="H24" s="485">
        <f t="shared" si="22"/>
        <v>0</v>
      </c>
      <c r="I24" s="485">
        <f t="shared" si="22"/>
        <v>0.5</v>
      </c>
      <c r="J24" s="485">
        <f t="shared" si="22"/>
        <v>0.5</v>
      </c>
      <c r="K24" s="485">
        <f t="shared" si="22"/>
        <v>0.5</v>
      </c>
      <c r="L24" s="485">
        <f t="shared" si="22"/>
        <v>1</v>
      </c>
      <c r="M24" s="485">
        <f t="shared" si="22"/>
        <v>0</v>
      </c>
      <c r="N24" s="486">
        <f>if(M23="","",sum(E24:M24))</f>
        <v>3</v>
      </c>
      <c r="O24" s="483"/>
      <c r="P24" s="483"/>
      <c r="Q24" s="485">
        <f t="shared" ref="Q24:Y24" si="23">if(Q23="","",(Q23+1)/2)</f>
        <v>0</v>
      </c>
      <c r="R24" s="485">
        <f t="shared" si="23"/>
        <v>0.5</v>
      </c>
      <c r="S24" s="485">
        <f t="shared" si="23"/>
        <v>1</v>
      </c>
      <c r="T24" s="485">
        <f t="shared" si="23"/>
        <v>0.5</v>
      </c>
      <c r="U24" s="485">
        <f t="shared" si="23"/>
        <v>0</v>
      </c>
      <c r="V24" s="485">
        <f t="shared" si="23"/>
        <v>0</v>
      </c>
      <c r="W24" s="485">
        <f t="shared" si="23"/>
        <v>1</v>
      </c>
      <c r="X24" s="485">
        <f t="shared" si="23"/>
        <v>0.5</v>
      </c>
      <c r="Y24" s="485">
        <f t="shared" si="23"/>
        <v>0</v>
      </c>
      <c r="Z24" s="486">
        <f>if(Y23="","",sum(Q24:Y24))</f>
        <v>3.5</v>
      </c>
      <c r="AA24" s="487">
        <f>if(Y23="","",sum(Z24,N24))</f>
        <v>6.5</v>
      </c>
      <c r="AB24" s="488"/>
    </row>
    <row r="25" ht="14.25" hidden="1" customHeight="1">
      <c r="A25" s="470" t="str">
        <f>A8</f>
        <v>R-Mac</v>
      </c>
      <c r="B25" s="470"/>
      <c r="C25" s="480"/>
      <c r="D25" s="470"/>
      <c r="E25" s="489">
        <f t="shared" ref="E25:M25" si="24">if(E23="","",if(E8-E7&lt;E11-E10,1,if(E8-E7=E11-E10,0.5,0)))</f>
        <v>1</v>
      </c>
      <c r="F25" s="489">
        <f t="shared" si="24"/>
        <v>1</v>
      </c>
      <c r="G25" s="489">
        <f t="shared" si="24"/>
        <v>1</v>
      </c>
      <c r="H25" s="489">
        <f t="shared" si="24"/>
        <v>0.5</v>
      </c>
      <c r="I25" s="489">
        <f t="shared" si="24"/>
        <v>0.5</v>
      </c>
      <c r="J25" s="489">
        <f t="shared" si="24"/>
        <v>0.5</v>
      </c>
      <c r="K25" s="489">
        <f t="shared" si="24"/>
        <v>0</v>
      </c>
      <c r="L25" s="489">
        <f t="shared" si="24"/>
        <v>0</v>
      </c>
      <c r="M25" s="489">
        <f t="shared" si="24"/>
        <v>0</v>
      </c>
      <c r="N25" s="470"/>
      <c r="O25" s="473"/>
      <c r="P25" s="473"/>
      <c r="Q25" s="489">
        <f t="shared" ref="Q25:Y25" si="25">if(Q23="","",if(Q8-Q7&lt;Q11-Q10,1,if(Q8-Q7=Q11-Q10,0.5,0)))</f>
        <v>0.5</v>
      </c>
      <c r="R25" s="489">
        <f t="shared" si="25"/>
        <v>1</v>
      </c>
      <c r="S25" s="489">
        <f t="shared" si="25"/>
        <v>1</v>
      </c>
      <c r="T25" s="489">
        <f t="shared" si="25"/>
        <v>0</v>
      </c>
      <c r="U25" s="489">
        <f t="shared" si="25"/>
        <v>0</v>
      </c>
      <c r="V25" s="489">
        <f t="shared" si="25"/>
        <v>0.5</v>
      </c>
      <c r="W25" s="489">
        <f t="shared" si="25"/>
        <v>1</v>
      </c>
      <c r="X25" s="489">
        <f t="shared" si="25"/>
        <v>0</v>
      </c>
      <c r="Y25" s="489">
        <f t="shared" si="25"/>
        <v>0.5</v>
      </c>
      <c r="Z25" s="490">
        <f t="shared" ref="Z25:Z26" si="28">if(Y25="","",sum(E25:M25,Q25:Y25))</f>
        <v>9</v>
      </c>
      <c r="AA25" s="491">
        <f t="shared" ref="AA25:AA26" si="29">if(Y25="","",sumproduct({E25:M25,Q25:Y25},{$E$24:$M$24,$Q$24:$Y$24}))</f>
        <v>3.5</v>
      </c>
      <c r="AB25" s="492">
        <f t="shared" ref="AB25:AB26" si="30">if(Y25="","",if($N$24=0,0,((sumproduct(E25:M25,$E$24:$M$24)/$N$24)*$N$19))
+if($Z$24=0,0,((sumproduct(Q25:Y25,$Q$24:$Y$24)/$Z$24)*$Z$20))
+if($AA$24=0,0,((AA25/$AA$24)*$Z$19)))</f>
        <v>0</v>
      </c>
    </row>
    <row r="26" ht="14.25" hidden="1" customHeight="1">
      <c r="A26" s="471" t="str">
        <f>A11</f>
        <v>T-Mo</v>
      </c>
      <c r="B26" s="470"/>
      <c r="C26" s="480"/>
      <c r="D26" s="470"/>
      <c r="E26" s="489">
        <f t="shared" ref="E26:M26" si="26">if(E23="","",if(E8-E7&gt;E11-E10,1,if(E8-E7=E11-E10,0.5,0)))</f>
        <v>0</v>
      </c>
      <c r="F26" s="489">
        <f t="shared" si="26"/>
        <v>0</v>
      </c>
      <c r="G26" s="489">
        <f t="shared" si="26"/>
        <v>0</v>
      </c>
      <c r="H26" s="489">
        <f t="shared" si="26"/>
        <v>0.5</v>
      </c>
      <c r="I26" s="489">
        <f t="shared" si="26"/>
        <v>0.5</v>
      </c>
      <c r="J26" s="489">
        <f t="shared" si="26"/>
        <v>0.5</v>
      </c>
      <c r="K26" s="489">
        <f t="shared" si="26"/>
        <v>1</v>
      </c>
      <c r="L26" s="489">
        <f t="shared" si="26"/>
        <v>1</v>
      </c>
      <c r="M26" s="489">
        <f t="shared" si="26"/>
        <v>1</v>
      </c>
      <c r="N26" s="470"/>
      <c r="O26" s="473"/>
      <c r="P26" s="473"/>
      <c r="Q26" s="489">
        <f t="shared" ref="Q26:Y26" si="27">if(Q23="","",if(Q8-Q7&gt;Q11-Q10,1,if(Q8-Q7=Q11-Q10,0.5,0)))</f>
        <v>0.5</v>
      </c>
      <c r="R26" s="489">
        <f t="shared" si="27"/>
        <v>0</v>
      </c>
      <c r="S26" s="489">
        <f t="shared" si="27"/>
        <v>0</v>
      </c>
      <c r="T26" s="489">
        <f t="shared" si="27"/>
        <v>1</v>
      </c>
      <c r="U26" s="489">
        <f t="shared" si="27"/>
        <v>1</v>
      </c>
      <c r="V26" s="489">
        <f t="shared" si="27"/>
        <v>0.5</v>
      </c>
      <c r="W26" s="489">
        <f t="shared" si="27"/>
        <v>0</v>
      </c>
      <c r="X26" s="489">
        <f t="shared" si="27"/>
        <v>1</v>
      </c>
      <c r="Y26" s="489">
        <f t="shared" si="27"/>
        <v>0.5</v>
      </c>
      <c r="Z26" s="490">
        <f t="shared" si="28"/>
        <v>9</v>
      </c>
      <c r="AA26" s="491">
        <f t="shared" si="29"/>
        <v>3</v>
      </c>
      <c r="AB26" s="492">
        <f t="shared" si="30"/>
        <v>0</v>
      </c>
    </row>
    <row r="27" ht="14.25" hidden="1" customHeight="1">
      <c r="A27" s="483"/>
      <c r="B27" s="483" t="str">
        <f>B14</f>
        <v>Irons</v>
      </c>
      <c r="C27" s="484"/>
      <c r="D27" s="483"/>
      <c r="E27" s="485">
        <f t="shared" ref="E27:M27" si="31">if(E23="","",(1-E23)/2)</f>
        <v>1</v>
      </c>
      <c r="F27" s="485">
        <f t="shared" si="31"/>
        <v>0.5</v>
      </c>
      <c r="G27" s="485">
        <f t="shared" si="31"/>
        <v>1</v>
      </c>
      <c r="H27" s="485">
        <f t="shared" si="31"/>
        <v>1</v>
      </c>
      <c r="I27" s="485">
        <f t="shared" si="31"/>
        <v>0.5</v>
      </c>
      <c r="J27" s="485">
        <f t="shared" si="31"/>
        <v>0.5</v>
      </c>
      <c r="K27" s="485">
        <f t="shared" si="31"/>
        <v>0.5</v>
      </c>
      <c r="L27" s="485">
        <f t="shared" si="31"/>
        <v>0</v>
      </c>
      <c r="M27" s="485">
        <f t="shared" si="31"/>
        <v>1</v>
      </c>
      <c r="N27" s="486">
        <f>if(M26="","",sum(E27:M27))</f>
        <v>6</v>
      </c>
      <c r="O27" s="483"/>
      <c r="P27" s="483"/>
      <c r="Q27" s="485">
        <f t="shared" ref="Q27:Y27" si="32">if(Q23="","",(1-Q23)/2)</f>
        <v>1</v>
      </c>
      <c r="R27" s="485">
        <f t="shared" si="32"/>
        <v>0.5</v>
      </c>
      <c r="S27" s="485">
        <f t="shared" si="32"/>
        <v>0</v>
      </c>
      <c r="T27" s="485">
        <f t="shared" si="32"/>
        <v>0.5</v>
      </c>
      <c r="U27" s="485">
        <f t="shared" si="32"/>
        <v>1</v>
      </c>
      <c r="V27" s="485">
        <f t="shared" si="32"/>
        <v>1</v>
      </c>
      <c r="W27" s="485">
        <f t="shared" si="32"/>
        <v>0</v>
      </c>
      <c r="X27" s="485">
        <f t="shared" si="32"/>
        <v>0.5</v>
      </c>
      <c r="Y27" s="485">
        <f t="shared" si="32"/>
        <v>1</v>
      </c>
      <c r="Z27" s="486">
        <f>if(Y26="","",sum(Q27:Y27))</f>
        <v>5.5</v>
      </c>
      <c r="AA27" s="487">
        <f>if(Y26="","",sum(Z27,N27))</f>
        <v>11.5</v>
      </c>
      <c r="AB27" s="488"/>
    </row>
    <row r="28" ht="14.25" hidden="1" customHeight="1">
      <c r="A28" s="470" t="str">
        <f>A14</f>
        <v>Andy</v>
      </c>
      <c r="B28" s="470"/>
      <c r="C28" s="480"/>
      <c r="D28" s="470"/>
      <c r="E28" s="489">
        <f t="shared" ref="E28:M28" si="33">if(E23="","",if(E17-E16&gt;E14-E13,1,if(E17-E16=E14-E13,0.5,0)))</f>
        <v>0</v>
      </c>
      <c r="F28" s="489">
        <f t="shared" si="33"/>
        <v>0.5</v>
      </c>
      <c r="G28" s="489">
        <f t="shared" si="33"/>
        <v>0</v>
      </c>
      <c r="H28" s="489">
        <f t="shared" si="33"/>
        <v>0.5</v>
      </c>
      <c r="I28" s="489">
        <f t="shared" si="33"/>
        <v>1</v>
      </c>
      <c r="J28" s="489">
        <f t="shared" si="33"/>
        <v>0.5</v>
      </c>
      <c r="K28" s="489">
        <f t="shared" si="33"/>
        <v>0</v>
      </c>
      <c r="L28" s="489">
        <f t="shared" si="33"/>
        <v>0.5</v>
      </c>
      <c r="M28" s="489">
        <f t="shared" si="33"/>
        <v>0</v>
      </c>
      <c r="N28" s="470"/>
      <c r="O28" s="473"/>
      <c r="P28" s="473"/>
      <c r="Q28" s="489">
        <f t="shared" ref="Q28:Y28" si="34">if(Q23="","",if(Q17-Q16&gt;Q14-Q13,1,if(Q17-Q16=Q14-Q13,0.5,0)))</f>
        <v>0.5</v>
      </c>
      <c r="R28" s="489">
        <f t="shared" si="34"/>
        <v>0</v>
      </c>
      <c r="S28" s="489">
        <f t="shared" si="34"/>
        <v>0.5</v>
      </c>
      <c r="T28" s="489">
        <f t="shared" si="34"/>
        <v>1</v>
      </c>
      <c r="U28" s="489">
        <f t="shared" si="34"/>
        <v>0.5</v>
      </c>
      <c r="V28" s="489">
        <f t="shared" si="34"/>
        <v>0.5</v>
      </c>
      <c r="W28" s="489">
        <f t="shared" si="34"/>
        <v>0.5</v>
      </c>
      <c r="X28" s="489">
        <f t="shared" si="34"/>
        <v>1</v>
      </c>
      <c r="Y28" s="489">
        <f t="shared" si="34"/>
        <v>0.5</v>
      </c>
      <c r="Z28" s="490">
        <f t="shared" ref="Z28:Z29" si="37">if(Y28="","",sum(E28:M28,Q28:Y28))</f>
        <v>8</v>
      </c>
      <c r="AA28" s="491">
        <f t="shared" ref="AA28:AA29" si="38">if(Y28="","",sumproduct({E28:M28,Q28:Y28},{$E$27:$M$27,$Q$27:$Y$27}))</f>
        <v>4.5</v>
      </c>
      <c r="AB28" s="492">
        <f>if(Y28="","",if($N$27=0,0,((sumproduct(E28:M28,$E$27:$M$27)/$N$27)*(vlookup($B$2,'Master Input'!$O$12:$R$23,'Master Input'!P$11,false)-$N$19)))
+if($Z$27=0,0,((sumproduct(Q28:Y28,$Q$27:$Y$27)/$Z$27)*(vlookup($B$2,'Master Input'!$O$12:$R$23,'Master Input'!Q$11,false)-$Z$20)))
+if($AA$27=0,0,((AA28/$AA$27)*(vlookup($B$2,'Master Input'!$O$12:$R$23,'Master Input'!R$11,false)-$Z$19))))</f>
        <v>1.578063241</v>
      </c>
    </row>
    <row r="29" ht="14.25" hidden="1" customHeight="1">
      <c r="A29" s="470" t="str">
        <f>A17</f>
        <v>Pace</v>
      </c>
      <c r="B29" s="470"/>
      <c r="C29" s="480"/>
      <c r="D29" s="470"/>
      <c r="E29" s="493">
        <f t="shared" ref="E29:M29" si="35">if(E23="","",if(E17-E16&lt;E14-E13,1,if(E17-E16=E14-E13,0.5,0)))</f>
        <v>1</v>
      </c>
      <c r="F29" s="493">
        <f t="shared" si="35"/>
        <v>0.5</v>
      </c>
      <c r="G29" s="493">
        <f t="shared" si="35"/>
        <v>1</v>
      </c>
      <c r="H29" s="493">
        <f t="shared" si="35"/>
        <v>0.5</v>
      </c>
      <c r="I29" s="493">
        <f t="shared" si="35"/>
        <v>0</v>
      </c>
      <c r="J29" s="493">
        <f t="shared" si="35"/>
        <v>0.5</v>
      </c>
      <c r="K29" s="493">
        <f t="shared" si="35"/>
        <v>1</v>
      </c>
      <c r="L29" s="493">
        <f t="shared" si="35"/>
        <v>0.5</v>
      </c>
      <c r="M29" s="493">
        <f t="shared" si="35"/>
        <v>1</v>
      </c>
      <c r="N29" s="470"/>
      <c r="O29" s="473"/>
      <c r="P29" s="473"/>
      <c r="Q29" s="493">
        <f t="shared" ref="Q29:Y29" si="36">if(Q23="","",if(Q17-Q16&lt;Q14-Q13,1,if(Q17-Q16=Q14-Q13,0.5,0)))</f>
        <v>0.5</v>
      </c>
      <c r="R29" s="493">
        <f t="shared" si="36"/>
        <v>1</v>
      </c>
      <c r="S29" s="493">
        <f t="shared" si="36"/>
        <v>0.5</v>
      </c>
      <c r="T29" s="493">
        <f t="shared" si="36"/>
        <v>0</v>
      </c>
      <c r="U29" s="493">
        <f t="shared" si="36"/>
        <v>0.5</v>
      </c>
      <c r="V29" s="493">
        <f t="shared" si="36"/>
        <v>0.5</v>
      </c>
      <c r="W29" s="493">
        <f t="shared" si="36"/>
        <v>0.5</v>
      </c>
      <c r="X29" s="493">
        <f t="shared" si="36"/>
        <v>0</v>
      </c>
      <c r="Y29" s="493">
        <f t="shared" si="36"/>
        <v>0.5</v>
      </c>
      <c r="Z29" s="490">
        <f t="shared" si="37"/>
        <v>10</v>
      </c>
      <c r="AA29" s="491">
        <f t="shared" si="38"/>
        <v>7</v>
      </c>
      <c r="AB29" s="492">
        <f>if(Y29="","",((sumproduct(E29:M29,$E$27:$M$27)/$N$27)*(vlookup($B$2,'Master Input'!$O$12:$R$23,'Master Input'!P$11,false)-$N$19))
+((sumproduct(Q29:Y29,$Q$27:$Y$27)/$Z$27)*(vlookup($B$2,'Master Input'!$O$12:$R$23,'Master Input'!Q$11,false)-$Z$20))
+((AA29/$AA$27)*(vlookup($B$2,'Master Input'!$O$12:$R$23,'Master Input'!R$11,false)-$Z$19)))</f>
        <v>2.421936759</v>
      </c>
    </row>
    <row r="30" ht="14.25" hidden="1" customHeight="1">
      <c r="A30" s="470"/>
      <c r="B30" s="470"/>
      <c r="C30" s="480"/>
      <c r="D30" s="470"/>
      <c r="E30" s="493">
        <f t="shared" ref="E30:M30" si="39">sum(E25:E26,E28:E29)</f>
        <v>2</v>
      </c>
      <c r="F30" s="493">
        <f t="shared" si="39"/>
        <v>2</v>
      </c>
      <c r="G30" s="493">
        <f t="shared" si="39"/>
        <v>2</v>
      </c>
      <c r="H30" s="493">
        <f t="shared" si="39"/>
        <v>2</v>
      </c>
      <c r="I30" s="493">
        <f t="shared" si="39"/>
        <v>2</v>
      </c>
      <c r="J30" s="493">
        <f t="shared" si="39"/>
        <v>2</v>
      </c>
      <c r="K30" s="493">
        <f t="shared" si="39"/>
        <v>2</v>
      </c>
      <c r="L30" s="493">
        <f t="shared" si="39"/>
        <v>2</v>
      </c>
      <c r="M30" s="493">
        <f t="shared" si="39"/>
        <v>2</v>
      </c>
      <c r="N30" s="470"/>
      <c r="O30" s="473"/>
      <c r="P30" s="473"/>
      <c r="Q30" s="493">
        <f t="shared" ref="Q30:Z30" si="40">sum(Q25:Q26,Q28:Q29)</f>
        <v>2</v>
      </c>
      <c r="R30" s="493">
        <f t="shared" si="40"/>
        <v>2</v>
      </c>
      <c r="S30" s="493">
        <f t="shared" si="40"/>
        <v>2</v>
      </c>
      <c r="T30" s="493">
        <f t="shared" si="40"/>
        <v>2</v>
      </c>
      <c r="U30" s="493">
        <f t="shared" si="40"/>
        <v>2</v>
      </c>
      <c r="V30" s="493">
        <f t="shared" si="40"/>
        <v>2</v>
      </c>
      <c r="W30" s="493">
        <f t="shared" si="40"/>
        <v>2</v>
      </c>
      <c r="X30" s="493">
        <f t="shared" si="40"/>
        <v>2</v>
      </c>
      <c r="Y30" s="493">
        <f t="shared" si="40"/>
        <v>2</v>
      </c>
      <c r="Z30" s="493">
        <f t="shared" si="40"/>
        <v>36</v>
      </c>
      <c r="AA30" s="475"/>
      <c r="AB30" s="494"/>
    </row>
  </sheetData>
  <mergeCells count="1">
    <mergeCell ref="B2:B3"/>
  </mergeCells>
  <conditionalFormatting sqref="E8:M8 Q8:Y8">
    <cfRule type="expression" dxfId="16" priority="1">
      <formula>and(E$24=1,E$25&gt;0)</formula>
    </cfRule>
  </conditionalFormatting>
  <conditionalFormatting sqref="E11:M11 Q11:Y11">
    <cfRule type="expression" dxfId="16" priority="2">
      <formula>and(E$24=1,E$26&gt;0)</formula>
    </cfRule>
  </conditionalFormatting>
  <conditionalFormatting sqref="E14:M14 Q14:Y14">
    <cfRule type="expression" dxfId="15" priority="3">
      <formula>and(E$27=1,E$28&gt;0)</formula>
    </cfRule>
  </conditionalFormatting>
  <conditionalFormatting sqref="E17:M17 Q17:Y17">
    <cfRule type="expression" dxfId="15" priority="4">
      <formula>and(E$27=1,E$29&gt;0)</formula>
    </cfRule>
  </conditionalFormatting>
  <conditionalFormatting sqref="AB20">
    <cfRule type="notContainsBlanks" dxfId="15" priority="5">
      <formula>LEN(TRIM(AB20))&gt;0</formula>
    </cfRule>
  </conditionalFormatting>
  <conditionalFormatting sqref="N19 Z19:Z20 AB19">
    <cfRule type="notContainsBlanks" dxfId="16" priority="6">
      <formula>LEN(TRIM(N19))&gt;0</formula>
    </cfRule>
  </conditionalFormatting>
  <conditionalFormatting sqref="E8:M8 Q8:Y8">
    <cfRule type="expression" dxfId="2" priority="7">
      <formula>and(E$24=0.5,E$25&gt;0)</formula>
    </cfRule>
  </conditionalFormatting>
  <conditionalFormatting sqref="E11:M11 Q11:Y11">
    <cfRule type="expression" dxfId="2" priority="8">
      <formula>and(E$24=0.5,E$26&gt;0)</formula>
    </cfRule>
  </conditionalFormatting>
  <conditionalFormatting sqref="E14:M14 Q14:Y14">
    <cfRule type="expression" dxfId="2" priority="9">
      <formula>and(E$27=0.5,E$28&gt;0)</formula>
    </cfRule>
  </conditionalFormatting>
  <conditionalFormatting sqref="E17:M17 Q17:Y17">
    <cfRule type="expression" dxfId="2" priority="10">
      <formula>and(E$27=0.5,E$29&gt;0)</formula>
    </cfRule>
  </conditionalFormatting>
  <printOptions horizontalCentered="1"/>
  <pageMargins bottom="0.5" footer="0.0" header="0.0" left="0.55"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95" t="s">
        <v>75</v>
      </c>
      <c r="B1" s="296">
        <f>'Master Input'!E4</f>
        <v>0.5347222222</v>
      </c>
      <c r="C1" s="297" t="str">
        <f>'Master Input'!$E$2</f>
        <v>Round 1</v>
      </c>
      <c r="D1" s="298"/>
      <c r="E1" s="297" t="str">
        <f>'Master Input'!$E$6</f>
        <v>GVSU Meadows - Blue</v>
      </c>
      <c r="F1" s="299"/>
      <c r="G1" s="299"/>
      <c r="H1" s="299"/>
      <c r="I1" s="299"/>
      <c r="J1" s="299"/>
      <c r="K1" s="299"/>
      <c r="L1" s="299"/>
      <c r="M1" s="299"/>
      <c r="N1" s="300"/>
      <c r="O1" s="301"/>
      <c r="P1" s="302" t="str">
        <f>'Master Input'!$E$2</f>
        <v>Round 1</v>
      </c>
      <c r="Q1" s="298"/>
      <c r="R1" s="297" t="str">
        <f>'Master Input'!$E$6</f>
        <v>GVSU Meadows - Blue</v>
      </c>
      <c r="S1" s="303"/>
      <c r="T1" s="303"/>
      <c r="U1" s="303"/>
      <c r="V1" s="303"/>
      <c r="W1" s="303"/>
      <c r="X1" s="303"/>
      <c r="Y1" s="303"/>
      <c r="Z1" s="303"/>
      <c r="AA1" s="303"/>
      <c r="AB1" s="304"/>
    </row>
    <row r="2" ht="14.25" customHeight="1">
      <c r="A2" s="305" t="s">
        <v>55</v>
      </c>
      <c r="B2" s="306" t="str">
        <f>'Match Selection'!B4</f>
        <v>2-Man Best Ball</v>
      </c>
      <c r="C2" s="307"/>
      <c r="D2" s="308" t="s">
        <v>55</v>
      </c>
      <c r="E2" s="309">
        <f>vlookup($E1, 'Course List'!$A$3:$AS$14,5+E4, false)</f>
        <v>2</v>
      </c>
      <c r="F2" s="310">
        <f>vlookup($E1, 'Course List'!$A$3:$AS$14,5+F4, false)</f>
        <v>8</v>
      </c>
      <c r="G2" s="310">
        <f>vlookup($E1, 'Course List'!$A$3:$AS$14,5+G4, false)</f>
        <v>14</v>
      </c>
      <c r="H2" s="310">
        <f>vlookup($E1, 'Course List'!$A$3:$AS$14,5+H4, false)</f>
        <v>12</v>
      </c>
      <c r="I2" s="310">
        <f>vlookup($E1, 'Course List'!$A$3:$AS$14,5+I4, false)</f>
        <v>6</v>
      </c>
      <c r="J2" s="310">
        <f>vlookup($E1, 'Course List'!$A$3:$AS$14,5+J4, false)</f>
        <v>18</v>
      </c>
      <c r="K2" s="310">
        <f>vlookup($E1, 'Course List'!$A$3:$AS$14,5+K4, false)</f>
        <v>10</v>
      </c>
      <c r="L2" s="310">
        <f>vlookup($E1, 'Course List'!$A$3:$AS$14,5+L4, false)</f>
        <v>4</v>
      </c>
      <c r="M2" s="311">
        <f>vlookup($E1, 'Course List'!$A$3:$AS$14,5+M4, false)</f>
        <v>16</v>
      </c>
      <c r="N2" s="312"/>
      <c r="O2" s="313"/>
      <c r="P2" s="314" t="s">
        <v>55</v>
      </c>
      <c r="Q2" s="309">
        <f>vlookup($E1, 'Course List'!$A$3:$AS$14,5+Q4, false)</f>
        <v>13</v>
      </c>
      <c r="R2" s="310">
        <f>vlookup($E1, 'Course List'!$A$3:$AS$14,5+R4, false)</f>
        <v>3</v>
      </c>
      <c r="S2" s="310">
        <f>vlookup($E1, 'Course List'!$A$3:$AS$14,5+S4, false)</f>
        <v>9</v>
      </c>
      <c r="T2" s="310">
        <f>vlookup($E1, 'Course List'!$A$3:$AS$14,5+T4, false)</f>
        <v>15</v>
      </c>
      <c r="U2" s="310">
        <f>vlookup($E1, 'Course List'!$A$3:$AS$14,5+U4, false)</f>
        <v>11</v>
      </c>
      <c r="V2" s="310">
        <f>vlookup($E1, 'Course List'!$A$3:$AS$14,5+V4, false)</f>
        <v>5</v>
      </c>
      <c r="W2" s="310">
        <f>vlookup($E1, 'Course List'!$A$3:$AS$14,5+W4, false)</f>
        <v>7</v>
      </c>
      <c r="X2" s="310">
        <f>vlookup($E1, 'Course List'!$A$3:$AS$14,5+X4, false)</f>
        <v>17</v>
      </c>
      <c r="Y2" s="311">
        <f>vlookup($E1, 'Course List'!$A$3:$AS$14,5+Y4, false)</f>
        <v>1</v>
      </c>
      <c r="Z2" s="312"/>
      <c r="AA2" s="315"/>
      <c r="AB2" s="316"/>
    </row>
    <row r="3" ht="14.25" customHeight="1">
      <c r="A3" s="305" t="s">
        <v>56</v>
      </c>
      <c r="B3" s="317"/>
      <c r="C3" s="318"/>
      <c r="D3" s="319" t="s">
        <v>56</v>
      </c>
      <c r="E3" s="320">
        <f>vlookup($E1, 'Course List'!$A$3:$AS$14,27+E4, false)</f>
        <v>4</v>
      </c>
      <c r="F3" s="321">
        <f>vlookup($E1, 'Course List'!$A$3:$AS$14,27+F4, false)</f>
        <v>4</v>
      </c>
      <c r="G3" s="321">
        <f>vlookup($E1, 'Course List'!$A$3:$AS$14,27+G4, false)</f>
        <v>3</v>
      </c>
      <c r="H3" s="321">
        <f>vlookup($E1, 'Course List'!$A$3:$AS$14,27+H4, false)</f>
        <v>5</v>
      </c>
      <c r="I3" s="321">
        <f>vlookup($E1, 'Course List'!$A$3:$AS$14,27+I4, false)</f>
        <v>4</v>
      </c>
      <c r="J3" s="321">
        <f>vlookup($E1, 'Course List'!$A$3:$AS$14,27+J4, false)</f>
        <v>4</v>
      </c>
      <c r="K3" s="321">
        <f>vlookup($E1, 'Course List'!$A$3:$AS$14,27+K4, false)</f>
        <v>3</v>
      </c>
      <c r="L3" s="321">
        <f>vlookup($E1, 'Course List'!$A$3:$AS$14,27+L4, false)</f>
        <v>4</v>
      </c>
      <c r="M3" s="322">
        <f>vlookup($E1, 'Course List'!$A$3:$AS$14,27+M4, false)</f>
        <v>5</v>
      </c>
      <c r="N3" s="323">
        <f>SUM(E3:M3)</f>
        <v>36</v>
      </c>
      <c r="O3" s="313"/>
      <c r="P3" s="305" t="s">
        <v>56</v>
      </c>
      <c r="Q3" s="320">
        <f>vlookup($E1, 'Course List'!$A$3:$AS$14,27+Q4, false)</f>
        <v>4</v>
      </c>
      <c r="R3" s="321">
        <f>vlookup($E1, 'Course List'!$A$3:$AS$14,27+R4, false)</f>
        <v>4</v>
      </c>
      <c r="S3" s="321">
        <f>vlookup($E1, 'Course List'!$A$3:$AS$14,27+S4, false)</f>
        <v>4</v>
      </c>
      <c r="T3" s="321">
        <f>vlookup($E1, 'Course List'!$A$3:$AS$14,27+T4, false)</f>
        <v>3</v>
      </c>
      <c r="U3" s="321">
        <f>vlookup($E1, 'Course List'!$A$3:$AS$14,27+U4, false)</f>
        <v>5</v>
      </c>
      <c r="V3" s="321">
        <f>vlookup($E1, 'Course List'!$A$3:$AS$14,27+V4, false)</f>
        <v>4</v>
      </c>
      <c r="W3" s="321">
        <f>vlookup($E1, 'Course List'!$A$3:$AS$14,27+W4, false)</f>
        <v>4</v>
      </c>
      <c r="X3" s="321">
        <f>vlookup($E1, 'Course List'!$A$3:$AS$14,27+X4, false)</f>
        <v>3</v>
      </c>
      <c r="Y3" s="322">
        <f>vlookup($E1, 'Course List'!$A$3:$AS$14,27+Y4, false)</f>
        <v>4</v>
      </c>
      <c r="Z3" s="323">
        <f>SUM(Q3:Y3)</f>
        <v>35</v>
      </c>
      <c r="AA3" s="321">
        <f>N3+Z3</f>
        <v>71</v>
      </c>
      <c r="AB3" s="324"/>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343"/>
      <c r="B6" s="344"/>
      <c r="C6" s="345"/>
      <c r="D6" s="346"/>
      <c r="E6" s="347" t="str">
        <f t="shared" ref="E6:M6" si="1">if(E7=1,"O", if(E7=2,"O   O",""))</f>
        <v/>
      </c>
      <c r="F6" s="348" t="str">
        <f t="shared" si="1"/>
        <v/>
      </c>
      <c r="G6" s="349" t="str">
        <f t="shared" si="1"/>
        <v/>
      </c>
      <c r="H6" s="348" t="str">
        <f t="shared" si="1"/>
        <v/>
      </c>
      <c r="I6" s="349" t="str">
        <f t="shared" si="1"/>
        <v/>
      </c>
      <c r="J6" s="348" t="str">
        <f t="shared" si="1"/>
        <v/>
      </c>
      <c r="K6" s="349" t="str">
        <f t="shared" si="1"/>
        <v/>
      </c>
      <c r="L6" s="348" t="str">
        <f t="shared" si="1"/>
        <v/>
      </c>
      <c r="M6" s="349" t="str">
        <f t="shared" si="1"/>
        <v/>
      </c>
      <c r="N6" s="350"/>
      <c r="O6" s="351"/>
      <c r="P6" s="352"/>
      <c r="Q6" s="347" t="str">
        <f t="shared" ref="Q6:Y6" si="2">if(Q7=1,"O", if(Q7=2,"O   O",""))</f>
        <v/>
      </c>
      <c r="R6" s="348" t="str">
        <f t="shared" si="2"/>
        <v/>
      </c>
      <c r="S6" s="349" t="str">
        <f t="shared" si="2"/>
        <v/>
      </c>
      <c r="T6" s="348" t="str">
        <f t="shared" si="2"/>
        <v/>
      </c>
      <c r="U6" s="349" t="str">
        <f t="shared" si="2"/>
        <v/>
      </c>
      <c r="V6" s="348" t="str">
        <f t="shared" si="2"/>
        <v/>
      </c>
      <c r="W6" s="349" t="str">
        <f t="shared" si="2"/>
        <v/>
      </c>
      <c r="X6" s="348" t="str">
        <f t="shared" si="2"/>
        <v/>
      </c>
      <c r="Y6" s="349" t="str">
        <f t="shared" si="2"/>
        <v/>
      </c>
      <c r="Z6" s="353"/>
      <c r="AA6" s="354"/>
      <c r="AB6" s="355"/>
    </row>
    <row r="7" ht="22.5" hidden="1" customHeight="1">
      <c r="A7" s="356"/>
      <c r="B7" s="357"/>
      <c r="C7" s="358"/>
      <c r="D7" s="359"/>
      <c r="E7" s="360">
        <f t="shared" ref="E7:M7" si="3">IF($D8&gt;0,FLOOR($D8/18,1),0)+IF(AND(MOD($D8,18)&gt;=E$2,$D8&gt;0),1,0)-IF(E$2-18&gt;$D8,1,0)</f>
        <v>0</v>
      </c>
      <c r="F7" s="361">
        <f t="shared" si="3"/>
        <v>0</v>
      </c>
      <c r="G7" s="362">
        <f t="shared" si="3"/>
        <v>0</v>
      </c>
      <c r="H7" s="361">
        <f t="shared" si="3"/>
        <v>0</v>
      </c>
      <c r="I7" s="362">
        <f t="shared" si="3"/>
        <v>0</v>
      </c>
      <c r="J7" s="361">
        <f t="shared" si="3"/>
        <v>0</v>
      </c>
      <c r="K7" s="362">
        <f t="shared" si="3"/>
        <v>0</v>
      </c>
      <c r="L7" s="361">
        <f t="shared" si="3"/>
        <v>0</v>
      </c>
      <c r="M7" s="362">
        <f t="shared" si="3"/>
        <v>0</v>
      </c>
      <c r="N7" s="363"/>
      <c r="O7" s="364"/>
      <c r="P7" s="365"/>
      <c r="Q7" s="360">
        <f t="shared" ref="Q7:Y7" si="4">IF($D8&gt;0,FLOOR($D8/18,1),0)+IF(AND(MOD($D8,18)&gt;=Q$2,$D8&gt;0),1,0)-IF(Q$2-18&gt;$D8,1,0)</f>
        <v>0</v>
      </c>
      <c r="R7" s="361">
        <f t="shared" si="4"/>
        <v>0</v>
      </c>
      <c r="S7" s="362">
        <f t="shared" si="4"/>
        <v>0</v>
      </c>
      <c r="T7" s="361">
        <f t="shared" si="4"/>
        <v>0</v>
      </c>
      <c r="U7" s="362">
        <f t="shared" si="4"/>
        <v>0</v>
      </c>
      <c r="V7" s="361">
        <f t="shared" si="4"/>
        <v>0</v>
      </c>
      <c r="W7" s="362">
        <f t="shared" si="4"/>
        <v>0</v>
      </c>
      <c r="X7" s="361">
        <f t="shared" si="4"/>
        <v>0</v>
      </c>
      <c r="Y7" s="362">
        <f t="shared" si="4"/>
        <v>0</v>
      </c>
      <c r="Z7" s="366"/>
      <c r="AA7" s="367"/>
      <c r="AB7" s="368"/>
    </row>
    <row r="8" ht="27.0" customHeight="1">
      <c r="A8" s="369" t="str">
        <f>'Match Selection'!P4</f>
        <v>KJ</v>
      </c>
      <c r="B8" s="370" t="str">
        <f>vlookup(A8, 'Master Input'!$A$11:$B$27, 2, false)</f>
        <v>Drivers</v>
      </c>
      <c r="C8" s="371">
        <f>vlookup(A8,'Master Input'!$A$11:$L$27,'Master Input'!$F$28, false)</f>
        <v>10</v>
      </c>
      <c r="D8" s="372">
        <f>C8-SMALL($C$8:$C$17,1)</f>
        <v>0</v>
      </c>
      <c r="E8" s="373">
        <v>4.0</v>
      </c>
      <c r="F8" s="374">
        <v>5.0</v>
      </c>
      <c r="G8" s="375">
        <v>3.0</v>
      </c>
      <c r="H8" s="374">
        <v>7.0</v>
      </c>
      <c r="I8" s="375">
        <v>5.0</v>
      </c>
      <c r="J8" s="374">
        <v>4.0</v>
      </c>
      <c r="K8" s="375">
        <v>4.0</v>
      </c>
      <c r="L8" s="374">
        <v>5.0</v>
      </c>
      <c r="M8" s="375">
        <v>8.0</v>
      </c>
      <c r="N8" s="376">
        <f>if(M8="","", sum(E8:M8))</f>
        <v>45</v>
      </c>
      <c r="O8" s="364"/>
      <c r="P8" s="377" t="str">
        <f>A8</f>
        <v>KJ</v>
      </c>
      <c r="Q8" s="373">
        <v>4.0</v>
      </c>
      <c r="R8" s="374">
        <v>4.0</v>
      </c>
      <c r="S8" s="375">
        <v>5.0</v>
      </c>
      <c r="T8" s="374">
        <v>4.0</v>
      </c>
      <c r="U8" s="375">
        <v>6.0</v>
      </c>
      <c r="V8" s="374">
        <v>3.0</v>
      </c>
      <c r="W8" s="375">
        <v>5.0</v>
      </c>
      <c r="X8" s="374">
        <v>3.0</v>
      </c>
      <c r="Y8" s="375">
        <v>6.0</v>
      </c>
      <c r="Z8" s="376">
        <f>if(Y8="","", sum(Q8:Y8))</f>
        <v>40</v>
      </c>
      <c r="AA8" s="378">
        <f>if(Z8="", "", sum(N8,Z8))</f>
        <v>85</v>
      </c>
      <c r="AB8" s="379">
        <f>if(Y8="", "", AA8-C8)</f>
        <v>75</v>
      </c>
    </row>
    <row r="9" ht="7.5" customHeight="1">
      <c r="A9" s="380"/>
      <c r="B9" s="381"/>
      <c r="C9" s="382"/>
      <c r="D9" s="383"/>
      <c r="E9" s="384" t="str">
        <f t="shared" ref="E9:M9" si="5">if(E10=1,"O", if(E10=2,"O   O",""))</f>
        <v>O</v>
      </c>
      <c r="F9" s="385" t="str">
        <f t="shared" si="5"/>
        <v/>
      </c>
      <c r="G9" s="386" t="str">
        <f t="shared" si="5"/>
        <v/>
      </c>
      <c r="H9" s="385" t="str">
        <f t="shared" si="5"/>
        <v/>
      </c>
      <c r="I9" s="386" t="str">
        <f t="shared" si="5"/>
        <v/>
      </c>
      <c r="J9" s="385" t="str">
        <f t="shared" si="5"/>
        <v/>
      </c>
      <c r="K9" s="386" t="str">
        <f t="shared" si="5"/>
        <v/>
      </c>
      <c r="L9" s="385" t="str">
        <f t="shared" si="5"/>
        <v>O</v>
      </c>
      <c r="M9" s="386" t="str">
        <f t="shared" si="5"/>
        <v/>
      </c>
      <c r="N9" s="387"/>
      <c r="O9" s="351"/>
      <c r="P9" s="388"/>
      <c r="Q9" s="384" t="str">
        <f t="shared" ref="Q9:Y9" si="6">if(Q10=1,"O", if(Q10=2,"O   O",""))</f>
        <v/>
      </c>
      <c r="R9" s="385" t="str">
        <f t="shared" si="6"/>
        <v>O</v>
      </c>
      <c r="S9" s="386" t="str">
        <f t="shared" si="6"/>
        <v/>
      </c>
      <c r="T9" s="385" t="str">
        <f t="shared" si="6"/>
        <v/>
      </c>
      <c r="U9" s="386" t="str">
        <f t="shared" si="6"/>
        <v/>
      </c>
      <c r="V9" s="385" t="str">
        <f t="shared" si="6"/>
        <v>O</v>
      </c>
      <c r="W9" s="386" t="str">
        <f t="shared" si="6"/>
        <v/>
      </c>
      <c r="X9" s="385" t="str">
        <f t="shared" si="6"/>
        <v/>
      </c>
      <c r="Y9" s="386" t="str">
        <f t="shared" si="6"/>
        <v>O</v>
      </c>
      <c r="Z9" s="389"/>
      <c r="AA9" s="390"/>
      <c r="AB9" s="391"/>
    </row>
    <row r="10" ht="22.5" hidden="1" customHeight="1">
      <c r="A10" s="392"/>
      <c r="B10" s="393"/>
      <c r="C10" s="394"/>
      <c r="D10" s="359"/>
      <c r="E10" s="360">
        <f t="shared" ref="E10:M10" si="7">IF($D11&gt;0,FLOOR($D11/18,1),0)+IF(AND(MOD($D11,18)&gt;=E$2,$D11&gt;0),1,0)-IF(E$2-18&gt;$D11,1,0)</f>
        <v>1</v>
      </c>
      <c r="F10" s="361">
        <f t="shared" si="7"/>
        <v>0</v>
      </c>
      <c r="G10" s="362">
        <f t="shared" si="7"/>
        <v>0</v>
      </c>
      <c r="H10" s="361">
        <f t="shared" si="7"/>
        <v>0</v>
      </c>
      <c r="I10" s="362">
        <f t="shared" si="7"/>
        <v>0</v>
      </c>
      <c r="J10" s="361">
        <f t="shared" si="7"/>
        <v>0</v>
      </c>
      <c r="K10" s="362">
        <f t="shared" si="7"/>
        <v>0</v>
      </c>
      <c r="L10" s="361">
        <f t="shared" si="7"/>
        <v>1</v>
      </c>
      <c r="M10" s="362">
        <f t="shared" si="7"/>
        <v>0</v>
      </c>
      <c r="N10" s="363"/>
      <c r="O10" s="364"/>
      <c r="P10" s="395"/>
      <c r="Q10" s="360">
        <f t="shared" ref="Q10:Y10" si="8">IF($D11&gt;0,FLOOR($D11/18,1),0)+IF(AND(MOD($D11,18)&gt;=Q$2,$D11&gt;0),1,0)-IF(Q$2-18&gt;$D11,1,0)</f>
        <v>0</v>
      </c>
      <c r="R10" s="361">
        <f t="shared" si="8"/>
        <v>1</v>
      </c>
      <c r="S10" s="362">
        <f t="shared" si="8"/>
        <v>0</v>
      </c>
      <c r="T10" s="361">
        <f t="shared" si="8"/>
        <v>0</v>
      </c>
      <c r="U10" s="362">
        <f t="shared" si="8"/>
        <v>0</v>
      </c>
      <c r="V10" s="361">
        <f t="shared" si="8"/>
        <v>1</v>
      </c>
      <c r="W10" s="362">
        <f t="shared" si="8"/>
        <v>0</v>
      </c>
      <c r="X10" s="361">
        <f t="shared" si="8"/>
        <v>0</v>
      </c>
      <c r="Y10" s="362">
        <f t="shared" si="8"/>
        <v>1</v>
      </c>
      <c r="Z10" s="366"/>
      <c r="AA10" s="367"/>
      <c r="AB10" s="368"/>
    </row>
    <row r="11" ht="27.0" customHeight="1">
      <c r="A11" s="396" t="str">
        <f>'Match Selection'!P5</f>
        <v>Weezy</v>
      </c>
      <c r="B11" s="397" t="str">
        <f>vlookup(A11, 'Master Input'!$A$11:$B$27, 2, false)</f>
        <v>Drivers</v>
      </c>
      <c r="C11" s="371">
        <f>vlookup(A11,'Master Input'!$A$11:$L$27,'Master Input'!$F$28, false)</f>
        <v>15</v>
      </c>
      <c r="D11" s="372">
        <f>C11-SMALL($C$8:$C$17,1)</f>
        <v>5</v>
      </c>
      <c r="E11" s="373">
        <v>6.0</v>
      </c>
      <c r="F11" s="374">
        <v>4.0</v>
      </c>
      <c r="G11" s="375">
        <v>4.0</v>
      </c>
      <c r="H11" s="374">
        <v>7.0</v>
      </c>
      <c r="I11" s="375">
        <v>4.0</v>
      </c>
      <c r="J11" s="374">
        <v>6.0</v>
      </c>
      <c r="K11" s="375">
        <v>3.0</v>
      </c>
      <c r="L11" s="374">
        <v>5.0</v>
      </c>
      <c r="M11" s="375">
        <v>5.0</v>
      </c>
      <c r="N11" s="376">
        <f>if(M11="","", sum(E11:M11))</f>
        <v>44</v>
      </c>
      <c r="O11" s="364"/>
      <c r="P11" s="377" t="str">
        <f>A11</f>
        <v>Weezy</v>
      </c>
      <c r="Q11" s="373">
        <v>5.0</v>
      </c>
      <c r="R11" s="374">
        <v>4.0</v>
      </c>
      <c r="S11" s="375">
        <v>4.0</v>
      </c>
      <c r="T11" s="374">
        <v>6.0</v>
      </c>
      <c r="U11" s="375">
        <v>7.0</v>
      </c>
      <c r="V11" s="374">
        <v>4.0</v>
      </c>
      <c r="W11" s="375">
        <v>6.0</v>
      </c>
      <c r="X11" s="374">
        <v>5.0</v>
      </c>
      <c r="Y11" s="375">
        <v>5.0</v>
      </c>
      <c r="Z11" s="376">
        <f>if(Y11="","", sum(Q11:Y11))</f>
        <v>46</v>
      </c>
      <c r="AA11" s="378">
        <f>if(Z11="", "", sum(N11,Z11))</f>
        <v>90</v>
      </c>
      <c r="AB11" s="379">
        <f>if(Y11="", "", AA11-C11)</f>
        <v>75</v>
      </c>
    </row>
    <row r="12" ht="7.5" customHeight="1">
      <c r="A12" s="398"/>
      <c r="B12" s="399"/>
      <c r="C12" s="400"/>
      <c r="D12" s="401"/>
      <c r="E12" s="402" t="str">
        <f t="shared" ref="E12:M12" si="9">if(E13=1,"O", if(E13=2,"O   O",""))</f>
        <v>O</v>
      </c>
      <c r="F12" s="403" t="str">
        <f t="shared" si="9"/>
        <v/>
      </c>
      <c r="G12" s="404" t="str">
        <f t="shared" si="9"/>
        <v/>
      </c>
      <c r="H12" s="403" t="str">
        <f t="shared" si="9"/>
        <v/>
      </c>
      <c r="I12" s="404" t="str">
        <f t="shared" si="9"/>
        <v/>
      </c>
      <c r="J12" s="403" t="str">
        <f t="shared" si="9"/>
        <v/>
      </c>
      <c r="K12" s="404" t="str">
        <f t="shared" si="9"/>
        <v/>
      </c>
      <c r="L12" s="403" t="str">
        <f t="shared" si="9"/>
        <v/>
      </c>
      <c r="M12" s="404" t="str">
        <f t="shared" si="9"/>
        <v/>
      </c>
      <c r="N12" s="405"/>
      <c r="O12" s="351"/>
      <c r="P12" s="406"/>
      <c r="Q12" s="402" t="str">
        <f t="shared" ref="Q12:Y12" si="10">if(Q13=1,"O", if(Q13=2,"O   O",""))</f>
        <v/>
      </c>
      <c r="R12" s="403" t="str">
        <f t="shared" si="10"/>
        <v/>
      </c>
      <c r="S12" s="404" t="str">
        <f t="shared" si="10"/>
        <v/>
      </c>
      <c r="T12" s="403" t="str">
        <f t="shared" si="10"/>
        <v/>
      </c>
      <c r="U12" s="404" t="str">
        <f t="shared" si="10"/>
        <v/>
      </c>
      <c r="V12" s="403" t="str">
        <f t="shared" si="10"/>
        <v/>
      </c>
      <c r="W12" s="404" t="str">
        <f t="shared" si="10"/>
        <v/>
      </c>
      <c r="X12" s="403" t="str">
        <f t="shared" si="10"/>
        <v/>
      </c>
      <c r="Y12" s="404" t="str">
        <f t="shared" si="10"/>
        <v>O</v>
      </c>
      <c r="Z12" s="407"/>
      <c r="AA12" s="408"/>
      <c r="AB12" s="409"/>
    </row>
    <row r="13" ht="22.5" hidden="1" customHeight="1">
      <c r="A13" s="410"/>
      <c r="B13" s="411"/>
      <c r="C13" s="412"/>
      <c r="D13" s="413"/>
      <c r="E13" s="414">
        <f t="shared" ref="E13:M13" si="11">IF($D14&gt;0,FLOOR($D14/18,1),0)+IF(AND(MOD($D14,18)&gt;=E$2,$D14&gt;0),1,0)-IF(E$2-18&gt;$D14,1,0)</f>
        <v>1</v>
      </c>
      <c r="F13" s="415">
        <f t="shared" si="11"/>
        <v>0</v>
      </c>
      <c r="G13" s="416">
        <f t="shared" si="11"/>
        <v>0</v>
      </c>
      <c r="H13" s="415">
        <f t="shared" si="11"/>
        <v>0</v>
      </c>
      <c r="I13" s="416">
        <f t="shared" si="11"/>
        <v>0</v>
      </c>
      <c r="J13" s="415">
        <f t="shared" si="11"/>
        <v>0</v>
      </c>
      <c r="K13" s="416">
        <f t="shared" si="11"/>
        <v>0</v>
      </c>
      <c r="L13" s="415">
        <f t="shared" si="11"/>
        <v>0</v>
      </c>
      <c r="M13" s="416">
        <f t="shared" si="11"/>
        <v>0</v>
      </c>
      <c r="N13" s="363"/>
      <c r="O13" s="364"/>
      <c r="P13" s="417"/>
      <c r="Q13" s="414">
        <f t="shared" ref="Q13:Y13" si="12">IF($D14&gt;0,FLOOR($D14/18,1),0)+IF(AND(MOD($D14,18)&gt;=Q$2,$D14&gt;0),1,0)-IF(Q$2-18&gt;$D14,1,0)</f>
        <v>0</v>
      </c>
      <c r="R13" s="415">
        <f t="shared" si="12"/>
        <v>0</v>
      </c>
      <c r="S13" s="416">
        <f t="shared" si="12"/>
        <v>0</v>
      </c>
      <c r="T13" s="415">
        <f t="shared" si="12"/>
        <v>0</v>
      </c>
      <c r="U13" s="416">
        <f t="shared" si="12"/>
        <v>0</v>
      </c>
      <c r="V13" s="415">
        <f t="shared" si="12"/>
        <v>0</v>
      </c>
      <c r="W13" s="416">
        <f t="shared" si="12"/>
        <v>0</v>
      </c>
      <c r="X13" s="415">
        <f t="shared" si="12"/>
        <v>0</v>
      </c>
      <c r="Y13" s="416">
        <f t="shared" si="12"/>
        <v>1</v>
      </c>
      <c r="Z13" s="366"/>
      <c r="AA13" s="418"/>
      <c r="AB13" s="368"/>
    </row>
    <row r="14" ht="27.0" customHeight="1">
      <c r="A14" s="419" t="str">
        <f>'Match Selection'!S4</f>
        <v>House</v>
      </c>
      <c r="B14" s="420" t="str">
        <f>vlookup(A14, 'Master Input'!$A$11:$B$27, 2, false)</f>
        <v>Irons</v>
      </c>
      <c r="C14" s="421">
        <f>vlookup(A14,'Master Input'!$A$11:$L$27,'Master Input'!$F$28, false)</f>
        <v>12</v>
      </c>
      <c r="D14" s="422">
        <f>C14-SMALL($C$8:$C$17,1)</f>
        <v>2</v>
      </c>
      <c r="E14" s="423">
        <v>4.0</v>
      </c>
      <c r="F14" s="424">
        <v>5.0</v>
      </c>
      <c r="G14" s="425">
        <v>3.0</v>
      </c>
      <c r="H14" s="424">
        <v>6.0</v>
      </c>
      <c r="I14" s="425">
        <v>6.0</v>
      </c>
      <c r="J14" s="424">
        <v>4.0</v>
      </c>
      <c r="K14" s="425">
        <v>4.0</v>
      </c>
      <c r="L14" s="424">
        <v>4.0</v>
      </c>
      <c r="M14" s="425">
        <v>5.0</v>
      </c>
      <c r="N14" s="376">
        <f>if(M14="","", sum(E14:M14))</f>
        <v>41</v>
      </c>
      <c r="O14" s="364"/>
      <c r="P14" s="426" t="str">
        <f>A14</f>
        <v>House</v>
      </c>
      <c r="Q14" s="423">
        <v>5.0</v>
      </c>
      <c r="R14" s="424">
        <v>6.0</v>
      </c>
      <c r="S14" s="425">
        <v>4.0</v>
      </c>
      <c r="T14" s="424">
        <v>4.0</v>
      </c>
      <c r="U14" s="425">
        <v>6.0</v>
      </c>
      <c r="V14" s="424">
        <v>6.0</v>
      </c>
      <c r="W14" s="425">
        <v>5.0</v>
      </c>
      <c r="X14" s="424">
        <v>4.0</v>
      </c>
      <c r="Y14" s="425">
        <v>5.0</v>
      </c>
      <c r="Z14" s="376">
        <f>if(Y14="","", sum(Q14:Y14))</f>
        <v>45</v>
      </c>
      <c r="AA14" s="427">
        <f>if(Z14="", "", sum(N14,Z14))</f>
        <v>86</v>
      </c>
      <c r="AB14" s="379">
        <f>if(Y14="", "", AA14-C14)</f>
        <v>74</v>
      </c>
    </row>
    <row r="15" ht="7.5" customHeight="1">
      <c r="A15" s="398"/>
      <c r="B15" s="399"/>
      <c r="C15" s="400"/>
      <c r="D15" s="401"/>
      <c r="E15" s="402" t="str">
        <f t="shared" ref="E15:M15" si="13">if(E16=1,"O", if(E16=2,"O   O",""))</f>
        <v>O</v>
      </c>
      <c r="F15" s="403" t="str">
        <f t="shared" si="13"/>
        <v>O</v>
      </c>
      <c r="G15" s="404" t="str">
        <f t="shared" si="13"/>
        <v/>
      </c>
      <c r="H15" s="403" t="str">
        <f t="shared" si="13"/>
        <v/>
      </c>
      <c r="I15" s="404" t="str">
        <f t="shared" si="13"/>
        <v>O</v>
      </c>
      <c r="J15" s="403" t="str">
        <f t="shared" si="13"/>
        <v/>
      </c>
      <c r="K15" s="404" t="str">
        <f t="shared" si="13"/>
        <v/>
      </c>
      <c r="L15" s="403" t="str">
        <f t="shared" si="13"/>
        <v>O</v>
      </c>
      <c r="M15" s="404" t="str">
        <f t="shared" si="13"/>
        <v/>
      </c>
      <c r="N15" s="405"/>
      <c r="O15" s="351"/>
      <c r="P15" s="406"/>
      <c r="Q15" s="402" t="str">
        <f t="shared" ref="Q15:Y15" si="14">if(Q16=1,"O", if(Q16=2,"O   O",""))</f>
        <v/>
      </c>
      <c r="R15" s="403" t="str">
        <f t="shared" si="14"/>
        <v>O</v>
      </c>
      <c r="S15" s="404" t="str">
        <f t="shared" si="14"/>
        <v>O</v>
      </c>
      <c r="T15" s="403" t="str">
        <f t="shared" si="14"/>
        <v/>
      </c>
      <c r="U15" s="404" t="str">
        <f t="shared" si="14"/>
        <v/>
      </c>
      <c r="V15" s="403" t="str">
        <f t="shared" si="14"/>
        <v>O</v>
      </c>
      <c r="W15" s="404" t="str">
        <f t="shared" si="14"/>
        <v>O</v>
      </c>
      <c r="X15" s="403" t="str">
        <f t="shared" si="14"/>
        <v/>
      </c>
      <c r="Y15" s="404" t="str">
        <f t="shared" si="14"/>
        <v>O</v>
      </c>
      <c r="Z15" s="407"/>
      <c r="AA15" s="428"/>
      <c r="AB15" s="409"/>
    </row>
    <row r="16" ht="22.5" hidden="1" customHeight="1">
      <c r="A16" s="410"/>
      <c r="B16" s="411"/>
      <c r="C16" s="412"/>
      <c r="D16" s="413"/>
      <c r="E16" s="414">
        <f t="shared" ref="E16:M16" si="15">IF($D17&gt;0,FLOOR($D17/18,1),0)+IF(AND(MOD($D17,18)&gt;=E$2,$D17&gt;0),1,0)-IF(E$2-18&gt;$D17,1,0)</f>
        <v>1</v>
      </c>
      <c r="F16" s="415">
        <f t="shared" si="15"/>
        <v>1</v>
      </c>
      <c r="G16" s="416">
        <f t="shared" si="15"/>
        <v>0</v>
      </c>
      <c r="H16" s="415">
        <f t="shared" si="15"/>
        <v>0</v>
      </c>
      <c r="I16" s="416">
        <f t="shared" si="15"/>
        <v>1</v>
      </c>
      <c r="J16" s="415">
        <f t="shared" si="15"/>
        <v>0</v>
      </c>
      <c r="K16" s="416">
        <f t="shared" si="15"/>
        <v>0</v>
      </c>
      <c r="L16" s="415">
        <f t="shared" si="15"/>
        <v>1</v>
      </c>
      <c r="M16" s="416">
        <f t="shared" si="15"/>
        <v>0</v>
      </c>
      <c r="N16" s="363"/>
      <c r="O16" s="364"/>
      <c r="P16" s="417"/>
      <c r="Q16" s="414">
        <f t="shared" ref="Q16:Y16" si="16">IF($D17&gt;0,FLOOR($D17/18,1),0)+IF(AND(MOD($D17,18)&gt;=Q$2,$D17&gt;0),1,0)-IF(Q$2-18&gt;$D17,1,0)</f>
        <v>0</v>
      </c>
      <c r="R16" s="415">
        <f t="shared" si="16"/>
        <v>1</v>
      </c>
      <c r="S16" s="416">
        <f t="shared" si="16"/>
        <v>1</v>
      </c>
      <c r="T16" s="415">
        <f t="shared" si="16"/>
        <v>0</v>
      </c>
      <c r="U16" s="416">
        <f t="shared" si="16"/>
        <v>0</v>
      </c>
      <c r="V16" s="415">
        <f t="shared" si="16"/>
        <v>1</v>
      </c>
      <c r="W16" s="416">
        <f t="shared" si="16"/>
        <v>1</v>
      </c>
      <c r="X16" s="415">
        <f t="shared" si="16"/>
        <v>0</v>
      </c>
      <c r="Y16" s="416">
        <f t="shared" si="16"/>
        <v>1</v>
      </c>
      <c r="Z16" s="366"/>
      <c r="AA16" s="418"/>
      <c r="AB16" s="368"/>
    </row>
    <row r="17" ht="27.0" customHeight="1">
      <c r="A17" s="429" t="str">
        <f>'Match Selection'!S5</f>
        <v>Carp</v>
      </c>
      <c r="B17" s="430" t="str">
        <f>vlookup(A17, 'Master Input'!$A$11:$B$27, 2, false)</f>
        <v>Irons</v>
      </c>
      <c r="C17" s="431">
        <f>vlookup(A17,'Master Input'!$A$11:$L$27,'Master Input'!$F$28, false)</f>
        <v>19</v>
      </c>
      <c r="D17" s="432">
        <f>C17-SMALL($C$8:$C$17,1)</f>
        <v>9</v>
      </c>
      <c r="E17" s="433">
        <v>4.0</v>
      </c>
      <c r="F17" s="434">
        <v>9.0</v>
      </c>
      <c r="G17" s="435">
        <v>5.0</v>
      </c>
      <c r="H17" s="434">
        <v>10.0</v>
      </c>
      <c r="I17" s="435">
        <v>6.0</v>
      </c>
      <c r="J17" s="434">
        <v>5.0</v>
      </c>
      <c r="K17" s="435">
        <v>5.0</v>
      </c>
      <c r="L17" s="434">
        <v>8.0</v>
      </c>
      <c r="M17" s="435">
        <v>7.0</v>
      </c>
      <c r="N17" s="436">
        <f>if(M17="","", sum(E17:M17))</f>
        <v>59</v>
      </c>
      <c r="O17" s="364"/>
      <c r="P17" s="437" t="str">
        <f>A17</f>
        <v>Carp</v>
      </c>
      <c r="Q17" s="433">
        <v>6.0</v>
      </c>
      <c r="R17" s="434">
        <v>6.0</v>
      </c>
      <c r="S17" s="435">
        <v>7.0</v>
      </c>
      <c r="T17" s="434">
        <v>7.0</v>
      </c>
      <c r="U17" s="435">
        <v>6.0</v>
      </c>
      <c r="V17" s="434">
        <v>5.0</v>
      </c>
      <c r="W17" s="435">
        <v>7.0</v>
      </c>
      <c r="X17" s="434">
        <v>4.0</v>
      </c>
      <c r="Y17" s="435">
        <v>4.0</v>
      </c>
      <c r="Z17" s="436">
        <f>if(Y17="","", sum(Q17:Y17))</f>
        <v>52</v>
      </c>
      <c r="AA17" s="438">
        <f>if(Z17="", "", sum(N17,Z17))</f>
        <v>111</v>
      </c>
      <c r="AB17" s="439">
        <f>if(Y17="", "", AA17-C17)</f>
        <v>92</v>
      </c>
    </row>
    <row r="18" ht="11.25" customHeight="1">
      <c r="A18" s="440"/>
      <c r="B18" s="441"/>
      <c r="C18" s="442"/>
      <c r="D18" s="443"/>
      <c r="E18" s="441"/>
      <c r="F18" s="441"/>
      <c r="G18" s="441"/>
      <c r="H18" s="441"/>
      <c r="I18" s="441"/>
      <c r="J18" s="441"/>
      <c r="K18" s="441"/>
      <c r="L18" s="441"/>
      <c r="M18" s="441"/>
      <c r="N18" s="444" t="s">
        <v>7</v>
      </c>
      <c r="O18" s="445"/>
      <c r="P18" s="441"/>
      <c r="Q18" s="441"/>
      <c r="R18" s="441"/>
      <c r="S18" s="441"/>
      <c r="T18" s="441"/>
      <c r="U18" s="441"/>
      <c r="V18" s="441"/>
      <c r="W18" s="441"/>
      <c r="X18" s="441"/>
      <c r="Y18" s="441"/>
      <c r="Z18" s="443"/>
      <c r="AA18" s="446"/>
      <c r="AB18" s="447" t="s">
        <v>64</v>
      </c>
    </row>
    <row r="19" ht="27.0" customHeight="1">
      <c r="A19" s="448" t="str">
        <f>B8&amp;" Status"</f>
        <v>Drivers Status</v>
      </c>
      <c r="B19" s="449" t="s">
        <v>65</v>
      </c>
      <c r="C19" s="450"/>
      <c r="D19" s="451"/>
      <c r="E19" s="452">
        <f>if(E23="","",E23)</f>
        <v>-1</v>
      </c>
      <c r="F19" s="453">
        <f t="shared" ref="F19:M19" si="17">if(F23="","",F23+E19)</f>
        <v>0</v>
      </c>
      <c r="G19" s="453">
        <f t="shared" si="17"/>
        <v>0</v>
      </c>
      <c r="H19" s="453">
        <f t="shared" si="17"/>
        <v>-1</v>
      </c>
      <c r="I19" s="453">
        <f t="shared" si="17"/>
        <v>0</v>
      </c>
      <c r="J19" s="453">
        <f t="shared" si="17"/>
        <v>0</v>
      </c>
      <c r="K19" s="453">
        <f t="shared" si="17"/>
        <v>1</v>
      </c>
      <c r="L19" s="453">
        <f t="shared" si="17"/>
        <v>1</v>
      </c>
      <c r="M19" s="453">
        <f t="shared" si="17"/>
        <v>1</v>
      </c>
      <c r="N19" s="454">
        <f>if(M19="", "", if(M19&lt;0, 0, if(M19&gt;0, vlookup($B$2,'Master Input'!$O$12:$R$23,'Master Input'!P$11,false), vlookup($B$2,'Master Input'!$O$12:$R$23,'Master Input'!P$11,false)*0.5)))</f>
        <v>1</v>
      </c>
      <c r="O19" s="455"/>
      <c r="P19" s="456" t="s">
        <v>66</v>
      </c>
      <c r="Q19" s="457">
        <f>if(Q23="","",Q23+M19)</f>
        <v>2</v>
      </c>
      <c r="R19" s="458">
        <f t="shared" ref="R19:Y19" si="18">if(R23="","",R23+Q19)</f>
        <v>3</v>
      </c>
      <c r="S19" s="458">
        <f t="shared" si="18"/>
        <v>3</v>
      </c>
      <c r="T19" s="458">
        <f t="shared" si="18"/>
        <v>3</v>
      </c>
      <c r="U19" s="458">
        <f t="shared" si="18"/>
        <v>3</v>
      </c>
      <c r="V19" s="458">
        <f t="shared" si="18"/>
        <v>4</v>
      </c>
      <c r="W19" s="458">
        <f t="shared" si="18"/>
        <v>4</v>
      </c>
      <c r="X19" s="458">
        <f t="shared" si="18"/>
        <v>5</v>
      </c>
      <c r="Y19" s="458">
        <f t="shared" si="18"/>
        <v>4</v>
      </c>
      <c r="Z19" s="459">
        <f>if(Y19="", "", if(Y19&lt;0, 0, if(Y19&gt;0, vlookup($B$2,'Master Input'!$O$12:$R$23,'Master Input'!R$11,false), vlookup($B$2,'Master Input'!$O$12:$R$23,'Master Input'!R$11,false)*0.5)))</f>
        <v>2</v>
      </c>
      <c r="AA19" s="460" t="s">
        <v>9</v>
      </c>
      <c r="AB19" s="461">
        <f>if(Z19="","", sum(N19,Z19,Z20))</f>
        <v>4</v>
      </c>
    </row>
    <row r="20" ht="27.0" customHeight="1">
      <c r="A20" s="462"/>
      <c r="B20" s="462"/>
      <c r="C20" s="463"/>
      <c r="D20" s="462"/>
      <c r="E20" s="464"/>
      <c r="F20" s="464"/>
      <c r="G20" s="464"/>
      <c r="H20" s="464"/>
      <c r="I20" s="464"/>
      <c r="J20" s="464"/>
      <c r="K20" s="464"/>
      <c r="L20" s="464"/>
      <c r="M20" s="464"/>
      <c r="N20" s="462"/>
      <c r="O20" s="455"/>
      <c r="P20" s="465" t="s">
        <v>67</v>
      </c>
      <c r="Q20" s="466">
        <f>if(Q23="","",Q23)</f>
        <v>1</v>
      </c>
      <c r="R20" s="467">
        <f t="shared" ref="R20:Y20" si="19">if(R23="","",R23+Q20)</f>
        <v>2</v>
      </c>
      <c r="S20" s="467">
        <f t="shared" si="19"/>
        <v>2</v>
      </c>
      <c r="T20" s="467">
        <f t="shared" si="19"/>
        <v>2</v>
      </c>
      <c r="U20" s="467">
        <f t="shared" si="19"/>
        <v>2</v>
      </c>
      <c r="V20" s="467">
        <f t="shared" si="19"/>
        <v>3</v>
      </c>
      <c r="W20" s="467">
        <f t="shared" si="19"/>
        <v>3</v>
      </c>
      <c r="X20" s="467">
        <f t="shared" si="19"/>
        <v>4</v>
      </c>
      <c r="Y20" s="467">
        <f t="shared" si="19"/>
        <v>3</v>
      </c>
      <c r="Z20" s="468">
        <f>if(Y20="", "", if(Y20&lt;0, 0, if(Y20&gt;0, vlookup($B$2,'Master Input'!$O$12:$R$23,'Master Input'!Q$11,false), vlookup($B$2,'Master Input'!$O$12:$R$23,'Master Input'!Q$11,false)*0.5)))</f>
        <v>1</v>
      </c>
      <c r="AA20" s="460" t="s">
        <v>8</v>
      </c>
      <c r="AB20" s="469">
        <f>if(AB19="","",vlookup($B$2,'Master Input'!$O$12:$R$23,2,false)+vlookup($B$2,'Master Input'!$O$12:$R$23,3,false)+vlookup($B$2,'Master Input'!$O$12:$R$23,4,false)-AB19)</f>
        <v>0</v>
      </c>
    </row>
    <row r="21" ht="22.5" hidden="1" customHeight="1">
      <c r="A21" s="470"/>
      <c r="B21" s="471"/>
      <c r="C21" s="471"/>
      <c r="D21" s="471"/>
      <c r="E21" s="471"/>
      <c r="F21" s="471"/>
      <c r="G21" s="471"/>
      <c r="H21" s="471"/>
      <c r="I21" s="471"/>
      <c r="J21" s="471"/>
      <c r="K21" s="471"/>
      <c r="L21" s="471"/>
      <c r="M21" s="471"/>
      <c r="N21" s="470"/>
      <c r="O21" s="473"/>
      <c r="P21" s="473"/>
      <c r="Q21" s="474"/>
      <c r="R21" s="474"/>
      <c r="S21" s="474"/>
      <c r="T21" s="474"/>
      <c r="U21" s="474"/>
      <c r="V21" s="474"/>
      <c r="W21" s="474"/>
      <c r="X21" s="474"/>
      <c r="Y21" s="473"/>
      <c r="Z21" s="473"/>
      <c r="AA21" s="475"/>
      <c r="AB21" s="470"/>
    </row>
    <row r="22" hidden="1">
      <c r="A22" s="470"/>
      <c r="B22" s="477">
        <v>1.0</v>
      </c>
      <c r="C22" s="477">
        <v>2.0</v>
      </c>
      <c r="D22" s="477">
        <v>3.0</v>
      </c>
      <c r="E22" s="477">
        <v>4.0</v>
      </c>
      <c r="F22" s="477">
        <v>5.0</v>
      </c>
      <c r="G22" s="477">
        <v>6.0</v>
      </c>
      <c r="H22" s="477">
        <v>7.0</v>
      </c>
      <c r="I22" s="477">
        <v>8.0</v>
      </c>
      <c r="J22" s="477">
        <v>9.0</v>
      </c>
      <c r="K22" s="477">
        <v>10.0</v>
      </c>
      <c r="L22" s="477">
        <v>11.0</v>
      </c>
      <c r="M22" s="477">
        <v>12.0</v>
      </c>
      <c r="N22" s="477">
        <v>13.0</v>
      </c>
      <c r="O22" s="477">
        <v>14.0</v>
      </c>
      <c r="P22" s="477">
        <v>15.0</v>
      </c>
      <c r="Q22" s="477">
        <v>16.0</v>
      </c>
      <c r="R22" s="477">
        <v>17.0</v>
      </c>
      <c r="S22" s="477">
        <v>18.0</v>
      </c>
      <c r="T22" s="477">
        <v>19.0</v>
      </c>
      <c r="U22" s="477">
        <v>20.0</v>
      </c>
      <c r="V22" s="477">
        <v>21.0</v>
      </c>
      <c r="W22" s="477">
        <v>22.0</v>
      </c>
      <c r="X22" s="477">
        <v>23.0</v>
      </c>
      <c r="Y22" s="477">
        <v>24.0</v>
      </c>
      <c r="Z22" s="478" t="s">
        <v>51</v>
      </c>
      <c r="AA22" s="478" t="s">
        <v>68</v>
      </c>
      <c r="AB22" s="479" t="s">
        <v>69</v>
      </c>
    </row>
    <row r="23" ht="14.25" hidden="1" customHeight="1">
      <c r="A23" s="471"/>
      <c r="B23" s="470" t="s">
        <v>70</v>
      </c>
      <c r="C23" s="480"/>
      <c r="D23" s="470"/>
      <c r="E23" s="481">
        <f t="shared" ref="E23:M23" si="20">if(OR(E8="", E11="", E14="", E17=""), "",
if(small({E8-E7,E11-E10},1)&lt;small({E14-E13,E17-E16},1),1,
if(small({E8-E7,E11-E10},1)&gt;small({E14-E13,E17-E16},1),-1,
0)))</f>
        <v>-1</v>
      </c>
      <c r="F23" s="481">
        <f t="shared" si="20"/>
        <v>1</v>
      </c>
      <c r="G23" s="481">
        <f t="shared" si="20"/>
        <v>0</v>
      </c>
      <c r="H23" s="481">
        <f t="shared" si="20"/>
        <v>-1</v>
      </c>
      <c r="I23" s="481">
        <f t="shared" si="20"/>
        <v>1</v>
      </c>
      <c r="J23" s="481">
        <f t="shared" si="20"/>
        <v>0</v>
      </c>
      <c r="K23" s="481">
        <f t="shared" si="20"/>
        <v>1</v>
      </c>
      <c r="L23" s="481">
        <f t="shared" si="20"/>
        <v>0</v>
      </c>
      <c r="M23" s="481">
        <f t="shared" si="20"/>
        <v>0</v>
      </c>
      <c r="N23" s="470"/>
      <c r="O23" s="473"/>
      <c r="P23" s="473"/>
      <c r="Q23" s="481">
        <f t="shared" ref="Q23:Y23" si="21">if(OR(Q8="", Q11="", Q14="", Q17=""), "",
if(small({Q8-Q7,Q11-Q10},1)&lt;small({Q14-Q13,Q17-Q16},1),1,
if(small({Q8-Q7,Q11-Q10},1)&gt;small({Q14-Q13,Q17-Q16},1),-1,
0)))</f>
        <v>1</v>
      </c>
      <c r="R23" s="481">
        <f t="shared" si="21"/>
        <v>1</v>
      </c>
      <c r="S23" s="481">
        <f t="shared" si="21"/>
        <v>0</v>
      </c>
      <c r="T23" s="481">
        <f t="shared" si="21"/>
        <v>0</v>
      </c>
      <c r="U23" s="481">
        <f t="shared" si="21"/>
        <v>0</v>
      </c>
      <c r="V23" s="481">
        <f t="shared" si="21"/>
        <v>1</v>
      </c>
      <c r="W23" s="481">
        <f t="shared" si="21"/>
        <v>0</v>
      </c>
      <c r="X23" s="481">
        <f t="shared" si="21"/>
        <v>1</v>
      </c>
      <c r="Y23" s="481">
        <f t="shared" si="21"/>
        <v>-1</v>
      </c>
      <c r="Z23" s="478" t="s">
        <v>71</v>
      </c>
      <c r="AA23" s="478" t="s">
        <v>72</v>
      </c>
      <c r="AB23" s="482" t="s">
        <v>73</v>
      </c>
    </row>
    <row r="24" ht="14.25" hidden="1" customHeight="1">
      <c r="A24" s="483"/>
      <c r="B24" s="483" t="str">
        <f>B8</f>
        <v>Drivers</v>
      </c>
      <c r="C24" s="484"/>
      <c r="D24" s="483"/>
      <c r="E24" s="485">
        <f t="shared" ref="E24:M24" si="22">if(E23="","",(E23+1)/2)</f>
        <v>0</v>
      </c>
      <c r="F24" s="485">
        <f t="shared" si="22"/>
        <v>1</v>
      </c>
      <c r="G24" s="485">
        <f t="shared" si="22"/>
        <v>0.5</v>
      </c>
      <c r="H24" s="485">
        <f t="shared" si="22"/>
        <v>0</v>
      </c>
      <c r="I24" s="485">
        <f t="shared" si="22"/>
        <v>1</v>
      </c>
      <c r="J24" s="485">
        <f t="shared" si="22"/>
        <v>0.5</v>
      </c>
      <c r="K24" s="485">
        <f t="shared" si="22"/>
        <v>1</v>
      </c>
      <c r="L24" s="485">
        <f t="shared" si="22"/>
        <v>0.5</v>
      </c>
      <c r="M24" s="485">
        <f t="shared" si="22"/>
        <v>0.5</v>
      </c>
      <c r="N24" s="486">
        <f>if(M23="","",sum(E24:M24))</f>
        <v>5</v>
      </c>
      <c r="O24" s="483"/>
      <c r="P24" s="483"/>
      <c r="Q24" s="485">
        <f t="shared" ref="Q24:Y24" si="23">if(Q23="","",(Q23+1)/2)</f>
        <v>1</v>
      </c>
      <c r="R24" s="485">
        <f t="shared" si="23"/>
        <v>1</v>
      </c>
      <c r="S24" s="485">
        <f t="shared" si="23"/>
        <v>0.5</v>
      </c>
      <c r="T24" s="485">
        <f t="shared" si="23"/>
        <v>0.5</v>
      </c>
      <c r="U24" s="485">
        <f t="shared" si="23"/>
        <v>0.5</v>
      </c>
      <c r="V24" s="485">
        <f t="shared" si="23"/>
        <v>1</v>
      </c>
      <c r="W24" s="485">
        <f t="shared" si="23"/>
        <v>0.5</v>
      </c>
      <c r="X24" s="485">
        <f t="shared" si="23"/>
        <v>1</v>
      </c>
      <c r="Y24" s="485">
        <f t="shared" si="23"/>
        <v>0</v>
      </c>
      <c r="Z24" s="486">
        <f>if(Y23="","",sum(Q24:Y24))</f>
        <v>6</v>
      </c>
      <c r="AA24" s="487">
        <f>if(Y23="","",sum(Z24,N24))</f>
        <v>11</v>
      </c>
      <c r="AB24" s="488"/>
    </row>
    <row r="25" ht="14.25" hidden="1" customHeight="1">
      <c r="A25" s="470" t="str">
        <f>A8</f>
        <v>KJ</v>
      </c>
      <c r="B25" s="470"/>
      <c r="C25" s="480"/>
      <c r="D25" s="470"/>
      <c r="E25" s="489">
        <f t="shared" ref="E25:M25" si="24">if(E23="","",if(E8-E7&lt;E11-E10,1,if(E8-E7=E11-E10,0.5,0)))</f>
        <v>1</v>
      </c>
      <c r="F25" s="489">
        <f t="shared" si="24"/>
        <v>0</v>
      </c>
      <c r="G25" s="489">
        <f t="shared" si="24"/>
        <v>1</v>
      </c>
      <c r="H25" s="489">
        <f t="shared" si="24"/>
        <v>0.5</v>
      </c>
      <c r="I25" s="489">
        <f t="shared" si="24"/>
        <v>0</v>
      </c>
      <c r="J25" s="489">
        <f t="shared" si="24"/>
        <v>1</v>
      </c>
      <c r="K25" s="489">
        <f t="shared" si="24"/>
        <v>0</v>
      </c>
      <c r="L25" s="489">
        <f t="shared" si="24"/>
        <v>0</v>
      </c>
      <c r="M25" s="489">
        <f t="shared" si="24"/>
        <v>0</v>
      </c>
      <c r="N25" s="470"/>
      <c r="O25" s="473"/>
      <c r="P25" s="473"/>
      <c r="Q25" s="489">
        <f t="shared" ref="Q25:Y25" si="25">if(Q23="","",if(Q8-Q7&lt;Q11-Q10,1,if(Q8-Q7=Q11-Q10,0.5,0)))</f>
        <v>1</v>
      </c>
      <c r="R25" s="489">
        <f t="shared" si="25"/>
        <v>0</v>
      </c>
      <c r="S25" s="489">
        <f t="shared" si="25"/>
        <v>0</v>
      </c>
      <c r="T25" s="489">
        <f t="shared" si="25"/>
        <v>1</v>
      </c>
      <c r="U25" s="489">
        <f t="shared" si="25"/>
        <v>1</v>
      </c>
      <c r="V25" s="489">
        <f t="shared" si="25"/>
        <v>0.5</v>
      </c>
      <c r="W25" s="489">
        <f t="shared" si="25"/>
        <v>1</v>
      </c>
      <c r="X25" s="489">
        <f t="shared" si="25"/>
        <v>1</v>
      </c>
      <c r="Y25" s="489">
        <f t="shared" si="25"/>
        <v>0</v>
      </c>
      <c r="Z25" s="490">
        <f t="shared" ref="Z25:Z26" si="28">if(Y25="","",sum(E25:M25,Q25:Y25))</f>
        <v>9</v>
      </c>
      <c r="AA25" s="491">
        <f t="shared" ref="AA25:AA26" si="29">if(Y25="","",sumproduct({E25:M25,Q25:Y25},{$E$24:$M$24,$Q$24:$Y$24}))</f>
        <v>5</v>
      </c>
      <c r="AB25" s="492">
        <f t="shared" ref="AB25:AB26" si="30">if(Y25="","",if($N$24=0,0,((sumproduct(E25:M25,$E$24:$M$24)/$N$24)*$N$19))
+if($Z$24=0,0,((sumproduct(Q25:Y25,$Q$24:$Y$24)/$Z$24)*$Z$20))
+if($AA$24=0,0,((AA25/$AA$24)*$Z$19)))</f>
        <v>1.775757576</v>
      </c>
    </row>
    <row r="26" ht="14.25" hidden="1" customHeight="1">
      <c r="A26" s="471" t="str">
        <f>A11</f>
        <v>Weezy</v>
      </c>
      <c r="B26" s="470"/>
      <c r="C26" s="480"/>
      <c r="D26" s="470"/>
      <c r="E26" s="489">
        <f t="shared" ref="E26:M26" si="26">if(E23="","",if(E8-E7&gt;E11-E10,1,if(E8-E7=E11-E10,0.5,0)))</f>
        <v>0</v>
      </c>
      <c r="F26" s="489">
        <f t="shared" si="26"/>
        <v>1</v>
      </c>
      <c r="G26" s="489">
        <f t="shared" si="26"/>
        <v>0</v>
      </c>
      <c r="H26" s="489">
        <f t="shared" si="26"/>
        <v>0.5</v>
      </c>
      <c r="I26" s="489">
        <f t="shared" si="26"/>
        <v>1</v>
      </c>
      <c r="J26" s="489">
        <f t="shared" si="26"/>
        <v>0</v>
      </c>
      <c r="K26" s="489">
        <f t="shared" si="26"/>
        <v>1</v>
      </c>
      <c r="L26" s="489">
        <f t="shared" si="26"/>
        <v>1</v>
      </c>
      <c r="M26" s="489">
        <f t="shared" si="26"/>
        <v>1</v>
      </c>
      <c r="N26" s="470"/>
      <c r="O26" s="473"/>
      <c r="P26" s="473"/>
      <c r="Q26" s="489">
        <f t="shared" ref="Q26:Y26" si="27">if(Q23="","",if(Q8-Q7&gt;Q11-Q10,1,if(Q8-Q7=Q11-Q10,0.5,0)))</f>
        <v>0</v>
      </c>
      <c r="R26" s="489">
        <f t="shared" si="27"/>
        <v>1</v>
      </c>
      <c r="S26" s="489">
        <f t="shared" si="27"/>
        <v>1</v>
      </c>
      <c r="T26" s="489">
        <f t="shared" si="27"/>
        <v>0</v>
      </c>
      <c r="U26" s="489">
        <f t="shared" si="27"/>
        <v>0</v>
      </c>
      <c r="V26" s="489">
        <f t="shared" si="27"/>
        <v>0.5</v>
      </c>
      <c r="W26" s="489">
        <f t="shared" si="27"/>
        <v>0</v>
      </c>
      <c r="X26" s="489">
        <f t="shared" si="27"/>
        <v>0</v>
      </c>
      <c r="Y26" s="489">
        <f t="shared" si="27"/>
        <v>1</v>
      </c>
      <c r="Z26" s="490">
        <f t="shared" si="28"/>
        <v>9</v>
      </c>
      <c r="AA26" s="491">
        <f t="shared" si="29"/>
        <v>6</v>
      </c>
      <c r="AB26" s="492">
        <f t="shared" si="30"/>
        <v>2.224242424</v>
      </c>
    </row>
    <row r="27" ht="14.25" hidden="1" customHeight="1">
      <c r="A27" s="483"/>
      <c r="B27" s="483" t="str">
        <f>B14</f>
        <v>Irons</v>
      </c>
      <c r="C27" s="484"/>
      <c r="D27" s="483"/>
      <c r="E27" s="485">
        <f t="shared" ref="E27:M27" si="31">if(E23="","",(1-E23)/2)</f>
        <v>1</v>
      </c>
      <c r="F27" s="485">
        <f t="shared" si="31"/>
        <v>0</v>
      </c>
      <c r="G27" s="485">
        <f t="shared" si="31"/>
        <v>0.5</v>
      </c>
      <c r="H27" s="485">
        <f t="shared" si="31"/>
        <v>1</v>
      </c>
      <c r="I27" s="485">
        <f t="shared" si="31"/>
        <v>0</v>
      </c>
      <c r="J27" s="485">
        <f t="shared" si="31"/>
        <v>0.5</v>
      </c>
      <c r="K27" s="485">
        <f t="shared" si="31"/>
        <v>0</v>
      </c>
      <c r="L27" s="485">
        <f t="shared" si="31"/>
        <v>0.5</v>
      </c>
      <c r="M27" s="485">
        <f t="shared" si="31"/>
        <v>0.5</v>
      </c>
      <c r="N27" s="486">
        <f>if(M26="","",sum(E27:M27))</f>
        <v>4</v>
      </c>
      <c r="O27" s="483"/>
      <c r="P27" s="483"/>
      <c r="Q27" s="485">
        <f t="shared" ref="Q27:Y27" si="32">if(Q23="","",(1-Q23)/2)</f>
        <v>0</v>
      </c>
      <c r="R27" s="485">
        <f t="shared" si="32"/>
        <v>0</v>
      </c>
      <c r="S27" s="485">
        <f t="shared" si="32"/>
        <v>0.5</v>
      </c>
      <c r="T27" s="485">
        <f t="shared" si="32"/>
        <v>0.5</v>
      </c>
      <c r="U27" s="485">
        <f t="shared" si="32"/>
        <v>0.5</v>
      </c>
      <c r="V27" s="485">
        <f t="shared" si="32"/>
        <v>0</v>
      </c>
      <c r="W27" s="485">
        <f t="shared" si="32"/>
        <v>0.5</v>
      </c>
      <c r="X27" s="485">
        <f t="shared" si="32"/>
        <v>0</v>
      </c>
      <c r="Y27" s="485">
        <f t="shared" si="32"/>
        <v>1</v>
      </c>
      <c r="Z27" s="486">
        <f>if(Y26="","",sum(Q27:Y27))</f>
        <v>3</v>
      </c>
      <c r="AA27" s="487">
        <f>if(Y26="","",sum(Z27,N27))</f>
        <v>7</v>
      </c>
      <c r="AB27" s="488"/>
    </row>
    <row r="28" ht="14.25" hidden="1" customHeight="1">
      <c r="A28" s="470" t="str">
        <f>A14</f>
        <v>House</v>
      </c>
      <c r="B28" s="470"/>
      <c r="C28" s="480"/>
      <c r="D28" s="470"/>
      <c r="E28" s="489">
        <f t="shared" ref="E28:M28" si="33">if(E23="","",if(E17-E16&gt;E14-E13,1,if(E17-E16=E14-E13,0.5,0)))</f>
        <v>0.5</v>
      </c>
      <c r="F28" s="489">
        <f t="shared" si="33"/>
        <v>1</v>
      </c>
      <c r="G28" s="489">
        <f t="shared" si="33"/>
        <v>1</v>
      </c>
      <c r="H28" s="489">
        <f t="shared" si="33"/>
        <v>1</v>
      </c>
      <c r="I28" s="489">
        <f t="shared" si="33"/>
        <v>0</v>
      </c>
      <c r="J28" s="489">
        <f t="shared" si="33"/>
        <v>1</v>
      </c>
      <c r="K28" s="489">
        <f t="shared" si="33"/>
        <v>1</v>
      </c>
      <c r="L28" s="489">
        <f t="shared" si="33"/>
        <v>1</v>
      </c>
      <c r="M28" s="489">
        <f t="shared" si="33"/>
        <v>1</v>
      </c>
      <c r="N28" s="470"/>
      <c r="O28" s="473"/>
      <c r="P28" s="473"/>
      <c r="Q28" s="489">
        <f t="shared" ref="Q28:Y28" si="34">if(Q23="","",if(Q17-Q16&gt;Q14-Q13,1,if(Q17-Q16=Q14-Q13,0.5,0)))</f>
        <v>1</v>
      </c>
      <c r="R28" s="489">
        <f t="shared" si="34"/>
        <v>0</v>
      </c>
      <c r="S28" s="489">
        <f t="shared" si="34"/>
        <v>1</v>
      </c>
      <c r="T28" s="489">
        <f t="shared" si="34"/>
        <v>1</v>
      </c>
      <c r="U28" s="489">
        <f t="shared" si="34"/>
        <v>0.5</v>
      </c>
      <c r="V28" s="489">
        <f t="shared" si="34"/>
        <v>0</v>
      </c>
      <c r="W28" s="489">
        <f t="shared" si="34"/>
        <v>1</v>
      </c>
      <c r="X28" s="489">
        <f t="shared" si="34"/>
        <v>0.5</v>
      </c>
      <c r="Y28" s="489">
        <f t="shared" si="34"/>
        <v>0</v>
      </c>
      <c r="Z28" s="490">
        <f t="shared" ref="Z28:Z29" si="37">if(Y28="","",sum(E28:M28,Q28:Y28))</f>
        <v>12.5</v>
      </c>
      <c r="AA28" s="491">
        <f t="shared" ref="AA28:AA29" si="38">if(Y28="","",sumproduct({E28:M28,Q28:Y28},{$E$27:$M$27,$Q$27:$Y$27}))</f>
        <v>5.25</v>
      </c>
      <c r="AB28" s="492">
        <f>if(Y28="","",if($N$27=0,0,((sumproduct(E28:M28,$E$27:$M$27)/$N$27)*(vlookup($B$2,'Master Input'!$O$12:$R$23,'Master Input'!P$11,false)-$N$19)))
+if($Z$27=0,0,((sumproduct(Q28:Y28,$Q$27:$Y$27)/$Z$27)*(vlookup($B$2,'Master Input'!$O$12:$R$23,'Master Input'!Q$11,false)-$Z$20)))
+if($AA$27=0,0,((AA28/$AA$27)*(vlookup($B$2,'Master Input'!$O$12:$R$23,'Master Input'!R$11,false)-$Z$19))))</f>
        <v>0</v>
      </c>
    </row>
    <row r="29" ht="14.25" hidden="1" customHeight="1">
      <c r="A29" s="470" t="str">
        <f>A17</f>
        <v>Carp</v>
      </c>
      <c r="B29" s="470"/>
      <c r="C29" s="480"/>
      <c r="D29" s="470"/>
      <c r="E29" s="493">
        <f t="shared" ref="E29:M29" si="35">if(E23="","",if(E17-E16&lt;E14-E13,1,if(E17-E16=E14-E13,0.5,0)))</f>
        <v>0.5</v>
      </c>
      <c r="F29" s="493">
        <f t="shared" si="35"/>
        <v>0</v>
      </c>
      <c r="G29" s="493">
        <f t="shared" si="35"/>
        <v>0</v>
      </c>
      <c r="H29" s="493">
        <f t="shared" si="35"/>
        <v>0</v>
      </c>
      <c r="I29" s="493">
        <f t="shared" si="35"/>
        <v>1</v>
      </c>
      <c r="J29" s="493">
        <f t="shared" si="35"/>
        <v>0</v>
      </c>
      <c r="K29" s="493">
        <f t="shared" si="35"/>
        <v>0</v>
      </c>
      <c r="L29" s="493">
        <f t="shared" si="35"/>
        <v>0</v>
      </c>
      <c r="M29" s="493">
        <f t="shared" si="35"/>
        <v>0</v>
      </c>
      <c r="N29" s="470"/>
      <c r="O29" s="473"/>
      <c r="P29" s="473"/>
      <c r="Q29" s="493">
        <f t="shared" ref="Q29:Y29" si="36">if(Q23="","",if(Q17-Q16&lt;Q14-Q13,1,if(Q17-Q16=Q14-Q13,0.5,0)))</f>
        <v>0</v>
      </c>
      <c r="R29" s="493">
        <f t="shared" si="36"/>
        <v>1</v>
      </c>
      <c r="S29" s="493">
        <f t="shared" si="36"/>
        <v>0</v>
      </c>
      <c r="T29" s="493">
        <f t="shared" si="36"/>
        <v>0</v>
      </c>
      <c r="U29" s="493">
        <f t="shared" si="36"/>
        <v>0.5</v>
      </c>
      <c r="V29" s="493">
        <f t="shared" si="36"/>
        <v>1</v>
      </c>
      <c r="W29" s="493">
        <f t="shared" si="36"/>
        <v>0</v>
      </c>
      <c r="X29" s="493">
        <f t="shared" si="36"/>
        <v>0.5</v>
      </c>
      <c r="Y29" s="493">
        <f t="shared" si="36"/>
        <v>1</v>
      </c>
      <c r="Z29" s="490">
        <f t="shared" si="37"/>
        <v>5.5</v>
      </c>
      <c r="AA29" s="491">
        <f t="shared" si="38"/>
        <v>1.75</v>
      </c>
      <c r="AB29" s="492">
        <f>if(Y29="","",((sumproduct(E29:M29,$E$27:$M$27)/$N$27)*(vlookup($B$2,'Master Input'!$O$12:$R$23,'Master Input'!P$11,false)-$N$19))
+((sumproduct(Q29:Y29,$Q$27:$Y$27)/$Z$27)*(vlookup($B$2,'Master Input'!$O$12:$R$23,'Master Input'!Q$11,false)-$Z$20))
+((AA29/$AA$27)*(vlookup($B$2,'Master Input'!$O$12:$R$23,'Master Input'!R$11,false)-$Z$19)))</f>
        <v>0</v>
      </c>
    </row>
    <row r="30" ht="14.25" hidden="1" customHeight="1">
      <c r="A30" s="470"/>
      <c r="B30" s="470"/>
      <c r="C30" s="480"/>
      <c r="D30" s="470"/>
      <c r="E30" s="493">
        <f t="shared" ref="E30:M30" si="39">sum(E25:E26,E28:E29)</f>
        <v>2</v>
      </c>
      <c r="F30" s="493">
        <f t="shared" si="39"/>
        <v>2</v>
      </c>
      <c r="G30" s="493">
        <f t="shared" si="39"/>
        <v>2</v>
      </c>
      <c r="H30" s="493">
        <f t="shared" si="39"/>
        <v>2</v>
      </c>
      <c r="I30" s="493">
        <f t="shared" si="39"/>
        <v>2</v>
      </c>
      <c r="J30" s="493">
        <f t="shared" si="39"/>
        <v>2</v>
      </c>
      <c r="K30" s="493">
        <f t="shared" si="39"/>
        <v>2</v>
      </c>
      <c r="L30" s="493">
        <f t="shared" si="39"/>
        <v>2</v>
      </c>
      <c r="M30" s="493">
        <f t="shared" si="39"/>
        <v>2</v>
      </c>
      <c r="N30" s="470"/>
      <c r="O30" s="473"/>
      <c r="P30" s="473"/>
      <c r="Q30" s="493">
        <f t="shared" ref="Q30:Z30" si="40">sum(Q25:Q26,Q28:Q29)</f>
        <v>2</v>
      </c>
      <c r="R30" s="493">
        <f t="shared" si="40"/>
        <v>2</v>
      </c>
      <c r="S30" s="493">
        <f t="shared" si="40"/>
        <v>2</v>
      </c>
      <c r="T30" s="493">
        <f t="shared" si="40"/>
        <v>2</v>
      </c>
      <c r="U30" s="493">
        <f t="shared" si="40"/>
        <v>2</v>
      </c>
      <c r="V30" s="493">
        <f t="shared" si="40"/>
        <v>2</v>
      </c>
      <c r="W30" s="493">
        <f t="shared" si="40"/>
        <v>2</v>
      </c>
      <c r="X30" s="493">
        <f t="shared" si="40"/>
        <v>2</v>
      </c>
      <c r="Y30" s="493">
        <f t="shared" si="40"/>
        <v>2</v>
      </c>
      <c r="Z30" s="493">
        <f t="shared" si="40"/>
        <v>36</v>
      </c>
      <c r="AA30" s="475"/>
      <c r="AB30" s="494"/>
    </row>
  </sheetData>
  <mergeCells count="1">
    <mergeCell ref="B2:B3"/>
  </mergeCells>
  <conditionalFormatting sqref="E8:M8 Q8:Y8">
    <cfRule type="expression" dxfId="16" priority="1">
      <formula>and(E$24=1,E$25&gt;0)</formula>
    </cfRule>
  </conditionalFormatting>
  <conditionalFormatting sqref="E11:M11 Q11:Y11">
    <cfRule type="expression" dxfId="16" priority="2">
      <formula>and(E$24=1,E$26&gt;0)</formula>
    </cfRule>
  </conditionalFormatting>
  <conditionalFormatting sqref="E14:M14 Q14:Y14">
    <cfRule type="expression" dxfId="15" priority="3">
      <formula>and(E$27=1,E$28&gt;0)</formula>
    </cfRule>
  </conditionalFormatting>
  <conditionalFormatting sqref="E17:M17 Q17:Y17">
    <cfRule type="expression" dxfId="15" priority="4">
      <formula>and(E$27=1,E$29&gt;0)</formula>
    </cfRule>
  </conditionalFormatting>
  <conditionalFormatting sqref="AB20">
    <cfRule type="notContainsBlanks" dxfId="15" priority="5">
      <formula>LEN(TRIM(AB20))&gt;0</formula>
    </cfRule>
  </conditionalFormatting>
  <conditionalFormatting sqref="N19 Z19:Z20 AB19">
    <cfRule type="notContainsBlanks" dxfId="16" priority="6">
      <formula>LEN(TRIM(N19))&gt;0</formula>
    </cfRule>
  </conditionalFormatting>
  <conditionalFormatting sqref="E8:M8 Q8:Y8">
    <cfRule type="expression" dxfId="2" priority="7">
      <formula>and(E$24=0.5,E$25&gt;0)</formula>
    </cfRule>
  </conditionalFormatting>
  <conditionalFormatting sqref="E11:M11 Q11:Y11">
    <cfRule type="expression" dxfId="2" priority="8">
      <formula>and(E$24=0.5,E$26&gt;0)</formula>
    </cfRule>
  </conditionalFormatting>
  <conditionalFormatting sqref="E14:M14 Q14:Y14">
    <cfRule type="expression" dxfId="2" priority="9">
      <formula>and(E$27=0.5,E$28&gt;0)</formula>
    </cfRule>
  </conditionalFormatting>
  <conditionalFormatting sqref="E17:M17 Q17:Y17">
    <cfRule type="expression" dxfId="2" priority="10">
      <formula>and(E$27=0.5,E$29&gt;0)</formula>
    </cfRule>
  </conditionalFormatting>
  <printOptions horizontalCentered="1"/>
  <pageMargins bottom="0.5" footer="0.0" header="0.0" left="0.55"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95" t="s">
        <v>76</v>
      </c>
      <c r="B1" s="296">
        <f>'Master Input'!F4</f>
        <v>0.04166666667</v>
      </c>
      <c r="C1" s="297" t="str">
        <f>'Master Input'!$E$2</f>
        <v>Round 1</v>
      </c>
      <c r="D1" s="298"/>
      <c r="E1" s="297" t="str">
        <f>'Master Input'!$E$6</f>
        <v>GVSU Meadows - Blue</v>
      </c>
      <c r="F1" s="299"/>
      <c r="G1" s="299"/>
      <c r="H1" s="299"/>
      <c r="I1" s="299"/>
      <c r="J1" s="299"/>
      <c r="K1" s="299"/>
      <c r="L1" s="299"/>
      <c r="M1" s="299"/>
      <c r="N1" s="300"/>
      <c r="O1" s="301"/>
      <c r="P1" s="302" t="str">
        <f>'Master Input'!$E$2</f>
        <v>Round 1</v>
      </c>
      <c r="Q1" s="298"/>
      <c r="R1" s="297" t="str">
        <f>'Master Input'!$E$6</f>
        <v>GVSU Meadows - Blue</v>
      </c>
      <c r="S1" s="303"/>
      <c r="T1" s="303"/>
      <c r="U1" s="303"/>
      <c r="V1" s="303"/>
      <c r="W1" s="303"/>
      <c r="X1" s="303"/>
      <c r="Y1" s="303"/>
      <c r="Z1" s="303"/>
      <c r="AA1" s="303"/>
      <c r="AB1" s="304"/>
    </row>
    <row r="2" ht="14.25" customHeight="1">
      <c r="A2" s="305" t="s">
        <v>55</v>
      </c>
      <c r="B2" s="306" t="str">
        <f>'Match Selection'!B4</f>
        <v>2-Man Best Ball</v>
      </c>
      <c r="C2" s="307"/>
      <c r="D2" s="308" t="s">
        <v>55</v>
      </c>
      <c r="E2" s="309">
        <f>vlookup($E1, 'Course List'!$A$3:$AS$14,5+E4, false)</f>
        <v>2</v>
      </c>
      <c r="F2" s="310">
        <f>vlookup($E1, 'Course List'!$A$3:$AS$14,5+F4, false)</f>
        <v>8</v>
      </c>
      <c r="G2" s="310">
        <f>vlookup($E1, 'Course List'!$A$3:$AS$14,5+G4, false)</f>
        <v>14</v>
      </c>
      <c r="H2" s="310">
        <f>vlookup($E1, 'Course List'!$A$3:$AS$14,5+H4, false)</f>
        <v>12</v>
      </c>
      <c r="I2" s="310">
        <f>vlookup($E1, 'Course List'!$A$3:$AS$14,5+I4, false)</f>
        <v>6</v>
      </c>
      <c r="J2" s="310">
        <f>vlookup($E1, 'Course List'!$A$3:$AS$14,5+J4, false)</f>
        <v>18</v>
      </c>
      <c r="K2" s="310">
        <f>vlookup($E1, 'Course List'!$A$3:$AS$14,5+K4, false)</f>
        <v>10</v>
      </c>
      <c r="L2" s="310">
        <f>vlookup($E1, 'Course List'!$A$3:$AS$14,5+L4, false)</f>
        <v>4</v>
      </c>
      <c r="M2" s="311">
        <f>vlookup($E1, 'Course List'!$A$3:$AS$14,5+M4, false)</f>
        <v>16</v>
      </c>
      <c r="N2" s="312"/>
      <c r="O2" s="313"/>
      <c r="P2" s="314" t="s">
        <v>55</v>
      </c>
      <c r="Q2" s="309">
        <f>vlookup($E1, 'Course List'!$A$3:$AS$14,5+Q4, false)</f>
        <v>13</v>
      </c>
      <c r="R2" s="310">
        <f>vlookup($E1, 'Course List'!$A$3:$AS$14,5+R4, false)</f>
        <v>3</v>
      </c>
      <c r="S2" s="310">
        <f>vlookup($E1, 'Course List'!$A$3:$AS$14,5+S4, false)</f>
        <v>9</v>
      </c>
      <c r="T2" s="310">
        <f>vlookup($E1, 'Course List'!$A$3:$AS$14,5+T4, false)</f>
        <v>15</v>
      </c>
      <c r="U2" s="310">
        <f>vlookup($E1, 'Course List'!$A$3:$AS$14,5+U4, false)</f>
        <v>11</v>
      </c>
      <c r="V2" s="310">
        <f>vlookup($E1, 'Course List'!$A$3:$AS$14,5+V4, false)</f>
        <v>5</v>
      </c>
      <c r="W2" s="310">
        <f>vlookup($E1, 'Course List'!$A$3:$AS$14,5+W4, false)</f>
        <v>7</v>
      </c>
      <c r="X2" s="310">
        <f>vlookup($E1, 'Course List'!$A$3:$AS$14,5+X4, false)</f>
        <v>17</v>
      </c>
      <c r="Y2" s="311">
        <f>vlookup($E1, 'Course List'!$A$3:$AS$14,5+Y4, false)</f>
        <v>1</v>
      </c>
      <c r="Z2" s="312"/>
      <c r="AA2" s="315"/>
      <c r="AB2" s="316"/>
    </row>
    <row r="3" ht="14.25" customHeight="1">
      <c r="A3" s="305" t="s">
        <v>56</v>
      </c>
      <c r="B3" s="317"/>
      <c r="C3" s="318"/>
      <c r="D3" s="319" t="s">
        <v>56</v>
      </c>
      <c r="E3" s="320">
        <f>vlookup($E1, 'Course List'!$A$3:$AS$14,27+E4, false)</f>
        <v>4</v>
      </c>
      <c r="F3" s="321">
        <f>vlookup($E1, 'Course List'!$A$3:$AS$14,27+F4, false)</f>
        <v>4</v>
      </c>
      <c r="G3" s="321">
        <f>vlookup($E1, 'Course List'!$A$3:$AS$14,27+G4, false)</f>
        <v>3</v>
      </c>
      <c r="H3" s="321">
        <f>vlookup($E1, 'Course List'!$A$3:$AS$14,27+H4, false)</f>
        <v>5</v>
      </c>
      <c r="I3" s="321">
        <f>vlookup($E1, 'Course List'!$A$3:$AS$14,27+I4, false)</f>
        <v>4</v>
      </c>
      <c r="J3" s="321">
        <f>vlookup($E1, 'Course List'!$A$3:$AS$14,27+J4, false)</f>
        <v>4</v>
      </c>
      <c r="K3" s="321">
        <f>vlookup($E1, 'Course List'!$A$3:$AS$14,27+K4, false)</f>
        <v>3</v>
      </c>
      <c r="L3" s="321">
        <f>vlookup($E1, 'Course List'!$A$3:$AS$14,27+L4, false)</f>
        <v>4</v>
      </c>
      <c r="M3" s="322">
        <f>vlookup($E1, 'Course List'!$A$3:$AS$14,27+M4, false)</f>
        <v>5</v>
      </c>
      <c r="N3" s="323">
        <f>SUM(E3:M3)</f>
        <v>36</v>
      </c>
      <c r="O3" s="313"/>
      <c r="P3" s="305" t="s">
        <v>56</v>
      </c>
      <c r="Q3" s="320">
        <f>vlookup($E1, 'Course List'!$A$3:$AS$14,27+Q4, false)</f>
        <v>4</v>
      </c>
      <c r="R3" s="321">
        <f>vlookup($E1, 'Course List'!$A$3:$AS$14,27+R4, false)</f>
        <v>4</v>
      </c>
      <c r="S3" s="321">
        <f>vlookup($E1, 'Course List'!$A$3:$AS$14,27+S4, false)</f>
        <v>4</v>
      </c>
      <c r="T3" s="321">
        <f>vlookup($E1, 'Course List'!$A$3:$AS$14,27+T4, false)</f>
        <v>3</v>
      </c>
      <c r="U3" s="321">
        <f>vlookup($E1, 'Course List'!$A$3:$AS$14,27+U4, false)</f>
        <v>5</v>
      </c>
      <c r="V3" s="321">
        <f>vlookup($E1, 'Course List'!$A$3:$AS$14,27+V4, false)</f>
        <v>4</v>
      </c>
      <c r="W3" s="321">
        <f>vlookup($E1, 'Course List'!$A$3:$AS$14,27+W4, false)</f>
        <v>4</v>
      </c>
      <c r="X3" s="321">
        <f>vlookup($E1, 'Course List'!$A$3:$AS$14,27+X4, false)</f>
        <v>3</v>
      </c>
      <c r="Y3" s="322">
        <f>vlookup($E1, 'Course List'!$A$3:$AS$14,27+Y4, false)</f>
        <v>4</v>
      </c>
      <c r="Z3" s="323">
        <f>SUM(Q3:Y3)</f>
        <v>35</v>
      </c>
      <c r="AA3" s="321">
        <f>N3+Z3</f>
        <v>71</v>
      </c>
      <c r="AB3" s="324"/>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343"/>
      <c r="B6" s="344"/>
      <c r="C6" s="345"/>
      <c r="D6" s="346"/>
      <c r="E6" s="347" t="str">
        <f t="shared" ref="E6:M6" si="1">if(E7=1,"O", if(E7=2,"O   O",""))</f>
        <v/>
      </c>
      <c r="F6" s="348" t="str">
        <f t="shared" si="1"/>
        <v/>
      </c>
      <c r="G6" s="349" t="str">
        <f t="shared" si="1"/>
        <v/>
      </c>
      <c r="H6" s="348" t="str">
        <f t="shared" si="1"/>
        <v/>
      </c>
      <c r="I6" s="349" t="str">
        <f t="shared" si="1"/>
        <v/>
      </c>
      <c r="J6" s="348" t="str">
        <f t="shared" si="1"/>
        <v/>
      </c>
      <c r="K6" s="349" t="str">
        <f t="shared" si="1"/>
        <v/>
      </c>
      <c r="L6" s="348" t="str">
        <f t="shared" si="1"/>
        <v/>
      </c>
      <c r="M6" s="349" t="str">
        <f t="shared" si="1"/>
        <v/>
      </c>
      <c r="N6" s="350"/>
      <c r="O6" s="351"/>
      <c r="P6" s="352"/>
      <c r="Q6" s="347" t="str">
        <f t="shared" ref="Q6:Y6" si="2">if(Q7=1,"O", if(Q7=2,"O   O",""))</f>
        <v/>
      </c>
      <c r="R6" s="348" t="str">
        <f t="shared" si="2"/>
        <v/>
      </c>
      <c r="S6" s="349" t="str">
        <f t="shared" si="2"/>
        <v/>
      </c>
      <c r="T6" s="348" t="str">
        <f t="shared" si="2"/>
        <v/>
      </c>
      <c r="U6" s="349" t="str">
        <f t="shared" si="2"/>
        <v/>
      </c>
      <c r="V6" s="348" t="str">
        <f t="shared" si="2"/>
        <v/>
      </c>
      <c r="W6" s="349" t="str">
        <f t="shared" si="2"/>
        <v/>
      </c>
      <c r="X6" s="348" t="str">
        <f t="shared" si="2"/>
        <v/>
      </c>
      <c r="Y6" s="349" t="str">
        <f t="shared" si="2"/>
        <v/>
      </c>
      <c r="Z6" s="353"/>
      <c r="AA6" s="354"/>
      <c r="AB6" s="355"/>
    </row>
    <row r="7" ht="22.5" hidden="1" customHeight="1">
      <c r="A7" s="356"/>
      <c r="B7" s="357"/>
      <c r="C7" s="358"/>
      <c r="D7" s="359"/>
      <c r="E7" s="360">
        <f t="shared" ref="E7:M7" si="3">IF($D8&gt;0,FLOOR($D8/18,1),0)+IF(AND(MOD($D8,18)&gt;=E$2,$D8&gt;0),1,0)-IF(E$2-18&gt;$D8,1,0)</f>
        <v>0</v>
      </c>
      <c r="F7" s="361">
        <f t="shared" si="3"/>
        <v>0</v>
      </c>
      <c r="G7" s="362">
        <f t="shared" si="3"/>
        <v>0</v>
      </c>
      <c r="H7" s="361">
        <f t="shared" si="3"/>
        <v>0</v>
      </c>
      <c r="I7" s="362">
        <f t="shared" si="3"/>
        <v>0</v>
      </c>
      <c r="J7" s="361">
        <f t="shared" si="3"/>
        <v>0</v>
      </c>
      <c r="K7" s="362">
        <f t="shared" si="3"/>
        <v>0</v>
      </c>
      <c r="L7" s="361">
        <f t="shared" si="3"/>
        <v>0</v>
      </c>
      <c r="M7" s="362">
        <f t="shared" si="3"/>
        <v>0</v>
      </c>
      <c r="N7" s="363"/>
      <c r="O7" s="364"/>
      <c r="P7" s="365"/>
      <c r="Q7" s="360">
        <f t="shared" ref="Q7:Y7" si="4">IF($D8&gt;0,FLOOR($D8/18,1),0)+IF(AND(MOD($D8,18)&gt;=Q$2,$D8&gt;0),1,0)-IF(Q$2-18&gt;$D8,1,0)</f>
        <v>0</v>
      </c>
      <c r="R7" s="361">
        <f t="shared" si="4"/>
        <v>0</v>
      </c>
      <c r="S7" s="362">
        <f t="shared" si="4"/>
        <v>0</v>
      </c>
      <c r="T7" s="361">
        <f t="shared" si="4"/>
        <v>0</v>
      </c>
      <c r="U7" s="362">
        <f t="shared" si="4"/>
        <v>0</v>
      </c>
      <c r="V7" s="361">
        <f t="shared" si="4"/>
        <v>0</v>
      </c>
      <c r="W7" s="362">
        <f t="shared" si="4"/>
        <v>0</v>
      </c>
      <c r="X7" s="361">
        <f t="shared" si="4"/>
        <v>0</v>
      </c>
      <c r="Y7" s="362">
        <f t="shared" si="4"/>
        <v>0</v>
      </c>
      <c r="Z7" s="366"/>
      <c r="AA7" s="367"/>
      <c r="AB7" s="368"/>
    </row>
    <row r="8" ht="27.0" customHeight="1">
      <c r="A8" s="369" t="str">
        <f>'Match Selection'!V4</f>
        <v>Telly</v>
      </c>
      <c r="B8" s="370" t="str">
        <f>vlookup(A8, 'Master Input'!$A$11:$B$27, 2, false)</f>
        <v>Drivers</v>
      </c>
      <c r="C8" s="371">
        <f>vlookup(A8,'Master Input'!$A$11:$L$27,'Master Input'!$F$28, false)</f>
        <v>7</v>
      </c>
      <c r="D8" s="372">
        <f>C8-SMALL($C$8:$C$17,1)</f>
        <v>0</v>
      </c>
      <c r="E8" s="373">
        <v>7.0</v>
      </c>
      <c r="F8" s="374">
        <v>4.0</v>
      </c>
      <c r="G8" s="375">
        <v>4.0</v>
      </c>
      <c r="H8" s="374">
        <v>5.0</v>
      </c>
      <c r="I8" s="375">
        <v>4.0</v>
      </c>
      <c r="J8" s="374">
        <v>4.0</v>
      </c>
      <c r="K8" s="375">
        <v>5.0</v>
      </c>
      <c r="L8" s="374">
        <v>4.0</v>
      </c>
      <c r="M8" s="375">
        <v>6.0</v>
      </c>
      <c r="N8" s="376">
        <f>if(M8="","", sum(E8:M8))</f>
        <v>43</v>
      </c>
      <c r="O8" s="364"/>
      <c r="P8" s="377" t="str">
        <f>A8</f>
        <v>Telly</v>
      </c>
      <c r="Q8" s="373">
        <v>3.0</v>
      </c>
      <c r="R8" s="374">
        <v>5.0</v>
      </c>
      <c r="S8" s="375">
        <v>7.0</v>
      </c>
      <c r="T8" s="374">
        <v>4.0</v>
      </c>
      <c r="U8" s="375">
        <v>6.0</v>
      </c>
      <c r="V8" s="374">
        <v>5.0</v>
      </c>
      <c r="W8" s="375">
        <v>4.0</v>
      </c>
      <c r="X8" s="374">
        <v>5.0</v>
      </c>
      <c r="Y8" s="375">
        <v>5.0</v>
      </c>
      <c r="Z8" s="376">
        <f>if(Y8="","", sum(Q8:Y8))</f>
        <v>44</v>
      </c>
      <c r="AA8" s="378">
        <f>if(Z8="", "", sum(N8,Z8))</f>
        <v>87</v>
      </c>
      <c r="AB8" s="379">
        <f>if(Y8="", "", AA8-C8)</f>
        <v>80</v>
      </c>
    </row>
    <row r="9" ht="7.5" customHeight="1">
      <c r="A9" s="380"/>
      <c r="B9" s="381"/>
      <c r="C9" s="382"/>
      <c r="D9" s="383"/>
      <c r="E9" s="384" t="str">
        <f t="shared" ref="E9:M9" si="5">if(E10=1,"O", if(E10=2,"O   O",""))</f>
        <v>O   O</v>
      </c>
      <c r="F9" s="385" t="str">
        <f t="shared" si="5"/>
        <v>O</v>
      </c>
      <c r="G9" s="386" t="str">
        <f t="shared" si="5"/>
        <v>O</v>
      </c>
      <c r="H9" s="385" t="str">
        <f t="shared" si="5"/>
        <v>O</v>
      </c>
      <c r="I9" s="386" t="str">
        <f t="shared" si="5"/>
        <v>O</v>
      </c>
      <c r="J9" s="385" t="str">
        <f t="shared" si="5"/>
        <v>O</v>
      </c>
      <c r="K9" s="386" t="str">
        <f t="shared" si="5"/>
        <v>O</v>
      </c>
      <c r="L9" s="385" t="str">
        <f t="shared" si="5"/>
        <v>O</v>
      </c>
      <c r="M9" s="386" t="str">
        <f t="shared" si="5"/>
        <v>O</v>
      </c>
      <c r="N9" s="387"/>
      <c r="O9" s="351"/>
      <c r="P9" s="388"/>
      <c r="Q9" s="384" t="str">
        <f t="shared" ref="Q9:Y9" si="6">if(Q10=1,"O", if(Q10=2,"O   O",""))</f>
        <v>O</v>
      </c>
      <c r="R9" s="385" t="str">
        <f t="shared" si="6"/>
        <v>O   O</v>
      </c>
      <c r="S9" s="386" t="str">
        <f t="shared" si="6"/>
        <v>O</v>
      </c>
      <c r="T9" s="385" t="str">
        <f t="shared" si="6"/>
        <v>O</v>
      </c>
      <c r="U9" s="386" t="str">
        <f t="shared" si="6"/>
        <v>O</v>
      </c>
      <c r="V9" s="385" t="str">
        <f t="shared" si="6"/>
        <v>O</v>
      </c>
      <c r="W9" s="386" t="str">
        <f t="shared" si="6"/>
        <v>O</v>
      </c>
      <c r="X9" s="385" t="str">
        <f t="shared" si="6"/>
        <v>O</v>
      </c>
      <c r="Y9" s="386" t="str">
        <f t="shared" si="6"/>
        <v>O   O</v>
      </c>
      <c r="Z9" s="389"/>
      <c r="AA9" s="390"/>
      <c r="AB9" s="391"/>
    </row>
    <row r="10" ht="22.5" hidden="1" customHeight="1">
      <c r="A10" s="392"/>
      <c r="B10" s="393"/>
      <c r="C10" s="394"/>
      <c r="D10" s="359"/>
      <c r="E10" s="360">
        <f t="shared" ref="E10:M10" si="7">IF($D11&gt;0,FLOOR($D11/18,1),0)+IF(AND(MOD($D11,18)&gt;=E$2,$D11&gt;0),1,0)-IF(E$2-18&gt;$D11,1,0)</f>
        <v>2</v>
      </c>
      <c r="F10" s="361">
        <f t="shared" si="7"/>
        <v>1</v>
      </c>
      <c r="G10" s="362">
        <f t="shared" si="7"/>
        <v>1</v>
      </c>
      <c r="H10" s="361">
        <f t="shared" si="7"/>
        <v>1</v>
      </c>
      <c r="I10" s="362">
        <f t="shared" si="7"/>
        <v>1</v>
      </c>
      <c r="J10" s="361">
        <f t="shared" si="7"/>
        <v>1</v>
      </c>
      <c r="K10" s="362">
        <f t="shared" si="7"/>
        <v>1</v>
      </c>
      <c r="L10" s="361">
        <f t="shared" si="7"/>
        <v>1</v>
      </c>
      <c r="M10" s="362">
        <f t="shared" si="7"/>
        <v>1</v>
      </c>
      <c r="N10" s="363"/>
      <c r="O10" s="364"/>
      <c r="P10" s="395"/>
      <c r="Q10" s="360">
        <f t="shared" ref="Q10:Y10" si="8">IF($D11&gt;0,FLOOR($D11/18,1),0)+IF(AND(MOD($D11,18)&gt;=Q$2,$D11&gt;0),1,0)-IF(Q$2-18&gt;$D11,1,0)</f>
        <v>1</v>
      </c>
      <c r="R10" s="361">
        <f t="shared" si="8"/>
        <v>2</v>
      </c>
      <c r="S10" s="362">
        <f t="shared" si="8"/>
        <v>1</v>
      </c>
      <c r="T10" s="361">
        <f t="shared" si="8"/>
        <v>1</v>
      </c>
      <c r="U10" s="362">
        <f t="shared" si="8"/>
        <v>1</v>
      </c>
      <c r="V10" s="361">
        <f t="shared" si="8"/>
        <v>1</v>
      </c>
      <c r="W10" s="362">
        <f t="shared" si="8"/>
        <v>1</v>
      </c>
      <c r="X10" s="361">
        <f t="shared" si="8"/>
        <v>1</v>
      </c>
      <c r="Y10" s="362">
        <f t="shared" si="8"/>
        <v>2</v>
      </c>
      <c r="Z10" s="366"/>
      <c r="AA10" s="367"/>
      <c r="AB10" s="368"/>
    </row>
    <row r="11" ht="27.0" customHeight="1">
      <c r="A11" s="396" t="str">
        <f>'Match Selection'!V5</f>
        <v>Hile</v>
      </c>
      <c r="B11" s="397" t="str">
        <f>vlookup(A11, 'Master Input'!$A$11:$B$27, 2, false)</f>
        <v>Drivers</v>
      </c>
      <c r="C11" s="371">
        <f>vlookup(A11,'Master Input'!$A$11:$L$27,'Master Input'!$F$28, false)</f>
        <v>28</v>
      </c>
      <c r="D11" s="372">
        <f>C11-SMALL($C$8:$C$17,1)</f>
        <v>21</v>
      </c>
      <c r="E11" s="373">
        <v>7.0</v>
      </c>
      <c r="F11" s="374">
        <v>8.0</v>
      </c>
      <c r="G11" s="375">
        <v>4.0</v>
      </c>
      <c r="H11" s="374">
        <v>8.0</v>
      </c>
      <c r="I11" s="375">
        <v>5.0</v>
      </c>
      <c r="J11" s="374">
        <v>6.0</v>
      </c>
      <c r="K11" s="375">
        <v>6.0</v>
      </c>
      <c r="L11" s="374">
        <v>5.0</v>
      </c>
      <c r="M11" s="375">
        <v>6.0</v>
      </c>
      <c r="N11" s="376">
        <f>if(M11="","", sum(E11:M11))</f>
        <v>55</v>
      </c>
      <c r="O11" s="364"/>
      <c r="P11" s="377" t="str">
        <f>A11</f>
        <v>Hile</v>
      </c>
      <c r="Q11" s="373">
        <v>7.0</v>
      </c>
      <c r="R11" s="374">
        <v>8.0</v>
      </c>
      <c r="S11" s="375">
        <v>5.0</v>
      </c>
      <c r="T11" s="374">
        <v>4.0</v>
      </c>
      <c r="U11" s="375">
        <v>8.0</v>
      </c>
      <c r="V11" s="374">
        <v>7.0</v>
      </c>
      <c r="W11" s="375">
        <v>8.0</v>
      </c>
      <c r="X11" s="374">
        <v>5.0</v>
      </c>
      <c r="Y11" s="375">
        <v>6.0</v>
      </c>
      <c r="Z11" s="376">
        <f>if(Y11="","", sum(Q11:Y11))</f>
        <v>58</v>
      </c>
      <c r="AA11" s="378">
        <f>if(Z11="", "", sum(N11,Z11))</f>
        <v>113</v>
      </c>
      <c r="AB11" s="379">
        <f>if(Y11="", "", AA11-C11)</f>
        <v>85</v>
      </c>
    </row>
    <row r="12" ht="7.5" customHeight="1">
      <c r="A12" s="398"/>
      <c r="B12" s="399"/>
      <c r="C12" s="400"/>
      <c r="D12" s="401"/>
      <c r="E12" s="402" t="str">
        <f t="shared" ref="E12:M12" si="9">if(E13=1,"O", if(E13=2,"O   O",""))</f>
        <v>O</v>
      </c>
      <c r="F12" s="403" t="str">
        <f t="shared" si="9"/>
        <v/>
      </c>
      <c r="G12" s="404" t="str">
        <f t="shared" si="9"/>
        <v/>
      </c>
      <c r="H12" s="403" t="str">
        <f t="shared" si="9"/>
        <v/>
      </c>
      <c r="I12" s="404" t="str">
        <f t="shared" si="9"/>
        <v/>
      </c>
      <c r="J12" s="403" t="str">
        <f t="shared" si="9"/>
        <v/>
      </c>
      <c r="K12" s="404" t="str">
        <f t="shared" si="9"/>
        <v/>
      </c>
      <c r="L12" s="403" t="str">
        <f t="shared" si="9"/>
        <v/>
      </c>
      <c r="M12" s="404" t="str">
        <f t="shared" si="9"/>
        <v/>
      </c>
      <c r="N12" s="405"/>
      <c r="O12" s="351"/>
      <c r="P12" s="406"/>
      <c r="Q12" s="402" t="str">
        <f t="shared" ref="Q12:Y12" si="10">if(Q13=1,"O", if(Q13=2,"O   O",""))</f>
        <v/>
      </c>
      <c r="R12" s="403" t="str">
        <f t="shared" si="10"/>
        <v/>
      </c>
      <c r="S12" s="404" t="str">
        <f t="shared" si="10"/>
        <v/>
      </c>
      <c r="T12" s="403" t="str">
        <f t="shared" si="10"/>
        <v/>
      </c>
      <c r="U12" s="404" t="str">
        <f t="shared" si="10"/>
        <v/>
      </c>
      <c r="V12" s="403" t="str">
        <f t="shared" si="10"/>
        <v/>
      </c>
      <c r="W12" s="404" t="str">
        <f t="shared" si="10"/>
        <v/>
      </c>
      <c r="X12" s="403" t="str">
        <f t="shared" si="10"/>
        <v/>
      </c>
      <c r="Y12" s="404" t="str">
        <f t="shared" si="10"/>
        <v>O</v>
      </c>
      <c r="Z12" s="407"/>
      <c r="AA12" s="408"/>
      <c r="AB12" s="409"/>
    </row>
    <row r="13" ht="22.5" hidden="1" customHeight="1">
      <c r="A13" s="410"/>
      <c r="B13" s="411"/>
      <c r="C13" s="412"/>
      <c r="D13" s="413"/>
      <c r="E13" s="414">
        <f t="shared" ref="E13:M13" si="11">IF($D14&gt;0,FLOOR($D14/18,1),0)+IF(AND(MOD($D14,18)&gt;=E$2,$D14&gt;0),1,0)-IF(E$2-18&gt;$D14,1,0)</f>
        <v>1</v>
      </c>
      <c r="F13" s="415">
        <f t="shared" si="11"/>
        <v>0</v>
      </c>
      <c r="G13" s="416">
        <f t="shared" si="11"/>
        <v>0</v>
      </c>
      <c r="H13" s="415">
        <f t="shared" si="11"/>
        <v>0</v>
      </c>
      <c r="I13" s="416">
        <f t="shared" si="11"/>
        <v>0</v>
      </c>
      <c r="J13" s="415">
        <f t="shared" si="11"/>
        <v>0</v>
      </c>
      <c r="K13" s="416">
        <f t="shared" si="11"/>
        <v>0</v>
      </c>
      <c r="L13" s="415">
        <f t="shared" si="11"/>
        <v>0</v>
      </c>
      <c r="M13" s="416">
        <f t="shared" si="11"/>
        <v>0</v>
      </c>
      <c r="N13" s="363"/>
      <c r="O13" s="364"/>
      <c r="P13" s="417"/>
      <c r="Q13" s="414">
        <f t="shared" ref="Q13:Y13" si="12">IF($D14&gt;0,FLOOR($D14/18,1),0)+IF(AND(MOD($D14,18)&gt;=Q$2,$D14&gt;0),1,0)-IF(Q$2-18&gt;$D14,1,0)</f>
        <v>0</v>
      </c>
      <c r="R13" s="415">
        <f t="shared" si="12"/>
        <v>0</v>
      </c>
      <c r="S13" s="416">
        <f t="shared" si="12"/>
        <v>0</v>
      </c>
      <c r="T13" s="415">
        <f t="shared" si="12"/>
        <v>0</v>
      </c>
      <c r="U13" s="416">
        <f t="shared" si="12"/>
        <v>0</v>
      </c>
      <c r="V13" s="415">
        <f t="shared" si="12"/>
        <v>0</v>
      </c>
      <c r="W13" s="416">
        <f t="shared" si="12"/>
        <v>0</v>
      </c>
      <c r="X13" s="415">
        <f t="shared" si="12"/>
        <v>0</v>
      </c>
      <c r="Y13" s="416">
        <f t="shared" si="12"/>
        <v>1</v>
      </c>
      <c r="Z13" s="366"/>
      <c r="AA13" s="418"/>
      <c r="AB13" s="368"/>
    </row>
    <row r="14" ht="27.0" customHeight="1">
      <c r="A14" s="419" t="str">
        <f>'Match Selection'!Y4</f>
        <v>Jensen</v>
      </c>
      <c r="B14" s="420" t="str">
        <f>vlookup(A14, 'Master Input'!$A$11:$B$27, 2, false)</f>
        <v>Irons</v>
      </c>
      <c r="C14" s="421">
        <f>vlookup(A14,'Master Input'!$A$11:$L$27,'Master Input'!$F$28, false)</f>
        <v>9</v>
      </c>
      <c r="D14" s="422">
        <f>C14-SMALL($C$8:$C$17,1)</f>
        <v>2</v>
      </c>
      <c r="E14" s="423">
        <v>4.0</v>
      </c>
      <c r="F14" s="424">
        <v>4.0</v>
      </c>
      <c r="G14" s="425">
        <v>4.0</v>
      </c>
      <c r="H14" s="424">
        <v>8.0</v>
      </c>
      <c r="I14" s="425">
        <v>3.0</v>
      </c>
      <c r="J14" s="424">
        <v>5.0</v>
      </c>
      <c r="K14" s="425">
        <v>4.0</v>
      </c>
      <c r="L14" s="424">
        <v>3.0</v>
      </c>
      <c r="M14" s="425">
        <v>6.0</v>
      </c>
      <c r="N14" s="376">
        <f>if(M14="","", sum(E14:M14))</f>
        <v>41</v>
      </c>
      <c r="O14" s="364"/>
      <c r="P14" s="426" t="str">
        <f>A14</f>
        <v>Jensen</v>
      </c>
      <c r="Q14" s="423">
        <v>4.0</v>
      </c>
      <c r="R14" s="424">
        <v>6.0</v>
      </c>
      <c r="S14" s="425">
        <v>5.0</v>
      </c>
      <c r="T14" s="424">
        <v>3.0</v>
      </c>
      <c r="U14" s="425">
        <v>8.0</v>
      </c>
      <c r="V14" s="424">
        <v>4.0</v>
      </c>
      <c r="W14" s="425">
        <v>6.0</v>
      </c>
      <c r="X14" s="424">
        <v>3.0</v>
      </c>
      <c r="Y14" s="425">
        <v>5.0</v>
      </c>
      <c r="Z14" s="376">
        <f>if(Y14="","", sum(Q14:Y14))</f>
        <v>44</v>
      </c>
      <c r="AA14" s="427">
        <f>if(Z14="", "", sum(N14,Z14))</f>
        <v>85</v>
      </c>
      <c r="AB14" s="379">
        <f>if(Y14="", "", AA14-C14)</f>
        <v>76</v>
      </c>
    </row>
    <row r="15" ht="7.5" customHeight="1">
      <c r="A15" s="398"/>
      <c r="B15" s="399"/>
      <c r="C15" s="400"/>
      <c r="D15" s="401"/>
      <c r="E15" s="402" t="str">
        <f t="shared" ref="E15:M15" si="13">if(E16=1,"O", if(E16=2,"O   O",""))</f>
        <v>O</v>
      </c>
      <c r="F15" s="403" t="str">
        <f t="shared" si="13"/>
        <v>O</v>
      </c>
      <c r="G15" s="404" t="str">
        <f t="shared" si="13"/>
        <v/>
      </c>
      <c r="H15" s="403" t="str">
        <f t="shared" si="13"/>
        <v/>
      </c>
      <c r="I15" s="404" t="str">
        <f t="shared" si="13"/>
        <v>O</v>
      </c>
      <c r="J15" s="403" t="str">
        <f t="shared" si="13"/>
        <v/>
      </c>
      <c r="K15" s="404" t="str">
        <f t="shared" si="13"/>
        <v/>
      </c>
      <c r="L15" s="403" t="str">
        <f t="shared" si="13"/>
        <v>O</v>
      </c>
      <c r="M15" s="404" t="str">
        <f t="shared" si="13"/>
        <v/>
      </c>
      <c r="N15" s="405"/>
      <c r="O15" s="351"/>
      <c r="P15" s="406"/>
      <c r="Q15" s="402" t="str">
        <f t="shared" ref="Q15:Y15" si="14">if(Q16=1,"O", if(Q16=2,"O   O",""))</f>
        <v/>
      </c>
      <c r="R15" s="403" t="str">
        <f t="shared" si="14"/>
        <v>O</v>
      </c>
      <c r="S15" s="404" t="str">
        <f t="shared" si="14"/>
        <v/>
      </c>
      <c r="T15" s="403" t="str">
        <f t="shared" si="14"/>
        <v/>
      </c>
      <c r="U15" s="404" t="str">
        <f t="shared" si="14"/>
        <v/>
      </c>
      <c r="V15" s="403" t="str">
        <f t="shared" si="14"/>
        <v>O</v>
      </c>
      <c r="W15" s="404" t="str">
        <f t="shared" si="14"/>
        <v>O</v>
      </c>
      <c r="X15" s="403" t="str">
        <f t="shared" si="14"/>
        <v/>
      </c>
      <c r="Y15" s="404" t="str">
        <f t="shared" si="14"/>
        <v>O</v>
      </c>
      <c r="Z15" s="407"/>
      <c r="AA15" s="428"/>
      <c r="AB15" s="409"/>
    </row>
    <row r="16" ht="22.5" hidden="1" customHeight="1">
      <c r="A16" s="410"/>
      <c r="B16" s="411"/>
      <c r="C16" s="412"/>
      <c r="D16" s="413"/>
      <c r="E16" s="414">
        <f t="shared" ref="E16:M16" si="15">IF($D17&gt;0,FLOOR($D17/18,1),0)+IF(AND(MOD($D17,18)&gt;=E$2,$D17&gt;0),1,0)-IF(E$2-18&gt;$D17,1,0)</f>
        <v>1</v>
      </c>
      <c r="F16" s="415">
        <f t="shared" si="15"/>
        <v>1</v>
      </c>
      <c r="G16" s="416">
        <f t="shared" si="15"/>
        <v>0</v>
      </c>
      <c r="H16" s="415">
        <f t="shared" si="15"/>
        <v>0</v>
      </c>
      <c r="I16" s="416">
        <f t="shared" si="15"/>
        <v>1</v>
      </c>
      <c r="J16" s="415">
        <f t="shared" si="15"/>
        <v>0</v>
      </c>
      <c r="K16" s="416">
        <f t="shared" si="15"/>
        <v>0</v>
      </c>
      <c r="L16" s="415">
        <f t="shared" si="15"/>
        <v>1</v>
      </c>
      <c r="M16" s="416">
        <f t="shared" si="15"/>
        <v>0</v>
      </c>
      <c r="N16" s="363"/>
      <c r="O16" s="364"/>
      <c r="P16" s="417"/>
      <c r="Q16" s="414">
        <f t="shared" ref="Q16:Y16" si="16">IF($D17&gt;0,FLOOR($D17/18,1),0)+IF(AND(MOD($D17,18)&gt;=Q$2,$D17&gt;0),1,0)-IF(Q$2-18&gt;$D17,1,0)</f>
        <v>0</v>
      </c>
      <c r="R16" s="415">
        <f t="shared" si="16"/>
        <v>1</v>
      </c>
      <c r="S16" s="416">
        <f t="shared" si="16"/>
        <v>0</v>
      </c>
      <c r="T16" s="415">
        <f t="shared" si="16"/>
        <v>0</v>
      </c>
      <c r="U16" s="416">
        <f t="shared" si="16"/>
        <v>0</v>
      </c>
      <c r="V16" s="415">
        <f t="shared" si="16"/>
        <v>1</v>
      </c>
      <c r="W16" s="416">
        <f t="shared" si="16"/>
        <v>1</v>
      </c>
      <c r="X16" s="415">
        <f t="shared" si="16"/>
        <v>0</v>
      </c>
      <c r="Y16" s="416">
        <f t="shared" si="16"/>
        <v>1</v>
      </c>
      <c r="Z16" s="366"/>
      <c r="AA16" s="418"/>
      <c r="AB16" s="368"/>
    </row>
    <row r="17" ht="27.0" customHeight="1">
      <c r="A17" s="429" t="str">
        <f>'Match Selection'!Y5</f>
        <v>DK</v>
      </c>
      <c r="B17" s="430" t="str">
        <f>vlookup(A17, 'Master Input'!$A$11:$B$27, 2, false)</f>
        <v>Irons</v>
      </c>
      <c r="C17" s="431">
        <f>vlookup(A17,'Master Input'!$A$11:$L$27,'Master Input'!$F$28, false)</f>
        <v>15</v>
      </c>
      <c r="D17" s="432">
        <f>C17-SMALL($C$8:$C$17,1)</f>
        <v>8</v>
      </c>
      <c r="E17" s="433">
        <v>4.0</v>
      </c>
      <c r="F17" s="434">
        <v>5.0</v>
      </c>
      <c r="G17" s="435">
        <v>3.0</v>
      </c>
      <c r="H17" s="434">
        <v>5.0</v>
      </c>
      <c r="I17" s="435">
        <v>4.0</v>
      </c>
      <c r="J17" s="434">
        <v>4.0</v>
      </c>
      <c r="K17" s="435">
        <v>3.0</v>
      </c>
      <c r="L17" s="434">
        <v>6.0</v>
      </c>
      <c r="M17" s="435">
        <v>5.0</v>
      </c>
      <c r="N17" s="436">
        <f>if(M17="","", sum(E17:M17))</f>
        <v>39</v>
      </c>
      <c r="O17" s="364"/>
      <c r="P17" s="437" t="str">
        <f>A17</f>
        <v>DK</v>
      </c>
      <c r="Q17" s="433">
        <v>6.0</v>
      </c>
      <c r="R17" s="434">
        <v>6.0</v>
      </c>
      <c r="S17" s="435">
        <v>7.0</v>
      </c>
      <c r="T17" s="434">
        <v>3.0</v>
      </c>
      <c r="U17" s="435">
        <v>5.0</v>
      </c>
      <c r="V17" s="434">
        <v>7.0</v>
      </c>
      <c r="W17" s="435">
        <v>6.0</v>
      </c>
      <c r="X17" s="434">
        <v>6.0</v>
      </c>
      <c r="Y17" s="435">
        <v>7.0</v>
      </c>
      <c r="Z17" s="436">
        <f>if(Y17="","", sum(Q17:Y17))</f>
        <v>53</v>
      </c>
      <c r="AA17" s="438">
        <f>if(Z17="", "", sum(N17,Z17))</f>
        <v>92</v>
      </c>
      <c r="AB17" s="439">
        <f>if(Y17="", "", AA17-C17)</f>
        <v>77</v>
      </c>
    </row>
    <row r="18" ht="11.25" customHeight="1">
      <c r="A18" s="440"/>
      <c r="B18" s="441"/>
      <c r="C18" s="442"/>
      <c r="D18" s="443"/>
      <c r="E18" s="441"/>
      <c r="F18" s="441"/>
      <c r="G18" s="441"/>
      <c r="H18" s="441"/>
      <c r="I18" s="441"/>
      <c r="J18" s="441"/>
      <c r="K18" s="441"/>
      <c r="L18" s="441"/>
      <c r="M18" s="441"/>
      <c r="N18" s="444" t="s">
        <v>7</v>
      </c>
      <c r="O18" s="445"/>
      <c r="P18" s="441"/>
      <c r="Q18" s="441"/>
      <c r="R18" s="441"/>
      <c r="S18" s="441"/>
      <c r="T18" s="441"/>
      <c r="U18" s="441"/>
      <c r="V18" s="441"/>
      <c r="W18" s="441"/>
      <c r="X18" s="441"/>
      <c r="Y18" s="441"/>
      <c r="Z18" s="443"/>
      <c r="AA18" s="446"/>
      <c r="AB18" s="447" t="s">
        <v>64</v>
      </c>
    </row>
    <row r="19" ht="27.0" customHeight="1">
      <c r="A19" s="448" t="str">
        <f>B8&amp;" Status"</f>
        <v>Drivers Status</v>
      </c>
      <c r="B19" s="449" t="s">
        <v>65</v>
      </c>
      <c r="C19" s="450"/>
      <c r="D19" s="451"/>
      <c r="E19" s="452">
        <f>if(E23="","",E23)</f>
        <v>-1</v>
      </c>
      <c r="F19" s="453">
        <f t="shared" ref="F19:M19" si="17">if(F23="","",F23+E19)</f>
        <v>-1</v>
      </c>
      <c r="G19" s="453">
        <f t="shared" si="17"/>
        <v>-1</v>
      </c>
      <c r="H19" s="453">
        <f t="shared" si="17"/>
        <v>-1</v>
      </c>
      <c r="I19" s="453">
        <f t="shared" si="17"/>
        <v>-2</v>
      </c>
      <c r="J19" s="453">
        <f t="shared" si="17"/>
        <v>-2</v>
      </c>
      <c r="K19" s="453">
        <f t="shared" si="17"/>
        <v>-3</v>
      </c>
      <c r="L19" s="453">
        <f t="shared" si="17"/>
        <v>-4</v>
      </c>
      <c r="M19" s="453">
        <f t="shared" si="17"/>
        <v>-4</v>
      </c>
      <c r="N19" s="454">
        <f>if(M19="", "", if(M19&lt;0, 0, if(M19&gt;0, vlookup($B$2,'Master Input'!$O$12:$R$23,'Master Input'!P$11,false), vlookup($B$2,'Master Input'!$O$12:$R$23,'Master Input'!P$11,false)*0.5)))</f>
        <v>0</v>
      </c>
      <c r="O19" s="455"/>
      <c r="P19" s="456" t="s">
        <v>66</v>
      </c>
      <c r="Q19" s="457">
        <f>if(Q23="","",Q23+M19)</f>
        <v>-3</v>
      </c>
      <c r="R19" s="458">
        <f t="shared" ref="R19:Y19" si="18">if(R23="","",R23+Q19)</f>
        <v>-3</v>
      </c>
      <c r="S19" s="458">
        <f t="shared" si="18"/>
        <v>-2</v>
      </c>
      <c r="T19" s="458">
        <f t="shared" si="18"/>
        <v>-2</v>
      </c>
      <c r="U19" s="458">
        <f t="shared" si="18"/>
        <v>-3</v>
      </c>
      <c r="V19" s="458">
        <f t="shared" si="18"/>
        <v>-4</v>
      </c>
      <c r="W19" s="458">
        <f t="shared" si="18"/>
        <v>-3</v>
      </c>
      <c r="X19" s="458">
        <f t="shared" si="18"/>
        <v>-4</v>
      </c>
      <c r="Y19" s="458">
        <f t="shared" si="18"/>
        <v>-4</v>
      </c>
      <c r="Z19" s="459">
        <f>if(Y19="", "", if(Y19&lt;0, 0, if(Y19&gt;0, vlookup($B$2,'Master Input'!$O$12:$R$23,'Master Input'!R$11,false), vlookup($B$2,'Master Input'!$O$12:$R$23,'Master Input'!R$11,false)*0.5)))</f>
        <v>0</v>
      </c>
      <c r="AA19" s="460" t="s">
        <v>9</v>
      </c>
      <c r="AB19" s="461">
        <f>if(Z19="","", sum(N19,Z19,Z20))</f>
        <v>0.5</v>
      </c>
    </row>
    <row r="20" ht="27.0" customHeight="1">
      <c r="A20" s="462"/>
      <c r="B20" s="462"/>
      <c r="C20" s="463"/>
      <c r="D20" s="462"/>
      <c r="E20" s="464"/>
      <c r="F20" s="464"/>
      <c r="G20" s="464"/>
      <c r="H20" s="464"/>
      <c r="I20" s="464"/>
      <c r="J20" s="464"/>
      <c r="K20" s="464"/>
      <c r="L20" s="464"/>
      <c r="M20" s="464"/>
      <c r="N20" s="462"/>
      <c r="O20" s="455"/>
      <c r="P20" s="465" t="s">
        <v>67</v>
      </c>
      <c r="Q20" s="466">
        <f>if(Q23="","",Q23)</f>
        <v>1</v>
      </c>
      <c r="R20" s="467">
        <f t="shared" ref="R20:Y20" si="19">if(R23="","",R23+Q20)</f>
        <v>1</v>
      </c>
      <c r="S20" s="467">
        <f t="shared" si="19"/>
        <v>2</v>
      </c>
      <c r="T20" s="467">
        <f t="shared" si="19"/>
        <v>2</v>
      </c>
      <c r="U20" s="467">
        <f t="shared" si="19"/>
        <v>1</v>
      </c>
      <c r="V20" s="467">
        <f t="shared" si="19"/>
        <v>0</v>
      </c>
      <c r="W20" s="467">
        <f t="shared" si="19"/>
        <v>1</v>
      </c>
      <c r="X20" s="467">
        <f t="shared" si="19"/>
        <v>0</v>
      </c>
      <c r="Y20" s="467">
        <f t="shared" si="19"/>
        <v>0</v>
      </c>
      <c r="Z20" s="468">
        <f>if(Y20="", "", if(Y20&lt;0, 0, if(Y20&gt;0, vlookup($B$2,'Master Input'!$O$12:$R$23,'Master Input'!Q$11,false), vlookup($B$2,'Master Input'!$O$12:$R$23,'Master Input'!Q$11,false)*0.5)))</f>
        <v>0.5</v>
      </c>
      <c r="AA20" s="460" t="s">
        <v>8</v>
      </c>
      <c r="AB20" s="469">
        <f>if(AB19="","",vlookup($B$2,'Master Input'!$O$12:$R$23,2,false)+vlookup($B$2,'Master Input'!$O$12:$R$23,3,false)+vlookup($B$2,'Master Input'!$O$12:$R$23,4,false)-AB19)</f>
        <v>3.5</v>
      </c>
    </row>
    <row r="21" ht="22.5" hidden="1" customHeight="1">
      <c r="A21" s="470"/>
      <c r="B21" s="471"/>
      <c r="C21" s="471"/>
      <c r="D21" s="471"/>
      <c r="E21" s="471"/>
      <c r="F21" s="471"/>
      <c r="G21" s="471"/>
      <c r="H21" s="471"/>
      <c r="I21" s="471"/>
      <c r="J21" s="471"/>
      <c r="K21" s="471"/>
      <c r="L21" s="471"/>
      <c r="M21" s="471"/>
      <c r="N21" s="470"/>
      <c r="O21" s="473"/>
      <c r="P21" s="473"/>
      <c r="Q21" s="474"/>
      <c r="R21" s="474"/>
      <c r="S21" s="474"/>
      <c r="T21" s="474"/>
      <c r="U21" s="474"/>
      <c r="V21" s="474"/>
      <c r="W21" s="474"/>
      <c r="X21" s="474"/>
      <c r="Y21" s="473"/>
      <c r="Z21" s="473"/>
      <c r="AA21" s="475"/>
      <c r="AB21" s="470"/>
    </row>
    <row r="22" hidden="1">
      <c r="A22" s="470"/>
      <c r="B22" s="477">
        <v>1.0</v>
      </c>
      <c r="C22" s="477">
        <v>2.0</v>
      </c>
      <c r="D22" s="477">
        <v>3.0</v>
      </c>
      <c r="E22" s="477">
        <v>4.0</v>
      </c>
      <c r="F22" s="477">
        <v>5.0</v>
      </c>
      <c r="G22" s="477">
        <v>6.0</v>
      </c>
      <c r="H22" s="477">
        <v>7.0</v>
      </c>
      <c r="I22" s="477">
        <v>8.0</v>
      </c>
      <c r="J22" s="477">
        <v>9.0</v>
      </c>
      <c r="K22" s="477">
        <v>10.0</v>
      </c>
      <c r="L22" s="477">
        <v>11.0</v>
      </c>
      <c r="M22" s="477">
        <v>12.0</v>
      </c>
      <c r="N22" s="477">
        <v>13.0</v>
      </c>
      <c r="O22" s="477">
        <v>14.0</v>
      </c>
      <c r="P22" s="477">
        <v>15.0</v>
      </c>
      <c r="Q22" s="477">
        <v>16.0</v>
      </c>
      <c r="R22" s="477">
        <v>17.0</v>
      </c>
      <c r="S22" s="477">
        <v>18.0</v>
      </c>
      <c r="T22" s="477">
        <v>19.0</v>
      </c>
      <c r="U22" s="477">
        <v>20.0</v>
      </c>
      <c r="V22" s="477">
        <v>21.0</v>
      </c>
      <c r="W22" s="477">
        <v>22.0</v>
      </c>
      <c r="X22" s="477">
        <v>23.0</v>
      </c>
      <c r="Y22" s="477">
        <v>24.0</v>
      </c>
      <c r="Z22" s="478" t="s">
        <v>51</v>
      </c>
      <c r="AA22" s="478" t="s">
        <v>68</v>
      </c>
      <c r="AB22" s="479" t="s">
        <v>69</v>
      </c>
    </row>
    <row r="23" ht="14.25" hidden="1" customHeight="1">
      <c r="A23" s="471"/>
      <c r="B23" s="470" t="s">
        <v>70</v>
      </c>
      <c r="C23" s="480"/>
      <c r="D23" s="470"/>
      <c r="E23" s="481">
        <f t="shared" ref="E23:M23" si="20">if(OR(E8="", E11="", E14="", E17=""), "",
if(small({E8-E7,E11-E10},1)&lt;small({E14-E13,E17-E16},1),1,
if(small({E8-E7,E11-E10},1)&gt;small({E14-E13,E17-E16},1),-1,
0)))</f>
        <v>-1</v>
      </c>
      <c r="F23" s="481">
        <f t="shared" si="20"/>
        <v>0</v>
      </c>
      <c r="G23" s="481">
        <f t="shared" si="20"/>
        <v>0</v>
      </c>
      <c r="H23" s="481">
        <f t="shared" si="20"/>
        <v>0</v>
      </c>
      <c r="I23" s="481">
        <f t="shared" si="20"/>
        <v>-1</v>
      </c>
      <c r="J23" s="481">
        <f t="shared" si="20"/>
        <v>0</v>
      </c>
      <c r="K23" s="481">
        <f t="shared" si="20"/>
        <v>-1</v>
      </c>
      <c r="L23" s="481">
        <f t="shared" si="20"/>
        <v>-1</v>
      </c>
      <c r="M23" s="481">
        <f t="shared" si="20"/>
        <v>0</v>
      </c>
      <c r="N23" s="470"/>
      <c r="O23" s="473"/>
      <c r="P23" s="473"/>
      <c r="Q23" s="481">
        <f t="shared" ref="Q23:Y23" si="21">if(OR(Q8="", Q11="", Q14="", Q17=""), "",
if(small({Q8-Q7,Q11-Q10},1)&lt;small({Q14-Q13,Q17-Q16},1),1,
if(small({Q8-Q7,Q11-Q10},1)&gt;small({Q14-Q13,Q17-Q16},1),-1,
0)))</f>
        <v>1</v>
      </c>
      <c r="R23" s="481">
        <f t="shared" si="21"/>
        <v>0</v>
      </c>
      <c r="S23" s="481">
        <f t="shared" si="21"/>
        <v>1</v>
      </c>
      <c r="T23" s="481">
        <f t="shared" si="21"/>
        <v>0</v>
      </c>
      <c r="U23" s="481">
        <f t="shared" si="21"/>
        <v>-1</v>
      </c>
      <c r="V23" s="481">
        <f t="shared" si="21"/>
        <v>-1</v>
      </c>
      <c r="W23" s="481">
        <f t="shared" si="21"/>
        <v>1</v>
      </c>
      <c r="X23" s="481">
        <f t="shared" si="21"/>
        <v>-1</v>
      </c>
      <c r="Y23" s="481">
        <f t="shared" si="21"/>
        <v>0</v>
      </c>
      <c r="Z23" s="478" t="s">
        <v>71</v>
      </c>
      <c r="AA23" s="478" t="s">
        <v>72</v>
      </c>
      <c r="AB23" s="482" t="s">
        <v>73</v>
      </c>
    </row>
    <row r="24" ht="14.25" hidden="1" customHeight="1">
      <c r="A24" s="483"/>
      <c r="B24" s="483" t="str">
        <f>B8</f>
        <v>Drivers</v>
      </c>
      <c r="C24" s="484"/>
      <c r="D24" s="483"/>
      <c r="E24" s="485">
        <f t="shared" ref="E24:M24" si="22">if(E23="","",(E23+1)/2)</f>
        <v>0</v>
      </c>
      <c r="F24" s="485">
        <f t="shared" si="22"/>
        <v>0.5</v>
      </c>
      <c r="G24" s="485">
        <f t="shared" si="22"/>
        <v>0.5</v>
      </c>
      <c r="H24" s="485">
        <f t="shared" si="22"/>
        <v>0.5</v>
      </c>
      <c r="I24" s="485">
        <f t="shared" si="22"/>
        <v>0</v>
      </c>
      <c r="J24" s="485">
        <f t="shared" si="22"/>
        <v>0.5</v>
      </c>
      <c r="K24" s="485">
        <f t="shared" si="22"/>
        <v>0</v>
      </c>
      <c r="L24" s="485">
        <f t="shared" si="22"/>
        <v>0</v>
      </c>
      <c r="M24" s="485">
        <f t="shared" si="22"/>
        <v>0.5</v>
      </c>
      <c r="N24" s="486">
        <f>if(M23="","",sum(E24:M24))</f>
        <v>2.5</v>
      </c>
      <c r="O24" s="483"/>
      <c r="P24" s="483"/>
      <c r="Q24" s="485">
        <f t="shared" ref="Q24:Y24" si="23">if(Q23="","",(Q23+1)/2)</f>
        <v>1</v>
      </c>
      <c r="R24" s="485">
        <f t="shared" si="23"/>
        <v>0.5</v>
      </c>
      <c r="S24" s="485">
        <f t="shared" si="23"/>
        <v>1</v>
      </c>
      <c r="T24" s="485">
        <f t="shared" si="23"/>
        <v>0.5</v>
      </c>
      <c r="U24" s="485">
        <f t="shared" si="23"/>
        <v>0</v>
      </c>
      <c r="V24" s="485">
        <f t="shared" si="23"/>
        <v>0</v>
      </c>
      <c r="W24" s="485">
        <f t="shared" si="23"/>
        <v>1</v>
      </c>
      <c r="X24" s="485">
        <f t="shared" si="23"/>
        <v>0</v>
      </c>
      <c r="Y24" s="485">
        <f t="shared" si="23"/>
        <v>0.5</v>
      </c>
      <c r="Z24" s="486">
        <f>if(Y23="","",sum(Q24:Y24))</f>
        <v>4.5</v>
      </c>
      <c r="AA24" s="487">
        <f>if(Y23="","",sum(Z24,N24))</f>
        <v>7</v>
      </c>
      <c r="AB24" s="488"/>
    </row>
    <row r="25" ht="14.25" hidden="1" customHeight="1">
      <c r="A25" s="470" t="str">
        <f>A8</f>
        <v>Telly</v>
      </c>
      <c r="B25" s="470"/>
      <c r="C25" s="480"/>
      <c r="D25" s="470"/>
      <c r="E25" s="489">
        <f t="shared" ref="E25:M25" si="24">if(E23="","",if(E8-E7&lt;E11-E10,1,if(E8-E7=E11-E10,0.5,0)))</f>
        <v>0</v>
      </c>
      <c r="F25" s="489">
        <f t="shared" si="24"/>
        <v>1</v>
      </c>
      <c r="G25" s="489">
        <f t="shared" si="24"/>
        <v>0</v>
      </c>
      <c r="H25" s="489">
        <f t="shared" si="24"/>
        <v>1</v>
      </c>
      <c r="I25" s="489">
        <f t="shared" si="24"/>
        <v>0.5</v>
      </c>
      <c r="J25" s="489">
        <f t="shared" si="24"/>
        <v>1</v>
      </c>
      <c r="K25" s="489">
        <f t="shared" si="24"/>
        <v>0.5</v>
      </c>
      <c r="L25" s="489">
        <f t="shared" si="24"/>
        <v>0.5</v>
      </c>
      <c r="M25" s="489">
        <f t="shared" si="24"/>
        <v>0</v>
      </c>
      <c r="N25" s="470"/>
      <c r="O25" s="473"/>
      <c r="P25" s="473"/>
      <c r="Q25" s="489">
        <f t="shared" ref="Q25:Y25" si="25">if(Q23="","",if(Q8-Q7&lt;Q11-Q10,1,if(Q8-Q7=Q11-Q10,0.5,0)))</f>
        <v>1</v>
      </c>
      <c r="R25" s="489">
        <f t="shared" si="25"/>
        <v>1</v>
      </c>
      <c r="S25" s="489">
        <f t="shared" si="25"/>
        <v>0</v>
      </c>
      <c r="T25" s="489">
        <f t="shared" si="25"/>
        <v>0</v>
      </c>
      <c r="U25" s="489">
        <f t="shared" si="25"/>
        <v>1</v>
      </c>
      <c r="V25" s="489">
        <f t="shared" si="25"/>
        <v>1</v>
      </c>
      <c r="W25" s="489">
        <f t="shared" si="25"/>
        <v>1</v>
      </c>
      <c r="X25" s="489">
        <f t="shared" si="25"/>
        <v>0</v>
      </c>
      <c r="Y25" s="489">
        <f t="shared" si="25"/>
        <v>0</v>
      </c>
      <c r="Z25" s="490">
        <f t="shared" ref="Z25:Z26" si="28">if(Y25="","",sum(E25:M25,Q25:Y25))</f>
        <v>9.5</v>
      </c>
      <c r="AA25" s="491">
        <f t="shared" ref="AA25:AA26" si="29">if(Y25="","",sumproduct({E25:M25,Q25:Y25},{$E$24:$M$24,$Q$24:$Y$24}))</f>
        <v>4</v>
      </c>
      <c r="AB25" s="492">
        <f t="shared" ref="AB25:AB26" si="30">if(Y25="","",if($N$24=0,0,((sumproduct(E25:M25,$E$24:$M$24)/$N$24)*$N$19))
+if($Z$24=0,0,((sumproduct(Q25:Y25,$Q$24:$Y$24)/$Z$24)*$Z$20))
+if($AA$24=0,0,((AA25/$AA$24)*$Z$19)))</f>
        <v>0.2777777778</v>
      </c>
    </row>
    <row r="26" ht="14.25" hidden="1" customHeight="1">
      <c r="A26" s="471" t="str">
        <f>A11</f>
        <v>Hile</v>
      </c>
      <c r="B26" s="470"/>
      <c r="C26" s="480"/>
      <c r="D26" s="470"/>
      <c r="E26" s="489">
        <f t="shared" ref="E26:M26" si="26">if(E23="","",if(E8-E7&gt;E11-E10,1,if(E8-E7=E11-E10,0.5,0)))</f>
        <v>1</v>
      </c>
      <c r="F26" s="489">
        <f t="shared" si="26"/>
        <v>0</v>
      </c>
      <c r="G26" s="489">
        <f t="shared" si="26"/>
        <v>1</v>
      </c>
      <c r="H26" s="489">
        <f t="shared" si="26"/>
        <v>0</v>
      </c>
      <c r="I26" s="489">
        <f t="shared" si="26"/>
        <v>0.5</v>
      </c>
      <c r="J26" s="489">
        <f t="shared" si="26"/>
        <v>0</v>
      </c>
      <c r="K26" s="489">
        <f t="shared" si="26"/>
        <v>0.5</v>
      </c>
      <c r="L26" s="489">
        <f t="shared" si="26"/>
        <v>0.5</v>
      </c>
      <c r="M26" s="489">
        <f t="shared" si="26"/>
        <v>1</v>
      </c>
      <c r="N26" s="470"/>
      <c r="O26" s="473"/>
      <c r="P26" s="473"/>
      <c r="Q26" s="489">
        <f t="shared" ref="Q26:Y26" si="27">if(Q23="","",if(Q8-Q7&gt;Q11-Q10,1,if(Q8-Q7=Q11-Q10,0.5,0)))</f>
        <v>0</v>
      </c>
      <c r="R26" s="489">
        <f t="shared" si="27"/>
        <v>0</v>
      </c>
      <c r="S26" s="489">
        <f t="shared" si="27"/>
        <v>1</v>
      </c>
      <c r="T26" s="489">
        <f t="shared" si="27"/>
        <v>1</v>
      </c>
      <c r="U26" s="489">
        <f t="shared" si="27"/>
        <v>0</v>
      </c>
      <c r="V26" s="489">
        <f t="shared" si="27"/>
        <v>0</v>
      </c>
      <c r="W26" s="489">
        <f t="shared" si="27"/>
        <v>0</v>
      </c>
      <c r="X26" s="489">
        <f t="shared" si="27"/>
        <v>1</v>
      </c>
      <c r="Y26" s="489">
        <f t="shared" si="27"/>
        <v>1</v>
      </c>
      <c r="Z26" s="490">
        <f t="shared" si="28"/>
        <v>8.5</v>
      </c>
      <c r="AA26" s="491">
        <f t="shared" si="29"/>
        <v>3</v>
      </c>
      <c r="AB26" s="492">
        <f t="shared" si="30"/>
        <v>0.2222222222</v>
      </c>
    </row>
    <row r="27" ht="14.25" hidden="1" customHeight="1">
      <c r="A27" s="483"/>
      <c r="B27" s="483" t="str">
        <f>B14</f>
        <v>Irons</v>
      </c>
      <c r="C27" s="484"/>
      <c r="D27" s="483"/>
      <c r="E27" s="485">
        <f t="shared" ref="E27:M27" si="31">if(E23="","",(1-E23)/2)</f>
        <v>1</v>
      </c>
      <c r="F27" s="485">
        <f t="shared" si="31"/>
        <v>0.5</v>
      </c>
      <c r="G27" s="485">
        <f t="shared" si="31"/>
        <v>0.5</v>
      </c>
      <c r="H27" s="485">
        <f t="shared" si="31"/>
        <v>0.5</v>
      </c>
      <c r="I27" s="485">
        <f t="shared" si="31"/>
        <v>1</v>
      </c>
      <c r="J27" s="485">
        <f t="shared" si="31"/>
        <v>0.5</v>
      </c>
      <c r="K27" s="485">
        <f t="shared" si="31"/>
        <v>1</v>
      </c>
      <c r="L27" s="485">
        <f t="shared" si="31"/>
        <v>1</v>
      </c>
      <c r="M27" s="485">
        <f t="shared" si="31"/>
        <v>0.5</v>
      </c>
      <c r="N27" s="486">
        <f>if(M26="","",sum(E27:M27))</f>
        <v>6.5</v>
      </c>
      <c r="O27" s="483"/>
      <c r="P27" s="483"/>
      <c r="Q27" s="485">
        <f t="shared" ref="Q27:Y27" si="32">if(Q23="","",(1-Q23)/2)</f>
        <v>0</v>
      </c>
      <c r="R27" s="485">
        <f t="shared" si="32"/>
        <v>0.5</v>
      </c>
      <c r="S27" s="485">
        <f t="shared" si="32"/>
        <v>0</v>
      </c>
      <c r="T27" s="485">
        <f t="shared" si="32"/>
        <v>0.5</v>
      </c>
      <c r="U27" s="485">
        <f t="shared" si="32"/>
        <v>1</v>
      </c>
      <c r="V27" s="485">
        <f t="shared" si="32"/>
        <v>1</v>
      </c>
      <c r="W27" s="485">
        <f t="shared" si="32"/>
        <v>0</v>
      </c>
      <c r="X27" s="485">
        <f t="shared" si="32"/>
        <v>1</v>
      </c>
      <c r="Y27" s="485">
        <f t="shared" si="32"/>
        <v>0.5</v>
      </c>
      <c r="Z27" s="486">
        <f>if(Y26="","",sum(Q27:Y27))</f>
        <v>4.5</v>
      </c>
      <c r="AA27" s="487">
        <f>if(Y26="","",sum(Z27,N27))</f>
        <v>11</v>
      </c>
      <c r="AB27" s="488"/>
    </row>
    <row r="28" ht="14.25" hidden="1" customHeight="1">
      <c r="A28" s="470" t="str">
        <f>A14</f>
        <v>Jensen</v>
      </c>
      <c r="B28" s="470"/>
      <c r="C28" s="480"/>
      <c r="D28" s="470"/>
      <c r="E28" s="489">
        <f t="shared" ref="E28:M28" si="33">if(E23="","",if(E17-E16&gt;E14-E13,1,if(E17-E16=E14-E13,0.5,0)))</f>
        <v>0.5</v>
      </c>
      <c r="F28" s="489">
        <f t="shared" si="33"/>
        <v>0.5</v>
      </c>
      <c r="G28" s="489">
        <f t="shared" si="33"/>
        <v>0</v>
      </c>
      <c r="H28" s="489">
        <f t="shared" si="33"/>
        <v>0</v>
      </c>
      <c r="I28" s="489">
        <f t="shared" si="33"/>
        <v>0.5</v>
      </c>
      <c r="J28" s="489">
        <f t="shared" si="33"/>
        <v>0</v>
      </c>
      <c r="K28" s="489">
        <f t="shared" si="33"/>
        <v>0</v>
      </c>
      <c r="L28" s="489">
        <f t="shared" si="33"/>
        <v>1</v>
      </c>
      <c r="M28" s="489">
        <f t="shared" si="33"/>
        <v>0</v>
      </c>
      <c r="N28" s="470"/>
      <c r="O28" s="473"/>
      <c r="P28" s="473"/>
      <c r="Q28" s="489">
        <f t="shared" ref="Q28:Y28" si="34">if(Q23="","",if(Q17-Q16&gt;Q14-Q13,1,if(Q17-Q16=Q14-Q13,0.5,0)))</f>
        <v>1</v>
      </c>
      <c r="R28" s="489">
        <f t="shared" si="34"/>
        <v>0</v>
      </c>
      <c r="S28" s="489">
        <f t="shared" si="34"/>
        <v>1</v>
      </c>
      <c r="T28" s="489">
        <f t="shared" si="34"/>
        <v>0.5</v>
      </c>
      <c r="U28" s="489">
        <f t="shared" si="34"/>
        <v>0</v>
      </c>
      <c r="V28" s="489">
        <f t="shared" si="34"/>
        <v>1</v>
      </c>
      <c r="W28" s="489">
        <f t="shared" si="34"/>
        <v>0</v>
      </c>
      <c r="X28" s="489">
        <f t="shared" si="34"/>
        <v>1</v>
      </c>
      <c r="Y28" s="489">
        <f t="shared" si="34"/>
        <v>1</v>
      </c>
      <c r="Z28" s="490">
        <f t="shared" ref="Z28:Z29" si="37">if(Y28="","",sum(E28:M28,Q28:Y28))</f>
        <v>8</v>
      </c>
      <c r="AA28" s="491">
        <f t="shared" ref="AA28:AA29" si="38">if(Y28="","",sumproduct({E28:M28,Q28:Y28},{$E$27:$M$27,$Q$27:$Y$27}))</f>
        <v>5</v>
      </c>
      <c r="AB28" s="492">
        <f>if(Y28="","",if($N$27=0,0,((sumproduct(E28:M28,$E$27:$M$27)/$N$27)*(vlookup($B$2,'Master Input'!$O$12:$R$23,'Master Input'!P$11,false)-$N$19)))
+if($Z$27=0,0,((sumproduct(Q28:Y28,$Q$27:$Y$27)/$Z$27)*(vlookup($B$2,'Master Input'!$O$12:$R$23,'Master Input'!Q$11,false)-$Z$20)))
+if($AA$27=0,0,((AA28/$AA$27)*(vlookup($B$2,'Master Input'!$O$12:$R$23,'Master Input'!R$11,false)-$Z$19))))</f>
        <v>1.560800311</v>
      </c>
    </row>
    <row r="29" ht="14.25" hidden="1" customHeight="1">
      <c r="A29" s="470" t="str">
        <f>A17</f>
        <v>DK</v>
      </c>
      <c r="B29" s="470"/>
      <c r="C29" s="480"/>
      <c r="D29" s="470"/>
      <c r="E29" s="493">
        <f t="shared" ref="E29:M29" si="35">if(E23="","",if(E17-E16&lt;E14-E13,1,if(E17-E16=E14-E13,0.5,0)))</f>
        <v>0.5</v>
      </c>
      <c r="F29" s="493">
        <f t="shared" si="35"/>
        <v>0.5</v>
      </c>
      <c r="G29" s="493">
        <f t="shared" si="35"/>
        <v>1</v>
      </c>
      <c r="H29" s="493">
        <f t="shared" si="35"/>
        <v>1</v>
      </c>
      <c r="I29" s="493">
        <f t="shared" si="35"/>
        <v>0.5</v>
      </c>
      <c r="J29" s="493">
        <f t="shared" si="35"/>
        <v>1</v>
      </c>
      <c r="K29" s="493">
        <f t="shared" si="35"/>
        <v>1</v>
      </c>
      <c r="L29" s="493">
        <f t="shared" si="35"/>
        <v>0</v>
      </c>
      <c r="M29" s="493">
        <f t="shared" si="35"/>
        <v>1</v>
      </c>
      <c r="N29" s="470"/>
      <c r="O29" s="473"/>
      <c r="P29" s="473"/>
      <c r="Q29" s="493">
        <f t="shared" ref="Q29:Y29" si="36">if(Q23="","",if(Q17-Q16&lt;Q14-Q13,1,if(Q17-Q16=Q14-Q13,0.5,0)))</f>
        <v>0</v>
      </c>
      <c r="R29" s="493">
        <f t="shared" si="36"/>
        <v>1</v>
      </c>
      <c r="S29" s="493">
        <f t="shared" si="36"/>
        <v>0</v>
      </c>
      <c r="T29" s="493">
        <f t="shared" si="36"/>
        <v>0.5</v>
      </c>
      <c r="U29" s="493">
        <f t="shared" si="36"/>
        <v>1</v>
      </c>
      <c r="V29" s="493">
        <f t="shared" si="36"/>
        <v>0</v>
      </c>
      <c r="W29" s="493">
        <f t="shared" si="36"/>
        <v>1</v>
      </c>
      <c r="X29" s="493">
        <f t="shared" si="36"/>
        <v>0</v>
      </c>
      <c r="Y29" s="493">
        <f t="shared" si="36"/>
        <v>0</v>
      </c>
      <c r="Z29" s="490">
        <f t="shared" si="37"/>
        <v>10</v>
      </c>
      <c r="AA29" s="491">
        <f t="shared" si="38"/>
        <v>6</v>
      </c>
      <c r="AB29" s="492">
        <f>if(Y29="","",((sumproduct(E29:M29,$E$27:$M$27)/$N$27)*(vlookup($B$2,'Master Input'!$O$12:$R$23,'Master Input'!P$11,false)-$N$19))
+((sumproduct(Q29:Y29,$Q$27:$Y$27)/$Z$27)*(vlookup($B$2,'Master Input'!$O$12:$R$23,'Master Input'!Q$11,false)-$Z$20))
+((AA29/$AA$27)*(vlookup($B$2,'Master Input'!$O$12:$R$23,'Master Input'!R$11,false)-$Z$19)))</f>
        <v>1.939199689</v>
      </c>
    </row>
    <row r="30" ht="14.25" hidden="1" customHeight="1">
      <c r="A30" s="470"/>
      <c r="B30" s="470"/>
      <c r="C30" s="480"/>
      <c r="D30" s="470"/>
      <c r="E30" s="493">
        <f t="shared" ref="E30:M30" si="39">sum(E25:E26,E28:E29)</f>
        <v>2</v>
      </c>
      <c r="F30" s="493">
        <f t="shared" si="39"/>
        <v>2</v>
      </c>
      <c r="G30" s="493">
        <f t="shared" si="39"/>
        <v>2</v>
      </c>
      <c r="H30" s="493">
        <f t="shared" si="39"/>
        <v>2</v>
      </c>
      <c r="I30" s="493">
        <f t="shared" si="39"/>
        <v>2</v>
      </c>
      <c r="J30" s="493">
        <f t="shared" si="39"/>
        <v>2</v>
      </c>
      <c r="K30" s="493">
        <f t="shared" si="39"/>
        <v>2</v>
      </c>
      <c r="L30" s="493">
        <f t="shared" si="39"/>
        <v>2</v>
      </c>
      <c r="M30" s="493">
        <f t="shared" si="39"/>
        <v>2</v>
      </c>
      <c r="N30" s="470"/>
      <c r="O30" s="473"/>
      <c r="P30" s="473"/>
      <c r="Q30" s="493">
        <f t="shared" ref="Q30:Z30" si="40">sum(Q25:Q26,Q28:Q29)</f>
        <v>2</v>
      </c>
      <c r="R30" s="493">
        <f t="shared" si="40"/>
        <v>2</v>
      </c>
      <c r="S30" s="493">
        <f t="shared" si="40"/>
        <v>2</v>
      </c>
      <c r="T30" s="493">
        <f t="shared" si="40"/>
        <v>2</v>
      </c>
      <c r="U30" s="493">
        <f t="shared" si="40"/>
        <v>2</v>
      </c>
      <c r="V30" s="493">
        <f t="shared" si="40"/>
        <v>2</v>
      </c>
      <c r="W30" s="493">
        <f t="shared" si="40"/>
        <v>2</v>
      </c>
      <c r="X30" s="493">
        <f t="shared" si="40"/>
        <v>2</v>
      </c>
      <c r="Y30" s="493">
        <f t="shared" si="40"/>
        <v>2</v>
      </c>
      <c r="Z30" s="493">
        <f t="shared" si="40"/>
        <v>36</v>
      </c>
      <c r="AA30" s="475"/>
      <c r="AB30" s="494"/>
    </row>
  </sheetData>
  <mergeCells count="1">
    <mergeCell ref="B2:B3"/>
  </mergeCells>
  <conditionalFormatting sqref="E8:M8 Q8:Y8">
    <cfRule type="expression" dxfId="16" priority="1">
      <formula>and(E$24=1,E$25&gt;0)</formula>
    </cfRule>
  </conditionalFormatting>
  <conditionalFormatting sqref="E11:M11 Q11:Y11">
    <cfRule type="expression" dxfId="16" priority="2">
      <formula>and(E$24=1,E$26&gt;0)</formula>
    </cfRule>
  </conditionalFormatting>
  <conditionalFormatting sqref="E14:M14 Q14:Y14">
    <cfRule type="expression" dxfId="15" priority="3">
      <formula>and(E$27=1,E$28&gt;0)</formula>
    </cfRule>
  </conditionalFormatting>
  <conditionalFormatting sqref="E17:M17 Q17:Y17">
    <cfRule type="expression" dxfId="15" priority="4">
      <formula>and(E$27=1,E$29&gt;0)</formula>
    </cfRule>
  </conditionalFormatting>
  <conditionalFormatting sqref="AB20">
    <cfRule type="notContainsBlanks" dxfId="15" priority="5">
      <formula>LEN(TRIM(AB20))&gt;0</formula>
    </cfRule>
  </conditionalFormatting>
  <conditionalFormatting sqref="N19 Z19:Z20 AB19">
    <cfRule type="notContainsBlanks" dxfId="16" priority="6">
      <formula>LEN(TRIM(N19))&gt;0</formula>
    </cfRule>
  </conditionalFormatting>
  <conditionalFormatting sqref="E8:M8 Q8:Y8">
    <cfRule type="expression" dxfId="2" priority="7">
      <formula>and(E$24=0.5,E$25&gt;0)</formula>
    </cfRule>
  </conditionalFormatting>
  <conditionalFormatting sqref="E11:M11 Q11:Y11">
    <cfRule type="expression" dxfId="2" priority="8">
      <formula>and(E$24=0.5,E$26&gt;0)</formula>
    </cfRule>
  </conditionalFormatting>
  <conditionalFormatting sqref="E14:M14 Q14:Y14">
    <cfRule type="expression" dxfId="2" priority="9">
      <formula>and(E$27=0.5,E$28&gt;0)</formula>
    </cfRule>
  </conditionalFormatting>
  <conditionalFormatting sqref="E17:M17 Q17:Y17">
    <cfRule type="expression" dxfId="2" priority="10">
      <formula>and(E$27=0.5,E$29&gt;0)</formula>
    </cfRule>
  </conditionalFormatting>
  <printOptions horizontalCentered="1"/>
  <pageMargins bottom="0.5" footer="0.0" header="0.0" left="0.55"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5" t="s">
        <v>54</v>
      </c>
      <c r="B1" s="496">
        <f>'Master Input'!G3</f>
        <v>0.3513888889</v>
      </c>
      <c r="C1" s="497" t="str">
        <f>'Master Input'!$G$2</f>
        <v>Round 2</v>
      </c>
      <c r="D1" s="498"/>
      <c r="E1" s="497" t="str">
        <f>'Master Input'!$G$6</f>
        <v>Ravines GC - White</v>
      </c>
      <c r="F1" s="498"/>
      <c r="G1" s="498"/>
      <c r="H1" s="498"/>
      <c r="I1" s="498"/>
      <c r="J1" s="498"/>
      <c r="K1" s="498"/>
      <c r="L1" s="498"/>
      <c r="M1" s="498"/>
      <c r="N1" s="499"/>
      <c r="O1" s="301"/>
      <c r="P1" s="500" t="str">
        <f>'Master Input'!$G$2</f>
        <v>Round 2</v>
      </c>
      <c r="Q1" s="498"/>
      <c r="R1" s="497" t="str">
        <f>'Master Input'!$G$6</f>
        <v>Ravines GC - White</v>
      </c>
      <c r="S1" s="498"/>
      <c r="T1" s="498"/>
      <c r="U1" s="498"/>
      <c r="V1" s="498"/>
      <c r="W1" s="498"/>
      <c r="X1" s="498"/>
      <c r="Y1" s="498"/>
      <c r="Z1" s="498"/>
      <c r="AA1" s="498"/>
      <c r="AB1" s="499"/>
    </row>
    <row r="2" ht="14.25" customHeight="1">
      <c r="A2" s="305" t="s">
        <v>55</v>
      </c>
      <c r="B2" s="501" t="str">
        <f>'Match Selection'!B9</f>
        <v>Singles Matches</v>
      </c>
      <c r="C2" s="502"/>
      <c r="D2" s="308" t="s">
        <v>55</v>
      </c>
      <c r="E2" s="503">
        <f>vlookup($E1, 'Course List'!$A$3:$AS$14,5+E4, false)</f>
        <v>9</v>
      </c>
      <c r="F2" s="310">
        <f>vlookup($E1, 'Course List'!$A$3:$AS$14,5+F4, false)</f>
        <v>15</v>
      </c>
      <c r="G2" s="310">
        <f>vlookup($E1, 'Course List'!$A$3:$AS$14,5+G4, false)</f>
        <v>13</v>
      </c>
      <c r="H2" s="310">
        <f>vlookup($E1, 'Course List'!$A$3:$AS$14,5+H4, false)</f>
        <v>1</v>
      </c>
      <c r="I2" s="310">
        <f>vlookup($E1, 'Course List'!$A$3:$AS$14,5+I4, false)</f>
        <v>3</v>
      </c>
      <c r="J2" s="310">
        <f>vlookup($E1, 'Course List'!$A$3:$AS$14,5+J4, false)</f>
        <v>5</v>
      </c>
      <c r="K2" s="310">
        <f>vlookup($E1, 'Course List'!$A$3:$AS$14,5+K4, false)</f>
        <v>17</v>
      </c>
      <c r="L2" s="310">
        <f>vlookup($E1, 'Course List'!$A$3:$AS$14,5+L4, false)</f>
        <v>11</v>
      </c>
      <c r="M2" s="311">
        <f>vlookup($E1, 'Course List'!$A$3:$AS$14,5+M4, false)</f>
        <v>7</v>
      </c>
      <c r="N2" s="504"/>
      <c r="O2" s="313"/>
      <c r="P2" s="314" t="s">
        <v>55</v>
      </c>
      <c r="Q2" s="310">
        <f>vlookup($E1, 'Course List'!$A$3:$AS$14,5+Q4, false)</f>
        <v>4</v>
      </c>
      <c r="R2" s="310">
        <f>vlookup($E1, 'Course List'!$A$3:$AS$14,5+R4, false)</f>
        <v>10</v>
      </c>
      <c r="S2" s="310">
        <f>vlookup($E1, 'Course List'!$A$3:$AS$14,5+S4, false)</f>
        <v>16</v>
      </c>
      <c r="T2" s="310">
        <f>vlookup($E1, 'Course List'!$A$3:$AS$14,5+T4, false)</f>
        <v>14</v>
      </c>
      <c r="U2" s="310">
        <f>vlookup($E1, 'Course List'!$A$3:$AS$14,5+U4, false)</f>
        <v>2</v>
      </c>
      <c r="V2" s="310">
        <f>vlookup($E1, 'Course List'!$A$3:$AS$14,5+V4, false)</f>
        <v>8</v>
      </c>
      <c r="W2" s="310">
        <f>vlookup($E1, 'Course List'!$A$3:$AS$14,5+W4, false)</f>
        <v>18</v>
      </c>
      <c r="X2" s="310">
        <f>vlookup($E1, 'Course List'!$A$3:$AS$14,5+X4, false)</f>
        <v>12</v>
      </c>
      <c r="Y2" s="311">
        <f>vlookup($E1, 'Course List'!$A$3:$AS$14,5+Y4, false)</f>
        <v>6</v>
      </c>
      <c r="Z2" s="504"/>
      <c r="AA2" s="315"/>
      <c r="AB2" s="316"/>
    </row>
    <row r="3" ht="14.25" customHeight="1">
      <c r="A3" s="505" t="s">
        <v>56</v>
      </c>
      <c r="B3" s="317"/>
      <c r="C3" s="506"/>
      <c r="D3" s="507" t="s">
        <v>56</v>
      </c>
      <c r="E3" s="508">
        <f>vlookup($E1, 'Course List'!$A$3:$AS$14,27+E4, false)</f>
        <v>4</v>
      </c>
      <c r="F3" s="509">
        <f>vlookup($E1, 'Course List'!$A$3:$AS$14,27+F4, false)</f>
        <v>4</v>
      </c>
      <c r="G3" s="509">
        <f>vlookup($E1, 'Course List'!$A$3:$AS$14,27+G4, false)</f>
        <v>3</v>
      </c>
      <c r="H3" s="509">
        <f>vlookup($E1, 'Course List'!$A$3:$AS$14,27+H4, false)</f>
        <v>5</v>
      </c>
      <c r="I3" s="509">
        <f>vlookup($E1, 'Course List'!$A$3:$AS$14,27+I4, false)</f>
        <v>4</v>
      </c>
      <c r="J3" s="509">
        <f>vlookup($E1, 'Course List'!$A$3:$AS$14,27+J4, false)</f>
        <v>4</v>
      </c>
      <c r="K3" s="509">
        <f>vlookup($E1, 'Course List'!$A$3:$AS$14,27+K4, false)</f>
        <v>4</v>
      </c>
      <c r="L3" s="509">
        <f>vlookup($E1, 'Course List'!$A$3:$AS$14,27+L4, false)</f>
        <v>3</v>
      </c>
      <c r="M3" s="510">
        <f>vlookup($E1, 'Course List'!$A$3:$AS$14,27+M4, false)</f>
        <v>5</v>
      </c>
      <c r="N3" s="511">
        <f>SUM(E3:M3)</f>
        <v>36</v>
      </c>
      <c r="O3" s="313"/>
      <c r="P3" s="305" t="s">
        <v>56</v>
      </c>
      <c r="Q3" s="509">
        <f>vlookup($E1, 'Course List'!$A$3:$AS$14,27+Q4, false)</f>
        <v>4</v>
      </c>
      <c r="R3" s="509">
        <f>vlookup($E1, 'Course List'!$A$3:$AS$14,27+R4, false)</f>
        <v>4</v>
      </c>
      <c r="S3" s="509">
        <f>vlookup($E1, 'Course List'!$A$3:$AS$14,27+S4, false)</f>
        <v>3</v>
      </c>
      <c r="T3" s="509">
        <f>vlookup($E1, 'Course List'!$A$3:$AS$14,27+T4, false)</f>
        <v>4</v>
      </c>
      <c r="U3" s="509">
        <f>vlookup($E1, 'Course List'!$A$3:$AS$14,27+U4, false)</f>
        <v>5</v>
      </c>
      <c r="V3" s="509">
        <f>vlookup($E1, 'Course List'!$A$3:$AS$14,27+V4, false)</f>
        <v>4</v>
      </c>
      <c r="W3" s="509">
        <f>vlookup($E1, 'Course List'!$A$3:$AS$14,27+W4, false)</f>
        <v>4</v>
      </c>
      <c r="X3" s="509">
        <f>vlookup($E1, 'Course List'!$A$3:$AS$14,27+X4, false)</f>
        <v>3</v>
      </c>
      <c r="Y3" s="510">
        <f>vlookup($E1, 'Course List'!$A$3:$AS$14,27+Y4, false)</f>
        <v>5</v>
      </c>
      <c r="Z3" s="511">
        <f>SUM(Q3:Y3)</f>
        <v>36</v>
      </c>
      <c r="AA3" s="509">
        <f>N3+Z3</f>
        <v>72</v>
      </c>
      <c r="AB3" s="512"/>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41"/>
      <c r="B5" s="341"/>
      <c r="C5" s="341"/>
      <c r="D5" s="341"/>
      <c r="E5" s="341"/>
      <c r="F5" s="341"/>
      <c r="G5" s="341"/>
      <c r="H5" s="341"/>
      <c r="I5" s="341"/>
      <c r="J5" s="341"/>
      <c r="K5" s="341"/>
      <c r="L5" s="341"/>
      <c r="M5" s="341"/>
      <c r="N5" s="341"/>
      <c r="O5" s="341"/>
      <c r="P5" s="341"/>
      <c r="Q5" s="339"/>
      <c r="R5" s="339"/>
      <c r="S5" s="339"/>
      <c r="T5" s="339"/>
      <c r="U5" s="339"/>
      <c r="V5" s="339"/>
      <c r="W5" s="339"/>
      <c r="X5" s="339"/>
      <c r="Y5" s="339"/>
      <c r="Z5" s="336"/>
      <c r="AA5" s="342"/>
      <c r="AB5" s="342"/>
    </row>
    <row r="6" ht="7.5" customHeight="1">
      <c r="A6" s="343"/>
      <c r="B6" s="513"/>
      <c r="C6" s="514"/>
      <c r="D6" s="515"/>
      <c r="E6" s="349" t="str">
        <f t="shared" ref="E6:M6" si="1">if(E7=1,"O", if(E7=2,"O   O",""))</f>
        <v/>
      </c>
      <c r="F6" s="349" t="str">
        <f t="shared" si="1"/>
        <v/>
      </c>
      <c r="G6" s="349" t="str">
        <f t="shared" si="1"/>
        <v/>
      </c>
      <c r="H6" s="349" t="str">
        <f t="shared" si="1"/>
        <v/>
      </c>
      <c r="I6" s="349" t="str">
        <f t="shared" si="1"/>
        <v/>
      </c>
      <c r="J6" s="349" t="str">
        <f t="shared" si="1"/>
        <v/>
      </c>
      <c r="K6" s="349" t="str">
        <f t="shared" si="1"/>
        <v/>
      </c>
      <c r="L6" s="349" t="str">
        <f t="shared" si="1"/>
        <v/>
      </c>
      <c r="M6" s="349" t="str">
        <f t="shared" si="1"/>
        <v/>
      </c>
      <c r="N6" s="516"/>
      <c r="O6" s="351"/>
      <c r="P6" s="517"/>
      <c r="Q6" s="349" t="str">
        <f t="shared" ref="Q6:Y6" si="2">if(Q7=1,"O", if(Q7=2,"O   O",""))</f>
        <v/>
      </c>
      <c r="R6" s="348" t="str">
        <f t="shared" si="2"/>
        <v/>
      </c>
      <c r="S6" s="348" t="str">
        <f t="shared" si="2"/>
        <v/>
      </c>
      <c r="T6" s="349" t="str">
        <f t="shared" si="2"/>
        <v/>
      </c>
      <c r="U6" s="349" t="str">
        <f t="shared" si="2"/>
        <v/>
      </c>
      <c r="V6" s="349" t="str">
        <f t="shared" si="2"/>
        <v/>
      </c>
      <c r="W6" s="349" t="str">
        <f t="shared" si="2"/>
        <v/>
      </c>
      <c r="X6" s="349" t="str">
        <f t="shared" si="2"/>
        <v/>
      </c>
      <c r="Y6" s="518" t="str">
        <f t="shared" si="2"/>
        <v/>
      </c>
      <c r="Z6" s="519"/>
      <c r="AA6" s="520"/>
      <c r="AB6" s="521"/>
    </row>
    <row r="7" ht="22.5" hidden="1" customHeight="1">
      <c r="A7" s="356"/>
      <c r="B7" s="357"/>
      <c r="C7" s="522"/>
      <c r="D7" s="523"/>
      <c r="E7" s="524">
        <f t="shared" ref="E7:M7" si="3">IF($D8&gt;0,FLOOR($D8/18,1),0)+IF(AND(MOD($D8,18)&gt;=E$2,$D8&gt;0),1,0)-IF(E$2-18&gt;$D8,1,0)</f>
        <v>0</v>
      </c>
      <c r="F7" s="524">
        <f t="shared" si="3"/>
        <v>0</v>
      </c>
      <c r="G7" s="524">
        <f t="shared" si="3"/>
        <v>0</v>
      </c>
      <c r="H7" s="524">
        <f t="shared" si="3"/>
        <v>0</v>
      </c>
      <c r="I7" s="524">
        <f t="shared" si="3"/>
        <v>0</v>
      </c>
      <c r="J7" s="524">
        <f t="shared" si="3"/>
        <v>0</v>
      </c>
      <c r="K7" s="524">
        <f t="shared" si="3"/>
        <v>0</v>
      </c>
      <c r="L7" s="524">
        <f t="shared" si="3"/>
        <v>0</v>
      </c>
      <c r="M7" s="524">
        <f t="shared" si="3"/>
        <v>0</v>
      </c>
      <c r="N7" s="525"/>
      <c r="O7" s="364"/>
      <c r="P7" s="526"/>
      <c r="Q7" s="524">
        <f t="shared" ref="Q7:Y7" si="4">IF($D8&gt;0,FLOOR($D8/18,1),0)+IF(AND(MOD($D8,18)&gt;=Q$2,$D8&gt;0),1,0)-IF(Q$2-18&gt;$D8,1,0)</f>
        <v>0</v>
      </c>
      <c r="R7" s="361">
        <f t="shared" si="4"/>
        <v>0</v>
      </c>
      <c r="S7" s="361">
        <f t="shared" si="4"/>
        <v>0</v>
      </c>
      <c r="T7" s="524">
        <f t="shared" si="4"/>
        <v>0</v>
      </c>
      <c r="U7" s="524">
        <f t="shared" si="4"/>
        <v>0</v>
      </c>
      <c r="V7" s="524">
        <f t="shared" si="4"/>
        <v>0</v>
      </c>
      <c r="W7" s="524">
        <f t="shared" si="4"/>
        <v>0</v>
      </c>
      <c r="X7" s="524">
        <f t="shared" si="4"/>
        <v>0</v>
      </c>
      <c r="Y7" s="527">
        <f t="shared" si="4"/>
        <v>0</v>
      </c>
      <c r="Z7" s="528"/>
      <c r="AA7" s="529"/>
      <c r="AB7" s="530"/>
    </row>
    <row r="8" ht="24.75" customHeight="1">
      <c r="A8" s="369" t="str">
        <f>'Match Selection'!D9</f>
        <v>Telly</v>
      </c>
      <c r="B8" s="370" t="str">
        <f>vlookup(A8, 'Master Input'!$A$11:$B$27, 2, false)</f>
        <v>Drivers</v>
      </c>
      <c r="C8" s="531">
        <f>vlookup(A8,'Master Input'!$A$11:$L$27,'Master Input'!$H$28, false)</f>
        <v>2</v>
      </c>
      <c r="D8" s="532">
        <f>C8-SMALL($C$8:$C$11,1)</f>
        <v>0</v>
      </c>
      <c r="E8" s="533">
        <v>4.0</v>
      </c>
      <c r="F8" s="533">
        <v>7.0</v>
      </c>
      <c r="G8" s="533">
        <v>3.0</v>
      </c>
      <c r="H8" s="533">
        <v>7.0</v>
      </c>
      <c r="I8" s="533">
        <v>5.0</v>
      </c>
      <c r="J8" s="533">
        <v>5.0</v>
      </c>
      <c r="K8" s="533">
        <v>5.0</v>
      </c>
      <c r="L8" s="533">
        <v>4.0</v>
      </c>
      <c r="M8" s="533">
        <v>4.0</v>
      </c>
      <c r="N8" s="534">
        <f>if(M8="","", sum(E8:M8))</f>
        <v>44</v>
      </c>
      <c r="O8" s="364"/>
      <c r="P8" s="535" t="str">
        <f>A8</f>
        <v>Telly</v>
      </c>
      <c r="Q8" s="533">
        <v>5.0</v>
      </c>
      <c r="R8" s="374">
        <v>5.0</v>
      </c>
      <c r="S8" s="374">
        <v>3.0</v>
      </c>
      <c r="T8" s="533">
        <v>5.0</v>
      </c>
      <c r="U8" s="533">
        <v>5.0</v>
      </c>
      <c r="V8" s="533">
        <v>5.0</v>
      </c>
      <c r="W8" s="533">
        <v>4.0</v>
      </c>
      <c r="X8" s="533">
        <v>4.0</v>
      </c>
      <c r="Y8" s="536">
        <v>4.0</v>
      </c>
      <c r="Z8" s="537">
        <f>if(Y8="","", sum(Q8:Y8))</f>
        <v>40</v>
      </c>
      <c r="AA8" s="538">
        <f>if(Z8="", "", sum(N8,Z8))</f>
        <v>84</v>
      </c>
      <c r="AB8" s="539">
        <f>if(Y8="", "", AA8-C8)</f>
        <v>82</v>
      </c>
    </row>
    <row r="9" ht="7.5" customHeight="1">
      <c r="A9" s="540"/>
      <c r="B9" s="541"/>
      <c r="C9" s="542"/>
      <c r="D9" s="543"/>
      <c r="E9" s="404" t="str">
        <f t="shared" ref="E9:M9" si="5">if(E10=1,"O", if(E10=2,"O   O",""))</f>
        <v/>
      </c>
      <c r="F9" s="404" t="str">
        <f t="shared" si="5"/>
        <v/>
      </c>
      <c r="G9" s="404" t="str">
        <f t="shared" si="5"/>
        <v/>
      </c>
      <c r="H9" s="404" t="str">
        <f t="shared" si="5"/>
        <v>O</v>
      </c>
      <c r="I9" s="404" t="str">
        <f t="shared" si="5"/>
        <v/>
      </c>
      <c r="J9" s="404" t="str">
        <f t="shared" si="5"/>
        <v/>
      </c>
      <c r="K9" s="404" t="str">
        <f t="shared" si="5"/>
        <v/>
      </c>
      <c r="L9" s="404" t="str">
        <f t="shared" si="5"/>
        <v/>
      </c>
      <c r="M9" s="404" t="str">
        <f t="shared" si="5"/>
        <v/>
      </c>
      <c r="N9" s="544"/>
      <c r="O9" s="545"/>
      <c r="P9" s="546"/>
      <c r="Q9" s="547" t="str">
        <f t="shared" ref="Q9:Y9" si="6">if(Q10=1,"O", if(Q10=2,"O   O",""))</f>
        <v/>
      </c>
      <c r="R9" s="547" t="str">
        <f t="shared" si="6"/>
        <v/>
      </c>
      <c r="S9" s="547" t="str">
        <f t="shared" si="6"/>
        <v/>
      </c>
      <c r="T9" s="404" t="str">
        <f t="shared" si="6"/>
        <v/>
      </c>
      <c r="U9" s="404" t="str">
        <f t="shared" si="6"/>
        <v>O</v>
      </c>
      <c r="V9" s="404" t="str">
        <f t="shared" si="6"/>
        <v/>
      </c>
      <c r="W9" s="404" t="str">
        <f t="shared" si="6"/>
        <v/>
      </c>
      <c r="X9" s="404" t="str">
        <f t="shared" si="6"/>
        <v/>
      </c>
      <c r="Y9" s="548" t="str">
        <f t="shared" si="6"/>
        <v/>
      </c>
      <c r="Z9" s="549"/>
      <c r="AA9" s="550"/>
      <c r="AB9" s="551"/>
    </row>
    <row r="10" ht="22.5" hidden="1" customHeight="1">
      <c r="A10" s="410"/>
      <c r="B10" s="552"/>
      <c r="C10" s="553"/>
      <c r="D10" s="554"/>
      <c r="E10" s="555">
        <f t="shared" ref="E10:M10" si="7">IF($D11&gt;0,FLOOR($D11/18,1),0)+IF(AND(MOD($D11,18)&gt;=E$2,$D11&gt;0),1,0)-IF(E$2-18&gt;$D11,1,0)</f>
        <v>0</v>
      </c>
      <c r="F10" s="555">
        <f t="shared" si="7"/>
        <v>0</v>
      </c>
      <c r="G10" s="555">
        <f t="shared" si="7"/>
        <v>0</v>
      </c>
      <c r="H10" s="555">
        <f t="shared" si="7"/>
        <v>1</v>
      </c>
      <c r="I10" s="555">
        <f t="shared" si="7"/>
        <v>0</v>
      </c>
      <c r="J10" s="555">
        <f t="shared" si="7"/>
        <v>0</v>
      </c>
      <c r="K10" s="555">
        <f t="shared" si="7"/>
        <v>0</v>
      </c>
      <c r="L10" s="555">
        <f t="shared" si="7"/>
        <v>0</v>
      </c>
      <c r="M10" s="555">
        <f t="shared" si="7"/>
        <v>0</v>
      </c>
      <c r="N10" s="556"/>
      <c r="O10" s="557"/>
      <c r="P10" s="546"/>
      <c r="Q10" s="555">
        <f t="shared" ref="Q10:Y10" si="8">IF($D11&gt;0,FLOOR($D11/18,1),0)+IF(AND(MOD($D11,18)&gt;=Q$2,$D11&gt;0),1,0)-IF(Q$2-18&gt;$D11,1,0)</f>
        <v>0</v>
      </c>
      <c r="R10" s="555">
        <f t="shared" si="8"/>
        <v>0</v>
      </c>
      <c r="S10" s="555">
        <f t="shared" si="8"/>
        <v>0</v>
      </c>
      <c r="T10" s="555">
        <f t="shared" si="8"/>
        <v>0</v>
      </c>
      <c r="U10" s="555">
        <f t="shared" si="8"/>
        <v>1</v>
      </c>
      <c r="V10" s="555">
        <f t="shared" si="8"/>
        <v>0</v>
      </c>
      <c r="W10" s="555">
        <f t="shared" si="8"/>
        <v>0</v>
      </c>
      <c r="X10" s="555">
        <f t="shared" si="8"/>
        <v>0</v>
      </c>
      <c r="Y10" s="558">
        <f t="shared" si="8"/>
        <v>0</v>
      </c>
      <c r="Z10" s="559"/>
      <c r="AA10" s="560"/>
      <c r="AB10" s="561"/>
    </row>
    <row r="11" ht="24.75" customHeight="1">
      <c r="A11" s="429" t="str">
        <f>'Match Selection'!G9</f>
        <v>CuzNick</v>
      </c>
      <c r="B11" s="562" t="str">
        <f>vlookup(A11, 'Master Input'!$A$11:$B$27, 2, false)</f>
        <v>Irons</v>
      </c>
      <c r="C11" s="563">
        <f>vlookup(A11,'Master Input'!$A$11:$L$27,'Master Input'!$H$28, false)</f>
        <v>4</v>
      </c>
      <c r="D11" s="564">
        <f>C11-SMALL($C$8:$C$11,1)</f>
        <v>2</v>
      </c>
      <c r="E11" s="565">
        <v>5.0</v>
      </c>
      <c r="F11" s="565">
        <v>5.0</v>
      </c>
      <c r="G11" s="565">
        <v>4.0</v>
      </c>
      <c r="H11" s="565">
        <v>6.0</v>
      </c>
      <c r="I11" s="565">
        <v>4.0</v>
      </c>
      <c r="J11" s="565">
        <v>4.0</v>
      </c>
      <c r="K11" s="565">
        <v>5.0</v>
      </c>
      <c r="L11" s="565">
        <v>4.0</v>
      </c>
      <c r="M11" s="565">
        <v>5.0</v>
      </c>
      <c r="N11" s="566">
        <f>if(M11="","", sum(E11:M11))</f>
        <v>42</v>
      </c>
      <c r="O11" s="364"/>
      <c r="P11" s="567" t="str">
        <f>A11</f>
        <v>CuzNick</v>
      </c>
      <c r="Q11" s="565">
        <v>5.0</v>
      </c>
      <c r="R11" s="565">
        <v>5.0</v>
      </c>
      <c r="S11" s="565">
        <v>3.0</v>
      </c>
      <c r="T11" s="565">
        <v>5.0</v>
      </c>
      <c r="U11" s="565">
        <v>6.0</v>
      </c>
      <c r="V11" s="565">
        <v>4.0</v>
      </c>
      <c r="W11" s="565">
        <v>5.0</v>
      </c>
      <c r="X11" s="565">
        <v>4.0</v>
      </c>
      <c r="Y11" s="568">
        <v>5.0</v>
      </c>
      <c r="Z11" s="569">
        <f>if(Y11="","", sum(Q11:Y11))</f>
        <v>42</v>
      </c>
      <c r="AA11" s="570">
        <f>if(Z11="", "", sum(N11,Z11))</f>
        <v>84</v>
      </c>
      <c r="AB11" s="571">
        <f>if(Y11="", "", AA11-C11)</f>
        <v>80</v>
      </c>
    </row>
    <row r="12" ht="7.5" customHeight="1">
      <c r="A12" s="572"/>
      <c r="B12" s="573"/>
      <c r="C12" s="574"/>
      <c r="D12" s="575"/>
      <c r="E12" s="339"/>
      <c r="F12" s="339"/>
      <c r="G12" s="339"/>
      <c r="H12" s="339"/>
      <c r="I12" s="339"/>
      <c r="J12" s="339"/>
      <c r="K12" s="339"/>
      <c r="L12" s="339"/>
      <c r="M12" s="339"/>
      <c r="N12" s="340"/>
      <c r="O12" s="341"/>
      <c r="P12" s="576"/>
      <c r="Q12" s="339"/>
      <c r="R12" s="339"/>
      <c r="S12" s="339"/>
      <c r="T12" s="339"/>
      <c r="U12" s="339"/>
      <c r="V12" s="339"/>
      <c r="W12" s="339"/>
      <c r="X12" s="339"/>
      <c r="Y12" s="339"/>
      <c r="Z12" s="577"/>
      <c r="AA12" s="578"/>
      <c r="AB12" s="579"/>
    </row>
    <row r="13" ht="7.5" customHeight="1">
      <c r="A13" s="580"/>
      <c r="B13" s="581"/>
      <c r="C13" s="582"/>
      <c r="D13" s="583"/>
      <c r="E13" s="349" t="str">
        <f t="shared" ref="E13:M13" si="9">if(E14=1,"O", if(E14=2,"O   O",""))</f>
        <v/>
      </c>
      <c r="F13" s="349" t="str">
        <f t="shared" si="9"/>
        <v/>
      </c>
      <c r="G13" s="349" t="str">
        <f t="shared" si="9"/>
        <v/>
      </c>
      <c r="H13" s="349" t="str">
        <f t="shared" si="9"/>
        <v>O</v>
      </c>
      <c r="I13" s="349" t="str">
        <f t="shared" si="9"/>
        <v/>
      </c>
      <c r="J13" s="349" t="str">
        <f t="shared" si="9"/>
        <v/>
      </c>
      <c r="K13" s="349" t="str">
        <f t="shared" si="9"/>
        <v/>
      </c>
      <c r="L13" s="349" t="str">
        <f t="shared" si="9"/>
        <v/>
      </c>
      <c r="M13" s="349" t="str">
        <f t="shared" si="9"/>
        <v/>
      </c>
      <c r="N13" s="516"/>
      <c r="O13" s="351"/>
      <c r="P13" s="584"/>
      <c r="Q13" s="349" t="str">
        <f t="shared" ref="Q13:Y13" si="10">if(Q14=1,"O", if(Q14=2,"O   O",""))</f>
        <v/>
      </c>
      <c r="R13" s="349" t="str">
        <f t="shared" si="10"/>
        <v/>
      </c>
      <c r="S13" s="349" t="str">
        <f t="shared" si="10"/>
        <v/>
      </c>
      <c r="T13" s="349" t="str">
        <f t="shared" si="10"/>
        <v/>
      </c>
      <c r="U13" s="349" t="str">
        <f t="shared" si="10"/>
        <v>O</v>
      </c>
      <c r="V13" s="349" t="str">
        <f t="shared" si="10"/>
        <v/>
      </c>
      <c r="W13" s="349" t="str">
        <f t="shared" si="10"/>
        <v/>
      </c>
      <c r="X13" s="349" t="str">
        <f t="shared" si="10"/>
        <v/>
      </c>
      <c r="Y13" s="349" t="str">
        <f t="shared" si="10"/>
        <v/>
      </c>
      <c r="Z13" s="585"/>
      <c r="AA13" s="586"/>
      <c r="AB13" s="587"/>
    </row>
    <row r="14" ht="22.5" hidden="1" customHeight="1">
      <c r="A14" s="392"/>
      <c r="B14" s="357"/>
      <c r="C14" s="522"/>
      <c r="D14" s="523"/>
      <c r="E14" s="524">
        <f t="shared" ref="E14:M14" si="11">IF($D15&gt;0,FLOOR($D15/18,1),0)+IF(AND(MOD($D15,18)&gt;=E$2,$D15&gt;0),1,0)-IF(E$2-18&gt;$D15,1,0)</f>
        <v>0</v>
      </c>
      <c r="F14" s="524">
        <f t="shared" si="11"/>
        <v>0</v>
      </c>
      <c r="G14" s="524">
        <f t="shared" si="11"/>
        <v>0</v>
      </c>
      <c r="H14" s="524">
        <f t="shared" si="11"/>
        <v>1</v>
      </c>
      <c r="I14" s="524">
        <f t="shared" si="11"/>
        <v>0</v>
      </c>
      <c r="J14" s="524">
        <f t="shared" si="11"/>
        <v>0</v>
      </c>
      <c r="K14" s="524">
        <f t="shared" si="11"/>
        <v>0</v>
      </c>
      <c r="L14" s="524">
        <f t="shared" si="11"/>
        <v>0</v>
      </c>
      <c r="M14" s="524">
        <f t="shared" si="11"/>
        <v>0</v>
      </c>
      <c r="N14" s="525"/>
      <c r="O14" s="364"/>
      <c r="P14" s="380"/>
      <c r="Q14" s="524">
        <f t="shared" ref="Q14:Y14" si="12">IF($D15&gt;0,FLOOR($D15/18,1),0)+IF(AND(MOD($D15,18)&gt;=Q$2,$D15&gt;0),1,0)-IF(Q$2-18&gt;$D15,1,0)</f>
        <v>0</v>
      </c>
      <c r="R14" s="524">
        <f t="shared" si="12"/>
        <v>0</v>
      </c>
      <c r="S14" s="524">
        <f t="shared" si="12"/>
        <v>0</v>
      </c>
      <c r="T14" s="524">
        <f t="shared" si="12"/>
        <v>0</v>
      </c>
      <c r="U14" s="524">
        <f t="shared" si="12"/>
        <v>1</v>
      </c>
      <c r="V14" s="524">
        <f t="shared" si="12"/>
        <v>0</v>
      </c>
      <c r="W14" s="524">
        <f t="shared" si="12"/>
        <v>0</v>
      </c>
      <c r="X14" s="524">
        <f t="shared" si="12"/>
        <v>0</v>
      </c>
      <c r="Y14" s="524">
        <f t="shared" si="12"/>
        <v>0</v>
      </c>
      <c r="Z14" s="525"/>
      <c r="AA14" s="560"/>
      <c r="AB14" s="561"/>
    </row>
    <row r="15" ht="24.75" customHeight="1">
      <c r="A15" s="369" t="str">
        <f>'Match Selection'!D10</f>
        <v>R-Mac</v>
      </c>
      <c r="B15" s="370" t="str">
        <f>vlookup(A15, 'Master Input'!$A$11:$B$27, 2, false)</f>
        <v>Drivers</v>
      </c>
      <c r="C15" s="531">
        <f>vlookup(A15,'Master Input'!$A$11:$L$27,'Master Input'!$H$28, false)</f>
        <v>7</v>
      </c>
      <c r="D15" s="532">
        <f>C15-SMALL($C$15:$C$18,1)</f>
        <v>2</v>
      </c>
      <c r="E15" s="533">
        <v>5.0</v>
      </c>
      <c r="F15" s="533">
        <v>4.0</v>
      </c>
      <c r="G15" s="533">
        <v>2.0</v>
      </c>
      <c r="H15" s="533">
        <v>6.0</v>
      </c>
      <c r="I15" s="533">
        <v>5.0</v>
      </c>
      <c r="J15" s="533">
        <v>4.0</v>
      </c>
      <c r="K15" s="533">
        <v>7.0</v>
      </c>
      <c r="L15" s="533">
        <v>4.0</v>
      </c>
      <c r="M15" s="533">
        <v>7.0</v>
      </c>
      <c r="N15" s="534">
        <f>if(M15="","", sum(E15:M15))</f>
        <v>44</v>
      </c>
      <c r="O15" s="364"/>
      <c r="P15" s="535" t="str">
        <f>A15</f>
        <v>R-Mac</v>
      </c>
      <c r="Q15" s="533">
        <v>5.0</v>
      </c>
      <c r="R15" s="533">
        <v>4.0</v>
      </c>
      <c r="S15" s="533">
        <v>4.0</v>
      </c>
      <c r="T15" s="533">
        <v>5.0</v>
      </c>
      <c r="U15" s="533">
        <v>6.0</v>
      </c>
      <c r="V15" s="533">
        <v>4.0</v>
      </c>
      <c r="W15" s="533">
        <v>4.0</v>
      </c>
      <c r="X15" s="533">
        <v>3.0</v>
      </c>
      <c r="Y15" s="533">
        <v>5.0</v>
      </c>
      <c r="Z15" s="534">
        <f>if(Y15="","", sum(Q15:Y15))</f>
        <v>40</v>
      </c>
      <c r="AA15" s="538">
        <f>if(Z15="", "", sum(N15,Z15))</f>
        <v>84</v>
      </c>
      <c r="AB15" s="539">
        <f>if(Y15="", "", AA15-C15)</f>
        <v>77</v>
      </c>
    </row>
    <row r="16" ht="7.5" customHeight="1">
      <c r="A16" s="398"/>
      <c r="B16" s="588"/>
      <c r="C16" s="589"/>
      <c r="D16" s="590"/>
      <c r="E16" s="404" t="str">
        <f t="shared" ref="E16:M16" si="13">if(E17=1,"O", if(E17=2,"O   O",""))</f>
        <v/>
      </c>
      <c r="F16" s="404" t="str">
        <f t="shared" si="13"/>
        <v/>
      </c>
      <c r="G16" s="404" t="str">
        <f t="shared" si="13"/>
        <v/>
      </c>
      <c r="H16" s="404" t="str">
        <f t="shared" si="13"/>
        <v/>
      </c>
      <c r="I16" s="404" t="str">
        <f t="shared" si="13"/>
        <v/>
      </c>
      <c r="J16" s="404" t="str">
        <f t="shared" si="13"/>
        <v/>
      </c>
      <c r="K16" s="404" t="str">
        <f t="shared" si="13"/>
        <v/>
      </c>
      <c r="L16" s="404" t="str">
        <f t="shared" si="13"/>
        <v/>
      </c>
      <c r="M16" s="404" t="str">
        <f t="shared" si="13"/>
        <v/>
      </c>
      <c r="N16" s="544"/>
      <c r="O16" s="545"/>
      <c r="P16" s="591"/>
      <c r="Q16" s="404" t="str">
        <f t="shared" ref="Q16:Y16" si="14">if(Q17=1,"O", if(Q17=2,"O   O",""))</f>
        <v/>
      </c>
      <c r="R16" s="404" t="str">
        <f t="shared" si="14"/>
        <v/>
      </c>
      <c r="S16" s="404" t="str">
        <f t="shared" si="14"/>
        <v/>
      </c>
      <c r="T16" s="404" t="str">
        <f t="shared" si="14"/>
        <v/>
      </c>
      <c r="U16" s="404" t="str">
        <f t="shared" si="14"/>
        <v/>
      </c>
      <c r="V16" s="404" t="str">
        <f t="shared" si="14"/>
        <v/>
      </c>
      <c r="W16" s="404" t="str">
        <f t="shared" si="14"/>
        <v/>
      </c>
      <c r="X16" s="404" t="str">
        <f t="shared" si="14"/>
        <v/>
      </c>
      <c r="Y16" s="404" t="str">
        <f t="shared" si="14"/>
        <v/>
      </c>
      <c r="Z16" s="592"/>
      <c r="AA16" s="593"/>
      <c r="AB16" s="594"/>
    </row>
    <row r="17" ht="22.5" hidden="1" customHeight="1">
      <c r="A17" s="410"/>
      <c r="B17" s="552"/>
      <c r="C17" s="553"/>
      <c r="D17" s="554"/>
      <c r="E17" s="416">
        <f t="shared" ref="E17:M17" si="15">IF($D18&gt;0,FLOOR($D18/18,1),0)+IF(AND(MOD($D18,18)&gt;=E$2,$D18&gt;0),1,0)-IF(E$2-18&gt;$D18,1,0)</f>
        <v>0</v>
      </c>
      <c r="F17" s="416">
        <f t="shared" si="15"/>
        <v>0</v>
      </c>
      <c r="G17" s="416">
        <f t="shared" si="15"/>
        <v>0</v>
      </c>
      <c r="H17" s="416">
        <f t="shared" si="15"/>
        <v>0</v>
      </c>
      <c r="I17" s="416">
        <f t="shared" si="15"/>
        <v>0</v>
      </c>
      <c r="J17" s="416">
        <f t="shared" si="15"/>
        <v>0</v>
      </c>
      <c r="K17" s="416">
        <f t="shared" si="15"/>
        <v>0</v>
      </c>
      <c r="L17" s="416">
        <f t="shared" si="15"/>
        <v>0</v>
      </c>
      <c r="M17" s="416">
        <f t="shared" si="15"/>
        <v>0</v>
      </c>
      <c r="N17" s="525"/>
      <c r="O17" s="364"/>
      <c r="P17" s="540"/>
      <c r="Q17" s="416">
        <f t="shared" ref="Q17:Y17" si="16">IF($D18&gt;0,FLOOR($D18/18,1),0)+IF(AND(MOD($D18,18)&gt;=Q$2,$D18&gt;0),1,0)-IF(Q$2-18&gt;$D18,1,0)</f>
        <v>0</v>
      </c>
      <c r="R17" s="416">
        <f t="shared" si="16"/>
        <v>0</v>
      </c>
      <c r="S17" s="416">
        <f t="shared" si="16"/>
        <v>0</v>
      </c>
      <c r="T17" s="416">
        <f t="shared" si="16"/>
        <v>0</v>
      </c>
      <c r="U17" s="416">
        <f t="shared" si="16"/>
        <v>0</v>
      </c>
      <c r="V17" s="416">
        <f t="shared" si="16"/>
        <v>0</v>
      </c>
      <c r="W17" s="416">
        <f t="shared" si="16"/>
        <v>0</v>
      </c>
      <c r="X17" s="416">
        <f t="shared" si="16"/>
        <v>0</v>
      </c>
      <c r="Y17" s="416">
        <f t="shared" si="16"/>
        <v>0</v>
      </c>
      <c r="Z17" s="525"/>
      <c r="AA17" s="595"/>
      <c r="AB17" s="561"/>
    </row>
    <row r="18" ht="24.75" customHeight="1">
      <c r="A18" s="419" t="str">
        <f>'Match Selection'!G10</f>
        <v>Andy</v>
      </c>
      <c r="B18" s="596" t="str">
        <f>vlookup(A18, 'Master Input'!$A$11:$B$27, 2, false)</f>
        <v>Irons</v>
      </c>
      <c r="C18" s="597">
        <f>vlookup(A18,'Master Input'!$A$11:$L$27,'Master Input'!$H$28, false)</f>
        <v>5</v>
      </c>
      <c r="D18" s="598">
        <f>C18-SMALL($C$15:$C$18,1)</f>
        <v>0</v>
      </c>
      <c r="E18" s="599">
        <v>4.0</v>
      </c>
      <c r="F18" s="599">
        <v>4.0</v>
      </c>
      <c r="G18" s="599">
        <v>3.0</v>
      </c>
      <c r="H18" s="599">
        <v>6.0</v>
      </c>
      <c r="I18" s="599">
        <v>5.0</v>
      </c>
      <c r="J18" s="599">
        <v>4.0</v>
      </c>
      <c r="K18" s="599">
        <v>5.0</v>
      </c>
      <c r="L18" s="599">
        <v>5.0</v>
      </c>
      <c r="M18" s="599">
        <v>6.0</v>
      </c>
      <c r="N18" s="534">
        <f>if(M18="","", sum(E18:M18))</f>
        <v>42</v>
      </c>
      <c r="O18" s="364"/>
      <c r="P18" s="567" t="str">
        <f>A18</f>
        <v>Andy</v>
      </c>
      <c r="Q18" s="565">
        <v>4.0</v>
      </c>
      <c r="R18" s="565">
        <v>5.0</v>
      </c>
      <c r="S18" s="565">
        <v>5.0</v>
      </c>
      <c r="T18" s="565">
        <v>4.0</v>
      </c>
      <c r="U18" s="565">
        <v>8.0</v>
      </c>
      <c r="V18" s="565">
        <v>4.0</v>
      </c>
      <c r="W18" s="565">
        <v>4.0</v>
      </c>
      <c r="X18" s="565">
        <v>3.0</v>
      </c>
      <c r="Y18" s="565">
        <v>8.0</v>
      </c>
      <c r="Z18" s="566">
        <f>if(Y18="","", sum(Q18:Y18))</f>
        <v>45</v>
      </c>
      <c r="AA18" s="570">
        <f>if(Z18="", "", sum(N18,Z18))</f>
        <v>87</v>
      </c>
      <c r="AB18" s="571">
        <f>if(Y18="", "", AA18-C18)</f>
        <v>82</v>
      </c>
    </row>
    <row r="19" ht="11.25" customHeight="1">
      <c r="A19" s="441"/>
      <c r="B19" s="441"/>
      <c r="C19" s="442"/>
      <c r="D19" s="443"/>
      <c r="E19" s="441"/>
      <c r="F19" s="441"/>
      <c r="G19" s="441"/>
      <c r="H19" s="441"/>
      <c r="I19" s="441"/>
      <c r="J19" s="441"/>
      <c r="K19" s="441"/>
      <c r="L19" s="441"/>
      <c r="M19" s="441"/>
      <c r="N19" s="600" t="s">
        <v>7</v>
      </c>
      <c r="O19" s="445"/>
      <c r="P19" s="601"/>
      <c r="Q19" s="601"/>
      <c r="R19" s="601"/>
      <c r="S19" s="601"/>
      <c r="T19" s="601"/>
      <c r="U19" s="601"/>
      <c r="V19" s="601"/>
      <c r="W19" s="601"/>
      <c r="X19" s="601"/>
      <c r="Y19" s="601"/>
      <c r="Z19" s="602"/>
      <c r="AA19" s="603"/>
      <c r="AB19" s="604" t="s">
        <v>64</v>
      </c>
    </row>
    <row r="20" ht="24.75" customHeight="1">
      <c r="A20" s="605" t="str">
        <f>B8&amp;" Top"</f>
        <v>Drivers Top</v>
      </c>
      <c r="B20" s="606" t="s">
        <v>77</v>
      </c>
      <c r="C20" s="607"/>
      <c r="D20" s="608"/>
      <c r="E20" s="609">
        <f>if(E28="","",E28)</f>
        <v>1</v>
      </c>
      <c r="F20" s="610">
        <f t="shared" ref="F20:M20" si="17">if(F28="","",F28+E20)</f>
        <v>0</v>
      </c>
      <c r="G20" s="610">
        <f t="shared" si="17"/>
        <v>1</v>
      </c>
      <c r="H20" s="610">
        <f t="shared" si="17"/>
        <v>0</v>
      </c>
      <c r="I20" s="610">
        <f t="shared" si="17"/>
        <v>-1</v>
      </c>
      <c r="J20" s="610">
        <f t="shared" si="17"/>
        <v>-2</v>
      </c>
      <c r="K20" s="610">
        <f t="shared" si="17"/>
        <v>-2</v>
      </c>
      <c r="L20" s="610">
        <f t="shared" si="17"/>
        <v>-2</v>
      </c>
      <c r="M20" s="610">
        <f t="shared" si="17"/>
        <v>-1</v>
      </c>
      <c r="N20" s="611">
        <f>if(M20="", "", if(M20&lt;0, 0, if(M20&gt;0, vlookup($B$2,'Master Input'!$O$12:$R$23,'Master Input'!P$11,false), vlookup($B$2,'Master Input'!$O$12:$R$23,'Master Input'!P$11,false)*0.5)))</f>
        <v>0</v>
      </c>
      <c r="O20" s="612"/>
      <c r="P20" s="613" t="s">
        <v>78</v>
      </c>
      <c r="Q20" s="614">
        <f>if(Q28="","",Q28+M20)</f>
        <v>-1</v>
      </c>
      <c r="R20" s="615">
        <f t="shared" ref="R20:Y20" si="18">if(R28="","",R28+Q20)</f>
        <v>-1</v>
      </c>
      <c r="S20" s="615">
        <f t="shared" si="18"/>
        <v>-1</v>
      </c>
      <c r="T20" s="615">
        <f t="shared" si="18"/>
        <v>-1</v>
      </c>
      <c r="U20" s="615">
        <f t="shared" si="18"/>
        <v>-1</v>
      </c>
      <c r="V20" s="615">
        <f t="shared" si="18"/>
        <v>-2</v>
      </c>
      <c r="W20" s="615">
        <f t="shared" si="18"/>
        <v>-1</v>
      </c>
      <c r="X20" s="615">
        <f t="shared" si="18"/>
        <v>-1</v>
      </c>
      <c r="Y20" s="615">
        <f t="shared" si="18"/>
        <v>0</v>
      </c>
      <c r="Z20" s="616">
        <f>if(Y20="", "", if(Y20&lt;0, 0, if(Y20&gt;0, vlookup($B$2,'Master Input'!$O$12:$R$23,'Master Input'!R$11,false), vlookup($B$2,'Master Input'!$O$12:$R$23,'Master Input'!R$11,false)*0.5)))</f>
        <v>0.5</v>
      </c>
      <c r="AA20" s="617" t="s">
        <v>78</v>
      </c>
      <c r="AB20" s="618">
        <f>if(Z20="","", sum(N20,Z20,Z21))</f>
        <v>1.5</v>
      </c>
    </row>
    <row r="21" ht="24.75" customHeight="1">
      <c r="A21" s="619"/>
      <c r="B21" s="620"/>
      <c r="C21" s="621"/>
      <c r="D21" s="622"/>
      <c r="E21" s="623"/>
      <c r="F21" s="623"/>
      <c r="G21" s="623"/>
      <c r="H21" s="623"/>
      <c r="I21" s="623"/>
      <c r="J21" s="623"/>
      <c r="K21" s="623"/>
      <c r="L21" s="623"/>
      <c r="M21" s="623"/>
      <c r="N21" s="622"/>
      <c r="O21" s="612"/>
      <c r="P21" s="624" t="s">
        <v>79</v>
      </c>
      <c r="Q21" s="625">
        <f>if(Q28="","",Q28)</f>
        <v>0</v>
      </c>
      <c r="R21" s="626">
        <f t="shared" ref="R21:Y21" si="19">if(R28="","",R28+Q21)</f>
        <v>0</v>
      </c>
      <c r="S21" s="626">
        <f t="shared" si="19"/>
        <v>0</v>
      </c>
      <c r="T21" s="626">
        <f t="shared" si="19"/>
        <v>0</v>
      </c>
      <c r="U21" s="626">
        <f t="shared" si="19"/>
        <v>0</v>
      </c>
      <c r="V21" s="626">
        <f t="shared" si="19"/>
        <v>-1</v>
      </c>
      <c r="W21" s="626">
        <f t="shared" si="19"/>
        <v>0</v>
      </c>
      <c r="X21" s="626">
        <f t="shared" si="19"/>
        <v>0</v>
      </c>
      <c r="Y21" s="626">
        <f t="shared" si="19"/>
        <v>1</v>
      </c>
      <c r="Z21" s="627">
        <f>if(Y21="", "", if(Y21&lt;0, 0, if(Y21&gt;0, vlookup($B$2,'Master Input'!$O$12:$R$23,'Master Input'!Q$11,false), vlookup($B$2,'Master Input'!$O$12:$R$23,'Master Input'!Q$11,false)*0.5)))</f>
        <v>1</v>
      </c>
      <c r="AA21" s="617" t="s">
        <v>79</v>
      </c>
      <c r="AB21" s="469">
        <f>if(AB20="","",vlookup($B$2,'Master Input'!$O$12:$R$23,2,false)+vlookup($B$2,'Master Input'!$O$12:$R$23,3,false)+vlookup($B$2,'Master Input'!$O$12:$R$23,4,false)-AB20)</f>
        <v>1.5</v>
      </c>
    </row>
    <row r="22" ht="11.25" customHeight="1">
      <c r="A22" s="628"/>
      <c r="B22" s="628"/>
      <c r="C22" s="629"/>
      <c r="D22" s="630"/>
      <c r="E22" s="631"/>
      <c r="F22" s="631"/>
      <c r="G22" s="631"/>
      <c r="H22" s="631"/>
      <c r="I22" s="631"/>
      <c r="J22" s="631"/>
      <c r="K22" s="631"/>
      <c r="L22" s="631"/>
      <c r="M22" s="631"/>
      <c r="N22" s="632" t="s">
        <v>7</v>
      </c>
      <c r="O22" s="612"/>
      <c r="P22" s="633"/>
      <c r="Q22" s="631"/>
      <c r="R22" s="631"/>
      <c r="S22" s="631"/>
      <c r="T22" s="631"/>
      <c r="U22" s="631"/>
      <c r="V22" s="631"/>
      <c r="W22" s="631"/>
      <c r="X22" s="631"/>
      <c r="Y22" s="631"/>
      <c r="Z22" s="634"/>
      <c r="AA22" s="635"/>
      <c r="AB22" s="636" t="s">
        <v>64</v>
      </c>
    </row>
    <row r="23" ht="24.75" customHeight="1">
      <c r="A23" s="637" t="str">
        <f>B8&amp;" Bottom"</f>
        <v>Drivers Bottom</v>
      </c>
      <c r="B23" s="638" t="s">
        <v>80</v>
      </c>
      <c r="C23" s="639"/>
      <c r="D23" s="640"/>
      <c r="E23" s="641">
        <f>if(E31="","",E31)</f>
        <v>-1</v>
      </c>
      <c r="F23" s="642">
        <f t="shared" ref="F23:M23" si="20">if(F31="","",F31+E23)</f>
        <v>-1</v>
      </c>
      <c r="G23" s="642">
        <f t="shared" si="20"/>
        <v>0</v>
      </c>
      <c r="H23" s="642">
        <f t="shared" si="20"/>
        <v>1</v>
      </c>
      <c r="I23" s="642">
        <f t="shared" si="20"/>
        <v>1</v>
      </c>
      <c r="J23" s="642">
        <f t="shared" si="20"/>
        <v>1</v>
      </c>
      <c r="K23" s="642">
        <f t="shared" si="20"/>
        <v>0</v>
      </c>
      <c r="L23" s="642">
        <f t="shared" si="20"/>
        <v>1</v>
      </c>
      <c r="M23" s="643">
        <f t="shared" si="20"/>
        <v>0</v>
      </c>
      <c r="N23" s="644">
        <f>if(M23="", "", if(M23&lt;0, 0, if(M23&gt;0, vlookup($B$2,'Master Input'!$O$12:$R$23,'Master Input'!P$11,false), vlookup($B$2,'Master Input'!$O$12:$R$23,'Master Input'!P$11,false)*0.5)))</f>
        <v>0.5</v>
      </c>
      <c r="O23" s="612"/>
      <c r="P23" s="613" t="s">
        <v>81</v>
      </c>
      <c r="Q23" s="614">
        <f>if(Q31="","",Q31+M23)</f>
        <v>-1</v>
      </c>
      <c r="R23" s="615">
        <f t="shared" ref="R23:Y23" si="21">if(R31="","",R31+Q23)</f>
        <v>0</v>
      </c>
      <c r="S23" s="615">
        <f t="shared" si="21"/>
        <v>1</v>
      </c>
      <c r="T23" s="615">
        <f t="shared" si="21"/>
        <v>0</v>
      </c>
      <c r="U23" s="615">
        <f t="shared" si="21"/>
        <v>1</v>
      </c>
      <c r="V23" s="615">
        <f t="shared" si="21"/>
        <v>1</v>
      </c>
      <c r="W23" s="615">
        <f t="shared" si="21"/>
        <v>1</v>
      </c>
      <c r="X23" s="615">
        <f t="shared" si="21"/>
        <v>1</v>
      </c>
      <c r="Y23" s="615">
        <f t="shared" si="21"/>
        <v>2</v>
      </c>
      <c r="Z23" s="616">
        <f>if(Y23="", "", if(Y23&lt;0, 0, if(Y23&gt;0, vlookup($B$2,'Master Input'!$O$12:$R$23,'Master Input'!R$11,false), vlookup($B$2,'Master Input'!$O$12:$R$23,'Master Input'!R$11,false)*0.5)))</f>
        <v>1</v>
      </c>
      <c r="AA23" s="617" t="s">
        <v>81</v>
      </c>
      <c r="AB23" s="618">
        <f>if(Z23="","", sum(N23,Z23,Z24))</f>
        <v>2.5</v>
      </c>
    </row>
    <row r="24" ht="24.75" customHeight="1">
      <c r="A24" s="645"/>
      <c r="B24" s="646"/>
      <c r="C24" s="463"/>
      <c r="D24" s="462"/>
      <c r="E24" s="464"/>
      <c r="F24" s="464"/>
      <c r="G24" s="464"/>
      <c r="H24" s="464"/>
      <c r="I24" s="464"/>
      <c r="J24" s="464"/>
      <c r="K24" s="464"/>
      <c r="L24" s="464"/>
      <c r="M24" s="464"/>
      <c r="N24" s="462"/>
      <c r="O24" s="612"/>
      <c r="P24" s="624" t="s">
        <v>82</v>
      </c>
      <c r="Q24" s="625">
        <f>if(Q31="","",Q31)</f>
        <v>-1</v>
      </c>
      <c r="R24" s="626">
        <f t="shared" ref="R24:Y24" si="22">if(R31="","",R31+Q24)</f>
        <v>0</v>
      </c>
      <c r="S24" s="626">
        <f t="shared" si="22"/>
        <v>1</v>
      </c>
      <c r="T24" s="626">
        <f t="shared" si="22"/>
        <v>0</v>
      </c>
      <c r="U24" s="626">
        <f t="shared" si="22"/>
        <v>1</v>
      </c>
      <c r="V24" s="626">
        <f t="shared" si="22"/>
        <v>1</v>
      </c>
      <c r="W24" s="626">
        <f t="shared" si="22"/>
        <v>1</v>
      </c>
      <c r="X24" s="626">
        <f t="shared" si="22"/>
        <v>1</v>
      </c>
      <c r="Y24" s="626">
        <f t="shared" si="22"/>
        <v>2</v>
      </c>
      <c r="Z24" s="627">
        <f>if(Y24="", "", if(Y24&lt;0, 0, if(Y24&gt;0, vlookup($B$2,'Master Input'!$O$12:$R$23,'Master Input'!Q$11,false), vlookup($B$2,'Master Input'!$O$12:$R$23,'Master Input'!Q$11,false)*0.5)))</f>
        <v>1</v>
      </c>
      <c r="AA24" s="617" t="s">
        <v>82</v>
      </c>
      <c r="AB24" s="469">
        <f>if(AB23="","",vlookup($B$2,'Master Input'!$O$12:$R$23,2,false)+vlookup($B$2,'Master Input'!$O$12:$R$23,3,false)+vlookup($B$2,'Master Input'!$O$12:$R$23,4,false)-AB23)</f>
        <v>0.5</v>
      </c>
    </row>
    <row r="25" ht="22.5" customHeight="1">
      <c r="A25" s="462"/>
      <c r="B25" s="462"/>
      <c r="C25" s="463"/>
      <c r="D25" s="462"/>
      <c r="E25" s="464"/>
      <c r="F25" s="464"/>
      <c r="G25" s="464"/>
      <c r="H25" s="464"/>
      <c r="I25" s="464"/>
      <c r="J25" s="464"/>
      <c r="K25" s="464"/>
      <c r="L25" s="464"/>
      <c r="M25" s="464"/>
      <c r="N25" s="462"/>
      <c r="O25" s="455"/>
      <c r="P25" s="647"/>
      <c r="Q25" s="647"/>
      <c r="R25" s="647"/>
      <c r="S25" s="647"/>
      <c r="T25" s="647"/>
      <c r="U25" s="647"/>
      <c r="V25" s="647"/>
      <c r="W25" s="647"/>
      <c r="X25" s="647"/>
      <c r="Y25" s="647"/>
      <c r="Z25" s="647"/>
      <c r="AA25" s="648"/>
      <c r="AB25" s="462"/>
    </row>
    <row r="26" ht="22.5" customHeight="1">
      <c r="A26" s="649"/>
      <c r="B26" s="649"/>
      <c r="C26" s="650"/>
      <c r="D26" s="649"/>
      <c r="E26" s="651"/>
      <c r="F26" s="651"/>
      <c r="G26" s="651"/>
      <c r="H26" s="651"/>
      <c r="I26" s="651"/>
      <c r="J26" s="651"/>
      <c r="K26" s="651"/>
      <c r="L26" s="651"/>
      <c r="M26" s="651"/>
      <c r="N26" s="649"/>
      <c r="O26" s="472"/>
      <c r="P26" s="473"/>
      <c r="Q26" s="473"/>
      <c r="R26" s="473"/>
      <c r="S26" s="473"/>
      <c r="T26" s="473"/>
      <c r="U26" s="473"/>
      <c r="V26" s="473"/>
      <c r="W26" s="473"/>
      <c r="X26" s="473"/>
      <c r="Y26" s="473"/>
      <c r="Z26" s="473"/>
      <c r="AA26" s="652" t="s">
        <v>68</v>
      </c>
      <c r="AB26" s="653" t="s">
        <v>69</v>
      </c>
    </row>
    <row r="27" ht="22.5" customHeight="1">
      <c r="A27" s="649"/>
      <c r="B27" s="649"/>
      <c r="C27" s="650"/>
      <c r="D27" s="649"/>
      <c r="E27" s="651"/>
      <c r="F27" s="651"/>
      <c r="G27" s="651"/>
      <c r="H27" s="651"/>
      <c r="I27" s="651"/>
      <c r="J27" s="651"/>
      <c r="K27" s="651"/>
      <c r="L27" s="651"/>
      <c r="M27" s="651"/>
      <c r="N27" s="649"/>
      <c r="O27" s="472"/>
      <c r="P27" s="473"/>
      <c r="Q27" s="473"/>
      <c r="R27" s="473"/>
      <c r="S27" s="473"/>
      <c r="T27" s="473"/>
      <c r="U27" s="473"/>
      <c r="V27" s="473"/>
      <c r="W27" s="473"/>
      <c r="X27" s="473"/>
      <c r="Y27" s="473"/>
      <c r="Z27" s="473"/>
      <c r="AA27" s="652" t="s">
        <v>72</v>
      </c>
      <c r="AB27" s="653" t="s">
        <v>73</v>
      </c>
    </row>
    <row r="28" ht="22.5" customHeight="1">
      <c r="A28" s="654"/>
      <c r="B28" s="655" t="str">
        <f>B20</f>
        <v>Top - Front</v>
      </c>
      <c r="C28" s="656"/>
      <c r="D28" s="655"/>
      <c r="E28" s="657">
        <f t="shared" ref="E28:M28" si="23">if(and(E8="", E11=""), "",if(E8-E7&lt;E11-E10,1,if(E8-E7&gt;E11-E10,-1,0)))</f>
        <v>1</v>
      </c>
      <c r="F28" s="657">
        <f t="shared" si="23"/>
        <v>-1</v>
      </c>
      <c r="G28" s="657">
        <f t="shared" si="23"/>
        <v>1</v>
      </c>
      <c r="H28" s="657">
        <f t="shared" si="23"/>
        <v>-1</v>
      </c>
      <c r="I28" s="657">
        <f t="shared" si="23"/>
        <v>-1</v>
      </c>
      <c r="J28" s="657">
        <f t="shared" si="23"/>
        <v>-1</v>
      </c>
      <c r="K28" s="657">
        <f t="shared" si="23"/>
        <v>0</v>
      </c>
      <c r="L28" s="657">
        <f t="shared" si="23"/>
        <v>0</v>
      </c>
      <c r="M28" s="657">
        <f t="shared" si="23"/>
        <v>1</v>
      </c>
      <c r="N28" s="655">
        <f>sum(N29:N30)</f>
        <v>9</v>
      </c>
      <c r="O28" s="658"/>
      <c r="P28" s="658"/>
      <c r="Q28" s="657">
        <f t="shared" ref="Q28:Y28" si="24">if(and(Q8="", Q11=""), "",if(Q8-Q7&lt;Q11-Q10,1,if(Q8-Q7&gt;Q11-Q10,-1,0)))</f>
        <v>0</v>
      </c>
      <c r="R28" s="657">
        <f t="shared" si="24"/>
        <v>0</v>
      </c>
      <c r="S28" s="657">
        <f t="shared" si="24"/>
        <v>0</v>
      </c>
      <c r="T28" s="657">
        <f t="shared" si="24"/>
        <v>0</v>
      </c>
      <c r="U28" s="657">
        <f t="shared" si="24"/>
        <v>0</v>
      </c>
      <c r="V28" s="657">
        <f t="shared" si="24"/>
        <v>-1</v>
      </c>
      <c r="W28" s="657">
        <f t="shared" si="24"/>
        <v>1</v>
      </c>
      <c r="X28" s="657">
        <f t="shared" si="24"/>
        <v>0</v>
      </c>
      <c r="Y28" s="657">
        <f t="shared" si="24"/>
        <v>1</v>
      </c>
      <c r="Z28" s="655">
        <f>sum(Z29:Z30)</f>
        <v>9</v>
      </c>
      <c r="AA28" s="659">
        <f>sum(Z28,N28)</f>
        <v>18</v>
      </c>
      <c r="AB28" s="660"/>
    </row>
    <row r="29" ht="22.5" customHeight="1">
      <c r="A29" s="649" t="str">
        <f>A8</f>
        <v>Telly</v>
      </c>
      <c r="B29" s="649"/>
      <c r="C29" s="650"/>
      <c r="D29" s="649"/>
      <c r="E29" s="651">
        <f t="shared" ref="E29:M29" si="25">if(E28="","",(E28+1)/2)</f>
        <v>1</v>
      </c>
      <c r="F29" s="651">
        <f t="shared" si="25"/>
        <v>0</v>
      </c>
      <c r="G29" s="651">
        <f t="shared" si="25"/>
        <v>1</v>
      </c>
      <c r="H29" s="651">
        <f t="shared" si="25"/>
        <v>0</v>
      </c>
      <c r="I29" s="651">
        <f t="shared" si="25"/>
        <v>0</v>
      </c>
      <c r="J29" s="651">
        <f t="shared" si="25"/>
        <v>0</v>
      </c>
      <c r="K29" s="651">
        <f t="shared" si="25"/>
        <v>0.5</v>
      </c>
      <c r="L29" s="651">
        <f t="shared" si="25"/>
        <v>0.5</v>
      </c>
      <c r="M29" s="651">
        <f t="shared" si="25"/>
        <v>1</v>
      </c>
      <c r="N29" s="649">
        <f>if(M28="","",sum(E29:M29))</f>
        <v>4</v>
      </c>
      <c r="O29" s="473"/>
      <c r="P29" s="473"/>
      <c r="Q29" s="651">
        <f t="shared" ref="Q29:Y29" si="26">if(Q28="","",(Q28+1)/2)</f>
        <v>0.5</v>
      </c>
      <c r="R29" s="651">
        <f t="shared" si="26"/>
        <v>0.5</v>
      </c>
      <c r="S29" s="651">
        <f t="shared" si="26"/>
        <v>0.5</v>
      </c>
      <c r="T29" s="651">
        <f t="shared" si="26"/>
        <v>0.5</v>
      </c>
      <c r="U29" s="651">
        <f t="shared" si="26"/>
        <v>0.5</v>
      </c>
      <c r="V29" s="651">
        <f t="shared" si="26"/>
        <v>0</v>
      </c>
      <c r="W29" s="651">
        <f t="shared" si="26"/>
        <v>1</v>
      </c>
      <c r="X29" s="651">
        <f t="shared" si="26"/>
        <v>0.5</v>
      </c>
      <c r="Y29" s="651">
        <f t="shared" si="26"/>
        <v>1</v>
      </c>
      <c r="Z29" s="649">
        <f>if(Y28="","",sum(Q29:Y29))</f>
        <v>5</v>
      </c>
      <c r="AA29" s="661">
        <f>if(Y28="","",sum(Z29,N29))</f>
        <v>9</v>
      </c>
      <c r="AB29" s="662">
        <f>if(Y28="","",AB20)</f>
        <v>1.5</v>
      </c>
    </row>
    <row r="30" ht="22.5" customHeight="1">
      <c r="A30" s="649" t="str">
        <f>A11</f>
        <v>CuzNick</v>
      </c>
      <c r="B30" s="649"/>
      <c r="C30" s="650"/>
      <c r="D30" s="649"/>
      <c r="E30" s="651">
        <f t="shared" ref="E30:M30" si="27">if(E28="","",1-E29)</f>
        <v>0</v>
      </c>
      <c r="F30" s="651">
        <f t="shared" si="27"/>
        <v>1</v>
      </c>
      <c r="G30" s="651">
        <f t="shared" si="27"/>
        <v>0</v>
      </c>
      <c r="H30" s="651">
        <f t="shared" si="27"/>
        <v>1</v>
      </c>
      <c r="I30" s="651">
        <f t="shared" si="27"/>
        <v>1</v>
      </c>
      <c r="J30" s="651">
        <f t="shared" si="27"/>
        <v>1</v>
      </c>
      <c r="K30" s="651">
        <f t="shared" si="27"/>
        <v>0.5</v>
      </c>
      <c r="L30" s="651">
        <f t="shared" si="27"/>
        <v>0.5</v>
      </c>
      <c r="M30" s="651">
        <f t="shared" si="27"/>
        <v>0</v>
      </c>
      <c r="N30" s="649">
        <f>if(M28="","",sum(E30:M30))</f>
        <v>5</v>
      </c>
      <c r="O30" s="473"/>
      <c r="P30" s="473"/>
      <c r="Q30" s="651">
        <f t="shared" ref="Q30:Y30" si="28">if(Q28="","",1-Q29)</f>
        <v>0.5</v>
      </c>
      <c r="R30" s="651">
        <f t="shared" si="28"/>
        <v>0.5</v>
      </c>
      <c r="S30" s="651">
        <f t="shared" si="28"/>
        <v>0.5</v>
      </c>
      <c r="T30" s="651">
        <f t="shared" si="28"/>
        <v>0.5</v>
      </c>
      <c r="U30" s="651">
        <f t="shared" si="28"/>
        <v>0.5</v>
      </c>
      <c r="V30" s="651">
        <f t="shared" si="28"/>
        <v>1</v>
      </c>
      <c r="W30" s="651">
        <f t="shared" si="28"/>
        <v>0</v>
      </c>
      <c r="X30" s="651">
        <f t="shared" si="28"/>
        <v>0.5</v>
      </c>
      <c r="Y30" s="651">
        <f t="shared" si="28"/>
        <v>0</v>
      </c>
      <c r="Z30" s="649">
        <f>if(Y28="","",sum(Q30:Y30))</f>
        <v>4</v>
      </c>
      <c r="AA30" s="661">
        <f>if(Y28="","",sum(Z30,N30))</f>
        <v>9</v>
      </c>
      <c r="AB30" s="662">
        <f>if(Y28="","",3-AB20)</f>
        <v>1.5</v>
      </c>
    </row>
    <row r="31" ht="22.5" customHeight="1">
      <c r="A31" s="660"/>
      <c r="B31" s="655" t="str">
        <f>B23</f>
        <v>Bottom - Front</v>
      </c>
      <c r="C31" s="656"/>
      <c r="D31" s="655"/>
      <c r="E31" s="657">
        <f t="shared" ref="E31:M31" si="29">if(and(E15="", E18=""), "",if(E15-E14&lt;E18-E17,1,if(E15-E14&gt;E18-E17,-1,0)))</f>
        <v>-1</v>
      </c>
      <c r="F31" s="657">
        <f t="shared" si="29"/>
        <v>0</v>
      </c>
      <c r="G31" s="657">
        <f t="shared" si="29"/>
        <v>1</v>
      </c>
      <c r="H31" s="657">
        <f t="shared" si="29"/>
        <v>1</v>
      </c>
      <c r="I31" s="657">
        <f t="shared" si="29"/>
        <v>0</v>
      </c>
      <c r="J31" s="657">
        <f t="shared" si="29"/>
        <v>0</v>
      </c>
      <c r="K31" s="657">
        <f t="shared" si="29"/>
        <v>-1</v>
      </c>
      <c r="L31" s="657">
        <f t="shared" si="29"/>
        <v>1</v>
      </c>
      <c r="M31" s="657">
        <f t="shared" si="29"/>
        <v>-1</v>
      </c>
      <c r="N31" s="655">
        <f>sum(N32:N33)</f>
        <v>9</v>
      </c>
      <c r="O31" s="658"/>
      <c r="P31" s="658"/>
      <c r="Q31" s="657">
        <f t="shared" ref="Q31:Y31" si="30">if(and(Q15="", Q18=""), "",if(Q15-Q14&lt;Q18-Q17,1,if(Q15-Q14&gt;Q18-Q17,-1,0)))</f>
        <v>-1</v>
      </c>
      <c r="R31" s="657">
        <f t="shared" si="30"/>
        <v>1</v>
      </c>
      <c r="S31" s="657">
        <f t="shared" si="30"/>
        <v>1</v>
      </c>
      <c r="T31" s="657">
        <f t="shared" si="30"/>
        <v>-1</v>
      </c>
      <c r="U31" s="657">
        <f t="shared" si="30"/>
        <v>1</v>
      </c>
      <c r="V31" s="657">
        <f t="shared" si="30"/>
        <v>0</v>
      </c>
      <c r="W31" s="657">
        <f t="shared" si="30"/>
        <v>0</v>
      </c>
      <c r="X31" s="657">
        <f t="shared" si="30"/>
        <v>0</v>
      </c>
      <c r="Y31" s="657">
        <f t="shared" si="30"/>
        <v>1</v>
      </c>
      <c r="Z31" s="655">
        <f>sum(Z32:Z33)</f>
        <v>9</v>
      </c>
      <c r="AA31" s="659">
        <f>sum(Z31,N31)</f>
        <v>18</v>
      </c>
      <c r="AB31" s="655"/>
    </row>
    <row r="32" ht="22.5" customHeight="1">
      <c r="A32" s="649" t="str">
        <f>A15</f>
        <v>R-Mac</v>
      </c>
      <c r="B32" s="649"/>
      <c r="C32" s="650"/>
      <c r="D32" s="649"/>
      <c r="E32" s="651">
        <f t="shared" ref="E32:M32" si="31">if(E31="","",(E31+1)/2)</f>
        <v>0</v>
      </c>
      <c r="F32" s="651">
        <f t="shared" si="31"/>
        <v>0.5</v>
      </c>
      <c r="G32" s="651">
        <f t="shared" si="31"/>
        <v>1</v>
      </c>
      <c r="H32" s="651">
        <f t="shared" si="31"/>
        <v>1</v>
      </c>
      <c r="I32" s="651">
        <f t="shared" si="31"/>
        <v>0.5</v>
      </c>
      <c r="J32" s="651">
        <f t="shared" si="31"/>
        <v>0.5</v>
      </c>
      <c r="K32" s="651">
        <f t="shared" si="31"/>
        <v>0</v>
      </c>
      <c r="L32" s="651">
        <f t="shared" si="31"/>
        <v>1</v>
      </c>
      <c r="M32" s="651">
        <f t="shared" si="31"/>
        <v>0</v>
      </c>
      <c r="N32" s="649">
        <f>if(M31="","",sum(E32:M32))</f>
        <v>4.5</v>
      </c>
      <c r="O32" s="472"/>
      <c r="P32" s="473"/>
      <c r="Q32" s="651">
        <f t="shared" ref="Q32:Y32" si="32">if(Q31="","",(Q31+1)/2)</f>
        <v>0</v>
      </c>
      <c r="R32" s="651">
        <f t="shared" si="32"/>
        <v>1</v>
      </c>
      <c r="S32" s="651">
        <f t="shared" si="32"/>
        <v>1</v>
      </c>
      <c r="T32" s="651">
        <f t="shared" si="32"/>
        <v>0</v>
      </c>
      <c r="U32" s="651">
        <f t="shared" si="32"/>
        <v>1</v>
      </c>
      <c r="V32" s="651">
        <f t="shared" si="32"/>
        <v>0.5</v>
      </c>
      <c r="W32" s="651">
        <f t="shared" si="32"/>
        <v>0.5</v>
      </c>
      <c r="X32" s="651">
        <f t="shared" si="32"/>
        <v>0.5</v>
      </c>
      <c r="Y32" s="651">
        <f t="shared" si="32"/>
        <v>1</v>
      </c>
      <c r="Z32" s="649">
        <f>if(Y31="","",sum(Q32:Y32))</f>
        <v>5.5</v>
      </c>
      <c r="AA32" s="661">
        <f>if(Y28="","",sum(Z32,N32))</f>
        <v>10</v>
      </c>
      <c r="AB32" s="662">
        <f>if(Y28="","",AB23)</f>
        <v>2.5</v>
      </c>
    </row>
    <row r="33" ht="22.5" customHeight="1">
      <c r="A33" s="649" t="str">
        <f>A18</f>
        <v>Andy</v>
      </c>
      <c r="B33" s="649"/>
      <c r="C33" s="650"/>
      <c r="D33" s="649"/>
      <c r="E33" s="651">
        <f t="shared" ref="E33:M33" si="33">if(E31="","",1-E32)</f>
        <v>1</v>
      </c>
      <c r="F33" s="651">
        <f t="shared" si="33"/>
        <v>0.5</v>
      </c>
      <c r="G33" s="651">
        <f t="shared" si="33"/>
        <v>0</v>
      </c>
      <c r="H33" s="651">
        <f t="shared" si="33"/>
        <v>0</v>
      </c>
      <c r="I33" s="651">
        <f t="shared" si="33"/>
        <v>0.5</v>
      </c>
      <c r="J33" s="651">
        <f t="shared" si="33"/>
        <v>0.5</v>
      </c>
      <c r="K33" s="651">
        <f t="shared" si="33"/>
        <v>1</v>
      </c>
      <c r="L33" s="651">
        <f t="shared" si="33"/>
        <v>0</v>
      </c>
      <c r="M33" s="651">
        <f t="shared" si="33"/>
        <v>1</v>
      </c>
      <c r="N33" s="649">
        <f>if(M31="","",sum(E33:M33))</f>
        <v>4.5</v>
      </c>
      <c r="O33" s="472"/>
      <c r="P33" s="473"/>
      <c r="Q33" s="651">
        <f t="shared" ref="Q33:Y33" si="34">if(Q31="","",1-Q32)</f>
        <v>1</v>
      </c>
      <c r="R33" s="651">
        <f t="shared" si="34"/>
        <v>0</v>
      </c>
      <c r="S33" s="651">
        <f t="shared" si="34"/>
        <v>0</v>
      </c>
      <c r="T33" s="651">
        <f t="shared" si="34"/>
        <v>1</v>
      </c>
      <c r="U33" s="651">
        <f t="shared" si="34"/>
        <v>0</v>
      </c>
      <c r="V33" s="651">
        <f t="shared" si="34"/>
        <v>0.5</v>
      </c>
      <c r="W33" s="651">
        <f t="shared" si="34"/>
        <v>0.5</v>
      </c>
      <c r="X33" s="651">
        <f t="shared" si="34"/>
        <v>0.5</v>
      </c>
      <c r="Y33" s="651">
        <f t="shared" si="34"/>
        <v>0</v>
      </c>
      <c r="Z33" s="649">
        <f>if(Y31="","",sum(Q33:Y33))</f>
        <v>3.5</v>
      </c>
      <c r="AA33" s="661">
        <f>if(Y28="","",sum(Z33,N33))</f>
        <v>8</v>
      </c>
      <c r="AB33" s="662">
        <f>if(Y28="","",3-AB23)</f>
        <v>0.5</v>
      </c>
    </row>
    <row r="34" ht="22.5" customHeight="1">
      <c r="A34" s="649"/>
      <c r="B34" s="649"/>
      <c r="C34" s="650"/>
      <c r="D34" s="649"/>
      <c r="E34" s="649">
        <f t="shared" ref="E34:N34" si="35">sum(E29:E30,E32:E33)</f>
        <v>2</v>
      </c>
      <c r="F34" s="649">
        <f t="shared" si="35"/>
        <v>2</v>
      </c>
      <c r="G34" s="649">
        <f t="shared" si="35"/>
        <v>2</v>
      </c>
      <c r="H34" s="649">
        <f t="shared" si="35"/>
        <v>2</v>
      </c>
      <c r="I34" s="649">
        <f t="shared" si="35"/>
        <v>2</v>
      </c>
      <c r="J34" s="649">
        <f t="shared" si="35"/>
        <v>2</v>
      </c>
      <c r="K34" s="649">
        <f t="shared" si="35"/>
        <v>2</v>
      </c>
      <c r="L34" s="649">
        <f t="shared" si="35"/>
        <v>2</v>
      </c>
      <c r="M34" s="649">
        <f t="shared" si="35"/>
        <v>2</v>
      </c>
      <c r="N34" s="649">
        <f t="shared" si="35"/>
        <v>18</v>
      </c>
      <c r="O34" s="472"/>
      <c r="P34" s="473"/>
      <c r="Q34" s="649">
        <f t="shared" ref="Q34:AA34" si="36">sum(Q29:Q30,Q32:Q33)</f>
        <v>2</v>
      </c>
      <c r="R34" s="649">
        <f t="shared" si="36"/>
        <v>2</v>
      </c>
      <c r="S34" s="649">
        <f t="shared" si="36"/>
        <v>2</v>
      </c>
      <c r="T34" s="649">
        <f t="shared" si="36"/>
        <v>2</v>
      </c>
      <c r="U34" s="649">
        <f t="shared" si="36"/>
        <v>2</v>
      </c>
      <c r="V34" s="649">
        <f t="shared" si="36"/>
        <v>2</v>
      </c>
      <c r="W34" s="649">
        <f t="shared" si="36"/>
        <v>2</v>
      </c>
      <c r="X34" s="649">
        <f t="shared" si="36"/>
        <v>2</v>
      </c>
      <c r="Y34" s="649">
        <f t="shared" si="36"/>
        <v>2</v>
      </c>
      <c r="Z34" s="649">
        <f t="shared" si="36"/>
        <v>18</v>
      </c>
      <c r="AA34" s="649">
        <f t="shared" si="36"/>
        <v>36</v>
      </c>
      <c r="AB34" s="662"/>
    </row>
  </sheetData>
  <mergeCells count="1">
    <mergeCell ref="B2:B3"/>
  </mergeCells>
  <conditionalFormatting sqref="E15:M15 Q15:Y15">
    <cfRule type="expression" dxfId="16" priority="1">
      <formula>E$31=1</formula>
    </cfRule>
  </conditionalFormatting>
  <conditionalFormatting sqref="E18:M18 Q18:Y18">
    <cfRule type="expression" dxfId="15" priority="2">
      <formula>E$31=-1</formula>
    </cfRule>
  </conditionalFormatting>
  <conditionalFormatting sqref="E15:M15 Q15:Y15">
    <cfRule type="expression" dxfId="2" priority="3">
      <formula>E$31=0</formula>
    </cfRule>
  </conditionalFormatting>
  <conditionalFormatting sqref="E18:M18 Q18:Y18">
    <cfRule type="expression" dxfId="2" priority="4">
      <formula>E$31=0</formula>
    </cfRule>
  </conditionalFormatting>
  <conditionalFormatting sqref="E8:M8 Q8:Y8">
    <cfRule type="expression" dxfId="16" priority="5">
      <formula>E$28=1</formula>
    </cfRule>
  </conditionalFormatting>
  <conditionalFormatting sqref="E11:M11 Q11:Y11">
    <cfRule type="expression" dxfId="15" priority="6">
      <formula>E$28=-1</formula>
    </cfRule>
  </conditionalFormatting>
  <conditionalFormatting sqref="E8:M8 Q8:Y8">
    <cfRule type="expression" dxfId="2" priority="7">
      <formula>E$28=0</formula>
    </cfRule>
  </conditionalFormatting>
  <conditionalFormatting sqref="E11:M11 Q11:Y11">
    <cfRule type="expression" dxfId="2" priority="8">
      <formula>E$28=0</formula>
    </cfRule>
  </conditionalFormatting>
  <conditionalFormatting sqref="N20 Z20:Z21 AB20 N23 Z23:Z24 AB23">
    <cfRule type="notContainsBlanks" dxfId="16" priority="9">
      <formula>LEN(TRIM(N20))&gt;0</formula>
    </cfRule>
  </conditionalFormatting>
  <conditionalFormatting sqref="AB21 AB24">
    <cfRule type="notContainsBlanks" dxfId="15" priority="10">
      <formula>LEN(TRIM(AB21))&gt;0</formula>
    </cfRule>
  </conditionalFormatting>
  <printOptions horizontalCentered="1"/>
  <pageMargins bottom="0.25" footer="0.0" header="0.0" left="0.55" right="0.25" top="0.2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5" t="s">
        <v>74</v>
      </c>
      <c r="B1" s="496">
        <f>'Master Input'!H3</f>
        <v>0.3576388889</v>
      </c>
      <c r="C1" s="497" t="str">
        <f>'Master Input'!$G$2</f>
        <v>Round 2</v>
      </c>
      <c r="D1" s="498"/>
      <c r="E1" s="497" t="str">
        <f>'Master Input'!$G$6</f>
        <v>Ravines GC - White</v>
      </c>
      <c r="F1" s="498"/>
      <c r="G1" s="498"/>
      <c r="H1" s="498"/>
      <c r="I1" s="498"/>
      <c r="J1" s="498"/>
      <c r="K1" s="498"/>
      <c r="L1" s="498"/>
      <c r="M1" s="498"/>
      <c r="N1" s="499"/>
      <c r="O1" s="301"/>
      <c r="P1" s="500" t="str">
        <f>'Master Input'!$G$2</f>
        <v>Round 2</v>
      </c>
      <c r="Q1" s="498"/>
      <c r="R1" s="497" t="str">
        <f>'Master Input'!$G$6</f>
        <v>Ravines GC - White</v>
      </c>
      <c r="S1" s="498"/>
      <c r="T1" s="498"/>
      <c r="U1" s="498"/>
      <c r="V1" s="498"/>
      <c r="W1" s="498"/>
      <c r="X1" s="498"/>
      <c r="Y1" s="498"/>
      <c r="Z1" s="498"/>
      <c r="AA1" s="498"/>
      <c r="AB1" s="499"/>
    </row>
    <row r="2" ht="14.25" customHeight="1">
      <c r="A2" s="305" t="s">
        <v>55</v>
      </c>
      <c r="B2" s="501" t="str">
        <f>'Match Selection'!B9</f>
        <v>Singles Matches</v>
      </c>
      <c r="C2" s="502"/>
      <c r="D2" s="308" t="s">
        <v>55</v>
      </c>
      <c r="E2" s="503">
        <f>vlookup($E1, 'Course List'!$A$3:$AS$14,5+E4, false)</f>
        <v>9</v>
      </c>
      <c r="F2" s="310">
        <f>vlookup($E1, 'Course List'!$A$3:$AS$14,5+F4, false)</f>
        <v>15</v>
      </c>
      <c r="G2" s="310">
        <f>vlookup($E1, 'Course List'!$A$3:$AS$14,5+G4, false)</f>
        <v>13</v>
      </c>
      <c r="H2" s="310">
        <f>vlookup($E1, 'Course List'!$A$3:$AS$14,5+H4, false)</f>
        <v>1</v>
      </c>
      <c r="I2" s="310">
        <f>vlookup($E1, 'Course List'!$A$3:$AS$14,5+I4, false)</f>
        <v>3</v>
      </c>
      <c r="J2" s="310">
        <f>vlookup($E1, 'Course List'!$A$3:$AS$14,5+J4, false)</f>
        <v>5</v>
      </c>
      <c r="K2" s="310">
        <f>vlookup($E1, 'Course List'!$A$3:$AS$14,5+K4, false)</f>
        <v>17</v>
      </c>
      <c r="L2" s="310">
        <f>vlookup($E1, 'Course List'!$A$3:$AS$14,5+L4, false)</f>
        <v>11</v>
      </c>
      <c r="M2" s="311">
        <f>vlookup($E1, 'Course List'!$A$3:$AS$14,5+M4, false)</f>
        <v>7</v>
      </c>
      <c r="N2" s="504"/>
      <c r="O2" s="313"/>
      <c r="P2" s="314" t="s">
        <v>55</v>
      </c>
      <c r="Q2" s="310">
        <f>vlookup($E1, 'Course List'!$A$3:$AS$14,5+Q4, false)</f>
        <v>4</v>
      </c>
      <c r="R2" s="310">
        <f>vlookup($E1, 'Course List'!$A$3:$AS$14,5+R4, false)</f>
        <v>10</v>
      </c>
      <c r="S2" s="310">
        <f>vlookup($E1, 'Course List'!$A$3:$AS$14,5+S4, false)</f>
        <v>16</v>
      </c>
      <c r="T2" s="310">
        <f>vlookup($E1, 'Course List'!$A$3:$AS$14,5+T4, false)</f>
        <v>14</v>
      </c>
      <c r="U2" s="310">
        <f>vlookup($E1, 'Course List'!$A$3:$AS$14,5+U4, false)</f>
        <v>2</v>
      </c>
      <c r="V2" s="310">
        <f>vlookup($E1, 'Course List'!$A$3:$AS$14,5+V4, false)</f>
        <v>8</v>
      </c>
      <c r="W2" s="310">
        <f>vlookup($E1, 'Course List'!$A$3:$AS$14,5+W4, false)</f>
        <v>18</v>
      </c>
      <c r="X2" s="310">
        <f>vlookup($E1, 'Course List'!$A$3:$AS$14,5+X4, false)</f>
        <v>12</v>
      </c>
      <c r="Y2" s="311">
        <f>vlookup($E1, 'Course List'!$A$3:$AS$14,5+Y4, false)</f>
        <v>6</v>
      </c>
      <c r="Z2" s="504"/>
      <c r="AA2" s="315"/>
      <c r="AB2" s="316"/>
    </row>
    <row r="3" ht="14.25" customHeight="1">
      <c r="A3" s="505" t="s">
        <v>56</v>
      </c>
      <c r="B3" s="317"/>
      <c r="C3" s="506"/>
      <c r="D3" s="507" t="s">
        <v>56</v>
      </c>
      <c r="E3" s="508">
        <f>vlookup($E1, 'Course List'!$A$3:$AS$14,27+E4, false)</f>
        <v>4</v>
      </c>
      <c r="F3" s="509">
        <f>vlookup($E1, 'Course List'!$A$3:$AS$14,27+F4, false)</f>
        <v>4</v>
      </c>
      <c r="G3" s="509">
        <f>vlookup($E1, 'Course List'!$A$3:$AS$14,27+G4, false)</f>
        <v>3</v>
      </c>
      <c r="H3" s="509">
        <f>vlookup($E1, 'Course List'!$A$3:$AS$14,27+H4, false)</f>
        <v>5</v>
      </c>
      <c r="I3" s="509">
        <f>vlookup($E1, 'Course List'!$A$3:$AS$14,27+I4, false)</f>
        <v>4</v>
      </c>
      <c r="J3" s="509">
        <f>vlookup($E1, 'Course List'!$A$3:$AS$14,27+J4, false)</f>
        <v>4</v>
      </c>
      <c r="K3" s="509">
        <f>vlookup($E1, 'Course List'!$A$3:$AS$14,27+K4, false)</f>
        <v>4</v>
      </c>
      <c r="L3" s="509">
        <f>vlookup($E1, 'Course List'!$A$3:$AS$14,27+L4, false)</f>
        <v>3</v>
      </c>
      <c r="M3" s="510">
        <f>vlookup($E1, 'Course List'!$A$3:$AS$14,27+M4, false)</f>
        <v>5</v>
      </c>
      <c r="N3" s="511">
        <f>SUM(E3:M3)</f>
        <v>36</v>
      </c>
      <c r="O3" s="313"/>
      <c r="P3" s="305" t="s">
        <v>56</v>
      </c>
      <c r="Q3" s="509">
        <f>vlookup($E1, 'Course List'!$A$3:$AS$14,27+Q4, false)</f>
        <v>4</v>
      </c>
      <c r="R3" s="509">
        <f>vlookup($E1, 'Course List'!$A$3:$AS$14,27+R4, false)</f>
        <v>4</v>
      </c>
      <c r="S3" s="509">
        <f>vlookup($E1, 'Course List'!$A$3:$AS$14,27+S4, false)</f>
        <v>3</v>
      </c>
      <c r="T3" s="509">
        <f>vlookup($E1, 'Course List'!$A$3:$AS$14,27+T4, false)</f>
        <v>4</v>
      </c>
      <c r="U3" s="509">
        <f>vlookup($E1, 'Course List'!$A$3:$AS$14,27+U4, false)</f>
        <v>5</v>
      </c>
      <c r="V3" s="509">
        <f>vlookup($E1, 'Course List'!$A$3:$AS$14,27+V4, false)</f>
        <v>4</v>
      </c>
      <c r="W3" s="509">
        <f>vlookup($E1, 'Course List'!$A$3:$AS$14,27+W4, false)</f>
        <v>4</v>
      </c>
      <c r="X3" s="509">
        <f>vlookup($E1, 'Course List'!$A$3:$AS$14,27+X4, false)</f>
        <v>3</v>
      </c>
      <c r="Y3" s="510">
        <f>vlookup($E1, 'Course List'!$A$3:$AS$14,27+Y4, false)</f>
        <v>5</v>
      </c>
      <c r="Z3" s="511">
        <f>SUM(Q3:Y3)</f>
        <v>36</v>
      </c>
      <c r="AA3" s="509">
        <f>N3+Z3</f>
        <v>72</v>
      </c>
      <c r="AB3" s="512"/>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343"/>
      <c r="B6" s="513"/>
      <c r="C6" s="514"/>
      <c r="D6" s="515"/>
      <c r="E6" s="349" t="str">
        <f t="shared" ref="E6:M6" si="1">if(E7=1,"O", if(E7=2,"O   O",""))</f>
        <v/>
      </c>
      <c r="F6" s="349" t="str">
        <f t="shared" si="1"/>
        <v/>
      </c>
      <c r="G6" s="349" t="str">
        <f t="shared" si="1"/>
        <v/>
      </c>
      <c r="H6" s="349" t="str">
        <f t="shared" si="1"/>
        <v>O</v>
      </c>
      <c r="I6" s="349" t="str">
        <f t="shared" si="1"/>
        <v>O</v>
      </c>
      <c r="J6" s="349" t="str">
        <f t="shared" si="1"/>
        <v/>
      </c>
      <c r="K6" s="349" t="str">
        <f t="shared" si="1"/>
        <v/>
      </c>
      <c r="L6" s="349" t="str">
        <f t="shared" si="1"/>
        <v/>
      </c>
      <c r="M6" s="349" t="str">
        <f t="shared" si="1"/>
        <v/>
      </c>
      <c r="N6" s="516"/>
      <c r="O6" s="351"/>
      <c r="P6" s="517"/>
      <c r="Q6" s="349" t="str">
        <f t="shared" ref="Q6:Y6" si="2">if(Q7=1,"O", if(Q7=2,"O   O",""))</f>
        <v>O</v>
      </c>
      <c r="R6" s="348" t="str">
        <f t="shared" si="2"/>
        <v/>
      </c>
      <c r="S6" s="348" t="str">
        <f t="shared" si="2"/>
        <v/>
      </c>
      <c r="T6" s="349" t="str">
        <f t="shared" si="2"/>
        <v/>
      </c>
      <c r="U6" s="349" t="str">
        <f t="shared" si="2"/>
        <v>O</v>
      </c>
      <c r="V6" s="349" t="str">
        <f t="shared" si="2"/>
        <v/>
      </c>
      <c r="W6" s="349" t="str">
        <f t="shared" si="2"/>
        <v/>
      </c>
      <c r="X6" s="349" t="str">
        <f t="shared" si="2"/>
        <v/>
      </c>
      <c r="Y6" s="518" t="str">
        <f t="shared" si="2"/>
        <v/>
      </c>
      <c r="Z6" s="519"/>
      <c r="AA6" s="520"/>
      <c r="AB6" s="521"/>
    </row>
    <row r="7" ht="22.5" hidden="1" customHeight="1">
      <c r="A7" s="356"/>
      <c r="B7" s="357"/>
      <c r="C7" s="522"/>
      <c r="D7" s="523"/>
      <c r="E7" s="524">
        <f t="shared" ref="E7:M7" si="3">IF($D8&gt;0,FLOOR($D8/18,1),0)+IF(AND(MOD($D8,18)&gt;=E$2,$D8&gt;0),1,0)-IF(E$2-18&gt;$D8,1,0)</f>
        <v>0</v>
      </c>
      <c r="F7" s="524">
        <f t="shared" si="3"/>
        <v>0</v>
      </c>
      <c r="G7" s="524">
        <f t="shared" si="3"/>
        <v>0</v>
      </c>
      <c r="H7" s="524">
        <f t="shared" si="3"/>
        <v>1</v>
      </c>
      <c r="I7" s="524">
        <f t="shared" si="3"/>
        <v>1</v>
      </c>
      <c r="J7" s="524">
        <f t="shared" si="3"/>
        <v>0</v>
      </c>
      <c r="K7" s="524">
        <f t="shared" si="3"/>
        <v>0</v>
      </c>
      <c r="L7" s="524">
        <f t="shared" si="3"/>
        <v>0</v>
      </c>
      <c r="M7" s="524">
        <f t="shared" si="3"/>
        <v>0</v>
      </c>
      <c r="N7" s="525"/>
      <c r="O7" s="364"/>
      <c r="P7" s="526"/>
      <c r="Q7" s="524">
        <f t="shared" ref="Q7:Y7" si="4">IF($D8&gt;0,FLOOR($D8/18,1),0)+IF(AND(MOD($D8,18)&gt;=Q$2,$D8&gt;0),1,0)-IF(Q$2-18&gt;$D8,1,0)</f>
        <v>1</v>
      </c>
      <c r="R7" s="361">
        <f t="shared" si="4"/>
        <v>0</v>
      </c>
      <c r="S7" s="361">
        <f t="shared" si="4"/>
        <v>0</v>
      </c>
      <c r="T7" s="524">
        <f t="shared" si="4"/>
        <v>0</v>
      </c>
      <c r="U7" s="524">
        <f t="shared" si="4"/>
        <v>1</v>
      </c>
      <c r="V7" s="524">
        <f t="shared" si="4"/>
        <v>0</v>
      </c>
      <c r="W7" s="524">
        <f t="shared" si="4"/>
        <v>0</v>
      </c>
      <c r="X7" s="524">
        <f t="shared" si="4"/>
        <v>0</v>
      </c>
      <c r="Y7" s="527">
        <f t="shared" si="4"/>
        <v>0</v>
      </c>
      <c r="Z7" s="528"/>
      <c r="AA7" s="529"/>
      <c r="AB7" s="530"/>
    </row>
    <row r="8" ht="24.75" customHeight="1">
      <c r="A8" s="369" t="str">
        <f>'Match Selection'!J9</f>
        <v>Weezy</v>
      </c>
      <c r="B8" s="370" t="str">
        <f>vlookup(A8, 'Master Input'!$A$11:$B$27,2, false)</f>
        <v>Drivers</v>
      </c>
      <c r="C8" s="531">
        <f>vlookup(A8,'Master Input'!$A$11:$L$27,'Master Input'!$H$28, false)</f>
        <v>10</v>
      </c>
      <c r="D8" s="532">
        <f>C8-SMALL($C$8:$C$11,1)</f>
        <v>4</v>
      </c>
      <c r="E8" s="533">
        <v>4.0</v>
      </c>
      <c r="F8" s="533">
        <v>7.0</v>
      </c>
      <c r="G8" s="533">
        <v>4.0</v>
      </c>
      <c r="H8" s="533">
        <v>7.0</v>
      </c>
      <c r="I8" s="533">
        <v>6.0</v>
      </c>
      <c r="J8" s="533">
        <v>6.0</v>
      </c>
      <c r="K8" s="533">
        <v>4.0</v>
      </c>
      <c r="L8" s="533">
        <v>3.0</v>
      </c>
      <c r="M8" s="533">
        <v>6.0</v>
      </c>
      <c r="N8" s="534">
        <f>if(M8="","", sum(E8:M8))</f>
        <v>47</v>
      </c>
      <c r="O8" s="364"/>
      <c r="P8" s="535" t="str">
        <f>A8</f>
        <v>Weezy</v>
      </c>
      <c r="Q8" s="533">
        <v>4.0</v>
      </c>
      <c r="R8" s="374">
        <v>5.0</v>
      </c>
      <c r="S8" s="374">
        <v>6.0</v>
      </c>
      <c r="T8" s="533">
        <v>5.0</v>
      </c>
      <c r="U8" s="533">
        <v>7.0</v>
      </c>
      <c r="V8" s="533">
        <v>5.0</v>
      </c>
      <c r="W8" s="533">
        <v>8.0</v>
      </c>
      <c r="X8" s="533">
        <v>3.0</v>
      </c>
      <c r="Y8" s="536">
        <v>5.0</v>
      </c>
      <c r="Z8" s="537">
        <f>if(Y8="","", sum(Q8:Y8))</f>
        <v>48</v>
      </c>
      <c r="AA8" s="538">
        <f>if(Z8="", "", sum(N8,Z8))</f>
        <v>95</v>
      </c>
      <c r="AB8" s="539">
        <f>if(Y8="", "", AA8-C8)</f>
        <v>85</v>
      </c>
    </row>
    <row r="9" ht="7.5" customHeight="1">
      <c r="A9" s="540"/>
      <c r="B9" s="541"/>
      <c r="C9" s="542"/>
      <c r="D9" s="543"/>
      <c r="E9" s="404" t="str">
        <f t="shared" ref="E9:M9" si="5">if(E10=1,"O", if(E10=2,"O   O",""))</f>
        <v/>
      </c>
      <c r="F9" s="404" t="str">
        <f t="shared" si="5"/>
        <v/>
      </c>
      <c r="G9" s="404" t="str">
        <f t="shared" si="5"/>
        <v/>
      </c>
      <c r="H9" s="404" t="str">
        <f t="shared" si="5"/>
        <v/>
      </c>
      <c r="I9" s="404" t="str">
        <f t="shared" si="5"/>
        <v/>
      </c>
      <c r="J9" s="404" t="str">
        <f t="shared" si="5"/>
        <v/>
      </c>
      <c r="K9" s="404" t="str">
        <f t="shared" si="5"/>
        <v/>
      </c>
      <c r="L9" s="404" t="str">
        <f t="shared" si="5"/>
        <v/>
      </c>
      <c r="M9" s="404" t="str">
        <f t="shared" si="5"/>
        <v/>
      </c>
      <c r="N9" s="544"/>
      <c r="O9" s="545"/>
      <c r="P9" s="546"/>
      <c r="Q9" s="547" t="str">
        <f t="shared" ref="Q9:Y9" si="6">if(Q10=1,"O", if(Q10=2,"O   O",""))</f>
        <v/>
      </c>
      <c r="R9" s="547" t="str">
        <f t="shared" si="6"/>
        <v/>
      </c>
      <c r="S9" s="547" t="str">
        <f t="shared" si="6"/>
        <v/>
      </c>
      <c r="T9" s="404" t="str">
        <f t="shared" si="6"/>
        <v/>
      </c>
      <c r="U9" s="404" t="str">
        <f t="shared" si="6"/>
        <v/>
      </c>
      <c r="V9" s="404" t="str">
        <f t="shared" si="6"/>
        <v/>
      </c>
      <c r="W9" s="404" t="str">
        <f t="shared" si="6"/>
        <v/>
      </c>
      <c r="X9" s="404" t="str">
        <f t="shared" si="6"/>
        <v/>
      </c>
      <c r="Y9" s="548" t="str">
        <f t="shared" si="6"/>
        <v/>
      </c>
      <c r="Z9" s="549"/>
      <c r="AA9" s="550"/>
      <c r="AB9" s="551"/>
    </row>
    <row r="10" ht="22.5" hidden="1" customHeight="1">
      <c r="A10" s="410"/>
      <c r="B10" s="552"/>
      <c r="C10" s="553"/>
      <c r="D10" s="554"/>
      <c r="E10" s="555">
        <f t="shared" ref="E10:M10" si="7">IF($D11&gt;0,FLOOR($D11/18,1),0)+IF(AND(MOD($D11,18)&gt;=E$2,$D11&gt;0),1,0)-IF(E$2-18&gt;$D11,1,0)</f>
        <v>0</v>
      </c>
      <c r="F10" s="555">
        <f t="shared" si="7"/>
        <v>0</v>
      </c>
      <c r="G10" s="555">
        <f t="shared" si="7"/>
        <v>0</v>
      </c>
      <c r="H10" s="555">
        <f t="shared" si="7"/>
        <v>0</v>
      </c>
      <c r="I10" s="555">
        <f t="shared" si="7"/>
        <v>0</v>
      </c>
      <c r="J10" s="555">
        <f t="shared" si="7"/>
        <v>0</v>
      </c>
      <c r="K10" s="555">
        <f t="shared" si="7"/>
        <v>0</v>
      </c>
      <c r="L10" s="555">
        <f t="shared" si="7"/>
        <v>0</v>
      </c>
      <c r="M10" s="555">
        <f t="shared" si="7"/>
        <v>0</v>
      </c>
      <c r="N10" s="556"/>
      <c r="O10" s="557"/>
      <c r="P10" s="546"/>
      <c r="Q10" s="555">
        <f t="shared" ref="Q10:Y10" si="8">IF($D11&gt;0,FLOOR($D11/18,1),0)+IF(AND(MOD($D11,18)&gt;=Q$2,$D11&gt;0),1,0)-IF(Q$2-18&gt;$D11,1,0)</f>
        <v>0</v>
      </c>
      <c r="R10" s="555">
        <f t="shared" si="8"/>
        <v>0</v>
      </c>
      <c r="S10" s="555">
        <f t="shared" si="8"/>
        <v>0</v>
      </c>
      <c r="T10" s="555">
        <f t="shared" si="8"/>
        <v>0</v>
      </c>
      <c r="U10" s="555">
        <f t="shared" si="8"/>
        <v>0</v>
      </c>
      <c r="V10" s="555">
        <f t="shared" si="8"/>
        <v>0</v>
      </c>
      <c r="W10" s="555">
        <f t="shared" si="8"/>
        <v>0</v>
      </c>
      <c r="X10" s="555">
        <f t="shared" si="8"/>
        <v>0</v>
      </c>
      <c r="Y10" s="558">
        <f t="shared" si="8"/>
        <v>0</v>
      </c>
      <c r="Z10" s="559"/>
      <c r="AA10" s="560"/>
      <c r="AB10" s="561"/>
    </row>
    <row r="11" ht="24.75" customHeight="1">
      <c r="A11" s="429" t="str">
        <f>'Match Selection'!M9</f>
        <v>Pace</v>
      </c>
      <c r="B11" s="562" t="str">
        <f>vlookup(A11, 'Master Input'!$A$11:$B$27,2, false)</f>
        <v>Irons</v>
      </c>
      <c r="C11" s="563">
        <f>vlookup(A11,'Master Input'!$A$11:$L$27,'Master Input'!$H$28, false)</f>
        <v>6</v>
      </c>
      <c r="D11" s="564">
        <f>C11-SMALL($C$8:$C$11,1)</f>
        <v>0</v>
      </c>
      <c r="E11" s="565">
        <v>5.0</v>
      </c>
      <c r="F11" s="565">
        <v>4.0</v>
      </c>
      <c r="G11" s="565">
        <v>4.0</v>
      </c>
      <c r="H11" s="565">
        <v>7.0</v>
      </c>
      <c r="I11" s="565">
        <v>8.0</v>
      </c>
      <c r="J11" s="565">
        <v>4.0</v>
      </c>
      <c r="K11" s="565">
        <v>5.0</v>
      </c>
      <c r="L11" s="565">
        <v>3.0</v>
      </c>
      <c r="M11" s="565">
        <v>5.0</v>
      </c>
      <c r="N11" s="566">
        <f>if(M11="","", sum(E11:M11))</f>
        <v>45</v>
      </c>
      <c r="O11" s="364"/>
      <c r="P11" s="567" t="str">
        <f>A11</f>
        <v>Pace</v>
      </c>
      <c r="Q11" s="565">
        <v>4.0</v>
      </c>
      <c r="R11" s="565">
        <v>7.0</v>
      </c>
      <c r="S11" s="565">
        <v>4.0</v>
      </c>
      <c r="T11" s="565">
        <v>4.0</v>
      </c>
      <c r="U11" s="565">
        <v>5.0</v>
      </c>
      <c r="V11" s="565">
        <v>5.0</v>
      </c>
      <c r="W11" s="565">
        <v>6.0</v>
      </c>
      <c r="X11" s="565">
        <v>5.0</v>
      </c>
      <c r="Y11" s="568">
        <v>6.0</v>
      </c>
      <c r="Z11" s="569">
        <f>if(Y11="","", sum(Q11:Y11))</f>
        <v>46</v>
      </c>
      <c r="AA11" s="570">
        <f>if(Z11="", "", sum(N11,Z11))</f>
        <v>91</v>
      </c>
      <c r="AB11" s="571">
        <f>if(Y11="", "", AA11-C11)</f>
        <v>85</v>
      </c>
    </row>
    <row r="12" ht="7.5" customHeight="1">
      <c r="A12" s="572"/>
      <c r="B12" s="573"/>
      <c r="C12" s="574"/>
      <c r="D12" s="575"/>
      <c r="E12" s="339"/>
      <c r="F12" s="339"/>
      <c r="G12" s="339"/>
      <c r="H12" s="339"/>
      <c r="I12" s="339"/>
      <c r="J12" s="339"/>
      <c r="K12" s="339"/>
      <c r="L12" s="339"/>
      <c r="M12" s="339"/>
      <c r="N12" s="340"/>
      <c r="O12" s="341"/>
      <c r="P12" s="576"/>
      <c r="Q12" s="339"/>
      <c r="R12" s="339"/>
      <c r="S12" s="339"/>
      <c r="T12" s="339"/>
      <c r="U12" s="339"/>
      <c r="V12" s="339"/>
      <c r="W12" s="339"/>
      <c r="X12" s="339"/>
      <c r="Y12" s="339"/>
      <c r="Z12" s="577"/>
      <c r="AA12" s="578"/>
      <c r="AB12" s="579"/>
    </row>
    <row r="13" ht="7.5" customHeight="1">
      <c r="A13" s="580"/>
      <c r="B13" s="581"/>
      <c r="C13" s="582"/>
      <c r="D13" s="583"/>
      <c r="E13" s="349" t="str">
        <f t="shared" ref="E13:M13" si="9">if(E14=1,"O", if(E14=2,"O   O",""))</f>
        <v/>
      </c>
      <c r="F13" s="349" t="str">
        <f t="shared" si="9"/>
        <v/>
      </c>
      <c r="G13" s="349" t="str">
        <f t="shared" si="9"/>
        <v/>
      </c>
      <c r="H13" s="349" t="str">
        <f t="shared" si="9"/>
        <v>O</v>
      </c>
      <c r="I13" s="349" t="str">
        <f t="shared" si="9"/>
        <v/>
      </c>
      <c r="J13" s="349" t="str">
        <f t="shared" si="9"/>
        <v/>
      </c>
      <c r="K13" s="349" t="str">
        <f t="shared" si="9"/>
        <v/>
      </c>
      <c r="L13" s="349" t="str">
        <f t="shared" si="9"/>
        <v/>
      </c>
      <c r="M13" s="349" t="str">
        <f t="shared" si="9"/>
        <v/>
      </c>
      <c r="N13" s="516"/>
      <c r="O13" s="351"/>
      <c r="P13" s="584"/>
      <c r="Q13" s="349" t="str">
        <f t="shared" ref="Q13:Y13" si="10">if(Q14=1,"O", if(Q14=2,"O   O",""))</f>
        <v/>
      </c>
      <c r="R13" s="349" t="str">
        <f t="shared" si="10"/>
        <v/>
      </c>
      <c r="S13" s="349" t="str">
        <f t="shared" si="10"/>
        <v/>
      </c>
      <c r="T13" s="349" t="str">
        <f t="shared" si="10"/>
        <v/>
      </c>
      <c r="U13" s="349" t="str">
        <f t="shared" si="10"/>
        <v>O</v>
      </c>
      <c r="V13" s="349" t="str">
        <f t="shared" si="10"/>
        <v/>
      </c>
      <c r="W13" s="349" t="str">
        <f t="shared" si="10"/>
        <v/>
      </c>
      <c r="X13" s="349" t="str">
        <f t="shared" si="10"/>
        <v/>
      </c>
      <c r="Y13" s="349" t="str">
        <f t="shared" si="10"/>
        <v/>
      </c>
      <c r="Z13" s="585"/>
      <c r="AA13" s="586"/>
      <c r="AB13" s="587"/>
    </row>
    <row r="14" ht="22.5" hidden="1" customHeight="1">
      <c r="A14" s="392"/>
      <c r="B14" s="357"/>
      <c r="C14" s="522"/>
      <c r="D14" s="523"/>
      <c r="E14" s="524">
        <f t="shared" ref="E14:M14" si="11">IF($D15&gt;0,FLOOR($D15/18,1),0)+IF(AND(MOD($D15,18)&gt;=E$2,$D15&gt;0),1,0)-IF(E$2-18&gt;$D15,1,0)</f>
        <v>0</v>
      </c>
      <c r="F14" s="524">
        <f t="shared" si="11"/>
        <v>0</v>
      </c>
      <c r="G14" s="524">
        <f t="shared" si="11"/>
        <v>0</v>
      </c>
      <c r="H14" s="524">
        <f t="shared" si="11"/>
        <v>1</v>
      </c>
      <c r="I14" s="524">
        <f t="shared" si="11"/>
        <v>0</v>
      </c>
      <c r="J14" s="524">
        <f t="shared" si="11"/>
        <v>0</v>
      </c>
      <c r="K14" s="524">
        <f t="shared" si="11"/>
        <v>0</v>
      </c>
      <c r="L14" s="524">
        <f t="shared" si="11"/>
        <v>0</v>
      </c>
      <c r="M14" s="524">
        <f t="shared" si="11"/>
        <v>0</v>
      </c>
      <c r="N14" s="525"/>
      <c r="O14" s="364"/>
      <c r="P14" s="380"/>
      <c r="Q14" s="524">
        <f t="shared" ref="Q14:Y14" si="12">IF($D15&gt;0,FLOOR($D15/18,1),0)+IF(AND(MOD($D15,18)&gt;=Q$2,$D15&gt;0),1,0)-IF(Q$2-18&gt;$D15,1,0)</f>
        <v>0</v>
      </c>
      <c r="R14" s="524">
        <f t="shared" si="12"/>
        <v>0</v>
      </c>
      <c r="S14" s="524">
        <f t="shared" si="12"/>
        <v>0</v>
      </c>
      <c r="T14" s="524">
        <f t="shared" si="12"/>
        <v>0</v>
      </c>
      <c r="U14" s="524">
        <f t="shared" si="12"/>
        <v>1</v>
      </c>
      <c r="V14" s="524">
        <f t="shared" si="12"/>
        <v>0</v>
      </c>
      <c r="W14" s="524">
        <f t="shared" si="12"/>
        <v>0</v>
      </c>
      <c r="X14" s="524">
        <f t="shared" si="12"/>
        <v>0</v>
      </c>
      <c r="Y14" s="524">
        <f t="shared" si="12"/>
        <v>0</v>
      </c>
      <c r="Z14" s="525"/>
      <c r="AA14" s="560"/>
      <c r="AB14" s="561"/>
    </row>
    <row r="15" ht="24.75" customHeight="1">
      <c r="A15" s="369" t="str">
        <f>'Match Selection'!J10</f>
        <v>T-Mo</v>
      </c>
      <c r="B15" s="370" t="str">
        <f>vlookup(A15, 'Master Input'!$A$11:$B$27,2, false)</f>
        <v>Drivers</v>
      </c>
      <c r="C15" s="531">
        <f>vlookup(A15,'Master Input'!$A$11:$L$27,'Master Input'!$H$28, false)</f>
        <v>9</v>
      </c>
      <c r="D15" s="532">
        <f>C15-SMALL($C$15:$C$18,1)</f>
        <v>2</v>
      </c>
      <c r="E15" s="533">
        <v>8.0</v>
      </c>
      <c r="F15" s="533">
        <v>5.0</v>
      </c>
      <c r="G15" s="533">
        <v>3.0</v>
      </c>
      <c r="H15" s="533">
        <v>8.0</v>
      </c>
      <c r="I15" s="533">
        <v>4.0</v>
      </c>
      <c r="J15" s="533">
        <v>5.0</v>
      </c>
      <c r="K15" s="533">
        <v>4.0</v>
      </c>
      <c r="L15" s="533">
        <v>3.0</v>
      </c>
      <c r="M15" s="533">
        <v>6.0</v>
      </c>
      <c r="N15" s="534">
        <f>if(M15="","", sum(E15:M15))</f>
        <v>46</v>
      </c>
      <c r="O15" s="364"/>
      <c r="P15" s="535" t="str">
        <f>A15</f>
        <v>T-Mo</v>
      </c>
      <c r="Q15" s="533">
        <v>6.0</v>
      </c>
      <c r="R15" s="533">
        <v>6.0</v>
      </c>
      <c r="S15" s="533">
        <v>3.0</v>
      </c>
      <c r="T15" s="533">
        <v>4.0</v>
      </c>
      <c r="U15" s="533">
        <v>8.0</v>
      </c>
      <c r="V15" s="533">
        <v>5.0</v>
      </c>
      <c r="W15" s="533">
        <v>6.0</v>
      </c>
      <c r="X15" s="533">
        <v>3.0</v>
      </c>
      <c r="Y15" s="533">
        <v>5.0</v>
      </c>
      <c r="Z15" s="534">
        <f>if(Y15="","", sum(Q15:Y15))</f>
        <v>46</v>
      </c>
      <c r="AA15" s="538">
        <f>if(Z15="", "", sum(N15,Z15))</f>
        <v>92</v>
      </c>
      <c r="AB15" s="539">
        <f>if(Y15="", "", AA15-C15)</f>
        <v>83</v>
      </c>
    </row>
    <row r="16" ht="7.5" customHeight="1">
      <c r="A16" s="398"/>
      <c r="B16" s="588"/>
      <c r="C16" s="589"/>
      <c r="D16" s="590"/>
      <c r="E16" s="404" t="str">
        <f t="shared" ref="E16:M16" si="13">if(E17=1,"O", if(E17=2,"O   O",""))</f>
        <v/>
      </c>
      <c r="F16" s="404" t="str">
        <f t="shared" si="13"/>
        <v/>
      </c>
      <c r="G16" s="404" t="str">
        <f t="shared" si="13"/>
        <v/>
      </c>
      <c r="H16" s="404" t="str">
        <f t="shared" si="13"/>
        <v/>
      </c>
      <c r="I16" s="404" t="str">
        <f t="shared" si="13"/>
        <v/>
      </c>
      <c r="J16" s="404" t="str">
        <f t="shared" si="13"/>
        <v/>
      </c>
      <c r="K16" s="404" t="str">
        <f t="shared" si="13"/>
        <v/>
      </c>
      <c r="L16" s="404" t="str">
        <f t="shared" si="13"/>
        <v/>
      </c>
      <c r="M16" s="404" t="str">
        <f t="shared" si="13"/>
        <v/>
      </c>
      <c r="N16" s="544"/>
      <c r="O16" s="545"/>
      <c r="P16" s="591"/>
      <c r="Q16" s="404" t="str">
        <f t="shared" ref="Q16:Y16" si="14">if(Q17=1,"O", if(Q17=2,"O   O",""))</f>
        <v/>
      </c>
      <c r="R16" s="404" t="str">
        <f t="shared" si="14"/>
        <v/>
      </c>
      <c r="S16" s="404" t="str">
        <f t="shared" si="14"/>
        <v/>
      </c>
      <c r="T16" s="404" t="str">
        <f t="shared" si="14"/>
        <v/>
      </c>
      <c r="U16" s="404" t="str">
        <f t="shared" si="14"/>
        <v/>
      </c>
      <c r="V16" s="404" t="str">
        <f t="shared" si="14"/>
        <v/>
      </c>
      <c r="W16" s="404" t="str">
        <f t="shared" si="14"/>
        <v/>
      </c>
      <c r="X16" s="404" t="str">
        <f t="shared" si="14"/>
        <v/>
      </c>
      <c r="Y16" s="404" t="str">
        <f t="shared" si="14"/>
        <v/>
      </c>
      <c r="Z16" s="592"/>
      <c r="AA16" s="593"/>
      <c r="AB16" s="594"/>
    </row>
    <row r="17" ht="22.5" hidden="1" customHeight="1">
      <c r="A17" s="410"/>
      <c r="B17" s="552"/>
      <c r="C17" s="553"/>
      <c r="D17" s="554"/>
      <c r="E17" s="416">
        <f t="shared" ref="E17:M17" si="15">IF($D18&gt;0,FLOOR($D18/18,1),0)+IF(AND(MOD($D18,18)&gt;=E$2,$D18&gt;0),1,0)-IF(E$2-18&gt;$D18,1,0)</f>
        <v>0</v>
      </c>
      <c r="F17" s="416">
        <f t="shared" si="15"/>
        <v>0</v>
      </c>
      <c r="G17" s="416">
        <f t="shared" si="15"/>
        <v>0</v>
      </c>
      <c r="H17" s="416">
        <f t="shared" si="15"/>
        <v>0</v>
      </c>
      <c r="I17" s="416">
        <f t="shared" si="15"/>
        <v>0</v>
      </c>
      <c r="J17" s="416">
        <f t="shared" si="15"/>
        <v>0</v>
      </c>
      <c r="K17" s="416">
        <f t="shared" si="15"/>
        <v>0</v>
      </c>
      <c r="L17" s="416">
        <f t="shared" si="15"/>
        <v>0</v>
      </c>
      <c r="M17" s="416">
        <f t="shared" si="15"/>
        <v>0</v>
      </c>
      <c r="N17" s="525"/>
      <c r="O17" s="364"/>
      <c r="P17" s="540"/>
      <c r="Q17" s="416">
        <f t="shared" ref="Q17:Y17" si="16">IF($D18&gt;0,FLOOR($D18/18,1),0)+IF(AND(MOD($D18,18)&gt;=Q$2,$D18&gt;0),1,0)-IF(Q$2-18&gt;$D18,1,0)</f>
        <v>0</v>
      </c>
      <c r="R17" s="416">
        <f t="shared" si="16"/>
        <v>0</v>
      </c>
      <c r="S17" s="416">
        <f t="shared" si="16"/>
        <v>0</v>
      </c>
      <c r="T17" s="416">
        <f t="shared" si="16"/>
        <v>0</v>
      </c>
      <c r="U17" s="416">
        <f t="shared" si="16"/>
        <v>0</v>
      </c>
      <c r="V17" s="416">
        <f t="shared" si="16"/>
        <v>0</v>
      </c>
      <c r="W17" s="416">
        <f t="shared" si="16"/>
        <v>0</v>
      </c>
      <c r="X17" s="416">
        <f t="shared" si="16"/>
        <v>0</v>
      </c>
      <c r="Y17" s="416">
        <f t="shared" si="16"/>
        <v>0</v>
      </c>
      <c r="Z17" s="525"/>
      <c r="AA17" s="595"/>
      <c r="AB17" s="561"/>
    </row>
    <row r="18" ht="24.75" customHeight="1">
      <c r="A18" s="419" t="str">
        <f>'Match Selection'!M10</f>
        <v>House</v>
      </c>
      <c r="B18" s="596" t="str">
        <f>vlookup(A18, 'Master Input'!$A$11:$B$27,2, false)</f>
        <v>Irons</v>
      </c>
      <c r="C18" s="597">
        <f>vlookup(A18,'Master Input'!$A$11:$L$27,'Master Input'!$H$28, false)</f>
        <v>7</v>
      </c>
      <c r="D18" s="598">
        <f>C18-SMALL($C$15:$C$18,1)</f>
        <v>0</v>
      </c>
      <c r="E18" s="599">
        <v>5.0</v>
      </c>
      <c r="F18" s="599">
        <v>5.0</v>
      </c>
      <c r="G18" s="599">
        <v>3.0</v>
      </c>
      <c r="H18" s="599">
        <v>5.0</v>
      </c>
      <c r="I18" s="599">
        <v>5.0</v>
      </c>
      <c r="J18" s="599">
        <v>5.0</v>
      </c>
      <c r="K18" s="599">
        <v>4.0</v>
      </c>
      <c r="L18" s="599">
        <v>4.0</v>
      </c>
      <c r="M18" s="599">
        <v>7.0</v>
      </c>
      <c r="N18" s="534">
        <f>if(M18="","", sum(E18:M18))</f>
        <v>43</v>
      </c>
      <c r="O18" s="364"/>
      <c r="P18" s="567" t="str">
        <f>A18</f>
        <v>House</v>
      </c>
      <c r="Q18" s="565">
        <v>6.0</v>
      </c>
      <c r="R18" s="565">
        <v>5.0</v>
      </c>
      <c r="S18" s="565">
        <v>4.0</v>
      </c>
      <c r="T18" s="565">
        <v>5.0</v>
      </c>
      <c r="U18" s="565">
        <v>7.0</v>
      </c>
      <c r="V18" s="565">
        <v>4.0</v>
      </c>
      <c r="W18" s="565">
        <v>6.0</v>
      </c>
      <c r="X18" s="565">
        <v>4.0</v>
      </c>
      <c r="Y18" s="565">
        <v>5.0</v>
      </c>
      <c r="Z18" s="566">
        <f>if(Y18="","", sum(Q18:Y18))</f>
        <v>46</v>
      </c>
      <c r="AA18" s="570">
        <f>if(Z18="", "", sum(N18,Z18))</f>
        <v>89</v>
      </c>
      <c r="AB18" s="571">
        <f>if(Y18="", "", AA18-C18)</f>
        <v>82</v>
      </c>
    </row>
    <row r="19" ht="11.25" customHeight="1">
      <c r="A19" s="441"/>
      <c r="B19" s="441"/>
      <c r="C19" s="442"/>
      <c r="D19" s="443"/>
      <c r="E19" s="441"/>
      <c r="F19" s="441"/>
      <c r="G19" s="441"/>
      <c r="H19" s="441"/>
      <c r="I19" s="441"/>
      <c r="J19" s="441"/>
      <c r="K19" s="441"/>
      <c r="L19" s="441"/>
      <c r="M19" s="441"/>
      <c r="N19" s="600" t="s">
        <v>7</v>
      </c>
      <c r="O19" s="445"/>
      <c r="P19" s="601"/>
      <c r="Q19" s="601"/>
      <c r="R19" s="601"/>
      <c r="S19" s="601"/>
      <c r="T19" s="601"/>
      <c r="U19" s="601"/>
      <c r="V19" s="601"/>
      <c r="W19" s="601"/>
      <c r="X19" s="601"/>
      <c r="Y19" s="601"/>
      <c r="Z19" s="602"/>
      <c r="AA19" s="603"/>
      <c r="AB19" s="604" t="s">
        <v>64</v>
      </c>
    </row>
    <row r="20" ht="24.75" customHeight="1">
      <c r="A20" s="605" t="str">
        <f>B8&amp;" Top"</f>
        <v>Drivers Top</v>
      </c>
      <c r="B20" s="606" t="s">
        <v>77</v>
      </c>
      <c r="C20" s="607"/>
      <c r="D20" s="608"/>
      <c r="E20" s="609">
        <f>if(E28="","",E28)</f>
        <v>1</v>
      </c>
      <c r="F20" s="610">
        <f t="shared" ref="F20:M20" si="17">if(F28="","",F28+E20)</f>
        <v>0</v>
      </c>
      <c r="G20" s="610">
        <f t="shared" si="17"/>
        <v>0</v>
      </c>
      <c r="H20" s="610">
        <f t="shared" si="17"/>
        <v>1</v>
      </c>
      <c r="I20" s="610">
        <f t="shared" si="17"/>
        <v>2</v>
      </c>
      <c r="J20" s="610">
        <f t="shared" si="17"/>
        <v>1</v>
      </c>
      <c r="K20" s="610">
        <f t="shared" si="17"/>
        <v>2</v>
      </c>
      <c r="L20" s="610">
        <f t="shared" si="17"/>
        <v>2</v>
      </c>
      <c r="M20" s="610">
        <f t="shared" si="17"/>
        <v>1</v>
      </c>
      <c r="N20" s="611">
        <f>if(M20="", "", if(M20&lt;0, 0, if(M20&gt;0, vlookup($B$2,'Master Input'!$O$12:$R$23,'Master Input'!P$11,false), vlookup($B$2,'Master Input'!$O$12:$R$23,'Master Input'!P$11,false)*0.5)))</f>
        <v>1</v>
      </c>
      <c r="O20" s="612"/>
      <c r="P20" s="613" t="s">
        <v>78</v>
      </c>
      <c r="Q20" s="614">
        <f>if(Q28="","",Q28+M20)</f>
        <v>2</v>
      </c>
      <c r="R20" s="615">
        <f t="shared" ref="R20:Y20" si="18">if(R28="","",R28+Q20)</f>
        <v>3</v>
      </c>
      <c r="S20" s="615">
        <f t="shared" si="18"/>
        <v>2</v>
      </c>
      <c r="T20" s="615">
        <f t="shared" si="18"/>
        <v>1</v>
      </c>
      <c r="U20" s="615">
        <f t="shared" si="18"/>
        <v>0</v>
      </c>
      <c r="V20" s="615">
        <f t="shared" si="18"/>
        <v>0</v>
      </c>
      <c r="W20" s="615">
        <f t="shared" si="18"/>
        <v>-1</v>
      </c>
      <c r="X20" s="615">
        <f t="shared" si="18"/>
        <v>0</v>
      </c>
      <c r="Y20" s="615">
        <f t="shared" si="18"/>
        <v>1</v>
      </c>
      <c r="Z20" s="616">
        <f>if(Y20="", "", if(Y20&lt;0, 0, if(Y20&gt;0, vlookup($B$2,'Master Input'!$O$12:$R$23,'Master Input'!R$11,false), vlookup($B$2,'Master Input'!$O$12:$R$23,'Master Input'!R$11,false)*0.5)))</f>
        <v>1</v>
      </c>
      <c r="AA20" s="617" t="s">
        <v>78</v>
      </c>
      <c r="AB20" s="618">
        <f>if(Z20="","", sum(N20,Z20,Z21))</f>
        <v>2.5</v>
      </c>
    </row>
    <row r="21" ht="24.75" customHeight="1">
      <c r="A21" s="619"/>
      <c r="B21" s="620"/>
      <c r="C21" s="621"/>
      <c r="D21" s="622"/>
      <c r="E21" s="623"/>
      <c r="F21" s="623"/>
      <c r="G21" s="623"/>
      <c r="H21" s="623"/>
      <c r="I21" s="623"/>
      <c r="J21" s="623"/>
      <c r="K21" s="623"/>
      <c r="L21" s="623"/>
      <c r="M21" s="623"/>
      <c r="N21" s="622"/>
      <c r="O21" s="612"/>
      <c r="P21" s="624" t="s">
        <v>79</v>
      </c>
      <c r="Q21" s="625">
        <f>if(Q28="","",Q28)</f>
        <v>1</v>
      </c>
      <c r="R21" s="626">
        <f t="shared" ref="R21:Y21" si="19">if(R28="","",R28+Q21)</f>
        <v>2</v>
      </c>
      <c r="S21" s="626">
        <f t="shared" si="19"/>
        <v>1</v>
      </c>
      <c r="T21" s="626">
        <f t="shared" si="19"/>
        <v>0</v>
      </c>
      <c r="U21" s="626">
        <f t="shared" si="19"/>
        <v>-1</v>
      </c>
      <c r="V21" s="626">
        <f t="shared" si="19"/>
        <v>-1</v>
      </c>
      <c r="W21" s="626">
        <f t="shared" si="19"/>
        <v>-2</v>
      </c>
      <c r="X21" s="626">
        <f t="shared" si="19"/>
        <v>-1</v>
      </c>
      <c r="Y21" s="626">
        <f t="shared" si="19"/>
        <v>0</v>
      </c>
      <c r="Z21" s="627">
        <f>if(Y21="", "", if(Y21&lt;0, 0, if(Y21&gt;0, vlookup($B$2,'Master Input'!$O$12:$R$23,'Master Input'!Q$11,false), vlookup($B$2,'Master Input'!$O$12:$R$23,'Master Input'!Q$11,false)*0.5)))</f>
        <v>0.5</v>
      </c>
      <c r="AA21" s="617" t="s">
        <v>79</v>
      </c>
      <c r="AB21" s="469">
        <f>if(AB20="","",vlookup($B$2,'Master Input'!$O$12:$R$23,2,false)+vlookup($B$2,'Master Input'!$O$12:$R$23,3,false)+vlookup($B$2,'Master Input'!$O$12:$R$23,4,false)-AB20)</f>
        <v>0.5</v>
      </c>
    </row>
    <row r="22" ht="11.25" customHeight="1">
      <c r="A22" s="628"/>
      <c r="B22" s="628"/>
      <c r="C22" s="629"/>
      <c r="D22" s="630"/>
      <c r="E22" s="631"/>
      <c r="F22" s="631"/>
      <c r="G22" s="631"/>
      <c r="H22" s="631"/>
      <c r="I22" s="631"/>
      <c r="J22" s="631"/>
      <c r="K22" s="631"/>
      <c r="L22" s="631"/>
      <c r="M22" s="631"/>
      <c r="N22" s="632" t="s">
        <v>7</v>
      </c>
      <c r="O22" s="612"/>
      <c r="P22" s="633"/>
      <c r="Q22" s="631"/>
      <c r="R22" s="631"/>
      <c r="S22" s="631"/>
      <c r="T22" s="631"/>
      <c r="U22" s="631"/>
      <c r="V22" s="631"/>
      <c r="W22" s="631"/>
      <c r="X22" s="631"/>
      <c r="Y22" s="631"/>
      <c r="Z22" s="634"/>
      <c r="AA22" s="635"/>
      <c r="AB22" s="636" t="s">
        <v>64</v>
      </c>
    </row>
    <row r="23" ht="24.75" customHeight="1">
      <c r="A23" s="637" t="str">
        <f>B8&amp;" Bottom"</f>
        <v>Drivers Bottom</v>
      </c>
      <c r="B23" s="638" t="s">
        <v>80</v>
      </c>
      <c r="C23" s="639"/>
      <c r="D23" s="640"/>
      <c r="E23" s="641">
        <f>if(E31="","",E31)</f>
        <v>-1</v>
      </c>
      <c r="F23" s="642">
        <f t="shared" ref="F23:M23" si="20">if(F31="","",F31+E23)</f>
        <v>-1</v>
      </c>
      <c r="G23" s="642">
        <f t="shared" si="20"/>
        <v>-1</v>
      </c>
      <c r="H23" s="642">
        <f t="shared" si="20"/>
        <v>-2</v>
      </c>
      <c r="I23" s="642">
        <f t="shared" si="20"/>
        <v>-1</v>
      </c>
      <c r="J23" s="642">
        <f t="shared" si="20"/>
        <v>-1</v>
      </c>
      <c r="K23" s="642">
        <f t="shared" si="20"/>
        <v>-1</v>
      </c>
      <c r="L23" s="642">
        <f t="shared" si="20"/>
        <v>0</v>
      </c>
      <c r="M23" s="643">
        <f t="shared" si="20"/>
        <v>1</v>
      </c>
      <c r="N23" s="644">
        <f>if(M23="", "", if(M23&lt;0, 0, if(M23&gt;0, vlookup($B$2,'Master Input'!$O$12:$R$23,'Master Input'!P$11,false), vlookup($B$2,'Master Input'!$O$12:$R$23,'Master Input'!P$11,false)*0.5)))</f>
        <v>1</v>
      </c>
      <c r="O23" s="612"/>
      <c r="P23" s="613" t="s">
        <v>81</v>
      </c>
      <c r="Q23" s="614">
        <f>if(Q31="","",Q31+M23)</f>
        <v>1</v>
      </c>
      <c r="R23" s="615">
        <f t="shared" ref="R23:Y23" si="21">if(R31="","",R31+Q23)</f>
        <v>0</v>
      </c>
      <c r="S23" s="615">
        <f t="shared" si="21"/>
        <v>1</v>
      </c>
      <c r="T23" s="615">
        <f t="shared" si="21"/>
        <v>2</v>
      </c>
      <c r="U23" s="615">
        <f t="shared" si="21"/>
        <v>2</v>
      </c>
      <c r="V23" s="615">
        <f t="shared" si="21"/>
        <v>1</v>
      </c>
      <c r="W23" s="615">
        <f t="shared" si="21"/>
        <v>1</v>
      </c>
      <c r="X23" s="615">
        <f t="shared" si="21"/>
        <v>2</v>
      </c>
      <c r="Y23" s="615">
        <f t="shared" si="21"/>
        <v>2</v>
      </c>
      <c r="Z23" s="616">
        <f>if(Y23="", "", if(Y23&lt;0, 0, if(Y23&gt;0, vlookup($B$2,'Master Input'!$O$12:$R$23,'Master Input'!R$11,false), vlookup($B$2,'Master Input'!$O$12:$R$23,'Master Input'!R$11,false)*0.5)))</f>
        <v>1</v>
      </c>
      <c r="AA23" s="617" t="s">
        <v>81</v>
      </c>
      <c r="AB23" s="618">
        <f>if(Z23="","", sum(N23,Z23,Z24))</f>
        <v>3</v>
      </c>
    </row>
    <row r="24" ht="24.75" customHeight="1">
      <c r="A24" s="645"/>
      <c r="B24" s="646"/>
      <c r="C24" s="463"/>
      <c r="D24" s="462"/>
      <c r="E24" s="464"/>
      <c r="F24" s="464"/>
      <c r="G24" s="464"/>
      <c r="H24" s="464"/>
      <c r="I24" s="464"/>
      <c r="J24" s="464"/>
      <c r="K24" s="464"/>
      <c r="L24" s="464"/>
      <c r="M24" s="464"/>
      <c r="N24" s="462"/>
      <c r="O24" s="612"/>
      <c r="P24" s="624" t="s">
        <v>82</v>
      </c>
      <c r="Q24" s="625">
        <f>if(Q31="","",Q31)</f>
        <v>0</v>
      </c>
      <c r="R24" s="626">
        <f t="shared" ref="R24:Y24" si="22">if(R31="","",R31+Q24)</f>
        <v>-1</v>
      </c>
      <c r="S24" s="626">
        <f t="shared" si="22"/>
        <v>0</v>
      </c>
      <c r="T24" s="626">
        <f t="shared" si="22"/>
        <v>1</v>
      </c>
      <c r="U24" s="626">
        <f t="shared" si="22"/>
        <v>1</v>
      </c>
      <c r="V24" s="626">
        <f t="shared" si="22"/>
        <v>0</v>
      </c>
      <c r="W24" s="626">
        <f t="shared" si="22"/>
        <v>0</v>
      </c>
      <c r="X24" s="626">
        <f t="shared" si="22"/>
        <v>1</v>
      </c>
      <c r="Y24" s="626">
        <f t="shared" si="22"/>
        <v>1</v>
      </c>
      <c r="Z24" s="627">
        <f>if(Y24="", "", if(Y24&lt;0, 0, if(Y24&gt;0, vlookup($B$2,'Master Input'!$O$12:$R$23,'Master Input'!Q$11,false), vlookup($B$2,'Master Input'!$O$12:$R$23,'Master Input'!Q$11,false)*0.5)))</f>
        <v>1</v>
      </c>
      <c r="AA24" s="617" t="s">
        <v>82</v>
      </c>
      <c r="AB24" s="469">
        <f>if(AB23="","",vlookup($B$2,'Master Input'!$O$12:$R$23,2,false)+vlookup($B$2,'Master Input'!$O$12:$R$23,3,false)+vlookup($B$2,'Master Input'!$O$12:$R$23,4,false)-AB23)</f>
        <v>0</v>
      </c>
    </row>
    <row r="25" ht="22.5" hidden="1" customHeight="1">
      <c r="A25" s="649"/>
      <c r="B25" s="649"/>
      <c r="C25" s="650"/>
      <c r="D25" s="649"/>
      <c r="E25" s="651"/>
      <c r="F25" s="651"/>
      <c r="G25" s="651"/>
      <c r="H25" s="651"/>
      <c r="I25" s="651"/>
      <c r="J25" s="651"/>
      <c r="K25" s="651"/>
      <c r="L25" s="651"/>
      <c r="M25" s="651"/>
      <c r="N25" s="649"/>
      <c r="O25" s="472"/>
      <c r="P25" s="473"/>
      <c r="Q25" s="473"/>
      <c r="R25" s="473"/>
      <c r="S25" s="473"/>
      <c r="T25" s="473"/>
      <c r="U25" s="473"/>
      <c r="V25" s="473"/>
      <c r="W25" s="473"/>
      <c r="X25" s="473"/>
      <c r="Y25" s="473"/>
      <c r="Z25" s="473"/>
      <c r="AB25" s="649"/>
    </row>
    <row r="26" ht="22.5" hidden="1" customHeight="1">
      <c r="A26" s="649"/>
      <c r="B26" s="649"/>
      <c r="C26" s="650"/>
      <c r="D26" s="649"/>
      <c r="E26" s="651"/>
      <c r="F26" s="651"/>
      <c r="G26" s="651"/>
      <c r="H26" s="651"/>
      <c r="I26" s="651"/>
      <c r="J26" s="651"/>
      <c r="K26" s="651"/>
      <c r="L26" s="651"/>
      <c r="M26" s="651"/>
      <c r="N26" s="649"/>
      <c r="O26" s="472"/>
      <c r="P26" s="473"/>
      <c r="Q26" s="473"/>
      <c r="R26" s="473"/>
      <c r="S26" s="473"/>
      <c r="T26" s="473"/>
      <c r="U26" s="473"/>
      <c r="V26" s="473"/>
      <c r="W26" s="473"/>
      <c r="X26" s="473"/>
      <c r="Y26" s="473"/>
      <c r="Z26" s="473"/>
      <c r="AA26" s="652" t="s">
        <v>68</v>
      </c>
      <c r="AB26" s="653" t="s">
        <v>69</v>
      </c>
    </row>
    <row r="27" ht="22.5" hidden="1" customHeight="1">
      <c r="A27" s="649"/>
      <c r="B27" s="649"/>
      <c r="C27" s="650"/>
      <c r="D27" s="649"/>
      <c r="E27" s="651"/>
      <c r="F27" s="651"/>
      <c r="G27" s="651"/>
      <c r="H27" s="651"/>
      <c r="I27" s="651"/>
      <c r="J27" s="651"/>
      <c r="K27" s="651"/>
      <c r="L27" s="651"/>
      <c r="M27" s="651"/>
      <c r="N27" s="649"/>
      <c r="O27" s="472"/>
      <c r="P27" s="473"/>
      <c r="Q27" s="473"/>
      <c r="R27" s="473"/>
      <c r="S27" s="473"/>
      <c r="T27" s="473"/>
      <c r="U27" s="473"/>
      <c r="V27" s="473"/>
      <c r="W27" s="473"/>
      <c r="X27" s="473"/>
      <c r="Y27" s="473"/>
      <c r="Z27" s="473"/>
      <c r="AA27" s="652" t="s">
        <v>72</v>
      </c>
      <c r="AB27" s="653" t="s">
        <v>73</v>
      </c>
    </row>
    <row r="28" ht="22.5" hidden="1" customHeight="1">
      <c r="A28" s="654"/>
      <c r="B28" s="655" t="str">
        <f>B20</f>
        <v>Top - Front</v>
      </c>
      <c r="C28" s="656"/>
      <c r="D28" s="655"/>
      <c r="E28" s="657">
        <f t="shared" ref="E28:M28" si="23">if(and(E8="", E11=""), "",if(E8-E7&lt;E11-E10,1,if(E8-E7&gt;E11-E10,-1,0)))</f>
        <v>1</v>
      </c>
      <c r="F28" s="657">
        <f t="shared" si="23"/>
        <v>-1</v>
      </c>
      <c r="G28" s="657">
        <f t="shared" si="23"/>
        <v>0</v>
      </c>
      <c r="H28" s="657">
        <f t="shared" si="23"/>
        <v>1</v>
      </c>
      <c r="I28" s="657">
        <f t="shared" si="23"/>
        <v>1</v>
      </c>
      <c r="J28" s="657">
        <f t="shared" si="23"/>
        <v>-1</v>
      </c>
      <c r="K28" s="657">
        <f t="shared" si="23"/>
        <v>1</v>
      </c>
      <c r="L28" s="657">
        <f t="shared" si="23"/>
        <v>0</v>
      </c>
      <c r="M28" s="657">
        <f t="shared" si="23"/>
        <v>-1</v>
      </c>
      <c r="N28" s="655">
        <f>sum(N29:N30)</f>
        <v>9</v>
      </c>
      <c r="O28" s="658"/>
      <c r="P28" s="658"/>
      <c r="Q28" s="657">
        <f t="shared" ref="Q28:Y28" si="24">if(and(Q8="", Q11=""), "",if(Q8-Q7&lt;Q11-Q10,1,if(Q8-Q7&gt;Q11-Q10,-1,0)))</f>
        <v>1</v>
      </c>
      <c r="R28" s="657">
        <f t="shared" si="24"/>
        <v>1</v>
      </c>
      <c r="S28" s="657">
        <f t="shared" si="24"/>
        <v>-1</v>
      </c>
      <c r="T28" s="657">
        <f t="shared" si="24"/>
        <v>-1</v>
      </c>
      <c r="U28" s="657">
        <f t="shared" si="24"/>
        <v>-1</v>
      </c>
      <c r="V28" s="657">
        <f t="shared" si="24"/>
        <v>0</v>
      </c>
      <c r="W28" s="657">
        <f t="shared" si="24"/>
        <v>-1</v>
      </c>
      <c r="X28" s="657">
        <f t="shared" si="24"/>
        <v>1</v>
      </c>
      <c r="Y28" s="657">
        <f t="shared" si="24"/>
        <v>1</v>
      </c>
      <c r="Z28" s="655">
        <f>sum(Z29:Z30)</f>
        <v>9</v>
      </c>
      <c r="AA28" s="659">
        <f>sum(Z28,N28)</f>
        <v>18</v>
      </c>
      <c r="AB28" s="660"/>
    </row>
    <row r="29" ht="22.5" hidden="1" customHeight="1">
      <c r="A29" s="649" t="str">
        <f>A8</f>
        <v>Weezy</v>
      </c>
      <c r="B29" s="649"/>
      <c r="C29" s="650"/>
      <c r="D29" s="649"/>
      <c r="E29" s="651">
        <f t="shared" ref="E29:M29" si="25">if(E28="","",(E28+1)/2)</f>
        <v>1</v>
      </c>
      <c r="F29" s="651">
        <f t="shared" si="25"/>
        <v>0</v>
      </c>
      <c r="G29" s="651">
        <f t="shared" si="25"/>
        <v>0.5</v>
      </c>
      <c r="H29" s="651">
        <f t="shared" si="25"/>
        <v>1</v>
      </c>
      <c r="I29" s="651">
        <f t="shared" si="25"/>
        <v>1</v>
      </c>
      <c r="J29" s="651">
        <f t="shared" si="25"/>
        <v>0</v>
      </c>
      <c r="K29" s="651">
        <f t="shared" si="25"/>
        <v>1</v>
      </c>
      <c r="L29" s="651">
        <f t="shared" si="25"/>
        <v>0.5</v>
      </c>
      <c r="M29" s="651">
        <f t="shared" si="25"/>
        <v>0</v>
      </c>
      <c r="N29" s="649">
        <f>if(M28="","",sum(E29:M29))</f>
        <v>5</v>
      </c>
      <c r="O29" s="472"/>
      <c r="P29" s="473"/>
      <c r="Q29" s="651">
        <f t="shared" ref="Q29:Y29" si="26">if(Q28="","",(Q28+1)/2)</f>
        <v>1</v>
      </c>
      <c r="R29" s="651">
        <f t="shared" si="26"/>
        <v>1</v>
      </c>
      <c r="S29" s="651">
        <f t="shared" si="26"/>
        <v>0</v>
      </c>
      <c r="T29" s="651">
        <f t="shared" si="26"/>
        <v>0</v>
      </c>
      <c r="U29" s="651">
        <f t="shared" si="26"/>
        <v>0</v>
      </c>
      <c r="V29" s="651">
        <f t="shared" si="26"/>
        <v>0.5</v>
      </c>
      <c r="W29" s="651">
        <f t="shared" si="26"/>
        <v>0</v>
      </c>
      <c r="X29" s="651">
        <f t="shared" si="26"/>
        <v>1</v>
      </c>
      <c r="Y29" s="651">
        <f t="shared" si="26"/>
        <v>1</v>
      </c>
      <c r="Z29" s="649">
        <f>if(Y28="","",sum(Q29:Y29))</f>
        <v>4.5</v>
      </c>
      <c r="AA29" s="661">
        <f>if(Y28="","",sum(Z29,N29))</f>
        <v>9.5</v>
      </c>
      <c r="AB29" s="662">
        <f>if(Y28="","",AB20)</f>
        <v>2.5</v>
      </c>
    </row>
    <row r="30" ht="22.5" hidden="1" customHeight="1">
      <c r="A30" s="649" t="str">
        <f>A11</f>
        <v>Pace</v>
      </c>
      <c r="B30" s="649"/>
      <c r="C30" s="650"/>
      <c r="D30" s="649"/>
      <c r="E30" s="651">
        <f t="shared" ref="E30:M30" si="27">if(E28="","",1-E29)</f>
        <v>0</v>
      </c>
      <c r="F30" s="651">
        <f t="shared" si="27"/>
        <v>1</v>
      </c>
      <c r="G30" s="651">
        <f t="shared" si="27"/>
        <v>0.5</v>
      </c>
      <c r="H30" s="651">
        <f t="shared" si="27"/>
        <v>0</v>
      </c>
      <c r="I30" s="651">
        <f t="shared" si="27"/>
        <v>0</v>
      </c>
      <c r="J30" s="651">
        <f t="shared" si="27"/>
        <v>1</v>
      </c>
      <c r="K30" s="651">
        <f t="shared" si="27"/>
        <v>0</v>
      </c>
      <c r="L30" s="651">
        <f t="shared" si="27"/>
        <v>0.5</v>
      </c>
      <c r="M30" s="651">
        <f t="shared" si="27"/>
        <v>1</v>
      </c>
      <c r="N30" s="649">
        <f>if(M28="","",sum(E30:M30))</f>
        <v>4</v>
      </c>
      <c r="O30" s="472"/>
      <c r="P30" s="473"/>
      <c r="Q30" s="651">
        <f t="shared" ref="Q30:Y30" si="28">if(Q28="","",1-Q29)</f>
        <v>0</v>
      </c>
      <c r="R30" s="651">
        <f t="shared" si="28"/>
        <v>0</v>
      </c>
      <c r="S30" s="651">
        <f t="shared" si="28"/>
        <v>1</v>
      </c>
      <c r="T30" s="651">
        <f t="shared" si="28"/>
        <v>1</v>
      </c>
      <c r="U30" s="651">
        <f t="shared" si="28"/>
        <v>1</v>
      </c>
      <c r="V30" s="651">
        <f t="shared" si="28"/>
        <v>0.5</v>
      </c>
      <c r="W30" s="651">
        <f t="shared" si="28"/>
        <v>1</v>
      </c>
      <c r="X30" s="651">
        <f t="shared" si="28"/>
        <v>0</v>
      </c>
      <c r="Y30" s="651">
        <f t="shared" si="28"/>
        <v>0</v>
      </c>
      <c r="Z30" s="649">
        <f>if(Y28="","",sum(Q30:Y30))</f>
        <v>4.5</v>
      </c>
      <c r="AA30" s="661">
        <f>if(Y28="","",sum(Z30,N30))</f>
        <v>8.5</v>
      </c>
      <c r="AB30" s="662">
        <f>if(Y28="","",3-AB20)</f>
        <v>0.5</v>
      </c>
    </row>
    <row r="31" ht="22.5" hidden="1" customHeight="1">
      <c r="A31" s="660"/>
      <c r="B31" s="655" t="str">
        <f>B23</f>
        <v>Bottom - Front</v>
      </c>
      <c r="C31" s="656"/>
      <c r="D31" s="655"/>
      <c r="E31" s="657">
        <f t="shared" ref="E31:M31" si="29">if(and(E15="", E18=""), "",if(E15-E14&lt;E18-E17,1,if(E15-E14&gt;E18-E17,-1,0)))</f>
        <v>-1</v>
      </c>
      <c r="F31" s="657">
        <f t="shared" si="29"/>
        <v>0</v>
      </c>
      <c r="G31" s="657">
        <f t="shared" si="29"/>
        <v>0</v>
      </c>
      <c r="H31" s="657">
        <f t="shared" si="29"/>
        <v>-1</v>
      </c>
      <c r="I31" s="657">
        <f t="shared" si="29"/>
        <v>1</v>
      </c>
      <c r="J31" s="657">
        <f t="shared" si="29"/>
        <v>0</v>
      </c>
      <c r="K31" s="657">
        <f t="shared" si="29"/>
        <v>0</v>
      </c>
      <c r="L31" s="657">
        <f t="shared" si="29"/>
        <v>1</v>
      </c>
      <c r="M31" s="657">
        <f t="shared" si="29"/>
        <v>1</v>
      </c>
      <c r="N31" s="655">
        <f>sum(N32:N33)</f>
        <v>9</v>
      </c>
      <c r="O31" s="658"/>
      <c r="P31" s="658"/>
      <c r="Q31" s="657">
        <f t="shared" ref="Q31:Y31" si="30">if(and(Q15="", Q18=""), "",if(Q15-Q14&lt;Q18-Q17,1,if(Q15-Q14&gt;Q18-Q17,-1,0)))</f>
        <v>0</v>
      </c>
      <c r="R31" s="657">
        <f t="shared" si="30"/>
        <v>-1</v>
      </c>
      <c r="S31" s="657">
        <f t="shared" si="30"/>
        <v>1</v>
      </c>
      <c r="T31" s="657">
        <f t="shared" si="30"/>
        <v>1</v>
      </c>
      <c r="U31" s="657">
        <f t="shared" si="30"/>
        <v>0</v>
      </c>
      <c r="V31" s="657">
        <f t="shared" si="30"/>
        <v>-1</v>
      </c>
      <c r="W31" s="657">
        <f t="shared" si="30"/>
        <v>0</v>
      </c>
      <c r="X31" s="657">
        <f t="shared" si="30"/>
        <v>1</v>
      </c>
      <c r="Y31" s="657">
        <f t="shared" si="30"/>
        <v>0</v>
      </c>
      <c r="Z31" s="655">
        <f>sum(Z32:Z33)</f>
        <v>9</v>
      </c>
      <c r="AA31" s="659">
        <f>sum(Z31,N31)</f>
        <v>18</v>
      </c>
      <c r="AB31" s="655"/>
    </row>
    <row r="32" ht="22.5" hidden="1" customHeight="1">
      <c r="A32" s="649" t="str">
        <f>A15</f>
        <v>T-Mo</v>
      </c>
      <c r="B32" s="649"/>
      <c r="C32" s="650"/>
      <c r="D32" s="649"/>
      <c r="E32" s="651">
        <f t="shared" ref="E32:M32" si="31">if(E31="","",(E31+1)/2)</f>
        <v>0</v>
      </c>
      <c r="F32" s="651">
        <f t="shared" si="31"/>
        <v>0.5</v>
      </c>
      <c r="G32" s="651">
        <f t="shared" si="31"/>
        <v>0.5</v>
      </c>
      <c r="H32" s="651">
        <f t="shared" si="31"/>
        <v>0</v>
      </c>
      <c r="I32" s="651">
        <f t="shared" si="31"/>
        <v>1</v>
      </c>
      <c r="J32" s="651">
        <f t="shared" si="31"/>
        <v>0.5</v>
      </c>
      <c r="K32" s="651">
        <f t="shared" si="31"/>
        <v>0.5</v>
      </c>
      <c r="L32" s="651">
        <f t="shared" si="31"/>
        <v>1</v>
      </c>
      <c r="M32" s="651">
        <f t="shared" si="31"/>
        <v>1</v>
      </c>
      <c r="N32" s="649">
        <f>if(M31="","",sum(E32:M32))</f>
        <v>5</v>
      </c>
      <c r="O32" s="472"/>
      <c r="P32" s="473"/>
      <c r="Q32" s="651">
        <f t="shared" ref="Q32:Y32" si="32">if(Q31="","",(Q31+1)/2)</f>
        <v>0.5</v>
      </c>
      <c r="R32" s="651">
        <f t="shared" si="32"/>
        <v>0</v>
      </c>
      <c r="S32" s="651">
        <f t="shared" si="32"/>
        <v>1</v>
      </c>
      <c r="T32" s="651">
        <f t="shared" si="32"/>
        <v>1</v>
      </c>
      <c r="U32" s="651">
        <f t="shared" si="32"/>
        <v>0.5</v>
      </c>
      <c r="V32" s="651">
        <f t="shared" si="32"/>
        <v>0</v>
      </c>
      <c r="W32" s="651">
        <f t="shared" si="32"/>
        <v>0.5</v>
      </c>
      <c r="X32" s="651">
        <f t="shared" si="32"/>
        <v>1</v>
      </c>
      <c r="Y32" s="651">
        <f t="shared" si="32"/>
        <v>0.5</v>
      </c>
      <c r="Z32" s="649">
        <f>if(Y31="","",sum(Q32:Y32))</f>
        <v>5</v>
      </c>
      <c r="AA32" s="661">
        <f>if(Y28="","",sum(Z32,N32))</f>
        <v>10</v>
      </c>
      <c r="AB32" s="662">
        <f>if(Y28="","",AB23)</f>
        <v>3</v>
      </c>
    </row>
    <row r="33" ht="22.5" hidden="1" customHeight="1">
      <c r="A33" s="649" t="str">
        <f>A18</f>
        <v>House</v>
      </c>
      <c r="B33" s="649"/>
      <c r="C33" s="650"/>
      <c r="D33" s="649"/>
      <c r="E33" s="651">
        <f t="shared" ref="E33:M33" si="33">if(E31="","",1-E32)</f>
        <v>1</v>
      </c>
      <c r="F33" s="651">
        <f t="shared" si="33"/>
        <v>0.5</v>
      </c>
      <c r="G33" s="651">
        <f t="shared" si="33"/>
        <v>0.5</v>
      </c>
      <c r="H33" s="651">
        <f t="shared" si="33"/>
        <v>1</v>
      </c>
      <c r="I33" s="651">
        <f t="shared" si="33"/>
        <v>0</v>
      </c>
      <c r="J33" s="651">
        <f t="shared" si="33"/>
        <v>0.5</v>
      </c>
      <c r="K33" s="651">
        <f t="shared" si="33"/>
        <v>0.5</v>
      </c>
      <c r="L33" s="651">
        <f t="shared" si="33"/>
        <v>0</v>
      </c>
      <c r="M33" s="651">
        <f t="shared" si="33"/>
        <v>0</v>
      </c>
      <c r="N33" s="649">
        <f>if(M31="","",sum(E33:M33))</f>
        <v>4</v>
      </c>
      <c r="O33" s="472"/>
      <c r="P33" s="473"/>
      <c r="Q33" s="651">
        <f t="shared" ref="Q33:Y33" si="34">if(Q31="","",1-Q32)</f>
        <v>0.5</v>
      </c>
      <c r="R33" s="651">
        <f t="shared" si="34"/>
        <v>1</v>
      </c>
      <c r="S33" s="651">
        <f t="shared" si="34"/>
        <v>0</v>
      </c>
      <c r="T33" s="651">
        <f t="shared" si="34"/>
        <v>0</v>
      </c>
      <c r="U33" s="651">
        <f t="shared" si="34"/>
        <v>0.5</v>
      </c>
      <c r="V33" s="651">
        <f t="shared" si="34"/>
        <v>1</v>
      </c>
      <c r="W33" s="651">
        <f t="shared" si="34"/>
        <v>0.5</v>
      </c>
      <c r="X33" s="651">
        <f t="shared" si="34"/>
        <v>0</v>
      </c>
      <c r="Y33" s="651">
        <f t="shared" si="34"/>
        <v>0.5</v>
      </c>
      <c r="Z33" s="649">
        <f>if(Y31="","",sum(Q33:Y33))</f>
        <v>4</v>
      </c>
      <c r="AA33" s="661">
        <f>if(Y28="","",sum(Z33,N33))</f>
        <v>8</v>
      </c>
      <c r="AB33" s="662">
        <f>if(Y28="","",3-AB23)</f>
        <v>0</v>
      </c>
    </row>
    <row r="34" ht="22.5" hidden="1" customHeight="1">
      <c r="A34" s="649"/>
      <c r="B34" s="649"/>
      <c r="C34" s="650"/>
      <c r="D34" s="649"/>
      <c r="E34" s="649">
        <f t="shared" ref="E34:N34" si="35">sum(E29:E30,E32:E33)</f>
        <v>2</v>
      </c>
      <c r="F34" s="649">
        <f t="shared" si="35"/>
        <v>2</v>
      </c>
      <c r="G34" s="649">
        <f t="shared" si="35"/>
        <v>2</v>
      </c>
      <c r="H34" s="649">
        <f t="shared" si="35"/>
        <v>2</v>
      </c>
      <c r="I34" s="649">
        <f t="shared" si="35"/>
        <v>2</v>
      </c>
      <c r="J34" s="649">
        <f t="shared" si="35"/>
        <v>2</v>
      </c>
      <c r="K34" s="649">
        <f t="shared" si="35"/>
        <v>2</v>
      </c>
      <c r="L34" s="649">
        <f t="shared" si="35"/>
        <v>2</v>
      </c>
      <c r="M34" s="649">
        <f t="shared" si="35"/>
        <v>2</v>
      </c>
      <c r="N34" s="649">
        <f t="shared" si="35"/>
        <v>18</v>
      </c>
      <c r="O34" s="472"/>
      <c r="P34" s="473"/>
      <c r="Q34" s="649">
        <f t="shared" ref="Q34:AA34" si="36">sum(Q29:Q30,Q32:Q33)</f>
        <v>2</v>
      </c>
      <c r="R34" s="649">
        <f t="shared" si="36"/>
        <v>2</v>
      </c>
      <c r="S34" s="649">
        <f t="shared" si="36"/>
        <v>2</v>
      </c>
      <c r="T34" s="649">
        <f t="shared" si="36"/>
        <v>2</v>
      </c>
      <c r="U34" s="649">
        <f t="shared" si="36"/>
        <v>2</v>
      </c>
      <c r="V34" s="649">
        <f t="shared" si="36"/>
        <v>2</v>
      </c>
      <c r="W34" s="649">
        <f t="shared" si="36"/>
        <v>2</v>
      </c>
      <c r="X34" s="649">
        <f t="shared" si="36"/>
        <v>2</v>
      </c>
      <c r="Y34" s="649">
        <f t="shared" si="36"/>
        <v>2</v>
      </c>
      <c r="Z34" s="649">
        <f t="shared" si="36"/>
        <v>18</v>
      </c>
      <c r="AA34" s="649">
        <f t="shared" si="36"/>
        <v>36</v>
      </c>
      <c r="AB34" s="662"/>
    </row>
  </sheetData>
  <mergeCells count="1">
    <mergeCell ref="B2:B3"/>
  </mergeCells>
  <conditionalFormatting sqref="E15:M15 Q15:Y15">
    <cfRule type="expression" dxfId="16" priority="1">
      <formula>E$31=1</formula>
    </cfRule>
  </conditionalFormatting>
  <conditionalFormatting sqref="E18:M18 Q18:Y18">
    <cfRule type="expression" dxfId="15" priority="2">
      <formula>E$31=-1</formula>
    </cfRule>
  </conditionalFormatting>
  <conditionalFormatting sqref="E8:M8 Q8:Y8">
    <cfRule type="expression" dxfId="16" priority="3">
      <formula>E$28=1</formula>
    </cfRule>
  </conditionalFormatting>
  <conditionalFormatting sqref="E11:M11 Q11:Y11">
    <cfRule type="expression" dxfId="15" priority="4">
      <formula>E$28=-1</formula>
    </cfRule>
  </conditionalFormatting>
  <conditionalFormatting sqref="N20 Z20:Z21 AB20 N23 Z23:Z24 AB23">
    <cfRule type="notContainsBlanks" dxfId="16" priority="5">
      <formula>LEN(TRIM(N20))&gt;0</formula>
    </cfRule>
  </conditionalFormatting>
  <conditionalFormatting sqref="AB21 AB24">
    <cfRule type="notContainsBlanks" dxfId="15" priority="6">
      <formula>LEN(TRIM(AB21))&gt;0</formula>
    </cfRule>
  </conditionalFormatting>
  <conditionalFormatting sqref="E8:M8 Q8:Y8 E11:M11 Q11:Y11">
    <cfRule type="expression" dxfId="2" priority="7">
      <formula>E$28=0</formula>
    </cfRule>
  </conditionalFormatting>
  <conditionalFormatting sqref="E11:M11 Q11:Y11">
    <cfRule type="expression" dxfId="2" priority="8">
      <formula>E$28=0</formula>
    </cfRule>
  </conditionalFormatting>
  <conditionalFormatting sqref="E15:M15 Q15:Y15 E18:M18 Q18:Y18">
    <cfRule type="expression" dxfId="2" priority="9">
      <formula>E$31=0</formula>
    </cfRule>
  </conditionalFormatting>
  <conditionalFormatting sqref="E18:M18 Q18:Y18">
    <cfRule type="expression" dxfId="2" priority="10">
      <formula>E$31=0</formula>
    </cfRule>
  </conditionalFormatting>
  <printOptions horizontalCentered="1"/>
  <pageMargins bottom="0.25" footer="0.0" header="0.0" left="0.55" right="0.25" top="0.2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5" t="s">
        <v>75</v>
      </c>
      <c r="B1" s="496">
        <f>'Master Input'!G4</f>
        <v>0.3638888889</v>
      </c>
      <c r="C1" s="497" t="str">
        <f>'Master Input'!$G$2</f>
        <v>Round 2</v>
      </c>
      <c r="D1" s="498"/>
      <c r="E1" s="497" t="str">
        <f>'Master Input'!$G$6</f>
        <v>Ravines GC - White</v>
      </c>
      <c r="F1" s="498"/>
      <c r="G1" s="498"/>
      <c r="H1" s="498"/>
      <c r="I1" s="498"/>
      <c r="J1" s="498"/>
      <c r="K1" s="498"/>
      <c r="L1" s="498"/>
      <c r="M1" s="498"/>
      <c r="N1" s="499"/>
      <c r="O1" s="301"/>
      <c r="P1" s="500" t="str">
        <f>'Master Input'!$G$2</f>
        <v>Round 2</v>
      </c>
      <c r="Q1" s="498"/>
      <c r="R1" s="497" t="str">
        <f>'Master Input'!$G$6</f>
        <v>Ravines GC - White</v>
      </c>
      <c r="S1" s="498"/>
      <c r="T1" s="498"/>
      <c r="U1" s="498"/>
      <c r="V1" s="498"/>
      <c r="W1" s="498"/>
      <c r="X1" s="498"/>
      <c r="Y1" s="498"/>
      <c r="Z1" s="498"/>
      <c r="AA1" s="498"/>
      <c r="AB1" s="499"/>
    </row>
    <row r="2" ht="14.25" customHeight="1">
      <c r="A2" s="305" t="s">
        <v>55</v>
      </c>
      <c r="B2" s="501" t="str">
        <f>'Match Selection'!B9</f>
        <v>Singles Matches</v>
      </c>
      <c r="C2" s="502"/>
      <c r="D2" s="308" t="s">
        <v>55</v>
      </c>
      <c r="E2" s="503">
        <f>vlookup($E1, 'Course List'!$A$3:$AS$14,5+E4, false)</f>
        <v>9</v>
      </c>
      <c r="F2" s="310">
        <f>vlookup($E1, 'Course List'!$A$3:$AS$14,5+F4, false)</f>
        <v>15</v>
      </c>
      <c r="G2" s="310">
        <f>vlookup($E1, 'Course List'!$A$3:$AS$14,5+G4, false)</f>
        <v>13</v>
      </c>
      <c r="H2" s="310">
        <f>vlookup($E1, 'Course List'!$A$3:$AS$14,5+H4, false)</f>
        <v>1</v>
      </c>
      <c r="I2" s="310">
        <f>vlookup($E1, 'Course List'!$A$3:$AS$14,5+I4, false)</f>
        <v>3</v>
      </c>
      <c r="J2" s="310">
        <f>vlookup($E1, 'Course List'!$A$3:$AS$14,5+J4, false)</f>
        <v>5</v>
      </c>
      <c r="K2" s="310">
        <f>vlookup($E1, 'Course List'!$A$3:$AS$14,5+K4, false)</f>
        <v>17</v>
      </c>
      <c r="L2" s="310">
        <f>vlookup($E1, 'Course List'!$A$3:$AS$14,5+L4, false)</f>
        <v>11</v>
      </c>
      <c r="M2" s="311">
        <f>vlookup($E1, 'Course List'!$A$3:$AS$14,5+M4, false)</f>
        <v>7</v>
      </c>
      <c r="N2" s="504"/>
      <c r="O2" s="313"/>
      <c r="P2" s="314" t="s">
        <v>55</v>
      </c>
      <c r="Q2" s="310">
        <f>vlookup($E1, 'Course List'!$A$3:$AS$14,5+Q4, false)</f>
        <v>4</v>
      </c>
      <c r="R2" s="310">
        <f>vlookup($E1, 'Course List'!$A$3:$AS$14,5+R4, false)</f>
        <v>10</v>
      </c>
      <c r="S2" s="310">
        <f>vlookup($E1, 'Course List'!$A$3:$AS$14,5+S4, false)</f>
        <v>16</v>
      </c>
      <c r="T2" s="310">
        <f>vlookup($E1, 'Course List'!$A$3:$AS$14,5+T4, false)</f>
        <v>14</v>
      </c>
      <c r="U2" s="310">
        <f>vlookup($E1, 'Course List'!$A$3:$AS$14,5+U4, false)</f>
        <v>2</v>
      </c>
      <c r="V2" s="310">
        <f>vlookup($E1, 'Course List'!$A$3:$AS$14,5+V4, false)</f>
        <v>8</v>
      </c>
      <c r="W2" s="310">
        <f>vlookup($E1, 'Course List'!$A$3:$AS$14,5+W4, false)</f>
        <v>18</v>
      </c>
      <c r="X2" s="310">
        <f>vlookup($E1, 'Course List'!$A$3:$AS$14,5+X4, false)</f>
        <v>12</v>
      </c>
      <c r="Y2" s="311">
        <f>vlookup($E1, 'Course List'!$A$3:$AS$14,5+Y4, false)</f>
        <v>6</v>
      </c>
      <c r="Z2" s="504"/>
      <c r="AA2" s="315"/>
      <c r="AB2" s="316"/>
    </row>
    <row r="3" ht="14.25" customHeight="1">
      <c r="A3" s="505" t="s">
        <v>56</v>
      </c>
      <c r="B3" s="317"/>
      <c r="C3" s="506"/>
      <c r="D3" s="507" t="s">
        <v>56</v>
      </c>
      <c r="E3" s="508">
        <f>vlookup($E1, 'Course List'!$A$3:$AS$14,27+E4, false)</f>
        <v>4</v>
      </c>
      <c r="F3" s="509">
        <f>vlookup($E1, 'Course List'!$A$3:$AS$14,27+F4, false)</f>
        <v>4</v>
      </c>
      <c r="G3" s="509">
        <f>vlookup($E1, 'Course List'!$A$3:$AS$14,27+G4, false)</f>
        <v>3</v>
      </c>
      <c r="H3" s="509">
        <f>vlookup($E1, 'Course List'!$A$3:$AS$14,27+H4, false)</f>
        <v>5</v>
      </c>
      <c r="I3" s="509">
        <f>vlookup($E1, 'Course List'!$A$3:$AS$14,27+I4, false)</f>
        <v>4</v>
      </c>
      <c r="J3" s="509">
        <f>vlookup($E1, 'Course List'!$A$3:$AS$14,27+J4, false)</f>
        <v>4</v>
      </c>
      <c r="K3" s="509">
        <f>vlookup($E1, 'Course List'!$A$3:$AS$14,27+K4, false)</f>
        <v>4</v>
      </c>
      <c r="L3" s="509">
        <f>vlookup($E1, 'Course List'!$A$3:$AS$14,27+L4, false)</f>
        <v>3</v>
      </c>
      <c r="M3" s="510">
        <f>vlookup($E1, 'Course List'!$A$3:$AS$14,27+M4, false)</f>
        <v>5</v>
      </c>
      <c r="N3" s="511">
        <f>SUM(E3:M3)</f>
        <v>36</v>
      </c>
      <c r="O3" s="313"/>
      <c r="P3" s="305" t="s">
        <v>56</v>
      </c>
      <c r="Q3" s="509">
        <f>vlookup($E1, 'Course List'!$A$3:$AS$14,27+Q4, false)</f>
        <v>4</v>
      </c>
      <c r="R3" s="509">
        <f>vlookup($E1, 'Course List'!$A$3:$AS$14,27+R4, false)</f>
        <v>4</v>
      </c>
      <c r="S3" s="509">
        <f>vlookup($E1, 'Course List'!$A$3:$AS$14,27+S4, false)</f>
        <v>3</v>
      </c>
      <c r="T3" s="509">
        <f>vlookup($E1, 'Course List'!$A$3:$AS$14,27+T4, false)</f>
        <v>4</v>
      </c>
      <c r="U3" s="509">
        <f>vlookup($E1, 'Course List'!$A$3:$AS$14,27+U4, false)</f>
        <v>5</v>
      </c>
      <c r="V3" s="509">
        <f>vlookup($E1, 'Course List'!$A$3:$AS$14,27+V4, false)</f>
        <v>4</v>
      </c>
      <c r="W3" s="509">
        <f>vlookup($E1, 'Course List'!$A$3:$AS$14,27+W4, false)</f>
        <v>4</v>
      </c>
      <c r="X3" s="509">
        <f>vlookup($E1, 'Course List'!$A$3:$AS$14,27+X4, false)</f>
        <v>3</v>
      </c>
      <c r="Y3" s="510">
        <f>vlookup($E1, 'Course List'!$A$3:$AS$14,27+Y4, false)</f>
        <v>5</v>
      </c>
      <c r="Z3" s="511">
        <f>SUM(Q3:Y3)</f>
        <v>36</v>
      </c>
      <c r="AA3" s="509">
        <f>N3+Z3</f>
        <v>72</v>
      </c>
      <c r="AB3" s="512"/>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343"/>
      <c r="B6" s="513"/>
      <c r="C6" s="514"/>
      <c r="D6" s="515"/>
      <c r="E6" s="349" t="str">
        <f t="shared" ref="E6:M6" si="1">if(E7=1,"O", if(E7=2,"O   O",""))</f>
        <v/>
      </c>
      <c r="F6" s="349" t="str">
        <f t="shared" si="1"/>
        <v/>
      </c>
      <c r="G6" s="349" t="str">
        <f t="shared" si="1"/>
        <v/>
      </c>
      <c r="H6" s="349" t="str">
        <f t="shared" si="1"/>
        <v/>
      </c>
      <c r="I6" s="349" t="str">
        <f t="shared" si="1"/>
        <v/>
      </c>
      <c r="J6" s="349" t="str">
        <f t="shared" si="1"/>
        <v/>
      </c>
      <c r="K6" s="349" t="str">
        <f t="shared" si="1"/>
        <v/>
      </c>
      <c r="L6" s="349" t="str">
        <f t="shared" si="1"/>
        <v/>
      </c>
      <c r="M6" s="349" t="str">
        <f t="shared" si="1"/>
        <v/>
      </c>
      <c r="N6" s="516"/>
      <c r="O6" s="351"/>
      <c r="P6" s="517"/>
      <c r="Q6" s="349" t="str">
        <f t="shared" ref="Q6:Y6" si="2">if(Q7=1,"O", if(Q7=2,"O   O",""))</f>
        <v/>
      </c>
      <c r="R6" s="348" t="str">
        <f t="shared" si="2"/>
        <v/>
      </c>
      <c r="S6" s="348" t="str">
        <f t="shared" si="2"/>
        <v/>
      </c>
      <c r="T6" s="349" t="str">
        <f t="shared" si="2"/>
        <v/>
      </c>
      <c r="U6" s="349" t="str">
        <f t="shared" si="2"/>
        <v/>
      </c>
      <c r="V6" s="349" t="str">
        <f t="shared" si="2"/>
        <v/>
      </c>
      <c r="W6" s="349" t="str">
        <f t="shared" si="2"/>
        <v/>
      </c>
      <c r="X6" s="349" t="str">
        <f t="shared" si="2"/>
        <v/>
      </c>
      <c r="Y6" s="518" t="str">
        <f t="shared" si="2"/>
        <v/>
      </c>
      <c r="Z6" s="519"/>
      <c r="AA6" s="520"/>
      <c r="AB6" s="521"/>
    </row>
    <row r="7" ht="22.5" hidden="1" customHeight="1">
      <c r="A7" s="356"/>
      <c r="B7" s="357"/>
      <c r="C7" s="522"/>
      <c r="D7" s="523"/>
      <c r="E7" s="524">
        <f t="shared" ref="E7:M7" si="3">IF($D8&gt;0,FLOOR($D8/18,1),0)+IF(AND(MOD($D8,18)&gt;=E$2,$D8&gt;0),1,0)-IF(E$2-18&gt;$D8,1,0)</f>
        <v>0</v>
      </c>
      <c r="F7" s="524">
        <f t="shared" si="3"/>
        <v>0</v>
      </c>
      <c r="G7" s="524">
        <f t="shared" si="3"/>
        <v>0</v>
      </c>
      <c r="H7" s="524">
        <f t="shared" si="3"/>
        <v>0</v>
      </c>
      <c r="I7" s="524">
        <f t="shared" si="3"/>
        <v>0</v>
      </c>
      <c r="J7" s="524">
        <f t="shared" si="3"/>
        <v>0</v>
      </c>
      <c r="K7" s="524">
        <f t="shared" si="3"/>
        <v>0</v>
      </c>
      <c r="L7" s="524">
        <f t="shared" si="3"/>
        <v>0</v>
      </c>
      <c r="M7" s="524">
        <f t="shared" si="3"/>
        <v>0</v>
      </c>
      <c r="N7" s="525"/>
      <c r="O7" s="364"/>
      <c r="P7" s="526"/>
      <c r="Q7" s="524">
        <f t="shared" ref="Q7:Y7" si="4">IF($D8&gt;0,FLOOR($D8/18,1),0)+IF(AND(MOD($D8,18)&gt;=Q$2,$D8&gt;0),1,0)-IF(Q$2-18&gt;$D8,1,0)</f>
        <v>0</v>
      </c>
      <c r="R7" s="361">
        <f t="shared" si="4"/>
        <v>0</v>
      </c>
      <c r="S7" s="361">
        <f t="shared" si="4"/>
        <v>0</v>
      </c>
      <c r="T7" s="524">
        <f t="shared" si="4"/>
        <v>0</v>
      </c>
      <c r="U7" s="524">
        <f t="shared" si="4"/>
        <v>0</v>
      </c>
      <c r="V7" s="524">
        <f t="shared" si="4"/>
        <v>0</v>
      </c>
      <c r="W7" s="524">
        <f t="shared" si="4"/>
        <v>0</v>
      </c>
      <c r="X7" s="524">
        <f t="shared" si="4"/>
        <v>0</v>
      </c>
      <c r="Y7" s="527">
        <f t="shared" si="4"/>
        <v>0</v>
      </c>
      <c r="Z7" s="528"/>
      <c r="AA7" s="529"/>
      <c r="AB7" s="530"/>
    </row>
    <row r="8" ht="24.75" customHeight="1">
      <c r="A8" s="369" t="str">
        <f>'Match Selection'!P9</f>
        <v>KJ</v>
      </c>
      <c r="B8" s="370" t="str">
        <f>vlookup(A8, 'Master Input'!$A$11:$B$27,2, false)</f>
        <v>Drivers</v>
      </c>
      <c r="C8" s="531">
        <f>vlookup(A8,'Master Input'!$A$11:$L$27,'Master Input'!$H$28, false)</f>
        <v>5</v>
      </c>
      <c r="D8" s="532">
        <f>C8-SMALL($C$8:$C$11,1)</f>
        <v>0</v>
      </c>
      <c r="E8" s="533">
        <v>5.0</v>
      </c>
      <c r="F8" s="533">
        <v>5.0</v>
      </c>
      <c r="G8" s="533">
        <v>3.0</v>
      </c>
      <c r="H8" s="533">
        <v>5.0</v>
      </c>
      <c r="I8" s="533">
        <v>4.0</v>
      </c>
      <c r="J8" s="533">
        <v>7.0</v>
      </c>
      <c r="K8" s="533">
        <v>5.0</v>
      </c>
      <c r="L8" s="533">
        <v>4.0</v>
      </c>
      <c r="M8" s="533">
        <v>4.0</v>
      </c>
      <c r="N8" s="534">
        <f>if(M8="","", sum(E8:M8))</f>
        <v>42</v>
      </c>
      <c r="O8" s="364"/>
      <c r="P8" s="535" t="str">
        <f>A8</f>
        <v>KJ</v>
      </c>
      <c r="Q8" s="533">
        <v>6.0</v>
      </c>
      <c r="R8" s="374">
        <v>5.0</v>
      </c>
      <c r="S8" s="374">
        <v>3.0</v>
      </c>
      <c r="T8" s="533">
        <v>4.0</v>
      </c>
      <c r="U8" s="533">
        <v>5.0</v>
      </c>
      <c r="V8" s="533">
        <v>4.0</v>
      </c>
      <c r="W8" s="533">
        <v>3.0</v>
      </c>
      <c r="X8" s="533">
        <v>2.0</v>
      </c>
      <c r="Y8" s="536">
        <v>4.0</v>
      </c>
      <c r="Z8" s="537">
        <f>if(Y8="","", sum(Q8:Y8))</f>
        <v>36</v>
      </c>
      <c r="AA8" s="538">
        <f>if(Z8="", "", sum(N8,Z8))</f>
        <v>78</v>
      </c>
      <c r="AB8" s="539">
        <f>if(Y8="", "", AA8-C8)</f>
        <v>73</v>
      </c>
    </row>
    <row r="9" ht="7.5" customHeight="1">
      <c r="A9" s="540"/>
      <c r="B9" s="541"/>
      <c r="C9" s="542"/>
      <c r="D9" s="543"/>
      <c r="E9" s="404" t="str">
        <f t="shared" ref="E9:M9" si="5">if(E10=1,"O", if(E10=2,"O   O",""))</f>
        <v/>
      </c>
      <c r="F9" s="404" t="str">
        <f t="shared" si="5"/>
        <v/>
      </c>
      <c r="G9" s="404" t="str">
        <f t="shared" si="5"/>
        <v/>
      </c>
      <c r="H9" s="404" t="str">
        <f t="shared" si="5"/>
        <v/>
      </c>
      <c r="I9" s="404" t="str">
        <f t="shared" si="5"/>
        <v/>
      </c>
      <c r="J9" s="404" t="str">
        <f t="shared" si="5"/>
        <v/>
      </c>
      <c r="K9" s="404" t="str">
        <f t="shared" si="5"/>
        <v/>
      </c>
      <c r="L9" s="404" t="str">
        <f t="shared" si="5"/>
        <v/>
      </c>
      <c r="M9" s="404" t="str">
        <f t="shared" si="5"/>
        <v/>
      </c>
      <c r="N9" s="544"/>
      <c r="O9" s="545"/>
      <c r="P9" s="546"/>
      <c r="Q9" s="547" t="str">
        <f t="shared" ref="Q9:Y9" si="6">if(Q10=1,"O", if(Q10=2,"O   O",""))</f>
        <v/>
      </c>
      <c r="R9" s="547" t="str">
        <f t="shared" si="6"/>
        <v/>
      </c>
      <c r="S9" s="547" t="str">
        <f t="shared" si="6"/>
        <v/>
      </c>
      <c r="T9" s="404" t="str">
        <f t="shared" si="6"/>
        <v/>
      </c>
      <c r="U9" s="404" t="str">
        <f t="shared" si="6"/>
        <v/>
      </c>
      <c r="V9" s="404" t="str">
        <f t="shared" si="6"/>
        <v/>
      </c>
      <c r="W9" s="404" t="str">
        <f t="shared" si="6"/>
        <v/>
      </c>
      <c r="X9" s="404" t="str">
        <f t="shared" si="6"/>
        <v/>
      </c>
      <c r="Y9" s="548" t="str">
        <f t="shared" si="6"/>
        <v/>
      </c>
      <c r="Z9" s="549"/>
      <c r="AA9" s="550"/>
      <c r="AB9" s="551"/>
    </row>
    <row r="10" ht="22.5" hidden="1" customHeight="1">
      <c r="A10" s="410"/>
      <c r="B10" s="552"/>
      <c r="C10" s="553"/>
      <c r="D10" s="554"/>
      <c r="E10" s="555">
        <f t="shared" ref="E10:M10" si="7">IF($D11&gt;0,FLOOR($D11/18,1),0)+IF(AND(MOD($D11,18)&gt;=E$2,$D11&gt;0),1,0)-IF(E$2-18&gt;$D11,1,0)</f>
        <v>0</v>
      </c>
      <c r="F10" s="555">
        <f t="shared" si="7"/>
        <v>0</v>
      </c>
      <c r="G10" s="555">
        <f t="shared" si="7"/>
        <v>0</v>
      </c>
      <c r="H10" s="555">
        <f t="shared" si="7"/>
        <v>0</v>
      </c>
      <c r="I10" s="555">
        <f t="shared" si="7"/>
        <v>0</v>
      </c>
      <c r="J10" s="555">
        <f t="shared" si="7"/>
        <v>0</v>
      </c>
      <c r="K10" s="555">
        <f t="shared" si="7"/>
        <v>0</v>
      </c>
      <c r="L10" s="555">
        <f t="shared" si="7"/>
        <v>0</v>
      </c>
      <c r="M10" s="555">
        <f t="shared" si="7"/>
        <v>0</v>
      </c>
      <c r="N10" s="556"/>
      <c r="O10" s="557"/>
      <c r="P10" s="546"/>
      <c r="Q10" s="555">
        <f t="shared" ref="Q10:Y10" si="8">IF($D11&gt;0,FLOOR($D11/18,1),0)+IF(AND(MOD($D11,18)&gt;=Q$2,$D11&gt;0),1,0)-IF(Q$2-18&gt;$D11,1,0)</f>
        <v>0</v>
      </c>
      <c r="R10" s="555">
        <f t="shared" si="8"/>
        <v>0</v>
      </c>
      <c r="S10" s="555">
        <f t="shared" si="8"/>
        <v>0</v>
      </c>
      <c r="T10" s="555">
        <f t="shared" si="8"/>
        <v>0</v>
      </c>
      <c r="U10" s="555">
        <f t="shared" si="8"/>
        <v>0</v>
      </c>
      <c r="V10" s="555">
        <f t="shared" si="8"/>
        <v>0</v>
      </c>
      <c r="W10" s="555">
        <f t="shared" si="8"/>
        <v>0</v>
      </c>
      <c r="X10" s="555">
        <f t="shared" si="8"/>
        <v>0</v>
      </c>
      <c r="Y10" s="558">
        <f t="shared" si="8"/>
        <v>0</v>
      </c>
      <c r="Z10" s="559"/>
      <c r="AA10" s="560"/>
      <c r="AB10" s="561"/>
    </row>
    <row r="11" ht="24.75" customHeight="1">
      <c r="A11" s="429" t="str">
        <f>'Match Selection'!S9</f>
        <v>Jensen</v>
      </c>
      <c r="B11" s="562" t="str">
        <f>vlookup(A11, 'Master Input'!$A$11:$B$27,2, false)</f>
        <v>Irons</v>
      </c>
      <c r="C11" s="563">
        <f>vlookup(A11,'Master Input'!$A$11:$L$27,'Master Input'!$H$28, false)</f>
        <v>5</v>
      </c>
      <c r="D11" s="564">
        <f>C11-SMALL($C$8:$C$11,1)</f>
        <v>0</v>
      </c>
      <c r="E11" s="565">
        <v>4.0</v>
      </c>
      <c r="F11" s="565">
        <v>5.0</v>
      </c>
      <c r="G11" s="565">
        <v>3.0</v>
      </c>
      <c r="H11" s="565">
        <v>6.0</v>
      </c>
      <c r="I11" s="565">
        <v>4.0</v>
      </c>
      <c r="J11" s="565">
        <v>5.0</v>
      </c>
      <c r="K11" s="565">
        <v>4.0</v>
      </c>
      <c r="L11" s="565">
        <v>3.0</v>
      </c>
      <c r="M11" s="565">
        <v>4.0</v>
      </c>
      <c r="N11" s="566">
        <f>if(M11="","", sum(E11:M11))</f>
        <v>38</v>
      </c>
      <c r="O11" s="364"/>
      <c r="P11" s="567" t="str">
        <f>A11</f>
        <v>Jensen</v>
      </c>
      <c r="Q11" s="565">
        <v>4.0</v>
      </c>
      <c r="R11" s="565">
        <v>5.0</v>
      </c>
      <c r="S11" s="565">
        <v>3.0</v>
      </c>
      <c r="T11" s="565">
        <v>5.0</v>
      </c>
      <c r="U11" s="565">
        <v>7.0</v>
      </c>
      <c r="V11" s="565">
        <v>4.0</v>
      </c>
      <c r="W11" s="565">
        <v>5.0</v>
      </c>
      <c r="X11" s="565">
        <v>3.0</v>
      </c>
      <c r="Y11" s="568">
        <v>5.0</v>
      </c>
      <c r="Z11" s="569">
        <f>if(Y11="","", sum(Q11:Y11))</f>
        <v>41</v>
      </c>
      <c r="AA11" s="570">
        <f>if(Z11="", "", sum(N11,Z11))</f>
        <v>79</v>
      </c>
      <c r="AB11" s="571">
        <f>if(Y11="", "", AA11-C11)</f>
        <v>74</v>
      </c>
    </row>
    <row r="12" ht="7.5" customHeight="1">
      <c r="A12" s="572"/>
      <c r="B12" s="573"/>
      <c r="C12" s="574"/>
      <c r="D12" s="575"/>
      <c r="E12" s="339"/>
      <c r="F12" s="339"/>
      <c r="G12" s="339"/>
      <c r="H12" s="339"/>
      <c r="I12" s="339"/>
      <c r="J12" s="339"/>
      <c r="K12" s="339"/>
      <c r="L12" s="339"/>
      <c r="M12" s="339"/>
      <c r="N12" s="340"/>
      <c r="O12" s="341"/>
      <c r="P12" s="576"/>
      <c r="Q12" s="339"/>
      <c r="R12" s="339"/>
      <c r="S12" s="339"/>
      <c r="T12" s="339"/>
      <c r="U12" s="339"/>
      <c r="V12" s="339"/>
      <c r="W12" s="339"/>
      <c r="X12" s="339"/>
      <c r="Y12" s="339"/>
      <c r="Z12" s="577"/>
      <c r="AA12" s="578"/>
      <c r="AB12" s="579"/>
    </row>
    <row r="13" ht="7.5" customHeight="1">
      <c r="A13" s="580"/>
      <c r="B13" s="581"/>
      <c r="C13" s="582"/>
      <c r="D13" s="583"/>
      <c r="E13" s="349" t="str">
        <f t="shared" ref="E13:M13" si="9">if(E14=1,"O", if(E14=2,"O   O",""))</f>
        <v/>
      </c>
      <c r="F13" s="349" t="str">
        <f t="shared" si="9"/>
        <v/>
      </c>
      <c r="G13" s="349" t="str">
        <f t="shared" si="9"/>
        <v/>
      </c>
      <c r="H13" s="349" t="str">
        <f t="shared" si="9"/>
        <v/>
      </c>
      <c r="I13" s="349" t="str">
        <f t="shared" si="9"/>
        <v/>
      </c>
      <c r="J13" s="349" t="str">
        <f t="shared" si="9"/>
        <v/>
      </c>
      <c r="K13" s="349" t="str">
        <f t="shared" si="9"/>
        <v/>
      </c>
      <c r="L13" s="349" t="str">
        <f t="shared" si="9"/>
        <v/>
      </c>
      <c r="M13" s="349" t="str">
        <f t="shared" si="9"/>
        <v/>
      </c>
      <c r="N13" s="516"/>
      <c r="O13" s="351"/>
      <c r="P13" s="584"/>
      <c r="Q13" s="349" t="str">
        <f t="shared" ref="Q13:Y13" si="10">if(Q14=1,"O", if(Q14=2,"O   O",""))</f>
        <v/>
      </c>
      <c r="R13" s="349" t="str">
        <f t="shared" si="10"/>
        <v/>
      </c>
      <c r="S13" s="349" t="str">
        <f t="shared" si="10"/>
        <v/>
      </c>
      <c r="T13" s="349" t="str">
        <f t="shared" si="10"/>
        <v/>
      </c>
      <c r="U13" s="349" t="str">
        <f t="shared" si="10"/>
        <v/>
      </c>
      <c r="V13" s="349" t="str">
        <f t="shared" si="10"/>
        <v/>
      </c>
      <c r="W13" s="349" t="str">
        <f t="shared" si="10"/>
        <v/>
      </c>
      <c r="X13" s="349" t="str">
        <f t="shared" si="10"/>
        <v/>
      </c>
      <c r="Y13" s="349" t="str">
        <f t="shared" si="10"/>
        <v/>
      </c>
      <c r="Z13" s="585"/>
      <c r="AA13" s="586"/>
      <c r="AB13" s="587"/>
    </row>
    <row r="14" ht="22.5" hidden="1" customHeight="1">
      <c r="A14" s="392"/>
      <c r="B14" s="357"/>
      <c r="C14" s="522"/>
      <c r="D14" s="523"/>
      <c r="E14" s="524">
        <f t="shared" ref="E14:M14" si="11">IF($D15&gt;0,FLOOR($D15/18,1),0)+IF(AND(MOD($D15,18)&gt;=E$2,$D15&gt;0),1,0)-IF(E$2-18&gt;$D15,1,0)</f>
        <v>0</v>
      </c>
      <c r="F14" s="524">
        <f t="shared" si="11"/>
        <v>0</v>
      </c>
      <c r="G14" s="524">
        <f t="shared" si="11"/>
        <v>0</v>
      </c>
      <c r="H14" s="524">
        <f t="shared" si="11"/>
        <v>0</v>
      </c>
      <c r="I14" s="524">
        <f t="shared" si="11"/>
        <v>0</v>
      </c>
      <c r="J14" s="524">
        <f t="shared" si="11"/>
        <v>0</v>
      </c>
      <c r="K14" s="524">
        <f t="shared" si="11"/>
        <v>0</v>
      </c>
      <c r="L14" s="524">
        <f t="shared" si="11"/>
        <v>0</v>
      </c>
      <c r="M14" s="524">
        <f t="shared" si="11"/>
        <v>0</v>
      </c>
      <c r="N14" s="525"/>
      <c r="O14" s="364"/>
      <c r="P14" s="380"/>
      <c r="Q14" s="524">
        <f t="shared" ref="Q14:Y14" si="12">IF($D15&gt;0,FLOOR($D15/18,1),0)+IF(AND(MOD($D15,18)&gt;=Q$2,$D15&gt;0),1,0)-IF(Q$2-18&gt;$D15,1,0)</f>
        <v>0</v>
      </c>
      <c r="R14" s="524">
        <f t="shared" si="12"/>
        <v>0</v>
      </c>
      <c r="S14" s="524">
        <f t="shared" si="12"/>
        <v>0</v>
      </c>
      <c r="T14" s="524">
        <f t="shared" si="12"/>
        <v>0</v>
      </c>
      <c r="U14" s="524">
        <f t="shared" si="12"/>
        <v>0</v>
      </c>
      <c r="V14" s="524">
        <f t="shared" si="12"/>
        <v>0</v>
      </c>
      <c r="W14" s="524">
        <f t="shared" si="12"/>
        <v>0</v>
      </c>
      <c r="X14" s="524">
        <f t="shared" si="12"/>
        <v>0</v>
      </c>
      <c r="Y14" s="524">
        <f t="shared" si="12"/>
        <v>0</v>
      </c>
      <c r="Z14" s="525"/>
      <c r="AA14" s="560"/>
      <c r="AB14" s="561"/>
    </row>
    <row r="15" ht="24.75" customHeight="1">
      <c r="A15" s="369" t="str">
        <f>'Match Selection'!P10</f>
        <v>TJSC</v>
      </c>
      <c r="B15" s="370" t="str">
        <f>vlookup(A15, 'Master Input'!$A$11:$B$27,2, false)</f>
        <v>Drivers</v>
      </c>
      <c r="C15" s="531">
        <f>vlookup(A15,'Master Input'!$A$11:$L$27,'Master Input'!$H$28, false)</f>
        <v>10</v>
      </c>
      <c r="D15" s="532">
        <f>C15-SMALL($C$15:$C$18,1)</f>
        <v>0</v>
      </c>
      <c r="E15" s="533">
        <v>5.0</v>
      </c>
      <c r="F15" s="533">
        <v>4.0</v>
      </c>
      <c r="G15" s="533">
        <v>3.0</v>
      </c>
      <c r="H15" s="533">
        <v>5.0</v>
      </c>
      <c r="I15" s="533">
        <v>4.0</v>
      </c>
      <c r="J15" s="533">
        <v>6.0</v>
      </c>
      <c r="K15" s="533">
        <v>6.0</v>
      </c>
      <c r="L15" s="533">
        <v>4.0</v>
      </c>
      <c r="M15" s="533">
        <v>8.0</v>
      </c>
      <c r="N15" s="534">
        <f>if(M15="","", sum(E15:M15))</f>
        <v>45</v>
      </c>
      <c r="O15" s="364"/>
      <c r="P15" s="535" t="str">
        <f>A15</f>
        <v>TJSC</v>
      </c>
      <c r="Q15" s="533">
        <v>4.0</v>
      </c>
      <c r="R15" s="533">
        <v>5.0</v>
      </c>
      <c r="S15" s="533">
        <v>4.0</v>
      </c>
      <c r="T15" s="533">
        <v>4.0</v>
      </c>
      <c r="U15" s="533">
        <v>10.0</v>
      </c>
      <c r="V15" s="533">
        <v>4.0</v>
      </c>
      <c r="W15" s="533">
        <v>5.0</v>
      </c>
      <c r="X15" s="533">
        <v>4.0</v>
      </c>
      <c r="Y15" s="533">
        <v>5.0</v>
      </c>
      <c r="Z15" s="534">
        <f>if(Y15="","", sum(Q15:Y15))</f>
        <v>45</v>
      </c>
      <c r="AA15" s="538">
        <f>if(Z15="", "", sum(N15,Z15))</f>
        <v>90</v>
      </c>
      <c r="AB15" s="539">
        <f>if(Y15="", "", AA15-C15)</f>
        <v>80</v>
      </c>
    </row>
    <row r="16" ht="7.5" customHeight="1">
      <c r="A16" s="398"/>
      <c r="B16" s="588"/>
      <c r="C16" s="589"/>
      <c r="D16" s="590"/>
      <c r="E16" s="404" t="str">
        <f t="shared" ref="E16:M16" si="13">if(E17=1,"O", if(E17=2,"O   O",""))</f>
        <v/>
      </c>
      <c r="F16" s="404" t="str">
        <f t="shared" si="13"/>
        <v/>
      </c>
      <c r="G16" s="404" t="str">
        <f t="shared" si="13"/>
        <v/>
      </c>
      <c r="H16" s="404" t="str">
        <f t="shared" si="13"/>
        <v/>
      </c>
      <c r="I16" s="404" t="str">
        <f t="shared" si="13"/>
        <v/>
      </c>
      <c r="J16" s="404" t="str">
        <f t="shared" si="13"/>
        <v/>
      </c>
      <c r="K16" s="404" t="str">
        <f t="shared" si="13"/>
        <v/>
      </c>
      <c r="L16" s="404" t="str">
        <f t="shared" si="13"/>
        <v/>
      </c>
      <c r="M16" s="404" t="str">
        <f t="shared" si="13"/>
        <v/>
      </c>
      <c r="N16" s="544"/>
      <c r="O16" s="545"/>
      <c r="P16" s="591"/>
      <c r="Q16" s="404" t="str">
        <f t="shared" ref="Q16:Y16" si="14">if(Q17=1,"O", if(Q17=2,"O   O",""))</f>
        <v/>
      </c>
      <c r="R16" s="404" t="str">
        <f t="shared" si="14"/>
        <v/>
      </c>
      <c r="S16" s="404" t="str">
        <f t="shared" si="14"/>
        <v/>
      </c>
      <c r="T16" s="404" t="str">
        <f t="shared" si="14"/>
        <v/>
      </c>
      <c r="U16" s="404" t="str">
        <f t="shared" si="14"/>
        <v/>
      </c>
      <c r="V16" s="404" t="str">
        <f t="shared" si="14"/>
        <v/>
      </c>
      <c r="W16" s="404" t="str">
        <f t="shared" si="14"/>
        <v/>
      </c>
      <c r="X16" s="404" t="str">
        <f t="shared" si="14"/>
        <v/>
      </c>
      <c r="Y16" s="404" t="str">
        <f t="shared" si="14"/>
        <v/>
      </c>
      <c r="Z16" s="592"/>
      <c r="AA16" s="593"/>
      <c r="AB16" s="594"/>
    </row>
    <row r="17" ht="22.5" hidden="1" customHeight="1">
      <c r="A17" s="410"/>
      <c r="B17" s="552"/>
      <c r="C17" s="553"/>
      <c r="D17" s="554"/>
      <c r="E17" s="416">
        <f t="shared" ref="E17:M17" si="15">IF($D18&gt;0,FLOOR($D18/18,1),0)+IF(AND(MOD($D18,18)&gt;=E$2,$D18&gt;0),1,0)-IF(E$2-18&gt;$D18,1,0)</f>
        <v>0</v>
      </c>
      <c r="F17" s="416">
        <f t="shared" si="15"/>
        <v>0</v>
      </c>
      <c r="G17" s="416">
        <f t="shared" si="15"/>
        <v>0</v>
      </c>
      <c r="H17" s="416">
        <f t="shared" si="15"/>
        <v>0</v>
      </c>
      <c r="I17" s="416">
        <f t="shared" si="15"/>
        <v>0</v>
      </c>
      <c r="J17" s="416">
        <f t="shared" si="15"/>
        <v>0</v>
      </c>
      <c r="K17" s="416">
        <f t="shared" si="15"/>
        <v>0</v>
      </c>
      <c r="L17" s="416">
        <f t="shared" si="15"/>
        <v>0</v>
      </c>
      <c r="M17" s="416">
        <f t="shared" si="15"/>
        <v>0</v>
      </c>
      <c r="N17" s="525"/>
      <c r="O17" s="364"/>
      <c r="P17" s="540"/>
      <c r="Q17" s="416">
        <f t="shared" ref="Q17:Y17" si="16">IF($D18&gt;0,FLOOR($D18/18,1),0)+IF(AND(MOD($D18,18)&gt;=Q$2,$D18&gt;0),1,0)-IF(Q$2-18&gt;$D18,1,0)</f>
        <v>0</v>
      </c>
      <c r="R17" s="416">
        <f t="shared" si="16"/>
        <v>0</v>
      </c>
      <c r="S17" s="416">
        <f t="shared" si="16"/>
        <v>0</v>
      </c>
      <c r="T17" s="416">
        <f t="shared" si="16"/>
        <v>0</v>
      </c>
      <c r="U17" s="416">
        <f t="shared" si="16"/>
        <v>0</v>
      </c>
      <c r="V17" s="416">
        <f t="shared" si="16"/>
        <v>0</v>
      </c>
      <c r="W17" s="416">
        <f t="shared" si="16"/>
        <v>0</v>
      </c>
      <c r="X17" s="416">
        <f t="shared" si="16"/>
        <v>0</v>
      </c>
      <c r="Y17" s="416">
        <f t="shared" si="16"/>
        <v>0</v>
      </c>
      <c r="Z17" s="525"/>
      <c r="AA17" s="595"/>
      <c r="AB17" s="561"/>
    </row>
    <row r="18" ht="24.75" customHeight="1">
      <c r="A18" s="419" t="str">
        <f>'Match Selection'!S10</f>
        <v>DK</v>
      </c>
      <c r="B18" s="596" t="str">
        <f>vlookup(A18, 'Master Input'!$A$11:$B$27,2, false)</f>
        <v>Irons</v>
      </c>
      <c r="C18" s="597">
        <f>vlookup(A18,'Master Input'!$A$11:$L$27,'Master Input'!$H$28, false)</f>
        <v>10</v>
      </c>
      <c r="D18" s="598">
        <f>C18-SMALL($C$15:$C$18,1)</f>
        <v>0</v>
      </c>
      <c r="E18" s="599">
        <v>4.0</v>
      </c>
      <c r="F18" s="599">
        <v>6.0</v>
      </c>
      <c r="G18" s="599">
        <v>3.0</v>
      </c>
      <c r="H18" s="599">
        <v>7.0</v>
      </c>
      <c r="I18" s="599">
        <v>6.0</v>
      </c>
      <c r="J18" s="599">
        <v>5.0</v>
      </c>
      <c r="K18" s="599">
        <v>6.0</v>
      </c>
      <c r="L18" s="599">
        <v>3.0</v>
      </c>
      <c r="M18" s="599">
        <v>6.0</v>
      </c>
      <c r="N18" s="534">
        <f>if(M18="","", sum(E18:M18))</f>
        <v>46</v>
      </c>
      <c r="O18" s="364"/>
      <c r="P18" s="567" t="str">
        <f>A18</f>
        <v>DK</v>
      </c>
      <c r="Q18" s="565">
        <v>6.0</v>
      </c>
      <c r="R18" s="565">
        <v>4.0</v>
      </c>
      <c r="S18" s="565">
        <v>2.0</v>
      </c>
      <c r="T18" s="565">
        <v>4.0</v>
      </c>
      <c r="U18" s="565">
        <v>6.0</v>
      </c>
      <c r="V18" s="565">
        <v>6.0</v>
      </c>
      <c r="W18" s="565">
        <v>5.0</v>
      </c>
      <c r="X18" s="565">
        <v>3.0</v>
      </c>
      <c r="Y18" s="565">
        <v>6.0</v>
      </c>
      <c r="Z18" s="566">
        <f>if(Y18="","", sum(Q18:Y18))</f>
        <v>42</v>
      </c>
      <c r="AA18" s="570">
        <f>if(Z18="", "", sum(N18,Z18))</f>
        <v>88</v>
      </c>
      <c r="AB18" s="571">
        <f>if(Y18="", "", AA18-C18)</f>
        <v>78</v>
      </c>
    </row>
    <row r="19" ht="11.25" customHeight="1">
      <c r="A19" s="441"/>
      <c r="B19" s="441"/>
      <c r="C19" s="442"/>
      <c r="D19" s="443"/>
      <c r="E19" s="441"/>
      <c r="F19" s="441"/>
      <c r="G19" s="441"/>
      <c r="H19" s="441"/>
      <c r="I19" s="441"/>
      <c r="J19" s="441"/>
      <c r="K19" s="441"/>
      <c r="L19" s="441"/>
      <c r="M19" s="441"/>
      <c r="N19" s="600" t="s">
        <v>7</v>
      </c>
      <c r="O19" s="445"/>
      <c r="P19" s="601"/>
      <c r="Q19" s="601"/>
      <c r="R19" s="601"/>
      <c r="S19" s="601"/>
      <c r="T19" s="601"/>
      <c r="U19" s="601"/>
      <c r="V19" s="601"/>
      <c r="W19" s="601"/>
      <c r="X19" s="601"/>
      <c r="Y19" s="601"/>
      <c r="Z19" s="602"/>
      <c r="AA19" s="603"/>
      <c r="AB19" s="604" t="s">
        <v>64</v>
      </c>
    </row>
    <row r="20" ht="24.75" customHeight="1">
      <c r="A20" s="605" t="str">
        <f>B8&amp;" Top"</f>
        <v>Drivers Top</v>
      </c>
      <c r="B20" s="606" t="s">
        <v>77</v>
      </c>
      <c r="C20" s="607"/>
      <c r="D20" s="608"/>
      <c r="E20" s="609">
        <f>if(E28="","",E28)</f>
        <v>-1</v>
      </c>
      <c r="F20" s="610">
        <f t="shared" ref="F20:M20" si="17">if(F28="","",F28+E20)</f>
        <v>-1</v>
      </c>
      <c r="G20" s="610">
        <f t="shared" si="17"/>
        <v>-1</v>
      </c>
      <c r="H20" s="610">
        <f t="shared" si="17"/>
        <v>0</v>
      </c>
      <c r="I20" s="610">
        <f t="shared" si="17"/>
        <v>0</v>
      </c>
      <c r="J20" s="610">
        <f t="shared" si="17"/>
        <v>-1</v>
      </c>
      <c r="K20" s="610">
        <f t="shared" si="17"/>
        <v>-2</v>
      </c>
      <c r="L20" s="610">
        <f t="shared" si="17"/>
        <v>-3</v>
      </c>
      <c r="M20" s="610">
        <f t="shared" si="17"/>
        <v>-3</v>
      </c>
      <c r="N20" s="611">
        <f>if(M20="", "", if(M20&lt;0, 0, if(M20&gt;0, vlookup($B$2,'Master Input'!$O$12:$R$23,'Master Input'!P$11,false), vlookup($B$2,'Master Input'!$O$12:$R$23,'Master Input'!P$11,false)*0.5)))</f>
        <v>0</v>
      </c>
      <c r="O20" s="612"/>
      <c r="P20" s="613" t="s">
        <v>78</v>
      </c>
      <c r="Q20" s="614">
        <f>if(Q28="","",Q28+M20)</f>
        <v>-4</v>
      </c>
      <c r="R20" s="615">
        <f t="shared" ref="R20:Y20" si="18">if(R28="","",R28+Q20)</f>
        <v>-4</v>
      </c>
      <c r="S20" s="615">
        <f t="shared" si="18"/>
        <v>-4</v>
      </c>
      <c r="T20" s="615">
        <f t="shared" si="18"/>
        <v>-3</v>
      </c>
      <c r="U20" s="615">
        <f t="shared" si="18"/>
        <v>-2</v>
      </c>
      <c r="V20" s="615">
        <f t="shared" si="18"/>
        <v>-2</v>
      </c>
      <c r="W20" s="615">
        <f t="shared" si="18"/>
        <v>-1</v>
      </c>
      <c r="X20" s="615">
        <f t="shared" si="18"/>
        <v>0</v>
      </c>
      <c r="Y20" s="615">
        <f t="shared" si="18"/>
        <v>1</v>
      </c>
      <c r="Z20" s="616">
        <f>if(Y20="", "", if(Y20&lt;0, 0, if(Y20&gt;0, vlookup($B$2,'Master Input'!$O$12:$R$23,'Master Input'!R$11,false), vlookup($B$2,'Master Input'!$O$12:$R$23,'Master Input'!R$11,false)*0.5)))</f>
        <v>1</v>
      </c>
      <c r="AA20" s="617" t="s">
        <v>78</v>
      </c>
      <c r="AB20" s="618">
        <f>if(Z20="","", sum(N20,Z20,Z21))</f>
        <v>2</v>
      </c>
    </row>
    <row r="21" ht="24.75" customHeight="1">
      <c r="A21" s="619"/>
      <c r="B21" s="620"/>
      <c r="C21" s="621"/>
      <c r="D21" s="622"/>
      <c r="E21" s="623"/>
      <c r="F21" s="623"/>
      <c r="G21" s="623"/>
      <c r="H21" s="623"/>
      <c r="I21" s="623"/>
      <c r="J21" s="623"/>
      <c r="K21" s="623"/>
      <c r="L21" s="623"/>
      <c r="M21" s="623"/>
      <c r="N21" s="622"/>
      <c r="O21" s="612"/>
      <c r="P21" s="624" t="s">
        <v>79</v>
      </c>
      <c r="Q21" s="625">
        <f>if(Q28="","",Q28)</f>
        <v>-1</v>
      </c>
      <c r="R21" s="626">
        <f t="shared" ref="R21:Y21" si="19">if(R28="","",R28+Q21)</f>
        <v>-1</v>
      </c>
      <c r="S21" s="626">
        <f t="shared" si="19"/>
        <v>-1</v>
      </c>
      <c r="T21" s="626">
        <f t="shared" si="19"/>
        <v>0</v>
      </c>
      <c r="U21" s="626">
        <f t="shared" si="19"/>
        <v>1</v>
      </c>
      <c r="V21" s="626">
        <f t="shared" si="19"/>
        <v>1</v>
      </c>
      <c r="W21" s="626">
        <f t="shared" si="19"/>
        <v>2</v>
      </c>
      <c r="X21" s="626">
        <f t="shared" si="19"/>
        <v>3</v>
      </c>
      <c r="Y21" s="626">
        <f t="shared" si="19"/>
        <v>4</v>
      </c>
      <c r="Z21" s="627">
        <f>if(Y21="", "", if(Y21&lt;0, 0, if(Y21&gt;0, vlookup($B$2,'Master Input'!$O$12:$R$23,'Master Input'!Q$11,false), vlookup($B$2,'Master Input'!$O$12:$R$23,'Master Input'!Q$11,false)*0.5)))</f>
        <v>1</v>
      </c>
      <c r="AA21" s="617" t="s">
        <v>79</v>
      </c>
      <c r="AB21" s="469">
        <f>if(AB20="","",vlookup($B$2,'Master Input'!$O$12:$R$23,2,false)+vlookup($B$2,'Master Input'!$O$12:$R$23,3,false)+vlookup($B$2,'Master Input'!$O$12:$R$23,4,false)-AB20)</f>
        <v>1</v>
      </c>
    </row>
    <row r="22" ht="11.25" customHeight="1">
      <c r="A22" s="628"/>
      <c r="B22" s="628"/>
      <c r="C22" s="629"/>
      <c r="D22" s="630"/>
      <c r="E22" s="631"/>
      <c r="F22" s="631"/>
      <c r="G22" s="631"/>
      <c r="H22" s="631"/>
      <c r="I22" s="631"/>
      <c r="J22" s="631"/>
      <c r="K22" s="631"/>
      <c r="L22" s="631"/>
      <c r="M22" s="631"/>
      <c r="N22" s="632" t="s">
        <v>7</v>
      </c>
      <c r="O22" s="612"/>
      <c r="P22" s="633"/>
      <c r="Q22" s="631"/>
      <c r="R22" s="631"/>
      <c r="S22" s="631"/>
      <c r="T22" s="631"/>
      <c r="U22" s="631"/>
      <c r="V22" s="631"/>
      <c r="W22" s="631"/>
      <c r="X22" s="631"/>
      <c r="Y22" s="631"/>
      <c r="Z22" s="634"/>
      <c r="AA22" s="635"/>
      <c r="AB22" s="636" t="s">
        <v>64</v>
      </c>
    </row>
    <row r="23" ht="24.75" customHeight="1">
      <c r="A23" s="637" t="str">
        <f>B8&amp;" Bottom"</f>
        <v>Drivers Bottom</v>
      </c>
      <c r="B23" s="638" t="s">
        <v>80</v>
      </c>
      <c r="C23" s="639"/>
      <c r="D23" s="640"/>
      <c r="E23" s="641">
        <f>if(E31="","",E31)</f>
        <v>-1</v>
      </c>
      <c r="F23" s="642">
        <f t="shared" ref="F23:M23" si="20">if(F31="","",F31+E23)</f>
        <v>0</v>
      </c>
      <c r="G23" s="642">
        <f t="shared" si="20"/>
        <v>0</v>
      </c>
      <c r="H23" s="642">
        <f t="shared" si="20"/>
        <v>1</v>
      </c>
      <c r="I23" s="642">
        <f t="shared" si="20"/>
        <v>2</v>
      </c>
      <c r="J23" s="642">
        <f t="shared" si="20"/>
        <v>1</v>
      </c>
      <c r="K23" s="642">
        <f t="shared" si="20"/>
        <v>1</v>
      </c>
      <c r="L23" s="642">
        <f t="shared" si="20"/>
        <v>0</v>
      </c>
      <c r="M23" s="643">
        <f t="shared" si="20"/>
        <v>-1</v>
      </c>
      <c r="N23" s="644">
        <f>if(M23="", "", if(M23&lt;0, 0, if(M23&gt;0, vlookup($B$2,'Master Input'!$O$12:$R$23,'Master Input'!P$11,false), vlookup($B$2,'Master Input'!$O$12:$R$23,'Master Input'!P$11,false)*0.5)))</f>
        <v>0</v>
      </c>
      <c r="O23" s="612"/>
      <c r="P23" s="613" t="s">
        <v>81</v>
      </c>
      <c r="Q23" s="614">
        <f>if(Q31="","",Q31+M23)</f>
        <v>0</v>
      </c>
      <c r="R23" s="615">
        <f t="shared" ref="R23:Y23" si="21">if(R31="","",R31+Q23)</f>
        <v>-1</v>
      </c>
      <c r="S23" s="615">
        <f t="shared" si="21"/>
        <v>-2</v>
      </c>
      <c r="T23" s="615">
        <f t="shared" si="21"/>
        <v>-2</v>
      </c>
      <c r="U23" s="615">
        <f t="shared" si="21"/>
        <v>-3</v>
      </c>
      <c r="V23" s="615">
        <f t="shared" si="21"/>
        <v>-2</v>
      </c>
      <c r="W23" s="615">
        <f t="shared" si="21"/>
        <v>-2</v>
      </c>
      <c r="X23" s="615">
        <f t="shared" si="21"/>
        <v>-3</v>
      </c>
      <c r="Y23" s="615">
        <f t="shared" si="21"/>
        <v>-2</v>
      </c>
      <c r="Z23" s="616">
        <f>if(Y23="", "", if(Y23&lt;0, 0, if(Y23&gt;0, vlookup($B$2,'Master Input'!$O$12:$R$23,'Master Input'!R$11,false), vlookup($B$2,'Master Input'!$O$12:$R$23,'Master Input'!R$11,false)*0.5)))</f>
        <v>0</v>
      </c>
      <c r="AA23" s="617" t="s">
        <v>81</v>
      </c>
      <c r="AB23" s="618">
        <f>if(Z23="","", sum(N23,Z23,Z24))</f>
        <v>0</v>
      </c>
    </row>
    <row r="24" ht="24.75" customHeight="1">
      <c r="A24" s="645"/>
      <c r="B24" s="646"/>
      <c r="C24" s="463"/>
      <c r="D24" s="462"/>
      <c r="E24" s="464"/>
      <c r="F24" s="464"/>
      <c r="G24" s="464"/>
      <c r="H24" s="464"/>
      <c r="I24" s="464"/>
      <c r="J24" s="464"/>
      <c r="K24" s="464"/>
      <c r="L24" s="464"/>
      <c r="M24" s="464"/>
      <c r="N24" s="462"/>
      <c r="O24" s="612"/>
      <c r="P24" s="624" t="s">
        <v>82</v>
      </c>
      <c r="Q24" s="625">
        <f>if(Q31="","",Q31)</f>
        <v>1</v>
      </c>
      <c r="R24" s="626">
        <f t="shared" ref="R24:Y24" si="22">if(R31="","",R31+Q24)</f>
        <v>0</v>
      </c>
      <c r="S24" s="626">
        <f t="shared" si="22"/>
        <v>-1</v>
      </c>
      <c r="T24" s="626">
        <f t="shared" si="22"/>
        <v>-1</v>
      </c>
      <c r="U24" s="626">
        <f t="shared" si="22"/>
        <v>-2</v>
      </c>
      <c r="V24" s="626">
        <f t="shared" si="22"/>
        <v>-1</v>
      </c>
      <c r="W24" s="626">
        <f t="shared" si="22"/>
        <v>-1</v>
      </c>
      <c r="X24" s="626">
        <f t="shared" si="22"/>
        <v>-2</v>
      </c>
      <c r="Y24" s="626">
        <f t="shared" si="22"/>
        <v>-1</v>
      </c>
      <c r="Z24" s="627">
        <f>if(Y24="", "", if(Y24&lt;0, 0, if(Y24&gt;0, vlookup($B$2,'Master Input'!$O$12:$R$23,'Master Input'!Q$11,false), vlookup($B$2,'Master Input'!$O$12:$R$23,'Master Input'!Q$11,false)*0.5)))</f>
        <v>0</v>
      </c>
      <c r="AA24" s="617" t="s">
        <v>82</v>
      </c>
      <c r="AB24" s="469">
        <f>if(AB23="","",vlookup($B$2,'Master Input'!$O$12:$R$23,2,false)+vlookup($B$2,'Master Input'!$O$12:$R$23,3,false)+vlookup($B$2,'Master Input'!$O$12:$R$23,4,false)-AB23)</f>
        <v>3</v>
      </c>
    </row>
    <row r="25" ht="22.5" hidden="1" customHeight="1">
      <c r="A25" s="649"/>
      <c r="B25" s="649"/>
      <c r="C25" s="650"/>
      <c r="D25" s="649"/>
      <c r="E25" s="651"/>
      <c r="F25" s="651"/>
      <c r="G25" s="651"/>
      <c r="H25" s="651"/>
      <c r="I25" s="651"/>
      <c r="J25" s="651"/>
      <c r="K25" s="651"/>
      <c r="L25" s="651"/>
      <c r="M25" s="651"/>
      <c r="N25" s="649"/>
      <c r="O25" s="472"/>
      <c r="P25" s="473"/>
      <c r="Q25" s="473"/>
      <c r="R25" s="473"/>
      <c r="S25" s="473"/>
      <c r="T25" s="473"/>
      <c r="U25" s="473"/>
      <c r="V25" s="473"/>
      <c r="W25" s="473"/>
      <c r="X25" s="473"/>
      <c r="Y25" s="473"/>
      <c r="Z25" s="473"/>
      <c r="AB25" s="649"/>
    </row>
    <row r="26" ht="22.5" hidden="1" customHeight="1">
      <c r="A26" s="649"/>
      <c r="B26" s="649"/>
      <c r="C26" s="650"/>
      <c r="D26" s="649"/>
      <c r="E26" s="651"/>
      <c r="F26" s="651"/>
      <c r="G26" s="651"/>
      <c r="H26" s="651"/>
      <c r="I26" s="651"/>
      <c r="J26" s="651"/>
      <c r="K26" s="651"/>
      <c r="L26" s="651"/>
      <c r="M26" s="651"/>
      <c r="N26" s="649"/>
      <c r="O26" s="472"/>
      <c r="P26" s="473"/>
      <c r="Q26" s="473"/>
      <c r="R26" s="473"/>
      <c r="S26" s="473"/>
      <c r="T26" s="473"/>
      <c r="U26" s="473"/>
      <c r="V26" s="473"/>
      <c r="W26" s="473"/>
      <c r="X26" s="473"/>
      <c r="Y26" s="473"/>
      <c r="Z26" s="473"/>
      <c r="AA26" s="652" t="s">
        <v>68</v>
      </c>
      <c r="AB26" s="653" t="s">
        <v>69</v>
      </c>
    </row>
    <row r="27" ht="22.5" hidden="1" customHeight="1">
      <c r="A27" s="649"/>
      <c r="B27" s="649"/>
      <c r="C27" s="650"/>
      <c r="D27" s="649"/>
      <c r="E27" s="651"/>
      <c r="F27" s="651"/>
      <c r="G27" s="651"/>
      <c r="H27" s="651"/>
      <c r="I27" s="651"/>
      <c r="J27" s="651"/>
      <c r="K27" s="651"/>
      <c r="L27" s="651"/>
      <c r="M27" s="651"/>
      <c r="N27" s="649"/>
      <c r="O27" s="472"/>
      <c r="P27" s="473"/>
      <c r="Q27" s="473"/>
      <c r="R27" s="473"/>
      <c r="S27" s="473"/>
      <c r="T27" s="473"/>
      <c r="U27" s="473"/>
      <c r="V27" s="473"/>
      <c r="W27" s="473"/>
      <c r="X27" s="473"/>
      <c r="Y27" s="473"/>
      <c r="Z27" s="473"/>
      <c r="AA27" s="652" t="s">
        <v>72</v>
      </c>
      <c r="AB27" s="653" t="s">
        <v>73</v>
      </c>
    </row>
    <row r="28" ht="22.5" hidden="1" customHeight="1">
      <c r="A28" s="654"/>
      <c r="B28" s="655" t="str">
        <f>B20</f>
        <v>Top - Front</v>
      </c>
      <c r="C28" s="656"/>
      <c r="D28" s="655"/>
      <c r="E28" s="657">
        <f t="shared" ref="E28:M28" si="23">if(and(E8="", E11=""), "",if(E8-E7&lt;E11-E10,1,if(E8-E7&gt;E11-E10,-1,0)))</f>
        <v>-1</v>
      </c>
      <c r="F28" s="657">
        <f t="shared" si="23"/>
        <v>0</v>
      </c>
      <c r="G28" s="657">
        <f t="shared" si="23"/>
        <v>0</v>
      </c>
      <c r="H28" s="657">
        <f t="shared" si="23"/>
        <v>1</v>
      </c>
      <c r="I28" s="657">
        <f t="shared" si="23"/>
        <v>0</v>
      </c>
      <c r="J28" s="657">
        <f t="shared" si="23"/>
        <v>-1</v>
      </c>
      <c r="K28" s="657">
        <f t="shared" si="23"/>
        <v>-1</v>
      </c>
      <c r="L28" s="657">
        <f t="shared" si="23"/>
        <v>-1</v>
      </c>
      <c r="M28" s="657">
        <f t="shared" si="23"/>
        <v>0</v>
      </c>
      <c r="N28" s="655">
        <f>sum(N29:N30)</f>
        <v>9</v>
      </c>
      <c r="O28" s="658"/>
      <c r="P28" s="658"/>
      <c r="Q28" s="657">
        <f t="shared" ref="Q28:Y28" si="24">if(and(Q8="", Q11=""), "",if(Q8-Q7&lt;Q11-Q10,1,if(Q8-Q7&gt;Q11-Q10,-1,0)))</f>
        <v>-1</v>
      </c>
      <c r="R28" s="657">
        <f t="shared" si="24"/>
        <v>0</v>
      </c>
      <c r="S28" s="657">
        <f t="shared" si="24"/>
        <v>0</v>
      </c>
      <c r="T28" s="657">
        <f t="shared" si="24"/>
        <v>1</v>
      </c>
      <c r="U28" s="657">
        <f t="shared" si="24"/>
        <v>1</v>
      </c>
      <c r="V28" s="657">
        <f t="shared" si="24"/>
        <v>0</v>
      </c>
      <c r="W28" s="657">
        <f t="shared" si="24"/>
        <v>1</v>
      </c>
      <c r="X28" s="657">
        <f t="shared" si="24"/>
        <v>1</v>
      </c>
      <c r="Y28" s="657">
        <f t="shared" si="24"/>
        <v>1</v>
      </c>
      <c r="Z28" s="655">
        <f>sum(Z29:Z30)</f>
        <v>9</v>
      </c>
      <c r="AA28" s="659">
        <f>sum(Z28,N28)</f>
        <v>18</v>
      </c>
      <c r="AB28" s="660"/>
    </row>
    <row r="29" ht="22.5" hidden="1" customHeight="1">
      <c r="A29" s="649" t="str">
        <f>A8</f>
        <v>KJ</v>
      </c>
      <c r="B29" s="649"/>
      <c r="C29" s="650"/>
      <c r="D29" s="649"/>
      <c r="E29" s="651">
        <f t="shared" ref="E29:M29" si="25">if(E28="","",(E28+1)/2)</f>
        <v>0</v>
      </c>
      <c r="F29" s="651">
        <f t="shared" si="25"/>
        <v>0.5</v>
      </c>
      <c r="G29" s="651">
        <f t="shared" si="25"/>
        <v>0.5</v>
      </c>
      <c r="H29" s="651">
        <f t="shared" si="25"/>
        <v>1</v>
      </c>
      <c r="I29" s="651">
        <f t="shared" si="25"/>
        <v>0.5</v>
      </c>
      <c r="J29" s="651">
        <f t="shared" si="25"/>
        <v>0</v>
      </c>
      <c r="K29" s="651">
        <f t="shared" si="25"/>
        <v>0</v>
      </c>
      <c r="L29" s="651">
        <f t="shared" si="25"/>
        <v>0</v>
      </c>
      <c r="M29" s="651">
        <f t="shared" si="25"/>
        <v>0.5</v>
      </c>
      <c r="N29" s="649">
        <f>if(M28="","",sum(E29:M29))</f>
        <v>3</v>
      </c>
      <c r="O29" s="473"/>
      <c r="P29" s="473"/>
      <c r="Q29" s="651">
        <f t="shared" ref="Q29:Y29" si="26">if(Q28="","",(Q28+1)/2)</f>
        <v>0</v>
      </c>
      <c r="R29" s="651">
        <f t="shared" si="26"/>
        <v>0.5</v>
      </c>
      <c r="S29" s="651">
        <f t="shared" si="26"/>
        <v>0.5</v>
      </c>
      <c r="T29" s="651">
        <f t="shared" si="26"/>
        <v>1</v>
      </c>
      <c r="U29" s="651">
        <f t="shared" si="26"/>
        <v>1</v>
      </c>
      <c r="V29" s="651">
        <f t="shared" si="26"/>
        <v>0.5</v>
      </c>
      <c r="W29" s="651">
        <f t="shared" si="26"/>
        <v>1</v>
      </c>
      <c r="X29" s="651">
        <f t="shared" si="26"/>
        <v>1</v>
      </c>
      <c r="Y29" s="651">
        <f t="shared" si="26"/>
        <v>1</v>
      </c>
      <c r="Z29" s="649">
        <f>if(Y28="","",sum(Q29:Y29))</f>
        <v>6.5</v>
      </c>
      <c r="AA29" s="661">
        <f>if(Y28="","",sum(Z29,N29))</f>
        <v>9.5</v>
      </c>
      <c r="AB29" s="662">
        <f>if(Y28="","",AB20)</f>
        <v>2</v>
      </c>
    </row>
    <row r="30" ht="22.5" hidden="1" customHeight="1">
      <c r="A30" s="649" t="str">
        <f>A11</f>
        <v>Jensen</v>
      </c>
      <c r="B30" s="649"/>
      <c r="C30" s="650"/>
      <c r="D30" s="649"/>
      <c r="E30" s="651">
        <f t="shared" ref="E30:M30" si="27">if(E28="","",1-E29)</f>
        <v>1</v>
      </c>
      <c r="F30" s="651">
        <f t="shared" si="27"/>
        <v>0.5</v>
      </c>
      <c r="G30" s="651">
        <f t="shared" si="27"/>
        <v>0.5</v>
      </c>
      <c r="H30" s="651">
        <f t="shared" si="27"/>
        <v>0</v>
      </c>
      <c r="I30" s="651">
        <f t="shared" si="27"/>
        <v>0.5</v>
      </c>
      <c r="J30" s="651">
        <f t="shared" si="27"/>
        <v>1</v>
      </c>
      <c r="K30" s="651">
        <f t="shared" si="27"/>
        <v>1</v>
      </c>
      <c r="L30" s="651">
        <f t="shared" si="27"/>
        <v>1</v>
      </c>
      <c r="M30" s="651">
        <f t="shared" si="27"/>
        <v>0.5</v>
      </c>
      <c r="N30" s="649">
        <f>if(M28="","",sum(E30:M30))</f>
        <v>6</v>
      </c>
      <c r="O30" s="473"/>
      <c r="P30" s="473"/>
      <c r="Q30" s="651">
        <f t="shared" ref="Q30:Y30" si="28">if(Q28="","",1-Q29)</f>
        <v>1</v>
      </c>
      <c r="R30" s="651">
        <f t="shared" si="28"/>
        <v>0.5</v>
      </c>
      <c r="S30" s="651">
        <f t="shared" si="28"/>
        <v>0.5</v>
      </c>
      <c r="T30" s="651">
        <f t="shared" si="28"/>
        <v>0</v>
      </c>
      <c r="U30" s="651">
        <f t="shared" si="28"/>
        <v>0</v>
      </c>
      <c r="V30" s="651">
        <f t="shared" si="28"/>
        <v>0.5</v>
      </c>
      <c r="W30" s="651">
        <f t="shared" si="28"/>
        <v>0</v>
      </c>
      <c r="X30" s="651">
        <f t="shared" si="28"/>
        <v>0</v>
      </c>
      <c r="Y30" s="651">
        <f t="shared" si="28"/>
        <v>0</v>
      </c>
      <c r="Z30" s="649">
        <f>if(Y28="","",sum(Q30:Y30))</f>
        <v>2.5</v>
      </c>
      <c r="AA30" s="661">
        <f>if(Y28="","",sum(Z30,N30))</f>
        <v>8.5</v>
      </c>
      <c r="AB30" s="662">
        <f>if(Y28="","",3-AB20)</f>
        <v>1</v>
      </c>
    </row>
    <row r="31" ht="22.5" hidden="1" customHeight="1">
      <c r="A31" s="660"/>
      <c r="B31" s="655" t="str">
        <f>B23</f>
        <v>Bottom - Front</v>
      </c>
      <c r="C31" s="656"/>
      <c r="D31" s="655"/>
      <c r="E31" s="657">
        <f t="shared" ref="E31:M31" si="29">if(and(E15="", E18=""), "",if(E15-E14&lt;E18-E17,1,if(E15-E14&gt;E18-E17,-1,0)))</f>
        <v>-1</v>
      </c>
      <c r="F31" s="657">
        <f t="shared" si="29"/>
        <v>1</v>
      </c>
      <c r="G31" s="657">
        <f t="shared" si="29"/>
        <v>0</v>
      </c>
      <c r="H31" s="657">
        <f t="shared" si="29"/>
        <v>1</v>
      </c>
      <c r="I31" s="657">
        <f t="shared" si="29"/>
        <v>1</v>
      </c>
      <c r="J31" s="657">
        <f t="shared" si="29"/>
        <v>-1</v>
      </c>
      <c r="K31" s="657">
        <f t="shared" si="29"/>
        <v>0</v>
      </c>
      <c r="L31" s="657">
        <f t="shared" si="29"/>
        <v>-1</v>
      </c>
      <c r="M31" s="657">
        <f t="shared" si="29"/>
        <v>-1</v>
      </c>
      <c r="N31" s="655">
        <f>sum(N32:N33)</f>
        <v>9</v>
      </c>
      <c r="O31" s="658"/>
      <c r="P31" s="658"/>
      <c r="Q31" s="657">
        <f t="shared" ref="Q31:Y31" si="30">if(and(Q15="", Q18=""), "",if(Q15-Q14&lt;Q18-Q17,1,if(Q15-Q14&gt;Q18-Q17,-1,0)))</f>
        <v>1</v>
      </c>
      <c r="R31" s="657">
        <f t="shared" si="30"/>
        <v>-1</v>
      </c>
      <c r="S31" s="657">
        <f t="shared" si="30"/>
        <v>-1</v>
      </c>
      <c r="T31" s="657">
        <f t="shared" si="30"/>
        <v>0</v>
      </c>
      <c r="U31" s="657">
        <f t="shared" si="30"/>
        <v>-1</v>
      </c>
      <c r="V31" s="657">
        <f t="shared" si="30"/>
        <v>1</v>
      </c>
      <c r="W31" s="657">
        <f t="shared" si="30"/>
        <v>0</v>
      </c>
      <c r="X31" s="657">
        <f t="shared" si="30"/>
        <v>-1</v>
      </c>
      <c r="Y31" s="657">
        <f t="shared" si="30"/>
        <v>1</v>
      </c>
      <c r="Z31" s="655">
        <f>sum(Z32:Z33)</f>
        <v>9</v>
      </c>
      <c r="AA31" s="659">
        <f>sum(Z31,N31)</f>
        <v>18</v>
      </c>
      <c r="AB31" s="655"/>
    </row>
    <row r="32" ht="22.5" hidden="1" customHeight="1">
      <c r="A32" s="649" t="str">
        <f>A15</f>
        <v>TJSC</v>
      </c>
      <c r="B32" s="649"/>
      <c r="C32" s="650"/>
      <c r="D32" s="649"/>
      <c r="E32" s="651">
        <f t="shared" ref="E32:M32" si="31">if(E31="","",(E31+1)/2)</f>
        <v>0</v>
      </c>
      <c r="F32" s="651">
        <f t="shared" si="31"/>
        <v>1</v>
      </c>
      <c r="G32" s="651">
        <f t="shared" si="31"/>
        <v>0.5</v>
      </c>
      <c r="H32" s="651">
        <f t="shared" si="31"/>
        <v>1</v>
      </c>
      <c r="I32" s="651">
        <f t="shared" si="31"/>
        <v>1</v>
      </c>
      <c r="J32" s="651">
        <f t="shared" si="31"/>
        <v>0</v>
      </c>
      <c r="K32" s="651">
        <f t="shared" si="31"/>
        <v>0.5</v>
      </c>
      <c r="L32" s="651">
        <f t="shared" si="31"/>
        <v>0</v>
      </c>
      <c r="M32" s="651">
        <f t="shared" si="31"/>
        <v>0</v>
      </c>
      <c r="N32" s="649">
        <f>if(M31="","",sum(E32:M32))</f>
        <v>4</v>
      </c>
      <c r="O32" s="472"/>
      <c r="P32" s="473"/>
      <c r="Q32" s="651">
        <f t="shared" ref="Q32:Y32" si="32">if(Q31="","",(Q31+1)/2)</f>
        <v>1</v>
      </c>
      <c r="R32" s="651">
        <f t="shared" si="32"/>
        <v>0</v>
      </c>
      <c r="S32" s="651">
        <f t="shared" si="32"/>
        <v>0</v>
      </c>
      <c r="T32" s="651">
        <f t="shared" si="32"/>
        <v>0.5</v>
      </c>
      <c r="U32" s="651">
        <f t="shared" si="32"/>
        <v>0</v>
      </c>
      <c r="V32" s="651">
        <f t="shared" si="32"/>
        <v>1</v>
      </c>
      <c r="W32" s="651">
        <f t="shared" si="32"/>
        <v>0.5</v>
      </c>
      <c r="X32" s="651">
        <f t="shared" si="32"/>
        <v>0</v>
      </c>
      <c r="Y32" s="651">
        <f t="shared" si="32"/>
        <v>1</v>
      </c>
      <c r="Z32" s="649">
        <f>if(Y31="","",sum(Q32:Y32))</f>
        <v>4</v>
      </c>
      <c r="AA32" s="661">
        <f>if(Y28="","",sum(Z32,N32))</f>
        <v>8</v>
      </c>
      <c r="AB32" s="662">
        <f>if(Y28="","",AB23)</f>
        <v>0</v>
      </c>
    </row>
    <row r="33" ht="22.5" hidden="1" customHeight="1">
      <c r="A33" s="649" t="str">
        <f>A18</f>
        <v>DK</v>
      </c>
      <c r="B33" s="649"/>
      <c r="C33" s="650"/>
      <c r="D33" s="649"/>
      <c r="E33" s="651">
        <f t="shared" ref="E33:M33" si="33">if(E31="","",1-E32)</f>
        <v>1</v>
      </c>
      <c r="F33" s="651">
        <f t="shared" si="33"/>
        <v>0</v>
      </c>
      <c r="G33" s="651">
        <f t="shared" si="33"/>
        <v>0.5</v>
      </c>
      <c r="H33" s="651">
        <f t="shared" si="33"/>
        <v>0</v>
      </c>
      <c r="I33" s="651">
        <f t="shared" si="33"/>
        <v>0</v>
      </c>
      <c r="J33" s="651">
        <f t="shared" si="33"/>
        <v>1</v>
      </c>
      <c r="K33" s="651">
        <f t="shared" si="33"/>
        <v>0.5</v>
      </c>
      <c r="L33" s="651">
        <f t="shared" si="33"/>
        <v>1</v>
      </c>
      <c r="M33" s="651">
        <f t="shared" si="33"/>
        <v>1</v>
      </c>
      <c r="N33" s="649">
        <f>if(M31="","",sum(E33:M33))</f>
        <v>5</v>
      </c>
      <c r="O33" s="472"/>
      <c r="P33" s="473"/>
      <c r="Q33" s="651">
        <f t="shared" ref="Q33:Y33" si="34">if(Q31="","",1-Q32)</f>
        <v>0</v>
      </c>
      <c r="R33" s="651">
        <f t="shared" si="34"/>
        <v>1</v>
      </c>
      <c r="S33" s="651">
        <f t="shared" si="34"/>
        <v>1</v>
      </c>
      <c r="T33" s="651">
        <f t="shared" si="34"/>
        <v>0.5</v>
      </c>
      <c r="U33" s="651">
        <f t="shared" si="34"/>
        <v>1</v>
      </c>
      <c r="V33" s="651">
        <f t="shared" si="34"/>
        <v>0</v>
      </c>
      <c r="W33" s="651">
        <f t="shared" si="34"/>
        <v>0.5</v>
      </c>
      <c r="X33" s="651">
        <f t="shared" si="34"/>
        <v>1</v>
      </c>
      <c r="Y33" s="651">
        <f t="shared" si="34"/>
        <v>0</v>
      </c>
      <c r="Z33" s="649">
        <f>if(Y31="","",sum(Q33:Y33))</f>
        <v>5</v>
      </c>
      <c r="AA33" s="661">
        <f>if(Y28="","",sum(Z33,N33))</f>
        <v>10</v>
      </c>
      <c r="AB33" s="662">
        <f>if(Y28="","",3-AB23)</f>
        <v>3</v>
      </c>
    </row>
    <row r="34" ht="22.5" hidden="1" customHeight="1">
      <c r="A34" s="649"/>
      <c r="B34" s="649"/>
      <c r="C34" s="650"/>
      <c r="D34" s="649"/>
      <c r="E34" s="649">
        <f t="shared" ref="E34:N34" si="35">sum(E29:E30,E32:E33)</f>
        <v>2</v>
      </c>
      <c r="F34" s="649">
        <f t="shared" si="35"/>
        <v>2</v>
      </c>
      <c r="G34" s="649">
        <f t="shared" si="35"/>
        <v>2</v>
      </c>
      <c r="H34" s="649">
        <f t="shared" si="35"/>
        <v>2</v>
      </c>
      <c r="I34" s="649">
        <f t="shared" si="35"/>
        <v>2</v>
      </c>
      <c r="J34" s="649">
        <f t="shared" si="35"/>
        <v>2</v>
      </c>
      <c r="K34" s="649">
        <f t="shared" si="35"/>
        <v>2</v>
      </c>
      <c r="L34" s="649">
        <f t="shared" si="35"/>
        <v>2</v>
      </c>
      <c r="M34" s="649">
        <f t="shared" si="35"/>
        <v>2</v>
      </c>
      <c r="N34" s="649">
        <f t="shared" si="35"/>
        <v>18</v>
      </c>
      <c r="O34" s="472"/>
      <c r="P34" s="473"/>
      <c r="Q34" s="649">
        <f t="shared" ref="Q34:AA34" si="36">sum(Q29:Q30,Q32:Q33)</f>
        <v>2</v>
      </c>
      <c r="R34" s="649">
        <f t="shared" si="36"/>
        <v>2</v>
      </c>
      <c r="S34" s="649">
        <f t="shared" si="36"/>
        <v>2</v>
      </c>
      <c r="T34" s="649">
        <f t="shared" si="36"/>
        <v>2</v>
      </c>
      <c r="U34" s="649">
        <f t="shared" si="36"/>
        <v>2</v>
      </c>
      <c r="V34" s="649">
        <f t="shared" si="36"/>
        <v>2</v>
      </c>
      <c r="W34" s="649">
        <f t="shared" si="36"/>
        <v>2</v>
      </c>
      <c r="X34" s="649">
        <f t="shared" si="36"/>
        <v>2</v>
      </c>
      <c r="Y34" s="649">
        <f t="shared" si="36"/>
        <v>2</v>
      </c>
      <c r="Z34" s="649">
        <f t="shared" si="36"/>
        <v>18</v>
      </c>
      <c r="AA34" s="649">
        <f t="shared" si="36"/>
        <v>36</v>
      </c>
      <c r="AB34" s="662"/>
    </row>
  </sheetData>
  <mergeCells count="1">
    <mergeCell ref="B2:B3"/>
  </mergeCells>
  <conditionalFormatting sqref="E15:M15 Q15:Y15">
    <cfRule type="expression" dxfId="16" priority="1">
      <formula>E$31=1</formula>
    </cfRule>
  </conditionalFormatting>
  <conditionalFormatting sqref="E18:M18 Q18:Y18">
    <cfRule type="expression" dxfId="15" priority="2">
      <formula>E$31=-1</formula>
    </cfRule>
  </conditionalFormatting>
  <conditionalFormatting sqref="E8:M8 Q8:Y8">
    <cfRule type="expression" dxfId="16" priority="3">
      <formula>E$28=1</formula>
    </cfRule>
  </conditionalFormatting>
  <conditionalFormatting sqref="E11:M11 Q11:Y11">
    <cfRule type="expression" dxfId="15" priority="4">
      <formula>E$28=-1</formula>
    </cfRule>
  </conditionalFormatting>
  <conditionalFormatting sqref="N20 Z20:Z21 AB20 N23 Z23:Z24 AB23">
    <cfRule type="notContainsBlanks" dxfId="16" priority="5">
      <formula>LEN(TRIM(N20))&gt;0</formula>
    </cfRule>
  </conditionalFormatting>
  <conditionalFormatting sqref="AB21 AB24">
    <cfRule type="notContainsBlanks" dxfId="15" priority="6">
      <formula>LEN(TRIM(AB21))&gt;0</formula>
    </cfRule>
  </conditionalFormatting>
  <conditionalFormatting sqref="E15:M15 Q15:Y15 E18:M18 Q18:Y18">
    <cfRule type="expression" dxfId="2" priority="7">
      <formula>E$31=0</formula>
    </cfRule>
  </conditionalFormatting>
  <conditionalFormatting sqref="E18:M18 Q18:Y18">
    <cfRule type="expression" dxfId="2" priority="8">
      <formula>E$31=0</formula>
    </cfRule>
  </conditionalFormatting>
  <conditionalFormatting sqref="E8:M8 Q8:Y8 E11:M11 Q11:Y11">
    <cfRule type="expression" dxfId="2" priority="9">
      <formula>E$28=0</formula>
    </cfRule>
  </conditionalFormatting>
  <conditionalFormatting sqref="E11:M11 Q11:Y11">
    <cfRule type="expression" dxfId="2" priority="10">
      <formula>E$28=0</formula>
    </cfRule>
  </conditionalFormatting>
  <printOptions horizontalCentered="1"/>
  <pageMargins bottom="0.25" footer="0.0" header="0.0" left="0.55" right="0.25" top="0.2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5" t="s">
        <v>76</v>
      </c>
      <c r="B1" s="496">
        <f>'Master Input'!H4</f>
        <v>0.3701388889</v>
      </c>
      <c r="C1" s="497" t="str">
        <f>'Master Input'!$G$2</f>
        <v>Round 2</v>
      </c>
      <c r="D1" s="498"/>
      <c r="E1" s="497" t="str">
        <f>'Master Input'!$G$6</f>
        <v>Ravines GC - White</v>
      </c>
      <c r="F1" s="498"/>
      <c r="G1" s="498"/>
      <c r="H1" s="498"/>
      <c r="I1" s="498"/>
      <c r="J1" s="498"/>
      <c r="K1" s="498"/>
      <c r="L1" s="498"/>
      <c r="M1" s="498"/>
      <c r="N1" s="499"/>
      <c r="O1" s="301"/>
      <c r="P1" s="500" t="str">
        <f>'Master Input'!$G$2</f>
        <v>Round 2</v>
      </c>
      <c r="Q1" s="498"/>
      <c r="R1" s="497" t="str">
        <f>'Master Input'!$G$6</f>
        <v>Ravines GC - White</v>
      </c>
      <c r="S1" s="498"/>
      <c r="T1" s="498"/>
      <c r="U1" s="498"/>
      <c r="V1" s="498"/>
      <c r="W1" s="498"/>
      <c r="X1" s="498"/>
      <c r="Y1" s="498"/>
      <c r="Z1" s="498"/>
      <c r="AA1" s="498"/>
      <c r="AB1" s="499"/>
    </row>
    <row r="2" ht="14.25" customHeight="1">
      <c r="A2" s="305" t="s">
        <v>55</v>
      </c>
      <c r="B2" s="501" t="str">
        <f>'Match Selection'!B9</f>
        <v>Singles Matches</v>
      </c>
      <c r="C2" s="502"/>
      <c r="D2" s="308" t="s">
        <v>55</v>
      </c>
      <c r="E2" s="503">
        <f>vlookup($E1, 'Course List'!$A$3:$AS$14,5+E4, false)</f>
        <v>9</v>
      </c>
      <c r="F2" s="310">
        <f>vlookup($E1, 'Course List'!$A$3:$AS$14,5+F4, false)</f>
        <v>15</v>
      </c>
      <c r="G2" s="310">
        <f>vlookup($E1, 'Course List'!$A$3:$AS$14,5+G4, false)</f>
        <v>13</v>
      </c>
      <c r="H2" s="310">
        <f>vlookup($E1, 'Course List'!$A$3:$AS$14,5+H4, false)</f>
        <v>1</v>
      </c>
      <c r="I2" s="310">
        <f>vlookup($E1, 'Course List'!$A$3:$AS$14,5+I4, false)</f>
        <v>3</v>
      </c>
      <c r="J2" s="310">
        <f>vlookup($E1, 'Course List'!$A$3:$AS$14,5+J4, false)</f>
        <v>5</v>
      </c>
      <c r="K2" s="310">
        <f>vlookup($E1, 'Course List'!$A$3:$AS$14,5+K4, false)</f>
        <v>17</v>
      </c>
      <c r="L2" s="310">
        <f>vlookup($E1, 'Course List'!$A$3:$AS$14,5+L4, false)</f>
        <v>11</v>
      </c>
      <c r="M2" s="311">
        <f>vlookup($E1, 'Course List'!$A$3:$AS$14,5+M4, false)</f>
        <v>7</v>
      </c>
      <c r="N2" s="504"/>
      <c r="O2" s="313"/>
      <c r="P2" s="314" t="s">
        <v>55</v>
      </c>
      <c r="Q2" s="310">
        <f>vlookup($E1, 'Course List'!$A$3:$AS$14,5+Q4, false)</f>
        <v>4</v>
      </c>
      <c r="R2" s="310">
        <f>vlookup($E1, 'Course List'!$A$3:$AS$14,5+R4, false)</f>
        <v>10</v>
      </c>
      <c r="S2" s="310">
        <f>vlookup($E1, 'Course List'!$A$3:$AS$14,5+S4, false)</f>
        <v>16</v>
      </c>
      <c r="T2" s="310">
        <f>vlookup($E1, 'Course List'!$A$3:$AS$14,5+T4, false)</f>
        <v>14</v>
      </c>
      <c r="U2" s="310">
        <f>vlookup($E1, 'Course List'!$A$3:$AS$14,5+U4, false)</f>
        <v>2</v>
      </c>
      <c r="V2" s="310">
        <f>vlookup($E1, 'Course List'!$A$3:$AS$14,5+V4, false)</f>
        <v>8</v>
      </c>
      <c r="W2" s="310">
        <f>vlookup($E1, 'Course List'!$A$3:$AS$14,5+W4, false)</f>
        <v>18</v>
      </c>
      <c r="X2" s="310">
        <f>vlookup($E1, 'Course List'!$A$3:$AS$14,5+X4, false)</f>
        <v>12</v>
      </c>
      <c r="Y2" s="311">
        <f>vlookup($E1, 'Course List'!$A$3:$AS$14,5+Y4, false)</f>
        <v>6</v>
      </c>
      <c r="Z2" s="504"/>
      <c r="AA2" s="315"/>
      <c r="AB2" s="316"/>
    </row>
    <row r="3" ht="14.25" customHeight="1">
      <c r="A3" s="505" t="s">
        <v>56</v>
      </c>
      <c r="B3" s="317"/>
      <c r="C3" s="506"/>
      <c r="D3" s="507" t="s">
        <v>56</v>
      </c>
      <c r="E3" s="508">
        <f>vlookup($E1, 'Course List'!$A$3:$AS$14,27+E4, false)</f>
        <v>4</v>
      </c>
      <c r="F3" s="509">
        <f>vlookup($E1, 'Course List'!$A$3:$AS$14,27+F4, false)</f>
        <v>4</v>
      </c>
      <c r="G3" s="509">
        <f>vlookup($E1, 'Course List'!$A$3:$AS$14,27+G4, false)</f>
        <v>3</v>
      </c>
      <c r="H3" s="509">
        <f>vlookup($E1, 'Course List'!$A$3:$AS$14,27+H4, false)</f>
        <v>5</v>
      </c>
      <c r="I3" s="509">
        <f>vlookup($E1, 'Course List'!$A$3:$AS$14,27+I4, false)</f>
        <v>4</v>
      </c>
      <c r="J3" s="509">
        <f>vlookup($E1, 'Course List'!$A$3:$AS$14,27+J4, false)</f>
        <v>4</v>
      </c>
      <c r="K3" s="509">
        <f>vlookup($E1, 'Course List'!$A$3:$AS$14,27+K4, false)</f>
        <v>4</v>
      </c>
      <c r="L3" s="509">
        <f>vlookup($E1, 'Course List'!$A$3:$AS$14,27+L4, false)</f>
        <v>3</v>
      </c>
      <c r="M3" s="510">
        <f>vlookup($E1, 'Course List'!$A$3:$AS$14,27+M4, false)</f>
        <v>5</v>
      </c>
      <c r="N3" s="511">
        <f>SUM(E3:M3)</f>
        <v>36</v>
      </c>
      <c r="O3" s="313"/>
      <c r="P3" s="305" t="s">
        <v>56</v>
      </c>
      <c r="Q3" s="509">
        <f>vlookup($E1, 'Course List'!$A$3:$AS$14,27+Q4, false)</f>
        <v>4</v>
      </c>
      <c r="R3" s="509">
        <f>vlookup($E1, 'Course List'!$A$3:$AS$14,27+R4, false)</f>
        <v>4</v>
      </c>
      <c r="S3" s="509">
        <f>vlookup($E1, 'Course List'!$A$3:$AS$14,27+S4, false)</f>
        <v>3</v>
      </c>
      <c r="T3" s="509">
        <f>vlookup($E1, 'Course List'!$A$3:$AS$14,27+T4, false)</f>
        <v>4</v>
      </c>
      <c r="U3" s="509">
        <f>vlookup($E1, 'Course List'!$A$3:$AS$14,27+U4, false)</f>
        <v>5</v>
      </c>
      <c r="V3" s="509">
        <f>vlookup($E1, 'Course List'!$A$3:$AS$14,27+V4, false)</f>
        <v>4</v>
      </c>
      <c r="W3" s="509">
        <f>vlookup($E1, 'Course List'!$A$3:$AS$14,27+W4, false)</f>
        <v>4</v>
      </c>
      <c r="X3" s="509">
        <f>vlookup($E1, 'Course List'!$A$3:$AS$14,27+X4, false)</f>
        <v>3</v>
      </c>
      <c r="Y3" s="510">
        <f>vlookup($E1, 'Course List'!$A$3:$AS$14,27+Y4, false)</f>
        <v>5</v>
      </c>
      <c r="Z3" s="511">
        <f>SUM(Q3:Y3)</f>
        <v>36</v>
      </c>
      <c r="AA3" s="509">
        <f>N3+Z3</f>
        <v>72</v>
      </c>
      <c r="AB3" s="512"/>
    </row>
    <row r="4" ht="14.25" customHeight="1">
      <c r="A4" s="325" t="s">
        <v>10</v>
      </c>
      <c r="B4" s="326" t="s">
        <v>57</v>
      </c>
      <c r="C4" s="327" t="s">
        <v>58</v>
      </c>
      <c r="D4" s="328" t="s">
        <v>59</v>
      </c>
      <c r="E4" s="329">
        <v>1.0</v>
      </c>
      <c r="F4" s="330">
        <v>2.0</v>
      </c>
      <c r="G4" s="330">
        <v>3.0</v>
      </c>
      <c r="H4" s="330">
        <v>4.0</v>
      </c>
      <c r="I4" s="330">
        <v>5.0</v>
      </c>
      <c r="J4" s="330">
        <v>6.0</v>
      </c>
      <c r="K4" s="330">
        <v>7.0</v>
      </c>
      <c r="L4" s="330">
        <v>8.0</v>
      </c>
      <c r="M4" s="331">
        <v>9.0</v>
      </c>
      <c r="N4" s="332" t="s">
        <v>60</v>
      </c>
      <c r="O4" s="333"/>
      <c r="P4" s="325" t="s">
        <v>10</v>
      </c>
      <c r="Q4" s="329">
        <v>10.0</v>
      </c>
      <c r="R4" s="330">
        <v>11.0</v>
      </c>
      <c r="S4" s="330">
        <v>12.0</v>
      </c>
      <c r="T4" s="330">
        <v>13.0</v>
      </c>
      <c r="U4" s="330">
        <v>14.0</v>
      </c>
      <c r="V4" s="330">
        <v>15.0</v>
      </c>
      <c r="W4" s="330">
        <v>16.0</v>
      </c>
      <c r="X4" s="330">
        <v>17.0</v>
      </c>
      <c r="Y4" s="331">
        <v>18.0</v>
      </c>
      <c r="Z4" s="332" t="s">
        <v>61</v>
      </c>
      <c r="AA4" s="334" t="s">
        <v>62</v>
      </c>
      <c r="AB4" s="335"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343"/>
      <c r="B6" s="513"/>
      <c r="C6" s="514"/>
      <c r="D6" s="515"/>
      <c r="E6" s="349" t="str">
        <f t="shared" ref="E6:M6" si="1">if(E7=1,"O", if(E7=2,"O   O",""))</f>
        <v/>
      </c>
      <c r="F6" s="349" t="str">
        <f t="shared" si="1"/>
        <v/>
      </c>
      <c r="G6" s="349" t="str">
        <f t="shared" si="1"/>
        <v/>
      </c>
      <c r="H6" s="349" t="str">
        <f t="shared" si="1"/>
        <v/>
      </c>
      <c r="I6" s="349" t="str">
        <f t="shared" si="1"/>
        <v/>
      </c>
      <c r="J6" s="349" t="str">
        <f t="shared" si="1"/>
        <v/>
      </c>
      <c r="K6" s="349" t="str">
        <f t="shared" si="1"/>
        <v/>
      </c>
      <c r="L6" s="349" t="str">
        <f t="shared" si="1"/>
        <v/>
      </c>
      <c r="M6" s="349" t="str">
        <f t="shared" si="1"/>
        <v/>
      </c>
      <c r="N6" s="516"/>
      <c r="O6" s="351"/>
      <c r="P6" s="517"/>
      <c r="Q6" s="349" t="str">
        <f t="shared" ref="Q6:Y6" si="2">if(Q7=1,"O", if(Q7=2,"O   O",""))</f>
        <v/>
      </c>
      <c r="R6" s="348" t="str">
        <f t="shared" si="2"/>
        <v/>
      </c>
      <c r="S6" s="348" t="str">
        <f t="shared" si="2"/>
        <v/>
      </c>
      <c r="T6" s="349" t="str">
        <f t="shared" si="2"/>
        <v/>
      </c>
      <c r="U6" s="349" t="str">
        <f t="shared" si="2"/>
        <v/>
      </c>
      <c r="V6" s="349" t="str">
        <f t="shared" si="2"/>
        <v/>
      </c>
      <c r="W6" s="349" t="str">
        <f t="shared" si="2"/>
        <v/>
      </c>
      <c r="X6" s="349" t="str">
        <f t="shared" si="2"/>
        <v/>
      </c>
      <c r="Y6" s="518" t="str">
        <f t="shared" si="2"/>
        <v/>
      </c>
      <c r="Z6" s="519"/>
      <c r="AA6" s="520"/>
      <c r="AB6" s="521"/>
    </row>
    <row r="7" ht="22.5" hidden="1" customHeight="1">
      <c r="A7" s="356"/>
      <c r="B7" s="357"/>
      <c r="C7" s="522"/>
      <c r="D7" s="523"/>
      <c r="E7" s="524">
        <f t="shared" ref="E7:M7" si="3">IF($D8&gt;0,FLOOR($D8/18,1),0)+IF(AND(MOD($D8,18)&gt;=E$2,$D8&gt;0),1,0)-IF(E$2-18&gt;$D8,1,0)</f>
        <v>0</v>
      </c>
      <c r="F7" s="524">
        <f t="shared" si="3"/>
        <v>0</v>
      </c>
      <c r="G7" s="524">
        <f t="shared" si="3"/>
        <v>0</v>
      </c>
      <c r="H7" s="524">
        <f t="shared" si="3"/>
        <v>0</v>
      </c>
      <c r="I7" s="524">
        <f t="shared" si="3"/>
        <v>0</v>
      </c>
      <c r="J7" s="524">
        <f t="shared" si="3"/>
        <v>0</v>
      </c>
      <c r="K7" s="524">
        <f t="shared" si="3"/>
        <v>0</v>
      </c>
      <c r="L7" s="524">
        <f t="shared" si="3"/>
        <v>0</v>
      </c>
      <c r="M7" s="524">
        <f t="shared" si="3"/>
        <v>0</v>
      </c>
      <c r="N7" s="525"/>
      <c r="O7" s="364"/>
      <c r="P7" s="526"/>
      <c r="Q7" s="524">
        <f t="shared" ref="Q7:Y7" si="4">IF($D8&gt;0,FLOOR($D8/18,1),0)+IF(AND(MOD($D8,18)&gt;=Q$2,$D8&gt;0),1,0)-IF(Q$2-18&gt;$D8,1,0)</f>
        <v>0</v>
      </c>
      <c r="R7" s="361">
        <f t="shared" si="4"/>
        <v>0</v>
      </c>
      <c r="S7" s="361">
        <f t="shared" si="4"/>
        <v>0</v>
      </c>
      <c r="T7" s="524">
        <f t="shared" si="4"/>
        <v>0</v>
      </c>
      <c r="U7" s="524">
        <f t="shared" si="4"/>
        <v>0</v>
      </c>
      <c r="V7" s="524">
        <f t="shared" si="4"/>
        <v>0</v>
      </c>
      <c r="W7" s="524">
        <f t="shared" si="4"/>
        <v>0</v>
      </c>
      <c r="X7" s="524">
        <f t="shared" si="4"/>
        <v>0</v>
      </c>
      <c r="Y7" s="527">
        <f t="shared" si="4"/>
        <v>0</v>
      </c>
      <c r="Z7" s="528"/>
      <c r="AA7" s="529"/>
      <c r="AB7" s="530"/>
    </row>
    <row r="8" ht="24.75" customHeight="1">
      <c r="A8" s="369" t="str">
        <f>'Match Selection'!V9</f>
        <v>Joe O</v>
      </c>
      <c r="B8" s="370" t="str">
        <f>vlookup(A8, 'Master Input'!$A$11:$B$27,2, false)</f>
        <v>Drivers</v>
      </c>
      <c r="C8" s="531">
        <f>vlookup(A8,'Master Input'!$A$11:$L$27,'Master Input'!$H$28, false)</f>
        <v>13</v>
      </c>
      <c r="D8" s="532">
        <f>C8-SMALL($C$8:$C$11,1)</f>
        <v>0</v>
      </c>
      <c r="E8" s="533">
        <v>4.0</v>
      </c>
      <c r="F8" s="533">
        <v>4.0</v>
      </c>
      <c r="G8" s="533">
        <v>3.0</v>
      </c>
      <c r="H8" s="533">
        <v>6.0</v>
      </c>
      <c r="I8" s="533">
        <v>5.0</v>
      </c>
      <c r="J8" s="533">
        <v>5.0</v>
      </c>
      <c r="K8" s="533">
        <v>4.0</v>
      </c>
      <c r="L8" s="533">
        <v>3.0</v>
      </c>
      <c r="M8" s="533">
        <v>7.0</v>
      </c>
      <c r="N8" s="534">
        <f>if(M8="","", sum(E8:M8))</f>
        <v>41</v>
      </c>
      <c r="O8" s="364"/>
      <c r="P8" s="535" t="str">
        <f>A8</f>
        <v>Joe O</v>
      </c>
      <c r="Q8" s="533">
        <v>5.0</v>
      </c>
      <c r="R8" s="374">
        <v>5.0</v>
      </c>
      <c r="S8" s="374">
        <v>4.0</v>
      </c>
      <c r="T8" s="533">
        <v>4.0</v>
      </c>
      <c r="U8" s="533">
        <v>9.0</v>
      </c>
      <c r="V8" s="533">
        <v>6.0</v>
      </c>
      <c r="W8" s="533">
        <v>5.0</v>
      </c>
      <c r="X8" s="533">
        <v>3.0</v>
      </c>
      <c r="Y8" s="536">
        <v>5.0</v>
      </c>
      <c r="Z8" s="537">
        <f>if(Y8="","", sum(Q8:Y8))</f>
        <v>46</v>
      </c>
      <c r="AA8" s="538">
        <f>if(Z8="", "", sum(N8,Z8))</f>
        <v>87</v>
      </c>
      <c r="AB8" s="539">
        <f>if(Y8="", "", AA8-C8)</f>
        <v>74</v>
      </c>
    </row>
    <row r="9" ht="7.5" customHeight="1">
      <c r="A9" s="540"/>
      <c r="B9" s="541"/>
      <c r="C9" s="542"/>
      <c r="D9" s="543"/>
      <c r="E9" s="404" t="str">
        <f t="shared" ref="E9:M9" si="5">if(E10=1,"O", if(E10=2,"O   O",""))</f>
        <v/>
      </c>
      <c r="F9" s="404" t="str">
        <f t="shared" si="5"/>
        <v/>
      </c>
      <c r="G9" s="404" t="str">
        <f t="shared" si="5"/>
        <v/>
      </c>
      <c r="H9" s="404" t="str">
        <f t="shared" si="5"/>
        <v>O</v>
      </c>
      <c r="I9" s="404" t="str">
        <f t="shared" si="5"/>
        <v/>
      </c>
      <c r="J9" s="404" t="str">
        <f t="shared" si="5"/>
        <v/>
      </c>
      <c r="K9" s="404" t="str">
        <f t="shared" si="5"/>
        <v/>
      </c>
      <c r="L9" s="404" t="str">
        <f t="shared" si="5"/>
        <v/>
      </c>
      <c r="M9" s="404" t="str">
        <f t="shared" si="5"/>
        <v/>
      </c>
      <c r="N9" s="544"/>
      <c r="O9" s="545"/>
      <c r="P9" s="546"/>
      <c r="Q9" s="547" t="str">
        <f t="shared" ref="Q9:Y9" si="6">if(Q10=1,"O", if(Q10=2,"O   O",""))</f>
        <v/>
      </c>
      <c r="R9" s="547" t="str">
        <f t="shared" si="6"/>
        <v/>
      </c>
      <c r="S9" s="547" t="str">
        <f t="shared" si="6"/>
        <v/>
      </c>
      <c r="T9" s="404" t="str">
        <f t="shared" si="6"/>
        <v/>
      </c>
      <c r="U9" s="404" t="str">
        <f t="shared" si="6"/>
        <v/>
      </c>
      <c r="V9" s="404" t="str">
        <f t="shared" si="6"/>
        <v/>
      </c>
      <c r="W9" s="404" t="str">
        <f t="shared" si="6"/>
        <v/>
      </c>
      <c r="X9" s="404" t="str">
        <f t="shared" si="6"/>
        <v/>
      </c>
      <c r="Y9" s="548" t="str">
        <f t="shared" si="6"/>
        <v/>
      </c>
      <c r="Z9" s="549"/>
      <c r="AA9" s="550"/>
      <c r="AB9" s="551"/>
    </row>
    <row r="10" ht="22.5" hidden="1" customHeight="1">
      <c r="A10" s="410"/>
      <c r="B10" s="552"/>
      <c r="C10" s="553"/>
      <c r="D10" s="554"/>
      <c r="E10" s="555">
        <f t="shared" ref="E10:M10" si="7">IF($D11&gt;0,FLOOR($D11/18,1),0)+IF(AND(MOD($D11,18)&gt;=E$2,$D11&gt;0),1,0)-IF(E$2-18&gt;$D11,1,0)</f>
        <v>0</v>
      </c>
      <c r="F10" s="555">
        <f t="shared" si="7"/>
        <v>0</v>
      </c>
      <c r="G10" s="555">
        <f t="shared" si="7"/>
        <v>0</v>
      </c>
      <c r="H10" s="555">
        <f t="shared" si="7"/>
        <v>1</v>
      </c>
      <c r="I10" s="555">
        <f t="shared" si="7"/>
        <v>0</v>
      </c>
      <c r="J10" s="555">
        <f t="shared" si="7"/>
        <v>0</v>
      </c>
      <c r="K10" s="555">
        <f t="shared" si="7"/>
        <v>0</v>
      </c>
      <c r="L10" s="555">
        <f t="shared" si="7"/>
        <v>0</v>
      </c>
      <c r="M10" s="555">
        <f t="shared" si="7"/>
        <v>0</v>
      </c>
      <c r="N10" s="556"/>
      <c r="O10" s="557"/>
      <c r="P10" s="546"/>
      <c r="Q10" s="555">
        <f t="shared" ref="Q10:Y10" si="8">IF($D11&gt;0,FLOOR($D11/18,1),0)+IF(AND(MOD($D11,18)&gt;=Q$2,$D11&gt;0),1,0)-IF(Q$2-18&gt;$D11,1,0)</f>
        <v>0</v>
      </c>
      <c r="R10" s="555">
        <f t="shared" si="8"/>
        <v>0</v>
      </c>
      <c r="S10" s="555">
        <f t="shared" si="8"/>
        <v>0</v>
      </c>
      <c r="T10" s="555">
        <f t="shared" si="8"/>
        <v>0</v>
      </c>
      <c r="U10" s="555">
        <f t="shared" si="8"/>
        <v>0</v>
      </c>
      <c r="V10" s="555">
        <f t="shared" si="8"/>
        <v>0</v>
      </c>
      <c r="W10" s="555">
        <f t="shared" si="8"/>
        <v>0</v>
      </c>
      <c r="X10" s="555">
        <f t="shared" si="8"/>
        <v>0</v>
      </c>
      <c r="Y10" s="558">
        <f t="shared" si="8"/>
        <v>0</v>
      </c>
      <c r="Z10" s="559"/>
      <c r="AA10" s="560"/>
      <c r="AB10" s="561"/>
    </row>
    <row r="11" ht="24.75" customHeight="1">
      <c r="A11" s="429" t="str">
        <f>'Match Selection'!Y9</f>
        <v>Carp</v>
      </c>
      <c r="B11" s="562" t="str">
        <f>vlookup(A11, 'Master Input'!$A$11:$B$27,2, false)</f>
        <v>Irons</v>
      </c>
      <c r="C11" s="563">
        <f>vlookup(A11,'Master Input'!$A$11:$L$27,'Master Input'!$H$28, false)</f>
        <v>14</v>
      </c>
      <c r="D11" s="564">
        <f>C11-SMALL($C$8:$C$11,1)</f>
        <v>1</v>
      </c>
      <c r="E11" s="565">
        <v>5.0</v>
      </c>
      <c r="F11" s="565">
        <v>3.0</v>
      </c>
      <c r="G11" s="565">
        <v>5.0</v>
      </c>
      <c r="H11" s="565">
        <v>7.0</v>
      </c>
      <c r="I11" s="565">
        <v>6.0</v>
      </c>
      <c r="J11" s="565">
        <v>5.0</v>
      </c>
      <c r="K11" s="565">
        <v>4.0</v>
      </c>
      <c r="L11" s="565">
        <v>3.0</v>
      </c>
      <c r="M11" s="565">
        <v>5.0</v>
      </c>
      <c r="N11" s="566">
        <f>if(M11="","", sum(E11:M11))</f>
        <v>43</v>
      </c>
      <c r="O11" s="364"/>
      <c r="P11" s="567" t="str">
        <f>A11</f>
        <v>Carp</v>
      </c>
      <c r="Q11" s="565">
        <v>6.0</v>
      </c>
      <c r="R11" s="565">
        <v>4.0</v>
      </c>
      <c r="S11" s="565">
        <v>5.0</v>
      </c>
      <c r="T11" s="565">
        <v>5.0</v>
      </c>
      <c r="U11" s="565">
        <v>6.0</v>
      </c>
      <c r="V11" s="565">
        <v>6.0</v>
      </c>
      <c r="W11" s="565">
        <v>4.0</v>
      </c>
      <c r="X11" s="565">
        <v>6.0</v>
      </c>
      <c r="Y11" s="568">
        <v>6.0</v>
      </c>
      <c r="Z11" s="569">
        <f>if(Y11="","", sum(Q11:Y11))</f>
        <v>48</v>
      </c>
      <c r="AA11" s="570">
        <f>if(Z11="", "", sum(N11,Z11))</f>
        <v>91</v>
      </c>
      <c r="AB11" s="571">
        <f>if(Y11="", "", AA11-C11)</f>
        <v>77</v>
      </c>
    </row>
    <row r="12" ht="7.5" customHeight="1">
      <c r="A12" s="572"/>
      <c r="B12" s="573"/>
      <c r="C12" s="574"/>
      <c r="D12" s="575"/>
      <c r="E12" s="339"/>
      <c r="F12" s="339"/>
      <c r="G12" s="339"/>
      <c r="H12" s="339"/>
      <c r="I12" s="339"/>
      <c r="J12" s="339"/>
      <c r="K12" s="339"/>
      <c r="L12" s="339"/>
      <c r="M12" s="339"/>
      <c r="N12" s="340"/>
      <c r="O12" s="341"/>
      <c r="P12" s="576"/>
      <c r="Q12" s="339"/>
      <c r="R12" s="339"/>
      <c r="S12" s="339"/>
      <c r="T12" s="339"/>
      <c r="U12" s="339"/>
      <c r="V12" s="339"/>
      <c r="W12" s="339"/>
      <c r="X12" s="339"/>
      <c r="Y12" s="339"/>
      <c r="Z12" s="577"/>
      <c r="AA12" s="578"/>
      <c r="AB12" s="579"/>
    </row>
    <row r="13" ht="7.5" customHeight="1">
      <c r="A13" s="580"/>
      <c r="B13" s="581"/>
      <c r="C13" s="582"/>
      <c r="D13" s="583"/>
      <c r="E13" s="349" t="str">
        <f t="shared" ref="E13:M13" si="9">if(E14=1,"O", if(E14=2,"O   O",""))</f>
        <v/>
      </c>
      <c r="F13" s="349" t="str">
        <f t="shared" si="9"/>
        <v/>
      </c>
      <c r="G13" s="349" t="str">
        <f t="shared" si="9"/>
        <v/>
      </c>
      <c r="H13" s="349" t="str">
        <f t="shared" si="9"/>
        <v/>
      </c>
      <c r="I13" s="349" t="str">
        <f t="shared" si="9"/>
        <v/>
      </c>
      <c r="J13" s="349" t="str">
        <f t="shared" si="9"/>
        <v/>
      </c>
      <c r="K13" s="349" t="str">
        <f t="shared" si="9"/>
        <v/>
      </c>
      <c r="L13" s="349" t="str">
        <f t="shared" si="9"/>
        <v/>
      </c>
      <c r="M13" s="349" t="str">
        <f t="shared" si="9"/>
        <v/>
      </c>
      <c r="N13" s="516"/>
      <c r="O13" s="351"/>
      <c r="P13" s="584"/>
      <c r="Q13" s="349" t="str">
        <f t="shared" ref="Q13:Y13" si="10">if(Q14=1,"O", if(Q14=2,"O   O",""))</f>
        <v/>
      </c>
      <c r="R13" s="349" t="str">
        <f t="shared" si="10"/>
        <v/>
      </c>
      <c r="S13" s="349" t="str">
        <f t="shared" si="10"/>
        <v/>
      </c>
      <c r="T13" s="349" t="str">
        <f t="shared" si="10"/>
        <v/>
      </c>
      <c r="U13" s="349" t="str">
        <f t="shared" si="10"/>
        <v/>
      </c>
      <c r="V13" s="349" t="str">
        <f t="shared" si="10"/>
        <v/>
      </c>
      <c r="W13" s="349" t="str">
        <f t="shared" si="10"/>
        <v/>
      </c>
      <c r="X13" s="349" t="str">
        <f t="shared" si="10"/>
        <v/>
      </c>
      <c r="Y13" s="349" t="str">
        <f t="shared" si="10"/>
        <v/>
      </c>
      <c r="Z13" s="585"/>
      <c r="AA13" s="586"/>
      <c r="AB13" s="587"/>
    </row>
    <row r="14" ht="22.5" hidden="1" customHeight="1">
      <c r="A14" s="392"/>
      <c r="B14" s="357"/>
      <c r="C14" s="522"/>
      <c r="D14" s="523"/>
      <c r="E14" s="524">
        <f t="shared" ref="E14:M14" si="11">IF($D15&gt;0,FLOOR($D15/18,1),0)+IF(AND(MOD($D15,18)&gt;=E$2,$D15&gt;0),1,0)-IF(E$2-18&gt;$D15,1,0)</f>
        <v>0</v>
      </c>
      <c r="F14" s="524">
        <f t="shared" si="11"/>
        <v>0</v>
      </c>
      <c r="G14" s="524">
        <f t="shared" si="11"/>
        <v>0</v>
      </c>
      <c r="H14" s="524">
        <f t="shared" si="11"/>
        <v>0</v>
      </c>
      <c r="I14" s="524">
        <f t="shared" si="11"/>
        <v>0</v>
      </c>
      <c r="J14" s="524">
        <f t="shared" si="11"/>
        <v>0</v>
      </c>
      <c r="K14" s="524">
        <f t="shared" si="11"/>
        <v>0</v>
      </c>
      <c r="L14" s="524">
        <f t="shared" si="11"/>
        <v>0</v>
      </c>
      <c r="M14" s="524">
        <f t="shared" si="11"/>
        <v>0</v>
      </c>
      <c r="N14" s="525"/>
      <c r="O14" s="364"/>
      <c r="P14" s="380"/>
      <c r="Q14" s="524">
        <f t="shared" ref="Q14:Y14" si="12">IF($D15&gt;0,FLOOR($D15/18,1),0)+IF(AND(MOD($D15,18)&gt;=Q$2,$D15&gt;0),1,0)-IF(Q$2-18&gt;$D15,1,0)</f>
        <v>0</v>
      </c>
      <c r="R14" s="524">
        <f t="shared" si="12"/>
        <v>0</v>
      </c>
      <c r="S14" s="524">
        <f t="shared" si="12"/>
        <v>0</v>
      </c>
      <c r="T14" s="524">
        <f t="shared" si="12"/>
        <v>0</v>
      </c>
      <c r="U14" s="524">
        <f t="shared" si="12"/>
        <v>0</v>
      </c>
      <c r="V14" s="524">
        <f t="shared" si="12"/>
        <v>0</v>
      </c>
      <c r="W14" s="524">
        <f t="shared" si="12"/>
        <v>0</v>
      </c>
      <c r="X14" s="524">
        <f t="shared" si="12"/>
        <v>0</v>
      </c>
      <c r="Y14" s="524">
        <f t="shared" si="12"/>
        <v>0</v>
      </c>
      <c r="Z14" s="525"/>
      <c r="AA14" s="560"/>
      <c r="AB14" s="561"/>
    </row>
    <row r="15" ht="24.75" customHeight="1">
      <c r="A15" s="369" t="str">
        <f>'Match Selection'!V10</f>
        <v>Hile</v>
      </c>
      <c r="B15" s="370" t="str">
        <f>vlookup(A15, 'Master Input'!$A$11:$B$27,2, false)</f>
        <v>Drivers</v>
      </c>
      <c r="C15" s="531">
        <f>vlookup(A15,'Master Input'!$A$11:$L$27,'Master Input'!$H$28, false)</f>
        <v>23</v>
      </c>
      <c r="D15" s="532">
        <f>C15-SMALL($C$15:$C$18,1)</f>
        <v>0</v>
      </c>
      <c r="E15" s="533">
        <v>5.0</v>
      </c>
      <c r="F15" s="533">
        <v>6.0</v>
      </c>
      <c r="G15" s="533">
        <v>4.0</v>
      </c>
      <c r="H15" s="533">
        <v>6.0</v>
      </c>
      <c r="I15" s="533">
        <v>4.0</v>
      </c>
      <c r="J15" s="533">
        <v>5.0</v>
      </c>
      <c r="K15" s="533">
        <v>4.0</v>
      </c>
      <c r="L15" s="533">
        <v>5.0</v>
      </c>
      <c r="M15" s="533">
        <v>7.0</v>
      </c>
      <c r="N15" s="534">
        <f>if(M15="","", sum(E15:M15))</f>
        <v>46</v>
      </c>
      <c r="O15" s="364"/>
      <c r="P15" s="535" t="str">
        <f>A15</f>
        <v>Hile</v>
      </c>
      <c r="Q15" s="533">
        <v>4.0</v>
      </c>
      <c r="R15" s="533">
        <v>6.0</v>
      </c>
      <c r="S15" s="533">
        <v>6.0</v>
      </c>
      <c r="T15" s="533">
        <v>4.0</v>
      </c>
      <c r="U15" s="533">
        <v>7.0</v>
      </c>
      <c r="V15" s="533">
        <v>7.0</v>
      </c>
      <c r="W15" s="533">
        <v>6.0</v>
      </c>
      <c r="X15" s="533">
        <v>3.0</v>
      </c>
      <c r="Y15" s="533">
        <v>6.0</v>
      </c>
      <c r="Z15" s="534">
        <f>if(Y15="","", sum(Q15:Y15))</f>
        <v>49</v>
      </c>
      <c r="AA15" s="538">
        <f>if(Z15="", "", sum(N15,Z15))</f>
        <v>95</v>
      </c>
      <c r="AB15" s="539">
        <f>if(Y15="", "", AA15-C15)</f>
        <v>72</v>
      </c>
    </row>
    <row r="16" ht="7.5" customHeight="1">
      <c r="A16" s="398"/>
      <c r="B16" s="588"/>
      <c r="C16" s="589"/>
      <c r="D16" s="590"/>
      <c r="E16" s="404" t="str">
        <f t="shared" ref="E16:M16" si="13">if(E17=1,"O", if(E17=2,"O   O",""))</f>
        <v/>
      </c>
      <c r="F16" s="404" t="str">
        <f t="shared" si="13"/>
        <v/>
      </c>
      <c r="G16" s="404" t="str">
        <f t="shared" si="13"/>
        <v/>
      </c>
      <c r="H16" s="404" t="str">
        <f t="shared" si="13"/>
        <v>O</v>
      </c>
      <c r="I16" s="404" t="str">
        <f t="shared" si="13"/>
        <v>O</v>
      </c>
      <c r="J16" s="404" t="str">
        <f t="shared" si="13"/>
        <v>O</v>
      </c>
      <c r="K16" s="404" t="str">
        <f t="shared" si="13"/>
        <v/>
      </c>
      <c r="L16" s="404" t="str">
        <f t="shared" si="13"/>
        <v/>
      </c>
      <c r="M16" s="404" t="str">
        <f t="shared" si="13"/>
        <v>O</v>
      </c>
      <c r="N16" s="544"/>
      <c r="O16" s="545"/>
      <c r="P16" s="591"/>
      <c r="Q16" s="404" t="str">
        <f t="shared" ref="Q16:Y16" si="14">if(Q17=1,"O", if(Q17=2,"O   O",""))</f>
        <v>O</v>
      </c>
      <c r="R16" s="404" t="str">
        <f t="shared" si="14"/>
        <v/>
      </c>
      <c r="S16" s="404" t="str">
        <f t="shared" si="14"/>
        <v/>
      </c>
      <c r="T16" s="404" t="str">
        <f t="shared" si="14"/>
        <v/>
      </c>
      <c r="U16" s="404" t="str">
        <f t="shared" si="14"/>
        <v>O</v>
      </c>
      <c r="V16" s="404" t="str">
        <f t="shared" si="14"/>
        <v/>
      </c>
      <c r="W16" s="404" t="str">
        <f t="shared" si="14"/>
        <v/>
      </c>
      <c r="X16" s="404" t="str">
        <f t="shared" si="14"/>
        <v/>
      </c>
      <c r="Y16" s="404" t="str">
        <f t="shared" si="14"/>
        <v>O</v>
      </c>
      <c r="Z16" s="592"/>
      <c r="AA16" s="593"/>
      <c r="AB16" s="594"/>
    </row>
    <row r="17" ht="22.5" hidden="1" customHeight="1">
      <c r="A17" s="410"/>
      <c r="B17" s="552"/>
      <c r="C17" s="553"/>
      <c r="D17" s="554"/>
      <c r="E17" s="416">
        <f t="shared" ref="E17:M17" si="15">IF($D18&gt;0,FLOOR($D18/18,1),0)+IF(AND(MOD($D18,18)&gt;=E$2,$D18&gt;0),1,0)-IF(E$2-18&gt;$D18,1,0)</f>
        <v>0</v>
      </c>
      <c r="F17" s="416">
        <f t="shared" si="15"/>
        <v>0</v>
      </c>
      <c r="G17" s="416">
        <f t="shared" si="15"/>
        <v>0</v>
      </c>
      <c r="H17" s="416">
        <f t="shared" si="15"/>
        <v>1</v>
      </c>
      <c r="I17" s="416">
        <f t="shared" si="15"/>
        <v>1</v>
      </c>
      <c r="J17" s="416">
        <f t="shared" si="15"/>
        <v>1</v>
      </c>
      <c r="K17" s="416">
        <f t="shared" si="15"/>
        <v>0</v>
      </c>
      <c r="L17" s="416">
        <f t="shared" si="15"/>
        <v>0</v>
      </c>
      <c r="M17" s="416">
        <f t="shared" si="15"/>
        <v>1</v>
      </c>
      <c r="N17" s="525"/>
      <c r="O17" s="364"/>
      <c r="P17" s="540"/>
      <c r="Q17" s="416">
        <f t="shared" ref="Q17:Y17" si="16">IF($D18&gt;0,FLOOR($D18/18,1),0)+IF(AND(MOD($D18,18)&gt;=Q$2,$D18&gt;0),1,0)-IF(Q$2-18&gt;$D18,1,0)</f>
        <v>1</v>
      </c>
      <c r="R17" s="416">
        <f t="shared" si="16"/>
        <v>0</v>
      </c>
      <c r="S17" s="416">
        <f t="shared" si="16"/>
        <v>0</v>
      </c>
      <c r="T17" s="416">
        <f t="shared" si="16"/>
        <v>0</v>
      </c>
      <c r="U17" s="416">
        <f t="shared" si="16"/>
        <v>1</v>
      </c>
      <c r="V17" s="416">
        <f t="shared" si="16"/>
        <v>0</v>
      </c>
      <c r="W17" s="416">
        <f t="shared" si="16"/>
        <v>0</v>
      </c>
      <c r="X17" s="416">
        <f t="shared" si="16"/>
        <v>0</v>
      </c>
      <c r="Y17" s="416">
        <f t="shared" si="16"/>
        <v>1</v>
      </c>
      <c r="Z17" s="525"/>
      <c r="AA17" s="595"/>
      <c r="AB17" s="561"/>
    </row>
    <row r="18" ht="24.75" customHeight="1">
      <c r="A18" s="419" t="str">
        <f>'Match Selection'!Y10</f>
        <v>Saugy</v>
      </c>
      <c r="B18" s="596" t="str">
        <f>vlookup(A18, 'Master Input'!$A$11:$B$27,2, false)</f>
        <v>Irons</v>
      </c>
      <c r="C18" s="597">
        <f>vlookup(A18,'Master Input'!$A$11:$L$27,'Master Input'!$H$28, false)</f>
        <v>30</v>
      </c>
      <c r="D18" s="598">
        <f>C18-SMALL($C$15:$C$18,1)</f>
        <v>7</v>
      </c>
      <c r="E18" s="599">
        <v>7.0</v>
      </c>
      <c r="F18" s="599">
        <v>6.0</v>
      </c>
      <c r="G18" s="599">
        <v>4.0</v>
      </c>
      <c r="H18" s="599">
        <v>7.0</v>
      </c>
      <c r="I18" s="599">
        <v>5.0</v>
      </c>
      <c r="J18" s="599">
        <v>8.0</v>
      </c>
      <c r="K18" s="599">
        <v>5.0</v>
      </c>
      <c r="L18" s="599">
        <v>7.0</v>
      </c>
      <c r="M18" s="599">
        <v>7.0</v>
      </c>
      <c r="N18" s="534">
        <f>if(M18="","", sum(E18:M18))</f>
        <v>56</v>
      </c>
      <c r="O18" s="364"/>
      <c r="P18" s="567" t="str">
        <f>A18</f>
        <v>Saugy</v>
      </c>
      <c r="Q18" s="565">
        <v>6.0</v>
      </c>
      <c r="R18" s="565">
        <v>9.0</v>
      </c>
      <c r="S18" s="565">
        <v>4.0</v>
      </c>
      <c r="T18" s="565">
        <v>5.0</v>
      </c>
      <c r="U18" s="565">
        <v>11.0</v>
      </c>
      <c r="V18" s="565">
        <v>7.0</v>
      </c>
      <c r="W18" s="565">
        <v>6.0</v>
      </c>
      <c r="X18" s="565">
        <v>7.0</v>
      </c>
      <c r="Y18" s="565">
        <v>11.0</v>
      </c>
      <c r="Z18" s="566">
        <f>if(Y18="","", sum(Q18:Y18))</f>
        <v>66</v>
      </c>
      <c r="AA18" s="570">
        <f>if(Z18="", "", sum(N18,Z18))</f>
        <v>122</v>
      </c>
      <c r="AB18" s="571">
        <f>if(Y18="", "", AA18-C18)</f>
        <v>92</v>
      </c>
    </row>
    <row r="19" ht="11.25" customHeight="1">
      <c r="A19" s="441"/>
      <c r="B19" s="441"/>
      <c r="C19" s="442"/>
      <c r="D19" s="443"/>
      <c r="E19" s="441"/>
      <c r="F19" s="441"/>
      <c r="G19" s="441"/>
      <c r="H19" s="441"/>
      <c r="I19" s="441"/>
      <c r="J19" s="441"/>
      <c r="K19" s="441"/>
      <c r="L19" s="441"/>
      <c r="M19" s="441"/>
      <c r="N19" s="600" t="s">
        <v>7</v>
      </c>
      <c r="O19" s="445"/>
      <c r="P19" s="601"/>
      <c r="Q19" s="601"/>
      <c r="R19" s="601"/>
      <c r="S19" s="601"/>
      <c r="T19" s="601"/>
      <c r="U19" s="601"/>
      <c r="V19" s="601"/>
      <c r="W19" s="601"/>
      <c r="X19" s="601"/>
      <c r="Y19" s="601"/>
      <c r="Z19" s="602"/>
      <c r="AA19" s="603"/>
      <c r="AB19" s="604" t="s">
        <v>64</v>
      </c>
    </row>
    <row r="20" ht="24.75" customHeight="1">
      <c r="A20" s="605" t="str">
        <f>B8&amp;" Top"</f>
        <v>Drivers Top</v>
      </c>
      <c r="B20" s="606" t="s">
        <v>77</v>
      </c>
      <c r="C20" s="607"/>
      <c r="D20" s="608"/>
      <c r="E20" s="609">
        <f>if(E28="","",E28)</f>
        <v>1</v>
      </c>
      <c r="F20" s="610">
        <f t="shared" ref="F20:M20" si="17">if(F28="","",F28+E20)</f>
        <v>0</v>
      </c>
      <c r="G20" s="610">
        <f t="shared" si="17"/>
        <v>1</v>
      </c>
      <c r="H20" s="610">
        <f t="shared" si="17"/>
        <v>1</v>
      </c>
      <c r="I20" s="610">
        <f t="shared" si="17"/>
        <v>2</v>
      </c>
      <c r="J20" s="610">
        <f t="shared" si="17"/>
        <v>2</v>
      </c>
      <c r="K20" s="610">
        <f t="shared" si="17"/>
        <v>2</v>
      </c>
      <c r="L20" s="610">
        <f t="shared" si="17"/>
        <v>2</v>
      </c>
      <c r="M20" s="610">
        <f t="shared" si="17"/>
        <v>1</v>
      </c>
      <c r="N20" s="611">
        <f>if(M20="", "", if(M20&lt;0, 0, if(M20&gt;0, vlookup($B$2,'Master Input'!$O$12:$R$23,'Master Input'!P$11,false), vlookup($B$2,'Master Input'!$O$12:$R$23,'Master Input'!P$11,false)*0.5)))</f>
        <v>1</v>
      </c>
      <c r="O20" s="612"/>
      <c r="P20" s="613" t="s">
        <v>78</v>
      </c>
      <c r="Q20" s="614">
        <f>if(Q28="","",Q28+M20)</f>
        <v>2</v>
      </c>
      <c r="R20" s="615">
        <f t="shared" ref="R20:Y20" si="18">if(R28="","",R28+Q20)</f>
        <v>1</v>
      </c>
      <c r="S20" s="615">
        <f t="shared" si="18"/>
        <v>2</v>
      </c>
      <c r="T20" s="615">
        <f t="shared" si="18"/>
        <v>3</v>
      </c>
      <c r="U20" s="615">
        <f t="shared" si="18"/>
        <v>2</v>
      </c>
      <c r="V20" s="615">
        <f t="shared" si="18"/>
        <v>2</v>
      </c>
      <c r="W20" s="615">
        <f t="shared" si="18"/>
        <v>1</v>
      </c>
      <c r="X20" s="615">
        <f t="shared" si="18"/>
        <v>2</v>
      </c>
      <c r="Y20" s="615">
        <f t="shared" si="18"/>
        <v>3</v>
      </c>
      <c r="Z20" s="616">
        <f>if(Y20="", "", if(Y20&lt;0, 0, if(Y20&gt;0, vlookup($B$2,'Master Input'!$O$12:$R$23,'Master Input'!R$11,false), vlookup($B$2,'Master Input'!$O$12:$R$23,'Master Input'!R$11,false)*0.5)))</f>
        <v>1</v>
      </c>
      <c r="AA20" s="617" t="s">
        <v>78</v>
      </c>
      <c r="AB20" s="618">
        <f>if(Z20="","", sum(N20,Z20,Z21))</f>
        <v>3</v>
      </c>
    </row>
    <row r="21" ht="24.75" customHeight="1">
      <c r="A21" s="619"/>
      <c r="B21" s="620"/>
      <c r="C21" s="621"/>
      <c r="D21" s="622"/>
      <c r="E21" s="623"/>
      <c r="F21" s="623"/>
      <c r="G21" s="623"/>
      <c r="H21" s="623"/>
      <c r="I21" s="623"/>
      <c r="J21" s="623"/>
      <c r="K21" s="623"/>
      <c r="L21" s="623"/>
      <c r="M21" s="623"/>
      <c r="N21" s="622"/>
      <c r="O21" s="612"/>
      <c r="P21" s="624" t="s">
        <v>79</v>
      </c>
      <c r="Q21" s="625">
        <f>if(Q28="","",Q28)</f>
        <v>1</v>
      </c>
      <c r="R21" s="626">
        <f t="shared" ref="R21:Y21" si="19">if(R28="","",R28+Q21)</f>
        <v>0</v>
      </c>
      <c r="S21" s="626">
        <f t="shared" si="19"/>
        <v>1</v>
      </c>
      <c r="T21" s="626">
        <f t="shared" si="19"/>
        <v>2</v>
      </c>
      <c r="U21" s="626">
        <f t="shared" si="19"/>
        <v>1</v>
      </c>
      <c r="V21" s="626">
        <f t="shared" si="19"/>
        <v>1</v>
      </c>
      <c r="W21" s="626">
        <f t="shared" si="19"/>
        <v>0</v>
      </c>
      <c r="X21" s="626">
        <f t="shared" si="19"/>
        <v>1</v>
      </c>
      <c r="Y21" s="626">
        <f t="shared" si="19"/>
        <v>2</v>
      </c>
      <c r="Z21" s="627">
        <f>if(Y21="", "", if(Y21&lt;0, 0, if(Y21&gt;0, vlookup($B$2,'Master Input'!$O$12:$R$23,'Master Input'!Q$11,false), vlookup($B$2,'Master Input'!$O$12:$R$23,'Master Input'!Q$11,false)*0.5)))</f>
        <v>1</v>
      </c>
      <c r="AA21" s="617" t="s">
        <v>79</v>
      </c>
      <c r="AB21" s="469">
        <f>if(AB20="","",vlookup($B$2,'Master Input'!$O$12:$R$23,2,false)+vlookup($B$2,'Master Input'!$O$12:$R$23,3,false)+vlookup($B$2,'Master Input'!$O$12:$R$23,4,false)-AB20)</f>
        <v>0</v>
      </c>
    </row>
    <row r="22" ht="11.25" customHeight="1">
      <c r="A22" s="628"/>
      <c r="B22" s="628"/>
      <c r="C22" s="629"/>
      <c r="D22" s="630"/>
      <c r="E22" s="631"/>
      <c r="F22" s="631"/>
      <c r="G22" s="631"/>
      <c r="H22" s="631"/>
      <c r="I22" s="631"/>
      <c r="J22" s="631"/>
      <c r="K22" s="631"/>
      <c r="L22" s="631"/>
      <c r="M22" s="631"/>
      <c r="N22" s="632" t="s">
        <v>7</v>
      </c>
      <c r="O22" s="612"/>
      <c r="P22" s="633"/>
      <c r="Q22" s="631"/>
      <c r="R22" s="631"/>
      <c r="S22" s="631"/>
      <c r="T22" s="631"/>
      <c r="U22" s="631"/>
      <c r="V22" s="631"/>
      <c r="W22" s="631"/>
      <c r="X22" s="631"/>
      <c r="Y22" s="631"/>
      <c r="Z22" s="634"/>
      <c r="AA22" s="635"/>
      <c r="AB22" s="636" t="s">
        <v>64</v>
      </c>
    </row>
    <row r="23" ht="24.75" customHeight="1">
      <c r="A23" s="637" t="str">
        <f>B8&amp;" Bottom"</f>
        <v>Drivers Bottom</v>
      </c>
      <c r="B23" s="638" t="s">
        <v>80</v>
      </c>
      <c r="C23" s="639"/>
      <c r="D23" s="640"/>
      <c r="E23" s="641">
        <f>if(E31="","",E31)</f>
        <v>1</v>
      </c>
      <c r="F23" s="642">
        <f t="shared" ref="F23:M23" si="20">if(F31="","",F31+E23)</f>
        <v>1</v>
      </c>
      <c r="G23" s="642">
        <f t="shared" si="20"/>
        <v>1</v>
      </c>
      <c r="H23" s="642">
        <f t="shared" si="20"/>
        <v>1</v>
      </c>
      <c r="I23" s="642">
        <f t="shared" si="20"/>
        <v>1</v>
      </c>
      <c r="J23" s="642">
        <f t="shared" si="20"/>
        <v>2</v>
      </c>
      <c r="K23" s="642">
        <f t="shared" si="20"/>
        <v>3</v>
      </c>
      <c r="L23" s="642">
        <f t="shared" si="20"/>
        <v>4</v>
      </c>
      <c r="M23" s="643">
        <f t="shared" si="20"/>
        <v>3</v>
      </c>
      <c r="N23" s="644">
        <f>if(M23="", "", if(M23&lt;0, 0, if(M23&gt;0, vlookup($B$2,'Master Input'!$O$12:$R$23,'Master Input'!P$11,false), vlookup($B$2,'Master Input'!$O$12:$R$23,'Master Input'!P$11,false)*0.5)))</f>
        <v>1</v>
      </c>
      <c r="O23" s="612"/>
      <c r="P23" s="613" t="s">
        <v>81</v>
      </c>
      <c r="Q23" s="614">
        <f>if(Q31="","",Q31+M23)</f>
        <v>4</v>
      </c>
      <c r="R23" s="615">
        <f t="shared" ref="R23:Y23" si="21">if(R31="","",R31+Q23)</f>
        <v>5</v>
      </c>
      <c r="S23" s="615">
        <f t="shared" si="21"/>
        <v>4</v>
      </c>
      <c r="T23" s="615">
        <f t="shared" si="21"/>
        <v>5</v>
      </c>
      <c r="U23" s="615">
        <f t="shared" si="21"/>
        <v>6</v>
      </c>
      <c r="V23" s="615">
        <f t="shared" si="21"/>
        <v>6</v>
      </c>
      <c r="W23" s="615">
        <f t="shared" si="21"/>
        <v>6</v>
      </c>
      <c r="X23" s="615">
        <f t="shared" si="21"/>
        <v>7</v>
      </c>
      <c r="Y23" s="615">
        <f t="shared" si="21"/>
        <v>8</v>
      </c>
      <c r="Z23" s="616">
        <f>if(Y23="", "", if(Y23&lt;0, 0, if(Y23&gt;0, vlookup($B$2,'Master Input'!$O$12:$R$23,'Master Input'!R$11,false), vlookup($B$2,'Master Input'!$O$12:$R$23,'Master Input'!R$11,false)*0.5)))</f>
        <v>1</v>
      </c>
      <c r="AA23" s="617" t="s">
        <v>81</v>
      </c>
      <c r="AB23" s="618">
        <f>if(Z23="","", sum(N23,Z23,Z24))</f>
        <v>3</v>
      </c>
    </row>
    <row r="24" ht="24.75" customHeight="1">
      <c r="A24" s="645"/>
      <c r="B24" s="646"/>
      <c r="C24" s="463"/>
      <c r="D24" s="462"/>
      <c r="E24" s="464"/>
      <c r="F24" s="464"/>
      <c r="G24" s="464"/>
      <c r="H24" s="464"/>
      <c r="I24" s="464"/>
      <c r="J24" s="464"/>
      <c r="K24" s="464"/>
      <c r="L24" s="464"/>
      <c r="M24" s="464"/>
      <c r="N24" s="462"/>
      <c r="O24" s="612"/>
      <c r="P24" s="624" t="s">
        <v>82</v>
      </c>
      <c r="Q24" s="625">
        <f>if(Q31="","",Q31)</f>
        <v>1</v>
      </c>
      <c r="R24" s="626">
        <f t="shared" ref="R24:Y24" si="22">if(R31="","",R31+Q24)</f>
        <v>2</v>
      </c>
      <c r="S24" s="626">
        <f t="shared" si="22"/>
        <v>1</v>
      </c>
      <c r="T24" s="626">
        <f t="shared" si="22"/>
        <v>2</v>
      </c>
      <c r="U24" s="626">
        <f t="shared" si="22"/>
        <v>3</v>
      </c>
      <c r="V24" s="626">
        <f t="shared" si="22"/>
        <v>3</v>
      </c>
      <c r="W24" s="626">
        <f t="shared" si="22"/>
        <v>3</v>
      </c>
      <c r="X24" s="626">
        <f t="shared" si="22"/>
        <v>4</v>
      </c>
      <c r="Y24" s="626">
        <f t="shared" si="22"/>
        <v>5</v>
      </c>
      <c r="Z24" s="627">
        <f>if(Y24="", "", if(Y24&lt;0, 0, if(Y24&gt;0, vlookup($B$2,'Master Input'!$O$12:$R$23,'Master Input'!Q$11,false), vlookup($B$2,'Master Input'!$O$12:$R$23,'Master Input'!Q$11,false)*0.5)))</f>
        <v>1</v>
      </c>
      <c r="AA24" s="617" t="s">
        <v>82</v>
      </c>
      <c r="AB24" s="469">
        <f>if(AB23="","",vlookup($B$2,'Master Input'!$O$12:$R$23,2,false)+vlookup($B$2,'Master Input'!$O$12:$R$23,3,false)+vlookup($B$2,'Master Input'!$O$12:$R$23,4,false)-AB23)</f>
        <v>0</v>
      </c>
    </row>
    <row r="25" ht="22.5" hidden="1" customHeight="1">
      <c r="A25" s="649"/>
      <c r="B25" s="649"/>
      <c r="C25" s="650"/>
      <c r="D25" s="649"/>
      <c r="E25" s="651"/>
      <c r="F25" s="651"/>
      <c r="G25" s="651"/>
      <c r="H25" s="651"/>
      <c r="I25" s="651"/>
      <c r="J25" s="651"/>
      <c r="K25" s="651"/>
      <c r="L25" s="651"/>
      <c r="M25" s="651"/>
      <c r="N25" s="649"/>
      <c r="O25" s="472"/>
      <c r="P25" s="473"/>
      <c r="Q25" s="473"/>
      <c r="R25" s="473"/>
      <c r="S25" s="473"/>
      <c r="T25" s="473"/>
      <c r="U25" s="473"/>
      <c r="V25" s="473"/>
      <c r="W25" s="473"/>
      <c r="X25" s="473"/>
      <c r="Y25" s="473"/>
      <c r="Z25" s="473"/>
      <c r="AB25" s="649"/>
    </row>
    <row r="26" ht="22.5" hidden="1" customHeight="1">
      <c r="A26" s="649"/>
      <c r="B26" s="649"/>
      <c r="C26" s="650"/>
      <c r="D26" s="649"/>
      <c r="E26" s="651"/>
      <c r="F26" s="651"/>
      <c r="G26" s="651"/>
      <c r="H26" s="651"/>
      <c r="I26" s="651"/>
      <c r="J26" s="651"/>
      <c r="K26" s="651"/>
      <c r="L26" s="651"/>
      <c r="M26" s="651"/>
      <c r="N26" s="649"/>
      <c r="O26" s="472"/>
      <c r="P26" s="473"/>
      <c r="Q26" s="473"/>
      <c r="R26" s="473"/>
      <c r="S26" s="473"/>
      <c r="T26" s="473"/>
      <c r="U26" s="473"/>
      <c r="V26" s="473"/>
      <c r="W26" s="473"/>
      <c r="X26" s="473"/>
      <c r="Y26" s="473"/>
      <c r="Z26" s="473"/>
      <c r="AA26" s="652" t="s">
        <v>68</v>
      </c>
      <c r="AB26" s="653" t="s">
        <v>69</v>
      </c>
    </row>
    <row r="27" ht="22.5" hidden="1" customHeight="1">
      <c r="A27" s="649"/>
      <c r="B27" s="649"/>
      <c r="C27" s="650"/>
      <c r="D27" s="649"/>
      <c r="E27" s="651"/>
      <c r="F27" s="651"/>
      <c r="G27" s="651"/>
      <c r="H27" s="651"/>
      <c r="I27" s="651"/>
      <c r="J27" s="651"/>
      <c r="K27" s="651"/>
      <c r="L27" s="651"/>
      <c r="M27" s="651"/>
      <c r="N27" s="649"/>
      <c r="O27" s="472"/>
      <c r="P27" s="473"/>
      <c r="Q27" s="473"/>
      <c r="R27" s="473"/>
      <c r="S27" s="473"/>
      <c r="T27" s="473"/>
      <c r="U27" s="473"/>
      <c r="V27" s="473"/>
      <c r="W27" s="473"/>
      <c r="X27" s="473"/>
      <c r="Y27" s="473"/>
      <c r="Z27" s="473"/>
      <c r="AA27" s="652" t="s">
        <v>72</v>
      </c>
      <c r="AB27" s="653" t="s">
        <v>73</v>
      </c>
    </row>
    <row r="28" ht="22.5" hidden="1" customHeight="1">
      <c r="A28" s="654"/>
      <c r="B28" s="655" t="str">
        <f>B20</f>
        <v>Top - Front</v>
      </c>
      <c r="C28" s="656"/>
      <c r="D28" s="655"/>
      <c r="E28" s="657">
        <f t="shared" ref="E28:M28" si="23">if(and(E8="", E11=""), "",if(E8-E7&lt;E11-E10,1,if(E8-E7&gt;E11-E10,-1,0)))</f>
        <v>1</v>
      </c>
      <c r="F28" s="657">
        <f t="shared" si="23"/>
        <v>-1</v>
      </c>
      <c r="G28" s="657">
        <f t="shared" si="23"/>
        <v>1</v>
      </c>
      <c r="H28" s="657">
        <f t="shared" si="23"/>
        <v>0</v>
      </c>
      <c r="I28" s="657">
        <f t="shared" si="23"/>
        <v>1</v>
      </c>
      <c r="J28" s="657">
        <f t="shared" si="23"/>
        <v>0</v>
      </c>
      <c r="K28" s="657">
        <f t="shared" si="23"/>
        <v>0</v>
      </c>
      <c r="L28" s="657">
        <f t="shared" si="23"/>
        <v>0</v>
      </c>
      <c r="M28" s="657">
        <f t="shared" si="23"/>
        <v>-1</v>
      </c>
      <c r="N28" s="655">
        <f>sum(N29:N30)</f>
        <v>9</v>
      </c>
      <c r="O28" s="658"/>
      <c r="P28" s="658"/>
      <c r="Q28" s="657">
        <f t="shared" ref="Q28:Y28" si="24">if(and(Q8="", Q11=""), "",if(Q8-Q7&lt;Q11-Q10,1,if(Q8-Q7&gt;Q11-Q10,-1,0)))</f>
        <v>1</v>
      </c>
      <c r="R28" s="657">
        <f t="shared" si="24"/>
        <v>-1</v>
      </c>
      <c r="S28" s="657">
        <f t="shared" si="24"/>
        <v>1</v>
      </c>
      <c r="T28" s="657">
        <f t="shared" si="24"/>
        <v>1</v>
      </c>
      <c r="U28" s="657">
        <f t="shared" si="24"/>
        <v>-1</v>
      </c>
      <c r="V28" s="657">
        <f t="shared" si="24"/>
        <v>0</v>
      </c>
      <c r="W28" s="657">
        <f t="shared" si="24"/>
        <v>-1</v>
      </c>
      <c r="X28" s="657">
        <f t="shared" si="24"/>
        <v>1</v>
      </c>
      <c r="Y28" s="657">
        <f t="shared" si="24"/>
        <v>1</v>
      </c>
      <c r="Z28" s="655">
        <f>sum(Z29:Z30)</f>
        <v>9</v>
      </c>
      <c r="AA28" s="659">
        <f>sum(Z28,N28)</f>
        <v>18</v>
      </c>
      <c r="AB28" s="660"/>
    </row>
    <row r="29" ht="22.5" hidden="1" customHeight="1">
      <c r="A29" s="649" t="str">
        <f>A8</f>
        <v>Joe O</v>
      </c>
      <c r="B29" s="649"/>
      <c r="C29" s="650"/>
      <c r="D29" s="649"/>
      <c r="E29" s="651">
        <f t="shared" ref="E29:M29" si="25">if(E28="","",(E28+1)/2)</f>
        <v>1</v>
      </c>
      <c r="F29" s="651">
        <f t="shared" si="25"/>
        <v>0</v>
      </c>
      <c r="G29" s="651">
        <f t="shared" si="25"/>
        <v>1</v>
      </c>
      <c r="H29" s="651">
        <f t="shared" si="25"/>
        <v>0.5</v>
      </c>
      <c r="I29" s="651">
        <f t="shared" si="25"/>
        <v>1</v>
      </c>
      <c r="J29" s="651">
        <f t="shared" si="25"/>
        <v>0.5</v>
      </c>
      <c r="K29" s="651">
        <f t="shared" si="25"/>
        <v>0.5</v>
      </c>
      <c r="L29" s="651">
        <f t="shared" si="25"/>
        <v>0.5</v>
      </c>
      <c r="M29" s="651">
        <f t="shared" si="25"/>
        <v>0</v>
      </c>
      <c r="N29" s="649">
        <f>if(M28="","",sum(E29:M29))</f>
        <v>5</v>
      </c>
      <c r="O29" s="473"/>
      <c r="P29" s="473"/>
      <c r="Q29" s="651">
        <f t="shared" ref="Q29:Y29" si="26">if(Q28="","",(Q28+1)/2)</f>
        <v>1</v>
      </c>
      <c r="R29" s="651">
        <f t="shared" si="26"/>
        <v>0</v>
      </c>
      <c r="S29" s="651">
        <f t="shared" si="26"/>
        <v>1</v>
      </c>
      <c r="T29" s="651">
        <f t="shared" si="26"/>
        <v>1</v>
      </c>
      <c r="U29" s="651">
        <f t="shared" si="26"/>
        <v>0</v>
      </c>
      <c r="V29" s="651">
        <f t="shared" si="26"/>
        <v>0.5</v>
      </c>
      <c r="W29" s="651">
        <f t="shared" si="26"/>
        <v>0</v>
      </c>
      <c r="X29" s="651">
        <f t="shared" si="26"/>
        <v>1</v>
      </c>
      <c r="Y29" s="651">
        <f t="shared" si="26"/>
        <v>1</v>
      </c>
      <c r="Z29" s="649">
        <f>if(Y28="","",sum(Q29:Y29))</f>
        <v>5.5</v>
      </c>
      <c r="AA29" s="661">
        <f>if(Y28="","",sum(Z29,N29))</f>
        <v>10.5</v>
      </c>
      <c r="AB29" s="662">
        <f>if(Y28="","",AB20)</f>
        <v>3</v>
      </c>
    </row>
    <row r="30" ht="22.5" hidden="1" customHeight="1">
      <c r="A30" s="649" t="str">
        <f>A11</f>
        <v>Carp</v>
      </c>
      <c r="B30" s="649"/>
      <c r="C30" s="650"/>
      <c r="D30" s="649"/>
      <c r="E30" s="651">
        <f t="shared" ref="E30:M30" si="27">if(E28="","",1-E29)</f>
        <v>0</v>
      </c>
      <c r="F30" s="651">
        <f t="shared" si="27"/>
        <v>1</v>
      </c>
      <c r="G30" s="651">
        <f t="shared" si="27"/>
        <v>0</v>
      </c>
      <c r="H30" s="651">
        <f t="shared" si="27"/>
        <v>0.5</v>
      </c>
      <c r="I30" s="651">
        <f t="shared" si="27"/>
        <v>0</v>
      </c>
      <c r="J30" s="651">
        <f t="shared" si="27"/>
        <v>0.5</v>
      </c>
      <c r="K30" s="651">
        <f t="shared" si="27"/>
        <v>0.5</v>
      </c>
      <c r="L30" s="651">
        <f t="shared" si="27"/>
        <v>0.5</v>
      </c>
      <c r="M30" s="651">
        <f t="shared" si="27"/>
        <v>1</v>
      </c>
      <c r="N30" s="649">
        <f>if(M28="","",sum(E30:M30))</f>
        <v>4</v>
      </c>
      <c r="O30" s="473"/>
      <c r="P30" s="473"/>
      <c r="Q30" s="651">
        <f t="shared" ref="Q30:Y30" si="28">if(Q28="","",1-Q29)</f>
        <v>0</v>
      </c>
      <c r="R30" s="651">
        <f t="shared" si="28"/>
        <v>1</v>
      </c>
      <c r="S30" s="651">
        <f t="shared" si="28"/>
        <v>0</v>
      </c>
      <c r="T30" s="651">
        <f t="shared" si="28"/>
        <v>0</v>
      </c>
      <c r="U30" s="651">
        <f t="shared" si="28"/>
        <v>1</v>
      </c>
      <c r="V30" s="651">
        <f t="shared" si="28"/>
        <v>0.5</v>
      </c>
      <c r="W30" s="651">
        <f t="shared" si="28"/>
        <v>1</v>
      </c>
      <c r="X30" s="651">
        <f t="shared" si="28"/>
        <v>0</v>
      </c>
      <c r="Y30" s="651">
        <f t="shared" si="28"/>
        <v>0</v>
      </c>
      <c r="Z30" s="649">
        <f>if(Y28="","",sum(Q30:Y30))</f>
        <v>3.5</v>
      </c>
      <c r="AA30" s="661">
        <f>if(Y28="","",sum(Z30,N30))</f>
        <v>7.5</v>
      </c>
      <c r="AB30" s="662">
        <f>if(Y28="","",3-AB20)</f>
        <v>0</v>
      </c>
    </row>
    <row r="31" ht="22.5" hidden="1" customHeight="1">
      <c r="A31" s="660"/>
      <c r="B31" s="655" t="str">
        <f>B23</f>
        <v>Bottom - Front</v>
      </c>
      <c r="C31" s="656"/>
      <c r="D31" s="655"/>
      <c r="E31" s="657">
        <f t="shared" ref="E31:M31" si="29">if(and(E15="", E18=""), "",if(E15-E14&lt;E18-E17,1,if(E15-E14&gt;E18-E17,-1,0)))</f>
        <v>1</v>
      </c>
      <c r="F31" s="657">
        <f t="shared" si="29"/>
        <v>0</v>
      </c>
      <c r="G31" s="657">
        <f t="shared" si="29"/>
        <v>0</v>
      </c>
      <c r="H31" s="657">
        <f t="shared" si="29"/>
        <v>0</v>
      </c>
      <c r="I31" s="657">
        <f t="shared" si="29"/>
        <v>0</v>
      </c>
      <c r="J31" s="657">
        <f t="shared" si="29"/>
        <v>1</v>
      </c>
      <c r="K31" s="657">
        <f t="shared" si="29"/>
        <v>1</v>
      </c>
      <c r="L31" s="657">
        <f t="shared" si="29"/>
        <v>1</v>
      </c>
      <c r="M31" s="657">
        <f t="shared" si="29"/>
        <v>-1</v>
      </c>
      <c r="N31" s="655">
        <f>sum(N32:N33)</f>
        <v>9</v>
      </c>
      <c r="O31" s="658"/>
      <c r="P31" s="658"/>
      <c r="Q31" s="657">
        <f t="shared" ref="Q31:Y31" si="30">if(and(Q15="", Q18=""), "",if(Q15-Q14&lt;Q18-Q17,1,if(Q15-Q14&gt;Q18-Q17,-1,0)))</f>
        <v>1</v>
      </c>
      <c r="R31" s="657">
        <f t="shared" si="30"/>
        <v>1</v>
      </c>
      <c r="S31" s="657">
        <f t="shared" si="30"/>
        <v>-1</v>
      </c>
      <c r="T31" s="657">
        <f t="shared" si="30"/>
        <v>1</v>
      </c>
      <c r="U31" s="657">
        <f t="shared" si="30"/>
        <v>1</v>
      </c>
      <c r="V31" s="657">
        <f t="shared" si="30"/>
        <v>0</v>
      </c>
      <c r="W31" s="657">
        <f t="shared" si="30"/>
        <v>0</v>
      </c>
      <c r="X31" s="657">
        <f t="shared" si="30"/>
        <v>1</v>
      </c>
      <c r="Y31" s="657">
        <f t="shared" si="30"/>
        <v>1</v>
      </c>
      <c r="Z31" s="655">
        <f>sum(Z32:Z33)</f>
        <v>9</v>
      </c>
      <c r="AA31" s="659">
        <f>sum(Z31,N31)</f>
        <v>18</v>
      </c>
      <c r="AB31" s="655"/>
    </row>
    <row r="32" ht="22.5" hidden="1" customHeight="1">
      <c r="A32" s="649" t="str">
        <f>A15</f>
        <v>Hile</v>
      </c>
      <c r="B32" s="649"/>
      <c r="C32" s="650"/>
      <c r="D32" s="649"/>
      <c r="E32" s="651">
        <f t="shared" ref="E32:M32" si="31">if(E31="","",(E31+1)/2)</f>
        <v>1</v>
      </c>
      <c r="F32" s="651">
        <f t="shared" si="31"/>
        <v>0.5</v>
      </c>
      <c r="G32" s="651">
        <f t="shared" si="31"/>
        <v>0.5</v>
      </c>
      <c r="H32" s="651">
        <f t="shared" si="31"/>
        <v>0.5</v>
      </c>
      <c r="I32" s="651">
        <f t="shared" si="31"/>
        <v>0.5</v>
      </c>
      <c r="J32" s="651">
        <f t="shared" si="31"/>
        <v>1</v>
      </c>
      <c r="K32" s="651">
        <f t="shared" si="31"/>
        <v>1</v>
      </c>
      <c r="L32" s="651">
        <f t="shared" si="31"/>
        <v>1</v>
      </c>
      <c r="M32" s="651">
        <f t="shared" si="31"/>
        <v>0</v>
      </c>
      <c r="N32" s="649">
        <f>if(M31="","",sum(E32:M32))</f>
        <v>6</v>
      </c>
      <c r="O32" s="472"/>
      <c r="P32" s="473"/>
      <c r="Q32" s="651">
        <f t="shared" ref="Q32:Y32" si="32">if(Q31="","",(Q31+1)/2)</f>
        <v>1</v>
      </c>
      <c r="R32" s="651">
        <f t="shared" si="32"/>
        <v>1</v>
      </c>
      <c r="S32" s="651">
        <f t="shared" si="32"/>
        <v>0</v>
      </c>
      <c r="T32" s="651">
        <f t="shared" si="32"/>
        <v>1</v>
      </c>
      <c r="U32" s="651">
        <f t="shared" si="32"/>
        <v>1</v>
      </c>
      <c r="V32" s="651">
        <f t="shared" si="32"/>
        <v>0.5</v>
      </c>
      <c r="W32" s="651">
        <f t="shared" si="32"/>
        <v>0.5</v>
      </c>
      <c r="X32" s="651">
        <f t="shared" si="32"/>
        <v>1</v>
      </c>
      <c r="Y32" s="651">
        <f t="shared" si="32"/>
        <v>1</v>
      </c>
      <c r="Z32" s="649">
        <f>if(Y31="","",sum(Q32:Y32))</f>
        <v>7</v>
      </c>
      <c r="AA32" s="661">
        <f>if(Y28="","",sum(Z32,N32))</f>
        <v>13</v>
      </c>
      <c r="AB32" s="662">
        <f>if(Y28="","",AB23)</f>
        <v>3</v>
      </c>
    </row>
    <row r="33" ht="22.5" hidden="1" customHeight="1">
      <c r="A33" s="649" t="str">
        <f>A18</f>
        <v>Saugy</v>
      </c>
      <c r="B33" s="649"/>
      <c r="C33" s="650"/>
      <c r="D33" s="649"/>
      <c r="E33" s="651">
        <f t="shared" ref="E33:M33" si="33">if(E31="","",1-E32)</f>
        <v>0</v>
      </c>
      <c r="F33" s="651">
        <f t="shared" si="33"/>
        <v>0.5</v>
      </c>
      <c r="G33" s="651">
        <f t="shared" si="33"/>
        <v>0.5</v>
      </c>
      <c r="H33" s="651">
        <f t="shared" si="33"/>
        <v>0.5</v>
      </c>
      <c r="I33" s="651">
        <f t="shared" si="33"/>
        <v>0.5</v>
      </c>
      <c r="J33" s="651">
        <f t="shared" si="33"/>
        <v>0</v>
      </c>
      <c r="K33" s="651">
        <f t="shared" si="33"/>
        <v>0</v>
      </c>
      <c r="L33" s="651">
        <f t="shared" si="33"/>
        <v>0</v>
      </c>
      <c r="M33" s="651">
        <f t="shared" si="33"/>
        <v>1</v>
      </c>
      <c r="N33" s="649">
        <f>if(M31="","",sum(E33:M33))</f>
        <v>3</v>
      </c>
      <c r="O33" s="472"/>
      <c r="P33" s="473"/>
      <c r="Q33" s="651">
        <f t="shared" ref="Q33:Y33" si="34">if(Q31="","",1-Q32)</f>
        <v>0</v>
      </c>
      <c r="R33" s="651">
        <f t="shared" si="34"/>
        <v>0</v>
      </c>
      <c r="S33" s="651">
        <f t="shared" si="34"/>
        <v>1</v>
      </c>
      <c r="T33" s="651">
        <f t="shared" si="34"/>
        <v>0</v>
      </c>
      <c r="U33" s="651">
        <f t="shared" si="34"/>
        <v>0</v>
      </c>
      <c r="V33" s="651">
        <f t="shared" si="34"/>
        <v>0.5</v>
      </c>
      <c r="W33" s="651">
        <f t="shared" si="34"/>
        <v>0.5</v>
      </c>
      <c r="X33" s="651">
        <f t="shared" si="34"/>
        <v>0</v>
      </c>
      <c r="Y33" s="651">
        <f t="shared" si="34"/>
        <v>0</v>
      </c>
      <c r="Z33" s="649">
        <f>if(Y31="","",sum(Q33:Y33))</f>
        <v>2</v>
      </c>
      <c r="AA33" s="661">
        <f>if(Y28="","",sum(Z33,N33))</f>
        <v>5</v>
      </c>
      <c r="AB33" s="662">
        <f>if(Y28="","",3-AB23)</f>
        <v>0</v>
      </c>
    </row>
    <row r="34" ht="22.5" hidden="1" customHeight="1">
      <c r="A34" s="649"/>
      <c r="B34" s="649"/>
      <c r="C34" s="650"/>
      <c r="D34" s="649"/>
      <c r="E34" s="649">
        <f t="shared" ref="E34:N34" si="35">sum(E29:E30,E32:E33)</f>
        <v>2</v>
      </c>
      <c r="F34" s="649">
        <f t="shared" si="35"/>
        <v>2</v>
      </c>
      <c r="G34" s="649">
        <f t="shared" si="35"/>
        <v>2</v>
      </c>
      <c r="H34" s="649">
        <f t="shared" si="35"/>
        <v>2</v>
      </c>
      <c r="I34" s="649">
        <f t="shared" si="35"/>
        <v>2</v>
      </c>
      <c r="J34" s="649">
        <f t="shared" si="35"/>
        <v>2</v>
      </c>
      <c r="K34" s="649">
        <f t="shared" si="35"/>
        <v>2</v>
      </c>
      <c r="L34" s="649">
        <f t="shared" si="35"/>
        <v>2</v>
      </c>
      <c r="M34" s="649">
        <f t="shared" si="35"/>
        <v>2</v>
      </c>
      <c r="N34" s="649">
        <f t="shared" si="35"/>
        <v>18</v>
      </c>
      <c r="O34" s="472"/>
      <c r="P34" s="473"/>
      <c r="Q34" s="649">
        <f t="shared" ref="Q34:AA34" si="36">sum(Q29:Q30,Q32:Q33)</f>
        <v>2</v>
      </c>
      <c r="R34" s="649">
        <f t="shared" si="36"/>
        <v>2</v>
      </c>
      <c r="S34" s="649">
        <f t="shared" si="36"/>
        <v>2</v>
      </c>
      <c r="T34" s="649">
        <f t="shared" si="36"/>
        <v>2</v>
      </c>
      <c r="U34" s="649">
        <f t="shared" si="36"/>
        <v>2</v>
      </c>
      <c r="V34" s="649">
        <f t="shared" si="36"/>
        <v>2</v>
      </c>
      <c r="W34" s="649">
        <f t="shared" si="36"/>
        <v>2</v>
      </c>
      <c r="X34" s="649">
        <f t="shared" si="36"/>
        <v>2</v>
      </c>
      <c r="Y34" s="649">
        <f t="shared" si="36"/>
        <v>2</v>
      </c>
      <c r="Z34" s="649">
        <f t="shared" si="36"/>
        <v>18</v>
      </c>
      <c r="AA34" s="649">
        <f t="shared" si="36"/>
        <v>36</v>
      </c>
      <c r="AB34" s="662"/>
    </row>
  </sheetData>
  <mergeCells count="1">
    <mergeCell ref="B2:B3"/>
  </mergeCells>
  <conditionalFormatting sqref="E15:M15 Q15:Y15">
    <cfRule type="expression" dxfId="16" priority="1">
      <formula>E$31=1</formula>
    </cfRule>
  </conditionalFormatting>
  <conditionalFormatting sqref="E18:M18 Q18:Y18">
    <cfRule type="expression" dxfId="15" priority="2">
      <formula>E$31=-1</formula>
    </cfRule>
  </conditionalFormatting>
  <conditionalFormatting sqref="E8:M8 Q8:Y8">
    <cfRule type="expression" dxfId="16" priority="3">
      <formula>E$28=1</formula>
    </cfRule>
  </conditionalFormatting>
  <conditionalFormatting sqref="E11:M11 Q11:Y11">
    <cfRule type="expression" dxfId="15" priority="4">
      <formula>E$28=-1</formula>
    </cfRule>
  </conditionalFormatting>
  <conditionalFormatting sqref="N20 Z20:Z21 AB20 N23 Z23:Z24 AB23">
    <cfRule type="notContainsBlanks" dxfId="16" priority="5">
      <formula>LEN(TRIM(N20))&gt;0</formula>
    </cfRule>
  </conditionalFormatting>
  <conditionalFormatting sqref="AB21 AB24">
    <cfRule type="notContainsBlanks" dxfId="15" priority="6">
      <formula>LEN(TRIM(AB21))&gt;0</formula>
    </cfRule>
  </conditionalFormatting>
  <conditionalFormatting sqref="E15:M15 Q15:Y15 E18:M18 Q18:Y18">
    <cfRule type="expression" dxfId="2" priority="7">
      <formula>E$31=0</formula>
    </cfRule>
  </conditionalFormatting>
  <conditionalFormatting sqref="E18:M18 Q18:Y18">
    <cfRule type="expression" dxfId="2" priority="8">
      <formula>E$31=0</formula>
    </cfRule>
  </conditionalFormatting>
  <conditionalFormatting sqref="E8:M8 Q8:Y8 E11:M11 Q11:Y11">
    <cfRule type="expression" dxfId="2" priority="9">
      <formula>E$28=0</formula>
    </cfRule>
  </conditionalFormatting>
  <conditionalFormatting sqref="E11:M11 Q11:Y11">
    <cfRule type="expression" dxfId="2" priority="10">
      <formula>E$28=0</formula>
    </cfRule>
  </conditionalFormatting>
  <printOptions horizontalCentered="1"/>
  <pageMargins bottom="0.25" footer="0.0" header="0.0" left="0.55" right="0.25" top="0.2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9" width="6.57"/>
    <col customWidth="1" min="30" max="30" width="2.43"/>
    <col customWidth="1" min="31" max="32" width="5.0"/>
  </cols>
  <sheetData>
    <row r="1" ht="13.5" customHeight="1">
      <c r="A1" s="663" t="s">
        <v>54</v>
      </c>
      <c r="B1" s="664">
        <f>'Master Input'!I3</f>
        <v>0.0875</v>
      </c>
      <c r="C1" s="665" t="str">
        <f>'Master Input'!$I$2</f>
        <v>Round 3</v>
      </c>
      <c r="D1" s="666"/>
      <c r="E1" s="665" t="str">
        <f>'Master Input'!$I$6</f>
        <v>Ravines GC - White</v>
      </c>
      <c r="F1" s="667"/>
      <c r="G1" s="667"/>
      <c r="H1" s="667"/>
      <c r="I1" s="667"/>
      <c r="J1" s="667"/>
      <c r="K1" s="667"/>
      <c r="L1" s="668"/>
      <c r="M1" s="669"/>
      <c r="N1" s="670"/>
      <c r="O1" s="670"/>
      <c r="P1" s="669"/>
      <c r="Q1" s="671" t="str">
        <f>'Master Input'!$I$2</f>
        <v>Round 3</v>
      </c>
      <c r="R1" s="666"/>
      <c r="S1" s="665" t="str">
        <f>'Master Input'!$I$6</f>
        <v>Ravines GC - White</v>
      </c>
      <c r="T1" s="667"/>
      <c r="U1" s="667"/>
      <c r="V1" s="667"/>
      <c r="W1" s="667"/>
      <c r="X1" s="667"/>
      <c r="Y1" s="667"/>
      <c r="Z1" s="667"/>
      <c r="AA1" s="667"/>
      <c r="AB1" s="667"/>
      <c r="AC1" s="668"/>
      <c r="AD1" s="672"/>
      <c r="AE1" s="672"/>
      <c r="AF1" s="672"/>
    </row>
    <row r="2" ht="13.5" customHeight="1">
      <c r="A2" s="673" t="s">
        <v>55</v>
      </c>
      <c r="B2" s="674" t="str">
        <f>'Match Selection'!B14</f>
        <v>2-Man Tilt</v>
      </c>
      <c r="C2" s="675">
        <f>vlookup($E1, 'Course List'!$A$3:$AS$14,5+C4, false)</f>
        <v>9</v>
      </c>
      <c r="D2" s="676">
        <f>vlookup($E1, 'Course List'!$A$3:$AS$14,5+D4, false)</f>
        <v>15</v>
      </c>
      <c r="E2" s="676">
        <f>vlookup($E1, 'Course List'!$A$3:$AS$14,5+E4, false)</f>
        <v>13</v>
      </c>
      <c r="F2" s="676">
        <f>vlookup($E1, 'Course List'!$A$3:$AS$14,5+F4, false)</f>
        <v>1</v>
      </c>
      <c r="G2" s="676">
        <f>vlookup($E1, 'Course List'!$A$3:$AS$14,5+G4, false)</f>
        <v>3</v>
      </c>
      <c r="H2" s="676">
        <f>vlookup($E1, 'Course List'!$A$3:$AS$14,5+H4, false)</f>
        <v>5</v>
      </c>
      <c r="I2" s="676">
        <f>vlookup($E1, 'Course List'!$A$3:$AS$14,5+I4, false)</f>
        <v>17</v>
      </c>
      <c r="J2" s="676">
        <f>vlookup($E1, 'Course List'!$A$3:$AS$14,5+J4, false)</f>
        <v>11</v>
      </c>
      <c r="K2" s="677">
        <f>vlookup($E1, 'Course List'!$A$3:$AS$14,5+K4, false)</f>
        <v>7</v>
      </c>
      <c r="L2" s="678"/>
      <c r="M2" s="679"/>
      <c r="N2" s="680"/>
      <c r="O2" s="680"/>
      <c r="P2" s="679"/>
      <c r="Q2" s="673" t="s">
        <v>55</v>
      </c>
      <c r="R2" s="676">
        <f>vlookup($E1, 'Course List'!$A$3:$AS$14,5+R4, false)</f>
        <v>4</v>
      </c>
      <c r="S2" s="676">
        <f>vlookup($E1, 'Course List'!$A$3:$AS$14,5+S4, false)</f>
        <v>10</v>
      </c>
      <c r="T2" s="676">
        <f>vlookup($E1, 'Course List'!$A$3:$AS$14,5+T4, false)</f>
        <v>16</v>
      </c>
      <c r="U2" s="676">
        <f>vlookup($E1, 'Course List'!$A$3:$AS$14,5+U4, false)</f>
        <v>14</v>
      </c>
      <c r="V2" s="676">
        <f>vlookup($E1, 'Course List'!$A$3:$AS$14,5+V4, false)</f>
        <v>2</v>
      </c>
      <c r="W2" s="676">
        <f>vlookup($E1, 'Course List'!$A$3:$AS$14,5+W4, false)</f>
        <v>8</v>
      </c>
      <c r="X2" s="676">
        <f>vlookup($E1, 'Course List'!$A$3:$AS$14,5+X4, false)</f>
        <v>18</v>
      </c>
      <c r="Y2" s="676">
        <f>vlookup($E1, 'Course List'!$A$3:$AS$14,5+Y4, false)</f>
        <v>12</v>
      </c>
      <c r="Z2" s="677">
        <f>vlookup($E1, 'Course List'!$A$3:$AS$14,5+Z4, false)</f>
        <v>6</v>
      </c>
      <c r="AA2" s="681"/>
      <c r="AB2" s="682"/>
      <c r="AC2" s="683"/>
      <c r="AD2" s="648"/>
      <c r="AE2" s="648"/>
      <c r="AF2" s="648"/>
    </row>
    <row r="3" ht="13.5" customHeight="1">
      <c r="A3" s="684" t="s">
        <v>56</v>
      </c>
      <c r="B3" s="685"/>
      <c r="C3" s="686">
        <f>vlookup($E1, 'Course List'!$A$3:$AS$14,27+C4, false)</f>
        <v>4</v>
      </c>
      <c r="D3" s="687">
        <f>vlookup($E1, 'Course List'!$A$3:$AS$14,27+D4, false)</f>
        <v>4</v>
      </c>
      <c r="E3" s="687">
        <f>vlookup($E1, 'Course List'!$A$3:$AS$14,27+E4, false)</f>
        <v>3</v>
      </c>
      <c r="F3" s="687">
        <f>vlookup($E1, 'Course List'!$A$3:$AS$14,27+F4, false)</f>
        <v>5</v>
      </c>
      <c r="G3" s="687">
        <f>vlookup($E1, 'Course List'!$A$3:$AS$14,27+G4, false)</f>
        <v>4</v>
      </c>
      <c r="H3" s="687">
        <f>vlookup($E1, 'Course List'!$A$3:$AS$14,27+H4, false)</f>
        <v>4</v>
      </c>
      <c r="I3" s="687">
        <f>vlookup($E1, 'Course List'!$A$3:$AS$14,27+I4, false)</f>
        <v>4</v>
      </c>
      <c r="J3" s="687">
        <f>vlookup($E1, 'Course List'!$A$3:$AS$14,27+J4, false)</f>
        <v>3</v>
      </c>
      <c r="K3" s="688">
        <f>vlookup($E1, 'Course List'!$A$3:$AS$14,27+K4, false)</f>
        <v>5</v>
      </c>
      <c r="L3" s="689">
        <f>SUM(C3:K3)</f>
        <v>36</v>
      </c>
      <c r="M3" s="679"/>
      <c r="N3" s="680"/>
      <c r="O3" s="680"/>
      <c r="P3" s="679"/>
      <c r="Q3" s="684" t="s">
        <v>56</v>
      </c>
      <c r="R3" s="687">
        <f>vlookup($E1, 'Course List'!$A$3:$AS$14,27+R4, false)</f>
        <v>4</v>
      </c>
      <c r="S3" s="687">
        <f>vlookup($E1, 'Course List'!$A$3:$AS$14,27+S4, false)</f>
        <v>4</v>
      </c>
      <c r="T3" s="687">
        <f>vlookup($E1, 'Course List'!$A$3:$AS$14,27+T4, false)</f>
        <v>3</v>
      </c>
      <c r="U3" s="687">
        <f>vlookup($E1, 'Course List'!$A$3:$AS$14,27+U4, false)</f>
        <v>4</v>
      </c>
      <c r="V3" s="687">
        <f>vlookup($E1, 'Course List'!$A$3:$AS$14,27+V4, false)</f>
        <v>5</v>
      </c>
      <c r="W3" s="687">
        <f>vlookup($E1, 'Course List'!$A$3:$AS$14,27+W4, false)</f>
        <v>4</v>
      </c>
      <c r="X3" s="687">
        <f>vlookup($E1, 'Course List'!$A$3:$AS$14,27+X4, false)</f>
        <v>4</v>
      </c>
      <c r="Y3" s="687">
        <f>vlookup($E1, 'Course List'!$A$3:$AS$14,27+Y4, false)</f>
        <v>3</v>
      </c>
      <c r="Z3" s="688">
        <f>vlookup($E1, 'Course List'!$A$3:$AS$14,27+Z4, false)</f>
        <v>5</v>
      </c>
      <c r="AA3" s="686">
        <f>SUM(R3:Z3)</f>
        <v>36</v>
      </c>
      <c r="AB3" s="687">
        <f>L3+AA3</f>
        <v>72</v>
      </c>
      <c r="AC3" s="690"/>
      <c r="AD3" s="648"/>
      <c r="AE3" s="648"/>
      <c r="AF3" s="648"/>
    </row>
    <row r="4" ht="13.5" customHeight="1">
      <c r="A4" s="691" t="s">
        <v>10</v>
      </c>
      <c r="B4" s="692"/>
      <c r="C4" s="693">
        <v>1.0</v>
      </c>
      <c r="D4" s="330">
        <v>2.0</v>
      </c>
      <c r="E4" s="330">
        <v>3.0</v>
      </c>
      <c r="F4" s="330">
        <v>4.0</v>
      </c>
      <c r="G4" s="330">
        <v>5.0</v>
      </c>
      <c r="H4" s="330">
        <v>6.0</v>
      </c>
      <c r="I4" s="330">
        <v>7.0</v>
      </c>
      <c r="J4" s="330">
        <v>8.0</v>
      </c>
      <c r="K4" s="694">
        <v>9.0</v>
      </c>
      <c r="L4" s="695" t="s">
        <v>60</v>
      </c>
      <c r="M4" s="313"/>
      <c r="N4" s="648"/>
      <c r="O4" s="648"/>
      <c r="P4" s="313"/>
      <c r="Q4" s="691" t="s">
        <v>10</v>
      </c>
      <c r="R4" s="330">
        <v>10.0</v>
      </c>
      <c r="S4" s="330">
        <v>11.0</v>
      </c>
      <c r="T4" s="330">
        <v>12.0</v>
      </c>
      <c r="U4" s="330">
        <v>13.0</v>
      </c>
      <c r="V4" s="330">
        <v>14.0</v>
      </c>
      <c r="W4" s="330">
        <v>15.0</v>
      </c>
      <c r="X4" s="330">
        <v>16.0</v>
      </c>
      <c r="Y4" s="330">
        <v>17.0</v>
      </c>
      <c r="Z4" s="694">
        <v>18.0</v>
      </c>
      <c r="AA4" s="696" t="s">
        <v>61</v>
      </c>
      <c r="AB4" s="697" t="s">
        <v>83</v>
      </c>
      <c r="AC4" s="698" t="s">
        <v>84</v>
      </c>
      <c r="AD4" s="462"/>
      <c r="AE4" s="699"/>
      <c r="AF4" s="648"/>
    </row>
    <row r="5" ht="3.75" customHeight="1">
      <c r="A5" s="700"/>
      <c r="B5" s="700"/>
      <c r="C5" s="701"/>
      <c r="D5" s="701"/>
      <c r="E5" s="701"/>
      <c r="F5" s="701"/>
      <c r="G5" s="701"/>
      <c r="H5" s="701"/>
      <c r="I5" s="701"/>
      <c r="J5" s="701"/>
      <c r="K5" s="701"/>
      <c r="L5" s="340"/>
      <c r="M5" s="341"/>
      <c r="N5" s="702" t="s">
        <v>85</v>
      </c>
      <c r="O5" s="455"/>
      <c r="P5" s="341"/>
      <c r="Q5" s="703"/>
      <c r="R5" s="701"/>
      <c r="S5" s="701"/>
      <c r="T5" s="701"/>
      <c r="U5" s="701"/>
      <c r="V5" s="701"/>
      <c r="W5" s="701"/>
      <c r="X5" s="701"/>
      <c r="Y5" s="701"/>
      <c r="Z5" s="701"/>
      <c r="AA5" s="336"/>
      <c r="AB5" s="342"/>
      <c r="AC5" s="342"/>
      <c r="AD5" s="462"/>
      <c r="AE5" s="702" t="s">
        <v>85</v>
      </c>
      <c r="AF5" s="704"/>
    </row>
    <row r="6" ht="7.5" customHeight="1">
      <c r="A6" s="705"/>
      <c r="B6" s="706" t="s">
        <v>86</v>
      </c>
      <c r="C6" s="707" t="str">
        <f t="shared" ref="C6:K6" si="1">if(C7=1,"O", if(C7=2,"O   O",""))</f>
        <v>O</v>
      </c>
      <c r="D6" s="708" t="str">
        <f t="shared" si="1"/>
        <v/>
      </c>
      <c r="E6" s="708" t="str">
        <f t="shared" si="1"/>
        <v/>
      </c>
      <c r="F6" s="708" t="str">
        <f t="shared" si="1"/>
        <v>O</v>
      </c>
      <c r="G6" s="708" t="str">
        <f t="shared" si="1"/>
        <v>O</v>
      </c>
      <c r="H6" s="708" t="str">
        <f t="shared" si="1"/>
        <v>O</v>
      </c>
      <c r="I6" s="708" t="str">
        <f t="shared" si="1"/>
        <v/>
      </c>
      <c r="J6" s="708" t="str">
        <f t="shared" si="1"/>
        <v/>
      </c>
      <c r="K6" s="709" t="str">
        <f t="shared" si="1"/>
        <v>O</v>
      </c>
      <c r="L6" s="710"/>
      <c r="M6" s="711"/>
      <c r="O6" s="712"/>
      <c r="P6" s="713"/>
      <c r="Q6" s="714"/>
      <c r="R6" s="707" t="str">
        <f t="shared" ref="R6:Z6" si="2">if(R7=1,"O", if(R7=2,"O   O",""))</f>
        <v>O</v>
      </c>
      <c r="S6" s="708" t="str">
        <f t="shared" si="2"/>
        <v/>
      </c>
      <c r="T6" s="708" t="str">
        <f t="shared" si="2"/>
        <v/>
      </c>
      <c r="U6" s="708" t="str">
        <f t="shared" si="2"/>
        <v/>
      </c>
      <c r="V6" s="708" t="str">
        <f t="shared" si="2"/>
        <v>O</v>
      </c>
      <c r="W6" s="708" t="str">
        <f t="shared" si="2"/>
        <v>O</v>
      </c>
      <c r="X6" s="708" t="str">
        <f t="shared" si="2"/>
        <v/>
      </c>
      <c r="Y6" s="708" t="str">
        <f t="shared" si="2"/>
        <v/>
      </c>
      <c r="Z6" s="709" t="str">
        <f t="shared" si="2"/>
        <v>O</v>
      </c>
      <c r="AA6" s="715"/>
      <c r="AB6" s="716"/>
      <c r="AC6" s="717"/>
      <c r="AD6" s="462"/>
      <c r="AF6" s="718"/>
    </row>
    <row r="7" ht="22.5" hidden="1" customHeight="1">
      <c r="A7" s="719"/>
      <c r="B7" s="720"/>
      <c r="C7" s="721">
        <f t="shared" ref="C7:K7" si="3">IF($B8&gt;0,FLOOR($B8/18,1),0)+IF(AND(MOD($B8,18)&gt;=C$2,$B8&gt;0),1,0)-IF(C$2-18&gt;$B8,1,0)</f>
        <v>1</v>
      </c>
      <c r="D7" s="721">
        <f t="shared" si="3"/>
        <v>0</v>
      </c>
      <c r="E7" s="721">
        <f t="shared" si="3"/>
        <v>0</v>
      </c>
      <c r="F7" s="721">
        <f t="shared" si="3"/>
        <v>1</v>
      </c>
      <c r="G7" s="721">
        <f t="shared" si="3"/>
        <v>1</v>
      </c>
      <c r="H7" s="721">
        <f t="shared" si="3"/>
        <v>1</v>
      </c>
      <c r="I7" s="721">
        <f t="shared" si="3"/>
        <v>0</v>
      </c>
      <c r="J7" s="721">
        <f t="shared" si="3"/>
        <v>0</v>
      </c>
      <c r="K7" s="721">
        <f t="shared" si="3"/>
        <v>1</v>
      </c>
      <c r="L7" s="722"/>
      <c r="M7" s="722"/>
      <c r="N7" s="722"/>
      <c r="O7" s="722"/>
      <c r="P7" s="455"/>
      <c r="Q7" s="723"/>
      <c r="R7" s="721">
        <f t="shared" ref="R7:Z7" si="4">IF($B8&gt;0,FLOOR($B8/18,1),0)+IF(AND(MOD($B8,18)&gt;=R$2,$B8&gt;0),1,0)-IF(R$2-18&gt;$B8,1,0)</f>
        <v>1</v>
      </c>
      <c r="S7" s="721">
        <f t="shared" si="4"/>
        <v>0</v>
      </c>
      <c r="T7" s="721">
        <f t="shared" si="4"/>
        <v>0</v>
      </c>
      <c r="U7" s="721">
        <f t="shared" si="4"/>
        <v>0</v>
      </c>
      <c r="V7" s="721">
        <f t="shared" si="4"/>
        <v>1</v>
      </c>
      <c r="W7" s="721">
        <f t="shared" si="4"/>
        <v>1</v>
      </c>
      <c r="X7" s="721">
        <f t="shared" si="4"/>
        <v>0</v>
      </c>
      <c r="Y7" s="721">
        <f t="shared" si="4"/>
        <v>0</v>
      </c>
      <c r="Z7" s="721">
        <f t="shared" si="4"/>
        <v>1</v>
      </c>
      <c r="AA7" s="455"/>
      <c r="AB7" s="455"/>
      <c r="AC7" s="724"/>
      <c r="AD7" s="722"/>
      <c r="AE7" s="722"/>
      <c r="AF7" s="722"/>
    </row>
    <row r="8" ht="18.75" customHeight="1">
      <c r="A8" s="725" t="str">
        <f>'Match Selection'!D14</f>
        <v>T-Mo</v>
      </c>
      <c r="B8" s="726">
        <f>if(A8="","", vlookup(A8,'Master Input'!$A$11:$L$27,'Master Input'!$J$28, false))</f>
        <v>9</v>
      </c>
      <c r="C8" s="727">
        <v>5.0</v>
      </c>
      <c r="D8" s="728">
        <v>4.0</v>
      </c>
      <c r="E8" s="728">
        <v>3.0</v>
      </c>
      <c r="F8" s="728">
        <v>7.0</v>
      </c>
      <c r="G8" s="728">
        <v>6.0</v>
      </c>
      <c r="H8" s="728">
        <v>4.0</v>
      </c>
      <c r="I8" s="728">
        <v>5.0</v>
      </c>
      <c r="J8" s="728">
        <v>3.0</v>
      </c>
      <c r="K8" s="729">
        <v>7.0</v>
      </c>
      <c r="L8" s="730">
        <f>if(K8="","", sum(C8:K8))</f>
        <v>44</v>
      </c>
      <c r="M8" s="648"/>
      <c r="N8" s="731">
        <v>12.0</v>
      </c>
      <c r="O8" s="732" t="s">
        <v>87</v>
      </c>
      <c r="P8" s="455"/>
      <c r="Q8" s="733" t="str">
        <f>A8</f>
        <v>T-Mo</v>
      </c>
      <c r="R8" s="727">
        <v>5.0</v>
      </c>
      <c r="S8" s="728">
        <v>4.0</v>
      </c>
      <c r="T8" s="728">
        <v>3.0</v>
      </c>
      <c r="U8" s="728">
        <v>4.0</v>
      </c>
      <c r="V8" s="728">
        <v>5.0</v>
      </c>
      <c r="W8" s="728">
        <v>4.0</v>
      </c>
      <c r="X8" s="728">
        <v>4.0</v>
      </c>
      <c r="Y8" s="728">
        <v>4.0</v>
      </c>
      <c r="Z8" s="729">
        <v>6.0</v>
      </c>
      <c r="AA8" s="734">
        <f>if(Z8="","", sum(R8:Z8))</f>
        <v>39</v>
      </c>
      <c r="AB8" s="735">
        <f t="shared" ref="AB8:AB9" si="7">if(AA8="", "", sum(L8,AA8))</f>
        <v>83</v>
      </c>
      <c r="AC8" s="736">
        <f>if(Z8="", "", AB8-B8)</f>
        <v>74</v>
      </c>
      <c r="AD8" s="648"/>
      <c r="AE8" s="737">
        <f t="shared" ref="AE8:AE9" si="8">N8</f>
        <v>12</v>
      </c>
      <c r="AF8" s="732" t="s">
        <v>87</v>
      </c>
    </row>
    <row r="9" ht="21.0" customHeight="1">
      <c r="A9" s="738" t="str">
        <f>vlookup(A8, 'Master Input'!$A$11:$B$27,2, false)</f>
        <v>Drivers</v>
      </c>
      <c r="B9" s="739" t="s">
        <v>88</v>
      </c>
      <c r="C9" s="740">
        <f>if(C8="","",
if(C8-C7-C$3=-3,$N$8,
if(C8-C7-C$3=-2,$N$9,
if(C8-C7-C$3=-1,$N$13,
if(C8-C7-C$3=0,$N$14,
if(C8-C7-C$3=1,$N$18,$N$19))))))</f>
        <v>2</v>
      </c>
      <c r="D9" s="741">
        <f t="shared" ref="D9:K9" si="5">if(D8="","",(
if(D8-D7-D$3=-3,$N$8,
if(D8-D7-D$3=-2,$N$9,
if(D8-D7-D$3=-1,$N$13,
if(D8-D7-D$3=0,$N$14,
if(D8-D7-D$3=1,$N$18,$N$19)))))
* if(or(C8-C7-C$3&lt;0,C13-C12-C$3&lt;0),2,1)))</f>
        <v>2</v>
      </c>
      <c r="E9" s="741">
        <f t="shared" si="5"/>
        <v>2</v>
      </c>
      <c r="F9" s="741">
        <f t="shared" si="5"/>
        <v>0</v>
      </c>
      <c r="G9" s="741">
        <f t="shared" si="5"/>
        <v>0</v>
      </c>
      <c r="H9" s="741">
        <f t="shared" si="5"/>
        <v>4</v>
      </c>
      <c r="I9" s="741">
        <f t="shared" si="5"/>
        <v>0</v>
      </c>
      <c r="J9" s="741">
        <f t="shared" si="5"/>
        <v>2</v>
      </c>
      <c r="K9" s="742">
        <f t="shared" si="5"/>
        <v>0</v>
      </c>
      <c r="L9" s="743">
        <f>if(C9="","",sum(C9:K9))</f>
        <v>12</v>
      </c>
      <c r="M9" s="648"/>
      <c r="N9" s="731">
        <v>8.0</v>
      </c>
      <c r="O9" s="744" t="s">
        <v>89</v>
      </c>
      <c r="P9" s="455"/>
      <c r="Q9" s="745" t="s">
        <v>88</v>
      </c>
      <c r="R9" s="740">
        <f>if(R8="","",(
if(R8-R7-R$3=-3,$N$8,
if(R8-R7-R$3=-2,$N$9,
if(R8-R7-R$3=-1,$N$13,
if(R8-R7-R$3=0,$N$14,
if(R8-R7-R$3=1,$N$18,$N$19)))))
* if(or(K8-K7-K$3&lt;0,K13-K12-K$3&lt;0),2,1)))</f>
        <v>2</v>
      </c>
      <c r="S9" s="741">
        <f t="shared" ref="S9:Z9" si="6">if(S8="","",(
if(S8-S7-S$3=-3,$N$8,
if(S8-S7-S$3=-2,$N$9,
if(S8-S7-S$3=-1,$N$13,
if(S8-S7-S$3=0,$N$14,
if(S8-S7-S$3=1,$N$18,$N$19)))))
* if(or(R8-R7-R$3&lt;0,R13-R12-R$3&lt;0),2,1)))</f>
        <v>4</v>
      </c>
      <c r="T9" s="741">
        <f t="shared" si="6"/>
        <v>2</v>
      </c>
      <c r="U9" s="741">
        <f t="shared" si="6"/>
        <v>2</v>
      </c>
      <c r="V9" s="741">
        <f t="shared" si="6"/>
        <v>4</v>
      </c>
      <c r="W9" s="741">
        <f t="shared" si="6"/>
        <v>8</v>
      </c>
      <c r="X9" s="741">
        <f t="shared" si="6"/>
        <v>4</v>
      </c>
      <c r="Y9" s="741">
        <f t="shared" si="6"/>
        <v>0</v>
      </c>
      <c r="Z9" s="742">
        <f t="shared" si="6"/>
        <v>2</v>
      </c>
      <c r="AA9" s="746">
        <f>if(R9="","",sum(R9:Z9))</f>
        <v>28</v>
      </c>
      <c r="AB9" s="747">
        <f t="shared" si="7"/>
        <v>40</v>
      </c>
      <c r="AC9" s="748"/>
      <c r="AD9" s="648"/>
      <c r="AE9" s="737">
        <f t="shared" si="8"/>
        <v>8</v>
      </c>
      <c r="AF9" s="732" t="s">
        <v>89</v>
      </c>
    </row>
    <row r="10" ht="3.75" customHeight="1">
      <c r="A10" s="749"/>
      <c r="B10" s="455"/>
      <c r="C10" s="722"/>
      <c r="D10" s="722"/>
      <c r="E10" s="722"/>
      <c r="F10" s="722"/>
      <c r="G10" s="722"/>
      <c r="H10" s="722"/>
      <c r="I10" s="722"/>
      <c r="J10" s="722"/>
      <c r="K10" s="722"/>
      <c r="L10" s="722"/>
      <c r="M10" s="648"/>
      <c r="N10" s="750"/>
      <c r="O10" s="751"/>
      <c r="P10" s="722"/>
      <c r="Q10" s="752"/>
      <c r="R10" s="722"/>
      <c r="S10" s="722"/>
      <c r="T10" s="722"/>
      <c r="U10" s="722"/>
      <c r="V10" s="722"/>
      <c r="W10" s="722"/>
      <c r="X10" s="722"/>
      <c r="Y10" s="722"/>
      <c r="Z10" s="722"/>
      <c r="AA10" s="722"/>
      <c r="AB10" s="722"/>
      <c r="AC10" s="722"/>
      <c r="AD10" s="648"/>
      <c r="AE10" s="750"/>
      <c r="AF10" s="751"/>
    </row>
    <row r="11" ht="7.5" customHeight="1">
      <c r="A11" s="753"/>
      <c r="B11" s="706" t="s">
        <v>86</v>
      </c>
      <c r="C11" s="707" t="str">
        <f t="shared" ref="C11:K11" si="9">if(C12=1,"O", if(C12=2,"O   O",""))</f>
        <v>O</v>
      </c>
      <c r="D11" s="708" t="str">
        <f t="shared" si="9"/>
        <v/>
      </c>
      <c r="E11" s="708" t="str">
        <f t="shared" si="9"/>
        <v/>
      </c>
      <c r="F11" s="708" t="str">
        <f t="shared" si="9"/>
        <v>O</v>
      </c>
      <c r="G11" s="708" t="str">
        <f t="shared" si="9"/>
        <v>O</v>
      </c>
      <c r="H11" s="708" t="str">
        <f t="shared" si="9"/>
        <v>O</v>
      </c>
      <c r="I11" s="708" t="str">
        <f t="shared" si="9"/>
        <v/>
      </c>
      <c r="J11" s="708" t="str">
        <f t="shared" si="9"/>
        <v/>
      </c>
      <c r="K11" s="709" t="str">
        <f t="shared" si="9"/>
        <v>O</v>
      </c>
      <c r="L11" s="710"/>
      <c r="M11" s="648"/>
      <c r="N11" s="754"/>
      <c r="O11" s="755"/>
      <c r="P11" s="713"/>
      <c r="Q11" s="756"/>
      <c r="R11" s="707" t="str">
        <f t="shared" ref="R11:Z11" si="10">if(R12=1,"O", if(R12=2,"O   O",""))</f>
        <v>O</v>
      </c>
      <c r="S11" s="708" t="str">
        <f t="shared" si="10"/>
        <v>O</v>
      </c>
      <c r="T11" s="708" t="str">
        <f t="shared" si="10"/>
        <v/>
      </c>
      <c r="U11" s="708" t="str">
        <f t="shared" si="10"/>
        <v/>
      </c>
      <c r="V11" s="708" t="str">
        <f t="shared" si="10"/>
        <v>O</v>
      </c>
      <c r="W11" s="708" t="str">
        <f t="shared" si="10"/>
        <v>O</v>
      </c>
      <c r="X11" s="708" t="str">
        <f t="shared" si="10"/>
        <v/>
      </c>
      <c r="Y11" s="708" t="str">
        <f t="shared" si="10"/>
        <v/>
      </c>
      <c r="Z11" s="709" t="str">
        <f t="shared" si="10"/>
        <v>O</v>
      </c>
      <c r="AA11" s="757"/>
      <c r="AB11" s="758"/>
      <c r="AC11" s="759"/>
      <c r="AD11" s="648"/>
      <c r="AE11" s="760"/>
      <c r="AF11" s="761"/>
    </row>
    <row r="12" ht="22.5" hidden="1" customHeight="1">
      <c r="A12" s="762"/>
      <c r="B12" s="720"/>
      <c r="C12" s="721">
        <f t="shared" ref="C12:K12" si="11">IF($B13&gt;0,FLOOR($B13/18,1),0)+IF(AND(MOD($B13,18)&gt;=C$2,$B13&gt;0),1,0)-IF(C$2-18&gt;$B13,1,0)</f>
        <v>1</v>
      </c>
      <c r="D12" s="721">
        <f t="shared" si="11"/>
        <v>0</v>
      </c>
      <c r="E12" s="721">
        <f t="shared" si="11"/>
        <v>0</v>
      </c>
      <c r="F12" s="721">
        <f t="shared" si="11"/>
        <v>1</v>
      </c>
      <c r="G12" s="721">
        <f t="shared" si="11"/>
        <v>1</v>
      </c>
      <c r="H12" s="721">
        <f t="shared" si="11"/>
        <v>1</v>
      </c>
      <c r="I12" s="721">
        <f t="shared" si="11"/>
        <v>0</v>
      </c>
      <c r="J12" s="721">
        <f t="shared" si="11"/>
        <v>0</v>
      </c>
      <c r="K12" s="721">
        <f t="shared" si="11"/>
        <v>1</v>
      </c>
      <c r="L12" s="722"/>
      <c r="M12" s="648"/>
      <c r="N12" s="750"/>
      <c r="O12" s="751"/>
      <c r="P12" s="455"/>
      <c r="Q12" s="763"/>
      <c r="R12" s="721">
        <f t="shared" ref="R12:Z12" si="12">IF($B13&gt;0,FLOOR($B13/18,1),0)+IF(AND(MOD($B13,18)&gt;=R$2,$B13&gt;0),1,0)-IF(R$2-18&gt;$B13,1,0)</f>
        <v>1</v>
      </c>
      <c r="S12" s="721">
        <f t="shared" si="12"/>
        <v>1</v>
      </c>
      <c r="T12" s="721">
        <f t="shared" si="12"/>
        <v>0</v>
      </c>
      <c r="U12" s="721">
        <f t="shared" si="12"/>
        <v>0</v>
      </c>
      <c r="V12" s="721">
        <f t="shared" si="12"/>
        <v>1</v>
      </c>
      <c r="W12" s="721">
        <f t="shared" si="12"/>
        <v>1</v>
      </c>
      <c r="X12" s="721">
        <f t="shared" si="12"/>
        <v>0</v>
      </c>
      <c r="Y12" s="721">
        <f t="shared" si="12"/>
        <v>0</v>
      </c>
      <c r="Z12" s="721">
        <f t="shared" si="12"/>
        <v>1</v>
      </c>
      <c r="AA12" s="722"/>
      <c r="AB12" s="722"/>
      <c r="AC12" s="724"/>
      <c r="AD12" s="648"/>
      <c r="AE12" s="750"/>
      <c r="AF12" s="751"/>
    </row>
    <row r="13" ht="18.75" customHeight="1">
      <c r="A13" s="725" t="str">
        <f>'Match Selection'!D15</f>
        <v>TJSC</v>
      </c>
      <c r="B13" s="726">
        <f>if(A13="","", vlookup(A13,'Master Input'!$A$11:$L$27,'Master Input'!$J$28, false))</f>
        <v>10</v>
      </c>
      <c r="C13" s="727">
        <v>6.0</v>
      </c>
      <c r="D13" s="728">
        <v>5.0</v>
      </c>
      <c r="E13" s="728">
        <v>3.0</v>
      </c>
      <c r="F13" s="728">
        <v>6.0</v>
      </c>
      <c r="G13" s="728">
        <v>5.0</v>
      </c>
      <c r="H13" s="728">
        <v>5.0</v>
      </c>
      <c r="I13" s="728">
        <v>5.0</v>
      </c>
      <c r="J13" s="728">
        <v>3.0</v>
      </c>
      <c r="K13" s="729">
        <v>6.0</v>
      </c>
      <c r="L13" s="730">
        <f>if(K13="","", sum(C13:K13))</f>
        <v>44</v>
      </c>
      <c r="M13" s="648"/>
      <c r="N13" s="764">
        <v>4.0</v>
      </c>
      <c r="O13" s="732" t="s">
        <v>90</v>
      </c>
      <c r="P13" s="455"/>
      <c r="Q13" s="733" t="str">
        <f>A13</f>
        <v>TJSC</v>
      </c>
      <c r="R13" s="727">
        <v>4.0</v>
      </c>
      <c r="S13" s="728">
        <v>6.0</v>
      </c>
      <c r="T13" s="728">
        <v>4.0</v>
      </c>
      <c r="U13" s="728">
        <v>5.0</v>
      </c>
      <c r="V13" s="728">
        <v>5.0</v>
      </c>
      <c r="W13" s="728">
        <v>4.0</v>
      </c>
      <c r="X13" s="728">
        <v>6.0</v>
      </c>
      <c r="Y13" s="728">
        <v>4.0</v>
      </c>
      <c r="Z13" s="729">
        <v>6.0</v>
      </c>
      <c r="AA13" s="734">
        <f>if(Z13="","", sum(R13:Z13))</f>
        <v>44</v>
      </c>
      <c r="AB13" s="735">
        <f t="shared" ref="AB13:AB14" si="15">if(AA13="", "", sum(L13,AA13))</f>
        <v>88</v>
      </c>
      <c r="AC13" s="736">
        <f>if(Z13="", "", AB13-B13)</f>
        <v>78</v>
      </c>
      <c r="AD13" s="648"/>
      <c r="AE13" s="737">
        <f t="shared" ref="AE13:AE14" si="16">N13</f>
        <v>4</v>
      </c>
      <c r="AF13" s="732" t="s">
        <v>90</v>
      </c>
    </row>
    <row r="14" ht="21.0" customHeight="1">
      <c r="A14" s="738" t="str">
        <f>vlookup(A13, 'Master Input'!$A$11:$B$27,2, false)</f>
        <v>Drivers</v>
      </c>
      <c r="B14" s="739" t="s">
        <v>88</v>
      </c>
      <c r="C14" s="740">
        <f>if(C13="","",
if(C13-C12-C$3=-3,$N$8,
if(C13-C12-C$3=-2,$N$9,
if(C13-C12-C$3=-1,$N$13,
if(C13-C12-C$3=0,$N$14,
if(C13-C12-C$3=1,$N$18,$N$19))))))</f>
        <v>0</v>
      </c>
      <c r="D14" s="741">
        <f t="shared" ref="D14:K14" si="13">if(D13="","",(
if(D13-D12-D$3=-3,$N$8,
if(D13-D12-D$3=-2,$N$9,
if(D13-D12-D$3=-1,$N$13,
if(D13-D12-D$3=0,$N$14,
if(D13-D12-D$3=1,$N$18,$N$19)))))
* if(or(C8-C7-C$3&lt;0,C13-C12-C$3&lt;0),2,1)))</f>
        <v>0</v>
      </c>
      <c r="E14" s="741">
        <f t="shared" si="13"/>
        <v>2</v>
      </c>
      <c r="F14" s="741">
        <f t="shared" si="13"/>
        <v>2</v>
      </c>
      <c r="G14" s="741">
        <f t="shared" si="13"/>
        <v>2</v>
      </c>
      <c r="H14" s="741">
        <f t="shared" si="13"/>
        <v>2</v>
      </c>
      <c r="I14" s="741">
        <f t="shared" si="13"/>
        <v>0</v>
      </c>
      <c r="J14" s="741">
        <f t="shared" si="13"/>
        <v>2</v>
      </c>
      <c r="K14" s="742">
        <f t="shared" si="13"/>
        <v>2</v>
      </c>
      <c r="L14" s="743">
        <f>if(C14="","",sum(C14:K14))</f>
        <v>12</v>
      </c>
      <c r="M14" s="648"/>
      <c r="N14" s="731">
        <v>2.0</v>
      </c>
      <c r="O14" s="732" t="s">
        <v>91</v>
      </c>
      <c r="P14" s="455"/>
      <c r="Q14" s="745" t="s">
        <v>88</v>
      </c>
      <c r="R14" s="740">
        <f>if(R13="","",(
if(R13-R12-R$3=-3,$N$8,
if(R13-R12-R$3=-2,$N$9,
if(R13-R12-R$3=-1,$N$13,
if(R13-R12-R$3=0,$N$14,
if(R13-R12-R$3=1,$N$18,$N$19)))))
* if(or(K8-K7-K$3&lt;0,K13-K12-K$3&lt;0),2,1)))</f>
        <v>4</v>
      </c>
      <c r="S14" s="741">
        <f t="shared" ref="S14:Z14" si="14">if(S13="","",(
if(S13-S12-S$3=-3,$N$8,
if(S13-S12-S$3=-2,$N$9,
if(S13-S12-S$3=-1,$N$13,
if(S13-S12-S$3=0,$N$14,
if(S13-S12-S$3=1,$N$18,$N$19)))))
* if(or(R8-R7-R$3&lt;0,R13-R12-R$3&lt;0),2,1)))</f>
        <v>0</v>
      </c>
      <c r="T14" s="741">
        <f t="shared" si="14"/>
        <v>0</v>
      </c>
      <c r="U14" s="741">
        <f t="shared" si="14"/>
        <v>0</v>
      </c>
      <c r="V14" s="741">
        <f t="shared" si="14"/>
        <v>4</v>
      </c>
      <c r="W14" s="741">
        <f t="shared" si="14"/>
        <v>8</v>
      </c>
      <c r="X14" s="741">
        <f t="shared" si="14"/>
        <v>-8</v>
      </c>
      <c r="Y14" s="741">
        <f t="shared" si="14"/>
        <v>0</v>
      </c>
      <c r="Z14" s="742">
        <f t="shared" si="14"/>
        <v>2</v>
      </c>
      <c r="AA14" s="746">
        <f>if(R14="","",sum(R14:Z14))</f>
        <v>10</v>
      </c>
      <c r="AB14" s="747">
        <f t="shared" si="15"/>
        <v>22</v>
      </c>
      <c r="AC14" s="748"/>
      <c r="AD14" s="648"/>
      <c r="AE14" s="737">
        <f t="shared" si="16"/>
        <v>2</v>
      </c>
      <c r="AF14" s="732" t="s">
        <v>91</v>
      </c>
    </row>
    <row r="15" ht="3.75" customHeight="1">
      <c r="A15" s="765"/>
      <c r="B15" s="766"/>
      <c r="C15" s="767"/>
      <c r="D15" s="767"/>
      <c r="E15" s="767"/>
      <c r="F15" s="767"/>
      <c r="G15" s="767"/>
      <c r="H15" s="767"/>
      <c r="I15" s="767"/>
      <c r="J15" s="767"/>
      <c r="K15" s="767"/>
      <c r="L15" s="722"/>
      <c r="M15" s="648"/>
      <c r="N15" s="750"/>
      <c r="O15" s="751"/>
      <c r="P15" s="722"/>
      <c r="Q15" s="752"/>
      <c r="R15" s="722"/>
      <c r="S15" s="722"/>
      <c r="T15" s="722"/>
      <c r="U15" s="722"/>
      <c r="V15" s="722"/>
      <c r="W15" s="722"/>
      <c r="X15" s="722"/>
      <c r="Y15" s="722"/>
      <c r="Z15" s="722"/>
      <c r="AA15" s="722"/>
      <c r="AB15" s="722"/>
      <c r="AC15" s="722"/>
      <c r="AD15" s="648"/>
      <c r="AE15" s="750"/>
      <c r="AF15" s="751"/>
    </row>
    <row r="16" ht="7.5" customHeight="1">
      <c r="A16" s="768"/>
      <c r="B16" s="769" t="s">
        <v>86</v>
      </c>
      <c r="C16" s="770" t="str">
        <f t="shared" ref="C16:K16" si="17">if(C17=1,"O", if(C17=2,"O   O",""))</f>
        <v/>
      </c>
      <c r="D16" s="771" t="str">
        <f t="shared" si="17"/>
        <v/>
      </c>
      <c r="E16" s="771" t="str">
        <f t="shared" si="17"/>
        <v/>
      </c>
      <c r="F16" s="771" t="str">
        <f t="shared" si="17"/>
        <v>O</v>
      </c>
      <c r="G16" s="771" t="str">
        <f t="shared" si="17"/>
        <v>O</v>
      </c>
      <c r="H16" s="771" t="str">
        <f t="shared" si="17"/>
        <v>O</v>
      </c>
      <c r="I16" s="771" t="str">
        <f t="shared" si="17"/>
        <v/>
      </c>
      <c r="J16" s="771" t="str">
        <f t="shared" si="17"/>
        <v/>
      </c>
      <c r="K16" s="772" t="str">
        <f t="shared" si="17"/>
        <v/>
      </c>
      <c r="L16" s="710"/>
      <c r="M16" s="773"/>
      <c r="N16" s="774"/>
      <c r="O16" s="775"/>
      <c r="P16" s="776"/>
      <c r="Q16" s="777"/>
      <c r="R16" s="770" t="str">
        <f t="shared" ref="R16:Z16" si="18">if(R17=1,"O", if(R17=2,"O   O",""))</f>
        <v>O</v>
      </c>
      <c r="S16" s="771" t="str">
        <f t="shared" si="18"/>
        <v/>
      </c>
      <c r="T16" s="771" t="str">
        <f t="shared" si="18"/>
        <v/>
      </c>
      <c r="U16" s="771" t="str">
        <f t="shared" si="18"/>
        <v/>
      </c>
      <c r="V16" s="771" t="str">
        <f t="shared" si="18"/>
        <v>O</v>
      </c>
      <c r="W16" s="771" t="str">
        <f t="shared" si="18"/>
        <v/>
      </c>
      <c r="X16" s="771" t="str">
        <f t="shared" si="18"/>
        <v/>
      </c>
      <c r="Y16" s="771" t="str">
        <f t="shared" si="18"/>
        <v/>
      </c>
      <c r="Z16" s="772" t="str">
        <f t="shared" si="18"/>
        <v/>
      </c>
      <c r="AA16" s="757"/>
      <c r="AB16" s="758"/>
      <c r="AC16" s="759"/>
      <c r="AD16" s="648"/>
      <c r="AE16" s="760"/>
      <c r="AF16" s="761"/>
    </row>
    <row r="17" ht="22.5" hidden="1" customHeight="1">
      <c r="A17" s="778"/>
      <c r="B17" s="720"/>
      <c r="C17" s="721">
        <f t="shared" ref="C17:K17" si="19">IF($B18&gt;0,FLOOR($B18/18,1),0)+IF(AND(MOD($B18,18)&gt;=C$2,$B18&gt;0),1,0)-IF(C$2-18&gt;$B18,1,0)</f>
        <v>0</v>
      </c>
      <c r="D17" s="721">
        <f t="shared" si="19"/>
        <v>0</v>
      </c>
      <c r="E17" s="721">
        <f t="shared" si="19"/>
        <v>0</v>
      </c>
      <c r="F17" s="721">
        <f t="shared" si="19"/>
        <v>1</v>
      </c>
      <c r="G17" s="721">
        <f t="shared" si="19"/>
        <v>1</v>
      </c>
      <c r="H17" s="721">
        <f t="shared" si="19"/>
        <v>1</v>
      </c>
      <c r="I17" s="721">
        <f t="shared" si="19"/>
        <v>0</v>
      </c>
      <c r="J17" s="721">
        <f t="shared" si="19"/>
        <v>0</v>
      </c>
      <c r="K17" s="721">
        <f t="shared" si="19"/>
        <v>0</v>
      </c>
      <c r="L17" s="722"/>
      <c r="M17" s="648"/>
      <c r="N17" s="750"/>
      <c r="O17" s="751"/>
      <c r="P17" s="455"/>
      <c r="Q17" s="763"/>
      <c r="R17" s="721">
        <f t="shared" ref="R17:Z17" si="20">IF($B18&gt;0,FLOOR($B18/18,1),0)+IF(AND(MOD($B18,18)&gt;=R$2,$B18&gt;0),1,0)-IF(R$2-18&gt;$B18,1,0)</f>
        <v>1</v>
      </c>
      <c r="S17" s="721">
        <f t="shared" si="20"/>
        <v>0</v>
      </c>
      <c r="T17" s="721">
        <f t="shared" si="20"/>
        <v>0</v>
      </c>
      <c r="U17" s="721">
        <f t="shared" si="20"/>
        <v>0</v>
      </c>
      <c r="V17" s="721">
        <f t="shared" si="20"/>
        <v>1</v>
      </c>
      <c r="W17" s="721">
        <f t="shared" si="20"/>
        <v>0</v>
      </c>
      <c r="X17" s="721">
        <f t="shared" si="20"/>
        <v>0</v>
      </c>
      <c r="Y17" s="721">
        <f t="shared" si="20"/>
        <v>0</v>
      </c>
      <c r="Z17" s="721">
        <f t="shared" si="20"/>
        <v>0</v>
      </c>
      <c r="AA17" s="722"/>
      <c r="AB17" s="722"/>
      <c r="AC17" s="724"/>
      <c r="AD17" s="648"/>
      <c r="AE17" s="750"/>
      <c r="AF17" s="751"/>
    </row>
    <row r="18" ht="18.75" customHeight="1">
      <c r="A18" s="779" t="str">
        <f>'Match Selection'!G14</f>
        <v>Andy</v>
      </c>
      <c r="B18" s="780">
        <f>if(A18="","", vlookup(A18,'Master Input'!$A$11:$L$27,'Master Input'!$J$28, false))</f>
        <v>5</v>
      </c>
      <c r="C18" s="781">
        <v>4.0</v>
      </c>
      <c r="D18" s="782">
        <v>5.0</v>
      </c>
      <c r="E18" s="782">
        <v>3.0</v>
      </c>
      <c r="F18" s="782">
        <v>6.0</v>
      </c>
      <c r="G18" s="782">
        <v>4.0</v>
      </c>
      <c r="H18" s="782">
        <v>5.0</v>
      </c>
      <c r="I18" s="782">
        <v>4.0</v>
      </c>
      <c r="J18" s="782">
        <v>3.0</v>
      </c>
      <c r="K18" s="783">
        <v>6.0</v>
      </c>
      <c r="L18" s="730">
        <f>if(K18="","", sum(C18:K18))</f>
        <v>40</v>
      </c>
      <c r="M18" s="648"/>
      <c r="N18" s="764">
        <v>0.0</v>
      </c>
      <c r="O18" s="744" t="s">
        <v>92</v>
      </c>
      <c r="P18" s="455"/>
      <c r="Q18" s="784" t="str">
        <f>A18</f>
        <v>Andy</v>
      </c>
      <c r="R18" s="781">
        <v>4.0</v>
      </c>
      <c r="S18" s="782">
        <v>4.0</v>
      </c>
      <c r="T18" s="782">
        <v>4.0</v>
      </c>
      <c r="U18" s="782">
        <v>4.0</v>
      </c>
      <c r="V18" s="782">
        <v>5.0</v>
      </c>
      <c r="W18" s="782">
        <v>5.0</v>
      </c>
      <c r="X18" s="782">
        <v>6.0</v>
      </c>
      <c r="Y18" s="782">
        <v>3.0</v>
      </c>
      <c r="Z18" s="783">
        <v>4.0</v>
      </c>
      <c r="AA18" s="734">
        <f>if(Z18="","", sum(R18:Z18))</f>
        <v>39</v>
      </c>
      <c r="AB18" s="735">
        <f t="shared" ref="AB18:AB19" si="23">if(AA18="", "", sum(L18,AA18))</f>
        <v>79</v>
      </c>
      <c r="AC18" s="736">
        <f>if(Z18="", "", AB18-B18)</f>
        <v>74</v>
      </c>
      <c r="AD18" s="648"/>
      <c r="AE18" s="737">
        <f t="shared" ref="AE18:AE19" si="24">N18</f>
        <v>0</v>
      </c>
      <c r="AF18" s="744" t="s">
        <v>92</v>
      </c>
    </row>
    <row r="19" ht="21.0" customHeight="1">
      <c r="A19" s="785" t="str">
        <f>vlookup(A18, 'Master Input'!$A$11:$B$27,2, false)</f>
        <v>Irons</v>
      </c>
      <c r="B19" s="786" t="s">
        <v>88</v>
      </c>
      <c r="C19" s="787">
        <f>if(C18="","",
if(C18-C17-C$3=-3,$N$8,
if(C18-C17-C$3=-2,$N$9,
if(C18-C17-C$3=-1,$N$13,
if(C18-C17-C$3=0,$N$14,
if(C18-C17-C$3=1,$N$18,$N$19))))))</f>
        <v>2</v>
      </c>
      <c r="D19" s="788">
        <f t="shared" ref="D19:K19" si="21">if(D18="","",(
if(D18-D17-D$3=-3,$N$8,
if(D18-D17-D$3=-2,$N$9,
if(D18-D17-D$3=-1,$N$13,
if(D18-D17-D$3=0,$N$14,
if(D18-D17-D$3=1,$N$18,$N$19)))))
* if(or(C18-C17-C$3&lt;0,C23-C22-C$3&lt;0),2,1)))</f>
        <v>0</v>
      </c>
      <c r="E19" s="788">
        <f t="shared" si="21"/>
        <v>2</v>
      </c>
      <c r="F19" s="788">
        <f t="shared" si="21"/>
        <v>2</v>
      </c>
      <c r="G19" s="788">
        <f t="shared" si="21"/>
        <v>4</v>
      </c>
      <c r="H19" s="788">
        <f t="shared" si="21"/>
        <v>4</v>
      </c>
      <c r="I19" s="788">
        <f t="shared" si="21"/>
        <v>2</v>
      </c>
      <c r="J19" s="788">
        <f t="shared" si="21"/>
        <v>2</v>
      </c>
      <c r="K19" s="789">
        <f t="shared" si="21"/>
        <v>0</v>
      </c>
      <c r="L19" s="743">
        <f>if(C19="","",sum(C19:K19))</f>
        <v>18</v>
      </c>
      <c r="M19" s="648"/>
      <c r="N19" s="731">
        <v>-4.0</v>
      </c>
      <c r="O19" s="744" t="s">
        <v>93</v>
      </c>
      <c r="P19" s="455"/>
      <c r="Q19" s="790" t="s">
        <v>88</v>
      </c>
      <c r="R19" s="787">
        <f>if(R18="","",(
if(R18-R17-R$3=-3,$N$8,
if(R18-R17-R$3=-2,$N$9,
if(R18-R17-R$3=-1,$N$13,
if(R18-R17-R$3=0,$N$14,
if(R18-R17-R$3=1,$N$18,$N$19)))))
* if(or(K18-K17-K$3&lt;0,K23-K22-K$3&lt;0),2,1)))</f>
        <v>4</v>
      </c>
      <c r="S19" s="788">
        <f t="shared" ref="S19:Z19" si="22">if(S18="","",(
if(S18-S17-S$3=-3,$N$8,
if(S18-S17-S$3=-2,$N$9,
if(S18-S17-S$3=-1,$N$13,
if(S18-S17-S$3=0,$N$14,
if(S18-S17-S$3=1,$N$18,$N$19)))))
* if(or(R18-R17-R$3&lt;0,R23-R22-R$3&lt;0),2,1)))</f>
        <v>4</v>
      </c>
      <c r="T19" s="788">
        <f t="shared" si="22"/>
        <v>0</v>
      </c>
      <c r="U19" s="788">
        <f t="shared" si="22"/>
        <v>2</v>
      </c>
      <c r="V19" s="788">
        <f t="shared" si="22"/>
        <v>4</v>
      </c>
      <c r="W19" s="788">
        <f t="shared" si="22"/>
        <v>0</v>
      </c>
      <c r="X19" s="788">
        <f t="shared" si="22"/>
        <v>-4</v>
      </c>
      <c r="Y19" s="788">
        <f t="shared" si="22"/>
        <v>2</v>
      </c>
      <c r="Z19" s="789">
        <f t="shared" si="22"/>
        <v>4</v>
      </c>
      <c r="AA19" s="746">
        <f>if(R19="","",sum(R19:Z19))</f>
        <v>16</v>
      </c>
      <c r="AB19" s="747">
        <f t="shared" si="23"/>
        <v>34</v>
      </c>
      <c r="AC19" s="748"/>
      <c r="AD19" s="648"/>
      <c r="AE19" s="737">
        <f t="shared" si="24"/>
        <v>-4</v>
      </c>
      <c r="AF19" s="744" t="s">
        <v>93</v>
      </c>
    </row>
    <row r="20" ht="3.75" customHeight="1">
      <c r="A20" s="749"/>
      <c r="B20" s="455"/>
      <c r="C20" s="722"/>
      <c r="D20" s="722"/>
      <c r="E20" s="722"/>
      <c r="F20" s="722"/>
      <c r="G20" s="722"/>
      <c r="H20" s="722"/>
      <c r="I20" s="722"/>
      <c r="J20" s="722"/>
      <c r="K20" s="722"/>
      <c r="L20" s="722"/>
      <c r="M20" s="722"/>
      <c r="N20" s="722"/>
      <c r="O20" s="722"/>
      <c r="P20" s="722"/>
      <c r="Q20" s="752"/>
      <c r="R20" s="722"/>
      <c r="S20" s="722"/>
      <c r="T20" s="722"/>
      <c r="U20" s="722"/>
      <c r="V20" s="722"/>
      <c r="W20" s="722"/>
      <c r="X20" s="722"/>
      <c r="Y20" s="722"/>
      <c r="Z20" s="722"/>
      <c r="AA20" s="722"/>
      <c r="AB20" s="722"/>
      <c r="AC20" s="722"/>
      <c r="AD20" s="722"/>
      <c r="AE20" s="722"/>
      <c r="AF20" s="722"/>
    </row>
    <row r="21" ht="7.5" customHeight="1">
      <c r="A21" s="768"/>
      <c r="B21" s="769" t="s">
        <v>86</v>
      </c>
      <c r="C21" s="770" t="str">
        <f t="shared" ref="C21:K21" si="25">if(C22=1,"O", if(C22=2,"O   O",""))</f>
        <v/>
      </c>
      <c r="D21" s="771" t="str">
        <f t="shared" si="25"/>
        <v/>
      </c>
      <c r="E21" s="771" t="str">
        <f t="shared" si="25"/>
        <v/>
      </c>
      <c r="F21" s="771" t="str">
        <f t="shared" si="25"/>
        <v>O</v>
      </c>
      <c r="G21" s="771" t="str">
        <f t="shared" si="25"/>
        <v>O</v>
      </c>
      <c r="H21" s="771" t="str">
        <f t="shared" si="25"/>
        <v>O</v>
      </c>
      <c r="I21" s="771" t="str">
        <f t="shared" si="25"/>
        <v/>
      </c>
      <c r="J21" s="771" t="str">
        <f t="shared" si="25"/>
        <v/>
      </c>
      <c r="K21" s="772" t="str">
        <f t="shared" si="25"/>
        <v>O</v>
      </c>
      <c r="L21" s="710"/>
      <c r="M21" s="791"/>
      <c r="N21" s="776"/>
      <c r="O21" s="792"/>
      <c r="P21" s="776"/>
      <c r="Q21" s="777"/>
      <c r="R21" s="770" t="str">
        <f t="shared" ref="R21:Z21" si="26">if(R22=1,"O", if(R22=2,"O   O",""))</f>
        <v>O</v>
      </c>
      <c r="S21" s="771" t="str">
        <f t="shared" si="26"/>
        <v/>
      </c>
      <c r="T21" s="771" t="str">
        <f t="shared" si="26"/>
        <v/>
      </c>
      <c r="U21" s="771" t="str">
        <f t="shared" si="26"/>
        <v/>
      </c>
      <c r="V21" s="771" t="str">
        <f t="shared" si="26"/>
        <v>O</v>
      </c>
      <c r="W21" s="771" t="str">
        <f t="shared" si="26"/>
        <v/>
      </c>
      <c r="X21" s="771" t="str">
        <f t="shared" si="26"/>
        <v/>
      </c>
      <c r="Y21" s="771" t="str">
        <f t="shared" si="26"/>
        <v/>
      </c>
      <c r="Z21" s="772" t="str">
        <f t="shared" si="26"/>
        <v>O</v>
      </c>
      <c r="AA21" s="757"/>
      <c r="AB21" s="793"/>
      <c r="AC21" s="759"/>
      <c r="AD21" s="462"/>
      <c r="AE21" s="462"/>
      <c r="AF21" s="462"/>
    </row>
    <row r="22" ht="22.5" hidden="1" customHeight="1">
      <c r="A22" s="762"/>
      <c r="B22" s="720"/>
      <c r="C22" s="721">
        <f t="shared" ref="C22:K22" si="27">IF($B23&gt;0,FLOOR($B23/18,1),0)+IF(AND(MOD($B23,18)&gt;=C$2,$B23&gt;0),1,0)-IF(C$2-18&gt;$B23,1,0)</f>
        <v>0</v>
      </c>
      <c r="D22" s="721">
        <f t="shared" si="27"/>
        <v>0</v>
      </c>
      <c r="E22" s="721">
        <f t="shared" si="27"/>
        <v>0</v>
      </c>
      <c r="F22" s="721">
        <f t="shared" si="27"/>
        <v>1</v>
      </c>
      <c r="G22" s="721">
        <f t="shared" si="27"/>
        <v>1</v>
      </c>
      <c r="H22" s="721">
        <f t="shared" si="27"/>
        <v>1</v>
      </c>
      <c r="I22" s="721">
        <f t="shared" si="27"/>
        <v>0</v>
      </c>
      <c r="J22" s="721">
        <f t="shared" si="27"/>
        <v>0</v>
      </c>
      <c r="K22" s="721">
        <f t="shared" si="27"/>
        <v>1</v>
      </c>
      <c r="L22" s="722"/>
      <c r="M22" s="722"/>
      <c r="N22" s="722"/>
      <c r="O22" s="722"/>
      <c r="P22" s="455"/>
      <c r="Q22" s="763"/>
      <c r="R22" s="721">
        <f t="shared" ref="R22:Z22" si="28">IF($B23&gt;0,FLOOR($B23/18,1),0)+IF(AND(MOD($B23,18)&gt;=R$2,$B23&gt;0),1,0)-IF(R$2-18&gt;$B23,1,0)</f>
        <v>1</v>
      </c>
      <c r="S22" s="721">
        <f t="shared" si="28"/>
        <v>0</v>
      </c>
      <c r="T22" s="721">
        <f t="shared" si="28"/>
        <v>0</v>
      </c>
      <c r="U22" s="721">
        <f t="shared" si="28"/>
        <v>0</v>
      </c>
      <c r="V22" s="721">
        <f t="shared" si="28"/>
        <v>1</v>
      </c>
      <c r="W22" s="721">
        <f t="shared" si="28"/>
        <v>0</v>
      </c>
      <c r="X22" s="721">
        <f t="shared" si="28"/>
        <v>0</v>
      </c>
      <c r="Y22" s="721">
        <f t="shared" si="28"/>
        <v>0</v>
      </c>
      <c r="Z22" s="721">
        <f t="shared" si="28"/>
        <v>1</v>
      </c>
      <c r="AA22" s="722"/>
      <c r="AB22" s="722"/>
      <c r="AC22" s="724"/>
      <c r="AD22" s="722"/>
      <c r="AE22" s="722"/>
      <c r="AF22" s="722"/>
    </row>
    <row r="23" ht="18.75" customHeight="1">
      <c r="A23" s="779" t="str">
        <f>'Match Selection'!G15</f>
        <v>House</v>
      </c>
      <c r="B23" s="780">
        <f>if(A23="","", vlookup(A23,'Master Input'!$A$11:$L$27,'Master Input'!$J$28, false))</f>
        <v>7</v>
      </c>
      <c r="C23" s="781">
        <v>5.0</v>
      </c>
      <c r="D23" s="782">
        <v>4.0</v>
      </c>
      <c r="E23" s="782">
        <v>4.0</v>
      </c>
      <c r="F23" s="782">
        <v>8.0</v>
      </c>
      <c r="G23" s="782">
        <v>5.0</v>
      </c>
      <c r="H23" s="782">
        <v>5.0</v>
      </c>
      <c r="I23" s="782">
        <v>5.0</v>
      </c>
      <c r="J23" s="782">
        <v>2.0</v>
      </c>
      <c r="K23" s="783">
        <v>8.0</v>
      </c>
      <c r="L23" s="730">
        <f>if(K23="","", sum(C23:K23))</f>
        <v>46</v>
      </c>
      <c r="M23" s="722"/>
      <c r="N23" s="794" t="s">
        <v>94</v>
      </c>
      <c r="O23" s="795" t="s">
        <v>95</v>
      </c>
      <c r="P23" s="455"/>
      <c r="Q23" s="784" t="str">
        <f>A23</f>
        <v>House</v>
      </c>
      <c r="R23" s="781">
        <v>7.0</v>
      </c>
      <c r="S23" s="782">
        <v>5.0</v>
      </c>
      <c r="T23" s="782">
        <v>5.0</v>
      </c>
      <c r="U23" s="782">
        <v>4.0</v>
      </c>
      <c r="V23" s="782">
        <v>6.0</v>
      </c>
      <c r="W23" s="782">
        <v>5.0</v>
      </c>
      <c r="X23" s="782">
        <v>5.0</v>
      </c>
      <c r="Y23" s="782">
        <v>4.0</v>
      </c>
      <c r="Z23" s="783">
        <v>5.0</v>
      </c>
      <c r="AA23" s="734">
        <f>if(Z23="","", sum(R23:Z23))</f>
        <v>46</v>
      </c>
      <c r="AB23" s="735">
        <f t="shared" ref="AB23:AB24" si="31">if(AA23="", "", sum(L23,AA23))</f>
        <v>92</v>
      </c>
      <c r="AC23" s="736">
        <f>if(Z23="", "", AB23-B23)</f>
        <v>85</v>
      </c>
      <c r="AD23" s="722"/>
      <c r="AE23" s="794" t="s">
        <v>94</v>
      </c>
      <c r="AF23" s="795" t="s">
        <v>95</v>
      </c>
    </row>
    <row r="24" ht="21.0" customHeight="1">
      <c r="A24" s="785" t="str">
        <f>vlookup(A23, 'Master Input'!$A$11:$B$27,2, false)</f>
        <v>Irons</v>
      </c>
      <c r="B24" s="786" t="s">
        <v>88</v>
      </c>
      <c r="C24" s="787">
        <f>if(C23="","",
if(C23-C22-C$3=-3,$N$8,
if(C23-C22-C$3=-2,$N$9,
if(C23-C22-C$3=-1,$N$13,
if(C23-C22-C$3=0,$N$14,
if(C23-C22-C$3=1,$N$18,$N$19))))))</f>
        <v>0</v>
      </c>
      <c r="D24" s="788">
        <f t="shared" ref="D24:K24" si="29">if(D23="","",(
if(D23-D22-D$3=-3,$N$8,
if(D23-D22-D$3=-2,$N$9,
if(D23-D22-D$3=-1,$N$13,
if(D23-D22-D$3=0,$N$14,
if(D23-D22-D$3=1,$N$18,$N$19)))))
* if(or(C18-C17-C$3&lt;0,C23-C22-C$3&lt;0),2,1)))</f>
        <v>2</v>
      </c>
      <c r="E24" s="788">
        <f t="shared" si="29"/>
        <v>0</v>
      </c>
      <c r="F24" s="788">
        <f t="shared" si="29"/>
        <v>-4</v>
      </c>
      <c r="G24" s="788">
        <f t="shared" si="29"/>
        <v>2</v>
      </c>
      <c r="H24" s="788">
        <f t="shared" si="29"/>
        <v>4</v>
      </c>
      <c r="I24" s="788">
        <f t="shared" si="29"/>
        <v>0</v>
      </c>
      <c r="J24" s="788">
        <f t="shared" si="29"/>
        <v>4</v>
      </c>
      <c r="K24" s="789">
        <f t="shared" si="29"/>
        <v>-8</v>
      </c>
      <c r="L24" s="743">
        <f>if(C24="","",sum(C24:K24))</f>
        <v>0</v>
      </c>
      <c r="M24" s="722"/>
      <c r="N24" s="796">
        <v>0.0</v>
      </c>
      <c r="O24" s="797">
        <v>2.0</v>
      </c>
      <c r="P24" s="455"/>
      <c r="Q24" s="790" t="s">
        <v>88</v>
      </c>
      <c r="R24" s="787">
        <f>if(R23="","",(
if(R23-R22-R$3=-3,$N$8,
if(R23-R22-R$3=-2,$N$9,
if(R23-R22-R$3=-1,$N$13,
if(R23-R22-R$3=0,$N$14,
if(R23-R22-R$3=1,$N$18,$N$19)))))
* if(or(K23-K22-K$3&lt;0,K28-K27-K$3&lt;0),2,1)))</f>
        <v>-4</v>
      </c>
      <c r="S24" s="788">
        <f t="shared" ref="S24:Z24" si="30">if(S23="","",(
if(S23-S22-S$3=-3,$N$8,
if(S23-S22-S$3=-2,$N$9,
if(S23-S22-S$3=-1,$N$13,
if(S23-S22-S$3=0,$N$14,
if(S23-S22-S$3=1,$N$18,$N$19)))))
* if(or(R18-R17-R$3&lt;0,R23-R22-R$3&lt;0),2,1)))</f>
        <v>0</v>
      </c>
      <c r="T24" s="788">
        <f t="shared" si="30"/>
        <v>-4</v>
      </c>
      <c r="U24" s="788">
        <f t="shared" si="30"/>
        <v>2</v>
      </c>
      <c r="V24" s="788">
        <f t="shared" si="30"/>
        <v>2</v>
      </c>
      <c r="W24" s="788">
        <f t="shared" si="30"/>
        <v>0</v>
      </c>
      <c r="X24" s="788">
        <f t="shared" si="30"/>
        <v>0</v>
      </c>
      <c r="Y24" s="788">
        <f t="shared" si="30"/>
        <v>0</v>
      </c>
      <c r="Z24" s="789">
        <f t="shared" si="30"/>
        <v>4</v>
      </c>
      <c r="AA24" s="746">
        <f>if(R24="","",sum(R24:Z24))</f>
        <v>0</v>
      </c>
      <c r="AB24" s="747">
        <f t="shared" si="31"/>
        <v>0</v>
      </c>
      <c r="AC24" s="748"/>
      <c r="AD24" s="722"/>
      <c r="AE24" s="796">
        <v>0.0</v>
      </c>
      <c r="AF24" s="797">
        <v>2.0</v>
      </c>
    </row>
    <row r="25" ht="17.25" customHeight="1">
      <c r="A25" s="798"/>
      <c r="B25" s="799"/>
      <c r="C25" s="445"/>
      <c r="D25" s="445"/>
      <c r="E25" s="445"/>
      <c r="F25" s="445"/>
      <c r="G25" s="445"/>
      <c r="H25" s="445"/>
      <c r="I25" s="445"/>
      <c r="J25" s="445"/>
      <c r="K25" s="799"/>
      <c r="L25" s="800" t="s">
        <v>7</v>
      </c>
      <c r="M25" s="799"/>
      <c r="N25" s="801">
        <v>44570.0</v>
      </c>
      <c r="O25" s="797">
        <v>2.5</v>
      </c>
      <c r="P25" s="799"/>
      <c r="Q25" s="802"/>
      <c r="R25" s="445"/>
      <c r="S25" s="445"/>
      <c r="T25" s="445"/>
      <c r="U25" s="445"/>
      <c r="V25" s="445"/>
      <c r="W25" s="445"/>
      <c r="X25" s="445"/>
      <c r="Y25" s="445"/>
      <c r="Z25" s="445"/>
      <c r="AA25" s="803" t="s">
        <v>8</v>
      </c>
      <c r="AB25" s="803" t="s">
        <v>96</v>
      </c>
      <c r="AC25" s="804" t="s">
        <v>64</v>
      </c>
      <c r="AD25" s="603"/>
      <c r="AE25" s="801">
        <v>44570.0</v>
      </c>
      <c r="AF25" s="797">
        <v>2.5</v>
      </c>
    </row>
    <row r="26" ht="21.0" customHeight="1">
      <c r="A26" s="805" t="str">
        <f>vlookup($A$8, 'Master Input'!$A$11:$B$27,2, false)</f>
        <v>Drivers</v>
      </c>
      <c r="B26" s="805" t="str">
        <f>vlookup($A$8, 'Master Input'!$A$11:$B$27,2, false)</f>
        <v>Drivers</v>
      </c>
      <c r="C26" s="806">
        <f t="shared" ref="C26:K26" si="32">if(or(C9="",C14=""),"", sum(C9,C14))</f>
        <v>2</v>
      </c>
      <c r="D26" s="806">
        <f t="shared" si="32"/>
        <v>2</v>
      </c>
      <c r="E26" s="806">
        <f t="shared" si="32"/>
        <v>4</v>
      </c>
      <c r="F26" s="806">
        <f t="shared" si="32"/>
        <v>2</v>
      </c>
      <c r="G26" s="806">
        <f t="shared" si="32"/>
        <v>2</v>
      </c>
      <c r="H26" s="806">
        <f t="shared" si="32"/>
        <v>6</v>
      </c>
      <c r="I26" s="806">
        <f t="shared" si="32"/>
        <v>0</v>
      </c>
      <c r="J26" s="806">
        <f t="shared" si="32"/>
        <v>4</v>
      </c>
      <c r="K26" s="807">
        <f t="shared" si="32"/>
        <v>2</v>
      </c>
      <c r="L26" s="808">
        <f t="shared" ref="L26:L27" si="35">if(C26="","",sum(C26:K26))</f>
        <v>24</v>
      </c>
      <c r="M26" s="455"/>
      <c r="N26" s="809">
        <v>44853.0</v>
      </c>
      <c r="O26" s="810">
        <v>3.0</v>
      </c>
      <c r="P26" s="455"/>
      <c r="Q26" s="805" t="str">
        <f>vlookup($A$8, 'Master Input'!$A$11:$B$27,2, false)</f>
        <v>Drivers</v>
      </c>
      <c r="R26" s="806">
        <f t="shared" ref="R26:Z26" si="33">if(or(R9="",R14=""),"", sum(R9,R14))</f>
        <v>6</v>
      </c>
      <c r="S26" s="806">
        <f t="shared" si="33"/>
        <v>4</v>
      </c>
      <c r="T26" s="806">
        <f t="shared" si="33"/>
        <v>2</v>
      </c>
      <c r="U26" s="806">
        <f t="shared" si="33"/>
        <v>2</v>
      </c>
      <c r="V26" s="806">
        <f t="shared" si="33"/>
        <v>8</v>
      </c>
      <c r="W26" s="806">
        <f t="shared" si="33"/>
        <v>16</v>
      </c>
      <c r="X26" s="806">
        <f t="shared" si="33"/>
        <v>-4</v>
      </c>
      <c r="Y26" s="806">
        <f t="shared" si="33"/>
        <v>0</v>
      </c>
      <c r="Z26" s="807">
        <f t="shared" si="33"/>
        <v>4</v>
      </c>
      <c r="AA26" s="811">
        <f t="shared" ref="AA26:AA27" si="37">if(R26="","",sum(R26:Z26))</f>
        <v>38</v>
      </c>
      <c r="AB26" s="812">
        <f t="shared" ref="AB26:AB27" si="38">if(C26="","",sum(L26,AA26))</f>
        <v>62</v>
      </c>
      <c r="AC26" s="813">
        <f>if(or(Z8="",Z13="",Z18="",Z23=""),"",
(if(AB28&lt;=-30,0,(if(AB28&lt;=-20,0.5,(if(AB28&lt;=-10,1,(if(AB28&lt;0,1.5,
(if(AB28&gt;=30,4,(if(AB28&gt;=20,3.5,(if(AB28&gt;=10,3,(if(AB28&gt;0,2.5,2)))))))))))))))))</f>
        <v>3.5</v>
      </c>
      <c r="AD26" s="462"/>
      <c r="AE26" s="809">
        <v>44853.0</v>
      </c>
      <c r="AF26" s="810">
        <v>3.0</v>
      </c>
    </row>
    <row r="27" ht="21.0" customHeight="1">
      <c r="A27" s="805" t="str">
        <f>vlookup($A$18, 'Master Input'!$A$11:$B$27,2, false)</f>
        <v>Irons</v>
      </c>
      <c r="B27" s="805" t="str">
        <f>vlookup($A$18, 'Master Input'!$A$11:$B$27,2, false)</f>
        <v>Irons</v>
      </c>
      <c r="C27" s="814">
        <f t="shared" ref="C27:K27" si="34">if(or(C19="",C24=""),"", sum(C19,C24))</f>
        <v>2</v>
      </c>
      <c r="D27" s="814">
        <f t="shared" si="34"/>
        <v>2</v>
      </c>
      <c r="E27" s="814">
        <f t="shared" si="34"/>
        <v>2</v>
      </c>
      <c r="F27" s="814">
        <f t="shared" si="34"/>
        <v>-2</v>
      </c>
      <c r="G27" s="814">
        <f t="shared" si="34"/>
        <v>6</v>
      </c>
      <c r="H27" s="814">
        <f t="shared" si="34"/>
        <v>8</v>
      </c>
      <c r="I27" s="814">
        <f t="shared" si="34"/>
        <v>2</v>
      </c>
      <c r="J27" s="814">
        <f t="shared" si="34"/>
        <v>6</v>
      </c>
      <c r="K27" s="815">
        <f t="shared" si="34"/>
        <v>-8</v>
      </c>
      <c r="L27" s="816">
        <f t="shared" si="35"/>
        <v>18</v>
      </c>
      <c r="M27" s="455"/>
      <c r="N27" s="817" t="s">
        <v>97</v>
      </c>
      <c r="O27" s="818">
        <v>3.5</v>
      </c>
      <c r="P27" s="455"/>
      <c r="Q27" s="805" t="str">
        <f>vlookup($A$18, 'Master Input'!$A$11:$B$27,2, false)</f>
        <v>Irons</v>
      </c>
      <c r="R27" s="814">
        <f t="shared" ref="R27:Z27" si="36">if(or(R19="",R24=""),"", sum(R19,R24))</f>
        <v>0</v>
      </c>
      <c r="S27" s="814">
        <f t="shared" si="36"/>
        <v>4</v>
      </c>
      <c r="T27" s="814">
        <f t="shared" si="36"/>
        <v>-4</v>
      </c>
      <c r="U27" s="814">
        <f t="shared" si="36"/>
        <v>4</v>
      </c>
      <c r="V27" s="814">
        <f t="shared" si="36"/>
        <v>6</v>
      </c>
      <c r="W27" s="814">
        <f t="shared" si="36"/>
        <v>0</v>
      </c>
      <c r="X27" s="814">
        <f t="shared" si="36"/>
        <v>-4</v>
      </c>
      <c r="Y27" s="814">
        <f t="shared" si="36"/>
        <v>2</v>
      </c>
      <c r="Z27" s="815">
        <f t="shared" si="36"/>
        <v>8</v>
      </c>
      <c r="AA27" s="819">
        <f t="shared" si="37"/>
        <v>16</v>
      </c>
      <c r="AB27" s="820">
        <f t="shared" si="38"/>
        <v>34</v>
      </c>
      <c r="AC27" s="821">
        <f>if(or(Z8="",Z13="",Z18="",Z23=""),"",4-AC26)</f>
        <v>0.5</v>
      </c>
      <c r="AD27" s="462"/>
      <c r="AE27" s="817" t="s">
        <v>97</v>
      </c>
      <c r="AF27" s="818">
        <v>3.5</v>
      </c>
    </row>
    <row r="28" ht="21.0" customHeight="1">
      <c r="A28" s="822" t="s">
        <v>98</v>
      </c>
      <c r="B28" s="823" t="s">
        <v>99</v>
      </c>
      <c r="C28" s="824">
        <f>if(or(C26="",C27=""),"",C26-C27)</f>
        <v>0</v>
      </c>
      <c r="D28" s="824">
        <f t="shared" ref="D28:K28" si="39">if(or(D26="",D27=""),"",D26-D27+C28)</f>
        <v>0</v>
      </c>
      <c r="E28" s="824">
        <f t="shared" si="39"/>
        <v>2</v>
      </c>
      <c r="F28" s="824">
        <f t="shared" si="39"/>
        <v>6</v>
      </c>
      <c r="G28" s="824">
        <f t="shared" si="39"/>
        <v>2</v>
      </c>
      <c r="H28" s="824">
        <f t="shared" si="39"/>
        <v>0</v>
      </c>
      <c r="I28" s="824">
        <f t="shared" si="39"/>
        <v>-2</v>
      </c>
      <c r="J28" s="824">
        <f t="shared" si="39"/>
        <v>-4</v>
      </c>
      <c r="K28" s="825">
        <f t="shared" si="39"/>
        <v>6</v>
      </c>
      <c r="L28" s="826">
        <f>if(or(K26="",K27=""),"",L26-L27)</f>
        <v>6</v>
      </c>
      <c r="M28" s="455"/>
      <c r="N28" s="827" t="s">
        <v>100</v>
      </c>
      <c r="O28" s="810">
        <v>4.0</v>
      </c>
      <c r="P28" s="455"/>
      <c r="Q28" s="805" t="s">
        <v>45</v>
      </c>
      <c r="R28" s="824">
        <f>if(or(R26="",R27=""),"",R26-R27+K28)</f>
        <v>12</v>
      </c>
      <c r="S28" s="824">
        <f t="shared" ref="S28:Z28" si="40">if(or(S26="",S27=""),"",S26-S27+R28)</f>
        <v>12</v>
      </c>
      <c r="T28" s="824">
        <f t="shared" si="40"/>
        <v>18</v>
      </c>
      <c r="U28" s="824">
        <f t="shared" si="40"/>
        <v>16</v>
      </c>
      <c r="V28" s="824">
        <f t="shared" si="40"/>
        <v>18</v>
      </c>
      <c r="W28" s="824">
        <f t="shared" si="40"/>
        <v>34</v>
      </c>
      <c r="X28" s="824">
        <f t="shared" si="40"/>
        <v>34</v>
      </c>
      <c r="Y28" s="824">
        <f t="shared" si="40"/>
        <v>32</v>
      </c>
      <c r="Z28" s="825">
        <f t="shared" si="40"/>
        <v>28</v>
      </c>
      <c r="AA28" s="828">
        <f>if(or(R26="",R27=""),"",AA26-AA27)</f>
        <v>22</v>
      </c>
      <c r="AB28" s="829">
        <f>if(or(C26="",C27=""),"",Z28)</f>
        <v>28</v>
      </c>
      <c r="AC28" s="718"/>
      <c r="AD28" s="462"/>
      <c r="AE28" s="827" t="s">
        <v>100</v>
      </c>
      <c r="AF28" s="810">
        <v>4.0</v>
      </c>
    </row>
    <row r="29" ht="14.25" hidden="1" customHeight="1">
      <c r="A29" s="649"/>
      <c r="B29" s="649"/>
      <c r="C29" s="651"/>
      <c r="D29" s="651"/>
      <c r="E29" s="651"/>
      <c r="F29" s="651"/>
      <c r="G29" s="651"/>
      <c r="H29" s="651"/>
      <c r="I29" s="651"/>
      <c r="J29" s="651"/>
      <c r="K29" s="651"/>
      <c r="L29" s="651"/>
      <c r="M29" s="651"/>
      <c r="N29" s="651"/>
      <c r="O29" s="651"/>
      <c r="P29" s="651"/>
      <c r="Q29" s="651"/>
      <c r="R29" s="651"/>
      <c r="S29" s="651"/>
      <c r="T29" s="651"/>
      <c r="U29" s="651"/>
      <c r="V29" s="651"/>
      <c r="W29" s="651"/>
      <c r="X29" s="651"/>
      <c r="Y29" s="651"/>
      <c r="Z29" s="651"/>
      <c r="AA29" s="652"/>
      <c r="AB29" s="652"/>
      <c r="AC29" s="653"/>
      <c r="AD29" s="830"/>
      <c r="AE29" s="830"/>
      <c r="AF29" s="830"/>
    </row>
    <row r="30" ht="14.25" hidden="1" customHeight="1">
      <c r="A30" s="649"/>
      <c r="B30" s="649"/>
      <c r="C30" s="651"/>
      <c r="D30" s="651"/>
      <c r="E30" s="651"/>
      <c r="F30" s="651"/>
      <c r="G30" s="651"/>
      <c r="H30" s="651"/>
      <c r="I30" s="651"/>
      <c r="J30" s="651"/>
      <c r="K30" s="651"/>
      <c r="L30" s="651"/>
      <c r="M30" s="651"/>
      <c r="N30" s="651"/>
      <c r="O30" s="651"/>
      <c r="P30" s="651"/>
      <c r="Q30" s="651"/>
      <c r="R30" s="651"/>
      <c r="S30" s="651"/>
      <c r="T30" s="651"/>
      <c r="U30" s="651"/>
      <c r="V30" s="651"/>
      <c r="W30" s="651"/>
      <c r="X30" s="651"/>
      <c r="Y30" s="651"/>
      <c r="Z30" s="651"/>
      <c r="AA30" s="652" t="s">
        <v>51</v>
      </c>
      <c r="AB30" s="652" t="s">
        <v>68</v>
      </c>
      <c r="AC30" s="653" t="s">
        <v>69</v>
      </c>
      <c r="AD30" s="830"/>
      <c r="AE30" s="830"/>
      <c r="AF30" s="830"/>
    </row>
    <row r="31" ht="14.25" hidden="1" customHeight="1">
      <c r="A31" s="831" t="str">
        <f>A9</f>
        <v>Drivers</v>
      </c>
      <c r="C31" s="651">
        <f t="shared" ref="C31:K31" si="41">if(or(C8="",C13="",C18="",C23=""),"", if(C26&gt;C27,1,if(C26&lt;C27,-1,0)))</f>
        <v>0</v>
      </c>
      <c r="D31" s="651">
        <f t="shared" si="41"/>
        <v>0</v>
      </c>
      <c r="E31" s="651">
        <f t="shared" si="41"/>
        <v>1</v>
      </c>
      <c r="F31" s="651">
        <f t="shared" si="41"/>
        <v>1</v>
      </c>
      <c r="G31" s="651">
        <f t="shared" si="41"/>
        <v>-1</v>
      </c>
      <c r="H31" s="651">
        <f t="shared" si="41"/>
        <v>-1</v>
      </c>
      <c r="I31" s="651">
        <f t="shared" si="41"/>
        <v>-1</v>
      </c>
      <c r="J31" s="651">
        <f t="shared" si="41"/>
        <v>-1</v>
      </c>
      <c r="K31" s="651">
        <f t="shared" si="41"/>
        <v>1</v>
      </c>
      <c r="L31" s="651"/>
      <c r="M31" s="651"/>
      <c r="N31" s="651"/>
      <c r="O31" s="651"/>
      <c r="P31" s="651"/>
      <c r="Q31" s="651"/>
      <c r="R31" s="651">
        <f t="shared" ref="R31:Z31" si="42">if(or(R8="",R13="",R18="",R23=""),"", if(R26&gt;R27,1,if(R26&lt;R27,-1,0)))</f>
        <v>1</v>
      </c>
      <c r="S31" s="651">
        <f t="shared" si="42"/>
        <v>0</v>
      </c>
      <c r="T31" s="651">
        <f t="shared" si="42"/>
        <v>1</v>
      </c>
      <c r="U31" s="651">
        <f t="shared" si="42"/>
        <v>-1</v>
      </c>
      <c r="V31" s="651">
        <f t="shared" si="42"/>
        <v>1</v>
      </c>
      <c r="W31" s="651">
        <f t="shared" si="42"/>
        <v>1</v>
      </c>
      <c r="X31" s="651">
        <f t="shared" si="42"/>
        <v>0</v>
      </c>
      <c r="Y31" s="651">
        <f t="shared" si="42"/>
        <v>-1</v>
      </c>
      <c r="Z31" s="651">
        <f t="shared" si="42"/>
        <v>-1</v>
      </c>
      <c r="AA31" s="652" t="s">
        <v>71</v>
      </c>
      <c r="AB31" s="652" t="s">
        <v>72</v>
      </c>
      <c r="AC31" s="653" t="s">
        <v>73</v>
      </c>
      <c r="AD31" s="830"/>
      <c r="AE31" s="830"/>
      <c r="AF31" s="830"/>
    </row>
    <row r="32" ht="14.25" hidden="1" customHeight="1">
      <c r="A32" s="832" t="str">
        <f>A8</f>
        <v>T-Mo</v>
      </c>
      <c r="B32" s="833"/>
      <c r="C32" s="834">
        <f t="shared" ref="C32:K32" si="43">C9+C$34</f>
        <v>2</v>
      </c>
      <c r="D32" s="834">
        <f t="shared" si="43"/>
        <v>2</v>
      </c>
      <c r="E32" s="834">
        <f t="shared" si="43"/>
        <v>2</v>
      </c>
      <c r="F32" s="834">
        <f t="shared" si="43"/>
        <v>4</v>
      </c>
      <c r="G32" s="834">
        <f t="shared" si="43"/>
        <v>0</v>
      </c>
      <c r="H32" s="834">
        <f t="shared" si="43"/>
        <v>4</v>
      </c>
      <c r="I32" s="834">
        <f t="shared" si="43"/>
        <v>0</v>
      </c>
      <c r="J32" s="834">
        <f t="shared" si="43"/>
        <v>2</v>
      </c>
      <c r="K32" s="834">
        <f t="shared" si="43"/>
        <v>8</v>
      </c>
      <c r="L32" s="834"/>
      <c r="M32" s="834"/>
      <c r="N32" s="834"/>
      <c r="O32" s="834"/>
      <c r="P32" s="834"/>
      <c r="Q32" s="834"/>
      <c r="R32" s="834">
        <f t="shared" ref="R32:Z32" si="44">R9+R$34</f>
        <v>6</v>
      </c>
      <c r="S32" s="834">
        <f t="shared" si="44"/>
        <v>4</v>
      </c>
      <c r="T32" s="834">
        <f t="shared" si="44"/>
        <v>6</v>
      </c>
      <c r="U32" s="834">
        <f t="shared" si="44"/>
        <v>2</v>
      </c>
      <c r="V32" s="834">
        <f t="shared" si="44"/>
        <v>4</v>
      </c>
      <c r="W32" s="834">
        <f t="shared" si="44"/>
        <v>8</v>
      </c>
      <c r="X32" s="834">
        <f t="shared" si="44"/>
        <v>12</v>
      </c>
      <c r="Y32" s="834">
        <f t="shared" si="44"/>
        <v>0</v>
      </c>
      <c r="Z32" s="834">
        <f t="shared" si="44"/>
        <v>2</v>
      </c>
      <c r="AA32" s="835">
        <f>if($Z$31="","",sum(C32:Z32)/sum(C32:Z33)*18)</f>
        <v>10.37288136</v>
      </c>
      <c r="AB32" s="835">
        <f t="shared" ref="AB32:AB33" si="47">if($Z$31="","",sum(C32:Z32)/sum($C$32:$Z$33,$C$35:$Z$36)*18)</f>
        <v>5.884615385</v>
      </c>
      <c r="AC32" s="836">
        <f>if($Z$31="","",$AC$26*AB32/(AB32+AB33))</f>
        <v>2.016949153</v>
      </c>
      <c r="AD32" s="837"/>
      <c r="AE32" s="837"/>
      <c r="AF32" s="837"/>
    </row>
    <row r="33" ht="14.25" hidden="1" customHeight="1">
      <c r="A33" s="832" t="str">
        <f>A13</f>
        <v>TJSC</v>
      </c>
      <c r="B33" s="833"/>
      <c r="C33" s="834">
        <f t="shared" ref="C33:K33" si="45">C14+C$34</f>
        <v>0</v>
      </c>
      <c r="D33" s="834">
        <f t="shared" si="45"/>
        <v>0</v>
      </c>
      <c r="E33" s="834">
        <f t="shared" si="45"/>
        <v>2</v>
      </c>
      <c r="F33" s="834">
        <f t="shared" si="45"/>
        <v>6</v>
      </c>
      <c r="G33" s="834">
        <f t="shared" si="45"/>
        <v>2</v>
      </c>
      <c r="H33" s="834">
        <f t="shared" si="45"/>
        <v>2</v>
      </c>
      <c r="I33" s="834">
        <f t="shared" si="45"/>
        <v>0</v>
      </c>
      <c r="J33" s="834">
        <f t="shared" si="45"/>
        <v>2</v>
      </c>
      <c r="K33" s="834">
        <f t="shared" si="45"/>
        <v>10</v>
      </c>
      <c r="L33" s="834"/>
      <c r="M33" s="834"/>
      <c r="N33" s="834"/>
      <c r="O33" s="834"/>
      <c r="P33" s="834"/>
      <c r="Q33" s="834"/>
      <c r="R33" s="834">
        <f t="shared" ref="R33:Z33" si="46">R14+R$34</f>
        <v>8</v>
      </c>
      <c r="S33" s="834">
        <f t="shared" si="46"/>
        <v>0</v>
      </c>
      <c r="T33" s="834">
        <f t="shared" si="46"/>
        <v>4</v>
      </c>
      <c r="U33" s="834">
        <f t="shared" si="46"/>
        <v>0</v>
      </c>
      <c r="V33" s="834">
        <f t="shared" si="46"/>
        <v>4</v>
      </c>
      <c r="W33" s="834">
        <f t="shared" si="46"/>
        <v>8</v>
      </c>
      <c r="X33" s="834">
        <f t="shared" si="46"/>
        <v>0</v>
      </c>
      <c r="Y33" s="834">
        <f t="shared" si="46"/>
        <v>0</v>
      </c>
      <c r="Z33" s="834">
        <f t="shared" si="46"/>
        <v>2</v>
      </c>
      <c r="AA33" s="835">
        <f>if($Z$31="","",sum(C33:Z33)/sum(C32:Z33)*18)</f>
        <v>7.627118644</v>
      </c>
      <c r="AB33" s="835">
        <f t="shared" si="47"/>
        <v>4.326923077</v>
      </c>
      <c r="AC33" s="836">
        <f>if($Z$31="","",$AC$26*AB33/(AB32+AB33))</f>
        <v>1.483050847</v>
      </c>
      <c r="AD33" s="837"/>
      <c r="AE33" s="837"/>
      <c r="AF33" s="837"/>
    </row>
    <row r="34" ht="14.25" hidden="1" customHeight="1">
      <c r="A34" s="831" t="str">
        <f>A19</f>
        <v>Irons</v>
      </c>
      <c r="C34" s="838">
        <f t="shared" ref="C34:K34" si="48">if(small({C9,C14,C19,C24},1)&lt;0,small({C9,C14,C19,C24},1)*-1,0)</f>
        <v>0</v>
      </c>
      <c r="D34" s="838">
        <f t="shared" si="48"/>
        <v>0</v>
      </c>
      <c r="E34" s="838">
        <f t="shared" si="48"/>
        <v>0</v>
      </c>
      <c r="F34" s="838">
        <f t="shared" si="48"/>
        <v>4</v>
      </c>
      <c r="G34" s="838">
        <f t="shared" si="48"/>
        <v>0</v>
      </c>
      <c r="H34" s="838">
        <f t="shared" si="48"/>
        <v>0</v>
      </c>
      <c r="I34" s="838">
        <f t="shared" si="48"/>
        <v>0</v>
      </c>
      <c r="J34" s="838">
        <f t="shared" si="48"/>
        <v>0</v>
      </c>
      <c r="K34" s="838">
        <f t="shared" si="48"/>
        <v>8</v>
      </c>
      <c r="L34" s="651"/>
      <c r="M34" s="651"/>
      <c r="N34" s="651"/>
      <c r="O34" s="651"/>
      <c r="P34" s="651"/>
      <c r="Q34" s="651"/>
      <c r="R34" s="838">
        <f t="shared" ref="R34:Z34" si="49">if(small({R9,R14,R19,R24},1)&lt;0,small({R9,R14,R19,R24},1)*-1,0)</f>
        <v>4</v>
      </c>
      <c r="S34" s="838">
        <f t="shared" si="49"/>
        <v>0</v>
      </c>
      <c r="T34" s="838">
        <f t="shared" si="49"/>
        <v>4</v>
      </c>
      <c r="U34" s="838">
        <f t="shared" si="49"/>
        <v>0</v>
      </c>
      <c r="V34" s="838">
        <f t="shared" si="49"/>
        <v>0</v>
      </c>
      <c r="W34" s="838">
        <f t="shared" si="49"/>
        <v>0</v>
      </c>
      <c r="X34" s="838">
        <f t="shared" si="49"/>
        <v>8</v>
      </c>
      <c r="Y34" s="838">
        <f t="shared" si="49"/>
        <v>0</v>
      </c>
      <c r="Z34" s="838">
        <f t="shared" si="49"/>
        <v>0</v>
      </c>
      <c r="AA34" s="651"/>
      <c r="AB34" s="651"/>
      <c r="AC34" s="651"/>
      <c r="AD34" s="464"/>
      <c r="AE34" s="464"/>
      <c r="AF34" s="464"/>
    </row>
    <row r="35" ht="14.25" hidden="1" customHeight="1">
      <c r="A35" s="832" t="str">
        <f>A18</f>
        <v>Andy</v>
      </c>
      <c r="B35" s="833"/>
      <c r="C35" s="834">
        <f t="shared" ref="C35:K35" si="50">C19+C$34</f>
        <v>2</v>
      </c>
      <c r="D35" s="834">
        <f t="shared" si="50"/>
        <v>0</v>
      </c>
      <c r="E35" s="834">
        <f t="shared" si="50"/>
        <v>2</v>
      </c>
      <c r="F35" s="834">
        <f t="shared" si="50"/>
        <v>6</v>
      </c>
      <c r="G35" s="834">
        <f t="shared" si="50"/>
        <v>4</v>
      </c>
      <c r="H35" s="834">
        <f t="shared" si="50"/>
        <v>4</v>
      </c>
      <c r="I35" s="834">
        <f t="shared" si="50"/>
        <v>2</v>
      </c>
      <c r="J35" s="834">
        <f t="shared" si="50"/>
        <v>2</v>
      </c>
      <c r="K35" s="834">
        <f t="shared" si="50"/>
        <v>8</v>
      </c>
      <c r="L35" s="834"/>
      <c r="M35" s="834"/>
      <c r="N35" s="834"/>
      <c r="O35" s="834"/>
      <c r="P35" s="834"/>
      <c r="Q35" s="834"/>
      <c r="R35" s="834">
        <f t="shared" ref="R35:Z35" si="51">R19+R$34</f>
        <v>8</v>
      </c>
      <c r="S35" s="834">
        <f t="shared" si="51"/>
        <v>4</v>
      </c>
      <c r="T35" s="834">
        <f t="shared" si="51"/>
        <v>4</v>
      </c>
      <c r="U35" s="834">
        <f t="shared" si="51"/>
        <v>2</v>
      </c>
      <c r="V35" s="834">
        <f t="shared" si="51"/>
        <v>4</v>
      </c>
      <c r="W35" s="834">
        <f t="shared" si="51"/>
        <v>0</v>
      </c>
      <c r="X35" s="834">
        <f t="shared" si="51"/>
        <v>4</v>
      </c>
      <c r="Y35" s="834">
        <f t="shared" si="51"/>
        <v>2</v>
      </c>
      <c r="Z35" s="834">
        <f t="shared" si="51"/>
        <v>4</v>
      </c>
      <c r="AA35" s="835">
        <f>if($Z$31="","",sum(C35:Z35)/sum(C35:Z36)*18)</f>
        <v>12.4</v>
      </c>
      <c r="AB35" s="835">
        <f t="shared" ref="AB35:AB36" si="54">if($Z$31="","",sum(C35:Z35)/sum($C$32:$Z$33,$C$35:$Z$36)*18)</f>
        <v>5.365384615</v>
      </c>
      <c r="AC35" s="836">
        <f>if($Z$31="","",$AC$27*AB35/(AB35+AB36))</f>
        <v>0.3444444444</v>
      </c>
      <c r="AD35" s="837"/>
      <c r="AE35" s="837"/>
      <c r="AF35" s="837"/>
    </row>
    <row r="36" ht="14.25" hidden="1" customHeight="1">
      <c r="A36" s="832" t="str">
        <f>A23</f>
        <v>House</v>
      </c>
      <c r="B36" s="833"/>
      <c r="C36" s="834">
        <f t="shared" ref="C36:K36" si="52">C24+C$34</f>
        <v>0</v>
      </c>
      <c r="D36" s="834">
        <f t="shared" si="52"/>
        <v>2</v>
      </c>
      <c r="E36" s="834">
        <f t="shared" si="52"/>
        <v>0</v>
      </c>
      <c r="F36" s="834">
        <f t="shared" si="52"/>
        <v>0</v>
      </c>
      <c r="G36" s="834">
        <f t="shared" si="52"/>
        <v>2</v>
      </c>
      <c r="H36" s="834">
        <f t="shared" si="52"/>
        <v>4</v>
      </c>
      <c r="I36" s="834">
        <f t="shared" si="52"/>
        <v>0</v>
      </c>
      <c r="J36" s="834">
        <f t="shared" si="52"/>
        <v>4</v>
      </c>
      <c r="K36" s="834">
        <f t="shared" si="52"/>
        <v>0</v>
      </c>
      <c r="L36" s="834"/>
      <c r="M36" s="834"/>
      <c r="N36" s="834"/>
      <c r="O36" s="834"/>
      <c r="P36" s="834"/>
      <c r="Q36" s="834"/>
      <c r="R36" s="834">
        <f t="shared" ref="R36:Z36" si="53">R24+R$34</f>
        <v>0</v>
      </c>
      <c r="S36" s="834">
        <f t="shared" si="53"/>
        <v>0</v>
      </c>
      <c r="T36" s="834">
        <f t="shared" si="53"/>
        <v>0</v>
      </c>
      <c r="U36" s="834">
        <f t="shared" si="53"/>
        <v>2</v>
      </c>
      <c r="V36" s="834">
        <f t="shared" si="53"/>
        <v>2</v>
      </c>
      <c r="W36" s="834">
        <f t="shared" si="53"/>
        <v>0</v>
      </c>
      <c r="X36" s="834">
        <f t="shared" si="53"/>
        <v>8</v>
      </c>
      <c r="Y36" s="834">
        <f t="shared" si="53"/>
        <v>0</v>
      </c>
      <c r="Z36" s="834">
        <f t="shared" si="53"/>
        <v>4</v>
      </c>
      <c r="AA36" s="835">
        <f>if($Z$31="","",sum(C36:Z36)/sum(C35:Z36)*18)</f>
        <v>5.6</v>
      </c>
      <c r="AB36" s="835">
        <f t="shared" si="54"/>
        <v>2.423076923</v>
      </c>
      <c r="AC36" s="836">
        <f>if($Z$31="","",$AC$27*AB36/(AB35+AB36))</f>
        <v>0.1555555556</v>
      </c>
      <c r="AD36" s="837"/>
      <c r="AE36" s="837"/>
      <c r="AF36" s="837"/>
    </row>
  </sheetData>
  <mergeCells count="3">
    <mergeCell ref="B2:B4"/>
    <mergeCell ref="N5:N6"/>
    <mergeCell ref="AE5:AE6"/>
  </mergeCells>
  <conditionalFormatting sqref="R19">
    <cfRule type="expression" dxfId="17" priority="1">
      <formula>and(R$18&lt;&gt;"",R$18-R$17&lt;R$3,or(and(K$18&lt;&gt;"",K$18-K$17&lt;K$3),and(K$23&lt;&gt;"",K$23-K$22&lt;K$3)))</formula>
    </cfRule>
  </conditionalFormatting>
  <conditionalFormatting sqref="R24">
    <cfRule type="expression" dxfId="17" priority="2">
      <formula>and(R$23&lt;&gt;"",R$23-R$22&lt;R$3,or(and(K$18&lt;&gt;"",K$18-K$17&lt;K$3),and(K$23&lt;&gt;"",K$23-K$22&lt;K$3)))</formula>
    </cfRule>
  </conditionalFormatting>
  <conditionalFormatting sqref="R19 R24">
    <cfRule type="expression" dxfId="18" priority="3">
      <formula>or(and(K$18&lt;&gt;"",K$18-K$17&lt;K$3),and(K$23&lt;&gt;"",K$23-K$22&lt;K$3))</formula>
    </cfRule>
  </conditionalFormatting>
  <conditionalFormatting sqref="R9">
    <cfRule type="expression" dxfId="19" priority="4">
      <formula>and(R$8&lt;&gt;"",R$8-R$7&lt;R$3,or(and(K$8&lt;&gt;"",K$8-K$7&lt;K$3),and(K$13&lt;&gt;"",K$13-K$12&lt;K$3)))</formula>
    </cfRule>
  </conditionalFormatting>
  <conditionalFormatting sqref="R14">
    <cfRule type="expression" dxfId="19" priority="5">
      <formula>and(R$13&lt;&gt;"",R$13-R$12&lt;R$3,or(and(K$8&lt;&gt;"",K$8-K$7&lt;K$3),and(K$13&lt;&gt;"",K$13-K$12&lt;K$3)))</formula>
    </cfRule>
  </conditionalFormatting>
  <conditionalFormatting sqref="R9 R14">
    <cfRule type="expression" dxfId="18" priority="6">
      <formula>or(and(K$8&lt;&gt;"",K$8-K$7&lt;K$3),and(K$13&lt;&gt;"",K$13-K$12&lt;K$3))</formula>
    </cfRule>
  </conditionalFormatting>
  <conditionalFormatting sqref="D19:K19 S19:Z19">
    <cfRule type="expression" dxfId="17" priority="7">
      <formula>and(D18&lt;&gt;"",D18-D17&lt;D$3,or(and(C$18&lt;&gt;"",C$18-C$17&lt;C$3),and(C$23&lt;&gt;"",C$23-C$22&lt;C$3)))</formula>
    </cfRule>
  </conditionalFormatting>
  <conditionalFormatting sqref="D24:K24 S24:Z24">
    <cfRule type="expression" dxfId="17" priority="8">
      <formula>and(D$23&lt;&gt;"",D$23-D$22&lt;D$3,or(and(C$18&lt;&gt;"",C$18-C$17&lt;C$3),and(C$23&lt;&gt;"",C$23-C$22&lt;C$3)))</formula>
    </cfRule>
  </conditionalFormatting>
  <conditionalFormatting sqref="D19:K19 S19:Z19 D24:K24 S24:Z24">
    <cfRule type="expression" dxfId="18" priority="9">
      <formula>or(and(C$18&lt;&gt;"",C$18-C$17&lt;C$3),and(C$23&lt;&gt;"",C$23-C$22&lt;C$3))</formula>
    </cfRule>
  </conditionalFormatting>
  <conditionalFormatting sqref="C19:K19 R19:Z19 C24:K24 R24:Z24">
    <cfRule type="expression" dxfId="15" priority="10">
      <formula>and(C18&lt;&gt;"",C18-C17&lt;C$3)</formula>
    </cfRule>
  </conditionalFormatting>
  <conditionalFormatting sqref="D9:K9 S9:Z9">
    <cfRule type="expression" dxfId="19" priority="11">
      <formula>and(D$8&lt;&gt;"",D$8-D$7&lt;D$3,or(and(C$8&lt;&gt;"",C$8-C$7&lt;C$3),and(C$13&lt;&gt;"",C$13-C$12&lt;C$3)))</formula>
    </cfRule>
  </conditionalFormatting>
  <conditionalFormatting sqref="D14:K14 S14:Z14">
    <cfRule type="expression" dxfId="19" priority="12">
      <formula>and(D$13&lt;&gt;"",D$13-D$12&lt;D$3,or(and(C$8&lt;&gt;"",C$8-C$7&lt;C$3),and(C$13&lt;&gt;"",C$13-C$12&lt;C$3)))</formula>
    </cfRule>
  </conditionalFormatting>
  <conditionalFormatting sqref="D9:K9 S9:Z9 D14:K14 S14:Z14">
    <cfRule type="expression" dxfId="18" priority="13">
      <formula>or(and(C$8&lt;&gt;"",C$8-C$7&lt;C$3),and(C$13&lt;&gt;"",C$13-C$12&lt;C$3))</formula>
    </cfRule>
  </conditionalFormatting>
  <conditionalFormatting sqref="C9:K9 R9:Z9 C14:K14 R14:Z14">
    <cfRule type="expression" dxfId="16" priority="14">
      <formula>and(C8&lt;&gt;"",C8-C7&lt;C$3)</formula>
    </cfRule>
  </conditionalFormatting>
  <conditionalFormatting sqref="C8:K8 R8:Z8 C13:K13 R13:Z13">
    <cfRule type="expression" dxfId="16" priority="15">
      <formula>and(C8&lt;&gt;"",C8-C7&lt;C$3)</formula>
    </cfRule>
  </conditionalFormatting>
  <conditionalFormatting sqref="L26 AA26:AC26">
    <cfRule type="notContainsBlanks" dxfId="20" priority="16">
      <formula>LEN(TRIM(L26))&gt;0</formula>
    </cfRule>
  </conditionalFormatting>
  <conditionalFormatting sqref="L27 AA27:AC27">
    <cfRule type="notContainsBlanks" dxfId="15" priority="17">
      <formula>LEN(TRIM(L27))&gt;0</formula>
    </cfRule>
  </conditionalFormatting>
  <conditionalFormatting sqref="C18:K18 R18:Z18 C23:K23 R23:Z23">
    <cfRule type="expression" dxfId="15" priority="18">
      <formula>and(C18&lt;&gt;"",C18-C17&lt;C$3)</formula>
    </cfRule>
  </conditionalFormatting>
  <conditionalFormatting sqref="AB9 AB14">
    <cfRule type="notContainsBlanks" dxfId="16" priority="19">
      <formula>LEN(TRIM(AB9))&gt;0</formula>
    </cfRule>
  </conditionalFormatting>
  <conditionalFormatting sqref="AB19 AB24">
    <cfRule type="notContainsBlanks" dxfId="15" priority="20">
      <formula>LEN(TRIM(AB19))&gt;0</formula>
    </cfRule>
  </conditionalFormatting>
  <printOptions horizontalCentered="1"/>
  <pageMargins bottom="0.5" footer="0.0" header="0.0" left="0.55" right="0.25" top="0.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9" width="6.57"/>
    <col customWidth="1" min="30" max="30" width="2.43"/>
    <col customWidth="1" min="31" max="32" width="5.0"/>
  </cols>
  <sheetData>
    <row r="1" ht="13.5" customHeight="1">
      <c r="A1" s="663" t="s">
        <v>74</v>
      </c>
      <c r="B1" s="664">
        <f>'Master Input'!J3</f>
        <v>0.09375</v>
      </c>
      <c r="C1" s="665" t="str">
        <f>'Master Input'!$I$2</f>
        <v>Round 3</v>
      </c>
      <c r="D1" s="666"/>
      <c r="E1" s="665" t="str">
        <f>'Master Input'!$I$6</f>
        <v>Ravines GC - White</v>
      </c>
      <c r="F1" s="667"/>
      <c r="G1" s="667"/>
      <c r="H1" s="667"/>
      <c r="I1" s="667"/>
      <c r="J1" s="667"/>
      <c r="K1" s="667"/>
      <c r="L1" s="668"/>
      <c r="M1" s="669"/>
      <c r="N1" s="670"/>
      <c r="O1" s="670"/>
      <c r="P1" s="669"/>
      <c r="Q1" s="671" t="str">
        <f>'Master Input'!$I$2</f>
        <v>Round 3</v>
      </c>
      <c r="R1" s="666"/>
      <c r="S1" s="665" t="str">
        <f>'Master Input'!$I$6</f>
        <v>Ravines GC - White</v>
      </c>
      <c r="T1" s="667"/>
      <c r="U1" s="667"/>
      <c r="V1" s="667"/>
      <c r="W1" s="667"/>
      <c r="X1" s="667"/>
      <c r="Y1" s="667"/>
      <c r="Z1" s="667"/>
      <c r="AA1" s="667"/>
      <c r="AB1" s="667"/>
      <c r="AC1" s="668"/>
      <c r="AD1" s="672"/>
      <c r="AE1" s="672"/>
      <c r="AF1" s="672"/>
    </row>
    <row r="2" ht="13.5" customHeight="1">
      <c r="A2" s="673" t="s">
        <v>55</v>
      </c>
      <c r="B2" s="674" t="str">
        <f>'Match Selection'!B14</f>
        <v>2-Man Tilt</v>
      </c>
      <c r="C2" s="675">
        <f>vlookup($E1, 'Course List'!$A$3:$AS$14,5+C4, false)</f>
        <v>9</v>
      </c>
      <c r="D2" s="676">
        <f>vlookup($E1, 'Course List'!$A$3:$AS$14,5+D4, false)</f>
        <v>15</v>
      </c>
      <c r="E2" s="676">
        <f>vlookup($E1, 'Course List'!$A$3:$AS$14,5+E4, false)</f>
        <v>13</v>
      </c>
      <c r="F2" s="676">
        <f>vlookup($E1, 'Course List'!$A$3:$AS$14,5+F4, false)</f>
        <v>1</v>
      </c>
      <c r="G2" s="676">
        <f>vlookup($E1, 'Course List'!$A$3:$AS$14,5+G4, false)</f>
        <v>3</v>
      </c>
      <c r="H2" s="676">
        <f>vlookup($E1, 'Course List'!$A$3:$AS$14,5+H4, false)</f>
        <v>5</v>
      </c>
      <c r="I2" s="676">
        <f>vlookup($E1, 'Course List'!$A$3:$AS$14,5+I4, false)</f>
        <v>17</v>
      </c>
      <c r="J2" s="676">
        <f>vlookup($E1, 'Course List'!$A$3:$AS$14,5+J4, false)</f>
        <v>11</v>
      </c>
      <c r="K2" s="677">
        <f>vlookup($E1, 'Course List'!$A$3:$AS$14,5+K4, false)</f>
        <v>7</v>
      </c>
      <c r="L2" s="678"/>
      <c r="M2" s="679"/>
      <c r="N2" s="680"/>
      <c r="O2" s="680"/>
      <c r="P2" s="679"/>
      <c r="Q2" s="673" t="s">
        <v>55</v>
      </c>
      <c r="R2" s="676">
        <f>vlookup($E1, 'Course List'!$A$3:$AS$14,5+R4, false)</f>
        <v>4</v>
      </c>
      <c r="S2" s="676">
        <f>vlookup($E1, 'Course List'!$A$3:$AS$14,5+S4, false)</f>
        <v>10</v>
      </c>
      <c r="T2" s="676">
        <f>vlookup($E1, 'Course List'!$A$3:$AS$14,5+T4, false)</f>
        <v>16</v>
      </c>
      <c r="U2" s="676">
        <f>vlookup($E1, 'Course List'!$A$3:$AS$14,5+U4, false)</f>
        <v>14</v>
      </c>
      <c r="V2" s="676">
        <f>vlookup($E1, 'Course List'!$A$3:$AS$14,5+V4, false)</f>
        <v>2</v>
      </c>
      <c r="W2" s="676">
        <f>vlookup($E1, 'Course List'!$A$3:$AS$14,5+W4, false)</f>
        <v>8</v>
      </c>
      <c r="X2" s="676">
        <f>vlookup($E1, 'Course List'!$A$3:$AS$14,5+X4, false)</f>
        <v>18</v>
      </c>
      <c r="Y2" s="676">
        <f>vlookup($E1, 'Course List'!$A$3:$AS$14,5+Y4, false)</f>
        <v>12</v>
      </c>
      <c r="Z2" s="677">
        <f>vlookup($E1, 'Course List'!$A$3:$AS$14,5+Z4, false)</f>
        <v>6</v>
      </c>
      <c r="AA2" s="681"/>
      <c r="AB2" s="682"/>
      <c r="AC2" s="683"/>
      <c r="AD2" s="648"/>
      <c r="AE2" s="648"/>
      <c r="AF2" s="648"/>
    </row>
    <row r="3" ht="13.5" customHeight="1">
      <c r="A3" s="684" t="s">
        <v>56</v>
      </c>
      <c r="B3" s="685"/>
      <c r="C3" s="686">
        <f>vlookup($E1, 'Course List'!$A$3:$AS$14,27+C4, false)</f>
        <v>4</v>
      </c>
      <c r="D3" s="687">
        <f>vlookup($E1, 'Course List'!$A$3:$AS$14,27+D4, false)</f>
        <v>4</v>
      </c>
      <c r="E3" s="687">
        <f>vlookup($E1, 'Course List'!$A$3:$AS$14,27+E4, false)</f>
        <v>3</v>
      </c>
      <c r="F3" s="687">
        <f>vlookup($E1, 'Course List'!$A$3:$AS$14,27+F4, false)</f>
        <v>5</v>
      </c>
      <c r="G3" s="687">
        <f>vlookup($E1, 'Course List'!$A$3:$AS$14,27+G4, false)</f>
        <v>4</v>
      </c>
      <c r="H3" s="687">
        <f>vlookup($E1, 'Course List'!$A$3:$AS$14,27+H4, false)</f>
        <v>4</v>
      </c>
      <c r="I3" s="687">
        <f>vlookup($E1, 'Course List'!$A$3:$AS$14,27+I4, false)</f>
        <v>4</v>
      </c>
      <c r="J3" s="687">
        <f>vlookup($E1, 'Course List'!$A$3:$AS$14,27+J4, false)</f>
        <v>3</v>
      </c>
      <c r="K3" s="688">
        <f>vlookup($E1, 'Course List'!$A$3:$AS$14,27+K4, false)</f>
        <v>5</v>
      </c>
      <c r="L3" s="689">
        <f>SUM(C3:K3)</f>
        <v>36</v>
      </c>
      <c r="M3" s="679"/>
      <c r="N3" s="680"/>
      <c r="O3" s="680"/>
      <c r="P3" s="679"/>
      <c r="Q3" s="684" t="s">
        <v>56</v>
      </c>
      <c r="R3" s="687">
        <f>vlookup($E1, 'Course List'!$A$3:$AS$14,27+R4, false)</f>
        <v>4</v>
      </c>
      <c r="S3" s="687">
        <f>vlookup($E1, 'Course List'!$A$3:$AS$14,27+S4, false)</f>
        <v>4</v>
      </c>
      <c r="T3" s="687">
        <f>vlookup($E1, 'Course List'!$A$3:$AS$14,27+T4, false)</f>
        <v>3</v>
      </c>
      <c r="U3" s="687">
        <f>vlookup($E1, 'Course List'!$A$3:$AS$14,27+U4, false)</f>
        <v>4</v>
      </c>
      <c r="V3" s="687">
        <f>vlookup($E1, 'Course List'!$A$3:$AS$14,27+V4, false)</f>
        <v>5</v>
      </c>
      <c r="W3" s="687">
        <f>vlookup($E1, 'Course List'!$A$3:$AS$14,27+W4, false)</f>
        <v>4</v>
      </c>
      <c r="X3" s="687">
        <f>vlookup($E1, 'Course List'!$A$3:$AS$14,27+X4, false)</f>
        <v>4</v>
      </c>
      <c r="Y3" s="687">
        <f>vlookup($E1, 'Course List'!$A$3:$AS$14,27+Y4, false)</f>
        <v>3</v>
      </c>
      <c r="Z3" s="688">
        <f>vlookup($E1, 'Course List'!$A$3:$AS$14,27+Z4, false)</f>
        <v>5</v>
      </c>
      <c r="AA3" s="686">
        <f>SUM(R3:Z3)</f>
        <v>36</v>
      </c>
      <c r="AB3" s="687">
        <f>L3+AA3</f>
        <v>72</v>
      </c>
      <c r="AC3" s="690"/>
      <c r="AD3" s="648"/>
      <c r="AE3" s="648"/>
      <c r="AF3" s="648"/>
    </row>
    <row r="4" ht="13.5" customHeight="1">
      <c r="A4" s="691" t="s">
        <v>10</v>
      </c>
      <c r="B4" s="692"/>
      <c r="C4" s="693">
        <v>1.0</v>
      </c>
      <c r="D4" s="330">
        <v>2.0</v>
      </c>
      <c r="E4" s="330">
        <v>3.0</v>
      </c>
      <c r="F4" s="330">
        <v>4.0</v>
      </c>
      <c r="G4" s="330">
        <v>5.0</v>
      </c>
      <c r="H4" s="330">
        <v>6.0</v>
      </c>
      <c r="I4" s="330">
        <v>7.0</v>
      </c>
      <c r="J4" s="330">
        <v>8.0</v>
      </c>
      <c r="K4" s="694">
        <v>9.0</v>
      </c>
      <c r="L4" s="695" t="s">
        <v>60</v>
      </c>
      <c r="M4" s="313"/>
      <c r="N4" s="648"/>
      <c r="O4" s="648"/>
      <c r="P4" s="313"/>
      <c r="Q4" s="691" t="s">
        <v>10</v>
      </c>
      <c r="R4" s="330">
        <v>10.0</v>
      </c>
      <c r="S4" s="330">
        <v>11.0</v>
      </c>
      <c r="T4" s="330">
        <v>12.0</v>
      </c>
      <c r="U4" s="330">
        <v>13.0</v>
      </c>
      <c r="V4" s="330">
        <v>14.0</v>
      </c>
      <c r="W4" s="330">
        <v>15.0</v>
      </c>
      <c r="X4" s="330">
        <v>16.0</v>
      </c>
      <c r="Y4" s="330">
        <v>17.0</v>
      </c>
      <c r="Z4" s="694">
        <v>18.0</v>
      </c>
      <c r="AA4" s="696" t="s">
        <v>61</v>
      </c>
      <c r="AB4" s="697" t="s">
        <v>83</v>
      </c>
      <c r="AC4" s="698" t="s">
        <v>84</v>
      </c>
      <c r="AD4" s="462"/>
      <c r="AE4" s="699"/>
      <c r="AF4" s="648"/>
    </row>
    <row r="5" ht="3.75" customHeight="1">
      <c r="A5" s="700"/>
      <c r="B5" s="700"/>
      <c r="C5" s="701"/>
      <c r="D5" s="701"/>
      <c r="E5" s="701"/>
      <c r="F5" s="701"/>
      <c r="G5" s="701"/>
      <c r="H5" s="701"/>
      <c r="I5" s="701"/>
      <c r="J5" s="701"/>
      <c r="K5" s="701"/>
      <c r="L5" s="340"/>
      <c r="M5" s="341"/>
      <c r="N5" s="702" t="s">
        <v>85</v>
      </c>
      <c r="O5" s="455"/>
      <c r="P5" s="341"/>
      <c r="Q5" s="703"/>
      <c r="R5" s="701"/>
      <c r="S5" s="701"/>
      <c r="T5" s="701"/>
      <c r="U5" s="701"/>
      <c r="V5" s="701"/>
      <c r="W5" s="701"/>
      <c r="X5" s="701"/>
      <c r="Y5" s="701"/>
      <c r="Z5" s="701"/>
      <c r="AA5" s="336"/>
      <c r="AB5" s="342"/>
      <c r="AC5" s="342"/>
      <c r="AD5" s="462"/>
      <c r="AE5" s="702" t="s">
        <v>85</v>
      </c>
      <c r="AF5" s="704"/>
    </row>
    <row r="6" ht="7.5" customHeight="1">
      <c r="A6" s="705"/>
      <c r="B6" s="706"/>
      <c r="C6" s="707" t="str">
        <f t="shared" ref="C6:K6" si="1">if(C7=1,"O", if(C7=2,"O   O",""))</f>
        <v/>
      </c>
      <c r="D6" s="708" t="str">
        <f t="shared" si="1"/>
        <v/>
      </c>
      <c r="E6" s="708" t="str">
        <f t="shared" si="1"/>
        <v/>
      </c>
      <c r="F6" s="708" t="str">
        <f t="shared" si="1"/>
        <v>O</v>
      </c>
      <c r="G6" s="708" t="str">
        <f t="shared" si="1"/>
        <v>O</v>
      </c>
      <c r="H6" s="708" t="str">
        <f t="shared" si="1"/>
        <v>O</v>
      </c>
      <c r="I6" s="708" t="str">
        <f t="shared" si="1"/>
        <v/>
      </c>
      <c r="J6" s="708" t="str">
        <f t="shared" si="1"/>
        <v/>
      </c>
      <c r="K6" s="709" t="str">
        <f t="shared" si="1"/>
        <v/>
      </c>
      <c r="L6" s="710"/>
      <c r="M6" s="711"/>
      <c r="O6" s="712"/>
      <c r="P6" s="713"/>
      <c r="Q6" s="714"/>
      <c r="R6" s="707" t="str">
        <f t="shared" ref="R6:Z6" si="2">if(R7=1,"O", if(R7=2,"O   O",""))</f>
        <v>O</v>
      </c>
      <c r="S6" s="708" t="str">
        <f t="shared" si="2"/>
        <v/>
      </c>
      <c r="T6" s="708" t="str">
        <f t="shared" si="2"/>
        <v/>
      </c>
      <c r="U6" s="708" t="str">
        <f t="shared" si="2"/>
        <v/>
      </c>
      <c r="V6" s="708" t="str">
        <f t="shared" si="2"/>
        <v>O</v>
      </c>
      <c r="W6" s="708" t="str">
        <f t="shared" si="2"/>
        <v/>
      </c>
      <c r="X6" s="708" t="str">
        <f t="shared" si="2"/>
        <v/>
      </c>
      <c r="Y6" s="708" t="str">
        <f t="shared" si="2"/>
        <v/>
      </c>
      <c r="Z6" s="709" t="str">
        <f t="shared" si="2"/>
        <v/>
      </c>
      <c r="AA6" s="715"/>
      <c r="AB6" s="716"/>
      <c r="AC6" s="717"/>
      <c r="AD6" s="462"/>
      <c r="AF6" s="718"/>
    </row>
    <row r="7" ht="22.5" hidden="1" customHeight="1">
      <c r="A7" s="719"/>
      <c r="B7" s="720"/>
      <c r="C7" s="721">
        <f t="shared" ref="C7:K7" si="3">IF($B8&gt;0,FLOOR($B8/18,1),0)+IF(AND(MOD($B8,18)&gt;=C$2,$B8&gt;0),1,0)-IF(C$2-18&gt;$B8,1,0)</f>
        <v>0</v>
      </c>
      <c r="D7" s="721">
        <f t="shared" si="3"/>
        <v>0</v>
      </c>
      <c r="E7" s="721">
        <f t="shared" si="3"/>
        <v>0</v>
      </c>
      <c r="F7" s="721">
        <f t="shared" si="3"/>
        <v>1</v>
      </c>
      <c r="G7" s="721">
        <f t="shared" si="3"/>
        <v>1</v>
      </c>
      <c r="H7" s="721">
        <f t="shared" si="3"/>
        <v>1</v>
      </c>
      <c r="I7" s="721">
        <f t="shared" si="3"/>
        <v>0</v>
      </c>
      <c r="J7" s="721">
        <f t="shared" si="3"/>
        <v>0</v>
      </c>
      <c r="K7" s="721">
        <f t="shared" si="3"/>
        <v>0</v>
      </c>
      <c r="L7" s="722"/>
      <c r="M7" s="722"/>
      <c r="N7" s="722"/>
      <c r="O7" s="722"/>
      <c r="P7" s="455"/>
      <c r="Q7" s="723"/>
      <c r="R7" s="721">
        <f t="shared" ref="R7:Z7" si="4">IF($B8&gt;0,FLOOR($B8/18,1),0)+IF(AND(MOD($B8,18)&gt;=R$2,$B8&gt;0),1,0)-IF(R$2-18&gt;$B8,1,0)</f>
        <v>1</v>
      </c>
      <c r="S7" s="721">
        <f t="shared" si="4"/>
        <v>0</v>
      </c>
      <c r="T7" s="721">
        <f t="shared" si="4"/>
        <v>0</v>
      </c>
      <c r="U7" s="721">
        <f t="shared" si="4"/>
        <v>0</v>
      </c>
      <c r="V7" s="721">
        <f t="shared" si="4"/>
        <v>1</v>
      </c>
      <c r="W7" s="721">
        <f t="shared" si="4"/>
        <v>0</v>
      </c>
      <c r="X7" s="721">
        <f t="shared" si="4"/>
        <v>0</v>
      </c>
      <c r="Y7" s="721">
        <f t="shared" si="4"/>
        <v>0</v>
      </c>
      <c r="Z7" s="721">
        <f t="shared" si="4"/>
        <v>0</v>
      </c>
      <c r="AA7" s="455"/>
      <c r="AB7" s="455"/>
      <c r="AC7" s="724"/>
      <c r="AD7" s="722"/>
      <c r="AE7" s="722"/>
      <c r="AF7" s="722"/>
    </row>
    <row r="8" ht="18.75" customHeight="1">
      <c r="A8" s="725" t="str">
        <f>'Match Selection'!J14</f>
        <v>KJ</v>
      </c>
      <c r="B8" s="726">
        <f>if(A8="","", vlookup(A8,'Master Input'!$A$11:$L$27,'Master Input'!$J$28, false))</f>
        <v>5</v>
      </c>
      <c r="C8" s="727">
        <v>4.0</v>
      </c>
      <c r="D8" s="728">
        <v>5.0</v>
      </c>
      <c r="E8" s="728">
        <v>4.0</v>
      </c>
      <c r="F8" s="728">
        <v>6.0</v>
      </c>
      <c r="G8" s="728">
        <v>5.0</v>
      </c>
      <c r="H8" s="728">
        <v>4.0</v>
      </c>
      <c r="I8" s="728">
        <v>5.0</v>
      </c>
      <c r="J8" s="728">
        <v>4.0</v>
      </c>
      <c r="K8" s="729">
        <v>8.0</v>
      </c>
      <c r="L8" s="730">
        <f>if(K8="","", sum(C8:K8))</f>
        <v>45</v>
      </c>
      <c r="M8" s="648"/>
      <c r="N8" s="731">
        <f>'R3_G1'!$N$8</f>
        <v>12</v>
      </c>
      <c r="O8" s="732" t="s">
        <v>87</v>
      </c>
      <c r="P8" s="455"/>
      <c r="Q8" s="733" t="str">
        <f>A8</f>
        <v>KJ</v>
      </c>
      <c r="R8" s="727">
        <v>5.0</v>
      </c>
      <c r="S8" s="728">
        <v>4.0</v>
      </c>
      <c r="T8" s="728">
        <v>5.0</v>
      </c>
      <c r="U8" s="728">
        <v>5.0</v>
      </c>
      <c r="V8" s="728">
        <v>7.0</v>
      </c>
      <c r="W8" s="728">
        <v>6.0</v>
      </c>
      <c r="X8" s="728">
        <v>5.0</v>
      </c>
      <c r="Y8" s="728">
        <v>3.0</v>
      </c>
      <c r="Z8" s="729">
        <v>5.0</v>
      </c>
      <c r="AA8" s="734">
        <f>if(Z8="","", sum(R8:Z8))</f>
        <v>45</v>
      </c>
      <c r="AB8" s="735">
        <f t="shared" ref="AB8:AB9" si="7">if(AA8="", "", sum(L8,AA8))</f>
        <v>90</v>
      </c>
      <c r="AC8" s="736">
        <f>if(Z8="", "", AB8-B8)</f>
        <v>85</v>
      </c>
      <c r="AD8" s="648"/>
      <c r="AE8" s="737">
        <f>'R3_G1'!$N$8</f>
        <v>12</v>
      </c>
      <c r="AF8" s="732" t="s">
        <v>87</v>
      </c>
    </row>
    <row r="9" ht="21.0" customHeight="1">
      <c r="A9" s="738" t="str">
        <f>vlookup(A8, 'Master Input'!$A$11:$B$27,2, false)</f>
        <v>Drivers</v>
      </c>
      <c r="B9" s="739" t="s">
        <v>88</v>
      </c>
      <c r="C9" s="740">
        <f>if(C8="","",
if(C8-C7-C$3=-3,$N$8,
if(C8-C7-C$3=-2,$N$9,
if(C8-C7-C$3=-1,$N$13,
if(C8-C7-C$3=0,$N$14,
if(C8-C7-C$3=1,$N$18,$N$19))))))</f>
        <v>2</v>
      </c>
      <c r="D9" s="741">
        <f t="shared" ref="D9:K9" si="5">if(D8="","",(
if(D8-D7-D$3=-3,$N$8,
if(D8-D7-D$3=-2,$N$9,
if(D8-D7-D$3=-1,$N$13,
if(D8-D7-D$3=0,$N$14,
if(D8-D7-D$3=1,$N$18,$N$19)))))
* if(or(C8-C7-C$3&lt;0,C13-C12-C$3&lt;0),2,1)))</f>
        <v>0</v>
      </c>
      <c r="E9" s="741">
        <f t="shared" si="5"/>
        <v>0</v>
      </c>
      <c r="F9" s="741">
        <f t="shared" si="5"/>
        <v>4</v>
      </c>
      <c r="G9" s="741">
        <f t="shared" si="5"/>
        <v>4</v>
      </c>
      <c r="H9" s="741">
        <f t="shared" si="5"/>
        <v>4</v>
      </c>
      <c r="I9" s="741">
        <f t="shared" si="5"/>
        <v>0</v>
      </c>
      <c r="J9" s="741">
        <f t="shared" si="5"/>
        <v>0</v>
      </c>
      <c r="K9" s="742">
        <f t="shared" si="5"/>
        <v>-8</v>
      </c>
      <c r="L9" s="743">
        <f>if(C9="","",sum(C9:K9))</f>
        <v>6</v>
      </c>
      <c r="M9" s="648"/>
      <c r="N9" s="731">
        <f>'R3_G1'!$N$9</f>
        <v>8</v>
      </c>
      <c r="O9" s="744" t="s">
        <v>89</v>
      </c>
      <c r="P9" s="455"/>
      <c r="Q9" s="745" t="s">
        <v>88</v>
      </c>
      <c r="R9" s="740">
        <f>if(R8="","",(
if(R8-R7-R$3=-3,$N$8,
if(R8-R7-R$3=-2,$N$9,
if(R8-R7-R$3=-1,$N$13,
if(R8-R7-R$3=0,$N$14,
if(R8-R7-R$3=1,$N$18,$N$19)))))
* if(or(K8-K7-K$3&lt;0,K13-K12-K$3&lt;0),2,1)))</f>
        <v>2</v>
      </c>
      <c r="S9" s="741">
        <f t="shared" ref="S9:Z9" si="6">if(S8="","",(
if(S8-S7-S$3=-3,$N$8,
if(S8-S7-S$3=-2,$N$9,
if(S8-S7-S$3=-1,$N$13,
if(S8-S7-S$3=0,$N$14,
if(S8-S7-S$3=1,$N$18,$N$19)))))
* if(or(R8-R7-R$3&lt;0,R13-R12-R$3&lt;0),2,1)))</f>
        <v>4</v>
      </c>
      <c r="T9" s="741">
        <f t="shared" si="6"/>
        <v>-4</v>
      </c>
      <c r="U9" s="741">
        <f t="shared" si="6"/>
        <v>0</v>
      </c>
      <c r="V9" s="741">
        <f t="shared" si="6"/>
        <v>0</v>
      </c>
      <c r="W9" s="741">
        <f t="shared" si="6"/>
        <v>-4</v>
      </c>
      <c r="X9" s="741">
        <f t="shared" si="6"/>
        <v>0</v>
      </c>
      <c r="Y9" s="741">
        <f t="shared" si="6"/>
        <v>2</v>
      </c>
      <c r="Z9" s="742">
        <f t="shared" si="6"/>
        <v>4</v>
      </c>
      <c r="AA9" s="746">
        <f>if(R9="","",sum(R9:Z9))</f>
        <v>4</v>
      </c>
      <c r="AB9" s="747">
        <f t="shared" si="7"/>
        <v>10</v>
      </c>
      <c r="AC9" s="748"/>
      <c r="AD9" s="648"/>
      <c r="AE9" s="737">
        <f>'R3_G1'!$N$9</f>
        <v>8</v>
      </c>
      <c r="AF9" s="732" t="s">
        <v>89</v>
      </c>
    </row>
    <row r="10" ht="3.75" customHeight="1">
      <c r="A10" s="749"/>
      <c r="B10" s="455"/>
      <c r="C10" s="722"/>
      <c r="D10" s="722"/>
      <c r="E10" s="722"/>
      <c r="F10" s="722"/>
      <c r="G10" s="722"/>
      <c r="H10" s="722"/>
      <c r="I10" s="722"/>
      <c r="J10" s="722"/>
      <c r="K10" s="722"/>
      <c r="L10" s="722"/>
      <c r="M10" s="648"/>
      <c r="N10" s="750"/>
      <c r="O10" s="751"/>
      <c r="P10" s="722"/>
      <c r="Q10" s="752"/>
      <c r="R10" s="722"/>
      <c r="S10" s="722"/>
      <c r="T10" s="722"/>
      <c r="U10" s="722"/>
      <c r="V10" s="722"/>
      <c r="W10" s="722"/>
      <c r="X10" s="722"/>
      <c r="Y10" s="722"/>
      <c r="Z10" s="722"/>
      <c r="AA10" s="722"/>
      <c r="AB10" s="722"/>
      <c r="AC10" s="722"/>
      <c r="AD10" s="648"/>
      <c r="AE10" s="750"/>
      <c r="AF10" s="751"/>
    </row>
    <row r="11" ht="7.5" customHeight="1">
      <c r="A11" s="753"/>
      <c r="B11" s="706"/>
      <c r="C11" s="707" t="str">
        <f t="shared" ref="C11:K11" si="8">if(C12=1,"O", if(C12=2,"O   O",""))</f>
        <v>O</v>
      </c>
      <c r="D11" s="708" t="str">
        <f t="shared" si="8"/>
        <v/>
      </c>
      <c r="E11" s="708" t="str">
        <f t="shared" si="8"/>
        <v>O</v>
      </c>
      <c r="F11" s="708" t="str">
        <f t="shared" si="8"/>
        <v>O</v>
      </c>
      <c r="G11" s="708" t="str">
        <f t="shared" si="8"/>
        <v>O</v>
      </c>
      <c r="H11" s="708" t="str">
        <f t="shared" si="8"/>
        <v>O</v>
      </c>
      <c r="I11" s="708" t="str">
        <f t="shared" si="8"/>
        <v/>
      </c>
      <c r="J11" s="708" t="str">
        <f t="shared" si="8"/>
        <v>O</v>
      </c>
      <c r="K11" s="709" t="str">
        <f t="shared" si="8"/>
        <v>O</v>
      </c>
      <c r="L11" s="710"/>
      <c r="M11" s="648"/>
      <c r="N11" s="754"/>
      <c r="O11" s="755"/>
      <c r="P11" s="713"/>
      <c r="Q11" s="756"/>
      <c r="R11" s="707" t="str">
        <f t="shared" ref="R11:Z11" si="9">if(R12=1,"O", if(R12=2,"O   O",""))</f>
        <v>O</v>
      </c>
      <c r="S11" s="708" t="str">
        <f t="shared" si="9"/>
        <v>O</v>
      </c>
      <c r="T11" s="708" t="str">
        <f t="shared" si="9"/>
        <v/>
      </c>
      <c r="U11" s="708" t="str">
        <f t="shared" si="9"/>
        <v/>
      </c>
      <c r="V11" s="708" t="str">
        <f t="shared" si="9"/>
        <v>O</v>
      </c>
      <c r="W11" s="708" t="str">
        <f t="shared" si="9"/>
        <v>O</v>
      </c>
      <c r="X11" s="708" t="str">
        <f t="shared" si="9"/>
        <v/>
      </c>
      <c r="Y11" s="708" t="str">
        <f t="shared" si="9"/>
        <v>O</v>
      </c>
      <c r="Z11" s="709" t="str">
        <f t="shared" si="9"/>
        <v>O</v>
      </c>
      <c r="AA11" s="757"/>
      <c r="AB11" s="758"/>
      <c r="AC11" s="759"/>
      <c r="AD11" s="648"/>
      <c r="AE11" s="760"/>
      <c r="AF11" s="761"/>
    </row>
    <row r="12" ht="22.5" hidden="1" customHeight="1">
      <c r="A12" s="762"/>
      <c r="B12" s="720"/>
      <c r="C12" s="721">
        <f t="shared" ref="C12:K12" si="10">IF($B13&gt;0,FLOOR($B13/18,1),0)+IF(AND(MOD($B13,18)&gt;=C$2,$B13&gt;0),1,0)-IF(C$2-18&gt;$B13,1,0)</f>
        <v>1</v>
      </c>
      <c r="D12" s="721">
        <f t="shared" si="10"/>
        <v>0</v>
      </c>
      <c r="E12" s="721">
        <f t="shared" si="10"/>
        <v>1</v>
      </c>
      <c r="F12" s="721">
        <f t="shared" si="10"/>
        <v>1</v>
      </c>
      <c r="G12" s="721">
        <f t="shared" si="10"/>
        <v>1</v>
      </c>
      <c r="H12" s="721">
        <f t="shared" si="10"/>
        <v>1</v>
      </c>
      <c r="I12" s="721">
        <f t="shared" si="10"/>
        <v>0</v>
      </c>
      <c r="J12" s="721">
        <f t="shared" si="10"/>
        <v>1</v>
      </c>
      <c r="K12" s="721">
        <f t="shared" si="10"/>
        <v>1</v>
      </c>
      <c r="L12" s="722"/>
      <c r="M12" s="648"/>
      <c r="N12" s="750"/>
      <c r="O12" s="751"/>
      <c r="P12" s="455"/>
      <c r="Q12" s="763"/>
      <c r="R12" s="721">
        <f t="shared" ref="R12:Z12" si="11">IF($B13&gt;0,FLOOR($B13/18,1),0)+IF(AND(MOD($B13,18)&gt;=R$2,$B13&gt;0),1,0)-IF(R$2-18&gt;$B13,1,0)</f>
        <v>1</v>
      </c>
      <c r="S12" s="721">
        <f t="shared" si="11"/>
        <v>1</v>
      </c>
      <c r="T12" s="721">
        <f t="shared" si="11"/>
        <v>0</v>
      </c>
      <c r="U12" s="721">
        <f t="shared" si="11"/>
        <v>0</v>
      </c>
      <c r="V12" s="721">
        <f t="shared" si="11"/>
        <v>1</v>
      </c>
      <c r="W12" s="721">
        <f t="shared" si="11"/>
        <v>1</v>
      </c>
      <c r="X12" s="721">
        <f t="shared" si="11"/>
        <v>0</v>
      </c>
      <c r="Y12" s="721">
        <f t="shared" si="11"/>
        <v>1</v>
      </c>
      <c r="Z12" s="721">
        <f t="shared" si="11"/>
        <v>1</v>
      </c>
      <c r="AA12" s="722"/>
      <c r="AB12" s="722"/>
      <c r="AC12" s="724"/>
      <c r="AD12" s="648"/>
      <c r="AE12" s="750"/>
      <c r="AF12" s="751"/>
    </row>
    <row r="13" ht="18.75" customHeight="1">
      <c r="A13" s="725" t="str">
        <f>'Match Selection'!J15</f>
        <v>Joe O</v>
      </c>
      <c r="B13" s="726">
        <f>if(A13="","", vlookup(A13,'Master Input'!$A$11:$L$27,'Master Input'!$J$28, false))</f>
        <v>13</v>
      </c>
      <c r="C13" s="727">
        <v>6.0</v>
      </c>
      <c r="D13" s="728">
        <v>4.0</v>
      </c>
      <c r="E13" s="728">
        <v>3.0</v>
      </c>
      <c r="F13" s="728">
        <v>4.0</v>
      </c>
      <c r="G13" s="728">
        <v>7.0</v>
      </c>
      <c r="H13" s="728">
        <v>6.0</v>
      </c>
      <c r="I13" s="728">
        <v>4.0</v>
      </c>
      <c r="J13" s="728">
        <v>3.0</v>
      </c>
      <c r="K13" s="729">
        <v>6.0</v>
      </c>
      <c r="L13" s="730">
        <f>if(K13="","", sum(C13:K13))</f>
        <v>43</v>
      </c>
      <c r="M13" s="648"/>
      <c r="N13" s="764">
        <f>'R3_G1'!$N$13</f>
        <v>4</v>
      </c>
      <c r="O13" s="732" t="s">
        <v>90</v>
      </c>
      <c r="P13" s="455"/>
      <c r="Q13" s="733" t="str">
        <f>A13</f>
        <v>Joe O</v>
      </c>
      <c r="R13" s="727">
        <v>4.0</v>
      </c>
      <c r="S13" s="728">
        <v>5.0</v>
      </c>
      <c r="T13" s="728">
        <v>4.0</v>
      </c>
      <c r="U13" s="728">
        <v>5.0</v>
      </c>
      <c r="V13" s="728">
        <v>6.0</v>
      </c>
      <c r="W13" s="728">
        <v>6.0</v>
      </c>
      <c r="X13" s="728">
        <v>4.0</v>
      </c>
      <c r="Y13" s="728">
        <v>3.0</v>
      </c>
      <c r="Z13" s="729">
        <v>5.0</v>
      </c>
      <c r="AA13" s="734">
        <f>if(Z13="","", sum(R13:Z13))</f>
        <v>42</v>
      </c>
      <c r="AB13" s="735">
        <f t="shared" ref="AB13:AB14" si="14">if(AA13="", "", sum(L13,AA13))</f>
        <v>85</v>
      </c>
      <c r="AC13" s="736">
        <f>if(Z13="", "", AB13-B13)</f>
        <v>72</v>
      </c>
      <c r="AD13" s="648"/>
      <c r="AE13" s="737">
        <f>'R3_G1'!$N$13</f>
        <v>4</v>
      </c>
      <c r="AF13" s="732" t="s">
        <v>90</v>
      </c>
    </row>
    <row r="14" ht="21.0" customHeight="1">
      <c r="A14" s="738" t="str">
        <f>vlookup(A13, 'Master Input'!$A$11:$B$27,2, false)</f>
        <v>Drivers</v>
      </c>
      <c r="B14" s="739" t="s">
        <v>88</v>
      </c>
      <c r="C14" s="740">
        <f>if(C13="","",
if(C13-C12-C$3=-3,$N$8,
if(C13-C12-C$3=-2,$N$9,
if(C13-C12-C$3=-1,$N$13,
if(C13-C12-C$3=0,$N$14,
if(C13-C12-C$3=1,$N$18,$N$19))))))</f>
        <v>0</v>
      </c>
      <c r="D14" s="741">
        <f t="shared" ref="D14:K14" si="12">if(D13="","",(
if(D13-D12-D$3=-3,$N$8,
if(D13-D12-D$3=-2,$N$9,
if(D13-D12-D$3=-1,$N$13,
if(D13-D12-D$3=0,$N$14,
if(D13-D12-D$3=1,$N$18,$N$19)))))
* if(or(C8-C7-C$3&lt;0,C13-C12-C$3&lt;0),2,1)))</f>
        <v>2</v>
      </c>
      <c r="E14" s="741">
        <f t="shared" si="12"/>
        <v>4</v>
      </c>
      <c r="F14" s="741">
        <f t="shared" si="12"/>
        <v>16</v>
      </c>
      <c r="G14" s="741">
        <f t="shared" si="12"/>
        <v>-8</v>
      </c>
      <c r="H14" s="741">
        <f t="shared" si="12"/>
        <v>0</v>
      </c>
      <c r="I14" s="741">
        <f t="shared" si="12"/>
        <v>4</v>
      </c>
      <c r="J14" s="741">
        <f t="shared" si="12"/>
        <v>4</v>
      </c>
      <c r="K14" s="742">
        <f t="shared" si="12"/>
        <v>4</v>
      </c>
      <c r="L14" s="743">
        <f>if(C14="","",sum(C14:K14))</f>
        <v>26</v>
      </c>
      <c r="M14" s="648"/>
      <c r="N14" s="731">
        <f>'R3_G1'!$N$14</f>
        <v>2</v>
      </c>
      <c r="O14" s="732" t="s">
        <v>91</v>
      </c>
      <c r="P14" s="455"/>
      <c r="Q14" s="745" t="s">
        <v>88</v>
      </c>
      <c r="R14" s="740">
        <f>if(R13="","",(
if(R13-R12-R$3=-3,$N$8,
if(R13-R12-R$3=-2,$N$9,
if(R13-R12-R$3=-1,$N$13,
if(R13-R12-R$3=0,$N$14,
if(R13-R12-R$3=1,$N$18,$N$19)))))
* if(or(K8-K7-K$3&lt;0,K13-K12-K$3&lt;0),2,1)))</f>
        <v>4</v>
      </c>
      <c r="S14" s="741">
        <f t="shared" ref="S14:Z14" si="13">if(S13="","",(
if(S13-S12-S$3=-3,$N$8,
if(S13-S12-S$3=-2,$N$9,
if(S13-S12-S$3=-1,$N$13,
if(S13-S12-S$3=0,$N$14,
if(S13-S12-S$3=1,$N$18,$N$19)))))
* if(or(R8-R7-R$3&lt;0,R13-R12-R$3&lt;0),2,1)))</f>
        <v>4</v>
      </c>
      <c r="T14" s="741">
        <f t="shared" si="13"/>
        <v>0</v>
      </c>
      <c r="U14" s="741">
        <f t="shared" si="13"/>
        <v>0</v>
      </c>
      <c r="V14" s="741">
        <f t="shared" si="13"/>
        <v>2</v>
      </c>
      <c r="W14" s="741">
        <f t="shared" si="13"/>
        <v>0</v>
      </c>
      <c r="X14" s="741">
        <f t="shared" si="13"/>
        <v>2</v>
      </c>
      <c r="Y14" s="741">
        <f t="shared" si="13"/>
        <v>4</v>
      </c>
      <c r="Z14" s="742">
        <f t="shared" si="13"/>
        <v>8</v>
      </c>
      <c r="AA14" s="746">
        <f>if(R14="","",sum(R14:Z14))</f>
        <v>24</v>
      </c>
      <c r="AB14" s="747">
        <f t="shared" si="14"/>
        <v>50</v>
      </c>
      <c r="AC14" s="748"/>
      <c r="AD14" s="648"/>
      <c r="AE14" s="737">
        <f>'R3_G1'!$N$14</f>
        <v>2</v>
      </c>
      <c r="AF14" s="732" t="s">
        <v>91</v>
      </c>
    </row>
    <row r="15" ht="3.75" customHeight="1">
      <c r="A15" s="765"/>
      <c r="B15" s="766"/>
      <c r="C15" s="767"/>
      <c r="D15" s="767"/>
      <c r="E15" s="767"/>
      <c r="F15" s="767"/>
      <c r="G15" s="767"/>
      <c r="H15" s="767"/>
      <c r="I15" s="767"/>
      <c r="J15" s="767"/>
      <c r="K15" s="767"/>
      <c r="L15" s="722"/>
      <c r="M15" s="648"/>
      <c r="N15" s="750"/>
      <c r="O15" s="751"/>
      <c r="P15" s="722"/>
      <c r="Q15" s="752"/>
      <c r="R15" s="722"/>
      <c r="S15" s="722"/>
      <c r="T15" s="722"/>
      <c r="U15" s="722"/>
      <c r="V15" s="722"/>
      <c r="W15" s="722"/>
      <c r="X15" s="722"/>
      <c r="Y15" s="722"/>
      <c r="Z15" s="722"/>
      <c r="AA15" s="722"/>
      <c r="AB15" s="722"/>
      <c r="AC15" s="722"/>
      <c r="AD15" s="648"/>
      <c r="AE15" s="750"/>
      <c r="AF15" s="751"/>
    </row>
    <row r="16" ht="7.5" customHeight="1">
      <c r="A16" s="768"/>
      <c r="B16" s="769"/>
      <c r="C16" s="770" t="str">
        <f t="shared" ref="C16:K16" si="15">if(C17=1,"O", if(C17=2,"O   O",""))</f>
        <v/>
      </c>
      <c r="D16" s="771" t="str">
        <f t="shared" si="15"/>
        <v/>
      </c>
      <c r="E16" s="771" t="str">
        <f t="shared" si="15"/>
        <v/>
      </c>
      <c r="F16" s="771" t="str">
        <f t="shared" si="15"/>
        <v>O</v>
      </c>
      <c r="G16" s="771" t="str">
        <f t="shared" si="15"/>
        <v>O</v>
      </c>
      <c r="H16" s="771" t="str">
        <f t="shared" si="15"/>
        <v/>
      </c>
      <c r="I16" s="771" t="str">
        <f t="shared" si="15"/>
        <v/>
      </c>
      <c r="J16" s="771" t="str">
        <f t="shared" si="15"/>
        <v/>
      </c>
      <c r="K16" s="772" t="str">
        <f t="shared" si="15"/>
        <v/>
      </c>
      <c r="L16" s="710"/>
      <c r="M16" s="773"/>
      <c r="N16" s="774"/>
      <c r="O16" s="775"/>
      <c r="P16" s="776"/>
      <c r="Q16" s="777"/>
      <c r="R16" s="770" t="str">
        <f t="shared" ref="R16:Z16" si="16">if(R17=1,"O", if(R17=2,"O   O",""))</f>
        <v>O</v>
      </c>
      <c r="S16" s="771" t="str">
        <f t="shared" si="16"/>
        <v/>
      </c>
      <c r="T16" s="771" t="str">
        <f t="shared" si="16"/>
        <v/>
      </c>
      <c r="U16" s="771" t="str">
        <f t="shared" si="16"/>
        <v/>
      </c>
      <c r="V16" s="771" t="str">
        <f t="shared" si="16"/>
        <v>O</v>
      </c>
      <c r="W16" s="771" t="str">
        <f t="shared" si="16"/>
        <v/>
      </c>
      <c r="X16" s="771" t="str">
        <f t="shared" si="16"/>
        <v/>
      </c>
      <c r="Y16" s="771" t="str">
        <f t="shared" si="16"/>
        <v/>
      </c>
      <c r="Z16" s="772" t="str">
        <f t="shared" si="16"/>
        <v/>
      </c>
      <c r="AA16" s="757"/>
      <c r="AB16" s="758"/>
      <c r="AC16" s="759"/>
      <c r="AD16" s="648"/>
      <c r="AE16" s="760"/>
      <c r="AF16" s="761"/>
    </row>
    <row r="17" ht="22.5" hidden="1" customHeight="1">
      <c r="A17" s="778"/>
      <c r="B17" s="720"/>
      <c r="C17" s="721">
        <f t="shared" ref="C17:K17" si="17">IF($B18&gt;0,FLOOR($B18/18,1),0)+IF(AND(MOD($B18,18)&gt;=C$2,$B18&gt;0),1,0)-IF(C$2-18&gt;$B18,1,0)</f>
        <v>0</v>
      </c>
      <c r="D17" s="721">
        <f t="shared" si="17"/>
        <v>0</v>
      </c>
      <c r="E17" s="721">
        <f t="shared" si="17"/>
        <v>0</v>
      </c>
      <c r="F17" s="721">
        <f t="shared" si="17"/>
        <v>1</v>
      </c>
      <c r="G17" s="721">
        <f t="shared" si="17"/>
        <v>1</v>
      </c>
      <c r="H17" s="721">
        <f t="shared" si="17"/>
        <v>0</v>
      </c>
      <c r="I17" s="721">
        <f t="shared" si="17"/>
        <v>0</v>
      </c>
      <c r="J17" s="721">
        <f t="shared" si="17"/>
        <v>0</v>
      </c>
      <c r="K17" s="721">
        <f t="shared" si="17"/>
        <v>0</v>
      </c>
      <c r="L17" s="722"/>
      <c r="M17" s="648"/>
      <c r="N17" s="750"/>
      <c r="O17" s="751"/>
      <c r="P17" s="455"/>
      <c r="Q17" s="763"/>
      <c r="R17" s="721">
        <f t="shared" ref="R17:Z17" si="18">IF($B18&gt;0,FLOOR($B18/18,1),0)+IF(AND(MOD($B18,18)&gt;=R$2,$B18&gt;0),1,0)-IF(R$2-18&gt;$B18,1,0)</f>
        <v>1</v>
      </c>
      <c r="S17" s="721">
        <f t="shared" si="18"/>
        <v>0</v>
      </c>
      <c r="T17" s="721">
        <f t="shared" si="18"/>
        <v>0</v>
      </c>
      <c r="U17" s="721">
        <f t="shared" si="18"/>
        <v>0</v>
      </c>
      <c r="V17" s="721">
        <f t="shared" si="18"/>
        <v>1</v>
      </c>
      <c r="W17" s="721">
        <f t="shared" si="18"/>
        <v>0</v>
      </c>
      <c r="X17" s="721">
        <f t="shared" si="18"/>
        <v>0</v>
      </c>
      <c r="Y17" s="721">
        <f t="shared" si="18"/>
        <v>0</v>
      </c>
      <c r="Z17" s="721">
        <f t="shared" si="18"/>
        <v>0</v>
      </c>
      <c r="AA17" s="722"/>
      <c r="AB17" s="722"/>
      <c r="AC17" s="724"/>
      <c r="AD17" s="648"/>
      <c r="AE17" s="750"/>
      <c r="AF17" s="751"/>
    </row>
    <row r="18" ht="18.75" customHeight="1">
      <c r="A18" s="779" t="str">
        <f>'Match Selection'!M14</f>
        <v>CuzNick</v>
      </c>
      <c r="B18" s="780">
        <f>if(A18="","", vlookup(A18,'Master Input'!$A$11:$L$27,'Master Input'!$J$28, false))</f>
        <v>4</v>
      </c>
      <c r="C18" s="781">
        <v>5.0</v>
      </c>
      <c r="D18" s="782">
        <v>3.0</v>
      </c>
      <c r="E18" s="782">
        <v>3.0</v>
      </c>
      <c r="F18" s="782">
        <v>7.0</v>
      </c>
      <c r="G18" s="782">
        <v>6.0</v>
      </c>
      <c r="H18" s="782">
        <v>4.0</v>
      </c>
      <c r="I18" s="782">
        <v>4.0</v>
      </c>
      <c r="J18" s="782">
        <v>4.0</v>
      </c>
      <c r="K18" s="783">
        <v>5.0</v>
      </c>
      <c r="L18" s="730">
        <f>if(K18="","", sum(C18:K18))</f>
        <v>41</v>
      </c>
      <c r="M18" s="648"/>
      <c r="N18" s="764">
        <f>'R3_G1'!$N$18</f>
        <v>0</v>
      </c>
      <c r="O18" s="744" t="s">
        <v>92</v>
      </c>
      <c r="P18" s="455"/>
      <c r="Q18" s="784" t="str">
        <f>A18</f>
        <v>CuzNick</v>
      </c>
      <c r="R18" s="781">
        <v>4.0</v>
      </c>
      <c r="S18" s="782">
        <v>5.0</v>
      </c>
      <c r="T18" s="782">
        <v>3.0</v>
      </c>
      <c r="U18" s="782">
        <v>5.0</v>
      </c>
      <c r="V18" s="782">
        <v>5.0</v>
      </c>
      <c r="W18" s="782">
        <v>6.0</v>
      </c>
      <c r="X18" s="782">
        <v>5.0</v>
      </c>
      <c r="Y18" s="782">
        <v>3.0</v>
      </c>
      <c r="Z18" s="783">
        <v>4.0</v>
      </c>
      <c r="AA18" s="734">
        <f>if(Z18="","", sum(R18:Z18))</f>
        <v>40</v>
      </c>
      <c r="AB18" s="735">
        <f t="shared" ref="AB18:AB19" si="21">if(AA18="", "", sum(L18,AA18))</f>
        <v>81</v>
      </c>
      <c r="AC18" s="736">
        <f>if(Z18="", "", AB18-B18)</f>
        <v>77</v>
      </c>
      <c r="AD18" s="648"/>
      <c r="AE18" s="737">
        <f>'R3_G1'!$N$18</f>
        <v>0</v>
      </c>
      <c r="AF18" s="744" t="s">
        <v>92</v>
      </c>
    </row>
    <row r="19" ht="21.0" customHeight="1">
      <c r="A19" s="785" t="str">
        <f>vlookup(A18, 'Master Input'!$A$11:$B$27,2, false)</f>
        <v>Irons</v>
      </c>
      <c r="B19" s="786" t="s">
        <v>88</v>
      </c>
      <c r="C19" s="787">
        <f>if(C18="","",
if(C18-C17-C$3=-3,$N$8,
if(C18-C17-C$3=-2,$N$9,
if(C18-C17-C$3=-1,$N$13,
if(C18-C17-C$3=0,$N$14,
if(C18-C17-C$3=1,$N$18,$N$19))))))</f>
        <v>0</v>
      </c>
      <c r="D19" s="788">
        <f t="shared" ref="D19:K19" si="19">if(D18="","",(
if(D18-D17-D$3=-3,$N$8,
if(D18-D17-D$3=-2,$N$9,
if(D18-D17-D$3=-1,$N$13,
if(D18-D17-D$3=0,$N$14,
if(D18-D17-D$3=1,$N$18,$N$19)))))
* if(or(C18-C17-C$3&lt;0,C23-C22-C$3&lt;0),2,1)))</f>
        <v>8</v>
      </c>
      <c r="E19" s="788">
        <f t="shared" si="19"/>
        <v>4</v>
      </c>
      <c r="F19" s="788">
        <f t="shared" si="19"/>
        <v>0</v>
      </c>
      <c r="G19" s="788">
        <f t="shared" si="19"/>
        <v>0</v>
      </c>
      <c r="H19" s="788">
        <f t="shared" si="19"/>
        <v>4</v>
      </c>
      <c r="I19" s="788">
        <f t="shared" si="19"/>
        <v>2</v>
      </c>
      <c r="J19" s="788">
        <f t="shared" si="19"/>
        <v>0</v>
      </c>
      <c r="K19" s="789">
        <f t="shared" si="19"/>
        <v>2</v>
      </c>
      <c r="L19" s="743">
        <f>if(C19="","",sum(C19:K19))</f>
        <v>20</v>
      </c>
      <c r="M19" s="648"/>
      <c r="N19" s="731">
        <f>'R3_G1'!$N$19</f>
        <v>-4</v>
      </c>
      <c r="O19" s="744" t="s">
        <v>93</v>
      </c>
      <c r="P19" s="455"/>
      <c r="Q19" s="790" t="s">
        <v>88</v>
      </c>
      <c r="R19" s="787">
        <f>if(R18="","",(
if(R18-R17-R$3=-3,$N$8,
if(R18-R17-R$3=-2,$N$9,
if(R18-R17-R$3=-1,$N$13,
if(R18-R17-R$3=0,$N$14,
if(R18-R17-R$3=1,$N$18,$N$19)))))
* if(or(K18-K17-K$3&lt;0,K23-K22-K$3&lt;0),2,1)))</f>
        <v>8</v>
      </c>
      <c r="S19" s="788">
        <f t="shared" ref="S19:Z19" si="20">if(S18="","",(
if(S18-S17-S$3=-3,$N$8,
if(S18-S17-S$3=-2,$N$9,
if(S18-S17-S$3=-1,$N$13,
if(S18-S17-S$3=0,$N$14,
if(S18-S17-S$3=1,$N$18,$N$19)))))
* if(or(R18-R17-R$3&lt;0,R23-R22-R$3&lt;0),2,1)))</f>
        <v>0</v>
      </c>
      <c r="T19" s="788">
        <f t="shared" si="20"/>
        <v>4</v>
      </c>
      <c r="U19" s="788">
        <f t="shared" si="20"/>
        <v>0</v>
      </c>
      <c r="V19" s="788">
        <f t="shared" si="20"/>
        <v>4</v>
      </c>
      <c r="W19" s="788">
        <f t="shared" si="20"/>
        <v>-8</v>
      </c>
      <c r="X19" s="788">
        <f t="shared" si="20"/>
        <v>0</v>
      </c>
      <c r="Y19" s="788">
        <f t="shared" si="20"/>
        <v>2</v>
      </c>
      <c r="Z19" s="789">
        <f t="shared" si="20"/>
        <v>4</v>
      </c>
      <c r="AA19" s="746">
        <f>if(R19="","",sum(R19:Z19))</f>
        <v>14</v>
      </c>
      <c r="AB19" s="747">
        <f t="shared" si="21"/>
        <v>34</v>
      </c>
      <c r="AC19" s="748"/>
      <c r="AD19" s="648"/>
      <c r="AE19" s="737">
        <f>'R3_G1'!$N$19</f>
        <v>-4</v>
      </c>
      <c r="AF19" s="744" t="s">
        <v>93</v>
      </c>
    </row>
    <row r="20" ht="3.75" customHeight="1">
      <c r="A20" s="749"/>
      <c r="B20" s="455"/>
      <c r="C20" s="722"/>
      <c r="D20" s="722"/>
      <c r="E20" s="722"/>
      <c r="F20" s="722"/>
      <c r="G20" s="722"/>
      <c r="H20" s="722"/>
      <c r="I20" s="722"/>
      <c r="J20" s="722"/>
      <c r="K20" s="722"/>
      <c r="L20" s="722"/>
      <c r="M20" s="722"/>
      <c r="N20" s="722"/>
      <c r="O20" s="722"/>
      <c r="P20" s="722"/>
      <c r="Q20" s="752"/>
      <c r="R20" s="722"/>
      <c r="S20" s="722"/>
      <c r="T20" s="722"/>
      <c r="U20" s="722"/>
      <c r="V20" s="722"/>
      <c r="W20" s="722"/>
      <c r="X20" s="722"/>
      <c r="Y20" s="722"/>
      <c r="Z20" s="722"/>
      <c r="AA20" s="722"/>
      <c r="AB20" s="722"/>
      <c r="AC20" s="722"/>
      <c r="AD20" s="722"/>
      <c r="AE20" s="722"/>
      <c r="AF20" s="722"/>
    </row>
    <row r="21" ht="7.5" customHeight="1">
      <c r="A21" s="768"/>
      <c r="B21" s="769"/>
      <c r="C21" s="770" t="str">
        <f t="shared" ref="C21:K21" si="22">if(C22=1,"O", if(C22=2,"O   O",""))</f>
        <v>O</v>
      </c>
      <c r="D21" s="771" t="str">
        <f t="shared" si="22"/>
        <v/>
      </c>
      <c r="E21" s="771" t="str">
        <f t="shared" si="22"/>
        <v/>
      </c>
      <c r="F21" s="771" t="str">
        <f t="shared" si="22"/>
        <v>O</v>
      </c>
      <c r="G21" s="771" t="str">
        <f t="shared" si="22"/>
        <v>O</v>
      </c>
      <c r="H21" s="771" t="str">
        <f t="shared" si="22"/>
        <v>O</v>
      </c>
      <c r="I21" s="771" t="str">
        <f t="shared" si="22"/>
        <v/>
      </c>
      <c r="J21" s="771" t="str">
        <f t="shared" si="22"/>
        <v/>
      </c>
      <c r="K21" s="772" t="str">
        <f t="shared" si="22"/>
        <v>O</v>
      </c>
      <c r="L21" s="710"/>
      <c r="M21" s="791"/>
      <c r="N21" s="776"/>
      <c r="O21" s="792"/>
      <c r="P21" s="776"/>
      <c r="Q21" s="777"/>
      <c r="R21" s="770" t="str">
        <f t="shared" ref="R21:Z21" si="23">if(R22=1,"O", if(R22=2,"O   O",""))</f>
        <v>O</v>
      </c>
      <c r="S21" s="771" t="str">
        <f t="shared" si="23"/>
        <v>O</v>
      </c>
      <c r="T21" s="771" t="str">
        <f t="shared" si="23"/>
        <v/>
      </c>
      <c r="U21" s="771" t="str">
        <f t="shared" si="23"/>
        <v/>
      </c>
      <c r="V21" s="771" t="str">
        <f t="shared" si="23"/>
        <v>O</v>
      </c>
      <c r="W21" s="771" t="str">
        <f t="shared" si="23"/>
        <v>O</v>
      </c>
      <c r="X21" s="771" t="str">
        <f t="shared" si="23"/>
        <v/>
      </c>
      <c r="Y21" s="771" t="str">
        <f t="shared" si="23"/>
        <v/>
      </c>
      <c r="Z21" s="772" t="str">
        <f t="shared" si="23"/>
        <v>O</v>
      </c>
      <c r="AA21" s="757"/>
      <c r="AB21" s="793"/>
      <c r="AC21" s="759"/>
      <c r="AD21" s="462"/>
      <c r="AE21" s="462"/>
      <c r="AF21" s="462"/>
    </row>
    <row r="22" ht="22.5" hidden="1" customHeight="1">
      <c r="A22" s="762"/>
      <c r="B22" s="720"/>
      <c r="C22" s="721">
        <f t="shared" ref="C22:K22" si="24">IF($B23&gt;0,FLOOR($B23/18,1),0)+IF(AND(MOD($B23,18)&gt;=C$2,$B23&gt;0),1,0)-IF(C$2-18&gt;$B23,1,0)</f>
        <v>1</v>
      </c>
      <c r="D22" s="721">
        <f t="shared" si="24"/>
        <v>0</v>
      </c>
      <c r="E22" s="721">
        <f t="shared" si="24"/>
        <v>0</v>
      </c>
      <c r="F22" s="721">
        <f t="shared" si="24"/>
        <v>1</v>
      </c>
      <c r="G22" s="721">
        <f t="shared" si="24"/>
        <v>1</v>
      </c>
      <c r="H22" s="721">
        <f t="shared" si="24"/>
        <v>1</v>
      </c>
      <c r="I22" s="721">
        <f t="shared" si="24"/>
        <v>0</v>
      </c>
      <c r="J22" s="721">
        <f t="shared" si="24"/>
        <v>0</v>
      </c>
      <c r="K22" s="721">
        <f t="shared" si="24"/>
        <v>1</v>
      </c>
      <c r="L22" s="722"/>
      <c r="M22" s="722"/>
      <c r="N22" s="722"/>
      <c r="O22" s="722"/>
      <c r="P22" s="455"/>
      <c r="Q22" s="763"/>
      <c r="R22" s="721">
        <f t="shared" ref="R22:Z22" si="25">IF($B23&gt;0,FLOOR($B23/18,1),0)+IF(AND(MOD($B23,18)&gt;=R$2,$B23&gt;0),1,0)-IF(R$2-18&gt;$B23,1,0)</f>
        <v>1</v>
      </c>
      <c r="S22" s="721">
        <f t="shared" si="25"/>
        <v>1</v>
      </c>
      <c r="T22" s="721">
        <f t="shared" si="25"/>
        <v>0</v>
      </c>
      <c r="U22" s="721">
        <f t="shared" si="25"/>
        <v>0</v>
      </c>
      <c r="V22" s="721">
        <f t="shared" si="25"/>
        <v>1</v>
      </c>
      <c r="W22" s="721">
        <f t="shared" si="25"/>
        <v>1</v>
      </c>
      <c r="X22" s="721">
        <f t="shared" si="25"/>
        <v>0</v>
      </c>
      <c r="Y22" s="721">
        <f t="shared" si="25"/>
        <v>0</v>
      </c>
      <c r="Z22" s="721">
        <f t="shared" si="25"/>
        <v>1</v>
      </c>
      <c r="AA22" s="722"/>
      <c r="AB22" s="722"/>
      <c r="AC22" s="724"/>
      <c r="AD22" s="722"/>
      <c r="AE22" s="722"/>
      <c r="AF22" s="722"/>
    </row>
    <row r="23" ht="18.75" customHeight="1">
      <c r="A23" s="779" t="str">
        <f>'Match Selection'!M15</f>
        <v>DK</v>
      </c>
      <c r="B23" s="780">
        <f>if(A23="","", vlookup(A23,'Master Input'!$A$11:$L$27,'Master Input'!$J$28, false))</f>
        <v>10</v>
      </c>
      <c r="C23" s="781">
        <v>4.0</v>
      </c>
      <c r="D23" s="782">
        <v>3.0</v>
      </c>
      <c r="E23" s="782">
        <v>3.0</v>
      </c>
      <c r="F23" s="782">
        <v>5.0</v>
      </c>
      <c r="G23" s="782">
        <v>4.0</v>
      </c>
      <c r="H23" s="782">
        <v>5.0</v>
      </c>
      <c r="I23" s="782">
        <v>4.0</v>
      </c>
      <c r="J23" s="782">
        <v>3.0</v>
      </c>
      <c r="K23" s="783">
        <v>5.0</v>
      </c>
      <c r="L23" s="730">
        <f>if(K23="","", sum(C23:K23))</f>
        <v>36</v>
      </c>
      <c r="M23" s="722"/>
      <c r="N23" s="794" t="s">
        <v>94</v>
      </c>
      <c r="O23" s="795" t="s">
        <v>95</v>
      </c>
      <c r="P23" s="455"/>
      <c r="Q23" s="784" t="str">
        <f>A23</f>
        <v>DK</v>
      </c>
      <c r="R23" s="781">
        <v>5.0</v>
      </c>
      <c r="S23" s="782">
        <v>4.0</v>
      </c>
      <c r="T23" s="782">
        <v>3.0</v>
      </c>
      <c r="U23" s="782">
        <v>4.0</v>
      </c>
      <c r="V23" s="782">
        <v>8.0</v>
      </c>
      <c r="W23" s="782">
        <v>4.0</v>
      </c>
      <c r="X23" s="782">
        <v>4.0</v>
      </c>
      <c r="Y23" s="782">
        <v>3.0</v>
      </c>
      <c r="Z23" s="783">
        <v>6.0</v>
      </c>
      <c r="AA23" s="734">
        <f>if(Z23="","", sum(R23:Z23))</f>
        <v>41</v>
      </c>
      <c r="AB23" s="735">
        <f t="shared" ref="AB23:AB24" si="28">if(AA23="", "", sum(L23,AA23))</f>
        <v>77</v>
      </c>
      <c r="AC23" s="736">
        <f>if(Z23="", "", AB23-B23)</f>
        <v>67</v>
      </c>
      <c r="AD23" s="722"/>
      <c r="AE23" s="794" t="s">
        <v>94</v>
      </c>
      <c r="AF23" s="795" t="s">
        <v>95</v>
      </c>
    </row>
    <row r="24" ht="21.0" customHeight="1">
      <c r="A24" s="785" t="str">
        <f>vlookup(A23, 'Master Input'!$A$11:$B$27,2, false)</f>
        <v>Irons</v>
      </c>
      <c r="B24" s="786" t="s">
        <v>88</v>
      </c>
      <c r="C24" s="787">
        <f>if(C23="","",
if(C23-C22-C$3=-3,$N$8,
if(C23-C22-C$3=-2,$N$9,
if(C23-C22-C$3=-1,$N$13,
if(C23-C22-C$3=0,$N$14,
if(C23-C22-C$3=1,$N$18,$N$19))))))</f>
        <v>4</v>
      </c>
      <c r="D24" s="788">
        <f t="shared" ref="D24:K24" si="26">if(D23="","",(
if(D23-D22-D$3=-3,$N$8,
if(D23-D22-D$3=-2,$N$9,
if(D23-D22-D$3=-1,$N$13,
if(D23-D22-D$3=0,$N$14,
if(D23-D22-D$3=1,$N$18,$N$19)))))
* if(or(C18-C17-C$3&lt;0,C23-C22-C$3&lt;0),2,1)))</f>
        <v>8</v>
      </c>
      <c r="E24" s="788">
        <f t="shared" si="26"/>
        <v>4</v>
      </c>
      <c r="F24" s="788">
        <f t="shared" si="26"/>
        <v>4</v>
      </c>
      <c r="G24" s="788">
        <f t="shared" si="26"/>
        <v>8</v>
      </c>
      <c r="H24" s="788">
        <f t="shared" si="26"/>
        <v>4</v>
      </c>
      <c r="I24" s="788">
        <f t="shared" si="26"/>
        <v>2</v>
      </c>
      <c r="J24" s="788">
        <f t="shared" si="26"/>
        <v>2</v>
      </c>
      <c r="K24" s="789">
        <f t="shared" si="26"/>
        <v>4</v>
      </c>
      <c r="L24" s="743">
        <f>if(C24="","",sum(C24:K24))</f>
        <v>40</v>
      </c>
      <c r="M24" s="722"/>
      <c r="N24" s="796">
        <v>0.0</v>
      </c>
      <c r="O24" s="797">
        <v>2.0</v>
      </c>
      <c r="P24" s="455"/>
      <c r="Q24" s="790" t="s">
        <v>88</v>
      </c>
      <c r="R24" s="787">
        <f>if(R23="","",(
if(R23-R22-R$3=-3,$N$8,
if(R23-R22-R$3=-2,$N$9,
if(R23-R22-R$3=-1,$N$13,
if(R23-R22-R$3=0,$N$14,
if(R23-R22-R$3=1,$N$18,$N$19)))))
* if(or(K23-K22-K$3&lt;0,K28-K27-K$3&lt;0),2,1)))</f>
        <v>4</v>
      </c>
      <c r="S24" s="788">
        <f t="shared" ref="S24:Z24" si="27">if(S23="","",(
if(S23-S22-S$3=-3,$N$8,
if(S23-S22-S$3=-2,$N$9,
if(S23-S22-S$3=-1,$N$13,
if(S23-S22-S$3=0,$N$14,
if(S23-S22-S$3=1,$N$18,$N$19)))))
* if(or(R18-R17-R$3&lt;0,R23-R22-R$3&lt;0),2,1)))</f>
        <v>8</v>
      </c>
      <c r="T24" s="788">
        <f t="shared" si="27"/>
        <v>4</v>
      </c>
      <c r="U24" s="788">
        <f t="shared" si="27"/>
        <v>2</v>
      </c>
      <c r="V24" s="788">
        <f t="shared" si="27"/>
        <v>-4</v>
      </c>
      <c r="W24" s="788">
        <f t="shared" si="27"/>
        <v>8</v>
      </c>
      <c r="X24" s="788">
        <f t="shared" si="27"/>
        <v>4</v>
      </c>
      <c r="Y24" s="788">
        <f t="shared" si="27"/>
        <v>2</v>
      </c>
      <c r="Z24" s="789">
        <f t="shared" si="27"/>
        <v>2</v>
      </c>
      <c r="AA24" s="746">
        <f>if(R24="","",sum(R24:Z24))</f>
        <v>30</v>
      </c>
      <c r="AB24" s="747">
        <f t="shared" si="28"/>
        <v>70</v>
      </c>
      <c r="AC24" s="748"/>
      <c r="AD24" s="722"/>
      <c r="AE24" s="796">
        <v>0.0</v>
      </c>
      <c r="AF24" s="797">
        <v>2.0</v>
      </c>
    </row>
    <row r="25" ht="17.25" customHeight="1">
      <c r="A25" s="798"/>
      <c r="B25" s="799"/>
      <c r="C25" s="445"/>
      <c r="D25" s="445"/>
      <c r="E25" s="445"/>
      <c r="F25" s="445"/>
      <c r="G25" s="445"/>
      <c r="H25" s="445"/>
      <c r="I25" s="445"/>
      <c r="J25" s="445"/>
      <c r="K25" s="799"/>
      <c r="L25" s="800" t="s">
        <v>7</v>
      </c>
      <c r="M25" s="799"/>
      <c r="N25" s="801">
        <v>44570.0</v>
      </c>
      <c r="O25" s="797">
        <v>2.5</v>
      </c>
      <c r="P25" s="799"/>
      <c r="Q25" s="802"/>
      <c r="R25" s="445"/>
      <c r="S25" s="445"/>
      <c r="T25" s="445"/>
      <c r="U25" s="445"/>
      <c r="V25" s="445"/>
      <c r="W25" s="445"/>
      <c r="X25" s="445"/>
      <c r="Y25" s="445"/>
      <c r="Z25" s="445"/>
      <c r="AA25" s="803" t="s">
        <v>8</v>
      </c>
      <c r="AB25" s="803" t="s">
        <v>96</v>
      </c>
      <c r="AC25" s="804" t="s">
        <v>64</v>
      </c>
      <c r="AD25" s="603"/>
      <c r="AE25" s="801">
        <v>44570.0</v>
      </c>
      <c r="AF25" s="797">
        <v>2.5</v>
      </c>
    </row>
    <row r="26" ht="21.0" customHeight="1">
      <c r="A26" s="805" t="str">
        <f>vlookup($A$8, 'Master Input'!$A$11:$B$27,2, false)</f>
        <v>Drivers</v>
      </c>
      <c r="B26" s="805" t="str">
        <f>vlookup($A$8, 'Master Input'!$A$11:$B$27,2, false)</f>
        <v>Drivers</v>
      </c>
      <c r="C26" s="806">
        <f t="shared" ref="C26:K26" si="29">if(or(C9="",C14=""),"", sum(C9,C14))</f>
        <v>2</v>
      </c>
      <c r="D26" s="806">
        <f t="shared" si="29"/>
        <v>2</v>
      </c>
      <c r="E26" s="806">
        <f t="shared" si="29"/>
        <v>4</v>
      </c>
      <c r="F26" s="806">
        <f t="shared" si="29"/>
        <v>20</v>
      </c>
      <c r="G26" s="806">
        <f t="shared" si="29"/>
        <v>-4</v>
      </c>
      <c r="H26" s="806">
        <f t="shared" si="29"/>
        <v>4</v>
      </c>
      <c r="I26" s="806">
        <f t="shared" si="29"/>
        <v>4</v>
      </c>
      <c r="J26" s="806">
        <f t="shared" si="29"/>
        <v>4</v>
      </c>
      <c r="K26" s="807">
        <f t="shared" si="29"/>
        <v>-4</v>
      </c>
      <c r="L26" s="808">
        <f t="shared" ref="L26:L27" si="32">if(C26="","",sum(C26:K26))</f>
        <v>32</v>
      </c>
      <c r="M26" s="455"/>
      <c r="N26" s="809">
        <v>44853.0</v>
      </c>
      <c r="O26" s="810">
        <v>3.0</v>
      </c>
      <c r="P26" s="455"/>
      <c r="Q26" s="805" t="str">
        <f>vlookup($A$8, 'Master Input'!$A$11:$B$27,2, false)</f>
        <v>Drivers</v>
      </c>
      <c r="R26" s="806">
        <f t="shared" ref="R26:Z26" si="30">if(or(R9="",R14=""),"", sum(R9,R14))</f>
        <v>6</v>
      </c>
      <c r="S26" s="806">
        <f t="shared" si="30"/>
        <v>8</v>
      </c>
      <c r="T26" s="806">
        <f t="shared" si="30"/>
        <v>-4</v>
      </c>
      <c r="U26" s="806">
        <f t="shared" si="30"/>
        <v>0</v>
      </c>
      <c r="V26" s="806">
        <f t="shared" si="30"/>
        <v>2</v>
      </c>
      <c r="W26" s="806">
        <f t="shared" si="30"/>
        <v>-4</v>
      </c>
      <c r="X26" s="806">
        <f t="shared" si="30"/>
        <v>2</v>
      </c>
      <c r="Y26" s="806">
        <f t="shared" si="30"/>
        <v>6</v>
      </c>
      <c r="Z26" s="807">
        <f t="shared" si="30"/>
        <v>12</v>
      </c>
      <c r="AA26" s="811">
        <f t="shared" ref="AA26:AA27" si="34">if(R26="","",sum(R26:Z26))</f>
        <v>28</v>
      </c>
      <c r="AB26" s="812">
        <f t="shared" ref="AB26:AB27" si="35">if(C26="","",sum(L26,AA26))</f>
        <v>60</v>
      </c>
      <c r="AC26" s="813">
        <f>if(or(Z8="",Z13="",Z18="",Z23=""),"",
(if(AB28&lt;=-30,0,(if(AB28&lt;=-20,0.5,(if(AB28&lt;=-10,1,(if(AB28&lt;0,1.5,
(if(AB28&gt;=30,4,(if(AB28&gt;=20,3.5,(if(AB28&gt;=10,3,(if(AB28&gt;0,2.5,2)))))))))))))))))</f>
        <v>0</v>
      </c>
      <c r="AD26" s="462"/>
      <c r="AE26" s="809">
        <v>44853.0</v>
      </c>
      <c r="AF26" s="810">
        <v>3.0</v>
      </c>
    </row>
    <row r="27" ht="21.0" customHeight="1">
      <c r="A27" s="805" t="str">
        <f>vlookup($A$18, 'Master Input'!$A$11:$B$27,2, false)</f>
        <v>Irons</v>
      </c>
      <c r="B27" s="805" t="str">
        <f>vlookup($A$18, 'Master Input'!$A$11:$B$27,2, false)</f>
        <v>Irons</v>
      </c>
      <c r="C27" s="814">
        <f t="shared" ref="C27:K27" si="31">if(or(C19="",C24=""),"", sum(C19,C24))</f>
        <v>4</v>
      </c>
      <c r="D27" s="814">
        <f t="shared" si="31"/>
        <v>16</v>
      </c>
      <c r="E27" s="814">
        <f t="shared" si="31"/>
        <v>8</v>
      </c>
      <c r="F27" s="814">
        <f t="shared" si="31"/>
        <v>4</v>
      </c>
      <c r="G27" s="814">
        <f t="shared" si="31"/>
        <v>8</v>
      </c>
      <c r="H27" s="814">
        <f t="shared" si="31"/>
        <v>8</v>
      </c>
      <c r="I27" s="814">
        <f t="shared" si="31"/>
        <v>4</v>
      </c>
      <c r="J27" s="814">
        <f t="shared" si="31"/>
        <v>2</v>
      </c>
      <c r="K27" s="815">
        <f t="shared" si="31"/>
        <v>6</v>
      </c>
      <c r="L27" s="816">
        <f t="shared" si="32"/>
        <v>60</v>
      </c>
      <c r="M27" s="455"/>
      <c r="N27" s="817" t="s">
        <v>97</v>
      </c>
      <c r="O27" s="818">
        <v>3.5</v>
      </c>
      <c r="P27" s="455"/>
      <c r="Q27" s="805" t="str">
        <f>vlookup($A$18, 'Master Input'!$A$11:$B$27,2, false)</f>
        <v>Irons</v>
      </c>
      <c r="R27" s="814">
        <f t="shared" ref="R27:Z27" si="33">if(or(R19="",R24=""),"", sum(R19,R24))</f>
        <v>12</v>
      </c>
      <c r="S27" s="814">
        <f t="shared" si="33"/>
        <v>8</v>
      </c>
      <c r="T27" s="814">
        <f t="shared" si="33"/>
        <v>8</v>
      </c>
      <c r="U27" s="814">
        <f t="shared" si="33"/>
        <v>2</v>
      </c>
      <c r="V27" s="814">
        <f t="shared" si="33"/>
        <v>0</v>
      </c>
      <c r="W27" s="814">
        <f t="shared" si="33"/>
        <v>0</v>
      </c>
      <c r="X27" s="814">
        <f t="shared" si="33"/>
        <v>4</v>
      </c>
      <c r="Y27" s="814">
        <f t="shared" si="33"/>
        <v>4</v>
      </c>
      <c r="Z27" s="815">
        <f t="shared" si="33"/>
        <v>6</v>
      </c>
      <c r="AA27" s="819">
        <f t="shared" si="34"/>
        <v>44</v>
      </c>
      <c r="AB27" s="820">
        <f t="shared" si="35"/>
        <v>104</v>
      </c>
      <c r="AC27" s="821">
        <f>if(or(Z8="",Z13="",Z18="",Z23=""),"",4-AC26)</f>
        <v>4</v>
      </c>
      <c r="AD27" s="462"/>
      <c r="AE27" s="817" t="s">
        <v>97</v>
      </c>
      <c r="AF27" s="818">
        <v>3.5</v>
      </c>
    </row>
    <row r="28" ht="21.0" customHeight="1">
      <c r="A28" s="822" t="s">
        <v>98</v>
      </c>
      <c r="B28" s="823" t="s">
        <v>99</v>
      </c>
      <c r="C28" s="824">
        <f>if(or(C26="",C27=""),"",C26-C27)</f>
        <v>-2</v>
      </c>
      <c r="D28" s="824">
        <f t="shared" ref="D28:K28" si="36">if(or(D26="",D27=""),"",D26-D27+C28)</f>
        <v>-16</v>
      </c>
      <c r="E28" s="824">
        <f t="shared" si="36"/>
        <v>-20</v>
      </c>
      <c r="F28" s="824">
        <f t="shared" si="36"/>
        <v>-4</v>
      </c>
      <c r="G28" s="824">
        <f t="shared" si="36"/>
        <v>-16</v>
      </c>
      <c r="H28" s="824">
        <f t="shared" si="36"/>
        <v>-20</v>
      </c>
      <c r="I28" s="824">
        <f t="shared" si="36"/>
        <v>-20</v>
      </c>
      <c r="J28" s="824">
        <f t="shared" si="36"/>
        <v>-18</v>
      </c>
      <c r="K28" s="825">
        <f t="shared" si="36"/>
        <v>-28</v>
      </c>
      <c r="L28" s="826">
        <f>if(or(K26="",K27=""),"",L26-L27)</f>
        <v>-28</v>
      </c>
      <c r="M28" s="455"/>
      <c r="N28" s="827" t="s">
        <v>100</v>
      </c>
      <c r="O28" s="810">
        <v>4.0</v>
      </c>
      <c r="P28" s="455"/>
      <c r="Q28" s="805" t="s">
        <v>45</v>
      </c>
      <c r="R28" s="824">
        <f>if(or(R26="",R27=""),"",R26-R27+K28)</f>
        <v>-34</v>
      </c>
      <c r="S28" s="824">
        <f t="shared" ref="S28:Z28" si="37">if(or(S26="",S27=""),"",S26-S27+R28)</f>
        <v>-34</v>
      </c>
      <c r="T28" s="824">
        <f t="shared" si="37"/>
        <v>-46</v>
      </c>
      <c r="U28" s="824">
        <f t="shared" si="37"/>
        <v>-48</v>
      </c>
      <c r="V28" s="824">
        <f t="shared" si="37"/>
        <v>-46</v>
      </c>
      <c r="W28" s="824">
        <f t="shared" si="37"/>
        <v>-50</v>
      </c>
      <c r="X28" s="824">
        <f t="shared" si="37"/>
        <v>-52</v>
      </c>
      <c r="Y28" s="824">
        <f t="shared" si="37"/>
        <v>-50</v>
      </c>
      <c r="Z28" s="825">
        <f t="shared" si="37"/>
        <v>-44</v>
      </c>
      <c r="AA28" s="828">
        <f>if(or(R26="",R27=""),"",AA26-AA27)</f>
        <v>-16</v>
      </c>
      <c r="AB28" s="829">
        <f>if(or(C26="",C27=""),"",Z28)</f>
        <v>-44</v>
      </c>
      <c r="AC28" s="718"/>
      <c r="AD28" s="462"/>
      <c r="AE28" s="827" t="s">
        <v>100</v>
      </c>
      <c r="AF28" s="810">
        <v>4.0</v>
      </c>
    </row>
    <row r="29" ht="14.25" hidden="1" customHeight="1">
      <c r="A29" s="649"/>
      <c r="B29" s="649"/>
      <c r="C29" s="651"/>
      <c r="D29" s="651"/>
      <c r="E29" s="651"/>
      <c r="F29" s="651"/>
      <c r="G29" s="651"/>
      <c r="H29" s="651"/>
      <c r="I29" s="651"/>
      <c r="J29" s="651"/>
      <c r="K29" s="651"/>
      <c r="L29" s="651"/>
      <c r="M29" s="651"/>
      <c r="N29" s="651"/>
      <c r="O29" s="651"/>
      <c r="P29" s="651"/>
      <c r="Q29" s="651"/>
      <c r="R29" s="651"/>
      <c r="S29" s="651"/>
      <c r="T29" s="651"/>
      <c r="U29" s="651"/>
      <c r="V29" s="651"/>
      <c r="W29" s="651"/>
      <c r="X29" s="651"/>
      <c r="Y29" s="651"/>
      <c r="Z29" s="651"/>
      <c r="AA29" s="652"/>
      <c r="AB29" s="652"/>
      <c r="AC29" s="653"/>
      <c r="AD29" s="653"/>
      <c r="AE29" s="653"/>
      <c r="AF29" s="653"/>
    </row>
    <row r="30" ht="14.25" hidden="1" customHeight="1">
      <c r="A30" s="649"/>
      <c r="B30" s="649"/>
      <c r="C30" s="651"/>
      <c r="D30" s="651"/>
      <c r="E30" s="651"/>
      <c r="F30" s="651"/>
      <c r="G30" s="651"/>
      <c r="H30" s="651"/>
      <c r="I30" s="651"/>
      <c r="J30" s="651"/>
      <c r="K30" s="651"/>
      <c r="L30" s="651"/>
      <c r="M30" s="651"/>
      <c r="N30" s="651"/>
      <c r="O30" s="651"/>
      <c r="P30" s="651"/>
      <c r="Q30" s="651"/>
      <c r="R30" s="651"/>
      <c r="S30" s="651"/>
      <c r="T30" s="651"/>
      <c r="U30" s="651"/>
      <c r="V30" s="651"/>
      <c r="W30" s="651"/>
      <c r="X30" s="651"/>
      <c r="Y30" s="651"/>
      <c r="Z30" s="651"/>
      <c r="AA30" s="652" t="s">
        <v>51</v>
      </c>
      <c r="AB30" s="652" t="s">
        <v>68</v>
      </c>
      <c r="AC30" s="653" t="s">
        <v>69</v>
      </c>
      <c r="AD30" s="653"/>
      <c r="AE30" s="653"/>
      <c r="AF30" s="653"/>
    </row>
    <row r="31" ht="14.25" hidden="1" customHeight="1">
      <c r="A31" s="831" t="str">
        <f>A9</f>
        <v>Drivers</v>
      </c>
      <c r="C31" s="651">
        <f t="shared" ref="C31:K31" si="38">if(or(C8="",C13="",C18="",C23=""),"", if(C26&gt;C27,1,if(C26&lt;C27,-1,0)))</f>
        <v>-1</v>
      </c>
      <c r="D31" s="651">
        <f t="shared" si="38"/>
        <v>-1</v>
      </c>
      <c r="E31" s="651">
        <f t="shared" si="38"/>
        <v>-1</v>
      </c>
      <c r="F31" s="651">
        <f t="shared" si="38"/>
        <v>1</v>
      </c>
      <c r="G31" s="651">
        <f t="shared" si="38"/>
        <v>-1</v>
      </c>
      <c r="H31" s="651">
        <f t="shared" si="38"/>
        <v>-1</v>
      </c>
      <c r="I31" s="651">
        <f t="shared" si="38"/>
        <v>0</v>
      </c>
      <c r="J31" s="651">
        <f t="shared" si="38"/>
        <v>1</v>
      </c>
      <c r="K31" s="651">
        <f t="shared" si="38"/>
        <v>-1</v>
      </c>
      <c r="L31" s="651"/>
      <c r="M31" s="651"/>
      <c r="N31" s="651"/>
      <c r="O31" s="651"/>
      <c r="P31" s="651"/>
      <c r="Q31" s="651"/>
      <c r="R31" s="651">
        <f t="shared" ref="R31:Z31" si="39">if(or(R8="",R13="",R18="",R23=""),"", if(R26&gt;R27,1,if(R26&lt;R27,-1,0)))</f>
        <v>-1</v>
      </c>
      <c r="S31" s="651">
        <f t="shared" si="39"/>
        <v>0</v>
      </c>
      <c r="T31" s="651">
        <f t="shared" si="39"/>
        <v>-1</v>
      </c>
      <c r="U31" s="651">
        <f t="shared" si="39"/>
        <v>-1</v>
      </c>
      <c r="V31" s="651">
        <f t="shared" si="39"/>
        <v>1</v>
      </c>
      <c r="W31" s="651">
        <f t="shared" si="39"/>
        <v>-1</v>
      </c>
      <c r="X31" s="651">
        <f t="shared" si="39"/>
        <v>-1</v>
      </c>
      <c r="Y31" s="651">
        <f t="shared" si="39"/>
        <v>1</v>
      </c>
      <c r="Z31" s="651">
        <f t="shared" si="39"/>
        <v>1</v>
      </c>
      <c r="AA31" s="652" t="s">
        <v>71</v>
      </c>
      <c r="AB31" s="652" t="s">
        <v>72</v>
      </c>
      <c r="AC31" s="653" t="s">
        <v>73</v>
      </c>
      <c r="AD31" s="653"/>
      <c r="AE31" s="653"/>
      <c r="AF31" s="653"/>
    </row>
    <row r="32" ht="14.25" hidden="1" customHeight="1">
      <c r="A32" s="832" t="str">
        <f>A8</f>
        <v>KJ</v>
      </c>
      <c r="B32" s="833"/>
      <c r="C32" s="834">
        <f t="shared" ref="C32:K32" si="40">C9+C$34</f>
        <v>2</v>
      </c>
      <c r="D32" s="834">
        <f t="shared" si="40"/>
        <v>0</v>
      </c>
      <c r="E32" s="834">
        <f t="shared" si="40"/>
        <v>0</v>
      </c>
      <c r="F32" s="834">
        <f t="shared" si="40"/>
        <v>4</v>
      </c>
      <c r="G32" s="834">
        <f t="shared" si="40"/>
        <v>12</v>
      </c>
      <c r="H32" s="834">
        <f t="shared" si="40"/>
        <v>4</v>
      </c>
      <c r="I32" s="834">
        <f t="shared" si="40"/>
        <v>0</v>
      </c>
      <c r="J32" s="834">
        <f t="shared" si="40"/>
        <v>0</v>
      </c>
      <c r="K32" s="834">
        <f t="shared" si="40"/>
        <v>0</v>
      </c>
      <c r="L32" s="834"/>
      <c r="M32" s="834"/>
      <c r="N32" s="834"/>
      <c r="O32" s="834"/>
      <c r="P32" s="834"/>
      <c r="Q32" s="834"/>
      <c r="R32" s="834">
        <f t="shared" ref="R32:Z32" si="41">R9+R$34</f>
        <v>2</v>
      </c>
      <c r="S32" s="834">
        <f t="shared" si="41"/>
        <v>4</v>
      </c>
      <c r="T32" s="834">
        <f t="shared" si="41"/>
        <v>0</v>
      </c>
      <c r="U32" s="834">
        <f t="shared" si="41"/>
        <v>0</v>
      </c>
      <c r="V32" s="834">
        <f t="shared" si="41"/>
        <v>4</v>
      </c>
      <c r="W32" s="834">
        <f t="shared" si="41"/>
        <v>4</v>
      </c>
      <c r="X32" s="834">
        <f t="shared" si="41"/>
        <v>0</v>
      </c>
      <c r="Y32" s="834">
        <f t="shared" si="41"/>
        <v>2</v>
      </c>
      <c r="Z32" s="834">
        <f t="shared" si="41"/>
        <v>4</v>
      </c>
      <c r="AA32" s="835">
        <f>if($Z$31="","",sum(C32:Z32)/sum(C32:Z33)*18)</f>
        <v>6.096774194</v>
      </c>
      <c r="AB32" s="835">
        <f t="shared" ref="AB32:AB33" si="44">if($Z$31="","",sum(C32:Z32)/sum($C$32:$Z$33,$C$35:$Z$36)*18)</f>
        <v>2.589041096</v>
      </c>
      <c r="AC32" s="836">
        <f>if($Z$31="","",$AC$26*AB32/(AB32+AB33))</f>
        <v>0</v>
      </c>
      <c r="AD32" s="662"/>
      <c r="AE32" s="662"/>
      <c r="AF32" s="662"/>
    </row>
    <row r="33" ht="14.25" hidden="1" customHeight="1">
      <c r="A33" s="832" t="str">
        <f>A13</f>
        <v>Joe O</v>
      </c>
      <c r="B33" s="833"/>
      <c r="C33" s="834">
        <f t="shared" ref="C33:K33" si="42">C14+C$34</f>
        <v>0</v>
      </c>
      <c r="D33" s="834">
        <f t="shared" si="42"/>
        <v>2</v>
      </c>
      <c r="E33" s="834">
        <f t="shared" si="42"/>
        <v>4</v>
      </c>
      <c r="F33" s="834">
        <f t="shared" si="42"/>
        <v>16</v>
      </c>
      <c r="G33" s="834">
        <f t="shared" si="42"/>
        <v>0</v>
      </c>
      <c r="H33" s="834">
        <f t="shared" si="42"/>
        <v>0</v>
      </c>
      <c r="I33" s="834">
        <f t="shared" si="42"/>
        <v>4</v>
      </c>
      <c r="J33" s="834">
        <f t="shared" si="42"/>
        <v>4</v>
      </c>
      <c r="K33" s="834">
        <f t="shared" si="42"/>
        <v>12</v>
      </c>
      <c r="L33" s="834"/>
      <c r="M33" s="834"/>
      <c r="N33" s="834"/>
      <c r="O33" s="834"/>
      <c r="P33" s="834"/>
      <c r="Q33" s="834"/>
      <c r="R33" s="834">
        <f t="shared" ref="R33:Z33" si="43">R14+R$34</f>
        <v>4</v>
      </c>
      <c r="S33" s="834">
        <f t="shared" si="43"/>
        <v>4</v>
      </c>
      <c r="T33" s="834">
        <f t="shared" si="43"/>
        <v>4</v>
      </c>
      <c r="U33" s="834">
        <f t="shared" si="43"/>
        <v>0</v>
      </c>
      <c r="V33" s="834">
        <f t="shared" si="43"/>
        <v>6</v>
      </c>
      <c r="W33" s="834">
        <f t="shared" si="43"/>
        <v>8</v>
      </c>
      <c r="X33" s="834">
        <f t="shared" si="43"/>
        <v>2</v>
      </c>
      <c r="Y33" s="834">
        <f t="shared" si="43"/>
        <v>4</v>
      </c>
      <c r="Z33" s="834">
        <f t="shared" si="43"/>
        <v>8</v>
      </c>
      <c r="AA33" s="835">
        <f>if($Z$31="","",sum(C33:Z33)/sum(C32:Z33)*18)</f>
        <v>11.90322581</v>
      </c>
      <c r="AB33" s="835">
        <f t="shared" si="44"/>
        <v>5.054794521</v>
      </c>
      <c r="AC33" s="836">
        <f>if($Z$31="","",$AC$26*AB33/(AB32+AB33))</f>
        <v>0</v>
      </c>
      <c r="AD33" s="662"/>
      <c r="AE33" s="662"/>
      <c r="AF33" s="662"/>
    </row>
    <row r="34" ht="14.25" hidden="1" customHeight="1">
      <c r="A34" s="831" t="str">
        <f>A19</f>
        <v>Irons</v>
      </c>
      <c r="C34" s="838">
        <f t="shared" ref="C34:K34" si="45">if(small({C9,C14,C19,C24},1)&lt;0,small({C9,C14,C19,C24},1)*-1,0)</f>
        <v>0</v>
      </c>
      <c r="D34" s="838">
        <f t="shared" si="45"/>
        <v>0</v>
      </c>
      <c r="E34" s="838">
        <f t="shared" si="45"/>
        <v>0</v>
      </c>
      <c r="F34" s="838">
        <f t="shared" si="45"/>
        <v>0</v>
      </c>
      <c r="G34" s="838">
        <f t="shared" si="45"/>
        <v>8</v>
      </c>
      <c r="H34" s="838">
        <f t="shared" si="45"/>
        <v>0</v>
      </c>
      <c r="I34" s="838">
        <f t="shared" si="45"/>
        <v>0</v>
      </c>
      <c r="J34" s="838">
        <f t="shared" si="45"/>
        <v>0</v>
      </c>
      <c r="K34" s="838">
        <f t="shared" si="45"/>
        <v>8</v>
      </c>
      <c r="L34" s="651"/>
      <c r="M34" s="651"/>
      <c r="N34" s="651"/>
      <c r="O34" s="651"/>
      <c r="P34" s="651"/>
      <c r="Q34" s="651"/>
      <c r="R34" s="838">
        <f t="shared" ref="R34:Z34" si="46">if(small({R9,R14,R19,R24},1)&lt;0,small({R9,R14,R19,R24},1)*-1,0)</f>
        <v>0</v>
      </c>
      <c r="S34" s="838">
        <f t="shared" si="46"/>
        <v>0</v>
      </c>
      <c r="T34" s="838">
        <f t="shared" si="46"/>
        <v>4</v>
      </c>
      <c r="U34" s="838">
        <f t="shared" si="46"/>
        <v>0</v>
      </c>
      <c r="V34" s="838">
        <f t="shared" si="46"/>
        <v>4</v>
      </c>
      <c r="W34" s="838">
        <f t="shared" si="46"/>
        <v>8</v>
      </c>
      <c r="X34" s="838">
        <f t="shared" si="46"/>
        <v>0</v>
      </c>
      <c r="Y34" s="838">
        <f t="shared" si="46"/>
        <v>0</v>
      </c>
      <c r="Z34" s="838">
        <f t="shared" si="46"/>
        <v>0</v>
      </c>
      <c r="AA34" s="651"/>
      <c r="AB34" s="651"/>
      <c r="AC34" s="651"/>
      <c r="AD34" s="651"/>
      <c r="AE34" s="651"/>
      <c r="AF34" s="651"/>
    </row>
    <row r="35" ht="14.25" hidden="1" customHeight="1">
      <c r="A35" s="832" t="str">
        <f>A18</f>
        <v>CuzNick</v>
      </c>
      <c r="B35" s="833"/>
      <c r="C35" s="834">
        <f t="shared" ref="C35:K35" si="47">C19+C$34</f>
        <v>0</v>
      </c>
      <c r="D35" s="834">
        <f t="shared" si="47"/>
        <v>8</v>
      </c>
      <c r="E35" s="834">
        <f t="shared" si="47"/>
        <v>4</v>
      </c>
      <c r="F35" s="834">
        <f t="shared" si="47"/>
        <v>0</v>
      </c>
      <c r="G35" s="834">
        <f t="shared" si="47"/>
        <v>8</v>
      </c>
      <c r="H35" s="834">
        <f t="shared" si="47"/>
        <v>4</v>
      </c>
      <c r="I35" s="834">
        <f t="shared" si="47"/>
        <v>2</v>
      </c>
      <c r="J35" s="834">
        <f t="shared" si="47"/>
        <v>0</v>
      </c>
      <c r="K35" s="834">
        <f t="shared" si="47"/>
        <v>10</v>
      </c>
      <c r="L35" s="834"/>
      <c r="M35" s="834"/>
      <c r="N35" s="834"/>
      <c r="O35" s="834"/>
      <c r="P35" s="834"/>
      <c r="Q35" s="834"/>
      <c r="R35" s="834">
        <f t="shared" ref="R35:Z35" si="48">R19+R$34</f>
        <v>8</v>
      </c>
      <c r="S35" s="834">
        <f t="shared" si="48"/>
        <v>0</v>
      </c>
      <c r="T35" s="834">
        <f t="shared" si="48"/>
        <v>8</v>
      </c>
      <c r="U35" s="834">
        <f t="shared" si="48"/>
        <v>0</v>
      </c>
      <c r="V35" s="834">
        <f t="shared" si="48"/>
        <v>8</v>
      </c>
      <c r="W35" s="834">
        <f t="shared" si="48"/>
        <v>0</v>
      </c>
      <c r="X35" s="834">
        <f t="shared" si="48"/>
        <v>0</v>
      </c>
      <c r="Y35" s="834">
        <f t="shared" si="48"/>
        <v>2</v>
      </c>
      <c r="Z35" s="834">
        <f t="shared" si="48"/>
        <v>4</v>
      </c>
      <c r="AA35" s="835">
        <f>if($Z$31="","",sum(C35:Z35)/sum(C35:Z36)*18)</f>
        <v>7.071428571</v>
      </c>
      <c r="AB35" s="835">
        <f t="shared" ref="AB35:AB36" si="51">if($Z$31="","",sum(C35:Z35)/sum($C$32:$Z$33,$C$35:$Z$36)*18)</f>
        <v>4.068493151</v>
      </c>
      <c r="AC35" s="836">
        <f>if($Z$31="","",$AC$27*AB35/(AB35+AB36))</f>
        <v>1.571428571</v>
      </c>
      <c r="AD35" s="662"/>
      <c r="AE35" s="662"/>
      <c r="AF35" s="662"/>
    </row>
    <row r="36" ht="14.25" hidden="1" customHeight="1">
      <c r="A36" s="832" t="str">
        <f>A23</f>
        <v>DK</v>
      </c>
      <c r="B36" s="833"/>
      <c r="C36" s="834">
        <f t="shared" ref="C36:K36" si="49">C24+C$34</f>
        <v>4</v>
      </c>
      <c r="D36" s="834">
        <f t="shared" si="49"/>
        <v>8</v>
      </c>
      <c r="E36" s="834">
        <f t="shared" si="49"/>
        <v>4</v>
      </c>
      <c r="F36" s="834">
        <f t="shared" si="49"/>
        <v>4</v>
      </c>
      <c r="G36" s="834">
        <f t="shared" si="49"/>
        <v>16</v>
      </c>
      <c r="H36" s="834">
        <f t="shared" si="49"/>
        <v>4</v>
      </c>
      <c r="I36" s="834">
        <f t="shared" si="49"/>
        <v>2</v>
      </c>
      <c r="J36" s="834">
        <f t="shared" si="49"/>
        <v>2</v>
      </c>
      <c r="K36" s="834">
        <f t="shared" si="49"/>
        <v>12</v>
      </c>
      <c r="L36" s="834"/>
      <c r="M36" s="834"/>
      <c r="N36" s="834"/>
      <c r="O36" s="834"/>
      <c r="P36" s="834"/>
      <c r="Q36" s="834"/>
      <c r="R36" s="834">
        <f t="shared" ref="R36:Z36" si="50">R24+R$34</f>
        <v>4</v>
      </c>
      <c r="S36" s="834">
        <f t="shared" si="50"/>
        <v>8</v>
      </c>
      <c r="T36" s="834">
        <f t="shared" si="50"/>
        <v>8</v>
      </c>
      <c r="U36" s="834">
        <f t="shared" si="50"/>
        <v>2</v>
      </c>
      <c r="V36" s="834">
        <f t="shared" si="50"/>
        <v>0</v>
      </c>
      <c r="W36" s="834">
        <f t="shared" si="50"/>
        <v>16</v>
      </c>
      <c r="X36" s="834">
        <f t="shared" si="50"/>
        <v>4</v>
      </c>
      <c r="Y36" s="834">
        <f t="shared" si="50"/>
        <v>2</v>
      </c>
      <c r="Z36" s="834">
        <f t="shared" si="50"/>
        <v>2</v>
      </c>
      <c r="AA36" s="835">
        <f>if($Z$31="","",sum(C36:Z36)/sum(C35:Z36)*18)</f>
        <v>10.92857143</v>
      </c>
      <c r="AB36" s="835">
        <f t="shared" si="51"/>
        <v>6.287671233</v>
      </c>
      <c r="AC36" s="836">
        <f>if($Z$31="","",$AC$27*AB36/(AB35+AB36))</f>
        <v>2.428571429</v>
      </c>
      <c r="AD36" s="662"/>
      <c r="AE36" s="662"/>
      <c r="AF36" s="662"/>
    </row>
  </sheetData>
  <mergeCells count="3">
    <mergeCell ref="B2:B4"/>
    <mergeCell ref="N5:N6"/>
    <mergeCell ref="AE5:AE6"/>
  </mergeCells>
  <conditionalFormatting sqref="L26 AA26:AC26">
    <cfRule type="notContainsBlanks" dxfId="20" priority="1">
      <formula>LEN(TRIM(L26))&gt;0</formula>
    </cfRule>
  </conditionalFormatting>
  <conditionalFormatting sqref="AB19 AB24 L27 AA27:AC27">
    <cfRule type="notContainsBlanks" dxfId="15" priority="2">
      <formula>LEN(TRIM(AB19))&gt;0</formula>
    </cfRule>
  </conditionalFormatting>
  <conditionalFormatting sqref="AB9 AB14">
    <cfRule type="notContainsBlanks" dxfId="16" priority="3">
      <formula>LEN(TRIM(AB9))&gt;0</formula>
    </cfRule>
  </conditionalFormatting>
  <conditionalFormatting sqref="R19">
    <cfRule type="expression" dxfId="17" priority="4">
      <formula>and(R$18&lt;&gt;"",R$18-R$17&lt;R$3,or(and(K$18&lt;&gt;"",K$18-K$17&lt;K$3),and(K$23&lt;&gt;"",K$23-K$22&lt;K$3)))</formula>
    </cfRule>
  </conditionalFormatting>
  <conditionalFormatting sqref="R24">
    <cfRule type="expression" dxfId="17" priority="5">
      <formula>and(R$23&lt;&gt;"",R$23-R$22&lt;R$3,or(and(K$18&lt;&gt;"",K$18-K$17&lt;K$3),and(K$23&lt;&gt;"",K$23-K$22&lt;K$3)))</formula>
    </cfRule>
  </conditionalFormatting>
  <conditionalFormatting sqref="R19 R24">
    <cfRule type="expression" dxfId="18" priority="6">
      <formula>or(and(K$18&lt;&gt;"",K$18-K$17&lt;K$3),and(K$23&lt;&gt;"",K$23-K$22&lt;K$3))</formula>
    </cfRule>
  </conditionalFormatting>
  <conditionalFormatting sqref="R9">
    <cfRule type="expression" dxfId="19" priority="7">
      <formula>and(R$8&lt;&gt;"",R$8-R$7&lt;R$3,or(and(K$8&lt;&gt;"",K$8-K$7&lt;K$3),and(K$13&lt;&gt;"",K$13-K$12&lt;K$3)))</formula>
    </cfRule>
  </conditionalFormatting>
  <conditionalFormatting sqref="R14">
    <cfRule type="expression" dxfId="19" priority="8">
      <formula>and(R$13&lt;&gt;"",R$13-R$12&lt;R$3,or(and(K$8&lt;&gt;"",K$8-K$7&lt;K$3),and(K$13&lt;&gt;"",K$13-K$12&lt;K$3)))</formula>
    </cfRule>
  </conditionalFormatting>
  <conditionalFormatting sqref="R9 R14">
    <cfRule type="expression" dxfId="18" priority="9">
      <formula>or(and(K$8&lt;&gt;"",K$8-K$7&lt;K$3),and(K$13&lt;&gt;"",K$13-K$12&lt;K$3))</formula>
    </cfRule>
  </conditionalFormatting>
  <conditionalFormatting sqref="D19:K19 S19:Z19">
    <cfRule type="expression" dxfId="17" priority="10">
      <formula>and(D18&lt;&gt;"",D18-D17&lt;D$3,or(and(C$18&lt;&gt;"",C$18-C$17&lt;C$3),and(C$23&lt;&gt;"",C$23-C$22&lt;C$3)))</formula>
    </cfRule>
  </conditionalFormatting>
  <conditionalFormatting sqref="D24:K24 S24:Z24">
    <cfRule type="expression" dxfId="17" priority="11">
      <formula>and(D$23&lt;&gt;"",D$23-D$22&lt;D$3,or(and(C$18&lt;&gt;"",C$18-C$17&lt;C$3),and(C$23&lt;&gt;"",C$23-C$22&lt;C$3)))</formula>
    </cfRule>
  </conditionalFormatting>
  <conditionalFormatting sqref="C18:K18 R18:Z18 C23:K23 R23:Z23">
    <cfRule type="expression" dxfId="15" priority="12">
      <formula>and(C18&lt;&gt;"",C18-C17&lt;C$3)</formula>
    </cfRule>
  </conditionalFormatting>
  <conditionalFormatting sqref="C19:K19 R19:Z19 C24:K24 R24:Z24">
    <cfRule type="expression" dxfId="15" priority="13">
      <formula>and(C18&lt;&gt;"",C18-C17&lt;C$3)</formula>
    </cfRule>
  </conditionalFormatting>
  <conditionalFormatting sqref="D19:K19 S19:Z19 D24:K24 S24:Z24">
    <cfRule type="expression" dxfId="18" priority="14">
      <formula>or(and(C$18&lt;&gt;"",C$18-C$17&lt;C$3),and(C$23&lt;&gt;"",C$23-C$22&lt;C$3))</formula>
    </cfRule>
  </conditionalFormatting>
  <conditionalFormatting sqref="D9:K9 S9:Z9">
    <cfRule type="expression" dxfId="19" priority="15">
      <formula>and(D$8&lt;&gt;"",D$8-D$7&lt;D$3,or(and(C$8&lt;&gt;"",C$8-C$7&lt;C$3),and(C$13&lt;&gt;"",C$13-C$12&lt;C$3)))</formula>
    </cfRule>
  </conditionalFormatting>
  <conditionalFormatting sqref="D14:K14 S14:Z14">
    <cfRule type="expression" dxfId="19" priority="16">
      <formula>and(D$13&lt;&gt;"",D$13-D$12&lt;D$3,or(and(C$8&lt;&gt;"",C$8-C$7&lt;C$3),and(C$13&lt;&gt;"",C$13-C$12&lt;C$3)))</formula>
    </cfRule>
  </conditionalFormatting>
  <conditionalFormatting sqref="C8:K8 R8:Z8 C13:K13 R13:Z13">
    <cfRule type="expression" dxfId="16" priority="17">
      <formula>and(C8&lt;&gt;"",C8-C7&lt;C$3)</formula>
    </cfRule>
  </conditionalFormatting>
  <conditionalFormatting sqref="C9:K9 R9:Z9 C14:K14 R14:Z14">
    <cfRule type="expression" dxfId="16" priority="18">
      <formula>and(C8&lt;&gt;"",C8-C7&lt;C$3)</formula>
    </cfRule>
  </conditionalFormatting>
  <conditionalFormatting sqref="D9:K9 S9:Z9 D14:K14 S14:Z14">
    <cfRule type="expression" dxfId="18" priority="19">
      <formula>or(and(C$8&lt;&gt;"",C$8-C$7&lt;C$3),and(C$13&lt;&gt;"",C$13-C$12&lt;C$3))</formula>
    </cfRule>
  </conditionalFormatting>
  <printOptions horizontalCentered="1"/>
  <pageMargins bottom="0.5" footer="0.0" header="0.0" left="0.55"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9" width="6.57"/>
    <col customWidth="1" min="30" max="30" width="2.43"/>
    <col customWidth="1" min="31" max="32" width="5.0"/>
  </cols>
  <sheetData>
    <row r="1" ht="13.5" customHeight="1">
      <c r="A1" s="663" t="s">
        <v>75</v>
      </c>
      <c r="B1" s="664">
        <f>'Master Input'!I4</f>
        <v>0.1</v>
      </c>
      <c r="C1" s="665" t="str">
        <f>'Master Input'!$I$2</f>
        <v>Round 3</v>
      </c>
      <c r="D1" s="666"/>
      <c r="E1" s="665" t="str">
        <f>'Master Input'!$I$6</f>
        <v>Ravines GC - White</v>
      </c>
      <c r="F1" s="667"/>
      <c r="G1" s="667"/>
      <c r="H1" s="667"/>
      <c r="I1" s="667"/>
      <c r="J1" s="667"/>
      <c r="K1" s="667"/>
      <c r="L1" s="668"/>
      <c r="M1" s="669"/>
      <c r="N1" s="670"/>
      <c r="O1" s="670"/>
      <c r="P1" s="669"/>
      <c r="Q1" s="671" t="str">
        <f>'Master Input'!$I$2</f>
        <v>Round 3</v>
      </c>
      <c r="R1" s="666"/>
      <c r="S1" s="665" t="str">
        <f>'Master Input'!$I$6</f>
        <v>Ravines GC - White</v>
      </c>
      <c r="T1" s="667"/>
      <c r="U1" s="667"/>
      <c r="V1" s="667"/>
      <c r="W1" s="667"/>
      <c r="X1" s="667"/>
      <c r="Y1" s="667"/>
      <c r="Z1" s="667"/>
      <c r="AA1" s="667"/>
      <c r="AB1" s="667"/>
      <c r="AC1" s="668"/>
      <c r="AD1" s="672"/>
      <c r="AE1" s="672"/>
      <c r="AF1" s="672"/>
    </row>
    <row r="2" ht="13.5" customHeight="1">
      <c r="A2" s="673" t="s">
        <v>55</v>
      </c>
      <c r="B2" s="674" t="str">
        <f>'Match Selection'!B14</f>
        <v>2-Man Tilt</v>
      </c>
      <c r="C2" s="675">
        <f>vlookup($E1, 'Course List'!$A$3:$AS$14,5+C4, false)</f>
        <v>9</v>
      </c>
      <c r="D2" s="676">
        <f>vlookup($E1, 'Course List'!$A$3:$AS$14,5+D4, false)</f>
        <v>15</v>
      </c>
      <c r="E2" s="676">
        <f>vlookup($E1, 'Course List'!$A$3:$AS$14,5+E4, false)</f>
        <v>13</v>
      </c>
      <c r="F2" s="676">
        <f>vlookup($E1, 'Course List'!$A$3:$AS$14,5+F4, false)</f>
        <v>1</v>
      </c>
      <c r="G2" s="676">
        <f>vlookup($E1, 'Course List'!$A$3:$AS$14,5+G4, false)</f>
        <v>3</v>
      </c>
      <c r="H2" s="676">
        <f>vlookup($E1, 'Course List'!$A$3:$AS$14,5+H4, false)</f>
        <v>5</v>
      </c>
      <c r="I2" s="676">
        <f>vlookup($E1, 'Course List'!$A$3:$AS$14,5+I4, false)</f>
        <v>17</v>
      </c>
      <c r="J2" s="676">
        <f>vlookup($E1, 'Course List'!$A$3:$AS$14,5+J4, false)</f>
        <v>11</v>
      </c>
      <c r="K2" s="677">
        <f>vlookup($E1, 'Course List'!$A$3:$AS$14,5+K4, false)</f>
        <v>7</v>
      </c>
      <c r="L2" s="678"/>
      <c r="M2" s="679"/>
      <c r="N2" s="680"/>
      <c r="O2" s="680"/>
      <c r="P2" s="679"/>
      <c r="Q2" s="673" t="s">
        <v>55</v>
      </c>
      <c r="R2" s="676">
        <f>vlookup($E1, 'Course List'!$A$3:$AS$14,5+R4, false)</f>
        <v>4</v>
      </c>
      <c r="S2" s="676">
        <f>vlookup($E1, 'Course List'!$A$3:$AS$14,5+S4, false)</f>
        <v>10</v>
      </c>
      <c r="T2" s="676">
        <f>vlookup($E1, 'Course List'!$A$3:$AS$14,5+T4, false)</f>
        <v>16</v>
      </c>
      <c r="U2" s="676">
        <f>vlookup($E1, 'Course List'!$A$3:$AS$14,5+U4, false)</f>
        <v>14</v>
      </c>
      <c r="V2" s="676">
        <f>vlookup($E1, 'Course List'!$A$3:$AS$14,5+V4, false)</f>
        <v>2</v>
      </c>
      <c r="W2" s="676">
        <f>vlookup($E1, 'Course List'!$A$3:$AS$14,5+W4, false)</f>
        <v>8</v>
      </c>
      <c r="X2" s="676">
        <f>vlookup($E1, 'Course List'!$A$3:$AS$14,5+X4, false)</f>
        <v>18</v>
      </c>
      <c r="Y2" s="676">
        <f>vlookup($E1, 'Course List'!$A$3:$AS$14,5+Y4, false)</f>
        <v>12</v>
      </c>
      <c r="Z2" s="677">
        <f>vlookup($E1, 'Course List'!$A$3:$AS$14,5+Z4, false)</f>
        <v>6</v>
      </c>
      <c r="AA2" s="681"/>
      <c r="AB2" s="682"/>
      <c r="AC2" s="683"/>
      <c r="AD2" s="648"/>
      <c r="AE2" s="648"/>
      <c r="AF2" s="648"/>
    </row>
    <row r="3" ht="13.5" customHeight="1">
      <c r="A3" s="684" t="s">
        <v>56</v>
      </c>
      <c r="B3" s="685"/>
      <c r="C3" s="686">
        <f>vlookup($E1, 'Course List'!$A$3:$AS$14,27+C4, false)</f>
        <v>4</v>
      </c>
      <c r="D3" s="687">
        <f>vlookup($E1, 'Course List'!$A$3:$AS$14,27+D4, false)</f>
        <v>4</v>
      </c>
      <c r="E3" s="687">
        <f>vlookup($E1, 'Course List'!$A$3:$AS$14,27+E4, false)</f>
        <v>3</v>
      </c>
      <c r="F3" s="687">
        <f>vlookup($E1, 'Course List'!$A$3:$AS$14,27+F4, false)</f>
        <v>5</v>
      </c>
      <c r="G3" s="687">
        <f>vlookup($E1, 'Course List'!$A$3:$AS$14,27+G4, false)</f>
        <v>4</v>
      </c>
      <c r="H3" s="687">
        <f>vlookup($E1, 'Course List'!$A$3:$AS$14,27+H4, false)</f>
        <v>4</v>
      </c>
      <c r="I3" s="687">
        <f>vlookup($E1, 'Course List'!$A$3:$AS$14,27+I4, false)</f>
        <v>4</v>
      </c>
      <c r="J3" s="687">
        <f>vlookup($E1, 'Course List'!$A$3:$AS$14,27+J4, false)</f>
        <v>3</v>
      </c>
      <c r="K3" s="688">
        <f>vlookup($E1, 'Course List'!$A$3:$AS$14,27+K4, false)</f>
        <v>5</v>
      </c>
      <c r="L3" s="689">
        <f>SUM(C3:K3)</f>
        <v>36</v>
      </c>
      <c r="M3" s="679"/>
      <c r="N3" s="680"/>
      <c r="O3" s="680"/>
      <c r="P3" s="679"/>
      <c r="Q3" s="684" t="s">
        <v>56</v>
      </c>
      <c r="R3" s="687">
        <f>vlookup($E1, 'Course List'!$A$3:$AS$14,27+R4, false)</f>
        <v>4</v>
      </c>
      <c r="S3" s="687">
        <f>vlookup($E1, 'Course List'!$A$3:$AS$14,27+S4, false)</f>
        <v>4</v>
      </c>
      <c r="T3" s="687">
        <f>vlookup($E1, 'Course List'!$A$3:$AS$14,27+T4, false)</f>
        <v>3</v>
      </c>
      <c r="U3" s="687">
        <f>vlookup($E1, 'Course List'!$A$3:$AS$14,27+U4, false)</f>
        <v>4</v>
      </c>
      <c r="V3" s="687">
        <f>vlookup($E1, 'Course List'!$A$3:$AS$14,27+V4, false)</f>
        <v>5</v>
      </c>
      <c r="W3" s="687">
        <f>vlookup($E1, 'Course List'!$A$3:$AS$14,27+W4, false)</f>
        <v>4</v>
      </c>
      <c r="X3" s="687">
        <f>vlookup($E1, 'Course List'!$A$3:$AS$14,27+X4, false)</f>
        <v>4</v>
      </c>
      <c r="Y3" s="687">
        <f>vlookup($E1, 'Course List'!$A$3:$AS$14,27+Y4, false)</f>
        <v>3</v>
      </c>
      <c r="Z3" s="688">
        <f>vlookup($E1, 'Course List'!$A$3:$AS$14,27+Z4, false)</f>
        <v>5</v>
      </c>
      <c r="AA3" s="686">
        <f>SUM(R3:Z3)</f>
        <v>36</v>
      </c>
      <c r="AB3" s="687">
        <f>L3+AA3</f>
        <v>72</v>
      </c>
      <c r="AC3" s="690"/>
      <c r="AD3" s="648"/>
      <c r="AE3" s="648"/>
      <c r="AF3" s="648"/>
    </row>
    <row r="4" ht="13.5" customHeight="1">
      <c r="A4" s="691" t="s">
        <v>10</v>
      </c>
      <c r="B4" s="692"/>
      <c r="C4" s="693">
        <v>1.0</v>
      </c>
      <c r="D4" s="330">
        <v>2.0</v>
      </c>
      <c r="E4" s="330">
        <v>3.0</v>
      </c>
      <c r="F4" s="330">
        <v>4.0</v>
      </c>
      <c r="G4" s="330">
        <v>5.0</v>
      </c>
      <c r="H4" s="330">
        <v>6.0</v>
      </c>
      <c r="I4" s="330">
        <v>7.0</v>
      </c>
      <c r="J4" s="330">
        <v>8.0</v>
      </c>
      <c r="K4" s="694">
        <v>9.0</v>
      </c>
      <c r="L4" s="695" t="s">
        <v>60</v>
      </c>
      <c r="M4" s="313"/>
      <c r="N4" s="648"/>
      <c r="O4" s="648"/>
      <c r="P4" s="313"/>
      <c r="Q4" s="691" t="s">
        <v>10</v>
      </c>
      <c r="R4" s="330">
        <v>10.0</v>
      </c>
      <c r="S4" s="330">
        <v>11.0</v>
      </c>
      <c r="T4" s="330">
        <v>12.0</v>
      </c>
      <c r="U4" s="330">
        <v>13.0</v>
      </c>
      <c r="V4" s="330">
        <v>14.0</v>
      </c>
      <c r="W4" s="330">
        <v>15.0</v>
      </c>
      <c r="X4" s="330">
        <v>16.0</v>
      </c>
      <c r="Y4" s="330">
        <v>17.0</v>
      </c>
      <c r="Z4" s="694">
        <v>18.0</v>
      </c>
      <c r="AA4" s="696" t="s">
        <v>61</v>
      </c>
      <c r="AB4" s="697" t="s">
        <v>83</v>
      </c>
      <c r="AC4" s="698" t="s">
        <v>84</v>
      </c>
      <c r="AD4" s="462"/>
      <c r="AE4" s="699"/>
      <c r="AF4" s="648"/>
    </row>
    <row r="5" ht="3.75" customHeight="1">
      <c r="A5" s="700"/>
      <c r="B5" s="700"/>
      <c r="C5" s="701"/>
      <c r="D5" s="701"/>
      <c r="E5" s="701"/>
      <c r="F5" s="701"/>
      <c r="G5" s="701"/>
      <c r="H5" s="701"/>
      <c r="I5" s="701"/>
      <c r="J5" s="701"/>
      <c r="K5" s="701"/>
      <c r="L5" s="340"/>
      <c r="M5" s="341"/>
      <c r="N5" s="702" t="s">
        <v>85</v>
      </c>
      <c r="O5" s="455"/>
      <c r="P5" s="341"/>
      <c r="Q5" s="703"/>
      <c r="R5" s="701"/>
      <c r="S5" s="701"/>
      <c r="T5" s="701"/>
      <c r="U5" s="701"/>
      <c r="V5" s="701"/>
      <c r="W5" s="701"/>
      <c r="X5" s="701"/>
      <c r="Y5" s="701"/>
      <c r="Z5" s="701"/>
      <c r="AA5" s="336"/>
      <c r="AB5" s="342"/>
      <c r="AC5" s="342"/>
      <c r="AD5" s="462"/>
      <c r="AE5" s="702" t="s">
        <v>85</v>
      </c>
      <c r="AF5" s="704"/>
    </row>
    <row r="6" ht="7.5" customHeight="1">
      <c r="A6" s="705"/>
      <c r="B6" s="706"/>
      <c r="C6" s="707" t="str">
        <f t="shared" ref="C6:K6" si="1">if(C7=1,"O", if(C7=2,"O   O",""))</f>
        <v/>
      </c>
      <c r="D6" s="708" t="str">
        <f t="shared" si="1"/>
        <v/>
      </c>
      <c r="E6" s="708" t="str">
        <f t="shared" si="1"/>
        <v/>
      </c>
      <c r="F6" s="708" t="str">
        <f t="shared" si="1"/>
        <v>O</v>
      </c>
      <c r="G6" s="708" t="str">
        <f t="shared" si="1"/>
        <v/>
      </c>
      <c r="H6" s="708" t="str">
        <f t="shared" si="1"/>
        <v/>
      </c>
      <c r="I6" s="708" t="str">
        <f t="shared" si="1"/>
        <v/>
      </c>
      <c r="J6" s="708" t="str">
        <f t="shared" si="1"/>
        <v/>
      </c>
      <c r="K6" s="709" t="str">
        <f t="shared" si="1"/>
        <v/>
      </c>
      <c r="L6" s="710"/>
      <c r="M6" s="711"/>
      <c r="O6" s="712"/>
      <c r="P6" s="713"/>
      <c r="Q6" s="714"/>
      <c r="R6" s="707" t="str">
        <f t="shared" ref="R6:Z6" si="2">if(R7=1,"O", if(R7=2,"O   O",""))</f>
        <v/>
      </c>
      <c r="S6" s="708" t="str">
        <f t="shared" si="2"/>
        <v/>
      </c>
      <c r="T6" s="708" t="str">
        <f t="shared" si="2"/>
        <v/>
      </c>
      <c r="U6" s="708" t="str">
        <f t="shared" si="2"/>
        <v/>
      </c>
      <c r="V6" s="708" t="str">
        <f t="shared" si="2"/>
        <v>O</v>
      </c>
      <c r="W6" s="708" t="str">
        <f t="shared" si="2"/>
        <v/>
      </c>
      <c r="X6" s="708" t="str">
        <f t="shared" si="2"/>
        <v/>
      </c>
      <c r="Y6" s="708" t="str">
        <f t="shared" si="2"/>
        <v/>
      </c>
      <c r="Z6" s="709" t="str">
        <f t="shared" si="2"/>
        <v/>
      </c>
      <c r="AA6" s="715"/>
      <c r="AB6" s="716"/>
      <c r="AC6" s="717"/>
      <c r="AD6" s="462"/>
      <c r="AF6" s="718"/>
    </row>
    <row r="7" ht="22.5" hidden="1" customHeight="1">
      <c r="A7" s="719"/>
      <c r="B7" s="720"/>
      <c r="C7" s="721">
        <f t="shared" ref="C7:K7" si="3">IF($B8&gt;0,FLOOR($B8/18,1),0)+IF(AND(MOD($B8,18)&gt;=C$2,$B8&gt;0),1,0)-IF(C$2-18&gt;$B8,1,0)</f>
        <v>0</v>
      </c>
      <c r="D7" s="721">
        <f t="shared" si="3"/>
        <v>0</v>
      </c>
      <c r="E7" s="721">
        <f t="shared" si="3"/>
        <v>0</v>
      </c>
      <c r="F7" s="721">
        <f t="shared" si="3"/>
        <v>1</v>
      </c>
      <c r="G7" s="721">
        <f t="shared" si="3"/>
        <v>0</v>
      </c>
      <c r="H7" s="721">
        <f t="shared" si="3"/>
        <v>0</v>
      </c>
      <c r="I7" s="721">
        <f t="shared" si="3"/>
        <v>0</v>
      </c>
      <c r="J7" s="721">
        <f t="shared" si="3"/>
        <v>0</v>
      </c>
      <c r="K7" s="721">
        <f t="shared" si="3"/>
        <v>0</v>
      </c>
      <c r="L7" s="722"/>
      <c r="M7" s="722"/>
      <c r="N7" s="722"/>
      <c r="O7" s="722"/>
      <c r="P7" s="455"/>
      <c r="Q7" s="723"/>
      <c r="R7" s="721">
        <f t="shared" ref="R7:Z7" si="4">IF($B8&gt;0,FLOOR($B8/18,1),0)+IF(AND(MOD($B8,18)&gt;=R$2,$B8&gt;0),1,0)-IF(R$2-18&gt;$B8,1,0)</f>
        <v>0</v>
      </c>
      <c r="S7" s="721">
        <f t="shared" si="4"/>
        <v>0</v>
      </c>
      <c r="T7" s="721">
        <f t="shared" si="4"/>
        <v>0</v>
      </c>
      <c r="U7" s="721">
        <f t="shared" si="4"/>
        <v>0</v>
      </c>
      <c r="V7" s="721">
        <f t="shared" si="4"/>
        <v>1</v>
      </c>
      <c r="W7" s="721">
        <f t="shared" si="4"/>
        <v>0</v>
      </c>
      <c r="X7" s="721">
        <f t="shared" si="4"/>
        <v>0</v>
      </c>
      <c r="Y7" s="721">
        <f t="shared" si="4"/>
        <v>0</v>
      </c>
      <c r="Z7" s="721">
        <f t="shared" si="4"/>
        <v>0</v>
      </c>
      <c r="AA7" s="455"/>
      <c r="AB7" s="455"/>
      <c r="AC7" s="724"/>
      <c r="AD7" s="722"/>
      <c r="AE7" s="722"/>
      <c r="AF7" s="722"/>
    </row>
    <row r="8" ht="18.75" customHeight="1">
      <c r="A8" s="725" t="str">
        <f>'Match Selection'!P14</f>
        <v>Telly</v>
      </c>
      <c r="B8" s="726">
        <f>if(A8="","", vlookup(A8,'Master Input'!$A$11:$L$27,'Master Input'!$J$28, false))</f>
        <v>2</v>
      </c>
      <c r="C8" s="727">
        <v>5.0</v>
      </c>
      <c r="D8" s="728">
        <v>5.0</v>
      </c>
      <c r="E8" s="728">
        <v>3.0</v>
      </c>
      <c r="F8" s="728">
        <v>6.0</v>
      </c>
      <c r="G8" s="728">
        <v>5.0</v>
      </c>
      <c r="H8" s="728">
        <v>5.0</v>
      </c>
      <c r="I8" s="728">
        <v>4.0</v>
      </c>
      <c r="J8" s="728">
        <v>4.0</v>
      </c>
      <c r="K8" s="729">
        <v>5.0</v>
      </c>
      <c r="L8" s="730">
        <f>if(K8="","", sum(C8:K8))</f>
        <v>42</v>
      </c>
      <c r="M8" s="648"/>
      <c r="N8" s="731">
        <f>'R3_G1'!$N$8</f>
        <v>12</v>
      </c>
      <c r="O8" s="732" t="s">
        <v>87</v>
      </c>
      <c r="P8" s="455"/>
      <c r="Q8" s="733" t="str">
        <f>A8</f>
        <v>Telly</v>
      </c>
      <c r="R8" s="727">
        <v>4.0</v>
      </c>
      <c r="S8" s="728">
        <v>5.0</v>
      </c>
      <c r="T8" s="728">
        <v>3.0</v>
      </c>
      <c r="U8" s="728">
        <v>6.0</v>
      </c>
      <c r="V8" s="728">
        <v>7.0</v>
      </c>
      <c r="W8" s="728">
        <v>4.0</v>
      </c>
      <c r="X8" s="728">
        <v>5.0</v>
      </c>
      <c r="Y8" s="728">
        <v>4.0</v>
      </c>
      <c r="Z8" s="729">
        <v>5.0</v>
      </c>
      <c r="AA8" s="734">
        <f>if(Z8="","", sum(R8:Z8))</f>
        <v>43</v>
      </c>
      <c r="AB8" s="735">
        <f t="shared" ref="AB8:AB9" si="7">if(AA8="", "", sum(L8,AA8))</f>
        <v>85</v>
      </c>
      <c r="AC8" s="736">
        <f>if(Z8="", "", AB8-B8)</f>
        <v>83</v>
      </c>
      <c r="AD8" s="648"/>
      <c r="AE8" s="737">
        <f t="shared" ref="AE8:AE9" si="8">N8</f>
        <v>12</v>
      </c>
      <c r="AF8" s="732" t="s">
        <v>87</v>
      </c>
    </row>
    <row r="9" ht="21.0" customHeight="1">
      <c r="A9" s="738" t="str">
        <f>vlookup(A8, 'Master Input'!$A$11:$B$27,2, false)</f>
        <v>Drivers</v>
      </c>
      <c r="B9" s="739" t="s">
        <v>88</v>
      </c>
      <c r="C9" s="740">
        <f>if(C8="","",
if(C8-C7-C$3=-3,$N$8,
if(C8-C7-C$3=-2,$N$9,
if(C8-C7-C$3=-1,$N$13,
if(C8-C7-C$3=0,$N$14,
if(C8-C7-C$3=1,$N$18,$N$19))))))</f>
        <v>0</v>
      </c>
      <c r="D9" s="741">
        <f t="shared" ref="D9:K9" si="5">if(D8="","",(
if(D8-D7-D$3=-3,$N$8,
if(D8-D7-D$3=-2,$N$9,
if(D8-D7-D$3=-1,$N$13,
if(D8-D7-D$3=0,$N$14,
if(D8-D7-D$3=1,$N$18,$N$19)))))
* if(or(C8-C7-C$3&lt;0,C13-C12-C$3&lt;0),2,1)))</f>
        <v>0</v>
      </c>
      <c r="E9" s="741">
        <f t="shared" si="5"/>
        <v>2</v>
      </c>
      <c r="F9" s="741">
        <f t="shared" si="5"/>
        <v>2</v>
      </c>
      <c r="G9" s="741">
        <f t="shared" si="5"/>
        <v>0</v>
      </c>
      <c r="H9" s="741">
        <f t="shared" si="5"/>
        <v>0</v>
      </c>
      <c r="I9" s="741">
        <f t="shared" si="5"/>
        <v>2</v>
      </c>
      <c r="J9" s="741">
        <f t="shared" si="5"/>
        <v>0</v>
      </c>
      <c r="K9" s="742">
        <f t="shared" si="5"/>
        <v>2</v>
      </c>
      <c r="L9" s="743">
        <f>if(C9="","",sum(C9:K9))</f>
        <v>8</v>
      </c>
      <c r="M9" s="648"/>
      <c r="N9" s="731">
        <f>'R3_G1'!$N$9</f>
        <v>8</v>
      </c>
      <c r="O9" s="744" t="s">
        <v>89</v>
      </c>
      <c r="P9" s="455"/>
      <c r="Q9" s="745" t="s">
        <v>88</v>
      </c>
      <c r="R9" s="740">
        <f>if(R8="","",(
if(R8-R7-R$3=-3,$N$8,
if(R8-R7-R$3=-2,$N$9,
if(R8-R7-R$3=-1,$N$13,
if(R8-R7-R$3=0,$N$14,
if(R8-R7-R$3=1,$N$18,$N$19)))))
* if(or(K8-K7-K$3&lt;0,K13-K12-K$3&lt;0),2,1)))</f>
        <v>4</v>
      </c>
      <c r="S9" s="741">
        <f t="shared" ref="S9:Z9" si="6">if(S8="","",(
if(S8-S7-S$3=-3,$N$8,
if(S8-S7-S$3=-2,$N$9,
if(S8-S7-S$3=-1,$N$13,
if(S8-S7-S$3=0,$N$14,
if(S8-S7-S$3=1,$N$18,$N$19)))))
* if(or(R8-R7-R$3&lt;0,R13-R12-R$3&lt;0),2,1)))</f>
        <v>0</v>
      </c>
      <c r="T9" s="741">
        <f t="shared" si="6"/>
        <v>2</v>
      </c>
      <c r="U9" s="741">
        <f t="shared" si="6"/>
        <v>-4</v>
      </c>
      <c r="V9" s="741">
        <f t="shared" si="6"/>
        <v>0</v>
      </c>
      <c r="W9" s="741">
        <f t="shared" si="6"/>
        <v>2</v>
      </c>
      <c r="X9" s="741">
        <f t="shared" si="6"/>
        <v>0</v>
      </c>
      <c r="Y9" s="741">
        <f t="shared" si="6"/>
        <v>0</v>
      </c>
      <c r="Z9" s="742">
        <f t="shared" si="6"/>
        <v>2</v>
      </c>
      <c r="AA9" s="746">
        <f>if(R9="","",sum(R9:Z9))</f>
        <v>6</v>
      </c>
      <c r="AB9" s="747">
        <f t="shared" si="7"/>
        <v>14</v>
      </c>
      <c r="AC9" s="748"/>
      <c r="AD9" s="648"/>
      <c r="AE9" s="737">
        <f t="shared" si="8"/>
        <v>8</v>
      </c>
      <c r="AF9" s="732" t="s">
        <v>89</v>
      </c>
    </row>
    <row r="10" ht="3.75" customHeight="1">
      <c r="A10" s="749"/>
      <c r="B10" s="455"/>
      <c r="C10" s="722"/>
      <c r="D10" s="722"/>
      <c r="E10" s="722"/>
      <c r="F10" s="722"/>
      <c r="G10" s="722"/>
      <c r="H10" s="722"/>
      <c r="I10" s="722"/>
      <c r="J10" s="722"/>
      <c r="K10" s="722"/>
      <c r="L10" s="722"/>
      <c r="M10" s="648"/>
      <c r="N10" s="750"/>
      <c r="O10" s="751"/>
      <c r="P10" s="722"/>
      <c r="Q10" s="752"/>
      <c r="R10" s="722"/>
      <c r="S10" s="722"/>
      <c r="T10" s="722"/>
      <c r="U10" s="722"/>
      <c r="V10" s="722"/>
      <c r="W10" s="722"/>
      <c r="X10" s="722"/>
      <c r="Y10" s="722"/>
      <c r="Z10" s="722"/>
      <c r="AA10" s="722"/>
      <c r="AB10" s="722"/>
      <c r="AC10" s="722"/>
      <c r="AD10" s="648"/>
      <c r="AE10" s="750"/>
      <c r="AF10" s="751"/>
    </row>
    <row r="11" ht="7.5" customHeight="1">
      <c r="A11" s="753"/>
      <c r="B11" s="706"/>
      <c r="C11" s="707" t="str">
        <f t="shared" ref="C11:K11" si="9">if(C12=1,"O", if(C12=2,"O   O",""))</f>
        <v>O</v>
      </c>
      <c r="D11" s="708" t="str">
        <f t="shared" si="9"/>
        <v/>
      </c>
      <c r="E11" s="708" t="str">
        <f t="shared" si="9"/>
        <v/>
      </c>
      <c r="F11" s="708" t="str">
        <f t="shared" si="9"/>
        <v>O</v>
      </c>
      <c r="G11" s="708" t="str">
        <f t="shared" si="9"/>
        <v>O</v>
      </c>
      <c r="H11" s="708" t="str">
        <f t="shared" si="9"/>
        <v>O</v>
      </c>
      <c r="I11" s="708" t="str">
        <f t="shared" si="9"/>
        <v/>
      </c>
      <c r="J11" s="708" t="str">
        <f t="shared" si="9"/>
        <v/>
      </c>
      <c r="K11" s="709" t="str">
        <f t="shared" si="9"/>
        <v>O</v>
      </c>
      <c r="L11" s="710"/>
      <c r="M11" s="648"/>
      <c r="N11" s="754"/>
      <c r="O11" s="755"/>
      <c r="P11" s="713"/>
      <c r="Q11" s="756"/>
      <c r="R11" s="707" t="str">
        <f t="shared" ref="R11:Z11" si="10">if(R12=1,"O", if(R12=2,"O   O",""))</f>
        <v>O</v>
      </c>
      <c r="S11" s="708" t="str">
        <f t="shared" si="10"/>
        <v>O</v>
      </c>
      <c r="T11" s="708" t="str">
        <f t="shared" si="10"/>
        <v/>
      </c>
      <c r="U11" s="708" t="str">
        <f t="shared" si="10"/>
        <v/>
      </c>
      <c r="V11" s="708" t="str">
        <f t="shared" si="10"/>
        <v>O</v>
      </c>
      <c r="W11" s="708" t="str">
        <f t="shared" si="10"/>
        <v>O</v>
      </c>
      <c r="X11" s="708" t="str">
        <f t="shared" si="10"/>
        <v/>
      </c>
      <c r="Y11" s="708" t="str">
        <f t="shared" si="10"/>
        <v/>
      </c>
      <c r="Z11" s="709" t="str">
        <f t="shared" si="10"/>
        <v>O</v>
      </c>
      <c r="AA11" s="757"/>
      <c r="AB11" s="758"/>
      <c r="AC11" s="759"/>
      <c r="AD11" s="648"/>
      <c r="AE11" s="760"/>
      <c r="AF11" s="761"/>
    </row>
    <row r="12" ht="22.5" hidden="1" customHeight="1">
      <c r="A12" s="762"/>
      <c r="B12" s="720"/>
      <c r="C12" s="721">
        <f t="shared" ref="C12:K12" si="11">IF($B13&gt;0,FLOOR($B13/18,1),0)+IF(AND(MOD($B13,18)&gt;=C$2,$B13&gt;0),1,0)-IF(C$2-18&gt;$B13,1,0)</f>
        <v>1</v>
      </c>
      <c r="D12" s="721">
        <f t="shared" si="11"/>
        <v>0</v>
      </c>
      <c r="E12" s="721">
        <f t="shared" si="11"/>
        <v>0</v>
      </c>
      <c r="F12" s="721">
        <f t="shared" si="11"/>
        <v>1</v>
      </c>
      <c r="G12" s="721">
        <f t="shared" si="11"/>
        <v>1</v>
      </c>
      <c r="H12" s="721">
        <f t="shared" si="11"/>
        <v>1</v>
      </c>
      <c r="I12" s="721">
        <f t="shared" si="11"/>
        <v>0</v>
      </c>
      <c r="J12" s="721">
        <f t="shared" si="11"/>
        <v>0</v>
      </c>
      <c r="K12" s="721">
        <f t="shared" si="11"/>
        <v>1</v>
      </c>
      <c r="L12" s="722"/>
      <c r="M12" s="648"/>
      <c r="N12" s="750"/>
      <c r="O12" s="751"/>
      <c r="P12" s="455"/>
      <c r="Q12" s="763"/>
      <c r="R12" s="721">
        <f t="shared" ref="R12:Z12" si="12">IF($B13&gt;0,FLOOR($B13/18,1),0)+IF(AND(MOD($B13,18)&gt;=R$2,$B13&gt;0),1,0)-IF(R$2-18&gt;$B13,1,0)</f>
        <v>1</v>
      </c>
      <c r="S12" s="721">
        <f t="shared" si="12"/>
        <v>1</v>
      </c>
      <c r="T12" s="721">
        <f t="shared" si="12"/>
        <v>0</v>
      </c>
      <c r="U12" s="721">
        <f t="shared" si="12"/>
        <v>0</v>
      </c>
      <c r="V12" s="721">
        <f t="shared" si="12"/>
        <v>1</v>
      </c>
      <c r="W12" s="721">
        <f t="shared" si="12"/>
        <v>1</v>
      </c>
      <c r="X12" s="721">
        <f t="shared" si="12"/>
        <v>0</v>
      </c>
      <c r="Y12" s="721">
        <f t="shared" si="12"/>
        <v>0</v>
      </c>
      <c r="Z12" s="721">
        <f t="shared" si="12"/>
        <v>1</v>
      </c>
      <c r="AA12" s="722"/>
      <c r="AB12" s="722"/>
      <c r="AC12" s="724"/>
      <c r="AD12" s="648"/>
      <c r="AE12" s="750"/>
      <c r="AF12" s="751"/>
    </row>
    <row r="13" ht="18.75" customHeight="1">
      <c r="A13" s="725" t="str">
        <f>'Match Selection'!P15</f>
        <v>Weezy</v>
      </c>
      <c r="B13" s="726">
        <f>if(A13="","", vlookup(A13,'Master Input'!$A$11:$L$27,'Master Input'!$J$28, false))</f>
        <v>10</v>
      </c>
      <c r="C13" s="727">
        <v>5.0</v>
      </c>
      <c r="D13" s="728">
        <v>5.0</v>
      </c>
      <c r="E13" s="728">
        <v>3.0</v>
      </c>
      <c r="F13" s="728">
        <v>8.0</v>
      </c>
      <c r="G13" s="728">
        <v>6.0</v>
      </c>
      <c r="H13" s="728">
        <v>6.0</v>
      </c>
      <c r="I13" s="728">
        <v>4.0</v>
      </c>
      <c r="J13" s="728">
        <v>3.0</v>
      </c>
      <c r="K13" s="729">
        <v>4.0</v>
      </c>
      <c r="L13" s="730">
        <f>if(K13="","", sum(C13:K13))</f>
        <v>44</v>
      </c>
      <c r="M13" s="648"/>
      <c r="N13" s="764">
        <f>'R3_G1'!$N$13</f>
        <v>4</v>
      </c>
      <c r="O13" s="732" t="s">
        <v>90</v>
      </c>
      <c r="P13" s="455"/>
      <c r="Q13" s="733" t="str">
        <f>A13</f>
        <v>Weezy</v>
      </c>
      <c r="R13" s="727">
        <v>7.0</v>
      </c>
      <c r="S13" s="728">
        <v>5.0</v>
      </c>
      <c r="T13" s="728">
        <v>3.0</v>
      </c>
      <c r="U13" s="728">
        <v>5.0</v>
      </c>
      <c r="V13" s="728">
        <v>6.0</v>
      </c>
      <c r="W13" s="728">
        <v>5.0</v>
      </c>
      <c r="X13" s="728">
        <v>6.0</v>
      </c>
      <c r="Y13" s="728">
        <v>3.0</v>
      </c>
      <c r="Z13" s="729">
        <v>7.0</v>
      </c>
      <c r="AA13" s="734">
        <f>if(Z13="","", sum(R13:Z13))</f>
        <v>47</v>
      </c>
      <c r="AB13" s="735">
        <f t="shared" ref="AB13:AB14" si="15">if(AA13="", "", sum(L13,AA13))</f>
        <v>91</v>
      </c>
      <c r="AC13" s="736">
        <f>if(Z13="", "", AB13-B13)</f>
        <v>81</v>
      </c>
      <c r="AD13" s="648"/>
      <c r="AE13" s="737">
        <f t="shared" ref="AE13:AE14" si="16">N13</f>
        <v>4</v>
      </c>
      <c r="AF13" s="732" t="s">
        <v>90</v>
      </c>
    </row>
    <row r="14" ht="21.0" customHeight="1">
      <c r="A14" s="738" t="str">
        <f>vlookup(A13, 'Master Input'!$A$11:$B$27,2, false)</f>
        <v>Drivers</v>
      </c>
      <c r="B14" s="739" t="s">
        <v>88</v>
      </c>
      <c r="C14" s="740">
        <f>if(C13="","",
if(C13-C12-C$3=-3,$N$8,
if(C13-C12-C$3=-2,$N$9,
if(C13-C12-C$3=-1,$N$13,
if(C13-C12-C$3=0,$N$14,
if(C13-C12-C$3=1,$N$18,$N$19))))))</f>
        <v>2</v>
      </c>
      <c r="D14" s="741">
        <f t="shared" ref="D14:K14" si="13">if(D13="","",(
if(D13-D12-D$3=-3,$N$8,
if(D13-D12-D$3=-2,$N$9,
if(D13-D12-D$3=-1,$N$13,
if(D13-D12-D$3=0,$N$14,
if(D13-D12-D$3=1,$N$18,$N$19)))))
* if(or(C8-C7-C$3&lt;0,C13-C12-C$3&lt;0),2,1)))</f>
        <v>0</v>
      </c>
      <c r="E14" s="741">
        <f t="shared" si="13"/>
        <v>2</v>
      </c>
      <c r="F14" s="741">
        <f t="shared" si="13"/>
        <v>-4</v>
      </c>
      <c r="G14" s="741">
        <f t="shared" si="13"/>
        <v>0</v>
      </c>
      <c r="H14" s="741">
        <f t="shared" si="13"/>
        <v>0</v>
      </c>
      <c r="I14" s="741">
        <f t="shared" si="13"/>
        <v>2</v>
      </c>
      <c r="J14" s="741">
        <f t="shared" si="13"/>
        <v>2</v>
      </c>
      <c r="K14" s="742">
        <f t="shared" si="13"/>
        <v>8</v>
      </c>
      <c r="L14" s="743">
        <f>if(C14="","",sum(C14:K14))</f>
        <v>12</v>
      </c>
      <c r="M14" s="648"/>
      <c r="N14" s="731">
        <f>'R3_G1'!$N$14</f>
        <v>2</v>
      </c>
      <c r="O14" s="732" t="s">
        <v>91</v>
      </c>
      <c r="P14" s="455"/>
      <c r="Q14" s="745" t="s">
        <v>88</v>
      </c>
      <c r="R14" s="740">
        <f>if(R13="","",(
if(R13-R12-R$3=-3,$N$8,
if(R13-R12-R$3=-2,$N$9,
if(R13-R12-R$3=-1,$N$13,
if(R13-R12-R$3=0,$N$14,
if(R13-R12-R$3=1,$N$18,$N$19)))))
* if(or(K8-K7-K$3&lt;0,K13-K12-K$3&lt;0),2,1)))</f>
        <v>-8</v>
      </c>
      <c r="S14" s="741">
        <f t="shared" ref="S14:Z14" si="14">if(S13="","",(
if(S13-S12-S$3=-3,$N$8,
if(S13-S12-S$3=-2,$N$9,
if(S13-S12-S$3=-1,$N$13,
if(S13-S12-S$3=0,$N$14,
if(S13-S12-S$3=1,$N$18,$N$19)))))
* if(or(R8-R7-R$3&lt;0,R13-R12-R$3&lt;0),2,1)))</f>
        <v>2</v>
      </c>
      <c r="T14" s="741">
        <f t="shared" si="14"/>
        <v>2</v>
      </c>
      <c r="U14" s="741">
        <f t="shared" si="14"/>
        <v>0</v>
      </c>
      <c r="V14" s="741">
        <f t="shared" si="14"/>
        <v>2</v>
      </c>
      <c r="W14" s="741">
        <f t="shared" si="14"/>
        <v>2</v>
      </c>
      <c r="X14" s="741">
        <f t="shared" si="14"/>
        <v>-4</v>
      </c>
      <c r="Y14" s="741">
        <f t="shared" si="14"/>
        <v>2</v>
      </c>
      <c r="Z14" s="742">
        <f t="shared" si="14"/>
        <v>0</v>
      </c>
      <c r="AA14" s="746">
        <f>if(R14="","",sum(R14:Z14))</f>
        <v>-2</v>
      </c>
      <c r="AB14" s="747">
        <f t="shared" si="15"/>
        <v>10</v>
      </c>
      <c r="AC14" s="748"/>
      <c r="AD14" s="648"/>
      <c r="AE14" s="737">
        <f t="shared" si="16"/>
        <v>2</v>
      </c>
      <c r="AF14" s="732" t="s">
        <v>91</v>
      </c>
    </row>
    <row r="15" ht="3.75" customHeight="1">
      <c r="A15" s="765"/>
      <c r="B15" s="766"/>
      <c r="C15" s="767"/>
      <c r="D15" s="767"/>
      <c r="E15" s="767"/>
      <c r="F15" s="767"/>
      <c r="G15" s="767"/>
      <c r="H15" s="767"/>
      <c r="I15" s="767"/>
      <c r="J15" s="767"/>
      <c r="K15" s="767"/>
      <c r="L15" s="722"/>
      <c r="M15" s="648"/>
      <c r="N15" s="750"/>
      <c r="O15" s="751"/>
      <c r="P15" s="722"/>
      <c r="Q15" s="752"/>
      <c r="R15" s="722"/>
      <c r="S15" s="722"/>
      <c r="T15" s="722"/>
      <c r="U15" s="722"/>
      <c r="V15" s="722"/>
      <c r="W15" s="722"/>
      <c r="X15" s="722"/>
      <c r="Y15" s="722"/>
      <c r="Z15" s="722"/>
      <c r="AA15" s="722"/>
      <c r="AB15" s="722"/>
      <c r="AC15" s="722"/>
      <c r="AD15" s="648"/>
      <c r="AE15" s="750"/>
      <c r="AF15" s="751"/>
    </row>
    <row r="16" ht="7.5" customHeight="1">
      <c r="A16" s="768"/>
      <c r="B16" s="769"/>
      <c r="C16" s="770" t="str">
        <f t="shared" ref="C16:K16" si="17">if(C17=1,"O", if(C17=2,"O   O",""))</f>
        <v/>
      </c>
      <c r="D16" s="771" t="str">
        <f t="shared" si="17"/>
        <v/>
      </c>
      <c r="E16" s="771" t="str">
        <f t="shared" si="17"/>
        <v/>
      </c>
      <c r="F16" s="771" t="str">
        <f t="shared" si="17"/>
        <v>O</v>
      </c>
      <c r="G16" s="771" t="str">
        <f t="shared" si="17"/>
        <v>O</v>
      </c>
      <c r="H16" s="771" t="str">
        <f t="shared" si="17"/>
        <v>O</v>
      </c>
      <c r="I16" s="771" t="str">
        <f t="shared" si="17"/>
        <v/>
      </c>
      <c r="J16" s="771" t="str">
        <f t="shared" si="17"/>
        <v/>
      </c>
      <c r="K16" s="772" t="str">
        <f t="shared" si="17"/>
        <v/>
      </c>
      <c r="L16" s="710"/>
      <c r="M16" s="773"/>
      <c r="N16" s="774"/>
      <c r="O16" s="775"/>
      <c r="P16" s="776"/>
      <c r="Q16" s="777"/>
      <c r="R16" s="770" t="str">
        <f t="shared" ref="R16:Z16" si="18">if(R17=1,"O", if(R17=2,"O   O",""))</f>
        <v>O</v>
      </c>
      <c r="S16" s="771" t="str">
        <f t="shared" si="18"/>
        <v/>
      </c>
      <c r="T16" s="771" t="str">
        <f t="shared" si="18"/>
        <v/>
      </c>
      <c r="U16" s="771" t="str">
        <f t="shared" si="18"/>
        <v/>
      </c>
      <c r="V16" s="771" t="str">
        <f t="shared" si="18"/>
        <v>O</v>
      </c>
      <c r="W16" s="771" t="str">
        <f t="shared" si="18"/>
        <v/>
      </c>
      <c r="X16" s="771" t="str">
        <f t="shared" si="18"/>
        <v/>
      </c>
      <c r="Y16" s="771" t="str">
        <f t="shared" si="18"/>
        <v/>
      </c>
      <c r="Z16" s="772" t="str">
        <f t="shared" si="18"/>
        <v/>
      </c>
      <c r="AA16" s="757"/>
      <c r="AB16" s="758"/>
      <c r="AC16" s="759"/>
      <c r="AD16" s="648"/>
      <c r="AE16" s="760"/>
      <c r="AF16" s="761"/>
    </row>
    <row r="17" ht="22.5" hidden="1" customHeight="1">
      <c r="A17" s="778"/>
      <c r="B17" s="720"/>
      <c r="C17" s="721">
        <f t="shared" ref="C17:K17" si="19">IF($B18&gt;0,FLOOR($B18/18,1),0)+IF(AND(MOD($B18,18)&gt;=C$2,$B18&gt;0),1,0)-IF(C$2-18&gt;$B18,1,0)</f>
        <v>0</v>
      </c>
      <c r="D17" s="721">
        <f t="shared" si="19"/>
        <v>0</v>
      </c>
      <c r="E17" s="721">
        <f t="shared" si="19"/>
        <v>0</v>
      </c>
      <c r="F17" s="721">
        <f t="shared" si="19"/>
        <v>1</v>
      </c>
      <c r="G17" s="721">
        <f t="shared" si="19"/>
        <v>1</v>
      </c>
      <c r="H17" s="721">
        <f t="shared" si="19"/>
        <v>1</v>
      </c>
      <c r="I17" s="721">
        <f t="shared" si="19"/>
        <v>0</v>
      </c>
      <c r="J17" s="721">
        <f t="shared" si="19"/>
        <v>0</v>
      </c>
      <c r="K17" s="721">
        <f t="shared" si="19"/>
        <v>0</v>
      </c>
      <c r="L17" s="722"/>
      <c r="M17" s="648"/>
      <c r="N17" s="750"/>
      <c r="O17" s="751"/>
      <c r="P17" s="455"/>
      <c r="Q17" s="763"/>
      <c r="R17" s="721">
        <f t="shared" ref="R17:Z17" si="20">IF($B18&gt;0,FLOOR($B18/18,1),0)+IF(AND(MOD($B18,18)&gt;=R$2,$B18&gt;0),1,0)-IF(R$2-18&gt;$B18,1,0)</f>
        <v>1</v>
      </c>
      <c r="S17" s="721">
        <f t="shared" si="20"/>
        <v>0</v>
      </c>
      <c r="T17" s="721">
        <f t="shared" si="20"/>
        <v>0</v>
      </c>
      <c r="U17" s="721">
        <f t="shared" si="20"/>
        <v>0</v>
      </c>
      <c r="V17" s="721">
        <f t="shared" si="20"/>
        <v>1</v>
      </c>
      <c r="W17" s="721">
        <f t="shared" si="20"/>
        <v>0</v>
      </c>
      <c r="X17" s="721">
        <f t="shared" si="20"/>
        <v>0</v>
      </c>
      <c r="Y17" s="721">
        <f t="shared" si="20"/>
        <v>0</v>
      </c>
      <c r="Z17" s="721">
        <f t="shared" si="20"/>
        <v>0</v>
      </c>
      <c r="AA17" s="722"/>
      <c r="AB17" s="722"/>
      <c r="AC17" s="724"/>
      <c r="AD17" s="648"/>
      <c r="AE17" s="750"/>
      <c r="AF17" s="751"/>
    </row>
    <row r="18" ht="18.75" customHeight="1">
      <c r="A18" s="779" t="str">
        <f>'Match Selection'!S14</f>
        <v>Jensen</v>
      </c>
      <c r="B18" s="780">
        <f>if(A18="","", vlookup(A18,'Master Input'!$A$11:$L$27,'Master Input'!$J$28, false))</f>
        <v>5</v>
      </c>
      <c r="C18" s="781">
        <v>6.0</v>
      </c>
      <c r="D18" s="782">
        <v>4.0</v>
      </c>
      <c r="E18" s="782">
        <v>5.0</v>
      </c>
      <c r="F18" s="782">
        <v>7.0</v>
      </c>
      <c r="G18" s="782">
        <v>6.0</v>
      </c>
      <c r="H18" s="782">
        <v>4.0</v>
      </c>
      <c r="I18" s="782">
        <v>5.0</v>
      </c>
      <c r="J18" s="782">
        <v>4.0</v>
      </c>
      <c r="K18" s="783">
        <v>5.0</v>
      </c>
      <c r="L18" s="730">
        <f>if(K18="","", sum(C18:K18))</f>
        <v>46</v>
      </c>
      <c r="M18" s="648"/>
      <c r="N18" s="764">
        <f>'R3_G1'!$N$18</f>
        <v>0</v>
      </c>
      <c r="O18" s="744" t="s">
        <v>92</v>
      </c>
      <c r="P18" s="455"/>
      <c r="Q18" s="784" t="str">
        <f>A18</f>
        <v>Jensen</v>
      </c>
      <c r="R18" s="781">
        <v>4.0</v>
      </c>
      <c r="S18" s="782">
        <v>4.0</v>
      </c>
      <c r="T18" s="782">
        <v>3.0</v>
      </c>
      <c r="U18" s="782">
        <v>4.0</v>
      </c>
      <c r="V18" s="782">
        <v>5.0</v>
      </c>
      <c r="W18" s="782">
        <v>4.0</v>
      </c>
      <c r="X18" s="782">
        <v>5.0</v>
      </c>
      <c r="Y18" s="782">
        <v>3.0</v>
      </c>
      <c r="Z18" s="783">
        <v>7.0</v>
      </c>
      <c r="AA18" s="734">
        <f>if(Z18="","", sum(R18:Z18))</f>
        <v>39</v>
      </c>
      <c r="AB18" s="735">
        <f t="shared" ref="AB18:AB19" si="23">if(AA18="", "", sum(L18,AA18))</f>
        <v>85</v>
      </c>
      <c r="AC18" s="736">
        <f>if(Z18="", "", AB18-B18)</f>
        <v>80</v>
      </c>
      <c r="AD18" s="648"/>
      <c r="AE18" s="737">
        <f t="shared" ref="AE18:AE19" si="24">N18</f>
        <v>0</v>
      </c>
      <c r="AF18" s="744" t="s">
        <v>92</v>
      </c>
    </row>
    <row r="19" ht="21.0" customHeight="1">
      <c r="A19" s="785" t="str">
        <f>vlookup(A18, 'Master Input'!$A$11:$B$27,2, false)</f>
        <v>Irons</v>
      </c>
      <c r="B19" s="786" t="s">
        <v>88</v>
      </c>
      <c r="C19" s="787">
        <f>if(C18="","",
if(C18-C17-C$3=-3,$N$8,
if(C18-C17-C$3=-2,$N$9,
if(C18-C17-C$3=-1,$N$13,
if(C18-C17-C$3=0,$N$14,
if(C18-C17-C$3=1,$N$18,$N$19))))))</f>
        <v>-4</v>
      </c>
      <c r="D19" s="788">
        <f t="shared" ref="D19:K19" si="21">if(D18="","",(
if(D18-D17-D$3=-3,$N$8,
if(D18-D17-D$3=-2,$N$9,
if(D18-D17-D$3=-1,$N$13,
if(D18-D17-D$3=0,$N$14,
if(D18-D17-D$3=1,$N$18,$N$19)))))
* if(or(C18-C17-C$3&lt;0,C23-C22-C$3&lt;0),2,1)))</f>
        <v>2</v>
      </c>
      <c r="E19" s="788">
        <f t="shared" si="21"/>
        <v>-4</v>
      </c>
      <c r="F19" s="788">
        <f t="shared" si="21"/>
        <v>0</v>
      </c>
      <c r="G19" s="788">
        <f t="shared" si="21"/>
        <v>0</v>
      </c>
      <c r="H19" s="788">
        <f t="shared" si="21"/>
        <v>4</v>
      </c>
      <c r="I19" s="788">
        <f t="shared" si="21"/>
        <v>0</v>
      </c>
      <c r="J19" s="788">
        <f t="shared" si="21"/>
        <v>0</v>
      </c>
      <c r="K19" s="789">
        <f t="shared" si="21"/>
        <v>2</v>
      </c>
      <c r="L19" s="743">
        <f>if(C19="","",sum(C19:K19))</f>
        <v>0</v>
      </c>
      <c r="M19" s="648"/>
      <c r="N19" s="731">
        <f>'R3_G1'!$N$19</f>
        <v>-4</v>
      </c>
      <c r="O19" s="744" t="s">
        <v>93</v>
      </c>
      <c r="P19" s="455"/>
      <c r="Q19" s="790" t="s">
        <v>88</v>
      </c>
      <c r="R19" s="787">
        <f>if(R18="","",(
if(R18-R17-R$3=-3,$N$8,
if(R18-R17-R$3=-2,$N$9,
if(R18-R17-R$3=-1,$N$13,
if(R18-R17-R$3=0,$N$14,
if(R18-R17-R$3=1,$N$18,$N$19)))))
* if(or(K18-K17-K$3&lt;0,K23-K22-K$3&lt;0),2,1)))</f>
        <v>8</v>
      </c>
      <c r="S19" s="788">
        <f t="shared" ref="S19:Z19" si="22">if(S18="","",(
if(S18-S17-S$3=-3,$N$8,
if(S18-S17-S$3=-2,$N$9,
if(S18-S17-S$3=-1,$N$13,
if(S18-S17-S$3=0,$N$14,
if(S18-S17-S$3=1,$N$18,$N$19)))))
* if(or(R18-R17-R$3&lt;0,R23-R22-R$3&lt;0),2,1)))</f>
        <v>4</v>
      </c>
      <c r="T19" s="788">
        <f t="shared" si="22"/>
        <v>2</v>
      </c>
      <c r="U19" s="788">
        <f t="shared" si="22"/>
        <v>2</v>
      </c>
      <c r="V19" s="788">
        <f t="shared" si="22"/>
        <v>8</v>
      </c>
      <c r="W19" s="788">
        <f t="shared" si="22"/>
        <v>4</v>
      </c>
      <c r="X19" s="788">
        <f t="shared" si="22"/>
        <v>0</v>
      </c>
      <c r="Y19" s="788">
        <f t="shared" si="22"/>
        <v>2</v>
      </c>
      <c r="Z19" s="789">
        <f t="shared" si="22"/>
        <v>-8</v>
      </c>
      <c r="AA19" s="746">
        <f>if(R19="","",sum(R19:Z19))</f>
        <v>22</v>
      </c>
      <c r="AB19" s="747">
        <f t="shared" si="23"/>
        <v>22</v>
      </c>
      <c r="AC19" s="748"/>
      <c r="AD19" s="648"/>
      <c r="AE19" s="737">
        <f t="shared" si="24"/>
        <v>-4</v>
      </c>
      <c r="AF19" s="744" t="s">
        <v>93</v>
      </c>
    </row>
    <row r="20" ht="3.75" customHeight="1">
      <c r="A20" s="749"/>
      <c r="B20" s="455"/>
      <c r="C20" s="722"/>
      <c r="D20" s="722"/>
      <c r="E20" s="722"/>
      <c r="F20" s="722"/>
      <c r="G20" s="722"/>
      <c r="H20" s="722"/>
      <c r="I20" s="722"/>
      <c r="J20" s="722"/>
      <c r="K20" s="722"/>
      <c r="L20" s="722"/>
      <c r="M20" s="722"/>
      <c r="N20" s="722"/>
      <c r="O20" s="722"/>
      <c r="P20" s="722"/>
      <c r="Q20" s="752"/>
      <c r="R20" s="722"/>
      <c r="S20" s="722"/>
      <c r="T20" s="722"/>
      <c r="U20" s="722"/>
      <c r="V20" s="722"/>
      <c r="W20" s="722"/>
      <c r="X20" s="722"/>
      <c r="Y20" s="722"/>
      <c r="Z20" s="722"/>
      <c r="AA20" s="722"/>
      <c r="AB20" s="722"/>
      <c r="AC20" s="722"/>
      <c r="AD20" s="722"/>
      <c r="AE20" s="722"/>
      <c r="AF20" s="722"/>
    </row>
    <row r="21" ht="7.5" customHeight="1">
      <c r="A21" s="768"/>
      <c r="B21" s="769"/>
      <c r="C21" s="770" t="str">
        <f t="shared" ref="C21:K21" si="25">if(C22=1,"O", if(C22=2,"O   O",""))</f>
        <v>O</v>
      </c>
      <c r="D21" s="771" t="str">
        <f t="shared" si="25"/>
        <v/>
      </c>
      <c r="E21" s="771" t="str">
        <f t="shared" si="25"/>
        <v>O</v>
      </c>
      <c r="F21" s="771" t="str">
        <f t="shared" si="25"/>
        <v>O</v>
      </c>
      <c r="G21" s="771" t="str">
        <f t="shared" si="25"/>
        <v>O</v>
      </c>
      <c r="H21" s="771" t="str">
        <f t="shared" si="25"/>
        <v>O</v>
      </c>
      <c r="I21" s="771" t="str">
        <f t="shared" si="25"/>
        <v/>
      </c>
      <c r="J21" s="771" t="str">
        <f t="shared" si="25"/>
        <v>O</v>
      </c>
      <c r="K21" s="772" t="str">
        <f t="shared" si="25"/>
        <v>O</v>
      </c>
      <c r="L21" s="710"/>
      <c r="M21" s="791"/>
      <c r="N21" s="776"/>
      <c r="O21" s="792"/>
      <c r="P21" s="776"/>
      <c r="Q21" s="777"/>
      <c r="R21" s="770" t="str">
        <f t="shared" ref="R21:Z21" si="26">if(R22=1,"O", if(R22=2,"O   O",""))</f>
        <v>O</v>
      </c>
      <c r="S21" s="771" t="str">
        <f t="shared" si="26"/>
        <v>O</v>
      </c>
      <c r="T21" s="771" t="str">
        <f t="shared" si="26"/>
        <v/>
      </c>
      <c r="U21" s="771" t="str">
        <f t="shared" si="26"/>
        <v>O</v>
      </c>
      <c r="V21" s="771" t="str">
        <f t="shared" si="26"/>
        <v>O</v>
      </c>
      <c r="W21" s="771" t="str">
        <f t="shared" si="26"/>
        <v>O</v>
      </c>
      <c r="X21" s="771" t="str">
        <f t="shared" si="26"/>
        <v/>
      </c>
      <c r="Y21" s="771" t="str">
        <f t="shared" si="26"/>
        <v>O</v>
      </c>
      <c r="Z21" s="772" t="str">
        <f t="shared" si="26"/>
        <v>O</v>
      </c>
      <c r="AA21" s="757"/>
      <c r="AB21" s="793"/>
      <c r="AC21" s="759"/>
      <c r="AD21" s="462"/>
      <c r="AE21" s="462"/>
      <c r="AF21" s="462"/>
    </row>
    <row r="22" ht="22.5" hidden="1" customHeight="1">
      <c r="A22" s="762"/>
      <c r="B22" s="720"/>
      <c r="C22" s="721">
        <f t="shared" ref="C22:K22" si="27">IF($B23&gt;0,FLOOR($B23/18,1),0)+IF(AND(MOD($B23,18)&gt;=C$2,$B23&gt;0),1,0)-IF(C$2-18&gt;$B23,1,0)</f>
        <v>1</v>
      </c>
      <c r="D22" s="721">
        <f t="shared" si="27"/>
        <v>0</v>
      </c>
      <c r="E22" s="721">
        <f t="shared" si="27"/>
        <v>1</v>
      </c>
      <c r="F22" s="721">
        <f t="shared" si="27"/>
        <v>1</v>
      </c>
      <c r="G22" s="721">
        <f t="shared" si="27"/>
        <v>1</v>
      </c>
      <c r="H22" s="721">
        <f t="shared" si="27"/>
        <v>1</v>
      </c>
      <c r="I22" s="721">
        <f t="shared" si="27"/>
        <v>0</v>
      </c>
      <c r="J22" s="721">
        <f t="shared" si="27"/>
        <v>1</v>
      </c>
      <c r="K22" s="721">
        <f t="shared" si="27"/>
        <v>1</v>
      </c>
      <c r="L22" s="722"/>
      <c r="M22" s="722"/>
      <c r="N22" s="722"/>
      <c r="O22" s="722"/>
      <c r="P22" s="455"/>
      <c r="Q22" s="763"/>
      <c r="R22" s="721">
        <f t="shared" ref="R22:Z22" si="28">IF($B23&gt;0,FLOOR($B23/18,1),0)+IF(AND(MOD($B23,18)&gt;=R$2,$B23&gt;0),1,0)-IF(R$2-18&gt;$B23,1,0)</f>
        <v>1</v>
      </c>
      <c r="S22" s="721">
        <f t="shared" si="28"/>
        <v>1</v>
      </c>
      <c r="T22" s="721">
        <f t="shared" si="28"/>
        <v>0</v>
      </c>
      <c r="U22" s="721">
        <f t="shared" si="28"/>
        <v>1</v>
      </c>
      <c r="V22" s="721">
        <f t="shared" si="28"/>
        <v>1</v>
      </c>
      <c r="W22" s="721">
        <f t="shared" si="28"/>
        <v>1</v>
      </c>
      <c r="X22" s="721">
        <f t="shared" si="28"/>
        <v>0</v>
      </c>
      <c r="Y22" s="721">
        <f t="shared" si="28"/>
        <v>1</v>
      </c>
      <c r="Z22" s="721">
        <f t="shared" si="28"/>
        <v>1</v>
      </c>
      <c r="AA22" s="722"/>
      <c r="AB22" s="722"/>
      <c r="AC22" s="724"/>
      <c r="AD22" s="722"/>
      <c r="AE22" s="722"/>
      <c r="AF22" s="722"/>
    </row>
    <row r="23" ht="18.75" customHeight="1">
      <c r="A23" s="779" t="str">
        <f>'Match Selection'!S15</f>
        <v>Carp</v>
      </c>
      <c r="B23" s="780">
        <f>if(A23="","", vlookup(A23,'Master Input'!$A$11:$L$27,'Master Input'!$J$28, false))</f>
        <v>14</v>
      </c>
      <c r="C23" s="781">
        <v>6.0</v>
      </c>
      <c r="D23" s="782">
        <v>5.0</v>
      </c>
      <c r="E23" s="782">
        <v>4.0</v>
      </c>
      <c r="F23" s="782">
        <v>7.0</v>
      </c>
      <c r="G23" s="782">
        <v>5.0</v>
      </c>
      <c r="H23" s="782">
        <v>4.0</v>
      </c>
      <c r="I23" s="782">
        <v>4.0</v>
      </c>
      <c r="J23" s="782">
        <v>4.0</v>
      </c>
      <c r="K23" s="783">
        <v>5.0</v>
      </c>
      <c r="L23" s="730">
        <f>if(K23="","", sum(C23:K23))</f>
        <v>44</v>
      </c>
      <c r="M23" s="722"/>
      <c r="N23" s="794" t="s">
        <v>94</v>
      </c>
      <c r="O23" s="795" t="s">
        <v>95</v>
      </c>
      <c r="P23" s="455"/>
      <c r="Q23" s="784" t="str">
        <f>A23</f>
        <v>Carp</v>
      </c>
      <c r="R23" s="781">
        <v>5.0</v>
      </c>
      <c r="S23" s="782">
        <v>6.0</v>
      </c>
      <c r="T23" s="782">
        <v>3.0</v>
      </c>
      <c r="U23" s="782">
        <v>4.0</v>
      </c>
      <c r="V23" s="782">
        <v>7.0</v>
      </c>
      <c r="W23" s="782">
        <v>6.0</v>
      </c>
      <c r="X23" s="782">
        <v>4.0</v>
      </c>
      <c r="Y23" s="782">
        <v>3.0</v>
      </c>
      <c r="Z23" s="783">
        <v>7.0</v>
      </c>
      <c r="AA23" s="734">
        <f>if(Z23="","", sum(R23:Z23))</f>
        <v>45</v>
      </c>
      <c r="AB23" s="735">
        <f t="shared" ref="AB23:AB24" si="31">if(AA23="", "", sum(L23,AA23))</f>
        <v>89</v>
      </c>
      <c r="AC23" s="736">
        <f>if(Z23="", "", AB23-B23)</f>
        <v>75</v>
      </c>
      <c r="AD23" s="722"/>
      <c r="AE23" s="794" t="s">
        <v>94</v>
      </c>
      <c r="AF23" s="795" t="s">
        <v>95</v>
      </c>
    </row>
    <row r="24" ht="21.0" customHeight="1">
      <c r="A24" s="785" t="str">
        <f>vlookup(A23, 'Master Input'!$A$11:$B$27,2, false)</f>
        <v>Irons</v>
      </c>
      <c r="B24" s="786" t="s">
        <v>88</v>
      </c>
      <c r="C24" s="787">
        <f>if(C23="","",
if(C23-C22-C$3=-3,$N$8,
if(C23-C22-C$3=-2,$N$9,
if(C23-C22-C$3=-1,$N$13,
if(C23-C22-C$3=0,$N$14,
if(C23-C22-C$3=1,$N$18,$N$19))))))</f>
        <v>0</v>
      </c>
      <c r="D24" s="788">
        <f t="shared" ref="D24:K24" si="29">if(D23="","",(
if(D23-D22-D$3=-3,$N$8,
if(D23-D22-D$3=-2,$N$9,
if(D23-D22-D$3=-1,$N$13,
if(D23-D22-D$3=0,$N$14,
if(D23-D22-D$3=1,$N$18,$N$19)))))
* if(or(C18-C17-C$3&lt;0,C23-C22-C$3&lt;0),2,1)))</f>
        <v>0</v>
      </c>
      <c r="E24" s="788">
        <f t="shared" si="29"/>
        <v>2</v>
      </c>
      <c r="F24" s="788">
        <f t="shared" si="29"/>
        <v>0</v>
      </c>
      <c r="G24" s="788">
        <f t="shared" si="29"/>
        <v>2</v>
      </c>
      <c r="H24" s="788">
        <f t="shared" si="29"/>
        <v>4</v>
      </c>
      <c r="I24" s="788">
        <f t="shared" si="29"/>
        <v>4</v>
      </c>
      <c r="J24" s="788">
        <f t="shared" si="29"/>
        <v>2</v>
      </c>
      <c r="K24" s="789">
        <f t="shared" si="29"/>
        <v>4</v>
      </c>
      <c r="L24" s="743">
        <f>if(C24="","",sum(C24:K24))</f>
        <v>18</v>
      </c>
      <c r="M24" s="722"/>
      <c r="N24" s="796">
        <v>0.0</v>
      </c>
      <c r="O24" s="797">
        <v>2.0</v>
      </c>
      <c r="P24" s="455"/>
      <c r="Q24" s="790" t="s">
        <v>88</v>
      </c>
      <c r="R24" s="787">
        <f>if(R23="","",(
if(R23-R22-R$3=-3,$N$8,
if(R23-R22-R$3=-2,$N$9,
if(R23-R22-R$3=-1,$N$13,
if(R23-R22-R$3=0,$N$14,
if(R23-R22-R$3=1,$N$18,$N$19)))))
* if(or(K23-K22-K$3&lt;0,K28-K27-K$3&lt;0),2,1)))</f>
        <v>4</v>
      </c>
      <c r="S24" s="788">
        <f t="shared" ref="S24:Z24" si="30">if(S23="","",(
if(S23-S22-S$3=-3,$N$8,
if(S23-S22-S$3=-2,$N$9,
if(S23-S22-S$3=-1,$N$13,
if(S23-S22-S$3=0,$N$14,
if(S23-S22-S$3=1,$N$18,$N$19)))))
* if(or(R18-R17-R$3&lt;0,R23-R22-R$3&lt;0),2,1)))</f>
        <v>0</v>
      </c>
      <c r="T24" s="788">
        <f t="shared" si="30"/>
        <v>2</v>
      </c>
      <c r="U24" s="788">
        <f t="shared" si="30"/>
        <v>4</v>
      </c>
      <c r="V24" s="788">
        <f t="shared" si="30"/>
        <v>0</v>
      </c>
      <c r="W24" s="788">
        <f t="shared" si="30"/>
        <v>0</v>
      </c>
      <c r="X24" s="788">
        <f t="shared" si="30"/>
        <v>2</v>
      </c>
      <c r="Y24" s="788">
        <f t="shared" si="30"/>
        <v>4</v>
      </c>
      <c r="Z24" s="789">
        <f t="shared" si="30"/>
        <v>0</v>
      </c>
      <c r="AA24" s="746">
        <f>if(R24="","",sum(R24:Z24))</f>
        <v>16</v>
      </c>
      <c r="AB24" s="747">
        <f t="shared" si="31"/>
        <v>34</v>
      </c>
      <c r="AC24" s="748"/>
      <c r="AD24" s="722"/>
      <c r="AE24" s="796">
        <v>0.0</v>
      </c>
      <c r="AF24" s="797">
        <v>2.0</v>
      </c>
    </row>
    <row r="25" ht="17.25" customHeight="1">
      <c r="A25" s="798"/>
      <c r="B25" s="799"/>
      <c r="C25" s="445"/>
      <c r="D25" s="445"/>
      <c r="E25" s="445"/>
      <c r="F25" s="445"/>
      <c r="G25" s="445"/>
      <c r="H25" s="445"/>
      <c r="I25" s="445"/>
      <c r="J25" s="445"/>
      <c r="K25" s="799"/>
      <c r="L25" s="800" t="s">
        <v>7</v>
      </c>
      <c r="M25" s="799"/>
      <c r="N25" s="801">
        <v>44570.0</v>
      </c>
      <c r="O25" s="797">
        <v>2.5</v>
      </c>
      <c r="P25" s="799"/>
      <c r="Q25" s="802"/>
      <c r="R25" s="445"/>
      <c r="S25" s="445"/>
      <c r="T25" s="445"/>
      <c r="U25" s="445"/>
      <c r="V25" s="445"/>
      <c r="W25" s="445"/>
      <c r="X25" s="445"/>
      <c r="Y25" s="445"/>
      <c r="Z25" s="445"/>
      <c r="AA25" s="803" t="s">
        <v>8</v>
      </c>
      <c r="AB25" s="803" t="s">
        <v>96</v>
      </c>
      <c r="AC25" s="804" t="s">
        <v>64</v>
      </c>
      <c r="AD25" s="603"/>
      <c r="AE25" s="801">
        <v>44570.0</v>
      </c>
      <c r="AF25" s="797">
        <v>2.5</v>
      </c>
    </row>
    <row r="26" ht="21.0" customHeight="1">
      <c r="A26" s="805" t="str">
        <f>vlookup($A$8, 'Master Input'!$A$11:$B$27,2, false)</f>
        <v>Drivers</v>
      </c>
      <c r="B26" s="805" t="str">
        <f>vlookup($A$8, 'Master Input'!$A$11:$B$27,2, false)</f>
        <v>Drivers</v>
      </c>
      <c r="C26" s="806">
        <f t="shared" ref="C26:K26" si="32">if(or(C9="",C14=""),"", sum(C9,C14))</f>
        <v>2</v>
      </c>
      <c r="D26" s="806">
        <f t="shared" si="32"/>
        <v>0</v>
      </c>
      <c r="E26" s="806">
        <f t="shared" si="32"/>
        <v>4</v>
      </c>
      <c r="F26" s="806">
        <f t="shared" si="32"/>
        <v>-2</v>
      </c>
      <c r="G26" s="806">
        <f t="shared" si="32"/>
        <v>0</v>
      </c>
      <c r="H26" s="806">
        <f t="shared" si="32"/>
        <v>0</v>
      </c>
      <c r="I26" s="806">
        <f t="shared" si="32"/>
        <v>4</v>
      </c>
      <c r="J26" s="806">
        <f t="shared" si="32"/>
        <v>2</v>
      </c>
      <c r="K26" s="807">
        <f t="shared" si="32"/>
        <v>10</v>
      </c>
      <c r="L26" s="808">
        <f t="shared" ref="L26:L27" si="35">if(C26="","",sum(C26:K26))</f>
        <v>20</v>
      </c>
      <c r="M26" s="455"/>
      <c r="N26" s="809">
        <v>44853.0</v>
      </c>
      <c r="O26" s="810">
        <v>3.0</v>
      </c>
      <c r="P26" s="455"/>
      <c r="Q26" s="805" t="str">
        <f>vlookup($A$8, 'Master Input'!$A$11:$B$27,2, false)</f>
        <v>Drivers</v>
      </c>
      <c r="R26" s="806">
        <f t="shared" ref="R26:Z26" si="33">if(or(R9="",R14=""),"", sum(R9,R14))</f>
        <v>-4</v>
      </c>
      <c r="S26" s="806">
        <f t="shared" si="33"/>
        <v>2</v>
      </c>
      <c r="T26" s="806">
        <f t="shared" si="33"/>
        <v>4</v>
      </c>
      <c r="U26" s="806">
        <f t="shared" si="33"/>
        <v>-4</v>
      </c>
      <c r="V26" s="806">
        <f t="shared" si="33"/>
        <v>2</v>
      </c>
      <c r="W26" s="806">
        <f t="shared" si="33"/>
        <v>4</v>
      </c>
      <c r="X26" s="806">
        <f t="shared" si="33"/>
        <v>-4</v>
      </c>
      <c r="Y26" s="806">
        <f t="shared" si="33"/>
        <v>2</v>
      </c>
      <c r="Z26" s="807">
        <f t="shared" si="33"/>
        <v>2</v>
      </c>
      <c r="AA26" s="811">
        <f t="shared" ref="AA26:AA27" si="37">if(R26="","",sum(R26:Z26))</f>
        <v>4</v>
      </c>
      <c r="AB26" s="812">
        <f t="shared" ref="AB26:AB27" si="38">if(C26="","",sum(L26,AA26))</f>
        <v>24</v>
      </c>
      <c r="AC26" s="813">
        <f>if(or(Z8="",Z13="",Z18="",Z23=""),"",
(if(AB28&lt;=-30,0,(if(AB28&lt;=-20,0.5,(if(AB28&lt;=-10,1,(if(AB28&lt;0,1.5,
(if(AB28&gt;=30,4,(if(AB28&gt;=20,3.5,(if(AB28&gt;=10,3,(if(AB28&gt;0,2.5,2)))))))))))))))))</f>
        <v>0</v>
      </c>
      <c r="AD26" s="462"/>
      <c r="AE26" s="809">
        <v>44853.0</v>
      </c>
      <c r="AF26" s="810">
        <v>3.0</v>
      </c>
    </row>
    <row r="27" ht="21.0" customHeight="1">
      <c r="A27" s="805" t="str">
        <f>vlookup($A$18, 'Master Input'!$A$11:$B$27,2, false)</f>
        <v>Irons</v>
      </c>
      <c r="B27" s="805" t="str">
        <f>vlookup($A$18, 'Master Input'!$A$11:$B$27,2, false)</f>
        <v>Irons</v>
      </c>
      <c r="C27" s="814">
        <f t="shared" ref="C27:K27" si="34">if(or(C19="",C24=""),"", sum(C19,C24))</f>
        <v>-4</v>
      </c>
      <c r="D27" s="814">
        <f t="shared" si="34"/>
        <v>2</v>
      </c>
      <c r="E27" s="814">
        <f t="shared" si="34"/>
        <v>-2</v>
      </c>
      <c r="F27" s="814">
        <f t="shared" si="34"/>
        <v>0</v>
      </c>
      <c r="G27" s="814">
        <f t="shared" si="34"/>
        <v>2</v>
      </c>
      <c r="H27" s="814">
        <f t="shared" si="34"/>
        <v>8</v>
      </c>
      <c r="I27" s="814">
        <f t="shared" si="34"/>
        <v>4</v>
      </c>
      <c r="J27" s="814">
        <f t="shared" si="34"/>
        <v>2</v>
      </c>
      <c r="K27" s="815">
        <f t="shared" si="34"/>
        <v>6</v>
      </c>
      <c r="L27" s="816">
        <f t="shared" si="35"/>
        <v>18</v>
      </c>
      <c r="M27" s="455"/>
      <c r="N27" s="817" t="s">
        <v>97</v>
      </c>
      <c r="O27" s="818">
        <v>3.5</v>
      </c>
      <c r="P27" s="455"/>
      <c r="Q27" s="805" t="str">
        <f>vlookup($A$18, 'Master Input'!$A$11:$B$27,2, false)</f>
        <v>Irons</v>
      </c>
      <c r="R27" s="814">
        <f t="shared" ref="R27:Z27" si="36">if(or(R19="",R24=""),"", sum(R19,R24))</f>
        <v>12</v>
      </c>
      <c r="S27" s="814">
        <f t="shared" si="36"/>
        <v>4</v>
      </c>
      <c r="T27" s="814">
        <f t="shared" si="36"/>
        <v>4</v>
      </c>
      <c r="U27" s="814">
        <f t="shared" si="36"/>
        <v>6</v>
      </c>
      <c r="V27" s="814">
        <f t="shared" si="36"/>
        <v>8</v>
      </c>
      <c r="W27" s="814">
        <f t="shared" si="36"/>
        <v>4</v>
      </c>
      <c r="X27" s="814">
        <f t="shared" si="36"/>
        <v>2</v>
      </c>
      <c r="Y27" s="814">
        <f t="shared" si="36"/>
        <v>6</v>
      </c>
      <c r="Z27" s="815">
        <f t="shared" si="36"/>
        <v>-8</v>
      </c>
      <c r="AA27" s="819">
        <f t="shared" si="37"/>
        <v>38</v>
      </c>
      <c r="AB27" s="820">
        <f t="shared" si="38"/>
        <v>56</v>
      </c>
      <c r="AC27" s="821">
        <f>if(or(Z8="",Z13="",Z18="",Z23=""),"",4-AC26)</f>
        <v>4</v>
      </c>
      <c r="AD27" s="462"/>
      <c r="AE27" s="817" t="s">
        <v>97</v>
      </c>
      <c r="AF27" s="818">
        <v>3.5</v>
      </c>
    </row>
    <row r="28" ht="21.0" customHeight="1">
      <c r="A28" s="822" t="s">
        <v>98</v>
      </c>
      <c r="B28" s="823" t="s">
        <v>99</v>
      </c>
      <c r="C28" s="824">
        <f>if(or(C26="",C27=""),"",C26-C27)</f>
        <v>6</v>
      </c>
      <c r="D28" s="824">
        <f t="shared" ref="D28:K28" si="39">if(or(D26="",D27=""),"",D26-D27+C28)</f>
        <v>4</v>
      </c>
      <c r="E28" s="824">
        <f t="shared" si="39"/>
        <v>10</v>
      </c>
      <c r="F28" s="824">
        <f t="shared" si="39"/>
        <v>8</v>
      </c>
      <c r="G28" s="824">
        <f t="shared" si="39"/>
        <v>6</v>
      </c>
      <c r="H28" s="824">
        <f t="shared" si="39"/>
        <v>-2</v>
      </c>
      <c r="I28" s="824">
        <f t="shared" si="39"/>
        <v>-2</v>
      </c>
      <c r="J28" s="824">
        <f t="shared" si="39"/>
        <v>-2</v>
      </c>
      <c r="K28" s="825">
        <f t="shared" si="39"/>
        <v>2</v>
      </c>
      <c r="L28" s="826">
        <f>if(or(K26="",K27=""),"",L26-L27)</f>
        <v>2</v>
      </c>
      <c r="M28" s="455"/>
      <c r="N28" s="827" t="s">
        <v>100</v>
      </c>
      <c r="O28" s="810">
        <v>4.0</v>
      </c>
      <c r="P28" s="455"/>
      <c r="Q28" s="805" t="s">
        <v>45</v>
      </c>
      <c r="R28" s="824">
        <f>if(or(R26="",R27=""),"",R26-R27+K28)</f>
        <v>-14</v>
      </c>
      <c r="S28" s="824">
        <f t="shared" ref="S28:Z28" si="40">if(or(S26="",S27=""),"",S26-S27+R28)</f>
        <v>-16</v>
      </c>
      <c r="T28" s="824">
        <f t="shared" si="40"/>
        <v>-16</v>
      </c>
      <c r="U28" s="824">
        <f t="shared" si="40"/>
        <v>-26</v>
      </c>
      <c r="V28" s="824">
        <f t="shared" si="40"/>
        <v>-32</v>
      </c>
      <c r="W28" s="824">
        <f t="shared" si="40"/>
        <v>-32</v>
      </c>
      <c r="X28" s="824">
        <f t="shared" si="40"/>
        <v>-38</v>
      </c>
      <c r="Y28" s="824">
        <f t="shared" si="40"/>
        <v>-42</v>
      </c>
      <c r="Z28" s="825">
        <f t="shared" si="40"/>
        <v>-32</v>
      </c>
      <c r="AA28" s="828">
        <f>if(or(R26="",R27=""),"",AA26-AA27)</f>
        <v>-34</v>
      </c>
      <c r="AB28" s="829">
        <f>if(or(C26="",C27=""),"",Z28)</f>
        <v>-32</v>
      </c>
      <c r="AC28" s="718"/>
      <c r="AD28" s="462"/>
      <c r="AE28" s="827" t="s">
        <v>100</v>
      </c>
      <c r="AF28" s="810">
        <v>4.0</v>
      </c>
    </row>
    <row r="29" ht="14.25" hidden="1" customHeight="1">
      <c r="A29" s="649"/>
      <c r="B29" s="649"/>
      <c r="C29" s="651"/>
      <c r="D29" s="651"/>
      <c r="E29" s="651"/>
      <c r="F29" s="651"/>
      <c r="G29" s="651"/>
      <c r="H29" s="651"/>
      <c r="I29" s="651"/>
      <c r="J29" s="651"/>
      <c r="K29" s="651"/>
      <c r="L29" s="651"/>
      <c r="M29" s="651"/>
      <c r="N29" s="651"/>
      <c r="O29" s="651"/>
      <c r="P29" s="651"/>
      <c r="Q29" s="651"/>
      <c r="R29" s="651"/>
      <c r="S29" s="651"/>
      <c r="T29" s="651"/>
      <c r="U29" s="651"/>
      <c r="V29" s="651"/>
      <c r="W29" s="651"/>
      <c r="X29" s="651"/>
      <c r="Y29" s="651"/>
      <c r="Z29" s="651"/>
      <c r="AA29" s="652"/>
      <c r="AB29" s="652"/>
      <c r="AC29" s="653"/>
      <c r="AD29" s="653"/>
      <c r="AE29" s="653"/>
      <c r="AF29" s="653"/>
    </row>
    <row r="30" ht="14.25" hidden="1" customHeight="1">
      <c r="A30" s="649"/>
      <c r="B30" s="649"/>
      <c r="C30" s="651"/>
      <c r="D30" s="651"/>
      <c r="E30" s="651"/>
      <c r="F30" s="651"/>
      <c r="G30" s="651"/>
      <c r="H30" s="651"/>
      <c r="I30" s="651"/>
      <c r="J30" s="651"/>
      <c r="K30" s="651"/>
      <c r="L30" s="651"/>
      <c r="M30" s="651"/>
      <c r="N30" s="651"/>
      <c r="O30" s="651"/>
      <c r="P30" s="651"/>
      <c r="Q30" s="651"/>
      <c r="R30" s="651"/>
      <c r="S30" s="651"/>
      <c r="T30" s="651"/>
      <c r="U30" s="651"/>
      <c r="V30" s="651"/>
      <c r="W30" s="651"/>
      <c r="X30" s="651"/>
      <c r="Y30" s="651"/>
      <c r="Z30" s="651"/>
      <c r="AA30" s="652" t="s">
        <v>51</v>
      </c>
      <c r="AB30" s="652" t="s">
        <v>68</v>
      </c>
      <c r="AC30" s="653" t="s">
        <v>69</v>
      </c>
      <c r="AD30" s="653"/>
      <c r="AE30" s="653"/>
      <c r="AF30" s="653"/>
    </row>
    <row r="31" ht="14.25" hidden="1" customHeight="1">
      <c r="A31" s="831" t="str">
        <f>A9</f>
        <v>Drivers</v>
      </c>
      <c r="C31" s="651">
        <f t="shared" ref="C31:K31" si="41">if(or(C8="",C13="",C18="",C23=""),"", if(C26&gt;C27,1,if(C26&lt;C27,-1,0)))</f>
        <v>1</v>
      </c>
      <c r="D31" s="651">
        <f t="shared" si="41"/>
        <v>-1</v>
      </c>
      <c r="E31" s="651">
        <f t="shared" si="41"/>
        <v>1</v>
      </c>
      <c r="F31" s="651">
        <f t="shared" si="41"/>
        <v>-1</v>
      </c>
      <c r="G31" s="651">
        <f t="shared" si="41"/>
        <v>-1</v>
      </c>
      <c r="H31" s="651">
        <f t="shared" si="41"/>
        <v>-1</v>
      </c>
      <c r="I31" s="651">
        <f t="shared" si="41"/>
        <v>0</v>
      </c>
      <c r="J31" s="651">
        <f t="shared" si="41"/>
        <v>0</v>
      </c>
      <c r="K31" s="651">
        <f t="shared" si="41"/>
        <v>1</v>
      </c>
      <c r="L31" s="651"/>
      <c r="M31" s="651"/>
      <c r="N31" s="651"/>
      <c r="O31" s="651"/>
      <c r="P31" s="651"/>
      <c r="Q31" s="651"/>
      <c r="R31" s="651">
        <f t="shared" ref="R31:Z31" si="42">if(or(R8="",R13="",R18="",R23=""),"", if(R26&gt;R27,1,if(R26&lt;R27,-1,0)))</f>
        <v>-1</v>
      </c>
      <c r="S31" s="651">
        <f t="shared" si="42"/>
        <v>-1</v>
      </c>
      <c r="T31" s="651">
        <f t="shared" si="42"/>
        <v>0</v>
      </c>
      <c r="U31" s="651">
        <f t="shared" si="42"/>
        <v>-1</v>
      </c>
      <c r="V31" s="651">
        <f t="shared" si="42"/>
        <v>-1</v>
      </c>
      <c r="W31" s="651">
        <f t="shared" si="42"/>
        <v>0</v>
      </c>
      <c r="X31" s="651">
        <f t="shared" si="42"/>
        <v>-1</v>
      </c>
      <c r="Y31" s="651">
        <f t="shared" si="42"/>
        <v>-1</v>
      </c>
      <c r="Z31" s="651">
        <f t="shared" si="42"/>
        <v>1</v>
      </c>
      <c r="AA31" s="652" t="s">
        <v>71</v>
      </c>
      <c r="AB31" s="652" t="s">
        <v>72</v>
      </c>
      <c r="AC31" s="653" t="s">
        <v>73</v>
      </c>
      <c r="AD31" s="653"/>
      <c r="AE31" s="653"/>
      <c r="AF31" s="653"/>
    </row>
    <row r="32" ht="14.25" hidden="1" customHeight="1">
      <c r="A32" s="832" t="str">
        <f>A8</f>
        <v>Telly</v>
      </c>
      <c r="B32" s="833"/>
      <c r="C32" s="834">
        <f t="shared" ref="C32:K32" si="43">C9+C$34</f>
        <v>4</v>
      </c>
      <c r="D32" s="834">
        <f t="shared" si="43"/>
        <v>0</v>
      </c>
      <c r="E32" s="834">
        <f t="shared" si="43"/>
        <v>6</v>
      </c>
      <c r="F32" s="834">
        <f t="shared" si="43"/>
        <v>6</v>
      </c>
      <c r="G32" s="834">
        <f t="shared" si="43"/>
        <v>0</v>
      </c>
      <c r="H32" s="834">
        <f t="shared" si="43"/>
        <v>0</v>
      </c>
      <c r="I32" s="834">
        <f t="shared" si="43"/>
        <v>2</v>
      </c>
      <c r="J32" s="834">
        <f t="shared" si="43"/>
        <v>0</v>
      </c>
      <c r="K32" s="834">
        <f t="shared" si="43"/>
        <v>2</v>
      </c>
      <c r="L32" s="834"/>
      <c r="M32" s="834"/>
      <c r="N32" s="834"/>
      <c r="O32" s="834"/>
      <c r="P32" s="834"/>
      <c r="Q32" s="834"/>
      <c r="R32" s="834">
        <f t="shared" ref="R32:Z32" si="44">R9+R$34</f>
        <v>12</v>
      </c>
      <c r="S32" s="834">
        <f t="shared" si="44"/>
        <v>0</v>
      </c>
      <c r="T32" s="834">
        <f t="shared" si="44"/>
        <v>2</v>
      </c>
      <c r="U32" s="834">
        <f t="shared" si="44"/>
        <v>0</v>
      </c>
      <c r="V32" s="834">
        <f t="shared" si="44"/>
        <v>0</v>
      </c>
      <c r="W32" s="834">
        <f t="shared" si="44"/>
        <v>2</v>
      </c>
      <c r="X32" s="834">
        <f t="shared" si="44"/>
        <v>4</v>
      </c>
      <c r="Y32" s="834">
        <f t="shared" si="44"/>
        <v>0</v>
      </c>
      <c r="Z32" s="834">
        <f t="shared" si="44"/>
        <v>10</v>
      </c>
      <c r="AA32" s="835">
        <f>if($Z$31="","",sum(C32:Z32)/sum(C32:Z33)*18)</f>
        <v>9.375</v>
      </c>
      <c r="AB32" s="835">
        <f t="shared" ref="AB32:AB33" si="47">if($Z$31="","",sum(C32:Z32)/sum($C$32:$Z$33,$C$35:$Z$36)*18)</f>
        <v>4.017857143</v>
      </c>
      <c r="AC32" s="836">
        <f>if($Z$31="","",$AC$26*AB32/(AB32+AB33))</f>
        <v>0</v>
      </c>
      <c r="AD32" s="662"/>
      <c r="AE32" s="662"/>
      <c r="AF32" s="662"/>
    </row>
    <row r="33" ht="14.25" hidden="1" customHeight="1">
      <c r="A33" s="832" t="str">
        <f>A13</f>
        <v>Weezy</v>
      </c>
      <c r="B33" s="833"/>
      <c r="C33" s="834">
        <f t="shared" ref="C33:K33" si="45">C14+C$34</f>
        <v>6</v>
      </c>
      <c r="D33" s="834">
        <f t="shared" si="45"/>
        <v>0</v>
      </c>
      <c r="E33" s="834">
        <f t="shared" si="45"/>
        <v>6</v>
      </c>
      <c r="F33" s="834">
        <f t="shared" si="45"/>
        <v>0</v>
      </c>
      <c r="G33" s="834">
        <f t="shared" si="45"/>
        <v>0</v>
      </c>
      <c r="H33" s="834">
        <f t="shared" si="45"/>
        <v>0</v>
      </c>
      <c r="I33" s="834">
        <f t="shared" si="45"/>
        <v>2</v>
      </c>
      <c r="J33" s="834">
        <f t="shared" si="45"/>
        <v>2</v>
      </c>
      <c r="K33" s="834">
        <f t="shared" si="45"/>
        <v>8</v>
      </c>
      <c r="L33" s="834"/>
      <c r="M33" s="834"/>
      <c r="N33" s="834"/>
      <c r="O33" s="834"/>
      <c r="P33" s="834"/>
      <c r="Q33" s="834"/>
      <c r="R33" s="834">
        <f t="shared" ref="R33:Z33" si="46">R14+R$34</f>
        <v>0</v>
      </c>
      <c r="S33" s="834">
        <f t="shared" si="46"/>
        <v>2</v>
      </c>
      <c r="T33" s="834">
        <f t="shared" si="46"/>
        <v>2</v>
      </c>
      <c r="U33" s="834">
        <f t="shared" si="46"/>
        <v>4</v>
      </c>
      <c r="V33" s="834">
        <f t="shared" si="46"/>
        <v>2</v>
      </c>
      <c r="W33" s="834">
        <f t="shared" si="46"/>
        <v>2</v>
      </c>
      <c r="X33" s="834">
        <f t="shared" si="46"/>
        <v>0</v>
      </c>
      <c r="Y33" s="834">
        <f t="shared" si="46"/>
        <v>2</v>
      </c>
      <c r="Z33" s="834">
        <f t="shared" si="46"/>
        <v>8</v>
      </c>
      <c r="AA33" s="835">
        <f>if($Z$31="","",sum(C33:Z33)/sum(C32:Z33)*18)</f>
        <v>8.625</v>
      </c>
      <c r="AB33" s="835">
        <f t="shared" si="47"/>
        <v>3.696428571</v>
      </c>
      <c r="AC33" s="836">
        <f>if($Z$31="","",$AC$26*AB33/(AB32+AB33))</f>
        <v>0</v>
      </c>
      <c r="AD33" s="662"/>
      <c r="AE33" s="662"/>
      <c r="AF33" s="662"/>
    </row>
    <row r="34" ht="14.25" hidden="1" customHeight="1">
      <c r="A34" s="831" t="str">
        <f>A19</f>
        <v>Irons</v>
      </c>
      <c r="C34" s="838">
        <f t="shared" ref="C34:K34" si="48">if(small({C9,C14,C19,C24},1)&lt;0,small({C9,C14,C19,C24},1)*-1,0)</f>
        <v>4</v>
      </c>
      <c r="D34" s="838">
        <f t="shared" si="48"/>
        <v>0</v>
      </c>
      <c r="E34" s="838">
        <f t="shared" si="48"/>
        <v>4</v>
      </c>
      <c r="F34" s="838">
        <f t="shared" si="48"/>
        <v>4</v>
      </c>
      <c r="G34" s="838">
        <f t="shared" si="48"/>
        <v>0</v>
      </c>
      <c r="H34" s="838">
        <f t="shared" si="48"/>
        <v>0</v>
      </c>
      <c r="I34" s="838">
        <f t="shared" si="48"/>
        <v>0</v>
      </c>
      <c r="J34" s="838">
        <f t="shared" si="48"/>
        <v>0</v>
      </c>
      <c r="K34" s="838">
        <f t="shared" si="48"/>
        <v>0</v>
      </c>
      <c r="L34" s="651"/>
      <c r="M34" s="651"/>
      <c r="N34" s="651"/>
      <c r="O34" s="651"/>
      <c r="P34" s="651"/>
      <c r="Q34" s="651"/>
      <c r="R34" s="838">
        <f t="shared" ref="R34:Z34" si="49">if(small({R9,R14,R19,R24},1)&lt;0,small({R9,R14,R19,R24},1)*-1,0)</f>
        <v>8</v>
      </c>
      <c r="S34" s="838">
        <f t="shared" si="49"/>
        <v>0</v>
      </c>
      <c r="T34" s="838">
        <f t="shared" si="49"/>
        <v>0</v>
      </c>
      <c r="U34" s="838">
        <f t="shared" si="49"/>
        <v>4</v>
      </c>
      <c r="V34" s="838">
        <f t="shared" si="49"/>
        <v>0</v>
      </c>
      <c r="W34" s="838">
        <f t="shared" si="49"/>
        <v>0</v>
      </c>
      <c r="X34" s="838">
        <f t="shared" si="49"/>
        <v>4</v>
      </c>
      <c r="Y34" s="838">
        <f t="shared" si="49"/>
        <v>0</v>
      </c>
      <c r="Z34" s="838">
        <f t="shared" si="49"/>
        <v>8</v>
      </c>
      <c r="AA34" s="651"/>
      <c r="AB34" s="651"/>
      <c r="AC34" s="651"/>
      <c r="AD34" s="651"/>
      <c r="AE34" s="651"/>
      <c r="AF34" s="651"/>
    </row>
    <row r="35" ht="14.25" hidden="1" customHeight="1">
      <c r="A35" s="832" t="str">
        <f>A18</f>
        <v>Jensen</v>
      </c>
      <c r="B35" s="833"/>
      <c r="C35" s="834">
        <f t="shared" ref="C35:K35" si="50">C19+C$34</f>
        <v>0</v>
      </c>
      <c r="D35" s="834">
        <f t="shared" si="50"/>
        <v>2</v>
      </c>
      <c r="E35" s="834">
        <f t="shared" si="50"/>
        <v>0</v>
      </c>
      <c r="F35" s="834">
        <f t="shared" si="50"/>
        <v>4</v>
      </c>
      <c r="G35" s="834">
        <f t="shared" si="50"/>
        <v>0</v>
      </c>
      <c r="H35" s="834">
        <f t="shared" si="50"/>
        <v>4</v>
      </c>
      <c r="I35" s="834">
        <f t="shared" si="50"/>
        <v>0</v>
      </c>
      <c r="J35" s="834">
        <f t="shared" si="50"/>
        <v>0</v>
      </c>
      <c r="K35" s="834">
        <f t="shared" si="50"/>
        <v>2</v>
      </c>
      <c r="L35" s="834"/>
      <c r="M35" s="834"/>
      <c r="N35" s="834"/>
      <c r="O35" s="834"/>
      <c r="P35" s="834"/>
      <c r="Q35" s="834"/>
      <c r="R35" s="834">
        <f t="shared" ref="R35:Z35" si="51">R19+R$34</f>
        <v>16</v>
      </c>
      <c r="S35" s="834">
        <f t="shared" si="51"/>
        <v>4</v>
      </c>
      <c r="T35" s="834">
        <f t="shared" si="51"/>
        <v>2</v>
      </c>
      <c r="U35" s="834">
        <f t="shared" si="51"/>
        <v>6</v>
      </c>
      <c r="V35" s="834">
        <f t="shared" si="51"/>
        <v>8</v>
      </c>
      <c r="W35" s="834">
        <f t="shared" si="51"/>
        <v>4</v>
      </c>
      <c r="X35" s="834">
        <f t="shared" si="51"/>
        <v>4</v>
      </c>
      <c r="Y35" s="834">
        <f t="shared" si="51"/>
        <v>2</v>
      </c>
      <c r="Z35" s="834">
        <f t="shared" si="51"/>
        <v>0</v>
      </c>
      <c r="AA35" s="835">
        <f>if($Z$31="","",sum(C35:Z35)/sum(C35:Z36)*18)</f>
        <v>8.15625</v>
      </c>
      <c r="AB35" s="835">
        <f t="shared" ref="AB35:AB36" si="54">if($Z$31="","",sum(C35:Z35)/sum($C$32:$Z$33,$C$35:$Z$36)*18)</f>
        <v>4.660714286</v>
      </c>
      <c r="AC35" s="836">
        <f>if($Z$31="","",$AC$27*AB35/(AB35+AB36))</f>
        <v>1.8125</v>
      </c>
      <c r="AD35" s="662"/>
      <c r="AE35" s="662"/>
      <c r="AF35" s="662"/>
    </row>
    <row r="36" ht="14.25" hidden="1" customHeight="1">
      <c r="A36" s="832" t="str">
        <f>A23</f>
        <v>Carp</v>
      </c>
      <c r="B36" s="833"/>
      <c r="C36" s="834">
        <f t="shared" ref="C36:K36" si="52">C24+C$34</f>
        <v>4</v>
      </c>
      <c r="D36" s="834">
        <f t="shared" si="52"/>
        <v>0</v>
      </c>
      <c r="E36" s="834">
        <f t="shared" si="52"/>
        <v>6</v>
      </c>
      <c r="F36" s="834">
        <f t="shared" si="52"/>
        <v>4</v>
      </c>
      <c r="G36" s="834">
        <f t="shared" si="52"/>
        <v>2</v>
      </c>
      <c r="H36" s="834">
        <f t="shared" si="52"/>
        <v>4</v>
      </c>
      <c r="I36" s="834">
        <f t="shared" si="52"/>
        <v>4</v>
      </c>
      <c r="J36" s="834">
        <f t="shared" si="52"/>
        <v>2</v>
      </c>
      <c r="K36" s="834">
        <f t="shared" si="52"/>
        <v>4</v>
      </c>
      <c r="L36" s="834"/>
      <c r="M36" s="834"/>
      <c r="N36" s="834"/>
      <c r="O36" s="834"/>
      <c r="P36" s="834"/>
      <c r="Q36" s="834"/>
      <c r="R36" s="834">
        <f t="shared" ref="R36:Z36" si="53">R24+R$34</f>
        <v>12</v>
      </c>
      <c r="S36" s="834">
        <f t="shared" si="53"/>
        <v>0</v>
      </c>
      <c r="T36" s="834">
        <f t="shared" si="53"/>
        <v>2</v>
      </c>
      <c r="U36" s="834">
        <f t="shared" si="53"/>
        <v>8</v>
      </c>
      <c r="V36" s="834">
        <f t="shared" si="53"/>
        <v>0</v>
      </c>
      <c r="W36" s="834">
        <f t="shared" si="53"/>
        <v>0</v>
      </c>
      <c r="X36" s="834">
        <f t="shared" si="53"/>
        <v>6</v>
      </c>
      <c r="Y36" s="834">
        <f t="shared" si="53"/>
        <v>4</v>
      </c>
      <c r="Z36" s="834">
        <f t="shared" si="53"/>
        <v>8</v>
      </c>
      <c r="AA36" s="835">
        <f>if($Z$31="","",sum(C36:Z36)/sum(C35:Z36)*18)</f>
        <v>9.84375</v>
      </c>
      <c r="AB36" s="835">
        <f t="shared" si="54"/>
        <v>5.625</v>
      </c>
      <c r="AC36" s="836">
        <f>if($Z$31="","",$AC$27*AB36/(AB35+AB36))</f>
        <v>2.1875</v>
      </c>
      <c r="AD36" s="662"/>
      <c r="AE36" s="662"/>
      <c r="AF36" s="662"/>
    </row>
  </sheetData>
  <mergeCells count="3">
    <mergeCell ref="B2:B4"/>
    <mergeCell ref="N5:N6"/>
    <mergeCell ref="AE5:AE6"/>
  </mergeCells>
  <conditionalFormatting sqref="L26 AA26:AC26">
    <cfRule type="notContainsBlanks" dxfId="20" priority="1">
      <formula>LEN(TRIM(L26))&gt;0</formula>
    </cfRule>
  </conditionalFormatting>
  <conditionalFormatting sqref="AB19 AB24 L27 AA27:AC27">
    <cfRule type="notContainsBlanks" dxfId="15" priority="2">
      <formula>LEN(TRIM(AB19))&gt;0</formula>
    </cfRule>
  </conditionalFormatting>
  <conditionalFormatting sqref="AB9 AB14">
    <cfRule type="notContainsBlanks" dxfId="16" priority="3">
      <formula>LEN(TRIM(AB9))&gt;0</formula>
    </cfRule>
  </conditionalFormatting>
  <conditionalFormatting sqref="R19">
    <cfRule type="expression" dxfId="17" priority="4">
      <formula>and(R$18&lt;&gt;"",R$18-R$17&lt;R$3,or(and(K$18&lt;&gt;"",K$18-K$17&lt;K$3),and(K$23&lt;&gt;"",K$23-K$22&lt;K$3)))</formula>
    </cfRule>
  </conditionalFormatting>
  <conditionalFormatting sqref="R24">
    <cfRule type="expression" dxfId="17" priority="5">
      <formula>and(R$23&lt;&gt;"",R$23-R$22&lt;R$3,or(and(K$18&lt;&gt;"",K$18-K$17&lt;K$3),and(K$23&lt;&gt;"",K$23-K$22&lt;K$3)))</formula>
    </cfRule>
  </conditionalFormatting>
  <conditionalFormatting sqref="R19 R24">
    <cfRule type="expression" dxfId="18" priority="6">
      <formula>or(and(K$18&lt;&gt;"",K$18-K$17&lt;K$3),and(K$23&lt;&gt;"",K$23-K$22&lt;K$3))</formula>
    </cfRule>
  </conditionalFormatting>
  <conditionalFormatting sqref="R9">
    <cfRule type="expression" dxfId="19" priority="7">
      <formula>and(R$8&lt;&gt;"",R$8-R$7&lt;R$3,or(and(K$8&lt;&gt;"",K$8-K$7&lt;K$3),and(K$13&lt;&gt;"",K$13-K$12&lt;K$3)))</formula>
    </cfRule>
  </conditionalFormatting>
  <conditionalFormatting sqref="R14">
    <cfRule type="expression" dxfId="19" priority="8">
      <formula>and(R$13&lt;&gt;"",R$13-R$12&lt;R$3,or(and(K$8&lt;&gt;"",K$8-K$7&lt;K$3),and(K$13&lt;&gt;"",K$13-K$12&lt;K$3)))</formula>
    </cfRule>
  </conditionalFormatting>
  <conditionalFormatting sqref="R9 R14">
    <cfRule type="expression" dxfId="18" priority="9">
      <formula>or(and(K$8&lt;&gt;"",K$8-K$7&lt;K$3),and(K$13&lt;&gt;"",K$13-K$12&lt;K$3))</formula>
    </cfRule>
  </conditionalFormatting>
  <conditionalFormatting sqref="D19:K19 S19:Z19">
    <cfRule type="expression" dxfId="17" priority="10">
      <formula>and(D18&lt;&gt;"",D18-D17&lt;D$3,or(and(C$18&lt;&gt;"",C$18-C$17&lt;C$3),and(C$23&lt;&gt;"",C$23-C$22&lt;C$3)))</formula>
    </cfRule>
  </conditionalFormatting>
  <conditionalFormatting sqref="D24:K24 S24:Z24">
    <cfRule type="expression" dxfId="17" priority="11">
      <formula>and(D$23&lt;&gt;"",D$23-D$22&lt;D$3,or(and(C$18&lt;&gt;"",C$18-C$17&lt;C$3),and(C$23&lt;&gt;"",C$23-C$22&lt;C$3)))</formula>
    </cfRule>
  </conditionalFormatting>
  <conditionalFormatting sqref="D19:K19 S19:Z19 D24:K24 S24:Z24">
    <cfRule type="expression" dxfId="18" priority="12">
      <formula>or(and(C$18&lt;&gt;"",C$18-C$17&lt;C$3),and(C$23&lt;&gt;"",C$23-C$22&lt;C$3))</formula>
    </cfRule>
  </conditionalFormatting>
  <conditionalFormatting sqref="C19:K19 R19:Z19 C24:K24 R24:Z24">
    <cfRule type="expression" dxfId="15" priority="13">
      <formula>and(C18&lt;&gt;"",C18-C17&lt;C$3)</formula>
    </cfRule>
  </conditionalFormatting>
  <conditionalFormatting sqref="C8:K8 R8:Z8 C13:K13 R13:Z13">
    <cfRule type="expression" dxfId="16" priority="14">
      <formula>and(C8&lt;&gt;"",C8-C7&lt;C$3)</formula>
    </cfRule>
  </conditionalFormatting>
  <conditionalFormatting sqref="C18:K18 R18:Z18 C23:K23 R23:Z23">
    <cfRule type="expression" dxfId="15" priority="15">
      <formula>and(C18&lt;&gt;"",C18-C17&lt;C$3)</formula>
    </cfRule>
  </conditionalFormatting>
  <conditionalFormatting sqref="D9:K9 S9:Z9">
    <cfRule type="expression" dxfId="19" priority="16">
      <formula>and(D$8&lt;&gt;"",D$8-D$7&lt;D$3,or(and(C$8&lt;&gt;"",C$8-C$7&lt;C$3),and(C$13&lt;&gt;"",C$13-C$12&lt;C$3)))</formula>
    </cfRule>
  </conditionalFormatting>
  <conditionalFormatting sqref="D14:K14 S14:Z14">
    <cfRule type="expression" dxfId="19" priority="17">
      <formula>and(D$13&lt;&gt;"",D$13-D$12&lt;D$3,or(and(C$8&lt;&gt;"",C$8-C$7&lt;C$3),and(C$13&lt;&gt;"",C$13-C$12&lt;C$3)))</formula>
    </cfRule>
  </conditionalFormatting>
  <conditionalFormatting sqref="D9:K9 S9:Z9 D14:K14 S14:Z14">
    <cfRule type="expression" dxfId="18" priority="18">
      <formula>or(and(C$8&lt;&gt;"",C$8-C$7&lt;C$3),and(C$13&lt;&gt;"",C$13-C$12&lt;C$3))</formula>
    </cfRule>
  </conditionalFormatting>
  <conditionalFormatting sqref="C9:K9 R9:Z9 C14:K14 R14:Z14">
    <cfRule type="expression" dxfId="16" priority="19">
      <formula>and(C8&lt;&gt;"",C8-C7&lt;C$3)</formula>
    </cfRule>
  </conditionalFormatting>
  <printOptions horizontalCentered="1"/>
  <pageMargins bottom="0.5" footer="0.0" header="0.0" left="0.55"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12" width="5.86"/>
    <col customWidth="1" min="13" max="13" width="2.43"/>
    <col customWidth="1" min="14" max="15" width="5.0"/>
    <col customWidth="1" min="16" max="16" width="2.43"/>
    <col customWidth="1" min="17" max="17" width="8.14"/>
    <col customWidth="1" min="18" max="27" width="5.86"/>
    <col customWidth="1" min="28" max="29" width="6.57"/>
    <col customWidth="1" min="30" max="30" width="2.43"/>
    <col customWidth="1" min="31" max="32" width="5.0"/>
  </cols>
  <sheetData>
    <row r="1" ht="13.5" customHeight="1">
      <c r="A1" s="663" t="s">
        <v>76</v>
      </c>
      <c r="B1" s="664">
        <f>'Master Input'!J4</f>
        <v>0.10625</v>
      </c>
      <c r="C1" s="665" t="str">
        <f>'Master Input'!$I$2</f>
        <v>Round 3</v>
      </c>
      <c r="D1" s="666"/>
      <c r="E1" s="665" t="str">
        <f>'Master Input'!$I$6</f>
        <v>Ravines GC - White</v>
      </c>
      <c r="F1" s="667"/>
      <c r="G1" s="667"/>
      <c r="H1" s="667"/>
      <c r="I1" s="667"/>
      <c r="J1" s="667"/>
      <c r="K1" s="667"/>
      <c r="L1" s="668"/>
      <c r="M1" s="669"/>
      <c r="N1" s="670"/>
      <c r="O1" s="670"/>
      <c r="P1" s="669"/>
      <c r="Q1" s="671" t="str">
        <f>'Master Input'!$I$2</f>
        <v>Round 3</v>
      </c>
      <c r="R1" s="666"/>
      <c r="S1" s="665" t="str">
        <f>'Master Input'!$I$6</f>
        <v>Ravines GC - White</v>
      </c>
      <c r="T1" s="667"/>
      <c r="U1" s="667"/>
      <c r="V1" s="667"/>
      <c r="W1" s="667"/>
      <c r="X1" s="667"/>
      <c r="Y1" s="667"/>
      <c r="Z1" s="667"/>
      <c r="AA1" s="667"/>
      <c r="AB1" s="667"/>
      <c r="AC1" s="668"/>
      <c r="AD1" s="672"/>
      <c r="AE1" s="672"/>
      <c r="AF1" s="672"/>
    </row>
    <row r="2" ht="13.5" customHeight="1">
      <c r="A2" s="673" t="s">
        <v>55</v>
      </c>
      <c r="B2" s="674" t="str">
        <f>'Match Selection'!B14</f>
        <v>2-Man Tilt</v>
      </c>
      <c r="C2" s="675">
        <f>vlookup($E1, 'Course List'!$A$3:$AS$14,5+C4, false)</f>
        <v>9</v>
      </c>
      <c r="D2" s="676">
        <f>vlookup($E1, 'Course List'!$A$3:$AS$14,5+D4, false)</f>
        <v>15</v>
      </c>
      <c r="E2" s="676">
        <f>vlookup($E1, 'Course List'!$A$3:$AS$14,5+E4, false)</f>
        <v>13</v>
      </c>
      <c r="F2" s="676">
        <f>vlookup($E1, 'Course List'!$A$3:$AS$14,5+F4, false)</f>
        <v>1</v>
      </c>
      <c r="G2" s="676">
        <f>vlookup($E1, 'Course List'!$A$3:$AS$14,5+G4, false)</f>
        <v>3</v>
      </c>
      <c r="H2" s="676">
        <f>vlookup($E1, 'Course List'!$A$3:$AS$14,5+H4, false)</f>
        <v>5</v>
      </c>
      <c r="I2" s="676">
        <f>vlookup($E1, 'Course List'!$A$3:$AS$14,5+I4, false)</f>
        <v>17</v>
      </c>
      <c r="J2" s="676">
        <f>vlookup($E1, 'Course List'!$A$3:$AS$14,5+J4, false)</f>
        <v>11</v>
      </c>
      <c r="K2" s="677">
        <f>vlookup($E1, 'Course List'!$A$3:$AS$14,5+K4, false)</f>
        <v>7</v>
      </c>
      <c r="L2" s="678"/>
      <c r="M2" s="679"/>
      <c r="N2" s="680"/>
      <c r="O2" s="680"/>
      <c r="P2" s="679"/>
      <c r="Q2" s="673" t="s">
        <v>55</v>
      </c>
      <c r="R2" s="676">
        <f>vlookup($E1, 'Course List'!$A$3:$AS$14,5+R4, false)</f>
        <v>4</v>
      </c>
      <c r="S2" s="676">
        <f>vlookup($E1, 'Course List'!$A$3:$AS$14,5+S4, false)</f>
        <v>10</v>
      </c>
      <c r="T2" s="676">
        <f>vlookup($E1, 'Course List'!$A$3:$AS$14,5+T4, false)</f>
        <v>16</v>
      </c>
      <c r="U2" s="676">
        <f>vlookup($E1, 'Course List'!$A$3:$AS$14,5+U4, false)</f>
        <v>14</v>
      </c>
      <c r="V2" s="676">
        <f>vlookup($E1, 'Course List'!$A$3:$AS$14,5+V4, false)</f>
        <v>2</v>
      </c>
      <c r="W2" s="676">
        <f>vlookup($E1, 'Course List'!$A$3:$AS$14,5+W4, false)</f>
        <v>8</v>
      </c>
      <c r="X2" s="676">
        <f>vlookup($E1, 'Course List'!$A$3:$AS$14,5+X4, false)</f>
        <v>18</v>
      </c>
      <c r="Y2" s="676">
        <f>vlookup($E1, 'Course List'!$A$3:$AS$14,5+Y4, false)</f>
        <v>12</v>
      </c>
      <c r="Z2" s="677">
        <f>vlookup($E1, 'Course List'!$A$3:$AS$14,5+Z4, false)</f>
        <v>6</v>
      </c>
      <c r="AA2" s="681"/>
      <c r="AB2" s="682"/>
      <c r="AC2" s="683"/>
      <c r="AD2" s="648"/>
      <c r="AE2" s="648"/>
      <c r="AF2" s="648"/>
    </row>
    <row r="3" ht="13.5" customHeight="1">
      <c r="A3" s="684" t="s">
        <v>56</v>
      </c>
      <c r="B3" s="685"/>
      <c r="C3" s="686">
        <f>vlookup($E1, 'Course List'!$A$3:$AS$14,27+C4, false)</f>
        <v>4</v>
      </c>
      <c r="D3" s="687">
        <f>vlookup($E1, 'Course List'!$A$3:$AS$14,27+D4, false)</f>
        <v>4</v>
      </c>
      <c r="E3" s="687">
        <f>vlookup($E1, 'Course List'!$A$3:$AS$14,27+E4, false)</f>
        <v>3</v>
      </c>
      <c r="F3" s="687">
        <f>vlookup($E1, 'Course List'!$A$3:$AS$14,27+F4, false)</f>
        <v>5</v>
      </c>
      <c r="G3" s="687">
        <f>vlookup($E1, 'Course List'!$A$3:$AS$14,27+G4, false)</f>
        <v>4</v>
      </c>
      <c r="H3" s="687">
        <f>vlookup($E1, 'Course List'!$A$3:$AS$14,27+H4, false)</f>
        <v>4</v>
      </c>
      <c r="I3" s="687">
        <f>vlookup($E1, 'Course List'!$A$3:$AS$14,27+I4, false)</f>
        <v>4</v>
      </c>
      <c r="J3" s="687">
        <f>vlookup($E1, 'Course List'!$A$3:$AS$14,27+J4, false)</f>
        <v>3</v>
      </c>
      <c r="K3" s="688">
        <f>vlookup($E1, 'Course List'!$A$3:$AS$14,27+K4, false)</f>
        <v>5</v>
      </c>
      <c r="L3" s="689">
        <f>SUM(C3:K3)</f>
        <v>36</v>
      </c>
      <c r="M3" s="679"/>
      <c r="N3" s="680"/>
      <c r="O3" s="680"/>
      <c r="P3" s="679"/>
      <c r="Q3" s="684" t="s">
        <v>56</v>
      </c>
      <c r="R3" s="687">
        <f>vlookup($E1, 'Course List'!$A$3:$AS$14,27+R4, false)</f>
        <v>4</v>
      </c>
      <c r="S3" s="687">
        <f>vlookup($E1, 'Course List'!$A$3:$AS$14,27+S4, false)</f>
        <v>4</v>
      </c>
      <c r="T3" s="687">
        <f>vlookup($E1, 'Course List'!$A$3:$AS$14,27+T4, false)</f>
        <v>3</v>
      </c>
      <c r="U3" s="687">
        <f>vlookup($E1, 'Course List'!$A$3:$AS$14,27+U4, false)</f>
        <v>4</v>
      </c>
      <c r="V3" s="687">
        <f>vlookup($E1, 'Course List'!$A$3:$AS$14,27+V4, false)</f>
        <v>5</v>
      </c>
      <c r="W3" s="687">
        <f>vlookup($E1, 'Course List'!$A$3:$AS$14,27+W4, false)</f>
        <v>4</v>
      </c>
      <c r="X3" s="687">
        <f>vlookup($E1, 'Course List'!$A$3:$AS$14,27+X4, false)</f>
        <v>4</v>
      </c>
      <c r="Y3" s="687">
        <f>vlookup($E1, 'Course List'!$A$3:$AS$14,27+Y4, false)</f>
        <v>3</v>
      </c>
      <c r="Z3" s="688">
        <f>vlookup($E1, 'Course List'!$A$3:$AS$14,27+Z4, false)</f>
        <v>5</v>
      </c>
      <c r="AA3" s="686">
        <f>SUM(R3:Z3)</f>
        <v>36</v>
      </c>
      <c r="AB3" s="687">
        <f>L3+AA3</f>
        <v>72</v>
      </c>
      <c r="AC3" s="690"/>
      <c r="AD3" s="648"/>
      <c r="AE3" s="648"/>
      <c r="AF3" s="648"/>
    </row>
    <row r="4" ht="13.5" customHeight="1">
      <c r="A4" s="691" t="s">
        <v>10</v>
      </c>
      <c r="B4" s="692"/>
      <c r="C4" s="693">
        <v>1.0</v>
      </c>
      <c r="D4" s="330">
        <v>2.0</v>
      </c>
      <c r="E4" s="330">
        <v>3.0</v>
      </c>
      <c r="F4" s="330">
        <v>4.0</v>
      </c>
      <c r="G4" s="330">
        <v>5.0</v>
      </c>
      <c r="H4" s="330">
        <v>6.0</v>
      </c>
      <c r="I4" s="330">
        <v>7.0</v>
      </c>
      <c r="J4" s="330">
        <v>8.0</v>
      </c>
      <c r="K4" s="694">
        <v>9.0</v>
      </c>
      <c r="L4" s="695" t="s">
        <v>60</v>
      </c>
      <c r="M4" s="313"/>
      <c r="N4" s="648"/>
      <c r="O4" s="648"/>
      <c r="P4" s="313"/>
      <c r="Q4" s="691" t="s">
        <v>10</v>
      </c>
      <c r="R4" s="330">
        <v>10.0</v>
      </c>
      <c r="S4" s="330">
        <v>11.0</v>
      </c>
      <c r="T4" s="330">
        <v>12.0</v>
      </c>
      <c r="U4" s="330">
        <v>13.0</v>
      </c>
      <c r="V4" s="330">
        <v>14.0</v>
      </c>
      <c r="W4" s="330">
        <v>15.0</v>
      </c>
      <c r="X4" s="330">
        <v>16.0</v>
      </c>
      <c r="Y4" s="330">
        <v>17.0</v>
      </c>
      <c r="Z4" s="694">
        <v>18.0</v>
      </c>
      <c r="AA4" s="696" t="s">
        <v>61</v>
      </c>
      <c r="AB4" s="697" t="s">
        <v>83</v>
      </c>
      <c r="AC4" s="698" t="s">
        <v>84</v>
      </c>
      <c r="AD4" s="462"/>
      <c r="AE4" s="699"/>
      <c r="AF4" s="648"/>
    </row>
    <row r="5" ht="3.75" customHeight="1">
      <c r="A5" s="700"/>
      <c r="B5" s="700"/>
      <c r="C5" s="701"/>
      <c r="D5" s="701"/>
      <c r="E5" s="701"/>
      <c r="F5" s="701"/>
      <c r="G5" s="701"/>
      <c r="H5" s="701"/>
      <c r="I5" s="701"/>
      <c r="J5" s="701"/>
      <c r="K5" s="701"/>
      <c r="L5" s="340"/>
      <c r="M5" s="341"/>
      <c r="N5" s="702" t="s">
        <v>85</v>
      </c>
      <c r="O5" s="455"/>
      <c r="P5" s="341"/>
      <c r="Q5" s="703"/>
      <c r="R5" s="701"/>
      <c r="S5" s="701"/>
      <c r="T5" s="701"/>
      <c r="U5" s="701"/>
      <c r="V5" s="701"/>
      <c r="W5" s="701"/>
      <c r="X5" s="701"/>
      <c r="Y5" s="701"/>
      <c r="Z5" s="701"/>
      <c r="AA5" s="336"/>
      <c r="AB5" s="342"/>
      <c r="AC5" s="342"/>
      <c r="AD5" s="462"/>
      <c r="AE5" s="702" t="s">
        <v>85</v>
      </c>
      <c r="AF5" s="704"/>
    </row>
    <row r="6" ht="7.5" customHeight="1">
      <c r="A6" s="705"/>
      <c r="B6" s="706"/>
      <c r="C6" s="707" t="str">
        <f t="shared" ref="C6:K6" si="1">if(C7=1,"O", if(C7=2,"O   O",""))</f>
        <v/>
      </c>
      <c r="D6" s="708" t="str">
        <f t="shared" si="1"/>
        <v/>
      </c>
      <c r="E6" s="708" t="str">
        <f t="shared" si="1"/>
        <v/>
      </c>
      <c r="F6" s="708" t="str">
        <f t="shared" si="1"/>
        <v>O</v>
      </c>
      <c r="G6" s="708" t="str">
        <f t="shared" si="1"/>
        <v>O</v>
      </c>
      <c r="H6" s="708" t="str">
        <f t="shared" si="1"/>
        <v>O</v>
      </c>
      <c r="I6" s="708" t="str">
        <f t="shared" si="1"/>
        <v/>
      </c>
      <c r="J6" s="708" t="str">
        <f t="shared" si="1"/>
        <v/>
      </c>
      <c r="K6" s="709" t="str">
        <f t="shared" si="1"/>
        <v>O</v>
      </c>
      <c r="L6" s="710"/>
      <c r="M6" s="711"/>
      <c r="O6" s="712"/>
      <c r="P6" s="713"/>
      <c r="Q6" s="714"/>
      <c r="R6" s="707" t="str">
        <f t="shared" ref="R6:Z6" si="2">if(R7=1,"O", if(R7=2,"O   O",""))</f>
        <v>O</v>
      </c>
      <c r="S6" s="708" t="str">
        <f t="shared" si="2"/>
        <v/>
      </c>
      <c r="T6" s="708" t="str">
        <f t="shared" si="2"/>
        <v/>
      </c>
      <c r="U6" s="708" t="str">
        <f t="shared" si="2"/>
        <v/>
      </c>
      <c r="V6" s="708" t="str">
        <f t="shared" si="2"/>
        <v>O</v>
      </c>
      <c r="W6" s="708" t="str">
        <f t="shared" si="2"/>
        <v/>
      </c>
      <c r="X6" s="708" t="str">
        <f t="shared" si="2"/>
        <v/>
      </c>
      <c r="Y6" s="708" t="str">
        <f t="shared" si="2"/>
        <v/>
      </c>
      <c r="Z6" s="709" t="str">
        <f t="shared" si="2"/>
        <v>O</v>
      </c>
      <c r="AA6" s="715"/>
      <c r="AB6" s="716"/>
      <c r="AC6" s="717"/>
      <c r="AD6" s="462"/>
      <c r="AF6" s="718"/>
    </row>
    <row r="7" ht="22.5" hidden="1" customHeight="1">
      <c r="A7" s="719"/>
      <c r="B7" s="720"/>
      <c r="C7" s="721">
        <f t="shared" ref="C7:K7" si="3">IF($B8&gt;0,FLOOR($B8/18,1),0)+IF(AND(MOD($B8,18)&gt;=C$2,$B8&gt;0),1,0)-IF(C$2-18&gt;$B8,1,0)</f>
        <v>0</v>
      </c>
      <c r="D7" s="721">
        <f t="shared" si="3"/>
        <v>0</v>
      </c>
      <c r="E7" s="721">
        <f t="shared" si="3"/>
        <v>0</v>
      </c>
      <c r="F7" s="721">
        <f t="shared" si="3"/>
        <v>1</v>
      </c>
      <c r="G7" s="721">
        <f t="shared" si="3"/>
        <v>1</v>
      </c>
      <c r="H7" s="721">
        <f t="shared" si="3"/>
        <v>1</v>
      </c>
      <c r="I7" s="721">
        <f t="shared" si="3"/>
        <v>0</v>
      </c>
      <c r="J7" s="721">
        <f t="shared" si="3"/>
        <v>0</v>
      </c>
      <c r="K7" s="721">
        <f t="shared" si="3"/>
        <v>1</v>
      </c>
      <c r="L7" s="722"/>
      <c r="M7" s="722"/>
      <c r="N7" s="722"/>
      <c r="O7" s="722"/>
      <c r="P7" s="455"/>
      <c r="Q7" s="723"/>
      <c r="R7" s="721">
        <f t="shared" ref="R7:Z7" si="4">IF($B8&gt;0,FLOOR($B8/18,1),0)+IF(AND(MOD($B8,18)&gt;=R$2,$B8&gt;0),1,0)-IF(R$2-18&gt;$B8,1,0)</f>
        <v>1</v>
      </c>
      <c r="S7" s="721">
        <f t="shared" si="4"/>
        <v>0</v>
      </c>
      <c r="T7" s="721">
        <f t="shared" si="4"/>
        <v>0</v>
      </c>
      <c r="U7" s="721">
        <f t="shared" si="4"/>
        <v>0</v>
      </c>
      <c r="V7" s="721">
        <f t="shared" si="4"/>
        <v>1</v>
      </c>
      <c r="W7" s="721">
        <f t="shared" si="4"/>
        <v>0</v>
      </c>
      <c r="X7" s="721">
        <f t="shared" si="4"/>
        <v>0</v>
      </c>
      <c r="Y7" s="721">
        <f t="shared" si="4"/>
        <v>0</v>
      </c>
      <c r="Z7" s="721">
        <f t="shared" si="4"/>
        <v>1</v>
      </c>
      <c r="AA7" s="455"/>
      <c r="AB7" s="455"/>
      <c r="AC7" s="724"/>
      <c r="AD7" s="722"/>
      <c r="AE7" s="722"/>
      <c r="AF7" s="722"/>
    </row>
    <row r="8" ht="18.75" customHeight="1">
      <c r="A8" s="725" t="str">
        <f>'Match Selection'!V14</f>
        <v>R-Mac</v>
      </c>
      <c r="B8" s="726">
        <f>if(A8="","", vlookup(A8,'Master Input'!$A$11:$L$27,'Master Input'!$J$28, false))</f>
        <v>7</v>
      </c>
      <c r="C8" s="727">
        <v>4.0</v>
      </c>
      <c r="D8" s="728">
        <v>4.0</v>
      </c>
      <c r="E8" s="728">
        <v>3.0</v>
      </c>
      <c r="F8" s="728">
        <v>8.0</v>
      </c>
      <c r="G8" s="728">
        <v>5.0</v>
      </c>
      <c r="H8" s="728">
        <v>6.0</v>
      </c>
      <c r="I8" s="728">
        <v>3.0</v>
      </c>
      <c r="J8" s="728">
        <v>3.0</v>
      </c>
      <c r="K8" s="729">
        <v>5.0</v>
      </c>
      <c r="L8" s="730">
        <f>if(K8="","", sum(C8:K8))</f>
        <v>41</v>
      </c>
      <c r="M8" s="648"/>
      <c r="N8" s="731">
        <f>'R3_G1'!$N$8</f>
        <v>12</v>
      </c>
      <c r="O8" s="732" t="s">
        <v>87</v>
      </c>
      <c r="P8" s="455"/>
      <c r="Q8" s="733" t="str">
        <f>A8</f>
        <v>R-Mac</v>
      </c>
      <c r="R8" s="727">
        <v>7.0</v>
      </c>
      <c r="S8" s="728">
        <v>5.0</v>
      </c>
      <c r="T8" s="728">
        <v>3.0</v>
      </c>
      <c r="U8" s="728">
        <v>4.0</v>
      </c>
      <c r="V8" s="728">
        <v>5.0</v>
      </c>
      <c r="W8" s="728">
        <v>5.0</v>
      </c>
      <c r="X8" s="728">
        <v>4.0</v>
      </c>
      <c r="Y8" s="728">
        <v>3.0</v>
      </c>
      <c r="Z8" s="729">
        <v>4.0</v>
      </c>
      <c r="AA8" s="734">
        <f>if(Z8="","", sum(R8:Z8))</f>
        <v>40</v>
      </c>
      <c r="AB8" s="735">
        <f t="shared" ref="AB8:AB9" si="7">if(AA8="", "", sum(L8,AA8))</f>
        <v>81</v>
      </c>
      <c r="AC8" s="736">
        <f>if(Z8="", "", AB8-B8)</f>
        <v>74</v>
      </c>
      <c r="AD8" s="648"/>
      <c r="AE8" s="737">
        <f t="shared" ref="AE8:AE9" si="8">N8</f>
        <v>12</v>
      </c>
      <c r="AF8" s="732" t="s">
        <v>87</v>
      </c>
    </row>
    <row r="9" ht="21.0" customHeight="1">
      <c r="A9" s="738" t="str">
        <f>vlookup(A8, 'Master Input'!$A$11:$B$27,2, false)</f>
        <v>Drivers</v>
      </c>
      <c r="B9" s="739" t="s">
        <v>88</v>
      </c>
      <c r="C9" s="740">
        <f>if(C8="","",
if(C8-C7-C$3=-3,$N$8,
if(C8-C7-C$3=-2,$N$9,
if(C8-C7-C$3=-1,$N$13,
if(C8-C7-C$3=0,$N$14,
if(C8-C7-C$3=1,$N$18,$N$19))))))</f>
        <v>2</v>
      </c>
      <c r="D9" s="741">
        <f t="shared" ref="D9:K9" si="5">if(D8="","",(
if(D8-D7-D$3=-3,$N$8,
if(D8-D7-D$3=-2,$N$9,
if(D8-D7-D$3=-1,$N$13,
if(D8-D7-D$3=0,$N$14,
if(D8-D7-D$3=1,$N$18,$N$19)))))
* if(or(C8-C7-C$3&lt;0,C13-C12-C$3&lt;0),2,1)))</f>
        <v>2</v>
      </c>
      <c r="E9" s="741">
        <f t="shared" si="5"/>
        <v>2</v>
      </c>
      <c r="F9" s="741">
        <f t="shared" si="5"/>
        <v>-4</v>
      </c>
      <c r="G9" s="741">
        <f t="shared" si="5"/>
        <v>2</v>
      </c>
      <c r="H9" s="741">
        <f t="shared" si="5"/>
        <v>0</v>
      </c>
      <c r="I9" s="741">
        <f t="shared" si="5"/>
        <v>4</v>
      </c>
      <c r="J9" s="741">
        <f t="shared" si="5"/>
        <v>4</v>
      </c>
      <c r="K9" s="742">
        <f t="shared" si="5"/>
        <v>4</v>
      </c>
      <c r="L9" s="743">
        <f>if(C9="","",sum(C9:K9))</f>
        <v>16</v>
      </c>
      <c r="M9" s="648"/>
      <c r="N9" s="731">
        <f>'R3_G1'!$N$9</f>
        <v>8</v>
      </c>
      <c r="O9" s="744" t="s">
        <v>89</v>
      </c>
      <c r="P9" s="455"/>
      <c r="Q9" s="745" t="s">
        <v>88</v>
      </c>
      <c r="R9" s="740">
        <f>if(R8="","",(
if(R8-R7-R$3=-3,$N$8,
if(R8-R7-R$3=-2,$N$9,
if(R8-R7-R$3=-1,$N$13,
if(R8-R7-R$3=0,$N$14,
if(R8-R7-R$3=1,$N$18,$N$19)))))
* if(or(K8-K7-K$3&lt;0,K13-K12-K$3&lt;0),2,1)))</f>
        <v>-8</v>
      </c>
      <c r="S9" s="741">
        <f t="shared" ref="S9:Z9" si="6">if(S8="","",(
if(S8-S7-S$3=-3,$N$8,
if(S8-S7-S$3=-2,$N$9,
if(S8-S7-S$3=-1,$N$13,
if(S8-S7-S$3=0,$N$14,
if(S8-S7-S$3=1,$N$18,$N$19)))))
* if(or(R8-R7-R$3&lt;0,R13-R12-R$3&lt;0),2,1)))</f>
        <v>0</v>
      </c>
      <c r="T9" s="741">
        <f t="shared" si="6"/>
        <v>2</v>
      </c>
      <c r="U9" s="741">
        <f t="shared" si="6"/>
        <v>4</v>
      </c>
      <c r="V9" s="741">
        <f t="shared" si="6"/>
        <v>8</v>
      </c>
      <c r="W9" s="741">
        <f t="shared" si="6"/>
        <v>0</v>
      </c>
      <c r="X9" s="741">
        <f t="shared" si="6"/>
        <v>4</v>
      </c>
      <c r="Y9" s="741">
        <f t="shared" si="6"/>
        <v>2</v>
      </c>
      <c r="Z9" s="742">
        <f t="shared" si="6"/>
        <v>8</v>
      </c>
      <c r="AA9" s="746">
        <f>if(R9="","",sum(R9:Z9))</f>
        <v>20</v>
      </c>
      <c r="AB9" s="747">
        <f t="shared" si="7"/>
        <v>36</v>
      </c>
      <c r="AC9" s="748"/>
      <c r="AD9" s="648"/>
      <c r="AE9" s="737">
        <f t="shared" si="8"/>
        <v>8</v>
      </c>
      <c r="AF9" s="732" t="s">
        <v>89</v>
      </c>
    </row>
    <row r="10" ht="3.75" customHeight="1">
      <c r="A10" s="749"/>
      <c r="B10" s="455"/>
      <c r="C10" s="722"/>
      <c r="D10" s="722"/>
      <c r="E10" s="722"/>
      <c r="F10" s="722"/>
      <c r="G10" s="722"/>
      <c r="H10" s="722"/>
      <c r="I10" s="722"/>
      <c r="J10" s="722"/>
      <c r="K10" s="722"/>
      <c r="L10" s="722"/>
      <c r="M10" s="648"/>
      <c r="N10" s="750"/>
      <c r="O10" s="751"/>
      <c r="P10" s="722"/>
      <c r="Q10" s="752"/>
      <c r="R10" s="722"/>
      <c r="S10" s="722"/>
      <c r="T10" s="722"/>
      <c r="U10" s="722"/>
      <c r="V10" s="722"/>
      <c r="W10" s="722"/>
      <c r="X10" s="722"/>
      <c r="Y10" s="722"/>
      <c r="Z10" s="722"/>
      <c r="AA10" s="722"/>
      <c r="AB10" s="722"/>
      <c r="AC10" s="722"/>
      <c r="AD10" s="648"/>
      <c r="AE10" s="750"/>
      <c r="AF10" s="751"/>
    </row>
    <row r="11" ht="7.5" customHeight="1">
      <c r="A11" s="753"/>
      <c r="B11" s="706"/>
      <c r="C11" s="707" t="str">
        <f t="shared" ref="C11:K11" si="9">if(C12=1,"O", if(C12=2,"O   O",""))</f>
        <v>O</v>
      </c>
      <c r="D11" s="708" t="str">
        <f t="shared" si="9"/>
        <v>O</v>
      </c>
      <c r="E11" s="708" t="str">
        <f t="shared" si="9"/>
        <v>O</v>
      </c>
      <c r="F11" s="708" t="str">
        <f t="shared" si="9"/>
        <v>O   O</v>
      </c>
      <c r="G11" s="708" t="str">
        <f t="shared" si="9"/>
        <v>O   O</v>
      </c>
      <c r="H11" s="708" t="str">
        <f t="shared" si="9"/>
        <v>O   O</v>
      </c>
      <c r="I11" s="708" t="str">
        <f t="shared" si="9"/>
        <v>O</v>
      </c>
      <c r="J11" s="708" t="str">
        <f t="shared" si="9"/>
        <v>O</v>
      </c>
      <c r="K11" s="709" t="str">
        <f t="shared" si="9"/>
        <v>O</v>
      </c>
      <c r="L11" s="710"/>
      <c r="M11" s="648"/>
      <c r="N11" s="754"/>
      <c r="O11" s="755"/>
      <c r="P11" s="713"/>
      <c r="Q11" s="756"/>
      <c r="R11" s="707" t="str">
        <f t="shared" ref="R11:Z11" si="10">if(R12=1,"O", if(R12=2,"O   O",""))</f>
        <v>O   O</v>
      </c>
      <c r="S11" s="708" t="str">
        <f t="shared" si="10"/>
        <v>O</v>
      </c>
      <c r="T11" s="708" t="str">
        <f t="shared" si="10"/>
        <v>O</v>
      </c>
      <c r="U11" s="708" t="str">
        <f t="shared" si="10"/>
        <v>O</v>
      </c>
      <c r="V11" s="708" t="str">
        <f t="shared" si="10"/>
        <v>O   O</v>
      </c>
      <c r="W11" s="708" t="str">
        <f t="shared" si="10"/>
        <v>O</v>
      </c>
      <c r="X11" s="708" t="str">
        <f t="shared" si="10"/>
        <v>O</v>
      </c>
      <c r="Y11" s="708" t="str">
        <f t="shared" si="10"/>
        <v>O</v>
      </c>
      <c r="Z11" s="709" t="str">
        <f t="shared" si="10"/>
        <v>O</v>
      </c>
      <c r="AA11" s="757"/>
      <c r="AB11" s="758"/>
      <c r="AC11" s="759"/>
      <c r="AD11" s="648"/>
      <c r="AE11" s="760"/>
      <c r="AF11" s="761"/>
    </row>
    <row r="12" ht="22.5" hidden="1" customHeight="1">
      <c r="A12" s="762"/>
      <c r="B12" s="720"/>
      <c r="C12" s="721">
        <f t="shared" ref="C12:K12" si="11">IF($B13&gt;0,FLOOR($B13/18,1),0)+IF(AND(MOD($B13,18)&gt;=C$2,$B13&gt;0),1,0)-IF(C$2-18&gt;$B13,1,0)</f>
        <v>1</v>
      </c>
      <c r="D12" s="721">
        <f t="shared" si="11"/>
        <v>1</v>
      </c>
      <c r="E12" s="721">
        <f t="shared" si="11"/>
        <v>1</v>
      </c>
      <c r="F12" s="721">
        <f t="shared" si="11"/>
        <v>2</v>
      </c>
      <c r="G12" s="721">
        <f t="shared" si="11"/>
        <v>2</v>
      </c>
      <c r="H12" s="721">
        <f t="shared" si="11"/>
        <v>2</v>
      </c>
      <c r="I12" s="721">
        <f t="shared" si="11"/>
        <v>1</v>
      </c>
      <c r="J12" s="721">
        <f t="shared" si="11"/>
        <v>1</v>
      </c>
      <c r="K12" s="721">
        <f t="shared" si="11"/>
        <v>1</v>
      </c>
      <c r="L12" s="722"/>
      <c r="M12" s="648"/>
      <c r="N12" s="750"/>
      <c r="O12" s="751"/>
      <c r="P12" s="455"/>
      <c r="Q12" s="763"/>
      <c r="R12" s="721">
        <f t="shared" ref="R12:Z12" si="12">IF($B13&gt;0,FLOOR($B13/18,1),0)+IF(AND(MOD($B13,18)&gt;=R$2,$B13&gt;0),1,0)-IF(R$2-18&gt;$B13,1,0)</f>
        <v>2</v>
      </c>
      <c r="S12" s="721">
        <f t="shared" si="12"/>
        <v>1</v>
      </c>
      <c r="T12" s="721">
        <f t="shared" si="12"/>
        <v>1</v>
      </c>
      <c r="U12" s="721">
        <f t="shared" si="12"/>
        <v>1</v>
      </c>
      <c r="V12" s="721">
        <f t="shared" si="12"/>
        <v>2</v>
      </c>
      <c r="W12" s="721">
        <f t="shared" si="12"/>
        <v>1</v>
      </c>
      <c r="X12" s="721">
        <f t="shared" si="12"/>
        <v>1</v>
      </c>
      <c r="Y12" s="721">
        <f t="shared" si="12"/>
        <v>1</v>
      </c>
      <c r="Z12" s="721">
        <f t="shared" si="12"/>
        <v>1</v>
      </c>
      <c r="AA12" s="722"/>
      <c r="AB12" s="722"/>
      <c r="AC12" s="724"/>
      <c r="AD12" s="648"/>
      <c r="AE12" s="750"/>
      <c r="AF12" s="751"/>
    </row>
    <row r="13" ht="18.75" customHeight="1">
      <c r="A13" s="725" t="str">
        <f>'Match Selection'!V15</f>
        <v>Hile</v>
      </c>
      <c r="B13" s="726">
        <f>if(A13="","", vlookup(A13,'Master Input'!$A$11:$L$27,'Master Input'!$J$28, false))</f>
        <v>23</v>
      </c>
      <c r="C13" s="727">
        <v>6.0</v>
      </c>
      <c r="D13" s="728">
        <v>6.0</v>
      </c>
      <c r="E13" s="728">
        <v>6.0</v>
      </c>
      <c r="F13" s="728">
        <v>7.0</v>
      </c>
      <c r="G13" s="728">
        <v>6.0</v>
      </c>
      <c r="H13" s="728">
        <v>7.0</v>
      </c>
      <c r="I13" s="728">
        <v>5.0</v>
      </c>
      <c r="J13" s="728">
        <v>4.0</v>
      </c>
      <c r="K13" s="729">
        <v>8.0</v>
      </c>
      <c r="L13" s="730">
        <f>if(K13="","", sum(C13:K13))</f>
        <v>55</v>
      </c>
      <c r="M13" s="648"/>
      <c r="N13" s="764">
        <f>'R3_G1'!$N$13</f>
        <v>4</v>
      </c>
      <c r="O13" s="732" t="s">
        <v>90</v>
      </c>
      <c r="P13" s="455"/>
      <c r="Q13" s="733" t="str">
        <f>A13</f>
        <v>Hile</v>
      </c>
      <c r="R13" s="727">
        <v>4.0</v>
      </c>
      <c r="S13" s="728">
        <v>5.0</v>
      </c>
      <c r="T13" s="728">
        <v>3.0</v>
      </c>
      <c r="U13" s="728">
        <v>4.0</v>
      </c>
      <c r="V13" s="728">
        <v>7.0</v>
      </c>
      <c r="W13" s="728">
        <v>4.0</v>
      </c>
      <c r="X13" s="728">
        <v>6.0</v>
      </c>
      <c r="Y13" s="728">
        <v>4.0</v>
      </c>
      <c r="Z13" s="729">
        <v>6.0</v>
      </c>
      <c r="AA13" s="734">
        <f>if(Z13="","", sum(R13:Z13))</f>
        <v>43</v>
      </c>
      <c r="AB13" s="735">
        <f t="shared" ref="AB13:AB14" si="15">if(AA13="", "", sum(L13,AA13))</f>
        <v>98</v>
      </c>
      <c r="AC13" s="736">
        <f>if(Z13="", "", AB13-B13)</f>
        <v>75</v>
      </c>
      <c r="AD13" s="648"/>
      <c r="AE13" s="737">
        <f t="shared" ref="AE13:AE14" si="16">N13</f>
        <v>4</v>
      </c>
      <c r="AF13" s="732" t="s">
        <v>90</v>
      </c>
    </row>
    <row r="14" ht="21.0" customHeight="1">
      <c r="A14" s="738" t="str">
        <f>vlookup(A13, 'Master Input'!$A$11:$B$27,2, false)</f>
        <v>Drivers</v>
      </c>
      <c r="B14" s="739" t="s">
        <v>88</v>
      </c>
      <c r="C14" s="740">
        <f>if(C13="","",
if(C13-C12-C$3=-3,$N$8,
if(C13-C12-C$3=-2,$N$9,
if(C13-C12-C$3=-1,$N$13,
if(C13-C12-C$3=0,$N$14,
if(C13-C12-C$3=1,$N$18,$N$19))))))</f>
        <v>0</v>
      </c>
      <c r="D14" s="741">
        <f t="shared" ref="D14:K14" si="13">if(D13="","",(
if(D13-D12-D$3=-3,$N$8,
if(D13-D12-D$3=-2,$N$9,
if(D13-D12-D$3=-1,$N$13,
if(D13-D12-D$3=0,$N$14,
if(D13-D12-D$3=1,$N$18,$N$19)))))
* if(or(C8-C7-C$3&lt;0,C13-C12-C$3&lt;0),2,1)))</f>
        <v>0</v>
      </c>
      <c r="E14" s="741">
        <f t="shared" si="13"/>
        <v>-4</v>
      </c>
      <c r="F14" s="741">
        <f t="shared" si="13"/>
        <v>2</v>
      </c>
      <c r="G14" s="741">
        <f t="shared" si="13"/>
        <v>2</v>
      </c>
      <c r="H14" s="741">
        <f t="shared" si="13"/>
        <v>0</v>
      </c>
      <c r="I14" s="741">
        <f t="shared" si="13"/>
        <v>2</v>
      </c>
      <c r="J14" s="741">
        <f t="shared" si="13"/>
        <v>4</v>
      </c>
      <c r="K14" s="742">
        <f t="shared" si="13"/>
        <v>-4</v>
      </c>
      <c r="L14" s="743">
        <f>if(C14="","",sum(C14:K14))</f>
        <v>2</v>
      </c>
      <c r="M14" s="648"/>
      <c r="N14" s="731">
        <f>'R3_G1'!$N$14</f>
        <v>2</v>
      </c>
      <c r="O14" s="732" t="s">
        <v>91</v>
      </c>
      <c r="P14" s="455"/>
      <c r="Q14" s="745" t="s">
        <v>88</v>
      </c>
      <c r="R14" s="740">
        <f>if(R13="","",(
if(R13-R12-R$3=-3,$N$8,
if(R13-R12-R$3=-2,$N$9,
if(R13-R12-R$3=-1,$N$13,
if(R13-R12-R$3=0,$N$14,
if(R13-R12-R$3=1,$N$18,$N$19)))))
* if(or(K8-K7-K$3&lt;0,K13-K12-K$3&lt;0),2,1)))</f>
        <v>16</v>
      </c>
      <c r="S14" s="741">
        <f t="shared" ref="S14:Z14" si="14">if(S13="","",(
if(S13-S12-S$3=-3,$N$8,
if(S13-S12-S$3=-2,$N$9,
if(S13-S12-S$3=-1,$N$13,
if(S13-S12-S$3=0,$N$14,
if(S13-S12-S$3=1,$N$18,$N$19)))))
* if(or(R8-R7-R$3&lt;0,R13-R12-R$3&lt;0),2,1)))</f>
        <v>4</v>
      </c>
      <c r="T14" s="741">
        <f t="shared" si="14"/>
        <v>4</v>
      </c>
      <c r="U14" s="741">
        <f t="shared" si="14"/>
        <v>8</v>
      </c>
      <c r="V14" s="741">
        <f t="shared" si="14"/>
        <v>4</v>
      </c>
      <c r="W14" s="741">
        <f t="shared" si="14"/>
        <v>8</v>
      </c>
      <c r="X14" s="741">
        <f t="shared" si="14"/>
        <v>0</v>
      </c>
      <c r="Y14" s="741">
        <f t="shared" si="14"/>
        <v>2</v>
      </c>
      <c r="Z14" s="742">
        <f t="shared" si="14"/>
        <v>2</v>
      </c>
      <c r="AA14" s="746">
        <f>if(R14="","",sum(R14:Z14))</f>
        <v>48</v>
      </c>
      <c r="AB14" s="747">
        <f t="shared" si="15"/>
        <v>50</v>
      </c>
      <c r="AC14" s="748"/>
      <c r="AD14" s="648"/>
      <c r="AE14" s="737">
        <f t="shared" si="16"/>
        <v>2</v>
      </c>
      <c r="AF14" s="732" t="s">
        <v>91</v>
      </c>
    </row>
    <row r="15" ht="3.75" customHeight="1">
      <c r="A15" s="765"/>
      <c r="B15" s="766"/>
      <c r="C15" s="767"/>
      <c r="D15" s="767"/>
      <c r="E15" s="767"/>
      <c r="F15" s="767"/>
      <c r="G15" s="767"/>
      <c r="H15" s="767"/>
      <c r="I15" s="767"/>
      <c r="J15" s="767"/>
      <c r="K15" s="767"/>
      <c r="L15" s="722"/>
      <c r="M15" s="648"/>
      <c r="N15" s="750"/>
      <c r="O15" s="751"/>
      <c r="P15" s="722"/>
      <c r="Q15" s="752"/>
      <c r="R15" s="722"/>
      <c r="S15" s="722"/>
      <c r="T15" s="722"/>
      <c r="U15" s="722"/>
      <c r="V15" s="722"/>
      <c r="W15" s="722"/>
      <c r="X15" s="722"/>
      <c r="Y15" s="722"/>
      <c r="Z15" s="722"/>
      <c r="AA15" s="722"/>
      <c r="AB15" s="722"/>
      <c r="AC15" s="722"/>
      <c r="AD15" s="648"/>
      <c r="AE15" s="750"/>
      <c r="AF15" s="751"/>
    </row>
    <row r="16" ht="7.5" customHeight="1">
      <c r="A16" s="768"/>
      <c r="B16" s="769"/>
      <c r="C16" s="770" t="str">
        <f t="shared" ref="C16:K16" si="17">if(C17=1,"O", if(C17=2,"O   O",""))</f>
        <v/>
      </c>
      <c r="D16" s="771" t="str">
        <f t="shared" si="17"/>
        <v/>
      </c>
      <c r="E16" s="771" t="str">
        <f t="shared" si="17"/>
        <v/>
      </c>
      <c r="F16" s="771" t="str">
        <f t="shared" si="17"/>
        <v>O</v>
      </c>
      <c r="G16" s="771" t="str">
        <f t="shared" si="17"/>
        <v>O</v>
      </c>
      <c r="H16" s="771" t="str">
        <f t="shared" si="17"/>
        <v>O</v>
      </c>
      <c r="I16" s="771" t="str">
        <f t="shared" si="17"/>
        <v/>
      </c>
      <c r="J16" s="771" t="str">
        <f t="shared" si="17"/>
        <v/>
      </c>
      <c r="K16" s="772" t="str">
        <f t="shared" si="17"/>
        <v/>
      </c>
      <c r="L16" s="710"/>
      <c r="M16" s="773"/>
      <c r="N16" s="774"/>
      <c r="O16" s="775"/>
      <c r="P16" s="776"/>
      <c r="Q16" s="777"/>
      <c r="R16" s="770" t="str">
        <f t="shared" ref="R16:Z16" si="18">if(R17=1,"O", if(R17=2,"O   O",""))</f>
        <v>O</v>
      </c>
      <c r="S16" s="771" t="str">
        <f t="shared" si="18"/>
        <v/>
      </c>
      <c r="T16" s="771" t="str">
        <f t="shared" si="18"/>
        <v/>
      </c>
      <c r="U16" s="771" t="str">
        <f t="shared" si="18"/>
        <v/>
      </c>
      <c r="V16" s="771" t="str">
        <f t="shared" si="18"/>
        <v>O</v>
      </c>
      <c r="W16" s="771" t="str">
        <f t="shared" si="18"/>
        <v/>
      </c>
      <c r="X16" s="771" t="str">
        <f t="shared" si="18"/>
        <v/>
      </c>
      <c r="Y16" s="771" t="str">
        <f t="shared" si="18"/>
        <v/>
      </c>
      <c r="Z16" s="772" t="str">
        <f t="shared" si="18"/>
        <v>O</v>
      </c>
      <c r="AA16" s="757"/>
      <c r="AB16" s="758"/>
      <c r="AC16" s="759"/>
      <c r="AD16" s="648"/>
      <c r="AE16" s="760"/>
      <c r="AF16" s="761"/>
    </row>
    <row r="17" ht="22.5" hidden="1" customHeight="1">
      <c r="A17" s="778"/>
      <c r="B17" s="720"/>
      <c r="C17" s="721">
        <f t="shared" ref="C17:K17" si="19">IF($B18&gt;0,FLOOR($B18/18,1),0)+IF(AND(MOD($B18,18)&gt;=C$2,$B18&gt;0),1,0)-IF(C$2-18&gt;$B18,1,0)</f>
        <v>0</v>
      </c>
      <c r="D17" s="721">
        <f t="shared" si="19"/>
        <v>0</v>
      </c>
      <c r="E17" s="721">
        <f t="shared" si="19"/>
        <v>0</v>
      </c>
      <c r="F17" s="721">
        <f t="shared" si="19"/>
        <v>1</v>
      </c>
      <c r="G17" s="721">
        <f t="shared" si="19"/>
        <v>1</v>
      </c>
      <c r="H17" s="721">
        <f t="shared" si="19"/>
        <v>1</v>
      </c>
      <c r="I17" s="721">
        <f t="shared" si="19"/>
        <v>0</v>
      </c>
      <c r="J17" s="721">
        <f t="shared" si="19"/>
        <v>0</v>
      </c>
      <c r="K17" s="721">
        <f t="shared" si="19"/>
        <v>0</v>
      </c>
      <c r="L17" s="722"/>
      <c r="M17" s="648"/>
      <c r="N17" s="750"/>
      <c r="O17" s="751"/>
      <c r="P17" s="455"/>
      <c r="Q17" s="763"/>
      <c r="R17" s="721">
        <f t="shared" ref="R17:Z17" si="20">IF($B18&gt;0,FLOOR($B18/18,1),0)+IF(AND(MOD($B18,18)&gt;=R$2,$B18&gt;0),1,0)-IF(R$2-18&gt;$B18,1,0)</f>
        <v>1</v>
      </c>
      <c r="S17" s="721">
        <f t="shared" si="20"/>
        <v>0</v>
      </c>
      <c r="T17" s="721">
        <f t="shared" si="20"/>
        <v>0</v>
      </c>
      <c r="U17" s="721">
        <f t="shared" si="20"/>
        <v>0</v>
      </c>
      <c r="V17" s="721">
        <f t="shared" si="20"/>
        <v>1</v>
      </c>
      <c r="W17" s="721">
        <f t="shared" si="20"/>
        <v>0</v>
      </c>
      <c r="X17" s="721">
        <f t="shared" si="20"/>
        <v>0</v>
      </c>
      <c r="Y17" s="721">
        <f t="shared" si="20"/>
        <v>0</v>
      </c>
      <c r="Z17" s="721">
        <f t="shared" si="20"/>
        <v>1</v>
      </c>
      <c r="AA17" s="722"/>
      <c r="AB17" s="722"/>
      <c r="AC17" s="724"/>
      <c r="AD17" s="648"/>
      <c r="AE17" s="750"/>
      <c r="AF17" s="751"/>
    </row>
    <row r="18" ht="18.75" customHeight="1">
      <c r="A18" s="779" t="str">
        <f>'Match Selection'!Y14</f>
        <v>Pace</v>
      </c>
      <c r="B18" s="780">
        <f>if(A18="","", vlookup(A18,'Master Input'!$A$11:$L$27,'Master Input'!$J$28, false))</f>
        <v>6</v>
      </c>
      <c r="C18" s="781">
        <v>5.0</v>
      </c>
      <c r="D18" s="782">
        <v>6.0</v>
      </c>
      <c r="E18" s="782">
        <v>4.0</v>
      </c>
      <c r="F18" s="782">
        <v>6.0</v>
      </c>
      <c r="G18" s="782">
        <v>5.0</v>
      </c>
      <c r="H18" s="782">
        <v>6.0</v>
      </c>
      <c r="I18" s="782">
        <v>4.0</v>
      </c>
      <c r="J18" s="782">
        <v>4.0</v>
      </c>
      <c r="K18" s="783">
        <v>7.0</v>
      </c>
      <c r="L18" s="730">
        <f>if(K18="","", sum(C18:K18))</f>
        <v>47</v>
      </c>
      <c r="M18" s="648"/>
      <c r="N18" s="764">
        <f>'R3_G1'!$N$18</f>
        <v>0</v>
      </c>
      <c r="O18" s="744" t="s">
        <v>92</v>
      </c>
      <c r="P18" s="455"/>
      <c r="Q18" s="784" t="str">
        <f>A18</f>
        <v>Pace</v>
      </c>
      <c r="R18" s="781">
        <v>5.0</v>
      </c>
      <c r="S18" s="782">
        <v>5.0</v>
      </c>
      <c r="T18" s="782">
        <v>3.0</v>
      </c>
      <c r="U18" s="782">
        <v>4.0</v>
      </c>
      <c r="V18" s="782">
        <v>6.0</v>
      </c>
      <c r="W18" s="782">
        <v>5.0</v>
      </c>
      <c r="X18" s="782">
        <v>4.0</v>
      </c>
      <c r="Y18" s="782">
        <v>3.0</v>
      </c>
      <c r="Z18" s="783">
        <v>7.0</v>
      </c>
      <c r="AA18" s="734">
        <f>if(Z18="","", sum(R18:Z18))</f>
        <v>42</v>
      </c>
      <c r="AB18" s="735">
        <f t="shared" ref="AB18:AB19" si="23">if(AA18="", "", sum(L18,AA18))</f>
        <v>89</v>
      </c>
      <c r="AC18" s="736">
        <f>if(Z18="", "", AB18-B18)</f>
        <v>83</v>
      </c>
      <c r="AD18" s="648"/>
      <c r="AE18" s="737">
        <f t="shared" ref="AE18:AE19" si="24">N18</f>
        <v>0</v>
      </c>
      <c r="AF18" s="744" t="s">
        <v>92</v>
      </c>
    </row>
    <row r="19" ht="21.0" customHeight="1">
      <c r="A19" s="785" t="str">
        <f>vlookup(A18, 'Master Input'!$A$11:$B$27,2, false)</f>
        <v>Irons</v>
      </c>
      <c r="B19" s="786" t="s">
        <v>88</v>
      </c>
      <c r="C19" s="787">
        <f>if(C18="","",
if(C18-C17-C$3=-3,$N$8,
if(C18-C17-C$3=-2,$N$9,
if(C18-C17-C$3=-1,$N$13,
if(C18-C17-C$3=0,$N$14,
if(C18-C17-C$3=1,$N$18,$N$19))))))</f>
        <v>0</v>
      </c>
      <c r="D19" s="788">
        <f t="shared" ref="D19:K19" si="21">if(D18="","",(
if(D18-D17-D$3=-3,$N$8,
if(D18-D17-D$3=-2,$N$9,
if(D18-D17-D$3=-1,$N$13,
if(D18-D17-D$3=0,$N$14,
if(D18-D17-D$3=1,$N$18,$N$19)))))
* if(or(C18-C17-C$3&lt;0,C23-C22-C$3&lt;0),2,1)))</f>
        <v>-8</v>
      </c>
      <c r="E19" s="788">
        <f t="shared" si="21"/>
        <v>0</v>
      </c>
      <c r="F19" s="788">
        <f t="shared" si="21"/>
        <v>2</v>
      </c>
      <c r="G19" s="788">
        <f t="shared" si="21"/>
        <v>2</v>
      </c>
      <c r="H19" s="788">
        <f t="shared" si="21"/>
        <v>0</v>
      </c>
      <c r="I19" s="788">
        <f t="shared" si="21"/>
        <v>4</v>
      </c>
      <c r="J19" s="788">
        <f t="shared" si="21"/>
        <v>0</v>
      </c>
      <c r="K19" s="789">
        <f t="shared" si="21"/>
        <v>-4</v>
      </c>
      <c r="L19" s="743">
        <f>if(C19="","",sum(C19:K19))</f>
        <v>-4</v>
      </c>
      <c r="M19" s="648"/>
      <c r="N19" s="731">
        <f>'R3_G1'!$N$19</f>
        <v>-4</v>
      </c>
      <c r="O19" s="744" t="s">
        <v>93</v>
      </c>
      <c r="P19" s="455"/>
      <c r="Q19" s="790" t="s">
        <v>88</v>
      </c>
      <c r="R19" s="787">
        <f>if(R18="","",(
if(R18-R17-R$3=-3,$N$8,
if(R18-R17-R$3=-2,$N$9,
if(R18-R17-R$3=-1,$N$13,
if(R18-R17-R$3=0,$N$14,
if(R18-R17-R$3=1,$N$18,$N$19)))))
* if(or(K18-K17-K$3&lt;0,K23-K22-K$3&lt;0),2,1)))</f>
        <v>2</v>
      </c>
      <c r="S19" s="788">
        <f t="shared" ref="S19:Z19" si="22">if(S18="","",(
if(S18-S17-S$3=-3,$N$8,
if(S18-S17-S$3=-2,$N$9,
if(S18-S17-S$3=-1,$N$13,
if(S18-S17-S$3=0,$N$14,
if(S18-S17-S$3=1,$N$18,$N$19)))))
* if(or(R18-R17-R$3&lt;0,R23-R22-R$3&lt;0),2,1)))</f>
        <v>0</v>
      </c>
      <c r="T19" s="788">
        <f t="shared" si="22"/>
        <v>4</v>
      </c>
      <c r="U19" s="788">
        <f t="shared" si="22"/>
        <v>2</v>
      </c>
      <c r="V19" s="788">
        <f t="shared" si="22"/>
        <v>2</v>
      </c>
      <c r="W19" s="788">
        <f t="shared" si="22"/>
        <v>0</v>
      </c>
      <c r="X19" s="788">
        <f t="shared" si="22"/>
        <v>2</v>
      </c>
      <c r="Y19" s="788">
        <f t="shared" si="22"/>
        <v>4</v>
      </c>
      <c r="Z19" s="789">
        <f t="shared" si="22"/>
        <v>0</v>
      </c>
      <c r="AA19" s="746">
        <f>if(R19="","",sum(R19:Z19))</f>
        <v>16</v>
      </c>
      <c r="AB19" s="747">
        <f t="shared" si="23"/>
        <v>12</v>
      </c>
      <c r="AC19" s="748"/>
      <c r="AD19" s="648"/>
      <c r="AE19" s="737">
        <f t="shared" si="24"/>
        <v>-4</v>
      </c>
      <c r="AF19" s="744" t="s">
        <v>93</v>
      </c>
    </row>
    <row r="20" ht="3.75" customHeight="1">
      <c r="A20" s="749"/>
      <c r="B20" s="455"/>
      <c r="C20" s="722"/>
      <c r="D20" s="722"/>
      <c r="E20" s="722"/>
      <c r="F20" s="722"/>
      <c r="G20" s="722"/>
      <c r="H20" s="722"/>
      <c r="I20" s="722"/>
      <c r="J20" s="722"/>
      <c r="K20" s="722"/>
      <c r="L20" s="722"/>
      <c r="M20" s="722"/>
      <c r="N20" s="722"/>
      <c r="O20" s="722"/>
      <c r="P20" s="722"/>
      <c r="Q20" s="752"/>
      <c r="R20" s="722"/>
      <c r="S20" s="722"/>
      <c r="T20" s="722"/>
      <c r="U20" s="722"/>
      <c r="V20" s="722"/>
      <c r="W20" s="722"/>
      <c r="X20" s="722"/>
      <c r="Y20" s="722"/>
      <c r="Z20" s="722"/>
      <c r="AA20" s="722"/>
      <c r="AB20" s="722"/>
      <c r="AC20" s="722"/>
      <c r="AD20" s="722"/>
      <c r="AE20" s="722"/>
      <c r="AF20" s="722"/>
    </row>
    <row r="21" ht="7.5" customHeight="1">
      <c r="A21" s="768"/>
      <c r="B21" s="769"/>
      <c r="C21" s="770" t="str">
        <f t="shared" ref="C21:K21" si="25">if(C22=1,"O", if(C22=2,"O   O",""))</f>
        <v>O   O</v>
      </c>
      <c r="D21" s="771" t="str">
        <f t="shared" si="25"/>
        <v>O</v>
      </c>
      <c r="E21" s="771" t="str">
        <f t="shared" si="25"/>
        <v>O</v>
      </c>
      <c r="F21" s="771" t="str">
        <f t="shared" si="25"/>
        <v>O   O</v>
      </c>
      <c r="G21" s="771" t="str">
        <f t="shared" si="25"/>
        <v>O   O</v>
      </c>
      <c r="H21" s="771" t="str">
        <f t="shared" si="25"/>
        <v>O   O</v>
      </c>
      <c r="I21" s="771" t="str">
        <f t="shared" si="25"/>
        <v>O</v>
      </c>
      <c r="J21" s="771" t="str">
        <f t="shared" si="25"/>
        <v>O   O</v>
      </c>
      <c r="K21" s="772" t="str">
        <f t="shared" si="25"/>
        <v>O   O</v>
      </c>
      <c r="L21" s="710"/>
      <c r="M21" s="791"/>
      <c r="N21" s="776"/>
      <c r="O21" s="792"/>
      <c r="P21" s="776"/>
      <c r="Q21" s="777"/>
      <c r="R21" s="770" t="str">
        <f t="shared" ref="R21:Z21" si="26">if(R22=1,"O", if(R22=2,"O   O",""))</f>
        <v>O   O</v>
      </c>
      <c r="S21" s="771" t="str">
        <f t="shared" si="26"/>
        <v>O   O</v>
      </c>
      <c r="T21" s="771" t="str">
        <f t="shared" si="26"/>
        <v>O</v>
      </c>
      <c r="U21" s="771" t="str">
        <f t="shared" si="26"/>
        <v>O</v>
      </c>
      <c r="V21" s="771" t="str">
        <f t="shared" si="26"/>
        <v>O   O</v>
      </c>
      <c r="W21" s="771" t="str">
        <f t="shared" si="26"/>
        <v>O   O</v>
      </c>
      <c r="X21" s="771" t="str">
        <f t="shared" si="26"/>
        <v>O</v>
      </c>
      <c r="Y21" s="771" t="str">
        <f t="shared" si="26"/>
        <v>O   O</v>
      </c>
      <c r="Z21" s="772" t="str">
        <f t="shared" si="26"/>
        <v>O   O</v>
      </c>
      <c r="AA21" s="757"/>
      <c r="AB21" s="793"/>
      <c r="AC21" s="759"/>
      <c r="AD21" s="462"/>
      <c r="AE21" s="462"/>
      <c r="AF21" s="462"/>
    </row>
    <row r="22" ht="22.5" hidden="1" customHeight="1">
      <c r="A22" s="762"/>
      <c r="B22" s="720"/>
      <c r="C22" s="721">
        <f t="shared" ref="C22:K22" si="27">IF($B23&gt;0,FLOOR($B23/18,1),0)+IF(AND(MOD($B23,18)&gt;=C$2,$B23&gt;0),1,0)-IF(C$2-18&gt;$B23,1,0)</f>
        <v>2</v>
      </c>
      <c r="D22" s="721">
        <f t="shared" si="27"/>
        <v>1</v>
      </c>
      <c r="E22" s="721">
        <f t="shared" si="27"/>
        <v>1</v>
      </c>
      <c r="F22" s="721">
        <f t="shared" si="27"/>
        <v>2</v>
      </c>
      <c r="G22" s="721">
        <f t="shared" si="27"/>
        <v>2</v>
      </c>
      <c r="H22" s="721">
        <f t="shared" si="27"/>
        <v>2</v>
      </c>
      <c r="I22" s="721">
        <f t="shared" si="27"/>
        <v>1</v>
      </c>
      <c r="J22" s="721">
        <f t="shared" si="27"/>
        <v>2</v>
      </c>
      <c r="K22" s="721">
        <f t="shared" si="27"/>
        <v>2</v>
      </c>
      <c r="L22" s="722"/>
      <c r="M22" s="722"/>
      <c r="N22" s="722"/>
      <c r="O22" s="722"/>
      <c r="P22" s="455"/>
      <c r="Q22" s="763"/>
      <c r="R22" s="721">
        <f t="shared" ref="R22:Z22" si="28">IF($B23&gt;0,FLOOR($B23/18,1),0)+IF(AND(MOD($B23,18)&gt;=R$2,$B23&gt;0),1,0)-IF(R$2-18&gt;$B23,1,0)</f>
        <v>2</v>
      </c>
      <c r="S22" s="721">
        <f t="shared" si="28"/>
        <v>2</v>
      </c>
      <c r="T22" s="721">
        <f t="shared" si="28"/>
        <v>1</v>
      </c>
      <c r="U22" s="721">
        <f t="shared" si="28"/>
        <v>1</v>
      </c>
      <c r="V22" s="721">
        <f t="shared" si="28"/>
        <v>2</v>
      </c>
      <c r="W22" s="721">
        <f t="shared" si="28"/>
        <v>2</v>
      </c>
      <c r="X22" s="721">
        <f t="shared" si="28"/>
        <v>1</v>
      </c>
      <c r="Y22" s="721">
        <f t="shared" si="28"/>
        <v>2</v>
      </c>
      <c r="Z22" s="721">
        <f t="shared" si="28"/>
        <v>2</v>
      </c>
      <c r="AA22" s="722"/>
      <c r="AB22" s="722"/>
      <c r="AC22" s="724"/>
      <c r="AD22" s="722"/>
      <c r="AE22" s="722"/>
      <c r="AF22" s="722"/>
    </row>
    <row r="23" ht="18.75" customHeight="1">
      <c r="A23" s="779" t="str">
        <f>'Match Selection'!Y15</f>
        <v>Saugy</v>
      </c>
      <c r="B23" s="780">
        <f>if(A23="","", vlookup(A23,'Master Input'!$A$11:$L$27,'Master Input'!$J$28, false))</f>
        <v>30</v>
      </c>
      <c r="C23" s="781">
        <v>5.0</v>
      </c>
      <c r="D23" s="782">
        <v>6.0</v>
      </c>
      <c r="E23" s="782">
        <v>6.0</v>
      </c>
      <c r="F23" s="782">
        <v>8.0</v>
      </c>
      <c r="G23" s="782">
        <v>6.0</v>
      </c>
      <c r="H23" s="782">
        <v>4.0</v>
      </c>
      <c r="I23" s="782">
        <v>6.0</v>
      </c>
      <c r="J23" s="782">
        <v>5.0</v>
      </c>
      <c r="K23" s="783">
        <v>7.0</v>
      </c>
      <c r="L23" s="730">
        <f>if(K23="","", sum(C23:K23))</f>
        <v>53</v>
      </c>
      <c r="M23" s="722"/>
      <c r="N23" s="794" t="s">
        <v>94</v>
      </c>
      <c r="O23" s="795" t="s">
        <v>95</v>
      </c>
      <c r="P23" s="455"/>
      <c r="Q23" s="784" t="str">
        <f>A23</f>
        <v>Saugy</v>
      </c>
      <c r="R23" s="781">
        <v>6.0</v>
      </c>
      <c r="S23" s="782">
        <v>5.0</v>
      </c>
      <c r="T23" s="782">
        <v>6.0</v>
      </c>
      <c r="U23" s="782">
        <v>7.0</v>
      </c>
      <c r="V23" s="782">
        <v>9.0</v>
      </c>
      <c r="W23" s="782">
        <v>7.0</v>
      </c>
      <c r="X23" s="782">
        <v>4.0</v>
      </c>
      <c r="Y23" s="782">
        <v>4.0</v>
      </c>
      <c r="Z23" s="783">
        <v>6.0</v>
      </c>
      <c r="AA23" s="734">
        <f>if(Z23="","", sum(R23:Z23))</f>
        <v>54</v>
      </c>
      <c r="AB23" s="735">
        <f t="shared" ref="AB23:AB24" si="31">if(AA23="", "", sum(L23,AA23))</f>
        <v>107</v>
      </c>
      <c r="AC23" s="736">
        <f>if(Z23="", "", AB23-B23)</f>
        <v>77</v>
      </c>
      <c r="AD23" s="722"/>
      <c r="AE23" s="794" t="s">
        <v>94</v>
      </c>
      <c r="AF23" s="795" t="s">
        <v>95</v>
      </c>
    </row>
    <row r="24" ht="21.0" customHeight="1">
      <c r="A24" s="785" t="str">
        <f>vlookup(A23, 'Master Input'!$A$11:$B$27,2, false)</f>
        <v>Irons</v>
      </c>
      <c r="B24" s="786" t="s">
        <v>88</v>
      </c>
      <c r="C24" s="787">
        <f>if(C23="","",
if(C23-C22-C$3=-3,$N$8,
if(C23-C22-C$3=-2,$N$9,
if(C23-C22-C$3=-1,$N$13,
if(C23-C22-C$3=0,$N$14,
if(C23-C22-C$3=1,$N$18,$N$19))))))</f>
        <v>4</v>
      </c>
      <c r="D24" s="788">
        <f t="shared" ref="D24:K24" si="29">if(D23="","",(
if(D23-D22-D$3=-3,$N$8,
if(D23-D22-D$3=-2,$N$9,
if(D23-D22-D$3=-1,$N$13,
if(D23-D22-D$3=0,$N$14,
if(D23-D22-D$3=1,$N$18,$N$19)))))
* if(or(C18-C17-C$3&lt;0,C23-C22-C$3&lt;0),2,1)))</f>
        <v>0</v>
      </c>
      <c r="E24" s="788">
        <f t="shared" si="29"/>
        <v>-4</v>
      </c>
      <c r="F24" s="788">
        <f t="shared" si="29"/>
        <v>0</v>
      </c>
      <c r="G24" s="788">
        <f t="shared" si="29"/>
        <v>2</v>
      </c>
      <c r="H24" s="788">
        <f t="shared" si="29"/>
        <v>8</v>
      </c>
      <c r="I24" s="788">
        <f t="shared" si="29"/>
        <v>0</v>
      </c>
      <c r="J24" s="788">
        <f t="shared" si="29"/>
        <v>2</v>
      </c>
      <c r="K24" s="789">
        <f t="shared" si="29"/>
        <v>2</v>
      </c>
      <c r="L24" s="743">
        <f>if(C24="","",sum(C24:K24))</f>
        <v>14</v>
      </c>
      <c r="M24" s="722"/>
      <c r="N24" s="796">
        <v>0.0</v>
      </c>
      <c r="O24" s="797">
        <v>2.0</v>
      </c>
      <c r="P24" s="455"/>
      <c r="Q24" s="790" t="s">
        <v>88</v>
      </c>
      <c r="R24" s="787">
        <f>if(R23="","",(
if(R23-R22-R$3=-3,$N$8,
if(R23-R22-R$3=-2,$N$9,
if(R23-R22-R$3=-1,$N$13,
if(R23-R22-R$3=0,$N$14,
if(R23-R22-R$3=1,$N$18,$N$19)))))
* if(or(K23-K22-K$3&lt;0,K28-K27-K$3&lt;0),2,1)))</f>
        <v>2</v>
      </c>
      <c r="S24" s="788">
        <f t="shared" ref="S24:Z24" si="30">if(S23="","",(
if(S23-S22-S$3=-3,$N$8,
if(S23-S22-S$3=-2,$N$9,
if(S23-S22-S$3=-1,$N$13,
if(S23-S22-S$3=0,$N$14,
if(S23-S22-S$3=1,$N$18,$N$19)))))
* if(or(R18-R17-R$3&lt;0,R23-R22-R$3&lt;0),2,1)))</f>
        <v>4</v>
      </c>
      <c r="T24" s="788">
        <f t="shared" si="30"/>
        <v>-8</v>
      </c>
      <c r="U24" s="788">
        <f t="shared" si="30"/>
        <v>-4</v>
      </c>
      <c r="V24" s="788">
        <f t="shared" si="30"/>
        <v>-4</v>
      </c>
      <c r="W24" s="788">
        <f t="shared" si="30"/>
        <v>0</v>
      </c>
      <c r="X24" s="788">
        <f t="shared" si="30"/>
        <v>4</v>
      </c>
      <c r="Y24" s="788">
        <f t="shared" si="30"/>
        <v>8</v>
      </c>
      <c r="Z24" s="789">
        <f t="shared" si="30"/>
        <v>8</v>
      </c>
      <c r="AA24" s="746">
        <f>if(R24="","",sum(R24:Z24))</f>
        <v>10</v>
      </c>
      <c r="AB24" s="747">
        <f t="shared" si="31"/>
        <v>24</v>
      </c>
      <c r="AC24" s="748"/>
      <c r="AD24" s="722"/>
      <c r="AE24" s="796">
        <v>0.0</v>
      </c>
      <c r="AF24" s="797">
        <v>2.0</v>
      </c>
    </row>
    <row r="25" ht="17.25" customHeight="1">
      <c r="A25" s="798"/>
      <c r="B25" s="799"/>
      <c r="C25" s="445"/>
      <c r="D25" s="445"/>
      <c r="E25" s="445"/>
      <c r="F25" s="445"/>
      <c r="G25" s="445"/>
      <c r="H25" s="445"/>
      <c r="I25" s="445"/>
      <c r="J25" s="445"/>
      <c r="K25" s="799"/>
      <c r="L25" s="800" t="s">
        <v>7</v>
      </c>
      <c r="M25" s="799"/>
      <c r="N25" s="801">
        <v>44570.0</v>
      </c>
      <c r="O25" s="797">
        <v>2.5</v>
      </c>
      <c r="P25" s="799"/>
      <c r="Q25" s="802"/>
      <c r="R25" s="445"/>
      <c r="S25" s="445"/>
      <c r="T25" s="445"/>
      <c r="U25" s="445"/>
      <c r="V25" s="445"/>
      <c r="W25" s="445"/>
      <c r="X25" s="445"/>
      <c r="Y25" s="445"/>
      <c r="Z25" s="445"/>
      <c r="AA25" s="803" t="s">
        <v>8</v>
      </c>
      <c r="AB25" s="803" t="s">
        <v>96</v>
      </c>
      <c r="AC25" s="804" t="s">
        <v>64</v>
      </c>
      <c r="AD25" s="603"/>
      <c r="AE25" s="801">
        <v>44570.0</v>
      </c>
      <c r="AF25" s="797">
        <v>2.5</v>
      </c>
    </row>
    <row r="26" ht="21.0" customHeight="1">
      <c r="A26" s="805" t="str">
        <f>vlookup($A$8, 'Master Input'!$A$11:$B$27,2, false)</f>
        <v>Drivers</v>
      </c>
      <c r="B26" s="805" t="str">
        <f>vlookup($A$8, 'Master Input'!$A$11:$B$27,2, false)</f>
        <v>Drivers</v>
      </c>
      <c r="C26" s="806">
        <f t="shared" ref="C26:K26" si="32">if(or(C9="",C14=""),"", sum(C9,C14))</f>
        <v>2</v>
      </c>
      <c r="D26" s="806">
        <f t="shared" si="32"/>
        <v>2</v>
      </c>
      <c r="E26" s="806">
        <f t="shared" si="32"/>
        <v>-2</v>
      </c>
      <c r="F26" s="806">
        <f t="shared" si="32"/>
        <v>-2</v>
      </c>
      <c r="G26" s="806">
        <f t="shared" si="32"/>
        <v>4</v>
      </c>
      <c r="H26" s="806">
        <f t="shared" si="32"/>
        <v>0</v>
      </c>
      <c r="I26" s="806">
        <f t="shared" si="32"/>
        <v>6</v>
      </c>
      <c r="J26" s="806">
        <f t="shared" si="32"/>
        <v>8</v>
      </c>
      <c r="K26" s="807">
        <f t="shared" si="32"/>
        <v>0</v>
      </c>
      <c r="L26" s="808">
        <f t="shared" ref="L26:L27" si="35">if(C26="","",sum(C26:K26))</f>
        <v>18</v>
      </c>
      <c r="M26" s="455"/>
      <c r="N26" s="809">
        <v>44853.0</v>
      </c>
      <c r="O26" s="810">
        <v>3.0</v>
      </c>
      <c r="P26" s="455"/>
      <c r="Q26" s="805" t="str">
        <f>vlookup($A$8, 'Master Input'!$A$11:$B$27,2, false)</f>
        <v>Drivers</v>
      </c>
      <c r="R26" s="806">
        <f t="shared" ref="R26:Z26" si="33">if(or(R9="",R14=""),"", sum(R9,R14))</f>
        <v>8</v>
      </c>
      <c r="S26" s="806">
        <f t="shared" si="33"/>
        <v>4</v>
      </c>
      <c r="T26" s="806">
        <f t="shared" si="33"/>
        <v>6</v>
      </c>
      <c r="U26" s="806">
        <f t="shared" si="33"/>
        <v>12</v>
      </c>
      <c r="V26" s="806">
        <f t="shared" si="33"/>
        <v>12</v>
      </c>
      <c r="W26" s="806">
        <f t="shared" si="33"/>
        <v>8</v>
      </c>
      <c r="X26" s="806">
        <f t="shared" si="33"/>
        <v>4</v>
      </c>
      <c r="Y26" s="806">
        <f t="shared" si="33"/>
        <v>4</v>
      </c>
      <c r="Z26" s="807">
        <f t="shared" si="33"/>
        <v>10</v>
      </c>
      <c r="AA26" s="811">
        <f t="shared" ref="AA26:AA27" si="37">if(R26="","",sum(R26:Z26))</f>
        <v>68</v>
      </c>
      <c r="AB26" s="812">
        <f t="shared" ref="AB26:AB27" si="38">if(C26="","",sum(L26,AA26))</f>
        <v>86</v>
      </c>
      <c r="AC26" s="813">
        <f>if(or(Z8="",Z13="",Z18="",Z23=""),"",
(if(AB28&lt;=-30,0,(if(AB28&lt;=-20,0.5,(if(AB28&lt;=-10,1,(if(AB28&lt;0,1.5,
(if(AB28&gt;=30,4,(if(AB28&gt;=20,3.5,(if(AB28&gt;=10,3,(if(AB28&gt;0,2.5,2)))))))))))))))))</f>
        <v>4</v>
      </c>
      <c r="AD26" s="462"/>
      <c r="AE26" s="809">
        <v>44853.0</v>
      </c>
      <c r="AF26" s="810">
        <v>3.0</v>
      </c>
    </row>
    <row r="27" ht="21.0" customHeight="1">
      <c r="A27" s="805" t="str">
        <f>vlookup($A$18, 'Master Input'!$A$11:$B$27,2, false)</f>
        <v>Irons</v>
      </c>
      <c r="B27" s="805" t="str">
        <f>vlookup($A$18, 'Master Input'!$A$11:$B$27,2, false)</f>
        <v>Irons</v>
      </c>
      <c r="C27" s="814">
        <f t="shared" ref="C27:K27" si="34">if(or(C19="",C24=""),"", sum(C19,C24))</f>
        <v>4</v>
      </c>
      <c r="D27" s="814">
        <f t="shared" si="34"/>
        <v>-8</v>
      </c>
      <c r="E27" s="814">
        <f t="shared" si="34"/>
        <v>-4</v>
      </c>
      <c r="F27" s="814">
        <f t="shared" si="34"/>
        <v>2</v>
      </c>
      <c r="G27" s="814">
        <f t="shared" si="34"/>
        <v>4</v>
      </c>
      <c r="H27" s="814">
        <f t="shared" si="34"/>
        <v>8</v>
      </c>
      <c r="I27" s="814">
        <f t="shared" si="34"/>
        <v>4</v>
      </c>
      <c r="J27" s="814">
        <f t="shared" si="34"/>
        <v>2</v>
      </c>
      <c r="K27" s="815">
        <f t="shared" si="34"/>
        <v>-2</v>
      </c>
      <c r="L27" s="816">
        <f t="shared" si="35"/>
        <v>10</v>
      </c>
      <c r="M27" s="455"/>
      <c r="N27" s="817" t="s">
        <v>97</v>
      </c>
      <c r="O27" s="818">
        <v>3.5</v>
      </c>
      <c r="P27" s="455"/>
      <c r="Q27" s="805" t="str">
        <f>vlookup($A$18, 'Master Input'!$A$11:$B$27,2, false)</f>
        <v>Irons</v>
      </c>
      <c r="R27" s="814">
        <f t="shared" ref="R27:Z27" si="36">if(or(R19="",R24=""),"", sum(R19,R24))</f>
        <v>4</v>
      </c>
      <c r="S27" s="814">
        <f t="shared" si="36"/>
        <v>4</v>
      </c>
      <c r="T27" s="814">
        <f t="shared" si="36"/>
        <v>-4</v>
      </c>
      <c r="U27" s="814">
        <f t="shared" si="36"/>
        <v>-2</v>
      </c>
      <c r="V27" s="814">
        <f t="shared" si="36"/>
        <v>-2</v>
      </c>
      <c r="W27" s="814">
        <f t="shared" si="36"/>
        <v>0</v>
      </c>
      <c r="X27" s="814">
        <f t="shared" si="36"/>
        <v>6</v>
      </c>
      <c r="Y27" s="814">
        <f t="shared" si="36"/>
        <v>12</v>
      </c>
      <c r="Z27" s="815">
        <f t="shared" si="36"/>
        <v>8</v>
      </c>
      <c r="AA27" s="819">
        <f t="shared" si="37"/>
        <v>26</v>
      </c>
      <c r="AB27" s="820">
        <f t="shared" si="38"/>
        <v>36</v>
      </c>
      <c r="AC27" s="821">
        <f>if(or(Z8="",Z13="",Z18="",Z23=""),"",4-AC26)</f>
        <v>0</v>
      </c>
      <c r="AD27" s="462"/>
      <c r="AE27" s="817" t="s">
        <v>97</v>
      </c>
      <c r="AF27" s="818">
        <v>3.5</v>
      </c>
    </row>
    <row r="28" ht="21.0" customHeight="1">
      <c r="A28" s="822" t="s">
        <v>98</v>
      </c>
      <c r="B28" s="823" t="s">
        <v>99</v>
      </c>
      <c r="C28" s="824">
        <f>if(or(C26="",C27=""),"",C26-C27)</f>
        <v>-2</v>
      </c>
      <c r="D28" s="824">
        <f t="shared" ref="D28:K28" si="39">if(or(D26="",D27=""),"",D26-D27+C28)</f>
        <v>8</v>
      </c>
      <c r="E28" s="824">
        <f t="shared" si="39"/>
        <v>10</v>
      </c>
      <c r="F28" s="824">
        <f t="shared" si="39"/>
        <v>6</v>
      </c>
      <c r="G28" s="824">
        <f t="shared" si="39"/>
        <v>6</v>
      </c>
      <c r="H28" s="824">
        <f t="shared" si="39"/>
        <v>-2</v>
      </c>
      <c r="I28" s="824">
        <f t="shared" si="39"/>
        <v>0</v>
      </c>
      <c r="J28" s="824">
        <f t="shared" si="39"/>
        <v>6</v>
      </c>
      <c r="K28" s="825">
        <f t="shared" si="39"/>
        <v>8</v>
      </c>
      <c r="L28" s="826">
        <f>if(or(K26="",K27=""),"",L26-L27)</f>
        <v>8</v>
      </c>
      <c r="M28" s="455"/>
      <c r="N28" s="827" t="s">
        <v>100</v>
      </c>
      <c r="O28" s="810">
        <v>4.0</v>
      </c>
      <c r="P28" s="455"/>
      <c r="Q28" s="805" t="s">
        <v>45</v>
      </c>
      <c r="R28" s="824">
        <f>if(or(R26="",R27=""),"",R26-R27+K28)</f>
        <v>12</v>
      </c>
      <c r="S28" s="824">
        <f t="shared" ref="S28:Z28" si="40">if(or(S26="",S27=""),"",S26-S27+R28)</f>
        <v>12</v>
      </c>
      <c r="T28" s="824">
        <f t="shared" si="40"/>
        <v>22</v>
      </c>
      <c r="U28" s="824">
        <f t="shared" si="40"/>
        <v>36</v>
      </c>
      <c r="V28" s="824">
        <f t="shared" si="40"/>
        <v>50</v>
      </c>
      <c r="W28" s="824">
        <f t="shared" si="40"/>
        <v>58</v>
      </c>
      <c r="X28" s="824">
        <f t="shared" si="40"/>
        <v>56</v>
      </c>
      <c r="Y28" s="824">
        <f t="shared" si="40"/>
        <v>48</v>
      </c>
      <c r="Z28" s="825">
        <f t="shared" si="40"/>
        <v>50</v>
      </c>
      <c r="AA28" s="828">
        <f>if(or(R26="",R27=""),"",AA26-AA27)</f>
        <v>42</v>
      </c>
      <c r="AB28" s="829">
        <f>if(or(C26="",C27=""),"",Z28)</f>
        <v>50</v>
      </c>
      <c r="AC28" s="718"/>
      <c r="AD28" s="462"/>
      <c r="AE28" s="827" t="s">
        <v>100</v>
      </c>
      <c r="AF28" s="810">
        <v>4.0</v>
      </c>
    </row>
    <row r="29" ht="14.25" hidden="1" customHeight="1">
      <c r="A29" s="649"/>
      <c r="B29" s="649"/>
      <c r="C29" s="651"/>
      <c r="D29" s="651"/>
      <c r="E29" s="651"/>
      <c r="F29" s="651"/>
      <c r="G29" s="651"/>
      <c r="H29" s="651"/>
      <c r="I29" s="651"/>
      <c r="J29" s="651"/>
      <c r="K29" s="651"/>
      <c r="L29" s="651"/>
      <c r="M29" s="651"/>
      <c r="N29" s="651"/>
      <c r="O29" s="651"/>
      <c r="P29" s="651"/>
      <c r="Q29" s="651"/>
      <c r="R29" s="651"/>
      <c r="S29" s="651"/>
      <c r="T29" s="651"/>
      <c r="U29" s="651"/>
      <c r="V29" s="651"/>
      <c r="W29" s="651"/>
      <c r="X29" s="651"/>
      <c r="Y29" s="651"/>
      <c r="Z29" s="651"/>
      <c r="AA29" s="652"/>
      <c r="AB29" s="652"/>
      <c r="AC29" s="653"/>
      <c r="AD29" s="653"/>
      <c r="AE29" s="653"/>
      <c r="AF29" s="653"/>
    </row>
    <row r="30" ht="14.25" hidden="1" customHeight="1">
      <c r="A30" s="649"/>
      <c r="B30" s="649"/>
      <c r="C30" s="651"/>
      <c r="D30" s="651"/>
      <c r="E30" s="651"/>
      <c r="F30" s="651"/>
      <c r="G30" s="651"/>
      <c r="H30" s="651"/>
      <c r="I30" s="651"/>
      <c r="J30" s="651"/>
      <c r="K30" s="651"/>
      <c r="L30" s="651"/>
      <c r="M30" s="651"/>
      <c r="N30" s="651"/>
      <c r="O30" s="651"/>
      <c r="P30" s="651"/>
      <c r="Q30" s="651"/>
      <c r="R30" s="651"/>
      <c r="S30" s="651"/>
      <c r="T30" s="651"/>
      <c r="U30" s="651"/>
      <c r="V30" s="651"/>
      <c r="W30" s="651"/>
      <c r="X30" s="651"/>
      <c r="Y30" s="651"/>
      <c r="Z30" s="651"/>
      <c r="AA30" s="652" t="s">
        <v>51</v>
      </c>
      <c r="AB30" s="652" t="s">
        <v>68</v>
      </c>
      <c r="AC30" s="653" t="s">
        <v>69</v>
      </c>
      <c r="AD30" s="653"/>
      <c r="AE30" s="653"/>
      <c r="AF30" s="653"/>
    </row>
    <row r="31" ht="14.25" hidden="1" customHeight="1">
      <c r="A31" s="831" t="str">
        <f>A9</f>
        <v>Drivers</v>
      </c>
      <c r="C31" s="651">
        <f t="shared" ref="C31:K31" si="41">if(or(C8="",C13="",C18="",C23=""),"", if(C26&gt;C27,1,if(C26&lt;C27,-1,0)))</f>
        <v>-1</v>
      </c>
      <c r="D31" s="651">
        <f t="shared" si="41"/>
        <v>1</v>
      </c>
      <c r="E31" s="651">
        <f t="shared" si="41"/>
        <v>1</v>
      </c>
      <c r="F31" s="651">
        <f t="shared" si="41"/>
        <v>-1</v>
      </c>
      <c r="G31" s="651">
        <f t="shared" si="41"/>
        <v>0</v>
      </c>
      <c r="H31" s="651">
        <f t="shared" si="41"/>
        <v>-1</v>
      </c>
      <c r="I31" s="651">
        <f t="shared" si="41"/>
        <v>1</v>
      </c>
      <c r="J31" s="651">
        <f t="shared" si="41"/>
        <v>1</v>
      </c>
      <c r="K31" s="651">
        <f t="shared" si="41"/>
        <v>1</v>
      </c>
      <c r="L31" s="651"/>
      <c r="M31" s="651"/>
      <c r="N31" s="651"/>
      <c r="O31" s="651"/>
      <c r="P31" s="651"/>
      <c r="Q31" s="651"/>
      <c r="R31" s="651">
        <f t="shared" ref="R31:Z31" si="42">if(or(R8="",R13="",R18="",R23=""),"", if(R26&gt;R27,1,if(R26&lt;R27,-1,0)))</f>
        <v>1</v>
      </c>
      <c r="S31" s="651">
        <f t="shared" si="42"/>
        <v>0</v>
      </c>
      <c r="T31" s="651">
        <f t="shared" si="42"/>
        <v>1</v>
      </c>
      <c r="U31" s="651">
        <f t="shared" si="42"/>
        <v>1</v>
      </c>
      <c r="V31" s="651">
        <f t="shared" si="42"/>
        <v>1</v>
      </c>
      <c r="W31" s="651">
        <f t="shared" si="42"/>
        <v>1</v>
      </c>
      <c r="X31" s="651">
        <f t="shared" si="42"/>
        <v>-1</v>
      </c>
      <c r="Y31" s="651">
        <f t="shared" si="42"/>
        <v>-1</v>
      </c>
      <c r="Z31" s="651">
        <f t="shared" si="42"/>
        <v>1</v>
      </c>
      <c r="AA31" s="652" t="s">
        <v>71</v>
      </c>
      <c r="AB31" s="652" t="s">
        <v>72</v>
      </c>
      <c r="AC31" s="653" t="s">
        <v>73</v>
      </c>
      <c r="AD31" s="653"/>
      <c r="AE31" s="653"/>
      <c r="AF31" s="653"/>
    </row>
    <row r="32" ht="14.25" hidden="1" customHeight="1">
      <c r="A32" s="832" t="str">
        <f>A8</f>
        <v>R-Mac</v>
      </c>
      <c r="B32" s="833"/>
      <c r="C32" s="834">
        <f t="shared" ref="C32:K32" si="43">C9+C$34</f>
        <v>2</v>
      </c>
      <c r="D32" s="834">
        <f t="shared" si="43"/>
        <v>10</v>
      </c>
      <c r="E32" s="834">
        <f t="shared" si="43"/>
        <v>6</v>
      </c>
      <c r="F32" s="834">
        <f t="shared" si="43"/>
        <v>0</v>
      </c>
      <c r="G32" s="834">
        <f t="shared" si="43"/>
        <v>2</v>
      </c>
      <c r="H32" s="834">
        <f t="shared" si="43"/>
        <v>0</v>
      </c>
      <c r="I32" s="834">
        <f t="shared" si="43"/>
        <v>4</v>
      </c>
      <c r="J32" s="834">
        <f t="shared" si="43"/>
        <v>4</v>
      </c>
      <c r="K32" s="834">
        <f t="shared" si="43"/>
        <v>8</v>
      </c>
      <c r="L32" s="834"/>
      <c r="M32" s="834"/>
      <c r="N32" s="834"/>
      <c r="O32" s="834"/>
      <c r="P32" s="834"/>
      <c r="Q32" s="834"/>
      <c r="R32" s="834">
        <f t="shared" ref="R32:Z32" si="44">R9+R$34</f>
        <v>0</v>
      </c>
      <c r="S32" s="834">
        <f t="shared" si="44"/>
        <v>0</v>
      </c>
      <c r="T32" s="834">
        <f t="shared" si="44"/>
        <v>10</v>
      </c>
      <c r="U32" s="834">
        <f t="shared" si="44"/>
        <v>8</v>
      </c>
      <c r="V32" s="834">
        <f t="shared" si="44"/>
        <v>12</v>
      </c>
      <c r="W32" s="834">
        <f t="shared" si="44"/>
        <v>0</v>
      </c>
      <c r="X32" s="834">
        <f t="shared" si="44"/>
        <v>4</v>
      </c>
      <c r="Y32" s="834">
        <f t="shared" si="44"/>
        <v>2</v>
      </c>
      <c r="Z32" s="834">
        <f t="shared" si="44"/>
        <v>8</v>
      </c>
      <c r="AA32" s="835">
        <f>if($Z$31="","",sum(C32:Z32)/sum(C32:Z33)*18)</f>
        <v>8.275862069</v>
      </c>
      <c r="AB32" s="835">
        <f t="shared" ref="AB32:AB33" si="47">if($Z$31="","",sum(C32:Z32)/sum($C$32:$Z$33,$C$35:$Z$36)*18)</f>
        <v>4.832214765</v>
      </c>
      <c r="AC32" s="836">
        <f>if($Z$31="","",$AC$26*AB32/(AB32+AB33))</f>
        <v>1.83908046</v>
      </c>
      <c r="AD32" s="662"/>
      <c r="AE32" s="662"/>
      <c r="AF32" s="662"/>
    </row>
    <row r="33" ht="14.25" hidden="1" customHeight="1">
      <c r="A33" s="832" t="str">
        <f>A13</f>
        <v>Hile</v>
      </c>
      <c r="B33" s="833"/>
      <c r="C33" s="834">
        <f t="shared" ref="C33:K33" si="45">C14+C$34</f>
        <v>0</v>
      </c>
      <c r="D33" s="834">
        <f t="shared" si="45"/>
        <v>8</v>
      </c>
      <c r="E33" s="834">
        <f t="shared" si="45"/>
        <v>0</v>
      </c>
      <c r="F33" s="834">
        <f t="shared" si="45"/>
        <v>6</v>
      </c>
      <c r="G33" s="834">
        <f t="shared" si="45"/>
        <v>2</v>
      </c>
      <c r="H33" s="834">
        <f t="shared" si="45"/>
        <v>0</v>
      </c>
      <c r="I33" s="834">
        <f t="shared" si="45"/>
        <v>2</v>
      </c>
      <c r="J33" s="834">
        <f t="shared" si="45"/>
        <v>4</v>
      </c>
      <c r="K33" s="834">
        <f t="shared" si="45"/>
        <v>0</v>
      </c>
      <c r="L33" s="834"/>
      <c r="M33" s="834"/>
      <c r="N33" s="834"/>
      <c r="O33" s="834"/>
      <c r="P33" s="834"/>
      <c r="Q33" s="834"/>
      <c r="R33" s="834">
        <f t="shared" ref="R33:Z33" si="46">R14+R$34</f>
        <v>24</v>
      </c>
      <c r="S33" s="834">
        <f t="shared" si="46"/>
        <v>4</v>
      </c>
      <c r="T33" s="834">
        <f t="shared" si="46"/>
        <v>12</v>
      </c>
      <c r="U33" s="834">
        <f t="shared" si="46"/>
        <v>12</v>
      </c>
      <c r="V33" s="834">
        <f t="shared" si="46"/>
        <v>8</v>
      </c>
      <c r="W33" s="834">
        <f t="shared" si="46"/>
        <v>8</v>
      </c>
      <c r="X33" s="834">
        <f t="shared" si="46"/>
        <v>0</v>
      </c>
      <c r="Y33" s="834">
        <f t="shared" si="46"/>
        <v>2</v>
      </c>
      <c r="Z33" s="834">
        <f t="shared" si="46"/>
        <v>2</v>
      </c>
      <c r="AA33" s="835">
        <f>if($Z$31="","",sum(C33:Z33)/sum(C32:Z33)*18)</f>
        <v>9.724137931</v>
      </c>
      <c r="AB33" s="835">
        <f t="shared" si="47"/>
        <v>5.677852349</v>
      </c>
      <c r="AC33" s="836">
        <f>if($Z$31="","",$AC$26*AB33/(AB32+AB33))</f>
        <v>2.16091954</v>
      </c>
      <c r="AD33" s="662"/>
      <c r="AE33" s="662"/>
      <c r="AF33" s="662"/>
    </row>
    <row r="34" ht="14.25" hidden="1" customHeight="1">
      <c r="A34" s="831" t="str">
        <f>A19</f>
        <v>Irons</v>
      </c>
      <c r="C34" s="838">
        <f t="shared" ref="C34:K34" si="48">if(small({C9,C14,C19,C24},1)&lt;0,small({C9,C14,C19,C24},1)*-1,0)</f>
        <v>0</v>
      </c>
      <c r="D34" s="838">
        <f t="shared" si="48"/>
        <v>8</v>
      </c>
      <c r="E34" s="838">
        <f t="shared" si="48"/>
        <v>4</v>
      </c>
      <c r="F34" s="838">
        <f t="shared" si="48"/>
        <v>4</v>
      </c>
      <c r="G34" s="838">
        <f t="shared" si="48"/>
        <v>0</v>
      </c>
      <c r="H34" s="838">
        <f t="shared" si="48"/>
        <v>0</v>
      </c>
      <c r="I34" s="838">
        <f t="shared" si="48"/>
        <v>0</v>
      </c>
      <c r="J34" s="838">
        <f t="shared" si="48"/>
        <v>0</v>
      </c>
      <c r="K34" s="838">
        <f t="shared" si="48"/>
        <v>4</v>
      </c>
      <c r="L34" s="651"/>
      <c r="M34" s="651"/>
      <c r="N34" s="651"/>
      <c r="O34" s="651"/>
      <c r="P34" s="651"/>
      <c r="Q34" s="651"/>
      <c r="R34" s="838">
        <f t="shared" ref="R34:Z34" si="49">if(small({R9,R14,R19,R24},1)&lt;0,small({R9,R14,R19,R24},1)*-1,0)</f>
        <v>8</v>
      </c>
      <c r="S34" s="838">
        <f t="shared" si="49"/>
        <v>0</v>
      </c>
      <c r="T34" s="838">
        <f t="shared" si="49"/>
        <v>8</v>
      </c>
      <c r="U34" s="838">
        <f t="shared" si="49"/>
        <v>4</v>
      </c>
      <c r="V34" s="838">
        <f t="shared" si="49"/>
        <v>4</v>
      </c>
      <c r="W34" s="838">
        <f t="shared" si="49"/>
        <v>0</v>
      </c>
      <c r="X34" s="838">
        <f t="shared" si="49"/>
        <v>0</v>
      </c>
      <c r="Y34" s="838">
        <f t="shared" si="49"/>
        <v>0</v>
      </c>
      <c r="Z34" s="838">
        <f t="shared" si="49"/>
        <v>0</v>
      </c>
      <c r="AA34" s="651"/>
      <c r="AB34" s="651"/>
      <c r="AC34" s="651"/>
      <c r="AD34" s="651"/>
      <c r="AE34" s="651"/>
      <c r="AF34" s="651"/>
    </row>
    <row r="35" ht="14.25" hidden="1" customHeight="1">
      <c r="A35" s="832" t="str">
        <f>A18</f>
        <v>Pace</v>
      </c>
      <c r="B35" s="833"/>
      <c r="C35" s="834">
        <f t="shared" ref="C35:K35" si="50">C19+C$34</f>
        <v>0</v>
      </c>
      <c r="D35" s="834">
        <f t="shared" si="50"/>
        <v>0</v>
      </c>
      <c r="E35" s="834">
        <f t="shared" si="50"/>
        <v>4</v>
      </c>
      <c r="F35" s="834">
        <f t="shared" si="50"/>
        <v>6</v>
      </c>
      <c r="G35" s="834">
        <f t="shared" si="50"/>
        <v>2</v>
      </c>
      <c r="H35" s="834">
        <f t="shared" si="50"/>
        <v>0</v>
      </c>
      <c r="I35" s="834">
        <f t="shared" si="50"/>
        <v>4</v>
      </c>
      <c r="J35" s="834">
        <f t="shared" si="50"/>
        <v>0</v>
      </c>
      <c r="K35" s="834">
        <f t="shared" si="50"/>
        <v>0</v>
      </c>
      <c r="L35" s="834"/>
      <c r="M35" s="834"/>
      <c r="N35" s="834"/>
      <c r="O35" s="834"/>
      <c r="P35" s="834"/>
      <c r="Q35" s="834"/>
      <c r="R35" s="834">
        <f t="shared" ref="R35:Z35" si="51">R19+R$34</f>
        <v>10</v>
      </c>
      <c r="S35" s="834">
        <f t="shared" si="51"/>
        <v>0</v>
      </c>
      <c r="T35" s="834">
        <f t="shared" si="51"/>
        <v>12</v>
      </c>
      <c r="U35" s="834">
        <f t="shared" si="51"/>
        <v>6</v>
      </c>
      <c r="V35" s="834">
        <f t="shared" si="51"/>
        <v>6</v>
      </c>
      <c r="W35" s="834">
        <f t="shared" si="51"/>
        <v>0</v>
      </c>
      <c r="X35" s="834">
        <f t="shared" si="51"/>
        <v>2</v>
      </c>
      <c r="Y35" s="834">
        <f t="shared" si="51"/>
        <v>4</v>
      </c>
      <c r="Z35" s="834">
        <f t="shared" si="51"/>
        <v>0</v>
      </c>
      <c r="AA35" s="835">
        <f>if($Z$31="","",sum(C35:Z35)/sum(C35:Z36)*18)</f>
        <v>8.129032258</v>
      </c>
      <c r="AB35" s="835">
        <f t="shared" ref="AB35:AB36" si="54">if($Z$31="","",sum(C35:Z35)/sum($C$32:$Z$33,$C$35:$Z$36)*18)</f>
        <v>3.382550336</v>
      </c>
      <c r="AC35" s="836">
        <f>if($Z$31="","",$AC$27*AB35/(AB35+AB36))</f>
        <v>0</v>
      </c>
      <c r="AD35" s="662"/>
      <c r="AE35" s="662"/>
      <c r="AF35" s="662"/>
    </row>
    <row r="36" ht="14.25" hidden="1" customHeight="1">
      <c r="A36" s="832" t="str">
        <f>A23</f>
        <v>Saugy</v>
      </c>
      <c r="B36" s="833"/>
      <c r="C36" s="834">
        <f t="shared" ref="C36:K36" si="52">C24+C$34</f>
        <v>4</v>
      </c>
      <c r="D36" s="834">
        <f t="shared" si="52"/>
        <v>8</v>
      </c>
      <c r="E36" s="834">
        <f t="shared" si="52"/>
        <v>0</v>
      </c>
      <c r="F36" s="834">
        <f t="shared" si="52"/>
        <v>4</v>
      </c>
      <c r="G36" s="834">
        <f t="shared" si="52"/>
        <v>2</v>
      </c>
      <c r="H36" s="834">
        <f t="shared" si="52"/>
        <v>8</v>
      </c>
      <c r="I36" s="834">
        <f t="shared" si="52"/>
        <v>0</v>
      </c>
      <c r="J36" s="834">
        <f t="shared" si="52"/>
        <v>2</v>
      </c>
      <c r="K36" s="834">
        <f t="shared" si="52"/>
        <v>6</v>
      </c>
      <c r="L36" s="834"/>
      <c r="M36" s="834"/>
      <c r="N36" s="834"/>
      <c r="O36" s="834"/>
      <c r="P36" s="834"/>
      <c r="Q36" s="834"/>
      <c r="R36" s="834">
        <f t="shared" ref="R36:Z36" si="53">R24+R$34</f>
        <v>10</v>
      </c>
      <c r="S36" s="834">
        <f t="shared" si="53"/>
        <v>4</v>
      </c>
      <c r="T36" s="834">
        <f t="shared" si="53"/>
        <v>0</v>
      </c>
      <c r="U36" s="834">
        <f t="shared" si="53"/>
        <v>0</v>
      </c>
      <c r="V36" s="834">
        <f t="shared" si="53"/>
        <v>0</v>
      </c>
      <c r="W36" s="834">
        <f t="shared" si="53"/>
        <v>0</v>
      </c>
      <c r="X36" s="834">
        <f t="shared" si="53"/>
        <v>4</v>
      </c>
      <c r="Y36" s="834">
        <f t="shared" si="53"/>
        <v>8</v>
      </c>
      <c r="Z36" s="834">
        <f t="shared" si="53"/>
        <v>8</v>
      </c>
      <c r="AA36" s="835">
        <f>if($Z$31="","",sum(C36:Z36)/sum(C35:Z36)*18)</f>
        <v>9.870967742</v>
      </c>
      <c r="AB36" s="835">
        <f t="shared" si="54"/>
        <v>4.10738255</v>
      </c>
      <c r="AC36" s="836">
        <f>if($Z$31="","",$AC$27*AB36/(AB35+AB36))</f>
        <v>0</v>
      </c>
      <c r="AD36" s="662"/>
      <c r="AE36" s="662"/>
      <c r="AF36" s="662"/>
    </row>
  </sheetData>
  <mergeCells count="3">
    <mergeCell ref="B2:B4"/>
    <mergeCell ref="N5:N6"/>
    <mergeCell ref="AE5:AE6"/>
  </mergeCells>
  <conditionalFormatting sqref="L26 AA26:AC26">
    <cfRule type="notContainsBlanks" dxfId="20" priority="1">
      <formula>LEN(TRIM(L26))&gt;0</formula>
    </cfRule>
  </conditionalFormatting>
  <conditionalFormatting sqref="AB19 AB24 L27 AA27:AC27">
    <cfRule type="notContainsBlanks" dxfId="15" priority="2">
      <formula>LEN(TRIM(AB19))&gt;0</formula>
    </cfRule>
  </conditionalFormatting>
  <conditionalFormatting sqref="AB9 AB14">
    <cfRule type="notContainsBlanks" dxfId="16" priority="3">
      <formula>LEN(TRIM(AB9))&gt;0</formula>
    </cfRule>
  </conditionalFormatting>
  <conditionalFormatting sqref="R19">
    <cfRule type="expression" dxfId="17" priority="4">
      <formula>and(R$18&lt;&gt;"",R$18-R$17&lt;R$3,or(and(K$18&lt;&gt;"",K$18-K$17&lt;K$3),and(K$23&lt;&gt;"",K$23-K$22&lt;K$3)))</formula>
    </cfRule>
  </conditionalFormatting>
  <conditionalFormatting sqref="R24">
    <cfRule type="expression" dxfId="17" priority="5">
      <formula>and(R$23&lt;&gt;"",R$23-R$22&lt;R$3,or(and(K$18&lt;&gt;"",K$18-K$17&lt;K$3),and(K$23&lt;&gt;"",K$23-K$22&lt;K$3)))</formula>
    </cfRule>
  </conditionalFormatting>
  <conditionalFormatting sqref="D19:K19 S19:Z19">
    <cfRule type="expression" dxfId="17" priority="6">
      <formula>and(D18&lt;&gt;"",D18-D17&lt;D$3,or(and(C$18&lt;&gt;"",C$18-C$17&lt;C$3),and(C$23&lt;&gt;"",C$23-C$22&lt;C$3)))</formula>
    </cfRule>
  </conditionalFormatting>
  <conditionalFormatting sqref="D24:K24 S24:Z24">
    <cfRule type="expression" dxfId="17" priority="7">
      <formula>and(D$23&lt;&gt;"",D$23-D$22&lt;D$3,or(and(C$18&lt;&gt;"",C$18-C$17&lt;C$3),and(C$23&lt;&gt;"",C$23-C$22&lt;C$3)))</formula>
    </cfRule>
  </conditionalFormatting>
  <conditionalFormatting sqref="D19:K19 S19:Z19 D24:K24 S24:Z24">
    <cfRule type="expression" dxfId="18" priority="8">
      <formula>or(and(C$18&lt;&gt;"",C$18-C$17&lt;C$3),and(C$23&lt;&gt;"",C$23-C$22&lt;C$3))</formula>
    </cfRule>
  </conditionalFormatting>
  <conditionalFormatting sqref="R19 R24">
    <cfRule type="expression" dxfId="18" priority="9">
      <formula>or(and(K$18&lt;&gt;"",K$18-K$17&lt;K$3),and(K$23&lt;&gt;"",K$23-K$22&lt;K$3))</formula>
    </cfRule>
  </conditionalFormatting>
  <conditionalFormatting sqref="C19:K19 R19:Z19 C24:K24 R24:Z24">
    <cfRule type="expression" dxfId="15" priority="10">
      <formula>and(C18&lt;&gt;"",C18-C17&lt;C$3)</formula>
    </cfRule>
  </conditionalFormatting>
  <conditionalFormatting sqref="C8:K8 R8:Z8 C13:K13 R13:Z13">
    <cfRule type="expression" dxfId="16" priority="11">
      <formula>and(C8&lt;&gt;"",C8-C7&lt;C$3)</formula>
    </cfRule>
  </conditionalFormatting>
  <conditionalFormatting sqref="C18:K18 R18:Z18 C23:K23 R23:Z23">
    <cfRule type="expression" dxfId="15" priority="12">
      <formula>and(C18&lt;&gt;"",C18-C17&lt;C$3)</formula>
    </cfRule>
  </conditionalFormatting>
  <conditionalFormatting sqref="R9">
    <cfRule type="expression" dxfId="19" priority="13">
      <formula>and(R$8&lt;&gt;"",R$8-R$7&lt;R$3,or(and(K$8&lt;&gt;"",K$8-K$7&lt;K$3),and(K$13&lt;&gt;"",K$13-K$12&lt;K$3)))</formula>
    </cfRule>
  </conditionalFormatting>
  <conditionalFormatting sqref="D9:K9 S9:Z9">
    <cfRule type="expression" dxfId="19" priority="14">
      <formula>and(D$8&lt;&gt;"",D$8-D$7&lt;D$3,or(and(C$8&lt;&gt;"",C$8-C$7&lt;C$3),and(C$13&lt;&gt;"",C$13-C$12&lt;C$3)))</formula>
    </cfRule>
  </conditionalFormatting>
  <conditionalFormatting sqref="R14">
    <cfRule type="expression" dxfId="19" priority="15">
      <formula>and(R$13&lt;&gt;"",R$13-R$12&lt;R$3,or(and(K$8&lt;&gt;"",K$8-K$7&lt;K$3),and(K$13&lt;&gt;"",K$13-K$12&lt;K$3)))</formula>
    </cfRule>
  </conditionalFormatting>
  <conditionalFormatting sqref="D14:K14 S14:Z14">
    <cfRule type="expression" dxfId="19" priority="16">
      <formula>and(D$13&lt;&gt;"",D$13-D$12&lt;D$3,or(and(C$8&lt;&gt;"",C$8-C$7&lt;C$3),and(C$13&lt;&gt;"",C$13-C$12&lt;C$3)))</formula>
    </cfRule>
  </conditionalFormatting>
  <conditionalFormatting sqref="D9:K9 S9:Z9 D14:K14 S14:Z14">
    <cfRule type="expression" dxfId="18" priority="17">
      <formula>or(and(C$8&lt;&gt;"",C$8-C$7&lt;C$3),and(C$13&lt;&gt;"",C$13-C$12&lt;C$3))</formula>
    </cfRule>
  </conditionalFormatting>
  <conditionalFormatting sqref="R9 R14">
    <cfRule type="expression" dxfId="18" priority="18">
      <formula>or(and(K$8&lt;&gt;"",K$8-K$7&lt;K$3),and(K$13&lt;&gt;"",K$13-K$12&lt;K$3))</formula>
    </cfRule>
  </conditionalFormatting>
  <conditionalFormatting sqref="C9:K9 R9:Z9 C14:K14 R14:Z14">
    <cfRule type="expression" dxfId="16" priority="19">
      <formula>and(C8&lt;&gt;"",C8-C7&lt;C$3)</formula>
    </cfRule>
  </conditionalFormatting>
  <printOptions horizontalCentered="1"/>
  <pageMargins bottom="0.5" footer="0.0" header="0.0" left="0.55"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839" t="s">
        <v>54</v>
      </c>
      <c r="B1" s="840">
        <f>'Master Input'!K3</f>
        <v>0.4166666667</v>
      </c>
      <c r="C1" s="841" t="str">
        <f>'Master Input'!$K$2</f>
        <v>Round 4</v>
      </c>
      <c r="D1" s="842"/>
      <c r="E1" s="841" t="str">
        <f>'Master Input'!$K$6</f>
        <v>American Dunes - Freedom/WH</v>
      </c>
      <c r="F1" s="843"/>
      <c r="G1" s="843"/>
      <c r="H1" s="843"/>
      <c r="I1" s="843"/>
      <c r="J1" s="843"/>
      <c r="K1" s="843"/>
      <c r="L1" s="843"/>
      <c r="M1" s="843"/>
      <c r="N1" s="844"/>
      <c r="O1" s="301"/>
      <c r="P1" s="845" t="str">
        <f>'Master Input'!$K$2</f>
        <v>Round 4</v>
      </c>
      <c r="Q1" s="842"/>
      <c r="R1" s="841" t="str">
        <f>'Master Input'!$K$6</f>
        <v>American Dunes - Freedom/WH</v>
      </c>
      <c r="S1" s="843"/>
      <c r="T1" s="843"/>
      <c r="U1" s="843"/>
      <c r="V1" s="843"/>
      <c r="W1" s="843"/>
      <c r="X1" s="843"/>
      <c r="Y1" s="843"/>
      <c r="Z1" s="843"/>
      <c r="AA1" s="843"/>
      <c r="AB1" s="844"/>
    </row>
    <row r="2" ht="14.25" customHeight="1">
      <c r="A2" s="846" t="s">
        <v>55</v>
      </c>
      <c r="B2" s="847" t="str">
        <f>'Match Selection'!B19</f>
        <v>Team Best Ball</v>
      </c>
      <c r="C2" s="502"/>
      <c r="D2" s="308" t="s">
        <v>55</v>
      </c>
      <c r="E2" s="503">
        <f>vlookup($E1, 'Course List'!$A$3:$AS$14,5+E4, false)</f>
        <v>10</v>
      </c>
      <c r="F2" s="310">
        <f>vlookup($E1, 'Course List'!$A$3:$AS$14,5+F4, false)</f>
        <v>18</v>
      </c>
      <c r="G2" s="310">
        <f>vlookup($E1, 'Course List'!$A$3:$AS$14,5+G4, false)</f>
        <v>6</v>
      </c>
      <c r="H2" s="310">
        <f>vlookup($E1, 'Course List'!$A$3:$AS$14,5+H4, false)</f>
        <v>14</v>
      </c>
      <c r="I2" s="310">
        <f>vlookup($E1, 'Course List'!$A$3:$AS$14,5+I4, false)</f>
        <v>2</v>
      </c>
      <c r="J2" s="310">
        <f>vlookup($E1, 'Course List'!$A$3:$AS$14,5+J4, false)</f>
        <v>12</v>
      </c>
      <c r="K2" s="310">
        <f>vlookup($E1, 'Course List'!$A$3:$AS$14,5+K4, false)</f>
        <v>16</v>
      </c>
      <c r="L2" s="310">
        <f>vlookup($E1, 'Course List'!$A$3:$AS$14,5+L4, false)</f>
        <v>4</v>
      </c>
      <c r="M2" s="311">
        <f>vlookup($E1, 'Course List'!$A$3:$AS$14,5+M4, false)</f>
        <v>8</v>
      </c>
      <c r="N2" s="312"/>
      <c r="O2" s="313"/>
      <c r="P2" s="846" t="s">
        <v>55</v>
      </c>
      <c r="Q2" s="310">
        <f>vlookup($E1, 'Course List'!$A$3:$AS$14,5+Q4, false)</f>
        <v>3</v>
      </c>
      <c r="R2" s="310">
        <f>vlookup($E1, 'Course List'!$A$3:$AS$14,5+R4, false)</f>
        <v>13</v>
      </c>
      <c r="S2" s="310">
        <f>vlookup($E1, 'Course List'!$A$3:$AS$14,5+S4, false)</f>
        <v>15</v>
      </c>
      <c r="T2" s="310">
        <f>vlookup($E1, 'Course List'!$A$3:$AS$14,5+T4, false)</f>
        <v>11</v>
      </c>
      <c r="U2" s="310">
        <f>vlookup($E1, 'Course List'!$A$3:$AS$14,5+U4, false)</f>
        <v>7</v>
      </c>
      <c r="V2" s="310">
        <f>vlookup($E1, 'Course List'!$A$3:$AS$14,5+V4, false)</f>
        <v>9</v>
      </c>
      <c r="W2" s="310">
        <f>vlookup($E1, 'Course List'!$A$3:$AS$14,5+W4, false)</f>
        <v>1</v>
      </c>
      <c r="X2" s="310">
        <f>vlookup($E1, 'Course List'!$A$3:$AS$14,5+X4, false)</f>
        <v>5</v>
      </c>
      <c r="Y2" s="311">
        <f>vlookup($E1, 'Course List'!$A$3:$AS$14,5+Y4, false)</f>
        <v>17</v>
      </c>
      <c r="Z2" s="504"/>
      <c r="AA2" s="315"/>
      <c r="AB2" s="316"/>
    </row>
    <row r="3" ht="14.25" customHeight="1">
      <c r="A3" s="848" t="s">
        <v>56</v>
      </c>
      <c r="B3" s="317"/>
      <c r="C3" s="849"/>
      <c r="D3" s="319" t="s">
        <v>56</v>
      </c>
      <c r="E3" s="850">
        <f>vlookup($E1, 'Course List'!$A$3:$AS$14,27+E4, false)</f>
        <v>4</v>
      </c>
      <c r="F3" s="321">
        <f>vlookup($E1, 'Course List'!$A$3:$AS$14,27+F4, false)</f>
        <v>5</v>
      </c>
      <c r="G3" s="321">
        <f>vlookup($E1, 'Course List'!$A$3:$AS$14,27+G4, false)</f>
        <v>4</v>
      </c>
      <c r="H3" s="321">
        <f>vlookup($E1, 'Course List'!$A$3:$AS$14,27+H4, false)</f>
        <v>3</v>
      </c>
      <c r="I3" s="321">
        <f>vlookup($E1, 'Course List'!$A$3:$AS$14,27+I4, false)</f>
        <v>4</v>
      </c>
      <c r="J3" s="321">
        <f>vlookup($E1, 'Course List'!$A$3:$AS$14,27+J4, false)</f>
        <v>5</v>
      </c>
      <c r="K3" s="321">
        <f>vlookup($E1, 'Course List'!$A$3:$AS$14,27+K4, false)</f>
        <v>3</v>
      </c>
      <c r="L3" s="321">
        <f>vlookup($E1, 'Course List'!$A$3:$AS$14,27+L4, false)</f>
        <v>4</v>
      </c>
      <c r="M3" s="322">
        <f>vlookup($E1, 'Course List'!$A$3:$AS$14,27+M4, false)</f>
        <v>4</v>
      </c>
      <c r="N3" s="323">
        <f>SUM(E3:M3)</f>
        <v>36</v>
      </c>
      <c r="O3" s="313"/>
      <c r="P3" s="848" t="s">
        <v>56</v>
      </c>
      <c r="Q3" s="321">
        <f>vlookup($E1, 'Course List'!$A$3:$AS$14,27+Q4, false)</f>
        <v>4</v>
      </c>
      <c r="R3" s="321">
        <f>vlookup($E1, 'Course List'!$A$3:$AS$14,27+R4, false)</f>
        <v>4</v>
      </c>
      <c r="S3" s="321">
        <f>vlookup($E1, 'Course List'!$A$3:$AS$14,27+S4, false)</f>
        <v>3</v>
      </c>
      <c r="T3" s="321">
        <f>vlookup($E1, 'Course List'!$A$3:$AS$14,27+T4, false)</f>
        <v>5</v>
      </c>
      <c r="U3" s="321">
        <f>vlookup($E1, 'Course List'!$A$3:$AS$14,27+U4, false)</f>
        <v>4</v>
      </c>
      <c r="V3" s="321">
        <f>vlookup($E1, 'Course List'!$A$3:$AS$14,27+V4, false)</f>
        <v>3</v>
      </c>
      <c r="W3" s="321">
        <f>vlookup($E1, 'Course List'!$A$3:$AS$14,27+W4, false)</f>
        <v>4</v>
      </c>
      <c r="X3" s="321">
        <f>vlookup($E1, 'Course List'!$A$3:$AS$14,27+X4, false)</f>
        <v>4</v>
      </c>
      <c r="Y3" s="322">
        <f>vlookup($E1, 'Course List'!$A$3:$AS$14,27+Y4, false)</f>
        <v>5</v>
      </c>
      <c r="Z3" s="851">
        <f>SUM(Q3:Y3)</f>
        <v>36</v>
      </c>
      <c r="AA3" s="321">
        <f>N3+Z3</f>
        <v>72</v>
      </c>
      <c r="AB3" s="324"/>
    </row>
    <row r="4" ht="14.25" customHeight="1">
      <c r="A4" s="325" t="s">
        <v>10</v>
      </c>
      <c r="B4" s="326" t="s">
        <v>57</v>
      </c>
      <c r="C4" s="852" t="s">
        <v>58</v>
      </c>
      <c r="D4" s="853" t="s">
        <v>59</v>
      </c>
      <c r="E4" s="854">
        <v>1.0</v>
      </c>
      <c r="F4" s="855">
        <v>2.0</v>
      </c>
      <c r="G4" s="855">
        <v>3.0</v>
      </c>
      <c r="H4" s="855">
        <v>4.0</v>
      </c>
      <c r="I4" s="855">
        <v>5.0</v>
      </c>
      <c r="J4" s="855">
        <v>6.0</v>
      </c>
      <c r="K4" s="855">
        <v>7.0</v>
      </c>
      <c r="L4" s="855">
        <v>8.0</v>
      </c>
      <c r="M4" s="856">
        <v>9.0</v>
      </c>
      <c r="N4" s="332" t="s">
        <v>60</v>
      </c>
      <c r="O4" s="857"/>
      <c r="P4" s="325" t="s">
        <v>10</v>
      </c>
      <c r="Q4" s="854">
        <v>10.0</v>
      </c>
      <c r="R4" s="855">
        <v>11.0</v>
      </c>
      <c r="S4" s="855">
        <v>12.0</v>
      </c>
      <c r="T4" s="855">
        <v>13.0</v>
      </c>
      <c r="U4" s="855">
        <v>14.0</v>
      </c>
      <c r="V4" s="855">
        <v>15.0</v>
      </c>
      <c r="W4" s="855">
        <v>16.0</v>
      </c>
      <c r="X4" s="855">
        <v>17.0</v>
      </c>
      <c r="Y4" s="856">
        <v>18.0</v>
      </c>
      <c r="Z4" s="332" t="s">
        <v>61</v>
      </c>
      <c r="AA4" s="858" t="s">
        <v>62</v>
      </c>
      <c r="AB4" s="859" t="s">
        <v>63</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860"/>
      <c r="B6" s="861"/>
      <c r="C6" s="862"/>
      <c r="D6" s="863"/>
      <c r="E6" s="347" t="str">
        <f t="shared" ref="E6:M6" si="1">if(E7=1,"O", if(E7=2,"O   O",""))</f>
        <v/>
      </c>
      <c r="F6" s="348" t="str">
        <f t="shared" si="1"/>
        <v/>
      </c>
      <c r="G6" s="348" t="str">
        <f t="shared" si="1"/>
        <v>O</v>
      </c>
      <c r="H6" s="348" t="str">
        <f t="shared" si="1"/>
        <v/>
      </c>
      <c r="I6" s="348" t="str">
        <f t="shared" si="1"/>
        <v>O</v>
      </c>
      <c r="J6" s="348" t="str">
        <f t="shared" si="1"/>
        <v/>
      </c>
      <c r="K6" s="348" t="str">
        <f t="shared" si="1"/>
        <v/>
      </c>
      <c r="L6" s="348" t="str">
        <f t="shared" si="1"/>
        <v>O</v>
      </c>
      <c r="M6" s="348" t="str">
        <f t="shared" si="1"/>
        <v>O</v>
      </c>
      <c r="N6" s="864"/>
      <c r="O6" s="351"/>
      <c r="P6" s="517"/>
      <c r="Q6" s="347" t="str">
        <f t="shared" ref="Q6:Y6" si="2">if(Q7=1,"O", if(Q7=2,"O   O",""))</f>
        <v>O</v>
      </c>
      <c r="R6" s="348" t="str">
        <f t="shared" si="2"/>
        <v/>
      </c>
      <c r="S6" s="348" t="str">
        <f t="shared" si="2"/>
        <v/>
      </c>
      <c r="T6" s="348" t="str">
        <f t="shared" si="2"/>
        <v/>
      </c>
      <c r="U6" s="348" t="str">
        <f t="shared" si="2"/>
        <v>O</v>
      </c>
      <c r="V6" s="348" t="str">
        <f t="shared" si="2"/>
        <v/>
      </c>
      <c r="W6" s="348" t="str">
        <f t="shared" si="2"/>
        <v>O</v>
      </c>
      <c r="X6" s="348" t="str">
        <f t="shared" si="2"/>
        <v>O</v>
      </c>
      <c r="Y6" s="348" t="str">
        <f t="shared" si="2"/>
        <v/>
      </c>
      <c r="Z6" s="865"/>
      <c r="AA6" s="866"/>
      <c r="AB6" s="867"/>
    </row>
    <row r="7" ht="22.5" hidden="1" customHeight="1">
      <c r="A7" s="356"/>
      <c r="B7" s="393"/>
      <c r="C7" s="522"/>
      <c r="D7" s="359"/>
      <c r="E7" s="868">
        <f t="shared" ref="E7:M7" si="3">IF($D8&gt;0,FLOOR($D8/18,1),0)+IF(AND(MOD($D8,18)&gt;=E$2,$D8&gt;0),1,0)-IF(E$2-18&gt;$D8,1,0)</f>
        <v>0</v>
      </c>
      <c r="F7" s="361">
        <f t="shared" si="3"/>
        <v>0</v>
      </c>
      <c r="G7" s="361">
        <f t="shared" si="3"/>
        <v>1</v>
      </c>
      <c r="H7" s="361">
        <f t="shared" si="3"/>
        <v>0</v>
      </c>
      <c r="I7" s="361">
        <f t="shared" si="3"/>
        <v>1</v>
      </c>
      <c r="J7" s="361">
        <f t="shared" si="3"/>
        <v>0</v>
      </c>
      <c r="K7" s="361">
        <f t="shared" si="3"/>
        <v>0</v>
      </c>
      <c r="L7" s="361">
        <f t="shared" si="3"/>
        <v>1</v>
      </c>
      <c r="M7" s="361">
        <f t="shared" si="3"/>
        <v>1</v>
      </c>
      <c r="N7" s="869"/>
      <c r="O7" s="364"/>
      <c r="P7" s="526"/>
      <c r="Q7" s="868">
        <f t="shared" ref="Q7:Y7" si="4">IF($D8&gt;0,FLOOR($D8/18,1),0)+IF(AND(MOD($D8,18)&gt;=Q$2,$D8&gt;0),1,0)-IF(Q$2-18&gt;$D8,1,0)</f>
        <v>1</v>
      </c>
      <c r="R7" s="361">
        <f t="shared" si="4"/>
        <v>0</v>
      </c>
      <c r="S7" s="361">
        <f t="shared" si="4"/>
        <v>0</v>
      </c>
      <c r="T7" s="361">
        <f t="shared" si="4"/>
        <v>0</v>
      </c>
      <c r="U7" s="361">
        <f t="shared" si="4"/>
        <v>1</v>
      </c>
      <c r="V7" s="361">
        <f t="shared" si="4"/>
        <v>0</v>
      </c>
      <c r="W7" s="361">
        <f t="shared" si="4"/>
        <v>1</v>
      </c>
      <c r="X7" s="361">
        <f t="shared" si="4"/>
        <v>1</v>
      </c>
      <c r="Y7" s="361">
        <f t="shared" si="4"/>
        <v>0</v>
      </c>
      <c r="Z7" s="870"/>
      <c r="AA7" s="871"/>
      <c r="AB7" s="872"/>
    </row>
    <row r="8" ht="27.0" customHeight="1">
      <c r="A8" s="369" t="str">
        <f>'Match Selection'!D19</f>
        <v>Jensen</v>
      </c>
      <c r="B8" s="873" t="str">
        <f>vlookup(A8, 'Master Input'!$A$11:$B$27,2, false)</f>
        <v>Irons</v>
      </c>
      <c r="C8" s="531">
        <f>vlookup(A8,'Master Input'!$A$11:$L$27,'Master Input'!$L$28, false)</f>
        <v>8</v>
      </c>
      <c r="D8" s="372">
        <f>C8</f>
        <v>8</v>
      </c>
      <c r="E8" s="874">
        <v>3.0</v>
      </c>
      <c r="F8" s="374">
        <v>7.0</v>
      </c>
      <c r="G8" s="374">
        <v>5.0</v>
      </c>
      <c r="H8" s="374">
        <v>3.0</v>
      </c>
      <c r="I8" s="374">
        <v>4.0</v>
      </c>
      <c r="J8" s="374">
        <v>5.0</v>
      </c>
      <c r="K8" s="374">
        <v>3.0</v>
      </c>
      <c r="L8" s="374">
        <v>5.0</v>
      </c>
      <c r="M8" s="875">
        <v>4.0</v>
      </c>
      <c r="N8" s="876">
        <f>if(M8="","", sum(E8:M8))</f>
        <v>39</v>
      </c>
      <c r="O8" s="364"/>
      <c r="P8" s="535" t="str">
        <f>A8</f>
        <v>Jensen</v>
      </c>
      <c r="Q8" s="874">
        <v>6.0</v>
      </c>
      <c r="R8" s="374">
        <v>4.0</v>
      </c>
      <c r="S8" s="374">
        <v>3.0</v>
      </c>
      <c r="T8" s="374">
        <v>5.0</v>
      </c>
      <c r="U8" s="374">
        <v>4.0</v>
      </c>
      <c r="V8" s="374">
        <v>4.0</v>
      </c>
      <c r="W8" s="374">
        <v>5.0</v>
      </c>
      <c r="X8" s="374">
        <v>5.0</v>
      </c>
      <c r="Y8" s="374">
        <v>4.0</v>
      </c>
      <c r="Z8" s="877">
        <f>if(Y8="","", sum(Q8:Y8))</f>
        <v>40</v>
      </c>
      <c r="AA8" s="878">
        <f>if(Z8="", "", sum(N8,Z8))</f>
        <v>79</v>
      </c>
      <c r="AB8" s="879">
        <f>if(Y8="", "", AA8-C8)</f>
        <v>71</v>
      </c>
    </row>
    <row r="9" ht="7.5" customHeight="1">
      <c r="A9" s="546"/>
      <c r="B9" s="880"/>
      <c r="C9" s="881"/>
      <c r="D9" s="882"/>
      <c r="E9" s="883" t="str">
        <f t="shared" ref="E9:M9" si="5">if(E10=1,"O", if(E10=2,"O   O",""))</f>
        <v>O</v>
      </c>
      <c r="F9" s="884" t="str">
        <f t="shared" si="5"/>
        <v/>
      </c>
      <c r="G9" s="884" t="str">
        <f t="shared" si="5"/>
        <v>O</v>
      </c>
      <c r="H9" s="884" t="str">
        <f t="shared" si="5"/>
        <v/>
      </c>
      <c r="I9" s="884" t="str">
        <f t="shared" si="5"/>
        <v>O</v>
      </c>
      <c r="J9" s="884" t="str">
        <f t="shared" si="5"/>
        <v/>
      </c>
      <c r="K9" s="884" t="str">
        <f t="shared" si="5"/>
        <v/>
      </c>
      <c r="L9" s="884" t="str">
        <f t="shared" si="5"/>
        <v>O</v>
      </c>
      <c r="M9" s="884" t="str">
        <f t="shared" si="5"/>
        <v>O</v>
      </c>
      <c r="N9" s="885"/>
      <c r="O9" s="545"/>
      <c r="P9" s="546"/>
      <c r="Q9" s="886" t="str">
        <f t="shared" ref="Q9:Y9" si="6">if(Q10=1,"O", if(Q10=2,"O   O",""))</f>
        <v>O</v>
      </c>
      <c r="R9" s="887" t="str">
        <f t="shared" si="6"/>
        <v/>
      </c>
      <c r="S9" s="887" t="str">
        <f t="shared" si="6"/>
        <v/>
      </c>
      <c r="T9" s="887" t="str">
        <f t="shared" si="6"/>
        <v/>
      </c>
      <c r="U9" s="887" t="str">
        <f t="shared" si="6"/>
        <v>O</v>
      </c>
      <c r="V9" s="887" t="str">
        <f t="shared" si="6"/>
        <v>O</v>
      </c>
      <c r="W9" s="887" t="str">
        <f t="shared" si="6"/>
        <v>O</v>
      </c>
      <c r="X9" s="887" t="str">
        <f t="shared" si="6"/>
        <v>O</v>
      </c>
      <c r="Y9" s="887" t="str">
        <f t="shared" si="6"/>
        <v/>
      </c>
      <c r="Z9" s="888"/>
      <c r="AA9" s="889"/>
      <c r="AB9" s="890"/>
    </row>
    <row r="10" ht="22.5" hidden="1" customHeight="1">
      <c r="A10" s="410"/>
      <c r="B10" s="411"/>
      <c r="C10" s="553"/>
      <c r="D10" s="413"/>
      <c r="E10" s="414">
        <f t="shared" ref="E10:M10" si="7">IF($D11&gt;0,FLOOR($D11/18,1),0)+IF(AND(MOD($D11,18)&gt;=E$2,$D11&gt;0),1,0)-IF(E$2-18&gt;$D11,1,0)</f>
        <v>1</v>
      </c>
      <c r="F10" s="415">
        <f t="shared" si="7"/>
        <v>0</v>
      </c>
      <c r="G10" s="415">
        <f t="shared" si="7"/>
        <v>1</v>
      </c>
      <c r="H10" s="415">
        <f t="shared" si="7"/>
        <v>0</v>
      </c>
      <c r="I10" s="415">
        <f t="shared" si="7"/>
        <v>1</v>
      </c>
      <c r="J10" s="415">
        <f t="shared" si="7"/>
        <v>0</v>
      </c>
      <c r="K10" s="415">
        <f t="shared" si="7"/>
        <v>0</v>
      </c>
      <c r="L10" s="415">
        <f t="shared" si="7"/>
        <v>1</v>
      </c>
      <c r="M10" s="415">
        <f t="shared" si="7"/>
        <v>1</v>
      </c>
      <c r="N10" s="869"/>
      <c r="O10" s="364"/>
      <c r="P10" s="540"/>
      <c r="Q10" s="414">
        <f t="shared" ref="Q10:Y10" si="8">IF($D11&gt;0,FLOOR($D11/18,1),0)+IF(AND(MOD($D11,18)&gt;=Q$2,$D11&gt;0),1,0)-IF(Q$2-18&gt;$D11,1,0)</f>
        <v>1</v>
      </c>
      <c r="R10" s="415">
        <f t="shared" si="8"/>
        <v>0</v>
      </c>
      <c r="S10" s="415">
        <f t="shared" si="8"/>
        <v>0</v>
      </c>
      <c r="T10" s="415">
        <f t="shared" si="8"/>
        <v>0</v>
      </c>
      <c r="U10" s="415">
        <f t="shared" si="8"/>
        <v>1</v>
      </c>
      <c r="V10" s="415">
        <f t="shared" si="8"/>
        <v>1</v>
      </c>
      <c r="W10" s="415">
        <f t="shared" si="8"/>
        <v>1</v>
      </c>
      <c r="X10" s="415">
        <f t="shared" si="8"/>
        <v>1</v>
      </c>
      <c r="Y10" s="415">
        <f t="shared" si="8"/>
        <v>0</v>
      </c>
      <c r="Z10" s="870"/>
      <c r="AA10" s="871"/>
      <c r="AB10" s="872"/>
    </row>
    <row r="11" ht="27.0" customHeight="1">
      <c r="A11" s="419" t="str">
        <f>'Match Selection'!D20</f>
        <v>House</v>
      </c>
      <c r="B11" s="420" t="str">
        <f>vlookup(A11, 'Master Input'!$A$11:$B$27,2, false)</f>
        <v>Irons</v>
      </c>
      <c r="C11" s="597">
        <f>vlookup(A11,'Master Input'!$A$11:$L$27,'Master Input'!$L$28, false)</f>
        <v>10</v>
      </c>
      <c r="D11" s="422">
        <f>C11</f>
        <v>10</v>
      </c>
      <c r="E11" s="891">
        <v>4.0</v>
      </c>
      <c r="F11" s="892">
        <v>6.0</v>
      </c>
      <c r="G11" s="892">
        <v>6.0</v>
      </c>
      <c r="H11" s="892">
        <v>3.0</v>
      </c>
      <c r="I11" s="892">
        <v>5.0</v>
      </c>
      <c r="J11" s="892">
        <v>10.0</v>
      </c>
      <c r="K11" s="892">
        <v>3.0</v>
      </c>
      <c r="L11" s="892">
        <v>4.0</v>
      </c>
      <c r="M11" s="893">
        <v>6.0</v>
      </c>
      <c r="N11" s="876">
        <f>if(M11="","", sum(E11:M11))</f>
        <v>47</v>
      </c>
      <c r="O11" s="364"/>
      <c r="P11" s="894" t="str">
        <f>A11</f>
        <v>House</v>
      </c>
      <c r="Q11" s="895">
        <v>5.0</v>
      </c>
      <c r="R11" s="424">
        <v>4.0</v>
      </c>
      <c r="S11" s="424">
        <v>4.0</v>
      </c>
      <c r="T11" s="424">
        <v>7.0</v>
      </c>
      <c r="U11" s="424">
        <v>4.0</v>
      </c>
      <c r="V11" s="424">
        <v>4.0</v>
      </c>
      <c r="W11" s="424">
        <v>5.0</v>
      </c>
      <c r="X11" s="424">
        <v>7.0</v>
      </c>
      <c r="Y11" s="424">
        <v>5.0</v>
      </c>
      <c r="Z11" s="877">
        <f>if(Y11="","", sum(Q11:Y11))</f>
        <v>45</v>
      </c>
      <c r="AA11" s="878">
        <f>if(Z11="", "", sum(N11,Z11))</f>
        <v>92</v>
      </c>
      <c r="AB11" s="879">
        <f>if(Y11="", "", AA11-C11)</f>
        <v>82</v>
      </c>
    </row>
    <row r="12" ht="7.5" customHeight="1">
      <c r="A12" s="896"/>
      <c r="B12" s="897"/>
      <c r="C12" s="898"/>
      <c r="D12" s="899"/>
      <c r="E12" s="900" t="str">
        <f t="shared" ref="E12:M12" si="9">if(E13=1,"O", if(E13=2,"O   O",""))</f>
        <v/>
      </c>
      <c r="F12" s="901" t="str">
        <f t="shared" si="9"/>
        <v/>
      </c>
      <c r="G12" s="901" t="str">
        <f t="shared" si="9"/>
        <v>O</v>
      </c>
      <c r="H12" s="901" t="str">
        <f t="shared" si="9"/>
        <v/>
      </c>
      <c r="I12" s="901" t="str">
        <f t="shared" si="9"/>
        <v>O</v>
      </c>
      <c r="J12" s="901" t="str">
        <f t="shared" si="9"/>
        <v/>
      </c>
      <c r="K12" s="901" t="str">
        <f t="shared" si="9"/>
        <v/>
      </c>
      <c r="L12" s="901" t="str">
        <f t="shared" si="9"/>
        <v>O</v>
      </c>
      <c r="M12" s="901" t="str">
        <f t="shared" si="9"/>
        <v>O</v>
      </c>
      <c r="N12" s="902"/>
      <c r="O12" s="351"/>
      <c r="P12" s="903"/>
      <c r="Q12" s="904" t="str">
        <f t="shared" ref="Q12:Y12" si="10">if(Q13=1,"O", if(Q13=2,"O   O",""))</f>
        <v>O</v>
      </c>
      <c r="R12" s="905" t="str">
        <f t="shared" si="10"/>
        <v/>
      </c>
      <c r="S12" s="905" t="str">
        <f t="shared" si="10"/>
        <v/>
      </c>
      <c r="T12" s="905" t="str">
        <f t="shared" si="10"/>
        <v/>
      </c>
      <c r="U12" s="905" t="str">
        <f t="shared" si="10"/>
        <v>O</v>
      </c>
      <c r="V12" s="905" t="str">
        <f t="shared" si="10"/>
        <v/>
      </c>
      <c r="W12" s="905" t="str">
        <f t="shared" si="10"/>
        <v>O</v>
      </c>
      <c r="X12" s="905" t="str">
        <f t="shared" si="10"/>
        <v>O</v>
      </c>
      <c r="Y12" s="905" t="str">
        <f t="shared" si="10"/>
        <v/>
      </c>
      <c r="Z12" s="888"/>
      <c r="AA12" s="889"/>
      <c r="AB12" s="906"/>
    </row>
    <row r="13" ht="22.5" hidden="1" customHeight="1">
      <c r="A13" s="392"/>
      <c r="B13" s="393"/>
      <c r="C13" s="522"/>
      <c r="D13" s="359"/>
      <c r="E13" s="907">
        <f t="shared" ref="E13:M13" si="11">IF($D14&gt;0,FLOOR($D14/18,1),0)+IF(AND(MOD($D14,18)&gt;=E$2,$D14&gt;0),1,0)-IF(E$2-18&gt;$D14,1,0)</f>
        <v>0</v>
      </c>
      <c r="F13" s="908">
        <f t="shared" si="11"/>
        <v>0</v>
      </c>
      <c r="G13" s="908">
        <f t="shared" si="11"/>
        <v>1</v>
      </c>
      <c r="H13" s="908">
        <f t="shared" si="11"/>
        <v>0</v>
      </c>
      <c r="I13" s="908">
        <f t="shared" si="11"/>
        <v>1</v>
      </c>
      <c r="J13" s="908">
        <f t="shared" si="11"/>
        <v>0</v>
      </c>
      <c r="K13" s="908">
        <f t="shared" si="11"/>
        <v>0</v>
      </c>
      <c r="L13" s="908">
        <f t="shared" si="11"/>
        <v>1</v>
      </c>
      <c r="M13" s="908">
        <f t="shared" si="11"/>
        <v>1</v>
      </c>
      <c r="N13" s="869"/>
      <c r="O13" s="364"/>
      <c r="P13" s="380"/>
      <c r="Q13" s="907">
        <f t="shared" ref="Q13:Y13" si="12">IF($D14&gt;0,FLOOR($D14/18,1),0)+IF(AND(MOD($D14,18)&gt;=Q$2,$D14&gt;0),1,0)-IF(Q$2-18&gt;$D14,1,0)</f>
        <v>1</v>
      </c>
      <c r="R13" s="908">
        <f t="shared" si="12"/>
        <v>0</v>
      </c>
      <c r="S13" s="908">
        <f t="shared" si="12"/>
        <v>0</v>
      </c>
      <c r="T13" s="908">
        <f t="shared" si="12"/>
        <v>0</v>
      </c>
      <c r="U13" s="908">
        <f t="shared" si="12"/>
        <v>1</v>
      </c>
      <c r="V13" s="908">
        <f t="shared" si="12"/>
        <v>0</v>
      </c>
      <c r="W13" s="908">
        <f t="shared" si="12"/>
        <v>1</v>
      </c>
      <c r="X13" s="908">
        <f t="shared" si="12"/>
        <v>1</v>
      </c>
      <c r="Y13" s="908">
        <f t="shared" si="12"/>
        <v>0</v>
      </c>
      <c r="Z13" s="870"/>
      <c r="AA13" s="871"/>
      <c r="AB13" s="872"/>
    </row>
    <row r="14" ht="27.0" customHeight="1">
      <c r="A14" s="369" t="str">
        <f>'Match Selection'!G19</f>
        <v>CuzNick</v>
      </c>
      <c r="B14" s="873" t="str">
        <f>vlookup(A14, 'Master Input'!$A$11:$B$27,2, false)</f>
        <v>Irons</v>
      </c>
      <c r="C14" s="531">
        <f>vlookup(A14,'Master Input'!$A$11:$L$27,'Master Input'!$L$28, false)</f>
        <v>8</v>
      </c>
      <c r="D14" s="372">
        <f>C14</f>
        <v>8</v>
      </c>
      <c r="E14" s="909">
        <v>8.0</v>
      </c>
      <c r="F14" s="910">
        <v>7.0</v>
      </c>
      <c r="G14" s="910">
        <v>7.0</v>
      </c>
      <c r="H14" s="910">
        <v>6.0</v>
      </c>
      <c r="I14" s="910">
        <v>4.0</v>
      </c>
      <c r="J14" s="910">
        <v>6.0</v>
      </c>
      <c r="K14" s="910">
        <v>4.0</v>
      </c>
      <c r="L14" s="910">
        <v>4.0</v>
      </c>
      <c r="M14" s="910">
        <v>5.0</v>
      </c>
      <c r="N14" s="876">
        <f>if(M14="","", sum(E14:M14))</f>
        <v>51</v>
      </c>
      <c r="O14" s="364"/>
      <c r="P14" s="535" t="str">
        <f>A14</f>
        <v>CuzNick</v>
      </c>
      <c r="Q14" s="909">
        <v>5.0</v>
      </c>
      <c r="R14" s="910">
        <v>4.0</v>
      </c>
      <c r="S14" s="910">
        <v>4.0</v>
      </c>
      <c r="T14" s="910">
        <v>5.0</v>
      </c>
      <c r="U14" s="910">
        <v>4.0</v>
      </c>
      <c r="V14" s="910">
        <v>4.0</v>
      </c>
      <c r="W14" s="910">
        <v>6.0</v>
      </c>
      <c r="X14" s="910">
        <v>5.0</v>
      </c>
      <c r="Y14" s="910">
        <v>6.0</v>
      </c>
      <c r="Z14" s="877">
        <f>if(Y14="","", sum(Q14:Y14))</f>
        <v>43</v>
      </c>
      <c r="AA14" s="878">
        <f>if(Z14="", "", sum(N14,Z14))</f>
        <v>94</v>
      </c>
      <c r="AB14" s="879">
        <f>if(Y14="", "", AA14-C14)</f>
        <v>86</v>
      </c>
    </row>
    <row r="15" ht="7.5" customHeight="1">
      <c r="A15" s="591"/>
      <c r="B15" s="911"/>
      <c r="C15" s="912"/>
      <c r="D15" s="913"/>
      <c r="E15" s="402" t="str">
        <f t="shared" ref="E15:M15" si="13">if(E16=1,"O", if(E16=2,"O   O",""))</f>
        <v>O</v>
      </c>
      <c r="F15" s="403" t="str">
        <f t="shared" si="13"/>
        <v/>
      </c>
      <c r="G15" s="403" t="str">
        <f t="shared" si="13"/>
        <v>O</v>
      </c>
      <c r="H15" s="403" t="str">
        <f t="shared" si="13"/>
        <v/>
      </c>
      <c r="I15" s="403" t="str">
        <f t="shared" si="13"/>
        <v>O</v>
      </c>
      <c r="J15" s="403" t="str">
        <f t="shared" si="13"/>
        <v>O</v>
      </c>
      <c r="K15" s="403" t="str">
        <f t="shared" si="13"/>
        <v/>
      </c>
      <c r="L15" s="403" t="str">
        <f t="shared" si="13"/>
        <v>O</v>
      </c>
      <c r="M15" s="403" t="str">
        <f t="shared" si="13"/>
        <v>O</v>
      </c>
      <c r="N15" s="914"/>
      <c r="O15" s="545"/>
      <c r="P15" s="591"/>
      <c r="Q15" s="402" t="str">
        <f t="shared" ref="Q15:Y15" si="14">if(Q16=1,"O", if(Q16=2,"O   O",""))</f>
        <v>O</v>
      </c>
      <c r="R15" s="403" t="str">
        <f t="shared" si="14"/>
        <v/>
      </c>
      <c r="S15" s="403" t="str">
        <f t="shared" si="14"/>
        <v/>
      </c>
      <c r="T15" s="403" t="str">
        <f t="shared" si="14"/>
        <v>O</v>
      </c>
      <c r="U15" s="403" t="str">
        <f t="shared" si="14"/>
        <v>O</v>
      </c>
      <c r="V15" s="403" t="str">
        <f t="shared" si="14"/>
        <v>O</v>
      </c>
      <c r="W15" s="403" t="str">
        <f t="shared" si="14"/>
        <v>O</v>
      </c>
      <c r="X15" s="403" t="str">
        <f t="shared" si="14"/>
        <v>O</v>
      </c>
      <c r="Y15" s="403" t="str">
        <f t="shared" si="14"/>
        <v/>
      </c>
      <c r="Z15" s="915"/>
      <c r="AA15" s="916"/>
      <c r="AB15" s="906"/>
    </row>
    <row r="16" ht="22.5" hidden="1" customHeight="1">
      <c r="A16" s="410"/>
      <c r="B16" s="411"/>
      <c r="C16" s="553"/>
      <c r="D16" s="413"/>
      <c r="E16" s="414">
        <f t="shared" ref="E16:M16" si="15">IF($D17&gt;0,FLOOR($D17/18,1),0)+IF(AND(MOD($D17,18)&gt;=E$2,$D17&gt;0),1,0)-IF(E$2-18&gt;$D17,1,0)</f>
        <v>1</v>
      </c>
      <c r="F16" s="415">
        <f t="shared" si="15"/>
        <v>0</v>
      </c>
      <c r="G16" s="415">
        <f t="shared" si="15"/>
        <v>1</v>
      </c>
      <c r="H16" s="415">
        <f t="shared" si="15"/>
        <v>0</v>
      </c>
      <c r="I16" s="415">
        <f t="shared" si="15"/>
        <v>1</v>
      </c>
      <c r="J16" s="415">
        <f t="shared" si="15"/>
        <v>1</v>
      </c>
      <c r="K16" s="415">
        <f t="shared" si="15"/>
        <v>0</v>
      </c>
      <c r="L16" s="415">
        <f t="shared" si="15"/>
        <v>1</v>
      </c>
      <c r="M16" s="415">
        <f t="shared" si="15"/>
        <v>1</v>
      </c>
      <c r="N16" s="869"/>
      <c r="O16" s="364"/>
      <c r="P16" s="540"/>
      <c r="Q16" s="414">
        <f t="shared" ref="Q16:Y16" si="16">IF($D17&gt;0,FLOOR($D17/18,1),0)+IF(AND(MOD($D17,18)&gt;=Q$2,$D17&gt;0),1,0)-IF(Q$2-18&gt;$D17,1,0)</f>
        <v>1</v>
      </c>
      <c r="R16" s="415">
        <f t="shared" si="16"/>
        <v>0</v>
      </c>
      <c r="S16" s="415">
        <f t="shared" si="16"/>
        <v>0</v>
      </c>
      <c r="T16" s="415">
        <f t="shared" si="16"/>
        <v>1</v>
      </c>
      <c r="U16" s="415">
        <f t="shared" si="16"/>
        <v>1</v>
      </c>
      <c r="V16" s="415">
        <f t="shared" si="16"/>
        <v>1</v>
      </c>
      <c r="W16" s="415">
        <f t="shared" si="16"/>
        <v>1</v>
      </c>
      <c r="X16" s="415">
        <f t="shared" si="16"/>
        <v>1</v>
      </c>
      <c r="Y16" s="415">
        <f t="shared" si="16"/>
        <v>0</v>
      </c>
      <c r="Z16" s="870"/>
      <c r="AA16" s="917"/>
      <c r="AB16" s="872"/>
    </row>
    <row r="17" ht="27.0" customHeight="1">
      <c r="A17" s="429" t="str">
        <f>'Match Selection'!G20</f>
        <v>DK</v>
      </c>
      <c r="B17" s="430" t="str">
        <f>vlookup(A17, 'Master Input'!$A$11:$B$27,2, false)</f>
        <v>Irons</v>
      </c>
      <c r="C17" s="563">
        <f>vlookup(A17,'Master Input'!$A$11:$L$27,'Master Input'!$L$28, false)</f>
        <v>12</v>
      </c>
      <c r="D17" s="432">
        <f>C17</f>
        <v>12</v>
      </c>
      <c r="E17" s="918">
        <v>5.0</v>
      </c>
      <c r="F17" s="434">
        <v>4.0</v>
      </c>
      <c r="G17" s="434">
        <v>6.0</v>
      </c>
      <c r="H17" s="434">
        <v>4.0</v>
      </c>
      <c r="I17" s="434">
        <v>5.0</v>
      </c>
      <c r="J17" s="434">
        <v>7.0</v>
      </c>
      <c r="K17" s="434">
        <v>4.0</v>
      </c>
      <c r="L17" s="434">
        <v>5.0</v>
      </c>
      <c r="M17" s="434">
        <v>5.0</v>
      </c>
      <c r="N17" s="919">
        <f>if(M17="","", sum(E17:M17))</f>
        <v>45</v>
      </c>
      <c r="O17" s="364"/>
      <c r="P17" s="567" t="str">
        <f>A17</f>
        <v>DK</v>
      </c>
      <c r="Q17" s="918">
        <v>5.0</v>
      </c>
      <c r="R17" s="434">
        <v>6.0</v>
      </c>
      <c r="S17" s="434">
        <v>3.0</v>
      </c>
      <c r="T17" s="434">
        <v>5.0</v>
      </c>
      <c r="U17" s="434">
        <v>4.0</v>
      </c>
      <c r="V17" s="434">
        <v>6.0</v>
      </c>
      <c r="W17" s="434">
        <v>5.0</v>
      </c>
      <c r="X17" s="434">
        <v>5.0</v>
      </c>
      <c r="Y17" s="434">
        <v>6.0</v>
      </c>
      <c r="Z17" s="920">
        <f>if(Y17="","", sum(Q17:Y17))</f>
        <v>45</v>
      </c>
      <c r="AA17" s="921">
        <f>if(Z17="", "", sum(N17,Z17))</f>
        <v>90</v>
      </c>
      <c r="AB17" s="922">
        <f>if(Y17="", "", AA17-C17)</f>
        <v>78</v>
      </c>
    </row>
    <row r="18" ht="11.25" customHeight="1">
      <c r="A18" s="923"/>
      <c r="B18" s="924"/>
      <c r="C18" s="925"/>
      <c r="D18" s="926"/>
      <c r="E18" s="927"/>
      <c r="F18" s="927"/>
      <c r="G18" s="927"/>
      <c r="H18" s="927"/>
      <c r="I18" s="927"/>
      <c r="J18" s="927"/>
      <c r="K18" s="927"/>
      <c r="L18" s="927"/>
      <c r="M18" s="927"/>
      <c r="N18" s="927"/>
      <c r="O18" s="928"/>
      <c r="P18" s="927"/>
      <c r="Q18" s="927"/>
      <c r="R18" s="927"/>
      <c r="S18" s="927"/>
      <c r="T18" s="927"/>
      <c r="U18" s="927"/>
      <c r="V18" s="927"/>
      <c r="W18" s="927"/>
      <c r="X18" s="927"/>
      <c r="Y18" s="927"/>
      <c r="Z18" s="927"/>
      <c r="AA18" s="927"/>
      <c r="AB18" s="927"/>
    </row>
    <row r="19">
      <c r="A19" s="929" t="s">
        <v>101</v>
      </c>
      <c r="B19" s="930"/>
      <c r="C19" s="931"/>
      <c r="D19" s="932"/>
      <c r="E19" s="933">
        <v>5.0</v>
      </c>
      <c r="F19" s="934">
        <v>5.0</v>
      </c>
      <c r="G19" s="934">
        <v>5.0</v>
      </c>
      <c r="H19" s="934">
        <v>5.0</v>
      </c>
      <c r="I19" s="934">
        <v>5.0</v>
      </c>
      <c r="J19" s="934">
        <v>5.0</v>
      </c>
      <c r="K19" s="934">
        <v>5.0</v>
      </c>
      <c r="L19" s="934">
        <v>5.0</v>
      </c>
      <c r="M19" s="935">
        <v>5.0</v>
      </c>
      <c r="N19" s="462"/>
      <c r="O19" s="364"/>
      <c r="P19" s="929" t="s">
        <v>101</v>
      </c>
      <c r="Q19" s="933">
        <v>6.0</v>
      </c>
      <c r="R19" s="934">
        <v>6.0</v>
      </c>
      <c r="S19" s="934">
        <v>6.0</v>
      </c>
      <c r="T19" s="934">
        <v>6.0</v>
      </c>
      <c r="U19" s="934">
        <v>6.0</v>
      </c>
      <c r="V19" s="934">
        <v>6.0</v>
      </c>
      <c r="W19" s="934">
        <v>6.0</v>
      </c>
      <c r="X19" s="934">
        <v>6.0</v>
      </c>
      <c r="Y19" s="935">
        <v>6.0</v>
      </c>
      <c r="Z19" s="648"/>
      <c r="AA19" s="936" t="s">
        <v>102</v>
      </c>
      <c r="AB19" s="937"/>
    </row>
    <row r="20">
      <c r="A20" s="929" t="s">
        <v>103</v>
      </c>
      <c r="B20" s="930"/>
      <c r="C20" s="931"/>
      <c r="D20" s="932"/>
      <c r="E20" s="938">
        <f t="shared" ref="E20:M20" si="17">if(E23="","",E23/E19)</f>
        <v>3.4</v>
      </c>
      <c r="F20" s="939">
        <f t="shared" si="17"/>
        <v>5.4</v>
      </c>
      <c r="G20" s="939">
        <f t="shared" si="17"/>
        <v>4.2</v>
      </c>
      <c r="H20" s="939">
        <f t="shared" si="17"/>
        <v>3.2</v>
      </c>
      <c r="I20" s="939">
        <f t="shared" si="17"/>
        <v>3.6</v>
      </c>
      <c r="J20" s="939">
        <f t="shared" si="17"/>
        <v>5</v>
      </c>
      <c r="K20" s="939">
        <f t="shared" si="17"/>
        <v>2.6</v>
      </c>
      <c r="L20" s="939">
        <f t="shared" si="17"/>
        <v>3.6</v>
      </c>
      <c r="M20" s="940">
        <f t="shared" si="17"/>
        <v>3.6</v>
      </c>
      <c r="N20" s="462"/>
      <c r="O20" s="364"/>
      <c r="P20" s="929" t="s">
        <v>103</v>
      </c>
      <c r="Q20" s="938">
        <f t="shared" ref="Q20:Y20" si="18">if(Q23="","",Q23/Q19)</f>
        <v>4.166666667</v>
      </c>
      <c r="R20" s="939">
        <f t="shared" si="18"/>
        <v>3.666666667</v>
      </c>
      <c r="S20" s="939">
        <f t="shared" si="18"/>
        <v>2.833333333</v>
      </c>
      <c r="T20" s="939">
        <f t="shared" si="18"/>
        <v>5.333333333</v>
      </c>
      <c r="U20" s="939">
        <f t="shared" si="18"/>
        <v>3</v>
      </c>
      <c r="V20" s="939">
        <f t="shared" si="18"/>
        <v>2.5</v>
      </c>
      <c r="W20" s="939">
        <f t="shared" si="18"/>
        <v>4.333333333</v>
      </c>
      <c r="X20" s="939">
        <f t="shared" si="18"/>
        <v>3.833333333</v>
      </c>
      <c r="Y20" s="940">
        <f t="shared" si="18"/>
        <v>5.166666667</v>
      </c>
      <c r="Z20" s="648"/>
      <c r="AA20" s="941" t="s">
        <v>104</v>
      </c>
      <c r="AB20" s="942"/>
    </row>
    <row r="21">
      <c r="A21" s="929" t="s">
        <v>105</v>
      </c>
      <c r="B21" s="930"/>
      <c r="C21" s="931"/>
      <c r="D21" s="932"/>
      <c r="E21" s="943">
        <f t="shared" ref="E21:M21" si="19">if(E23="","",E23-E3*E19)</f>
        <v>-3</v>
      </c>
      <c r="F21" s="944">
        <f t="shared" si="19"/>
        <v>2</v>
      </c>
      <c r="G21" s="944">
        <f t="shared" si="19"/>
        <v>1</v>
      </c>
      <c r="H21" s="944">
        <f t="shared" si="19"/>
        <v>1</v>
      </c>
      <c r="I21" s="944">
        <f t="shared" si="19"/>
        <v>-2</v>
      </c>
      <c r="J21" s="944">
        <f t="shared" si="19"/>
        <v>0</v>
      </c>
      <c r="K21" s="944">
        <f t="shared" si="19"/>
        <v>-2</v>
      </c>
      <c r="L21" s="944">
        <f t="shared" si="19"/>
        <v>-2</v>
      </c>
      <c r="M21" s="945">
        <f t="shared" si="19"/>
        <v>-2</v>
      </c>
      <c r="N21" s="462"/>
      <c r="O21" s="364"/>
      <c r="P21" s="929" t="s">
        <v>105</v>
      </c>
      <c r="Q21" s="943">
        <f t="shared" ref="Q21:Y21" si="20">if(Q23="","",Q23-Q3*Q19)</f>
        <v>1</v>
      </c>
      <c r="R21" s="944">
        <f t="shared" si="20"/>
        <v>-2</v>
      </c>
      <c r="S21" s="944">
        <f t="shared" si="20"/>
        <v>-1</v>
      </c>
      <c r="T21" s="944">
        <f t="shared" si="20"/>
        <v>2</v>
      </c>
      <c r="U21" s="944">
        <f t="shared" si="20"/>
        <v>-6</v>
      </c>
      <c r="V21" s="944">
        <f t="shared" si="20"/>
        <v>-3</v>
      </c>
      <c r="W21" s="944">
        <f t="shared" si="20"/>
        <v>2</v>
      </c>
      <c r="X21" s="944">
        <f t="shared" si="20"/>
        <v>-1</v>
      </c>
      <c r="Y21" s="945">
        <f t="shared" si="20"/>
        <v>1</v>
      </c>
      <c r="Z21" s="648"/>
      <c r="AA21" s="946" t="s">
        <v>106</v>
      </c>
      <c r="AB21" s="947"/>
    </row>
    <row r="22" ht="18.75" customHeight="1">
      <c r="Z22" s="652" t="s">
        <v>51</v>
      </c>
      <c r="AA22" s="948" t="s">
        <v>68</v>
      </c>
      <c r="AB22" s="653" t="s">
        <v>69</v>
      </c>
    </row>
    <row r="23" ht="18.75" customHeight="1">
      <c r="A23" s="949" t="s">
        <v>107</v>
      </c>
      <c r="B23" s="950"/>
      <c r="C23" s="951"/>
      <c r="D23" s="952"/>
      <c r="E23" s="953">
        <f t="array" ref="E23">if(OR(E8="", E11="", E14="", E17="", 'R4_G3'!E8="", 'R4_G3'!E11="", 'R4_G3'!E14=""), "",
if(E19&gt;=1,(small({E8-E7,E11-E10,E14-E13,E17-E16,'R4_G3'!E8-'R4_G3'!E7,'R4_G3'!E11-'R4_G3'!E10,'R4_G3'!E14-'R4_G3'!E13,'R4_G3'!E17-'R4_G3'!E16},1)),0)+
if(E19&gt;=2,(small({E8-E7,E11-E10,E14-E13,E17-E16,'R4_G3'!E8-'R4_G3'!E7,'R4_G3'!E11-'R4_G3'!E10,'R4_G3'!E14-'R4_G3'!E13,'R4_G3'!E17-'R4_G3'!E16},2)),0)+
if(E19&gt;=3,(small({E8-E7,E11-E10,E14-E13,E17-E16,'R4_G3'!E8-'R4_G3'!E7,'R4_G3'!E11-'R4_G3'!E10,'R4_G3'!E14-'R4_G3'!E13,'R4_G3'!E17-'R4_G3'!E16},3)),0)+
if(E19&gt;=4,(small({E8-E7,E11-E10,E14-E13,E17-E16,'R4_G3'!E8-'R4_G3'!E7,'R4_G3'!E11-'R4_G3'!E10,'R4_G3'!E14-'R4_G3'!E13,'R4_G3'!E17-'R4_G3'!E16},4)),0)+
if(E19&gt;=5,(small({E8-E7,E11-E10,E14-E13,E17-E16,'R4_G3'!E8-'R4_G3'!E7,'R4_G3'!E11-'R4_G3'!E10,'R4_G3'!E14-'R4_G3'!E13,'R4_G3'!E17-'R4_G3'!E16},5)),0)+
if(E19&gt;=6,(small({E8-E7,E11-E10,E14-E13,E17-E16,'R4_G3'!E8-'R4_G3'!E7,'R4_G3'!E11-'R4_G3'!E10,'R4_G3'!E14-'R4_G3'!E13,'R4_G3'!E17-'R4_G3'!E16},6)),0)+
if(E19&gt;=7,(small({E8-E7,E11-E10,E14-E13,E17-E16,'R4_G3'!E8-'R4_G3'!E7,'R4_G3'!E11-'R4_G3'!E10,'R4_G3'!E14-'R4_G3'!E13,'R4_G3'!E17-'R4_G3'!E16},7)),0)+
if(E19&gt;=8,(small({E8-E7,E11-E10,E14-E13,E17-E16,'R4_G3'!E8-'R4_G3'!E7,'R4_G3'!E11-'R4_G3'!E10,'R4_G3'!E14-'R4_G3'!E13,'R4_G3'!E17-'R4_G3'!E16},8)),0))
</f>
        <v>17</v>
      </c>
      <c r="F23" s="953">
        <f t="array" ref="F23">if(OR(F8="", F11="", F14="", F17="", 'R4_G3'!F8="", 'R4_G3'!F11="", 'R4_G3'!F14=""), "",
if(F19&gt;=1,(small({F8-F7,F11-F10,F14-F13,F17-F16,'R4_G3'!F8-'R4_G3'!F7,'R4_G3'!F11-'R4_G3'!F10,'R4_G3'!F14-'R4_G3'!F13,'R4_G3'!F17-'R4_G3'!F16},1)),0)+
if(F19&gt;=2,(small({F8-F7,F11-F10,F14-F13,F17-F16,'R4_G3'!F8-'R4_G3'!F7,'R4_G3'!F11-'R4_G3'!F10,'R4_G3'!F14-'R4_G3'!F13,'R4_G3'!F17-'R4_G3'!F16},2)),0)+
if(F19&gt;=3,(small({F8-F7,F11-F10,F14-F13,F17-F16,'R4_G3'!F8-'R4_G3'!F7,'R4_G3'!F11-'R4_G3'!F10,'R4_G3'!F14-'R4_G3'!F13,'R4_G3'!F17-'R4_G3'!F16},3)),0)+
if(F19&gt;=4,(small({F8-F7,F11-F10,F14-F13,F17-F16,'R4_G3'!F8-'R4_G3'!F7,'R4_G3'!F11-'R4_G3'!F10,'R4_G3'!F14-'R4_G3'!F13,'R4_G3'!F17-'R4_G3'!F16},4)),0)+
if(F19&gt;=5,(small({F8-F7,F11-F10,F14-F13,F17-F16,'R4_G3'!F8-'R4_G3'!F7,'R4_G3'!F11-'R4_G3'!F10,'R4_G3'!F14-'R4_G3'!F13,'R4_G3'!F17-'R4_G3'!F16},5)),0)+
if(F19&gt;=6,(small({F8-F7,F11-F10,F14-F13,F17-F16,'R4_G3'!F8-'R4_G3'!F7,'R4_G3'!F11-'R4_G3'!F10,'R4_G3'!F14-'R4_G3'!F13,'R4_G3'!F17-'R4_G3'!F16},6)),0)+
if(F19&gt;=7,(small({F8-F7,F11-F10,F14-F13,F17-F16,'R4_G3'!F8-'R4_G3'!F7,'R4_G3'!F11-'R4_G3'!F10,'R4_G3'!F14-'R4_G3'!F13,'R4_G3'!F17-'R4_G3'!F16},7)),0)+
if(F19&gt;=8,(small({F8-F7,F11-F10,F14-F13,F17-F16,'R4_G3'!F8-'R4_G3'!F7,'R4_G3'!F11-'R4_G3'!F10,'R4_G3'!F14-'R4_G3'!F13,'R4_G3'!F17-'R4_G3'!F16},8)),0))
</f>
        <v>27</v>
      </c>
      <c r="G23" s="953">
        <f t="array" ref="G23">if(OR(G8="", G11="", G14="", G17="", 'R4_G3'!G8="", 'R4_G3'!G11="", 'R4_G3'!G14=""), "",
if(G19&gt;=1,(small({G8-G7,G11-G10,G14-G13,G17-G16,'R4_G3'!G8-'R4_G3'!G7,'R4_G3'!G11-'R4_G3'!G10,'R4_G3'!G14-'R4_G3'!G13,'R4_G3'!G17-'R4_G3'!G16},1)),0)+
if(G19&gt;=2,(small({G8-G7,G11-G10,G14-G13,G17-G16,'R4_G3'!G8-'R4_G3'!G7,'R4_G3'!G11-'R4_G3'!G10,'R4_G3'!G14-'R4_G3'!G13,'R4_G3'!G17-'R4_G3'!G16},2)),0)+
if(G19&gt;=3,(small({G8-G7,G11-G10,G14-G13,G17-G16,'R4_G3'!G8-'R4_G3'!G7,'R4_G3'!G11-'R4_G3'!G10,'R4_G3'!G14-'R4_G3'!G13,'R4_G3'!G17-'R4_G3'!G16},3)),0)+
if(G19&gt;=4,(small({G8-G7,G11-G10,G14-G13,G17-G16,'R4_G3'!G8-'R4_G3'!G7,'R4_G3'!G11-'R4_G3'!G10,'R4_G3'!G14-'R4_G3'!G13,'R4_G3'!G17-'R4_G3'!G16},4)),0)+
if(G19&gt;=5,(small({G8-G7,G11-G10,G14-G13,G17-G16,'R4_G3'!G8-'R4_G3'!G7,'R4_G3'!G11-'R4_G3'!G10,'R4_G3'!G14-'R4_G3'!G13,'R4_G3'!G17-'R4_G3'!G16},5)),0)+
if(G19&gt;=6,(small({G8-G7,G11-G10,G14-G13,G17-G16,'R4_G3'!G8-'R4_G3'!G7,'R4_G3'!G11-'R4_G3'!G10,'R4_G3'!G14-'R4_G3'!G13,'R4_G3'!G17-'R4_G3'!G16},6)),0)+
if(G19&gt;=7,(small({G8-G7,G11-G10,G14-G13,G17-G16,'R4_G3'!G8-'R4_G3'!G7,'R4_G3'!G11-'R4_G3'!G10,'R4_G3'!G14-'R4_G3'!G13,'R4_G3'!G17-'R4_G3'!G16},7)),0)+
if(G19&gt;=8,(small({G8-G7,G11-G10,G14-G13,G17-G16,'R4_G3'!G8-'R4_G3'!G7,'R4_G3'!G11-'R4_G3'!G10,'R4_G3'!G14-'R4_G3'!G13,'R4_G3'!G17-'R4_G3'!G16},8)),0))
</f>
        <v>21</v>
      </c>
      <c r="H23" s="953">
        <f t="array" ref="H23">if(OR(H8="", H11="", H14="", H17="", 'R4_G3'!H8="", 'R4_G3'!H11="", 'R4_G3'!H14=""), "",
if(H19&gt;=1,(small({H8-H7,H11-H10,H14-H13,H17-H16,'R4_G3'!H8-'R4_G3'!H7,'R4_G3'!H11-'R4_G3'!H10,'R4_G3'!H14-'R4_G3'!H13,'R4_G3'!H17-'R4_G3'!H16},1)),0)+
if(H19&gt;=2,(small({H8-H7,H11-H10,H14-H13,H17-H16,'R4_G3'!H8-'R4_G3'!H7,'R4_G3'!H11-'R4_G3'!H10,'R4_G3'!H14-'R4_G3'!H13,'R4_G3'!H17-'R4_G3'!H16},2)),0)+
if(H19&gt;=3,(small({H8-H7,H11-H10,H14-H13,H17-H16,'R4_G3'!H8-'R4_G3'!H7,'R4_G3'!H11-'R4_G3'!H10,'R4_G3'!H14-'R4_G3'!H13,'R4_G3'!H17-'R4_G3'!H16},3)),0)+
if(H19&gt;=4,(small({H8-H7,H11-H10,H14-H13,H17-H16,'R4_G3'!H8-'R4_G3'!H7,'R4_G3'!H11-'R4_G3'!H10,'R4_G3'!H14-'R4_G3'!H13,'R4_G3'!H17-'R4_G3'!H16},4)),0)+
if(H19&gt;=5,(small({H8-H7,H11-H10,H14-H13,H17-H16,'R4_G3'!H8-'R4_G3'!H7,'R4_G3'!H11-'R4_G3'!H10,'R4_G3'!H14-'R4_G3'!H13,'R4_G3'!H17-'R4_G3'!H16},5)),0)+
if(H19&gt;=6,(small({H8-H7,H11-H10,H14-H13,H17-H16,'R4_G3'!H8-'R4_G3'!H7,'R4_G3'!H11-'R4_G3'!H10,'R4_G3'!H14-'R4_G3'!H13,'R4_G3'!H17-'R4_G3'!H16},6)),0)+
if(H19&gt;=7,(small({H8-H7,H11-H10,H14-H13,H17-H16,'R4_G3'!H8-'R4_G3'!H7,'R4_G3'!H11-'R4_G3'!H10,'R4_G3'!H14-'R4_G3'!H13,'R4_G3'!H17-'R4_G3'!H16},7)),0)+
if(H19&gt;=8,(small({H8-H7,H11-H10,H14-H13,H17-H16,'R4_G3'!H8-'R4_G3'!H7,'R4_G3'!H11-'R4_G3'!H10,'R4_G3'!H14-'R4_G3'!H13,'R4_G3'!H17-'R4_G3'!H16},8)),0))
</f>
        <v>16</v>
      </c>
      <c r="I23" s="953">
        <f t="array" ref="I23">if(OR(I8="", I11="", I14="", I17="", 'R4_G3'!I8="", 'R4_G3'!I11="", 'R4_G3'!I14=""), "",
if(I19&gt;=1,(small({I8-I7,I11-I10,I14-I13,I17-I16,'R4_G3'!I8-'R4_G3'!I7,'R4_G3'!I11-'R4_G3'!I10,'R4_G3'!I14-'R4_G3'!I13,'R4_G3'!I17-'R4_G3'!I16},1)),0)+
if(I19&gt;=2,(small({I8-I7,I11-I10,I14-I13,I17-I16,'R4_G3'!I8-'R4_G3'!I7,'R4_G3'!I11-'R4_G3'!I10,'R4_G3'!I14-'R4_G3'!I13,'R4_G3'!I17-'R4_G3'!I16},2)),0)+
if(I19&gt;=3,(small({I8-I7,I11-I10,I14-I13,I17-I16,'R4_G3'!I8-'R4_G3'!I7,'R4_G3'!I11-'R4_G3'!I10,'R4_G3'!I14-'R4_G3'!I13,'R4_G3'!I17-'R4_G3'!I16},3)),0)+
if(I19&gt;=4,(small({I8-I7,I11-I10,I14-I13,I17-I16,'R4_G3'!I8-'R4_G3'!I7,'R4_G3'!I11-'R4_G3'!I10,'R4_G3'!I14-'R4_G3'!I13,'R4_G3'!I17-'R4_G3'!I16},4)),0)+
if(I19&gt;=5,(small({I8-I7,I11-I10,I14-I13,I17-I16,'R4_G3'!I8-'R4_G3'!I7,'R4_G3'!I11-'R4_G3'!I10,'R4_G3'!I14-'R4_G3'!I13,'R4_G3'!I17-'R4_G3'!I16},5)),0)+
if(I19&gt;=6,(small({I8-I7,I11-I10,I14-I13,I17-I16,'R4_G3'!I8-'R4_G3'!I7,'R4_G3'!I11-'R4_G3'!I10,'R4_G3'!I14-'R4_G3'!I13,'R4_G3'!I17-'R4_G3'!I16},6)),0)+
if(I19&gt;=7,(small({I8-I7,I11-I10,I14-I13,I17-I16,'R4_G3'!I8-'R4_G3'!I7,'R4_G3'!I11-'R4_G3'!I10,'R4_G3'!I14-'R4_G3'!I13,'R4_G3'!I17-'R4_G3'!I16},7)),0)+
if(I19&gt;=8,(small({I8-I7,I11-I10,I14-I13,I17-I16,'R4_G3'!I8-'R4_G3'!I7,'R4_G3'!I11-'R4_G3'!I10,'R4_G3'!I14-'R4_G3'!I13,'R4_G3'!I17-'R4_G3'!I16},8)),0))
</f>
        <v>18</v>
      </c>
      <c r="J23" s="953">
        <f t="array" ref="J23">if(OR(J8="", J11="", J14="", J17="", 'R4_G3'!J8="", 'R4_G3'!J11="", 'R4_G3'!J14=""), "",
if(J19&gt;=1,(small({J8-J7,J11-J10,J14-J13,J17-J16,'R4_G3'!J8-'R4_G3'!J7,'R4_G3'!J11-'R4_G3'!J10,'R4_G3'!J14-'R4_G3'!J13,'R4_G3'!J17-'R4_G3'!J16},1)),0)+
if(J19&gt;=2,(small({J8-J7,J11-J10,J14-J13,J17-J16,'R4_G3'!J8-'R4_G3'!J7,'R4_G3'!J11-'R4_G3'!J10,'R4_G3'!J14-'R4_G3'!J13,'R4_G3'!J17-'R4_G3'!J16},2)),0)+
if(J19&gt;=3,(small({J8-J7,J11-J10,J14-J13,J17-J16,'R4_G3'!J8-'R4_G3'!J7,'R4_G3'!J11-'R4_G3'!J10,'R4_G3'!J14-'R4_G3'!J13,'R4_G3'!J17-'R4_G3'!J16},3)),0)+
if(J19&gt;=4,(small({J8-J7,J11-J10,J14-J13,J17-J16,'R4_G3'!J8-'R4_G3'!J7,'R4_G3'!J11-'R4_G3'!J10,'R4_G3'!J14-'R4_G3'!J13,'R4_G3'!J17-'R4_G3'!J16},4)),0)+
if(J19&gt;=5,(small({J8-J7,J11-J10,J14-J13,J17-J16,'R4_G3'!J8-'R4_G3'!J7,'R4_G3'!J11-'R4_G3'!J10,'R4_G3'!J14-'R4_G3'!J13,'R4_G3'!J17-'R4_G3'!J16},5)),0)+
if(J19&gt;=6,(small({J8-J7,J11-J10,J14-J13,J17-J16,'R4_G3'!J8-'R4_G3'!J7,'R4_G3'!J11-'R4_G3'!J10,'R4_G3'!J14-'R4_G3'!J13,'R4_G3'!J17-'R4_G3'!J16},6)),0)+
if(J19&gt;=7,(small({J8-J7,J11-J10,J14-J13,J17-J16,'R4_G3'!J8-'R4_G3'!J7,'R4_G3'!J11-'R4_G3'!J10,'R4_G3'!J14-'R4_G3'!J13,'R4_G3'!J17-'R4_G3'!J16},7)),0)+
if(J19&gt;=8,(small({J8-J7,J11-J10,J14-J13,J17-J16,'R4_G3'!J8-'R4_G3'!J7,'R4_G3'!J11-'R4_G3'!J10,'R4_G3'!J14-'R4_G3'!J13,'R4_G3'!J17-'R4_G3'!J16},8)),0))
</f>
        <v>25</v>
      </c>
      <c r="K23" s="953">
        <f t="array" ref="K23">if(OR(K8="", K11="", K14="", K17="", 'R4_G3'!K8="", 'R4_G3'!K11="", 'R4_G3'!K14=""), "",
if(K19&gt;=1,(small({K8-K7,K11-K10,K14-K13,K17-K16,'R4_G3'!K8-'R4_G3'!K7,'R4_G3'!K11-'R4_G3'!K10,'R4_G3'!K14-'R4_G3'!K13,'R4_G3'!K17-'R4_G3'!K16},1)),0)+
if(K19&gt;=2,(small({K8-K7,K11-K10,K14-K13,K17-K16,'R4_G3'!K8-'R4_G3'!K7,'R4_G3'!K11-'R4_G3'!K10,'R4_G3'!K14-'R4_G3'!K13,'R4_G3'!K17-'R4_G3'!K16},2)),0)+
if(K19&gt;=3,(small({K8-K7,K11-K10,K14-K13,K17-K16,'R4_G3'!K8-'R4_G3'!K7,'R4_G3'!K11-'R4_G3'!K10,'R4_G3'!K14-'R4_G3'!K13,'R4_G3'!K17-'R4_G3'!K16},3)),0)+
if(K19&gt;=4,(small({K8-K7,K11-K10,K14-K13,K17-K16,'R4_G3'!K8-'R4_G3'!K7,'R4_G3'!K11-'R4_G3'!K10,'R4_G3'!K14-'R4_G3'!K13,'R4_G3'!K17-'R4_G3'!K16},4)),0)+
if(K19&gt;=5,(small({K8-K7,K11-K10,K14-K13,K17-K16,'R4_G3'!K8-'R4_G3'!K7,'R4_G3'!K11-'R4_G3'!K10,'R4_G3'!K14-'R4_G3'!K13,'R4_G3'!K17-'R4_G3'!K16},5)),0)+
if(K19&gt;=6,(small({K8-K7,K11-K10,K14-K13,K17-K16,'R4_G3'!K8-'R4_G3'!K7,'R4_G3'!K11-'R4_G3'!K10,'R4_G3'!K14-'R4_G3'!K13,'R4_G3'!K17-'R4_G3'!K16},6)),0)+
if(K19&gt;=7,(small({K8-K7,K11-K10,K14-K13,K17-K16,'R4_G3'!K8-'R4_G3'!K7,'R4_G3'!K11-'R4_G3'!K10,'R4_G3'!K14-'R4_G3'!K13,'R4_G3'!K17-'R4_G3'!K16},7)),0)+
if(K19&gt;=8,(small({K8-K7,K11-K10,K14-K13,K17-K16,'R4_G3'!K8-'R4_G3'!K7,'R4_G3'!K11-'R4_G3'!K10,'R4_G3'!K14-'R4_G3'!K13,'R4_G3'!K17-'R4_G3'!K16},8)),0))
</f>
        <v>13</v>
      </c>
      <c r="L23" s="953">
        <f t="array" ref="L23">if(OR(L8="", L11="", L14="", L17="", 'R4_G3'!L8="", 'R4_G3'!L11="", 'R4_G3'!L14=""), "",
if(L19&gt;=1,(small({L8-L7,L11-L10,L14-L13,L17-L16,'R4_G3'!L8-'R4_G3'!L7,'R4_G3'!L11-'R4_G3'!L10,'R4_G3'!L14-'R4_G3'!L13,'R4_G3'!L17-'R4_G3'!L16},1)),0)+
if(L19&gt;=2,(small({L8-L7,L11-L10,L14-L13,L17-L16,'R4_G3'!L8-'R4_G3'!L7,'R4_G3'!L11-'R4_G3'!L10,'R4_G3'!L14-'R4_G3'!L13,'R4_G3'!L17-'R4_G3'!L16},2)),0)+
if(L19&gt;=3,(small({L8-L7,L11-L10,L14-L13,L17-L16,'R4_G3'!L8-'R4_G3'!L7,'R4_G3'!L11-'R4_G3'!L10,'R4_G3'!L14-'R4_G3'!L13,'R4_G3'!L17-'R4_G3'!L16},3)),0)+
if(L19&gt;=4,(small({L8-L7,L11-L10,L14-L13,L17-L16,'R4_G3'!L8-'R4_G3'!L7,'R4_G3'!L11-'R4_G3'!L10,'R4_G3'!L14-'R4_G3'!L13,'R4_G3'!L17-'R4_G3'!L16},4)),0)+
if(L19&gt;=5,(small({L8-L7,L11-L10,L14-L13,L17-L16,'R4_G3'!L8-'R4_G3'!L7,'R4_G3'!L11-'R4_G3'!L10,'R4_G3'!L14-'R4_G3'!L13,'R4_G3'!L17-'R4_G3'!L16},5)),0)+
if(L19&gt;=6,(small({L8-L7,L11-L10,L14-L13,L17-L16,'R4_G3'!L8-'R4_G3'!L7,'R4_G3'!L11-'R4_G3'!L10,'R4_G3'!L14-'R4_G3'!L13,'R4_G3'!L17-'R4_G3'!L16},6)),0)+
if(L19&gt;=7,(small({L8-L7,L11-L10,L14-L13,L17-L16,'R4_G3'!L8-'R4_G3'!L7,'R4_G3'!L11-'R4_G3'!L10,'R4_G3'!L14-'R4_G3'!L13,'R4_G3'!L17-'R4_G3'!L16},7)),0)+
if(L19&gt;=8,(small({L8-L7,L11-L10,L14-L13,L17-L16,'R4_G3'!L8-'R4_G3'!L7,'R4_G3'!L11-'R4_G3'!L10,'R4_G3'!L14-'R4_G3'!L13,'R4_G3'!L17-'R4_G3'!L16},8)),0))
</f>
        <v>18</v>
      </c>
      <c r="M23" s="953">
        <f t="array" ref="M23">if(OR(M8="", M11="", M14="", M17="", 'R4_G3'!M8="", 'R4_G3'!M11="", 'R4_G3'!M14=""), "",
if(M19&gt;=1,(small({M8-M7,M11-M10,M14-M13,M17-M16,'R4_G3'!M8-'R4_G3'!M7,'R4_G3'!M11-'R4_G3'!M10,'R4_G3'!M14-'R4_G3'!M13,'R4_G3'!M17-'R4_G3'!M16},1)),0)+
if(M19&gt;=2,(small({M8-M7,M11-M10,M14-M13,M17-M16,'R4_G3'!M8-'R4_G3'!M7,'R4_G3'!M11-'R4_G3'!M10,'R4_G3'!M14-'R4_G3'!M13,'R4_G3'!M17-'R4_G3'!M16},2)),0)+
if(M19&gt;=3,(small({M8-M7,M11-M10,M14-M13,M17-M16,'R4_G3'!M8-'R4_G3'!M7,'R4_G3'!M11-'R4_G3'!M10,'R4_G3'!M14-'R4_G3'!M13,'R4_G3'!M17-'R4_G3'!M16},3)),0)+
if(M19&gt;=4,(small({M8-M7,M11-M10,M14-M13,M17-M16,'R4_G3'!M8-'R4_G3'!M7,'R4_G3'!M11-'R4_G3'!M10,'R4_G3'!M14-'R4_G3'!M13,'R4_G3'!M17-'R4_G3'!M16},4)),0)+
if(M19&gt;=5,(small({M8-M7,M11-M10,M14-M13,M17-M16,'R4_G3'!M8-'R4_G3'!M7,'R4_G3'!M11-'R4_G3'!M10,'R4_G3'!M14-'R4_G3'!M13,'R4_G3'!M17-'R4_G3'!M16},5)),0)+
if(M19&gt;=6,(small({M8-M7,M11-M10,M14-M13,M17-M16,'R4_G3'!M8-'R4_G3'!M7,'R4_G3'!M11-'R4_G3'!M10,'R4_G3'!M14-'R4_G3'!M13,'R4_G3'!M17-'R4_G3'!M16},6)),0)+
if(M19&gt;=7,(small({M8-M7,M11-M10,M14-M13,M17-M16,'R4_G3'!M8-'R4_G3'!M7,'R4_G3'!M11-'R4_G3'!M10,'R4_G3'!M14-'R4_G3'!M13,'R4_G3'!M17-'R4_G3'!M16},7)),0)+
if(M19&gt;=8,(small({M8-M7,M11-M10,M14-M13,M17-M16,'R4_G3'!M8-'R4_G3'!M7,'R4_G3'!M11-'R4_G3'!M10,'R4_G3'!M14-'R4_G3'!M13,'R4_G3'!M17-'R4_G3'!M16},8)),0))
</f>
        <v>18</v>
      </c>
      <c r="N23" s="954"/>
      <c r="O23" s="955"/>
      <c r="P23" s="949" t="s">
        <v>107</v>
      </c>
      <c r="Q23" s="953">
        <f t="array" ref="Q23">if(OR(Q8="", Q11="", Q14="", Q17="", 'R4_G3'!Q8="", 'R4_G3'!Q11="", 'R4_G3'!Q14=""), "",
if(Q19&gt;=1,(small({Q8-Q7,Q11-Q10,Q14-Q13,Q17-Q16,'R4_G3'!Q8-'R4_G3'!Q7,'R4_G3'!Q11-'R4_G3'!Q10,'R4_G3'!Q14-'R4_G3'!Q13,'R4_G3'!Q17-'R4_G3'!Q16},1)),0)+
if(Q19&gt;=2,(small({Q8-Q7,Q11-Q10,Q14-Q13,Q17-Q16,'R4_G3'!Q8-'R4_G3'!Q7,'R4_G3'!Q11-'R4_G3'!Q10,'R4_G3'!Q14-'R4_G3'!Q13,'R4_G3'!Q17-'R4_G3'!Q16},2)),0)+
if(Q19&gt;=3,(small({Q8-Q7,Q11-Q10,Q14-Q13,Q17-Q16,'R4_G3'!Q8-'R4_G3'!Q7,'R4_G3'!Q11-'R4_G3'!Q10,'R4_G3'!Q14-'R4_G3'!Q13,'R4_G3'!Q17-'R4_G3'!Q16},3)),0)+
if(Q19&gt;=4,(small({Q8-Q7,Q11-Q10,Q14-Q13,Q17-Q16,'R4_G3'!Q8-'R4_G3'!Q7,'R4_G3'!Q11-'R4_G3'!Q10,'R4_G3'!Q14-'R4_G3'!Q13,'R4_G3'!Q17-'R4_G3'!Q16},4)),0)+
if(Q19&gt;=5,(small({Q8-Q7,Q11-Q10,Q14-Q13,Q17-Q16,'R4_G3'!Q8-'R4_G3'!Q7,'R4_G3'!Q11-'R4_G3'!Q10,'R4_G3'!Q14-'R4_G3'!Q13,'R4_G3'!Q17-'R4_G3'!Q16},5)),0)+
if(Q19&gt;=6,(small({Q8-Q7,Q11-Q10,Q14-Q13,Q17-Q16,'R4_G3'!Q8-'R4_G3'!Q7,'R4_G3'!Q11-'R4_G3'!Q10,'R4_G3'!Q14-'R4_G3'!Q13,'R4_G3'!Q17-'R4_G3'!Q16},6)),0)+
if(Q19&gt;=7,(small({Q8-Q7,Q11-Q10,Q14-Q13,Q17-Q16,'R4_G3'!Q8-'R4_G3'!Q7,'R4_G3'!Q11-'R4_G3'!Q10,'R4_G3'!Q14-'R4_G3'!Q13,'R4_G3'!Q17-'R4_G3'!Q16},7)),0)+
if(Q19&gt;=8,(small({Q8-Q7,Q11-Q10,Q14-Q13,Q17-Q16,'R4_G3'!Q8-'R4_G3'!Q7,'R4_G3'!Q11-'R4_G3'!Q10,'R4_G3'!Q14-'R4_G3'!Q13,'R4_G3'!Q17-'R4_G3'!Q16},8)),0))
</f>
        <v>25</v>
      </c>
      <c r="R23" s="953">
        <f t="array" ref="R23">if(OR(R8="", R11="", R14="", R17="", 'R4_G3'!R8="", 'R4_G3'!R11="", 'R4_G3'!R14=""), "",
if(R19&gt;=1,(small({R8-R7,R11-R10,R14-R13,R17-R16,'R4_G3'!R8-'R4_G3'!R7,'R4_G3'!R11-'R4_G3'!R10,'R4_G3'!R14-'R4_G3'!R13,'R4_G3'!R17-'R4_G3'!R16},1)),0)+
if(R19&gt;=2,(small({R8-R7,R11-R10,R14-R13,R17-R16,'R4_G3'!R8-'R4_G3'!R7,'R4_G3'!R11-'R4_G3'!R10,'R4_G3'!R14-'R4_G3'!R13,'R4_G3'!R17-'R4_G3'!R16},2)),0)+
if(R19&gt;=3,(small({R8-R7,R11-R10,R14-R13,R17-R16,'R4_G3'!R8-'R4_G3'!R7,'R4_G3'!R11-'R4_G3'!R10,'R4_G3'!R14-'R4_G3'!R13,'R4_G3'!R17-'R4_G3'!R16},3)),0)+
if(R19&gt;=4,(small({R8-R7,R11-R10,R14-R13,R17-R16,'R4_G3'!R8-'R4_G3'!R7,'R4_G3'!R11-'R4_G3'!R10,'R4_G3'!R14-'R4_G3'!R13,'R4_G3'!R17-'R4_G3'!R16},4)),0)+
if(R19&gt;=5,(small({R8-R7,R11-R10,R14-R13,R17-R16,'R4_G3'!R8-'R4_G3'!R7,'R4_G3'!R11-'R4_G3'!R10,'R4_G3'!R14-'R4_G3'!R13,'R4_G3'!R17-'R4_G3'!R16},5)),0)+
if(R19&gt;=6,(small({R8-R7,R11-R10,R14-R13,R17-R16,'R4_G3'!R8-'R4_G3'!R7,'R4_G3'!R11-'R4_G3'!R10,'R4_G3'!R14-'R4_G3'!R13,'R4_G3'!R17-'R4_G3'!R16},6)),0)+
if(R19&gt;=7,(small({R8-R7,R11-R10,R14-R13,R17-R16,'R4_G3'!R8-'R4_G3'!R7,'R4_G3'!R11-'R4_G3'!R10,'R4_G3'!R14-'R4_G3'!R13,'R4_G3'!R17-'R4_G3'!R16},7)),0)+
if(R19&gt;=8,(small({R8-R7,R11-R10,R14-R13,R17-R16,'R4_G3'!R8-'R4_G3'!R7,'R4_G3'!R11-'R4_G3'!R10,'R4_G3'!R14-'R4_G3'!R13,'R4_G3'!R17-'R4_G3'!R16},8)),0))
</f>
        <v>22</v>
      </c>
      <c r="S23" s="953">
        <f t="array" ref="S23">if(OR(S8="", S11="", S14="", S17="", 'R4_G3'!S8="", 'R4_G3'!S11="", 'R4_G3'!S14=""), "",
if(S19&gt;=1,(small({S8-S7,S11-S10,S14-S13,S17-S16,'R4_G3'!S8-'R4_G3'!S7,'R4_G3'!S11-'R4_G3'!S10,'R4_G3'!S14-'R4_G3'!S13,'R4_G3'!S17-'R4_G3'!S16},1)),0)+
if(S19&gt;=2,(small({S8-S7,S11-S10,S14-S13,S17-S16,'R4_G3'!S8-'R4_G3'!S7,'R4_G3'!S11-'R4_G3'!S10,'R4_G3'!S14-'R4_G3'!S13,'R4_G3'!S17-'R4_G3'!S16},2)),0)+
if(S19&gt;=3,(small({S8-S7,S11-S10,S14-S13,S17-S16,'R4_G3'!S8-'R4_G3'!S7,'R4_G3'!S11-'R4_G3'!S10,'R4_G3'!S14-'R4_G3'!S13,'R4_G3'!S17-'R4_G3'!S16},3)),0)+
if(S19&gt;=4,(small({S8-S7,S11-S10,S14-S13,S17-S16,'R4_G3'!S8-'R4_G3'!S7,'R4_G3'!S11-'R4_G3'!S10,'R4_G3'!S14-'R4_G3'!S13,'R4_G3'!S17-'R4_G3'!S16},4)),0)+
if(S19&gt;=5,(small({S8-S7,S11-S10,S14-S13,S17-S16,'R4_G3'!S8-'R4_G3'!S7,'R4_G3'!S11-'R4_G3'!S10,'R4_G3'!S14-'R4_G3'!S13,'R4_G3'!S17-'R4_G3'!S16},5)),0)+
if(S19&gt;=6,(small({S8-S7,S11-S10,S14-S13,S17-S16,'R4_G3'!S8-'R4_G3'!S7,'R4_G3'!S11-'R4_G3'!S10,'R4_G3'!S14-'R4_G3'!S13,'R4_G3'!S17-'R4_G3'!S16},6)),0)+
if(S19&gt;=7,(small({S8-S7,S11-S10,S14-S13,S17-S16,'R4_G3'!S8-'R4_G3'!S7,'R4_G3'!S11-'R4_G3'!S10,'R4_G3'!S14-'R4_G3'!S13,'R4_G3'!S17-'R4_G3'!S16},7)),0)+
if(S19&gt;=8,(small({S8-S7,S11-S10,S14-S13,S17-S16,'R4_G3'!S8-'R4_G3'!S7,'R4_G3'!S11-'R4_G3'!S10,'R4_G3'!S14-'R4_G3'!S13,'R4_G3'!S17-'R4_G3'!S16},8)),0))
</f>
        <v>17</v>
      </c>
      <c r="T23" s="953">
        <f t="array" ref="T23">if(OR(T8="", T11="", T14="", T17="", 'R4_G3'!T8="", 'R4_G3'!T11="", 'R4_G3'!T14=""), "",
if(T19&gt;=1,(small({T8-T7,T11-T10,T14-T13,T17-T16,'R4_G3'!T8-'R4_G3'!T7,'R4_G3'!T11-'R4_G3'!T10,'R4_G3'!T14-'R4_G3'!T13,'R4_G3'!T17-'R4_G3'!T16},1)),0)+
if(T19&gt;=2,(small({T8-T7,T11-T10,T14-T13,T17-T16,'R4_G3'!T8-'R4_G3'!T7,'R4_G3'!T11-'R4_G3'!T10,'R4_G3'!T14-'R4_G3'!T13,'R4_G3'!T17-'R4_G3'!T16},2)),0)+
if(T19&gt;=3,(small({T8-T7,T11-T10,T14-T13,T17-T16,'R4_G3'!T8-'R4_G3'!T7,'R4_G3'!T11-'R4_G3'!T10,'R4_G3'!T14-'R4_G3'!T13,'R4_G3'!T17-'R4_G3'!T16},3)),0)+
if(T19&gt;=4,(small({T8-T7,T11-T10,T14-T13,T17-T16,'R4_G3'!T8-'R4_G3'!T7,'R4_G3'!T11-'R4_G3'!T10,'R4_G3'!T14-'R4_G3'!T13,'R4_G3'!T17-'R4_G3'!T16},4)),0)+
if(T19&gt;=5,(small({T8-T7,T11-T10,T14-T13,T17-T16,'R4_G3'!T8-'R4_G3'!T7,'R4_G3'!T11-'R4_G3'!T10,'R4_G3'!T14-'R4_G3'!T13,'R4_G3'!T17-'R4_G3'!T16},5)),0)+
if(T19&gt;=6,(small({T8-T7,T11-T10,T14-T13,T17-T16,'R4_G3'!T8-'R4_G3'!T7,'R4_G3'!T11-'R4_G3'!T10,'R4_G3'!T14-'R4_G3'!T13,'R4_G3'!T17-'R4_G3'!T16},6)),0)+
if(T19&gt;=7,(small({T8-T7,T11-T10,T14-T13,T17-T16,'R4_G3'!T8-'R4_G3'!T7,'R4_G3'!T11-'R4_G3'!T10,'R4_G3'!T14-'R4_G3'!T13,'R4_G3'!T17-'R4_G3'!T16},7)),0)+
if(T19&gt;=8,(small({T8-T7,T11-T10,T14-T13,T17-T16,'R4_G3'!T8-'R4_G3'!T7,'R4_G3'!T11-'R4_G3'!T10,'R4_G3'!T14-'R4_G3'!T13,'R4_G3'!T17-'R4_G3'!T16},8)),0))
</f>
        <v>32</v>
      </c>
      <c r="U23" s="953">
        <f t="array" ref="U23">if(OR(U8="", U11="", U14="", U17="", 'R4_G3'!U8="", 'R4_G3'!U11="", 'R4_G3'!U14=""), "",
if(U19&gt;=1,(small({U8-U7,U11-U10,U14-U13,U17-U16,'R4_G3'!U8-'R4_G3'!U7,'R4_G3'!U11-'R4_G3'!U10,'R4_G3'!U14-'R4_G3'!U13,'R4_G3'!U17-'R4_G3'!U16},1)),0)+
if(U19&gt;=2,(small({U8-U7,U11-U10,U14-U13,U17-U16,'R4_G3'!U8-'R4_G3'!U7,'R4_G3'!U11-'R4_G3'!U10,'R4_G3'!U14-'R4_G3'!U13,'R4_G3'!U17-'R4_G3'!U16},2)),0)+
if(U19&gt;=3,(small({U8-U7,U11-U10,U14-U13,U17-U16,'R4_G3'!U8-'R4_G3'!U7,'R4_G3'!U11-'R4_G3'!U10,'R4_G3'!U14-'R4_G3'!U13,'R4_G3'!U17-'R4_G3'!U16},3)),0)+
if(U19&gt;=4,(small({U8-U7,U11-U10,U14-U13,U17-U16,'R4_G3'!U8-'R4_G3'!U7,'R4_G3'!U11-'R4_G3'!U10,'R4_G3'!U14-'R4_G3'!U13,'R4_G3'!U17-'R4_G3'!U16},4)),0)+
if(U19&gt;=5,(small({U8-U7,U11-U10,U14-U13,U17-U16,'R4_G3'!U8-'R4_G3'!U7,'R4_G3'!U11-'R4_G3'!U10,'R4_G3'!U14-'R4_G3'!U13,'R4_G3'!U17-'R4_G3'!U16},5)),0)+
if(U19&gt;=6,(small({U8-U7,U11-U10,U14-U13,U17-U16,'R4_G3'!U8-'R4_G3'!U7,'R4_G3'!U11-'R4_G3'!U10,'R4_G3'!U14-'R4_G3'!U13,'R4_G3'!U17-'R4_G3'!U16},6)),0)+
if(U19&gt;=7,(small({U8-U7,U11-U10,U14-U13,U17-U16,'R4_G3'!U8-'R4_G3'!U7,'R4_G3'!U11-'R4_G3'!U10,'R4_G3'!U14-'R4_G3'!U13,'R4_G3'!U17-'R4_G3'!U16},7)),0)+
if(U19&gt;=8,(small({U8-U7,U11-U10,U14-U13,U17-U16,'R4_G3'!U8-'R4_G3'!U7,'R4_G3'!U11-'R4_G3'!U10,'R4_G3'!U14-'R4_G3'!U13,'R4_G3'!U17-'R4_G3'!U16},8)),0))
</f>
        <v>18</v>
      </c>
      <c r="V23" s="953">
        <f t="array" ref="V23">if(OR(V8="", V11="", V14="", V17="", 'R4_G3'!V8="", 'R4_G3'!V11="", 'R4_G3'!V14=""), "",
if(V19&gt;=1,(small({V8-V7,V11-V10,V14-V13,V17-V16,'R4_G3'!V8-'R4_G3'!V7,'R4_G3'!V11-'R4_G3'!V10,'R4_G3'!V14-'R4_G3'!V13,'R4_G3'!V17-'R4_G3'!V16},1)),0)+
if(V19&gt;=2,(small({V8-V7,V11-V10,V14-V13,V17-V16,'R4_G3'!V8-'R4_G3'!V7,'R4_G3'!V11-'R4_G3'!V10,'R4_G3'!V14-'R4_G3'!V13,'R4_G3'!V17-'R4_G3'!V16},2)),0)+
if(V19&gt;=3,(small({V8-V7,V11-V10,V14-V13,V17-V16,'R4_G3'!V8-'R4_G3'!V7,'R4_G3'!V11-'R4_G3'!V10,'R4_G3'!V14-'R4_G3'!V13,'R4_G3'!V17-'R4_G3'!V16},3)),0)+
if(V19&gt;=4,(small({V8-V7,V11-V10,V14-V13,V17-V16,'R4_G3'!V8-'R4_G3'!V7,'R4_G3'!V11-'R4_G3'!V10,'R4_G3'!V14-'R4_G3'!V13,'R4_G3'!V17-'R4_G3'!V16},4)),0)+
if(V19&gt;=5,(small({V8-V7,V11-V10,V14-V13,V17-V16,'R4_G3'!V8-'R4_G3'!V7,'R4_G3'!V11-'R4_G3'!V10,'R4_G3'!V14-'R4_G3'!V13,'R4_G3'!V17-'R4_G3'!V16},5)),0)+
if(V19&gt;=6,(small({V8-V7,V11-V10,V14-V13,V17-V16,'R4_G3'!V8-'R4_G3'!V7,'R4_G3'!V11-'R4_G3'!V10,'R4_G3'!V14-'R4_G3'!V13,'R4_G3'!V17-'R4_G3'!V16},6)),0)+
if(V19&gt;=7,(small({V8-V7,V11-V10,V14-V13,V17-V16,'R4_G3'!V8-'R4_G3'!V7,'R4_G3'!V11-'R4_G3'!V10,'R4_G3'!V14-'R4_G3'!V13,'R4_G3'!V17-'R4_G3'!V16},7)),0)+
if(V19&gt;=8,(small({V8-V7,V11-V10,V14-V13,V17-V16,'R4_G3'!V8-'R4_G3'!V7,'R4_G3'!V11-'R4_G3'!V10,'R4_G3'!V14-'R4_G3'!V13,'R4_G3'!V17-'R4_G3'!V16},8)),0))
</f>
        <v>15</v>
      </c>
      <c r="W23" s="953">
        <f t="array" ref="W23">if(OR(W8="", W11="", W14="", W17="", 'R4_G3'!W8="", 'R4_G3'!W11="", 'R4_G3'!W14=""), "",
if(W19&gt;=1,(small({W8-W7,W11-W10,W14-W13,W17-W16,'R4_G3'!W8-'R4_G3'!W7,'R4_G3'!W11-'R4_G3'!W10,'R4_G3'!W14-'R4_G3'!W13,'R4_G3'!W17-'R4_G3'!W16},1)),0)+
if(W19&gt;=2,(small({W8-W7,W11-W10,W14-W13,W17-W16,'R4_G3'!W8-'R4_G3'!W7,'R4_G3'!W11-'R4_G3'!W10,'R4_G3'!W14-'R4_G3'!W13,'R4_G3'!W17-'R4_G3'!W16},2)),0)+
if(W19&gt;=3,(small({W8-W7,W11-W10,W14-W13,W17-W16,'R4_G3'!W8-'R4_G3'!W7,'R4_G3'!W11-'R4_G3'!W10,'R4_G3'!W14-'R4_G3'!W13,'R4_G3'!W17-'R4_G3'!W16},3)),0)+
if(W19&gt;=4,(small({W8-W7,W11-W10,W14-W13,W17-W16,'R4_G3'!W8-'R4_G3'!W7,'R4_G3'!W11-'R4_G3'!W10,'R4_G3'!W14-'R4_G3'!W13,'R4_G3'!W17-'R4_G3'!W16},4)),0)+
if(W19&gt;=5,(small({W8-W7,W11-W10,W14-W13,W17-W16,'R4_G3'!W8-'R4_G3'!W7,'R4_G3'!W11-'R4_G3'!W10,'R4_G3'!W14-'R4_G3'!W13,'R4_G3'!W17-'R4_G3'!W16},5)),0)+
if(W19&gt;=6,(small({W8-W7,W11-W10,W14-W13,W17-W16,'R4_G3'!W8-'R4_G3'!W7,'R4_G3'!W11-'R4_G3'!W10,'R4_G3'!W14-'R4_G3'!W13,'R4_G3'!W17-'R4_G3'!W16},6)),0)+
if(W19&gt;=7,(small({W8-W7,W11-W10,W14-W13,W17-W16,'R4_G3'!W8-'R4_G3'!W7,'R4_G3'!W11-'R4_G3'!W10,'R4_G3'!W14-'R4_G3'!W13,'R4_G3'!W17-'R4_G3'!W16},7)),0)+
if(W19&gt;=8,(small({W8-W7,W11-W10,W14-W13,W17-W16,'R4_G3'!W8-'R4_G3'!W7,'R4_G3'!W11-'R4_G3'!W10,'R4_G3'!W14-'R4_G3'!W13,'R4_G3'!W17-'R4_G3'!W16},8)),0))
</f>
        <v>26</v>
      </c>
      <c r="X23" s="953">
        <f t="array" ref="X23">if(OR(X8="", X11="", X14="", X17="", 'R4_G3'!X8="", 'R4_G3'!X11="", 'R4_G3'!X14=""), "",
if(X19&gt;=1,(small({X8-X7,X11-X10,X14-X13,X17-X16,'R4_G3'!X8-'R4_G3'!X7,'R4_G3'!X11-'R4_G3'!X10,'R4_G3'!X14-'R4_G3'!X13,'R4_G3'!X17-'R4_G3'!X16},1)),0)+
if(X19&gt;=2,(small({X8-X7,X11-X10,X14-X13,X17-X16,'R4_G3'!X8-'R4_G3'!X7,'R4_G3'!X11-'R4_G3'!X10,'R4_G3'!X14-'R4_G3'!X13,'R4_G3'!X17-'R4_G3'!X16},2)),0)+
if(X19&gt;=3,(small({X8-X7,X11-X10,X14-X13,X17-X16,'R4_G3'!X8-'R4_G3'!X7,'R4_G3'!X11-'R4_G3'!X10,'R4_G3'!X14-'R4_G3'!X13,'R4_G3'!X17-'R4_G3'!X16},3)),0)+
if(X19&gt;=4,(small({X8-X7,X11-X10,X14-X13,X17-X16,'R4_G3'!X8-'R4_G3'!X7,'R4_G3'!X11-'R4_G3'!X10,'R4_G3'!X14-'R4_G3'!X13,'R4_G3'!X17-'R4_G3'!X16},4)),0)+
if(X19&gt;=5,(small({X8-X7,X11-X10,X14-X13,X17-X16,'R4_G3'!X8-'R4_G3'!X7,'R4_G3'!X11-'R4_G3'!X10,'R4_G3'!X14-'R4_G3'!X13,'R4_G3'!X17-'R4_G3'!X16},5)),0)+
if(X19&gt;=6,(small({X8-X7,X11-X10,X14-X13,X17-X16,'R4_G3'!X8-'R4_G3'!X7,'R4_G3'!X11-'R4_G3'!X10,'R4_G3'!X14-'R4_G3'!X13,'R4_G3'!X17-'R4_G3'!X16},6)),0)+
if(X19&gt;=7,(small({X8-X7,X11-X10,X14-X13,X17-X16,'R4_G3'!X8-'R4_G3'!X7,'R4_G3'!X11-'R4_G3'!X10,'R4_G3'!X14-'R4_G3'!X13,'R4_G3'!X17-'R4_G3'!X16},7)),0)+
if(X19&gt;=8,(small({X8-X7,X11-X10,X14-X13,X17-X16,'R4_G3'!X8-'R4_G3'!X7,'R4_G3'!X11-'R4_G3'!X10,'R4_G3'!X14-'R4_G3'!X13,'R4_G3'!X17-'R4_G3'!X16},8)),0))
</f>
        <v>23</v>
      </c>
      <c r="Y23" s="953">
        <f t="array" ref="Y23">if(OR(Y8="", Y11="", Y14="", Y17="", 'R4_G3'!Y8="", 'R4_G3'!Y11="", 'R4_G3'!Y14=""), "",
if(Y19&gt;=1,(small({Y8-Y7,Y11-Y10,Y14-Y13,Y17-Y16,'R4_G3'!Y8-'R4_G3'!Y7,'R4_G3'!Y11-'R4_G3'!Y10,'R4_G3'!Y14-'R4_G3'!Y13,'R4_G3'!Y17-'R4_G3'!Y16},1)),0)+
if(Y19&gt;=2,(small({Y8-Y7,Y11-Y10,Y14-Y13,Y17-Y16,'R4_G3'!Y8-'R4_G3'!Y7,'R4_G3'!Y11-'R4_G3'!Y10,'R4_G3'!Y14-'R4_G3'!Y13,'R4_G3'!Y17-'R4_G3'!Y16},2)),0)+
if(Y19&gt;=3,(small({Y8-Y7,Y11-Y10,Y14-Y13,Y17-Y16,'R4_G3'!Y8-'R4_G3'!Y7,'R4_G3'!Y11-'R4_G3'!Y10,'R4_G3'!Y14-'R4_G3'!Y13,'R4_G3'!Y17-'R4_G3'!Y16},3)),0)+
if(Y19&gt;=4,(small({Y8-Y7,Y11-Y10,Y14-Y13,Y17-Y16,'R4_G3'!Y8-'R4_G3'!Y7,'R4_G3'!Y11-'R4_G3'!Y10,'R4_G3'!Y14-'R4_G3'!Y13,'R4_G3'!Y17-'R4_G3'!Y16},4)),0)+
if(Y19&gt;=5,(small({Y8-Y7,Y11-Y10,Y14-Y13,Y17-Y16,'R4_G3'!Y8-'R4_G3'!Y7,'R4_G3'!Y11-'R4_G3'!Y10,'R4_G3'!Y14-'R4_G3'!Y13,'R4_G3'!Y17-'R4_G3'!Y16},5)),0)+
if(Y19&gt;=6,(small({Y8-Y7,Y11-Y10,Y14-Y13,Y17-Y16,'R4_G3'!Y8-'R4_G3'!Y7,'R4_G3'!Y11-'R4_G3'!Y10,'R4_G3'!Y14-'R4_G3'!Y13,'R4_G3'!Y17-'R4_G3'!Y16},6)),0)+
if(Y19&gt;=7,(small({Y8-Y7,Y11-Y10,Y14-Y13,Y17-Y16,'R4_G3'!Y8-'R4_G3'!Y7,'R4_G3'!Y11-'R4_G3'!Y10,'R4_G3'!Y14-'R4_G3'!Y13,'R4_G3'!Y17-'R4_G3'!Y16},7)),0)+
if(Y19&gt;=8,(small({Y8-Y7,Y11-Y10,Y14-Y13,Y17-Y16,'R4_G3'!Y8-'R4_G3'!Y7,'R4_G3'!Y11-'R4_G3'!Y10,'R4_G3'!Y14-'R4_G3'!Y13,'R4_G3'!Y17-'R4_G3'!Y16},8)),0))
</f>
        <v>31</v>
      </c>
      <c r="Z23" s="652" t="s">
        <v>71</v>
      </c>
      <c r="AA23" s="948" t="s">
        <v>72</v>
      </c>
      <c r="AB23" s="653" t="s">
        <v>73</v>
      </c>
    </row>
    <row r="24" ht="18.75" hidden="1" customHeight="1">
      <c r="A24" s="660"/>
      <c r="B24" s="655" t="str">
        <f>B8</f>
        <v>Irons</v>
      </c>
      <c r="C24" s="656"/>
      <c r="D24" s="655"/>
      <c r="E24" s="956">
        <f>'FINAL COUNTDOWN'!B2</f>
        <v>0.5</v>
      </c>
      <c r="F24" s="956">
        <f>'FINAL COUNTDOWN'!B3</f>
        <v>0</v>
      </c>
      <c r="G24" s="956">
        <f>'FINAL COUNTDOWN'!B4</f>
        <v>1</v>
      </c>
      <c r="H24" s="956">
        <f>'FINAL COUNTDOWN'!B5</f>
        <v>0</v>
      </c>
      <c r="I24" s="956">
        <f>'FINAL COUNTDOWN'!B6</f>
        <v>0.5</v>
      </c>
      <c r="J24" s="956">
        <f>'FINAL COUNTDOWN'!B7</f>
        <v>0.5</v>
      </c>
      <c r="K24" s="956">
        <f>'FINAL COUNTDOWN'!B8</f>
        <v>0.5</v>
      </c>
      <c r="L24" s="956">
        <f>'FINAL COUNTDOWN'!B9</f>
        <v>0.5</v>
      </c>
      <c r="M24" s="956">
        <f>'FINAL COUNTDOWN'!B10</f>
        <v>0</v>
      </c>
      <c r="N24" s="483"/>
      <c r="O24" s="483"/>
      <c r="P24" s="483"/>
      <c r="Q24" s="486">
        <f>'FINAL COUNTDOWN'!B12</f>
        <v>0</v>
      </c>
      <c r="R24" s="486">
        <f>'FINAL COUNTDOWN'!B13</f>
        <v>2</v>
      </c>
      <c r="S24" s="486">
        <f>'FINAL COUNTDOWN'!B14</f>
        <v>1</v>
      </c>
      <c r="T24" s="486">
        <f>'FINAL COUNTDOWN'!B15</f>
        <v>0</v>
      </c>
      <c r="U24" s="486">
        <f>'FINAL COUNTDOWN'!B16</f>
        <v>2</v>
      </c>
      <c r="V24" s="486">
        <f>'FINAL COUNTDOWN'!B17</f>
        <v>2</v>
      </c>
      <c r="W24" s="486">
        <f>'FINAL COUNTDOWN'!B18</f>
        <v>0</v>
      </c>
      <c r="X24" s="486">
        <f>'FINAL COUNTDOWN'!B19</f>
        <v>0</v>
      </c>
      <c r="Y24" s="486">
        <f>'FINAL COUNTDOWN'!B20</f>
        <v>0</v>
      </c>
      <c r="Z24" s="659"/>
      <c r="AA24" s="659"/>
      <c r="AB24" s="660">
        <f>sum(E24:Y24)</f>
        <v>10.5</v>
      </c>
    </row>
    <row r="25" ht="18.75" hidden="1" customHeight="1">
      <c r="A25" s="649" t="str">
        <f>A8</f>
        <v>Jensen</v>
      </c>
      <c r="B25" s="649"/>
      <c r="C25" s="650"/>
      <c r="D25" s="649"/>
      <c r="E25" s="492">
        <f>if('Captains Card 1'!E39&lt;small('Captains Card 1'!E$39:E$46,E$19),1,
 if('Captains Card 1'!E39=small('Captains Card 1'!E$39:E$46,E$19),
 (E$19-countif('Captains Card 1'!E$39:E$46,"&lt;"&amp;small('Captains Card 1'!E$39:E$46,E$19)))/countif('Captains Card 1'!E$39:E$46,small('Captains Card 1'!E$39:E$46,E$19)),0))</f>
        <v>1</v>
      </c>
      <c r="F25" s="492">
        <f>if('Captains Card 1'!F39&lt;small('Captains Card 1'!F$39:F$46,F$19),1,
 if('Captains Card 1'!F39=small('Captains Card 1'!F$39:F$46,F$19),
 (F$19-countif('Captains Card 1'!F$39:F$46,"&lt;"&amp;small('Captains Card 1'!F$39:F$46,F$19)))/countif('Captains Card 1'!F$39:F$46,small('Captains Card 1'!F$39:F$46,F$19)),0))</f>
        <v>0</v>
      </c>
      <c r="G25" s="492">
        <f>if('Captains Card 1'!G39&lt;small('Captains Card 1'!G$39:G$46,G$19),1,
 if('Captains Card 1'!G39=small('Captains Card 1'!G$39:G$46,G$19),
 (G$19-countif('Captains Card 1'!G$39:G$46,"&lt;"&amp;small('Captains Card 1'!G$39:G$46,G$19)))/countif('Captains Card 1'!G$39:G$46,small('Captains Card 1'!G$39:G$46,G$19)),0))</f>
        <v>1</v>
      </c>
      <c r="H25" s="492">
        <f>if('Captains Card 1'!H39&lt;small('Captains Card 1'!H$39:H$46,H$19),1,
 if('Captains Card 1'!H39=small('Captains Card 1'!H$39:H$46,H$19),
 (H$19-countif('Captains Card 1'!H$39:H$46,"&lt;"&amp;small('Captains Card 1'!H$39:H$46,H$19)))/countif('Captains Card 1'!H$39:H$46,small('Captains Card 1'!H$39:H$46,H$19)),0))</f>
        <v>1</v>
      </c>
      <c r="I25" s="492">
        <f>if('Captains Card 1'!I39&lt;small('Captains Card 1'!I$39:I$46,I$19),1,
 if('Captains Card 1'!I39=small('Captains Card 1'!I$39:I$46,I$19),
 (I$19-countif('Captains Card 1'!I$39:I$46,"&lt;"&amp;small('Captains Card 1'!I$39:I$46,I$19)))/countif('Captains Card 1'!I$39:I$46,small('Captains Card 1'!I$39:I$46,I$19)),0))</f>
        <v>1</v>
      </c>
      <c r="J25" s="492">
        <f>if('Captains Card 1'!J39&lt;small('Captains Card 1'!J$39:J$46,J$19),1,
 if('Captains Card 1'!J39=small('Captains Card 1'!J$39:J$46,J$19),
 (J$19-countif('Captains Card 1'!J$39:J$46,"&lt;"&amp;small('Captains Card 1'!J$39:J$46,J$19)))/countif('Captains Card 1'!J$39:J$46,small('Captains Card 1'!J$39:J$46,J$19)),0))</f>
        <v>1</v>
      </c>
      <c r="K25" s="492">
        <f>if('Captains Card 1'!K39&lt;small('Captains Card 1'!K$39:K$46,K$19),1,
 if('Captains Card 1'!K39=small('Captains Card 1'!K$39:K$46,K$19),
 (K$19-countif('Captains Card 1'!K$39:K$46,"&lt;"&amp;small('Captains Card 1'!K$39:K$46,K$19)))/countif('Captains Card 1'!K$39:K$46,small('Captains Card 1'!K$39:K$46,K$19)),0))</f>
        <v>0.8</v>
      </c>
      <c r="L25" s="492">
        <f>if('Captains Card 1'!L39&lt;small('Captains Card 1'!L$39:L$46,L$19),1,
 if('Captains Card 1'!L39=small('Captains Card 1'!L$39:L$46,L$19),
 (L$19-countif('Captains Card 1'!L$39:L$46,"&lt;"&amp;small('Captains Card 1'!L$39:L$46,L$19)))/countif('Captains Card 1'!L$39:L$46,small('Captains Card 1'!L$39:L$46,L$19)),0))</f>
        <v>1</v>
      </c>
      <c r="M25" s="492">
        <f>if('Captains Card 1'!M39&lt;small('Captains Card 1'!M$39:M$46,M$19),1,
 if('Captains Card 1'!M39=small('Captains Card 1'!M$39:M$46,M$19),
 (M$19-countif('Captains Card 1'!M$39:M$46,"&lt;"&amp;small('Captains Card 1'!M$39:M$46,M$19)))/countif('Captains Card 1'!M$39:M$46,small('Captains Card 1'!M$39:M$46,M$19)),0))</f>
        <v>1</v>
      </c>
      <c r="N25" s="470"/>
      <c r="O25" s="470"/>
      <c r="P25" s="470"/>
      <c r="Q25" s="492">
        <f>if('Captains Card 1'!Q39&lt;small('Captains Card 1'!Q$39:Q$46,Q$19),1,
 if('Captains Card 1'!Q39=small('Captains Card 1'!Q$39:Q$46,Q$19),
 (Q$19-countif('Captains Card 1'!Q$39:Q$46,"&lt;"&amp;small('Captains Card 1'!Q$39:Q$46,Q$19)))/countif('Captains Card 1'!Q$39:Q$46,small('Captains Card 1'!Q$39:Q$46,Q$19)),0))</f>
        <v>0.3333333333</v>
      </c>
      <c r="R25" s="492">
        <f>if('Captains Card 1'!R39&lt;small('Captains Card 1'!R$39:R$46,R$19),1,
 if('Captains Card 1'!R39=small('Captains Card 1'!R$39:R$46,R$19),
 (R$19-countif('Captains Card 1'!R$39:R$46,"&lt;"&amp;small('Captains Card 1'!R$39:R$46,R$19)))/countif('Captains Card 1'!R$39:R$46,small('Captains Card 1'!R$39:R$46,R$19)),0))</f>
        <v>1</v>
      </c>
      <c r="S25" s="492">
        <f>if('Captains Card 1'!S39&lt;small('Captains Card 1'!S$39:S$46,S$19),1,
 if('Captains Card 1'!S39=small('Captains Card 1'!S$39:S$46,S$19),
 (S$19-countif('Captains Card 1'!S$39:S$46,"&lt;"&amp;small('Captains Card 1'!S$39:S$46,S$19)))/countif('Captains Card 1'!S$39:S$46,small('Captains Card 1'!S$39:S$46,S$19)),0))</f>
        <v>1</v>
      </c>
      <c r="T25" s="492">
        <f>if('Captains Card 1'!T39&lt;small('Captains Card 1'!T$39:T$46,T$19),1,
 if('Captains Card 1'!T39=small('Captains Card 1'!T$39:T$46,T$19),
 (T$19-countif('Captains Card 1'!T$39:T$46,"&lt;"&amp;small('Captains Card 1'!T$39:T$46,T$19)))/countif('Captains Card 1'!T$39:T$46,small('Captains Card 1'!T$39:T$46,T$19)),0))</f>
        <v>1</v>
      </c>
      <c r="U25" s="492">
        <f>if('Captains Card 1'!U39&lt;small('Captains Card 1'!U$39:U$46,U$19),1,
 if('Captains Card 1'!U39=small('Captains Card 1'!U$39:U$46,U$19),
 (U$19-countif('Captains Card 1'!U$39:U$46,"&lt;"&amp;small('Captains Card 1'!U$39:U$46,U$19)))/countif('Captains Card 1'!U$39:U$46,small('Captains Card 1'!U$39:U$46,U$19)),0))</f>
        <v>1</v>
      </c>
      <c r="V25" s="492">
        <f>if('Captains Card 1'!V39&lt;small('Captains Card 1'!V$39:V$46,V$19),1,
 if('Captains Card 1'!V39=small('Captains Card 1'!V$39:V$46,V$19),
 (V$19-countif('Captains Card 1'!V$39:V$46,"&lt;"&amp;small('Captains Card 1'!V$39:V$46,V$19)))/countif('Captains Card 1'!V$39:V$46,small('Captains Card 1'!V$39:V$46,V$19)),0))</f>
        <v>0.5</v>
      </c>
      <c r="W25" s="492">
        <f>if('Captains Card 1'!W39&lt;small('Captains Card 1'!W$39:W$46,W$19),1,
 if('Captains Card 1'!W39=small('Captains Card 1'!W$39:W$46,W$19),
 (W$19-countif('Captains Card 1'!W$39:W$46,"&lt;"&amp;small('Captains Card 1'!W$39:W$46,W$19)))/countif('Captains Card 1'!W$39:W$46,small('Captains Card 1'!W$39:W$46,W$19)),0))</f>
        <v>1</v>
      </c>
      <c r="X25" s="492">
        <f>if('Captains Card 1'!X39&lt;small('Captains Card 1'!X$39:X$46,X$19),1,
 if('Captains Card 1'!X39=small('Captains Card 1'!X$39:X$46,X$19),
 (X$19-countif('Captains Card 1'!X$39:X$46,"&lt;"&amp;small('Captains Card 1'!X$39:X$46,X$19)))/countif('Captains Card 1'!X$39:X$46,small('Captains Card 1'!X$39:X$46,X$19)),0))</f>
        <v>1</v>
      </c>
      <c r="Y25" s="492">
        <f>if('Captains Card 1'!Y39&lt;small('Captains Card 1'!Y$39:Y$46,Y$19),1,
 if('Captains Card 1'!Y39=small('Captains Card 1'!Y$39:Y$46,Y$19),
 (Y$19-countif('Captains Card 1'!Y$39:Y$46,"&lt;"&amp;small('Captains Card 1'!Y$39:Y$46,Y$19)))/countif('Captains Card 1'!Y$39:Y$46,small('Captains Card 1'!Y$39:Y$46,Y$19)),0))</f>
        <v>1</v>
      </c>
      <c r="Z25" s="957">
        <f t="shared" ref="Z25:Z28" si="21">if(Y$8="","", sum(E25:M25,Q25:Y25))</f>
        <v>15.63333333</v>
      </c>
      <c r="AA25" s="958">
        <f t="shared" ref="AA25:AA28" si="22">if(Y$8="","",sumif($E$24:$M$24,"&gt;0.5",E25:M25)+sumif($E$24:$M$24,0.5,E25:M25)/2+sumif($Q$24:$Y$24,"&gt;1",Q25:Y25)+sumif($Q$24:$Y$24,1,Q25:Y25)/2)</f>
        <v>6.4</v>
      </c>
      <c r="AB25" s="492">
        <f t="shared" ref="AB25:AB28" si="23">if(Y$8="","",Z25/(sum($E$19:$M$19,$Q$19:$Y$19))*$AB$24)</f>
        <v>1.658080808</v>
      </c>
    </row>
    <row r="26" ht="18.75" hidden="1" customHeight="1">
      <c r="A26" s="649" t="str">
        <f>A11</f>
        <v>House</v>
      </c>
      <c r="B26" s="649"/>
      <c r="C26" s="650"/>
      <c r="D26" s="649"/>
      <c r="E26" s="492">
        <f>if('Captains Card 1'!E40&lt;small('Captains Card 1'!E$39:E$46,E$19),1,
 if('Captains Card 1'!E40=small('Captains Card 1'!E$39:E$46,E$19),
 (E$19-countif('Captains Card 1'!E$39:E$46,"&lt;"&amp;small('Captains Card 1'!E$39:E$46,E$19)))/countif('Captains Card 1'!E$39:E$46,small('Captains Card 1'!E$39:E$46,E$19)),0))</f>
        <v>1</v>
      </c>
      <c r="F26" s="492">
        <f>if('Captains Card 1'!F40&lt;small('Captains Card 1'!F$39:F$46,F$19),1,
 if('Captains Card 1'!F40=small('Captains Card 1'!F$39:F$46,F$19),
 (F$19-countif('Captains Card 1'!F$39:F$46,"&lt;"&amp;small('Captains Card 1'!F$39:F$46,F$19)))/countif('Captains Card 1'!F$39:F$46,small('Captains Card 1'!F$39:F$46,F$19)),0))</f>
        <v>1</v>
      </c>
      <c r="G26" s="492">
        <f>if('Captains Card 1'!G40&lt;small('Captains Card 1'!G$39:G$46,G$19),1,
 if('Captains Card 1'!G40=small('Captains Card 1'!G$39:G$46,G$19),
 (G$19-countif('Captains Card 1'!G$39:G$46,"&lt;"&amp;small('Captains Card 1'!G$39:G$46,G$19)))/countif('Captains Card 1'!G$39:G$46,small('Captains Card 1'!G$39:G$46,G$19)),0))</f>
        <v>0.75</v>
      </c>
      <c r="H26" s="492">
        <f>if('Captains Card 1'!H40&lt;small('Captains Card 1'!H$39:H$46,H$19),1,
 if('Captains Card 1'!H40=small('Captains Card 1'!H$39:H$46,H$19),
 (H$19-countif('Captains Card 1'!H$39:H$46,"&lt;"&amp;small('Captains Card 1'!H$39:H$46,H$19)))/countif('Captains Card 1'!H$39:H$46,small('Captains Card 1'!H$39:H$46,H$19)),0))</f>
        <v>1</v>
      </c>
      <c r="I26" s="492">
        <f>if('Captains Card 1'!I40&lt;small('Captains Card 1'!I$39:I$46,I$19),1,
 if('Captains Card 1'!I40=small('Captains Card 1'!I$39:I$46,I$19),
 (I$19-countif('Captains Card 1'!I$39:I$46,"&lt;"&amp;small('Captains Card 1'!I$39:I$46,I$19)))/countif('Captains Card 1'!I$39:I$46,small('Captains Card 1'!I$39:I$46,I$19)),0))</f>
        <v>0.6</v>
      </c>
      <c r="J26" s="492">
        <f>if('Captains Card 1'!J40&lt;small('Captains Card 1'!J$39:J$46,J$19),1,
 if('Captains Card 1'!J40=small('Captains Card 1'!J$39:J$46,J$19),
 (J$19-countif('Captains Card 1'!J$39:J$46,"&lt;"&amp;small('Captains Card 1'!J$39:J$46,J$19)))/countif('Captains Card 1'!J$39:J$46,small('Captains Card 1'!J$39:J$46,J$19)),0))</f>
        <v>0</v>
      </c>
      <c r="K26" s="492">
        <f>if('Captains Card 1'!K40&lt;small('Captains Card 1'!K$39:K$46,K$19),1,
 if('Captains Card 1'!K40=small('Captains Card 1'!K$39:K$46,K$19),
 (K$19-countif('Captains Card 1'!K$39:K$46,"&lt;"&amp;small('Captains Card 1'!K$39:K$46,K$19)))/countif('Captains Card 1'!K$39:K$46,small('Captains Card 1'!K$39:K$46,K$19)),0))</f>
        <v>0.8</v>
      </c>
      <c r="L26" s="492">
        <f>if('Captains Card 1'!L40&lt;small('Captains Card 1'!L$39:L$46,L$19),1,
 if('Captains Card 1'!L40=small('Captains Card 1'!L$39:L$46,L$19),
 (L$19-countif('Captains Card 1'!L$39:L$46,"&lt;"&amp;small('Captains Card 1'!L$39:L$46,L$19)))/countif('Captains Card 1'!L$39:L$46,small('Captains Card 1'!L$39:L$46,L$19)),0))</f>
        <v>1</v>
      </c>
      <c r="M26" s="492">
        <f>if('Captains Card 1'!M40&lt;small('Captains Card 1'!M$39:M$46,M$19),1,
 if('Captains Card 1'!M40=small('Captains Card 1'!M$39:M$46,M$19),
 (M$19-countif('Captains Card 1'!M$39:M$46,"&lt;"&amp;small('Captains Card 1'!M$39:M$46,M$19)))/countif('Captains Card 1'!M$39:M$46,small('Captains Card 1'!M$39:M$46,M$19)),0))</f>
        <v>0</v>
      </c>
      <c r="N26" s="470"/>
      <c r="O26" s="470"/>
      <c r="P26" s="470"/>
      <c r="Q26" s="492">
        <f>if('Captains Card 1'!Q40&lt;small('Captains Card 1'!Q$39:Q$46,Q$19),1,
 if('Captains Card 1'!Q40=small('Captains Card 1'!Q$39:Q$46,Q$19),
 (Q$19-countif('Captains Card 1'!Q$39:Q$46,"&lt;"&amp;small('Captains Card 1'!Q$39:Q$46,Q$19)))/countif('Captains Card 1'!Q$39:Q$46,small('Captains Card 1'!Q$39:Q$46,Q$19)),0))</f>
        <v>1</v>
      </c>
      <c r="R26" s="492">
        <f>if('Captains Card 1'!R40&lt;small('Captains Card 1'!R$39:R$46,R$19),1,
 if('Captains Card 1'!R40=small('Captains Card 1'!R$39:R$46,R$19),
 (R$19-countif('Captains Card 1'!R$39:R$46,"&lt;"&amp;small('Captains Card 1'!R$39:R$46,R$19)))/countif('Captains Card 1'!R$39:R$46,small('Captains Card 1'!R$39:R$46,R$19)),0))</f>
        <v>1</v>
      </c>
      <c r="S26" s="492">
        <f>if('Captains Card 1'!S40&lt;small('Captains Card 1'!S$39:S$46,S$19),1,
 if('Captains Card 1'!S40=small('Captains Card 1'!S$39:S$46,S$19),
 (S$19-countif('Captains Card 1'!S$39:S$46,"&lt;"&amp;small('Captains Card 1'!S$39:S$46,S$19)))/countif('Captains Card 1'!S$39:S$46,small('Captains Card 1'!S$39:S$46,S$19)),0))</f>
        <v>0</v>
      </c>
      <c r="T26" s="492">
        <f>if('Captains Card 1'!T40&lt;small('Captains Card 1'!T$39:T$46,T$19),1,
 if('Captains Card 1'!T40=small('Captains Card 1'!T$39:T$46,T$19),
 (T$19-countif('Captains Card 1'!T$39:T$46,"&lt;"&amp;small('Captains Card 1'!T$39:T$46,T$19)))/countif('Captains Card 1'!T$39:T$46,small('Captains Card 1'!T$39:T$46,T$19)),0))</f>
        <v>0</v>
      </c>
      <c r="U26" s="492">
        <f>if('Captains Card 1'!U40&lt;small('Captains Card 1'!U$39:U$46,U$19),1,
 if('Captains Card 1'!U40=small('Captains Card 1'!U$39:U$46,U$19),
 (U$19-countif('Captains Card 1'!U$39:U$46,"&lt;"&amp;small('Captains Card 1'!U$39:U$46,U$19)))/countif('Captains Card 1'!U$39:U$46,small('Captains Card 1'!U$39:U$46,U$19)),0))</f>
        <v>1</v>
      </c>
      <c r="V26" s="492">
        <f>if('Captains Card 1'!V40&lt;small('Captains Card 1'!V$39:V$46,V$19),1,
 if('Captains Card 1'!V40=small('Captains Card 1'!V$39:V$46,V$19),
 (V$19-countif('Captains Card 1'!V$39:V$46,"&lt;"&amp;small('Captains Card 1'!V$39:V$46,V$19)))/countif('Captains Card 1'!V$39:V$46,small('Captains Card 1'!V$39:V$46,V$19)),0))</f>
        <v>1</v>
      </c>
      <c r="W26" s="492">
        <f>if('Captains Card 1'!W40&lt;small('Captains Card 1'!W$39:W$46,W$19),1,
 if('Captains Card 1'!W40=small('Captains Card 1'!W$39:W$46,W$19),
 (W$19-countif('Captains Card 1'!W$39:W$46,"&lt;"&amp;small('Captains Card 1'!W$39:W$46,W$19)))/countif('Captains Card 1'!W$39:W$46,small('Captains Card 1'!W$39:W$46,W$19)),0))</f>
        <v>1</v>
      </c>
      <c r="X26" s="492">
        <f>if('Captains Card 1'!X40&lt;small('Captains Card 1'!X$39:X$46,X$19),1,
 if('Captains Card 1'!X40=small('Captains Card 1'!X$39:X$46,X$19),
 (X$19-countif('Captains Card 1'!X$39:X$46,"&lt;"&amp;small('Captains Card 1'!X$39:X$46,X$19)))/countif('Captains Card 1'!X$39:X$46,small('Captains Card 1'!X$39:X$46,X$19)),0))</f>
        <v>0</v>
      </c>
      <c r="Y26" s="492">
        <f>if('Captains Card 1'!Y40&lt;small('Captains Card 1'!Y$39:Y$46,Y$19),1,
 if('Captains Card 1'!Y40=small('Captains Card 1'!Y$39:Y$46,Y$19),
 (Y$19-countif('Captains Card 1'!Y$39:Y$46,"&lt;"&amp;small('Captains Card 1'!Y$39:Y$46,Y$19)))/countif('Captains Card 1'!Y$39:Y$46,small('Captains Card 1'!Y$39:Y$46,Y$19)),0))</f>
        <v>1</v>
      </c>
      <c r="Z26" s="957">
        <f t="shared" si="21"/>
        <v>12.15</v>
      </c>
      <c r="AA26" s="958">
        <f t="shared" si="22"/>
        <v>5.45</v>
      </c>
      <c r="AB26" s="492">
        <f t="shared" si="23"/>
        <v>1.288636364</v>
      </c>
    </row>
    <row r="27" ht="18.75" hidden="1" customHeight="1">
      <c r="A27" s="649" t="str">
        <f>A14</f>
        <v>CuzNick</v>
      </c>
      <c r="B27" s="649"/>
      <c r="C27" s="650"/>
      <c r="D27" s="649"/>
      <c r="E27" s="492">
        <f>if('Captains Card 1'!E41&lt;small('Captains Card 1'!E$39:E$46,E$19),1,
 if('Captains Card 1'!E41=small('Captains Card 1'!E$39:E$46,E$19),
 (E$19-countif('Captains Card 1'!E$39:E$46,"&lt;"&amp;small('Captains Card 1'!E$39:E$46,E$19)))/countif('Captains Card 1'!E$39:E$46,small('Captains Card 1'!E$39:E$46,E$19)),0))</f>
        <v>0</v>
      </c>
      <c r="F27" s="492">
        <f>if('Captains Card 1'!F41&lt;small('Captains Card 1'!F$39:F$46,F$19),1,
 if('Captains Card 1'!F41=small('Captains Card 1'!F$39:F$46,F$19),
 (F$19-countif('Captains Card 1'!F$39:F$46,"&lt;"&amp;small('Captains Card 1'!F$39:F$46,F$19)))/countif('Captains Card 1'!F$39:F$46,small('Captains Card 1'!F$39:F$46,F$19)),0))</f>
        <v>0</v>
      </c>
      <c r="G27" s="492">
        <f>if('Captains Card 1'!G41&lt;small('Captains Card 1'!G$39:G$46,G$19),1,
 if('Captains Card 1'!G41=small('Captains Card 1'!G$39:G$46,G$19),
 (G$19-countif('Captains Card 1'!G$39:G$46,"&lt;"&amp;small('Captains Card 1'!G$39:G$46,G$19)))/countif('Captains Card 1'!G$39:G$46,small('Captains Card 1'!G$39:G$46,G$19)),0))</f>
        <v>0</v>
      </c>
      <c r="H27" s="492">
        <f>if('Captains Card 1'!H41&lt;small('Captains Card 1'!H$39:H$46,H$19),1,
 if('Captains Card 1'!H41=small('Captains Card 1'!H$39:H$46,H$19),
 (H$19-countif('Captains Card 1'!H$39:H$46,"&lt;"&amp;small('Captains Card 1'!H$39:H$46,H$19)))/countif('Captains Card 1'!H$39:H$46,small('Captains Card 1'!H$39:H$46,H$19)),0))</f>
        <v>0</v>
      </c>
      <c r="I27" s="492">
        <f>if('Captains Card 1'!I41&lt;small('Captains Card 1'!I$39:I$46,I$19),1,
 if('Captains Card 1'!I41=small('Captains Card 1'!I$39:I$46,I$19),
 (I$19-countif('Captains Card 1'!I$39:I$46,"&lt;"&amp;small('Captains Card 1'!I$39:I$46,I$19)))/countif('Captains Card 1'!I$39:I$46,small('Captains Card 1'!I$39:I$46,I$19)),0))</f>
        <v>1</v>
      </c>
      <c r="J27" s="492">
        <f>if('Captains Card 1'!J41&lt;small('Captains Card 1'!J$39:J$46,J$19),1,
 if('Captains Card 1'!J41=small('Captains Card 1'!J$39:J$46,J$19),
 (J$19-countif('Captains Card 1'!J$39:J$46,"&lt;"&amp;small('Captains Card 1'!J$39:J$46,J$19)))/countif('Captains Card 1'!J$39:J$46,small('Captains Card 1'!J$39:J$46,J$19)),0))</f>
        <v>0.3333333333</v>
      </c>
      <c r="K27" s="492">
        <f>if('Captains Card 1'!K41&lt;small('Captains Card 1'!K$39:K$46,K$19),1,
 if('Captains Card 1'!K41=small('Captains Card 1'!K$39:K$46,K$19),
 (K$19-countif('Captains Card 1'!K$39:K$46,"&lt;"&amp;small('Captains Card 1'!K$39:K$46,K$19)))/countif('Captains Card 1'!K$39:K$46,small('Captains Card 1'!K$39:K$46,K$19)),0))</f>
        <v>0</v>
      </c>
      <c r="L27" s="492">
        <f>if('Captains Card 1'!L41&lt;small('Captains Card 1'!L$39:L$46,L$19),1,
 if('Captains Card 1'!L41=small('Captains Card 1'!L$39:L$46,L$19),
 (L$19-countif('Captains Card 1'!L$39:L$46,"&lt;"&amp;small('Captains Card 1'!L$39:L$46,L$19)))/countif('Captains Card 1'!L$39:L$46,small('Captains Card 1'!L$39:L$46,L$19)),0))</f>
        <v>1</v>
      </c>
      <c r="M27" s="492">
        <f>if('Captains Card 1'!M41&lt;small('Captains Card 1'!M$39:M$46,M$19),1,
 if('Captains Card 1'!M41=small('Captains Card 1'!M$39:M$46,M$19),
 (M$19-countif('Captains Card 1'!M$39:M$46,"&lt;"&amp;small('Captains Card 1'!M$39:M$46,M$19)))/countif('Captains Card 1'!M$39:M$46,small('Captains Card 1'!M$39:M$46,M$19)),0))</f>
        <v>0.75</v>
      </c>
      <c r="N27" s="470"/>
      <c r="O27" s="470"/>
      <c r="P27" s="470"/>
      <c r="Q27" s="492">
        <f>if('Captains Card 1'!Q41&lt;small('Captains Card 1'!Q$39:Q$46,Q$19),1,
 if('Captains Card 1'!Q41=small('Captains Card 1'!Q$39:Q$46,Q$19),
 (Q$19-countif('Captains Card 1'!Q$39:Q$46,"&lt;"&amp;small('Captains Card 1'!Q$39:Q$46,Q$19)))/countif('Captains Card 1'!Q$39:Q$46,small('Captains Card 1'!Q$39:Q$46,Q$19)),0))</f>
        <v>1</v>
      </c>
      <c r="R27" s="492">
        <f>if('Captains Card 1'!R41&lt;small('Captains Card 1'!R$39:R$46,R$19),1,
 if('Captains Card 1'!R41=small('Captains Card 1'!R$39:R$46,R$19),
 (R$19-countif('Captains Card 1'!R$39:R$46,"&lt;"&amp;small('Captains Card 1'!R$39:R$46,R$19)))/countif('Captains Card 1'!R$39:R$46,small('Captains Card 1'!R$39:R$46,R$19)),0))</f>
        <v>1</v>
      </c>
      <c r="S27" s="492">
        <f>if('Captains Card 1'!S41&lt;small('Captains Card 1'!S$39:S$46,S$19),1,
 if('Captains Card 1'!S41=small('Captains Card 1'!S$39:S$46,S$19),
 (S$19-countif('Captains Card 1'!S$39:S$46,"&lt;"&amp;small('Captains Card 1'!S$39:S$46,S$19)))/countif('Captains Card 1'!S$39:S$46,small('Captains Card 1'!S$39:S$46,S$19)),0))</f>
        <v>0</v>
      </c>
      <c r="T27" s="492">
        <f>if('Captains Card 1'!T41&lt;small('Captains Card 1'!T$39:T$46,T$19),1,
 if('Captains Card 1'!T41=small('Captains Card 1'!T$39:T$46,T$19),
 (T$19-countif('Captains Card 1'!T$39:T$46,"&lt;"&amp;small('Captains Card 1'!T$39:T$46,T$19)))/countif('Captains Card 1'!T$39:T$46,small('Captains Card 1'!T$39:T$46,T$19)),0))</f>
        <v>1</v>
      </c>
      <c r="U27" s="492">
        <f>if('Captains Card 1'!U41&lt;small('Captains Card 1'!U$39:U$46,U$19),1,
 if('Captains Card 1'!U41=small('Captains Card 1'!U$39:U$46,U$19),
 (U$19-countif('Captains Card 1'!U$39:U$46,"&lt;"&amp;small('Captains Card 1'!U$39:U$46,U$19)))/countif('Captains Card 1'!U$39:U$46,small('Captains Card 1'!U$39:U$46,U$19)),0))</f>
        <v>1</v>
      </c>
      <c r="V27" s="492">
        <f>if('Captains Card 1'!V41&lt;small('Captains Card 1'!V$39:V$46,V$19),1,
 if('Captains Card 1'!V41=small('Captains Card 1'!V$39:V$46,V$19),
 (V$19-countif('Captains Card 1'!V$39:V$46,"&lt;"&amp;small('Captains Card 1'!V$39:V$46,V$19)))/countif('Captains Card 1'!V$39:V$46,small('Captains Card 1'!V$39:V$46,V$19)),0))</f>
        <v>0.5</v>
      </c>
      <c r="W27" s="492">
        <f>if('Captains Card 1'!W41&lt;small('Captains Card 1'!W$39:W$46,W$19),1,
 if('Captains Card 1'!W41=small('Captains Card 1'!W$39:W$46,W$19),
 (W$19-countif('Captains Card 1'!W$39:W$46,"&lt;"&amp;small('Captains Card 1'!W$39:W$46,W$19)))/countif('Captains Card 1'!W$39:W$46,small('Captains Card 1'!W$39:W$46,W$19)),0))</f>
        <v>0.6666666667</v>
      </c>
      <c r="X27" s="492">
        <f>if('Captains Card 1'!X41&lt;small('Captains Card 1'!X$39:X$46,X$19),1,
 if('Captains Card 1'!X41=small('Captains Card 1'!X$39:X$46,X$19),
 (X$19-countif('Captains Card 1'!X$39:X$46,"&lt;"&amp;small('Captains Card 1'!X$39:X$46,X$19)))/countif('Captains Card 1'!X$39:X$46,small('Captains Card 1'!X$39:X$46,X$19)),0))</f>
        <v>1</v>
      </c>
      <c r="Y27" s="492">
        <f>if('Captains Card 1'!Y41&lt;small('Captains Card 1'!Y$39:Y$46,Y$19),1,
 if('Captains Card 1'!Y41=small('Captains Card 1'!Y$39:Y$46,Y$19),
 (Y$19-countif('Captains Card 1'!Y$39:Y$46,"&lt;"&amp;small('Captains Card 1'!Y$39:Y$46,Y$19)))/countif('Captains Card 1'!Y$39:Y$46,small('Captains Card 1'!Y$39:Y$46,Y$19)),0))</f>
        <v>0.6</v>
      </c>
      <c r="Z27" s="957">
        <f t="shared" si="21"/>
        <v>9.85</v>
      </c>
      <c r="AA27" s="958">
        <f t="shared" si="22"/>
        <v>3.666666667</v>
      </c>
      <c r="AB27" s="492">
        <f t="shared" si="23"/>
        <v>1.04469697</v>
      </c>
    </row>
    <row r="28" ht="18.75" hidden="1" customHeight="1">
      <c r="A28" s="649" t="str">
        <f>A17</f>
        <v>DK</v>
      </c>
      <c r="B28" s="649"/>
      <c r="C28" s="650"/>
      <c r="D28" s="649"/>
      <c r="E28" s="492">
        <f>if('Captains Card 1'!E42&lt;small('Captains Card 1'!E$39:E$46,E$19),1,
 if('Captains Card 1'!E42=small('Captains Card 1'!E$39:E$46,E$19),
 (E$19-countif('Captains Card 1'!E$39:E$46,"&lt;"&amp;small('Captains Card 1'!E$39:E$46,E$19)))/countif('Captains Card 1'!E$39:E$46,small('Captains Card 1'!E$39:E$46,E$19)),0))</f>
        <v>1</v>
      </c>
      <c r="F28" s="492">
        <f>if('Captains Card 1'!F42&lt;small('Captains Card 1'!F$39:F$46,F$19),1,
 if('Captains Card 1'!F42=small('Captains Card 1'!F$39:F$46,F$19),
 (F$19-countif('Captains Card 1'!F$39:F$46,"&lt;"&amp;small('Captains Card 1'!F$39:F$46,F$19)))/countif('Captains Card 1'!F$39:F$46,small('Captains Card 1'!F$39:F$46,F$19)),0))</f>
        <v>1</v>
      </c>
      <c r="G28" s="492">
        <f>if('Captains Card 1'!G42&lt;small('Captains Card 1'!G$39:G$46,G$19),1,
 if('Captains Card 1'!G42=small('Captains Card 1'!G$39:G$46,G$19),
 (G$19-countif('Captains Card 1'!G$39:G$46,"&lt;"&amp;small('Captains Card 1'!G$39:G$46,G$19)))/countif('Captains Card 1'!G$39:G$46,small('Captains Card 1'!G$39:G$46,G$19)),0))</f>
        <v>0.75</v>
      </c>
      <c r="H28" s="492">
        <f>if('Captains Card 1'!H42&lt;small('Captains Card 1'!H$39:H$46,H$19),1,
 if('Captains Card 1'!H42=small('Captains Card 1'!H$39:H$46,H$19),
 (H$19-countif('Captains Card 1'!H$39:H$46,"&lt;"&amp;small('Captains Card 1'!H$39:H$46,H$19)))/countif('Captains Card 1'!H$39:H$46,small('Captains Card 1'!H$39:H$46,H$19)),0))</f>
        <v>0.6666666667</v>
      </c>
      <c r="I28" s="492">
        <f>if('Captains Card 1'!I42&lt;small('Captains Card 1'!I$39:I$46,I$19),1,
 if('Captains Card 1'!I42=small('Captains Card 1'!I$39:I$46,I$19),
 (I$19-countif('Captains Card 1'!I$39:I$46,"&lt;"&amp;small('Captains Card 1'!I$39:I$46,I$19)))/countif('Captains Card 1'!I$39:I$46,small('Captains Card 1'!I$39:I$46,I$19)),0))</f>
        <v>0.6</v>
      </c>
      <c r="J28" s="492">
        <f>if('Captains Card 1'!J42&lt;small('Captains Card 1'!J$39:J$46,J$19),1,
 if('Captains Card 1'!J42=small('Captains Card 1'!J$39:J$46,J$19),
 (J$19-countif('Captains Card 1'!J$39:J$46,"&lt;"&amp;small('Captains Card 1'!J$39:J$46,J$19)))/countif('Captains Card 1'!J$39:J$46,small('Captains Card 1'!J$39:J$46,J$19)),0))</f>
        <v>0.3333333333</v>
      </c>
      <c r="K28" s="492">
        <f>if('Captains Card 1'!K42&lt;small('Captains Card 1'!K$39:K$46,K$19),1,
 if('Captains Card 1'!K42=small('Captains Card 1'!K$39:K$46,K$19),
 (K$19-countif('Captains Card 1'!K$39:K$46,"&lt;"&amp;small('Captains Card 1'!K$39:K$46,K$19)))/countif('Captains Card 1'!K$39:K$46,small('Captains Card 1'!K$39:K$46,K$19)),0))</f>
        <v>0</v>
      </c>
      <c r="L28" s="492">
        <f>if('Captains Card 1'!L42&lt;small('Captains Card 1'!L$39:L$46,L$19),1,
 if('Captains Card 1'!L42=small('Captains Card 1'!L$39:L$46,L$19),
 (L$19-countif('Captains Card 1'!L$39:L$46,"&lt;"&amp;small('Captains Card 1'!L$39:L$46,L$19)))/countif('Captains Card 1'!L$39:L$46,small('Captains Card 1'!L$39:L$46,L$19)),0))</f>
        <v>1</v>
      </c>
      <c r="M28" s="492">
        <f>if('Captains Card 1'!M42&lt;small('Captains Card 1'!M$39:M$46,M$19),1,
 if('Captains Card 1'!M42=small('Captains Card 1'!M$39:M$46,M$19),
 (M$19-countif('Captains Card 1'!M$39:M$46,"&lt;"&amp;small('Captains Card 1'!M$39:M$46,M$19)))/countif('Captains Card 1'!M$39:M$46,small('Captains Card 1'!M$39:M$46,M$19)),0))</f>
        <v>0.75</v>
      </c>
      <c r="N28" s="470"/>
      <c r="O28" s="470"/>
      <c r="P28" s="470"/>
      <c r="Q28" s="492">
        <f>if('Captains Card 1'!Q42&lt;small('Captains Card 1'!Q$39:Q$46,Q$19),1,
 if('Captains Card 1'!Q42=small('Captains Card 1'!Q$39:Q$46,Q$19),
 (Q$19-countif('Captains Card 1'!Q$39:Q$46,"&lt;"&amp;small('Captains Card 1'!Q$39:Q$46,Q$19)))/countif('Captains Card 1'!Q$39:Q$46,small('Captains Card 1'!Q$39:Q$46,Q$19)),0))</f>
        <v>1</v>
      </c>
      <c r="R28" s="492">
        <f>if('Captains Card 1'!R42&lt;small('Captains Card 1'!R$39:R$46,R$19),1,
 if('Captains Card 1'!R42=small('Captains Card 1'!R$39:R$46,R$19),
 (R$19-countif('Captains Card 1'!R$39:R$46,"&lt;"&amp;small('Captains Card 1'!R$39:R$46,R$19)))/countif('Captains Card 1'!R$39:R$46,small('Captains Card 1'!R$39:R$46,R$19)),0))</f>
        <v>0</v>
      </c>
      <c r="S28" s="492">
        <f>if('Captains Card 1'!S42&lt;small('Captains Card 1'!S$39:S$46,S$19),1,
 if('Captains Card 1'!S42=small('Captains Card 1'!S$39:S$46,S$19),
 (S$19-countif('Captains Card 1'!S$39:S$46,"&lt;"&amp;small('Captains Card 1'!S$39:S$46,S$19)))/countif('Captains Card 1'!S$39:S$46,small('Captains Card 1'!S$39:S$46,S$19)),0))</f>
        <v>1</v>
      </c>
      <c r="T28" s="492">
        <f>if('Captains Card 1'!T42&lt;small('Captains Card 1'!T$39:T$46,T$19),1,
 if('Captains Card 1'!T42=small('Captains Card 1'!T$39:T$46,T$19),
 (T$19-countif('Captains Card 1'!T$39:T$46,"&lt;"&amp;small('Captains Card 1'!T$39:T$46,T$19)))/countif('Captains Card 1'!T$39:T$46,small('Captains Card 1'!T$39:T$46,T$19)),0))</f>
        <v>1</v>
      </c>
      <c r="U28" s="492">
        <f>if('Captains Card 1'!U42&lt;small('Captains Card 1'!U$39:U$46,U$19),1,
 if('Captains Card 1'!U42=small('Captains Card 1'!U$39:U$46,U$19),
 (U$19-countif('Captains Card 1'!U$39:U$46,"&lt;"&amp;small('Captains Card 1'!U$39:U$46,U$19)))/countif('Captains Card 1'!U$39:U$46,small('Captains Card 1'!U$39:U$46,U$19)),0))</f>
        <v>1</v>
      </c>
      <c r="V28" s="492">
        <f>if('Captains Card 1'!V42&lt;small('Captains Card 1'!V$39:V$46,V$19),1,
 if('Captains Card 1'!V42=small('Captains Card 1'!V$39:V$46,V$19),
 (V$19-countif('Captains Card 1'!V$39:V$46,"&lt;"&amp;small('Captains Card 1'!V$39:V$46,V$19)))/countif('Captains Card 1'!V$39:V$46,small('Captains Card 1'!V$39:V$46,V$19)),0))</f>
        <v>0</v>
      </c>
      <c r="W28" s="492">
        <f>if('Captains Card 1'!W42&lt;small('Captains Card 1'!W$39:W$46,W$19),1,
 if('Captains Card 1'!W42=small('Captains Card 1'!W$39:W$46,W$19),
 (W$19-countif('Captains Card 1'!W$39:W$46,"&lt;"&amp;small('Captains Card 1'!W$39:W$46,W$19)))/countif('Captains Card 1'!W$39:W$46,small('Captains Card 1'!W$39:W$46,W$19)),0))</f>
        <v>1</v>
      </c>
      <c r="X28" s="492">
        <f>if('Captains Card 1'!X42&lt;small('Captains Card 1'!X$39:X$46,X$19),1,
 if('Captains Card 1'!X42=small('Captains Card 1'!X$39:X$46,X$19),
 (X$19-countif('Captains Card 1'!X$39:X$46,"&lt;"&amp;small('Captains Card 1'!X$39:X$46,X$19)))/countif('Captains Card 1'!X$39:X$46,small('Captains Card 1'!X$39:X$46,X$19)),0))</f>
        <v>1</v>
      </c>
      <c r="Y28" s="492">
        <f>if('Captains Card 1'!Y42&lt;small('Captains Card 1'!Y$39:Y$46,Y$19),1,
 if('Captains Card 1'!Y42=small('Captains Card 1'!Y$39:Y$46,Y$19),
 (Y$19-countif('Captains Card 1'!Y$39:Y$46,"&lt;"&amp;small('Captains Card 1'!Y$39:Y$46,Y$19)))/countif('Captains Card 1'!Y$39:Y$46,small('Captains Card 1'!Y$39:Y$46,Y$19)),0))</f>
        <v>0.6</v>
      </c>
      <c r="Z28" s="957">
        <f t="shared" si="21"/>
        <v>12.7</v>
      </c>
      <c r="AA28" s="958">
        <f t="shared" si="22"/>
        <v>3.716666667</v>
      </c>
      <c r="AB28" s="492">
        <f t="shared" si="23"/>
        <v>1.346969697</v>
      </c>
    </row>
    <row r="29" ht="18.75" hidden="1" customHeight="1">
      <c r="A29" s="649"/>
      <c r="B29" s="649"/>
      <c r="C29" s="650"/>
      <c r="D29" s="649"/>
      <c r="E29" s="470"/>
      <c r="F29" s="470"/>
      <c r="G29" s="470"/>
      <c r="H29" s="470"/>
      <c r="I29" s="470"/>
      <c r="J29" s="470"/>
      <c r="K29" s="470"/>
      <c r="L29" s="470"/>
      <c r="M29" s="470"/>
      <c r="N29" s="470"/>
      <c r="O29" s="470"/>
      <c r="P29" s="470"/>
      <c r="Q29" s="470"/>
      <c r="R29" s="470"/>
      <c r="S29" s="470"/>
      <c r="T29" s="470"/>
      <c r="U29" s="470"/>
      <c r="V29" s="470"/>
      <c r="W29" s="470"/>
      <c r="X29" s="470"/>
      <c r="Y29" s="470"/>
      <c r="Z29" s="492">
        <f>sum(Z25:Z28)</f>
        <v>50.33333333</v>
      </c>
      <c r="AA29" s="959"/>
      <c r="AB29" s="492">
        <f>sum(AB25:AB28,'R4_G3'!AB25:AB28)</f>
        <v>10.5</v>
      </c>
    </row>
    <row r="30" ht="18.75" hidden="1" customHeight="1">
      <c r="A30" s="649" t="str">
        <f t="shared" ref="A30:A33" si="26">A25</f>
        <v>Jensen</v>
      </c>
      <c r="B30" s="649"/>
      <c r="C30" s="649"/>
      <c r="D30" s="649"/>
      <c r="E30" s="492">
        <f t="shared" ref="E30:M30" si="24">(E25/E$19)*E$24</f>
        <v>0.1</v>
      </c>
      <c r="F30" s="492">
        <f t="shared" si="24"/>
        <v>0</v>
      </c>
      <c r="G30" s="492">
        <f t="shared" si="24"/>
        <v>0.2</v>
      </c>
      <c r="H30" s="492">
        <f t="shared" si="24"/>
        <v>0</v>
      </c>
      <c r="I30" s="492">
        <f t="shared" si="24"/>
        <v>0.1</v>
      </c>
      <c r="J30" s="492">
        <f t="shared" si="24"/>
        <v>0.1</v>
      </c>
      <c r="K30" s="492">
        <f t="shared" si="24"/>
        <v>0.08</v>
      </c>
      <c r="L30" s="492">
        <f t="shared" si="24"/>
        <v>0.1</v>
      </c>
      <c r="M30" s="492">
        <f t="shared" si="24"/>
        <v>0</v>
      </c>
      <c r="N30" s="470"/>
      <c r="O30" s="470"/>
      <c r="P30" s="470"/>
      <c r="Q30" s="492">
        <f t="shared" ref="Q30:Y30" si="25">(Q25/Q$19)*Q$24</f>
        <v>0</v>
      </c>
      <c r="R30" s="492">
        <f t="shared" si="25"/>
        <v>0.3333333333</v>
      </c>
      <c r="S30" s="492">
        <f t="shared" si="25"/>
        <v>0.1666666667</v>
      </c>
      <c r="T30" s="492">
        <f t="shared" si="25"/>
        <v>0</v>
      </c>
      <c r="U30" s="492">
        <f t="shared" si="25"/>
        <v>0.3333333333</v>
      </c>
      <c r="V30" s="492">
        <f t="shared" si="25"/>
        <v>0.1666666667</v>
      </c>
      <c r="W30" s="492">
        <f t="shared" si="25"/>
        <v>0</v>
      </c>
      <c r="X30" s="492">
        <f t="shared" si="25"/>
        <v>0</v>
      </c>
      <c r="Y30" s="492">
        <f t="shared" si="25"/>
        <v>0</v>
      </c>
      <c r="Z30" s="470"/>
      <c r="AA30" s="470"/>
      <c r="AB30" s="960">
        <f t="shared" ref="AB30:AB33" si="29">AB25/$AB$24</f>
        <v>0.1579124579</v>
      </c>
    </row>
    <row r="31" ht="18.75" hidden="1" customHeight="1">
      <c r="A31" s="649" t="str">
        <f t="shared" si="26"/>
        <v>House</v>
      </c>
      <c r="B31" s="649"/>
      <c r="C31" s="649"/>
      <c r="D31" s="649"/>
      <c r="E31" s="492">
        <f t="shared" ref="E31:M31" si="27">(E26/E$19)*E$24</f>
        <v>0.1</v>
      </c>
      <c r="F31" s="492">
        <f t="shared" si="27"/>
        <v>0</v>
      </c>
      <c r="G31" s="492">
        <f t="shared" si="27"/>
        <v>0.15</v>
      </c>
      <c r="H31" s="492">
        <f t="shared" si="27"/>
        <v>0</v>
      </c>
      <c r="I31" s="492">
        <f t="shared" si="27"/>
        <v>0.06</v>
      </c>
      <c r="J31" s="492">
        <f t="shared" si="27"/>
        <v>0</v>
      </c>
      <c r="K31" s="492">
        <f t="shared" si="27"/>
        <v>0.08</v>
      </c>
      <c r="L31" s="492">
        <f t="shared" si="27"/>
        <v>0.1</v>
      </c>
      <c r="M31" s="492">
        <f t="shared" si="27"/>
        <v>0</v>
      </c>
      <c r="N31" s="470"/>
      <c r="O31" s="470"/>
      <c r="P31" s="470"/>
      <c r="Q31" s="492">
        <f t="shared" ref="Q31:Y31" si="28">(Q26/Q$19)*Q$24</f>
        <v>0</v>
      </c>
      <c r="R31" s="492">
        <f t="shared" si="28"/>
        <v>0.3333333333</v>
      </c>
      <c r="S31" s="492">
        <f t="shared" si="28"/>
        <v>0</v>
      </c>
      <c r="T31" s="492">
        <f t="shared" si="28"/>
        <v>0</v>
      </c>
      <c r="U31" s="492">
        <f t="shared" si="28"/>
        <v>0.3333333333</v>
      </c>
      <c r="V31" s="492">
        <f t="shared" si="28"/>
        <v>0.3333333333</v>
      </c>
      <c r="W31" s="492">
        <f t="shared" si="28"/>
        <v>0</v>
      </c>
      <c r="X31" s="492">
        <f t="shared" si="28"/>
        <v>0</v>
      </c>
      <c r="Y31" s="492">
        <f t="shared" si="28"/>
        <v>0</v>
      </c>
      <c r="Z31" s="470"/>
      <c r="AA31" s="470"/>
      <c r="AB31" s="960">
        <f t="shared" si="29"/>
        <v>0.1227272727</v>
      </c>
    </row>
    <row r="32" ht="18.75" hidden="1" customHeight="1">
      <c r="A32" s="649" t="str">
        <f t="shared" si="26"/>
        <v>CuzNick</v>
      </c>
      <c r="B32" s="649"/>
      <c r="C32" s="649"/>
      <c r="D32" s="649"/>
      <c r="E32" s="492">
        <f t="shared" ref="E32:M32" si="30">(E27/E$19)*E$24</f>
        <v>0</v>
      </c>
      <c r="F32" s="492">
        <f t="shared" si="30"/>
        <v>0</v>
      </c>
      <c r="G32" s="492">
        <f t="shared" si="30"/>
        <v>0</v>
      </c>
      <c r="H32" s="492">
        <f t="shared" si="30"/>
        <v>0</v>
      </c>
      <c r="I32" s="492">
        <f t="shared" si="30"/>
        <v>0.1</v>
      </c>
      <c r="J32" s="492">
        <f t="shared" si="30"/>
        <v>0.03333333333</v>
      </c>
      <c r="K32" s="492">
        <f t="shared" si="30"/>
        <v>0</v>
      </c>
      <c r="L32" s="492">
        <f t="shared" si="30"/>
        <v>0.1</v>
      </c>
      <c r="M32" s="492">
        <f t="shared" si="30"/>
        <v>0</v>
      </c>
      <c r="N32" s="470"/>
      <c r="O32" s="470"/>
      <c r="P32" s="470"/>
      <c r="Q32" s="492">
        <f t="shared" ref="Q32:Y32" si="31">(Q27/Q$19)*Q$24</f>
        <v>0</v>
      </c>
      <c r="R32" s="492">
        <f t="shared" si="31"/>
        <v>0.3333333333</v>
      </c>
      <c r="S32" s="492">
        <f t="shared" si="31"/>
        <v>0</v>
      </c>
      <c r="T32" s="492">
        <f t="shared" si="31"/>
        <v>0</v>
      </c>
      <c r="U32" s="492">
        <f t="shared" si="31"/>
        <v>0.3333333333</v>
      </c>
      <c r="V32" s="492">
        <f t="shared" si="31"/>
        <v>0.1666666667</v>
      </c>
      <c r="W32" s="492">
        <f t="shared" si="31"/>
        <v>0</v>
      </c>
      <c r="X32" s="492">
        <f t="shared" si="31"/>
        <v>0</v>
      </c>
      <c r="Y32" s="492">
        <f t="shared" si="31"/>
        <v>0</v>
      </c>
      <c r="Z32" s="470"/>
      <c r="AA32" s="470"/>
      <c r="AB32" s="960">
        <f t="shared" si="29"/>
        <v>0.09949494949</v>
      </c>
    </row>
    <row r="33" ht="18.75" hidden="1" customHeight="1">
      <c r="A33" s="649" t="str">
        <f t="shared" si="26"/>
        <v>DK</v>
      </c>
      <c r="B33" s="649"/>
      <c r="C33" s="649"/>
      <c r="D33" s="649"/>
      <c r="E33" s="492">
        <f t="shared" ref="E33:M33" si="32">(E28/E$19)*E$24</f>
        <v>0.1</v>
      </c>
      <c r="F33" s="492">
        <f t="shared" si="32"/>
        <v>0</v>
      </c>
      <c r="G33" s="492">
        <f t="shared" si="32"/>
        <v>0.15</v>
      </c>
      <c r="H33" s="492">
        <f t="shared" si="32"/>
        <v>0</v>
      </c>
      <c r="I33" s="492">
        <f t="shared" si="32"/>
        <v>0.06</v>
      </c>
      <c r="J33" s="492">
        <f t="shared" si="32"/>
        <v>0.03333333333</v>
      </c>
      <c r="K33" s="492">
        <f t="shared" si="32"/>
        <v>0</v>
      </c>
      <c r="L33" s="492">
        <f t="shared" si="32"/>
        <v>0.1</v>
      </c>
      <c r="M33" s="492">
        <f t="shared" si="32"/>
        <v>0</v>
      </c>
      <c r="N33" s="470"/>
      <c r="O33" s="470"/>
      <c r="P33" s="470"/>
      <c r="Q33" s="492">
        <f t="shared" ref="Q33:Y33" si="33">(Q28/Q$19)*Q$24</f>
        <v>0</v>
      </c>
      <c r="R33" s="492">
        <f t="shared" si="33"/>
        <v>0</v>
      </c>
      <c r="S33" s="492">
        <f t="shared" si="33"/>
        <v>0.1666666667</v>
      </c>
      <c r="T33" s="492">
        <f t="shared" si="33"/>
        <v>0</v>
      </c>
      <c r="U33" s="492">
        <f t="shared" si="33"/>
        <v>0.3333333333</v>
      </c>
      <c r="V33" s="492">
        <f t="shared" si="33"/>
        <v>0</v>
      </c>
      <c r="W33" s="492">
        <f t="shared" si="33"/>
        <v>0</v>
      </c>
      <c r="X33" s="492">
        <f t="shared" si="33"/>
        <v>0</v>
      </c>
      <c r="Y33" s="492">
        <f t="shared" si="33"/>
        <v>0</v>
      </c>
      <c r="Z33" s="470"/>
      <c r="AA33" s="470"/>
      <c r="AB33" s="960">
        <f t="shared" si="29"/>
        <v>0.1282828283</v>
      </c>
    </row>
  </sheetData>
  <mergeCells count="1">
    <mergeCell ref="B2:B3"/>
  </mergeCells>
  <conditionalFormatting sqref="E14:M14 Q14:Y14">
    <cfRule type="expression" dxfId="16" priority="1">
      <formula>and(E$23&lt;&gt;"",E$27=1)</formula>
    </cfRule>
  </conditionalFormatting>
  <conditionalFormatting sqref="E17:M17 Q17:Y17">
    <cfRule type="expression" dxfId="16" priority="2">
      <formula>and(E$23&lt;&gt;"",E$28=1)</formula>
    </cfRule>
  </conditionalFormatting>
  <conditionalFormatting sqref="E14:M14 Q14:Y14">
    <cfRule type="expression" dxfId="2" priority="3">
      <formula>and(E$23&lt;&gt;"",E$27&lt;1,E$27&gt;0)</formula>
    </cfRule>
  </conditionalFormatting>
  <conditionalFormatting sqref="E17:M17 Q17:Y17">
    <cfRule type="expression" dxfId="2" priority="4">
      <formula>and(E$23&lt;&gt;"",E$28&lt;1,E$28&gt;0)</formula>
    </cfRule>
  </conditionalFormatting>
  <conditionalFormatting sqref="E8:M8 Q8:Y8">
    <cfRule type="expression" dxfId="16" priority="5">
      <formula>and(E$23&lt;&gt;"",E$25=1)</formula>
    </cfRule>
  </conditionalFormatting>
  <conditionalFormatting sqref="E8:M8 Q8:Y8">
    <cfRule type="expression" dxfId="2" priority="6">
      <formula>and(E$23&lt;&gt;"",E$25&lt;1,E$25&gt;0)</formula>
    </cfRule>
  </conditionalFormatting>
  <conditionalFormatting sqref="E11:M11 Q11:Y11">
    <cfRule type="expression" dxfId="16" priority="7">
      <formula>and(E$23&lt;&gt;"",E$26=1)</formula>
    </cfRule>
  </conditionalFormatting>
  <conditionalFormatting sqref="E11:M11 Q11:Y11">
    <cfRule type="expression" dxfId="2" priority="8">
      <formula>and(E$23&lt;&gt;"",E$26&lt;1,E$26&gt;0)</formula>
    </cfRule>
  </conditionalFormatting>
  <printOptions horizontalCentered="1"/>
  <pageMargins bottom="0.5" footer="0.0" header="0.0" left="0.55" right="0.25" top="0.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839" t="s">
        <v>74</v>
      </c>
      <c r="B1" s="840">
        <f>'Master Input'!L3</f>
        <v>0.4236111111</v>
      </c>
      <c r="C1" s="841" t="str">
        <f>'Master Input'!$K$2</f>
        <v>Round 4</v>
      </c>
      <c r="D1" s="842"/>
      <c r="E1" s="841" t="str">
        <f>'Master Input'!$K$6</f>
        <v>American Dunes - Freedom/WH</v>
      </c>
      <c r="F1" s="843"/>
      <c r="G1" s="843"/>
      <c r="H1" s="843"/>
      <c r="I1" s="843"/>
      <c r="J1" s="843"/>
      <c r="K1" s="843"/>
      <c r="L1" s="843"/>
      <c r="M1" s="843"/>
      <c r="N1" s="844"/>
      <c r="O1" s="301"/>
      <c r="P1" s="845" t="str">
        <f>'Master Input'!$K$2</f>
        <v>Round 4</v>
      </c>
      <c r="Q1" s="842"/>
      <c r="R1" s="841" t="str">
        <f>'Master Input'!$K$6</f>
        <v>American Dunes - Freedom/WH</v>
      </c>
      <c r="S1" s="843"/>
      <c r="T1" s="843"/>
      <c r="U1" s="843"/>
      <c r="V1" s="843"/>
      <c r="W1" s="843"/>
      <c r="X1" s="843"/>
      <c r="Y1" s="843"/>
      <c r="Z1" s="843"/>
      <c r="AA1" s="843"/>
      <c r="AB1" s="844"/>
    </row>
    <row r="2" ht="14.25" customHeight="1">
      <c r="A2" s="846" t="s">
        <v>55</v>
      </c>
      <c r="B2" s="847" t="str">
        <f>'Match Selection'!B19</f>
        <v>Team Best Ball</v>
      </c>
      <c r="C2" s="502"/>
      <c r="D2" s="308" t="s">
        <v>108</v>
      </c>
      <c r="E2" s="503">
        <f>vlookup($E1, 'Course List'!$A$3:$AS$14,5+E4, false)</f>
        <v>10</v>
      </c>
      <c r="F2" s="310">
        <f>vlookup($E1, 'Course List'!$A$3:$AS$14,5+F4, false)</f>
        <v>18</v>
      </c>
      <c r="G2" s="310">
        <f>vlookup($E1, 'Course List'!$A$3:$AS$14,5+G4, false)</f>
        <v>6</v>
      </c>
      <c r="H2" s="310">
        <f>vlookup($E1, 'Course List'!$A$3:$AS$14,5+H4, false)</f>
        <v>14</v>
      </c>
      <c r="I2" s="310">
        <f>vlookup($E1, 'Course List'!$A$3:$AS$14,5+I4, false)</f>
        <v>2</v>
      </c>
      <c r="J2" s="310">
        <f>vlookup($E1, 'Course List'!$A$3:$AS$14,5+J4, false)</f>
        <v>12</v>
      </c>
      <c r="K2" s="310">
        <f>vlookup($E1, 'Course List'!$A$3:$AS$14,5+K4, false)</f>
        <v>16</v>
      </c>
      <c r="L2" s="310">
        <f>vlookup($E1, 'Course List'!$A$3:$AS$14,5+L4, false)</f>
        <v>4</v>
      </c>
      <c r="M2" s="311">
        <f>vlookup($E1, 'Course List'!$A$3:$AS$14,5+M4, false)</f>
        <v>8</v>
      </c>
      <c r="N2" s="312"/>
      <c r="O2" s="313"/>
      <c r="P2" s="846" t="s">
        <v>55</v>
      </c>
      <c r="Q2" s="310">
        <f>vlookup($E1, 'Course List'!$A$3:$AS$14,5+Q4, false)</f>
        <v>3</v>
      </c>
      <c r="R2" s="310">
        <f>vlookup($E1, 'Course List'!$A$3:$AS$14,5+R4, false)</f>
        <v>13</v>
      </c>
      <c r="S2" s="310">
        <f>vlookup($E1, 'Course List'!$A$3:$AS$14,5+S4, false)</f>
        <v>15</v>
      </c>
      <c r="T2" s="310">
        <f>vlookup($E1, 'Course List'!$A$3:$AS$14,5+T4, false)</f>
        <v>11</v>
      </c>
      <c r="U2" s="310">
        <f>vlookup($E1, 'Course List'!$A$3:$AS$14,5+U4, false)</f>
        <v>7</v>
      </c>
      <c r="V2" s="310">
        <f>vlookup($E1, 'Course List'!$A$3:$AS$14,5+V4, false)</f>
        <v>9</v>
      </c>
      <c r="W2" s="310">
        <f>vlookup($E1, 'Course List'!$A$3:$AS$14,5+W4, false)</f>
        <v>1</v>
      </c>
      <c r="X2" s="310">
        <f>vlookup($E1, 'Course List'!$A$3:$AS$14,5+X4, false)</f>
        <v>5</v>
      </c>
      <c r="Y2" s="311">
        <f>vlookup($E1, 'Course List'!$A$3:$AS$14,5+Y4, false)</f>
        <v>17</v>
      </c>
      <c r="Z2" s="504"/>
      <c r="AA2" s="315"/>
      <c r="AB2" s="316"/>
    </row>
    <row r="3" ht="14.25" customHeight="1">
      <c r="A3" s="848" t="s">
        <v>56</v>
      </c>
      <c r="B3" s="317"/>
      <c r="C3" s="849"/>
      <c r="D3" s="319" t="s">
        <v>56</v>
      </c>
      <c r="E3" s="850">
        <f>vlookup($E1, 'Course List'!$A$3:$AS$14,27+E4, false)</f>
        <v>4</v>
      </c>
      <c r="F3" s="321">
        <f>vlookup($E1, 'Course List'!$A$3:$AS$14,27+F4, false)</f>
        <v>5</v>
      </c>
      <c r="G3" s="321">
        <f>vlookup($E1, 'Course List'!$A$3:$AS$14,27+G4, false)</f>
        <v>4</v>
      </c>
      <c r="H3" s="321">
        <f>vlookup($E1, 'Course List'!$A$3:$AS$14,27+H4, false)</f>
        <v>3</v>
      </c>
      <c r="I3" s="321">
        <f>vlookup($E1, 'Course List'!$A$3:$AS$14,27+I4, false)</f>
        <v>4</v>
      </c>
      <c r="J3" s="321">
        <f>vlookup($E1, 'Course List'!$A$3:$AS$14,27+J4, false)</f>
        <v>5</v>
      </c>
      <c r="K3" s="321">
        <f>vlookup($E1, 'Course List'!$A$3:$AS$14,27+K4, false)</f>
        <v>3</v>
      </c>
      <c r="L3" s="321">
        <f>vlookup($E1, 'Course List'!$A$3:$AS$14,27+L4, false)</f>
        <v>4</v>
      </c>
      <c r="M3" s="322">
        <f>vlookup($E1, 'Course List'!$A$3:$AS$14,27+M4, false)</f>
        <v>4</v>
      </c>
      <c r="N3" s="323">
        <f>SUM(E3:M3)</f>
        <v>36</v>
      </c>
      <c r="O3" s="313"/>
      <c r="P3" s="848" t="s">
        <v>56</v>
      </c>
      <c r="Q3" s="321">
        <f>vlookup($E1, 'Course List'!$A$3:$AS$14,27+Q4, false)</f>
        <v>4</v>
      </c>
      <c r="R3" s="321">
        <f>vlookup($E1, 'Course List'!$A$3:$AS$14,27+R4, false)</f>
        <v>4</v>
      </c>
      <c r="S3" s="321">
        <f>vlookup($E1, 'Course List'!$A$3:$AS$14,27+S4, false)</f>
        <v>3</v>
      </c>
      <c r="T3" s="321">
        <f>vlookup($E1, 'Course List'!$A$3:$AS$14,27+T4, false)</f>
        <v>5</v>
      </c>
      <c r="U3" s="321">
        <f>vlookup($E1, 'Course List'!$A$3:$AS$14,27+U4, false)</f>
        <v>4</v>
      </c>
      <c r="V3" s="321">
        <f>vlookup($E1, 'Course List'!$A$3:$AS$14,27+V4, false)</f>
        <v>3</v>
      </c>
      <c r="W3" s="321">
        <f>vlookup($E1, 'Course List'!$A$3:$AS$14,27+W4, false)</f>
        <v>4</v>
      </c>
      <c r="X3" s="321">
        <f>vlookup($E1, 'Course List'!$A$3:$AS$14,27+X4, false)</f>
        <v>4</v>
      </c>
      <c r="Y3" s="322">
        <f>vlookup($E1, 'Course List'!$A$3:$AS$14,27+Y4, false)</f>
        <v>5</v>
      </c>
      <c r="Z3" s="851">
        <f>SUM(Q3:Y3)</f>
        <v>36</v>
      </c>
      <c r="AA3" s="321">
        <f>N3+Z3</f>
        <v>72</v>
      </c>
      <c r="AB3" s="324"/>
    </row>
    <row r="4" ht="14.25" customHeight="1">
      <c r="A4" s="325" t="s">
        <v>109</v>
      </c>
      <c r="B4" s="326" t="s">
        <v>57</v>
      </c>
      <c r="C4" s="852" t="s">
        <v>58</v>
      </c>
      <c r="D4" s="853" t="s">
        <v>59</v>
      </c>
      <c r="E4" s="854">
        <v>1.0</v>
      </c>
      <c r="F4" s="855">
        <v>2.0</v>
      </c>
      <c r="G4" s="855">
        <v>3.0</v>
      </c>
      <c r="H4" s="855">
        <v>4.0</v>
      </c>
      <c r="I4" s="855">
        <v>5.0</v>
      </c>
      <c r="J4" s="855">
        <v>6.0</v>
      </c>
      <c r="K4" s="855">
        <v>7.0</v>
      </c>
      <c r="L4" s="855">
        <v>8.0</v>
      </c>
      <c r="M4" s="856">
        <v>9.0</v>
      </c>
      <c r="N4" s="332" t="s">
        <v>60</v>
      </c>
      <c r="O4" s="857"/>
      <c r="P4" s="325" t="s">
        <v>109</v>
      </c>
      <c r="Q4" s="854">
        <v>10.0</v>
      </c>
      <c r="R4" s="855">
        <v>11.0</v>
      </c>
      <c r="S4" s="855">
        <v>12.0</v>
      </c>
      <c r="T4" s="855">
        <v>13.0</v>
      </c>
      <c r="U4" s="855">
        <v>14.0</v>
      </c>
      <c r="V4" s="855">
        <v>15.0</v>
      </c>
      <c r="W4" s="855">
        <v>16.0</v>
      </c>
      <c r="X4" s="855">
        <v>17.0</v>
      </c>
      <c r="Y4" s="856">
        <v>18.0</v>
      </c>
      <c r="Z4" s="332" t="s">
        <v>61</v>
      </c>
      <c r="AA4" s="858" t="s">
        <v>62</v>
      </c>
      <c r="AB4" s="859" t="s">
        <v>110</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860"/>
      <c r="B6" s="861"/>
      <c r="C6" s="862"/>
      <c r="D6" s="863"/>
      <c r="E6" s="347" t="str">
        <f t="shared" ref="E6:M6" si="1">if(E7=1,"O", if(E7=2,"O   O",""))</f>
        <v/>
      </c>
      <c r="F6" s="348" t="str">
        <f t="shared" si="1"/>
        <v/>
      </c>
      <c r="G6" s="348" t="str">
        <f t="shared" si="1"/>
        <v>O</v>
      </c>
      <c r="H6" s="348" t="str">
        <f t="shared" si="1"/>
        <v/>
      </c>
      <c r="I6" s="348" t="str">
        <f t="shared" si="1"/>
        <v>O</v>
      </c>
      <c r="J6" s="348" t="str">
        <f t="shared" si="1"/>
        <v/>
      </c>
      <c r="K6" s="348" t="str">
        <f t="shared" si="1"/>
        <v/>
      </c>
      <c r="L6" s="348" t="str">
        <f t="shared" si="1"/>
        <v>O</v>
      </c>
      <c r="M6" s="348" t="str">
        <f t="shared" si="1"/>
        <v/>
      </c>
      <c r="N6" s="864"/>
      <c r="O6" s="351"/>
      <c r="P6" s="517"/>
      <c r="Q6" s="347" t="str">
        <f t="shared" ref="Q6:Y6" si="2">if(Q7=1,"O", if(Q7=2,"O   O",""))</f>
        <v>O</v>
      </c>
      <c r="R6" s="348" t="str">
        <f t="shared" si="2"/>
        <v/>
      </c>
      <c r="S6" s="348" t="str">
        <f t="shared" si="2"/>
        <v/>
      </c>
      <c r="T6" s="348" t="str">
        <f t="shared" si="2"/>
        <v/>
      </c>
      <c r="U6" s="348" t="str">
        <f t="shared" si="2"/>
        <v/>
      </c>
      <c r="V6" s="348" t="str">
        <f t="shared" si="2"/>
        <v/>
      </c>
      <c r="W6" s="348" t="str">
        <f t="shared" si="2"/>
        <v>O</v>
      </c>
      <c r="X6" s="348" t="str">
        <f t="shared" si="2"/>
        <v>O</v>
      </c>
      <c r="Y6" s="348" t="str">
        <f t="shared" si="2"/>
        <v/>
      </c>
      <c r="Z6" s="865"/>
      <c r="AA6" s="866"/>
      <c r="AB6" s="867"/>
    </row>
    <row r="7" ht="22.5" hidden="1" customHeight="1">
      <c r="A7" s="961"/>
      <c r="B7" s="393"/>
      <c r="C7" s="522"/>
      <c r="D7" s="359"/>
      <c r="E7" s="868">
        <f t="shared" ref="E7:M7" si="3">IF($D8&gt;0,FLOOR($D8/18,1),0)+IF(AND(MOD($D8,18)&gt;=E$2,$D8&gt;0),1,0)-IF(E$2-18&gt;$D8,1,0)</f>
        <v>0</v>
      </c>
      <c r="F7" s="361">
        <f t="shared" si="3"/>
        <v>0</v>
      </c>
      <c r="G7" s="361">
        <f t="shared" si="3"/>
        <v>1</v>
      </c>
      <c r="H7" s="361">
        <f t="shared" si="3"/>
        <v>0</v>
      </c>
      <c r="I7" s="361">
        <f t="shared" si="3"/>
        <v>1</v>
      </c>
      <c r="J7" s="361">
        <f t="shared" si="3"/>
        <v>0</v>
      </c>
      <c r="K7" s="361">
        <f t="shared" si="3"/>
        <v>0</v>
      </c>
      <c r="L7" s="361">
        <f t="shared" si="3"/>
        <v>1</v>
      </c>
      <c r="M7" s="962">
        <f t="shared" si="3"/>
        <v>0</v>
      </c>
      <c r="N7" s="869"/>
      <c r="O7" s="364"/>
      <c r="P7" s="526"/>
      <c r="Q7" s="868">
        <f t="shared" ref="Q7:Y7" si="4">IF($D8&gt;0,FLOOR($D8/18,1),0)+IF(AND(MOD($D8,18)&gt;=Q$2,$D8&gt;0),1,0)-IF(Q$2-18&gt;$D8,1,0)</f>
        <v>1</v>
      </c>
      <c r="R7" s="361">
        <f t="shared" si="4"/>
        <v>0</v>
      </c>
      <c r="S7" s="361">
        <f t="shared" si="4"/>
        <v>0</v>
      </c>
      <c r="T7" s="361">
        <f t="shared" si="4"/>
        <v>0</v>
      </c>
      <c r="U7" s="361">
        <f t="shared" si="4"/>
        <v>0</v>
      </c>
      <c r="V7" s="361">
        <f t="shared" si="4"/>
        <v>0</v>
      </c>
      <c r="W7" s="361">
        <f t="shared" si="4"/>
        <v>1</v>
      </c>
      <c r="X7" s="361">
        <f t="shared" si="4"/>
        <v>1</v>
      </c>
      <c r="Y7" s="361">
        <f t="shared" si="4"/>
        <v>0</v>
      </c>
      <c r="Z7" s="870"/>
      <c r="AA7" s="871"/>
      <c r="AB7" s="872"/>
    </row>
    <row r="8" ht="27.0" customHeight="1">
      <c r="A8" s="963" t="str">
        <f>'Match Selection'!J19</f>
        <v>Telly</v>
      </c>
      <c r="B8" s="873" t="str">
        <f>vlookup(A8, 'Master Input'!$A$11:$B$27,2, false)</f>
        <v>Drivers</v>
      </c>
      <c r="C8" s="531">
        <f>vlookup(A8,'Master Input'!$A$11:$L$27,'Master Input'!$L$28, false)</f>
        <v>6</v>
      </c>
      <c r="D8" s="372">
        <f>C8</f>
        <v>6</v>
      </c>
      <c r="E8" s="874">
        <v>4.0</v>
      </c>
      <c r="F8" s="374">
        <v>6.0</v>
      </c>
      <c r="G8" s="374">
        <v>6.0</v>
      </c>
      <c r="H8" s="374">
        <v>4.0</v>
      </c>
      <c r="I8" s="374">
        <v>5.0</v>
      </c>
      <c r="J8" s="374">
        <v>7.0</v>
      </c>
      <c r="K8" s="374">
        <v>3.0</v>
      </c>
      <c r="L8" s="374">
        <v>4.0</v>
      </c>
      <c r="M8" s="964">
        <v>6.0</v>
      </c>
      <c r="N8" s="876">
        <f>if(M8="","", sum(E8:M8))</f>
        <v>45</v>
      </c>
      <c r="O8" s="364"/>
      <c r="P8" s="965" t="str">
        <f>A8</f>
        <v>Telly</v>
      </c>
      <c r="Q8" s="874">
        <v>5.0</v>
      </c>
      <c r="R8" s="374">
        <v>4.0</v>
      </c>
      <c r="S8" s="374">
        <v>3.0</v>
      </c>
      <c r="T8" s="374">
        <v>5.0</v>
      </c>
      <c r="U8" s="374">
        <v>6.0</v>
      </c>
      <c r="V8" s="374">
        <v>3.0</v>
      </c>
      <c r="W8" s="374">
        <v>4.0</v>
      </c>
      <c r="X8" s="374">
        <v>4.0</v>
      </c>
      <c r="Y8" s="374">
        <v>3.0</v>
      </c>
      <c r="Z8" s="877">
        <f>if(Y8="","", sum(Q8:Y8))</f>
        <v>37</v>
      </c>
      <c r="AA8" s="878">
        <f>if(Z8="", "", sum(N8,Z8))</f>
        <v>82</v>
      </c>
      <c r="AB8" s="879">
        <f>if(Y8="", "", AA8-C8)</f>
        <v>76</v>
      </c>
    </row>
    <row r="9" ht="7.5" customHeight="1">
      <c r="A9" s="966"/>
      <c r="B9" s="880"/>
      <c r="C9" s="881"/>
      <c r="D9" s="882"/>
      <c r="E9" s="886" t="str">
        <f t="shared" ref="E9:M9" si="5">if(E10=1,"O", if(E10=2,"O   O",""))</f>
        <v>O</v>
      </c>
      <c r="F9" s="887" t="str">
        <f t="shared" si="5"/>
        <v/>
      </c>
      <c r="G9" s="887" t="str">
        <f t="shared" si="5"/>
        <v>O</v>
      </c>
      <c r="H9" s="887" t="str">
        <f t="shared" si="5"/>
        <v/>
      </c>
      <c r="I9" s="887" t="str">
        <f t="shared" si="5"/>
        <v>O</v>
      </c>
      <c r="J9" s="887" t="str">
        <f t="shared" si="5"/>
        <v>O</v>
      </c>
      <c r="K9" s="887" t="str">
        <f t="shared" si="5"/>
        <v/>
      </c>
      <c r="L9" s="887" t="str">
        <f t="shared" si="5"/>
        <v>O</v>
      </c>
      <c r="M9" s="967" t="str">
        <f t="shared" si="5"/>
        <v>O</v>
      </c>
      <c r="N9" s="885"/>
      <c r="O9" s="545"/>
      <c r="P9" s="968"/>
      <c r="Q9" s="886" t="str">
        <f t="shared" ref="Q9:Y9" si="6">if(Q10=1,"O", if(Q10=2,"O   O",""))</f>
        <v>O</v>
      </c>
      <c r="R9" s="887" t="str">
        <f t="shared" si="6"/>
        <v>O</v>
      </c>
      <c r="S9" s="887" t="str">
        <f t="shared" si="6"/>
        <v/>
      </c>
      <c r="T9" s="887" t="str">
        <f t="shared" si="6"/>
        <v>O</v>
      </c>
      <c r="U9" s="887" t="str">
        <f t="shared" si="6"/>
        <v>O</v>
      </c>
      <c r="V9" s="887" t="str">
        <f t="shared" si="6"/>
        <v>O</v>
      </c>
      <c r="W9" s="887" t="str">
        <f t="shared" si="6"/>
        <v>O</v>
      </c>
      <c r="X9" s="887" t="str">
        <f t="shared" si="6"/>
        <v>O</v>
      </c>
      <c r="Y9" s="887" t="str">
        <f t="shared" si="6"/>
        <v/>
      </c>
      <c r="Z9" s="888"/>
      <c r="AA9" s="889"/>
      <c r="AB9" s="890"/>
    </row>
    <row r="10" ht="22.5" hidden="1" customHeight="1">
      <c r="A10" s="969"/>
      <c r="B10" s="411"/>
      <c r="C10" s="553"/>
      <c r="D10" s="413"/>
      <c r="E10" s="414">
        <f t="shared" ref="E10:M10" si="7">IF($D11&gt;0,FLOOR($D11/18,1),0)+IF(AND(MOD($D11,18)&gt;=E$2,$D11&gt;0),1,0)-IF(E$2-18&gt;$D11,1,0)</f>
        <v>1</v>
      </c>
      <c r="F10" s="415">
        <f t="shared" si="7"/>
        <v>0</v>
      </c>
      <c r="G10" s="415">
        <f t="shared" si="7"/>
        <v>1</v>
      </c>
      <c r="H10" s="415">
        <f t="shared" si="7"/>
        <v>0</v>
      </c>
      <c r="I10" s="415">
        <f t="shared" si="7"/>
        <v>1</v>
      </c>
      <c r="J10" s="415">
        <f t="shared" si="7"/>
        <v>1</v>
      </c>
      <c r="K10" s="415">
        <f t="shared" si="7"/>
        <v>0</v>
      </c>
      <c r="L10" s="415">
        <f t="shared" si="7"/>
        <v>1</v>
      </c>
      <c r="M10" s="970">
        <f t="shared" si="7"/>
        <v>1</v>
      </c>
      <c r="N10" s="869"/>
      <c r="O10" s="364"/>
      <c r="P10" s="971"/>
      <c r="Q10" s="414">
        <f t="shared" ref="Q10:Y10" si="8">IF($D11&gt;0,FLOOR($D11/18,1),0)+IF(AND(MOD($D11,18)&gt;=Q$2,$D11&gt;0),1,0)-IF(Q$2-18&gt;$D11,1,0)</f>
        <v>1</v>
      </c>
      <c r="R10" s="415">
        <f t="shared" si="8"/>
        <v>1</v>
      </c>
      <c r="S10" s="415">
        <f t="shared" si="8"/>
        <v>0</v>
      </c>
      <c r="T10" s="415">
        <f t="shared" si="8"/>
        <v>1</v>
      </c>
      <c r="U10" s="415">
        <f t="shared" si="8"/>
        <v>1</v>
      </c>
      <c r="V10" s="415">
        <f t="shared" si="8"/>
        <v>1</v>
      </c>
      <c r="W10" s="415">
        <f t="shared" si="8"/>
        <v>1</v>
      </c>
      <c r="X10" s="415">
        <f t="shared" si="8"/>
        <v>1</v>
      </c>
      <c r="Y10" s="415">
        <f t="shared" si="8"/>
        <v>0</v>
      </c>
      <c r="Z10" s="870"/>
      <c r="AA10" s="871"/>
      <c r="AB10" s="872"/>
    </row>
    <row r="11" ht="27.0" customHeight="1">
      <c r="A11" s="972" t="str">
        <f>'Match Selection'!J20</f>
        <v>TJSC</v>
      </c>
      <c r="B11" s="420" t="str">
        <f>vlookup(A11, 'Master Input'!$A$11:$B$27,2, false)</f>
        <v>Drivers</v>
      </c>
      <c r="C11" s="597">
        <f>vlookup(A11,'Master Input'!$A$11:$L$27,'Master Input'!$L$28, false)</f>
        <v>13</v>
      </c>
      <c r="D11" s="422">
        <f>C11</f>
        <v>13</v>
      </c>
      <c r="E11" s="895">
        <v>4.0</v>
      </c>
      <c r="F11" s="424">
        <v>5.0</v>
      </c>
      <c r="G11" s="424">
        <v>7.0</v>
      </c>
      <c r="H11" s="424">
        <v>3.0</v>
      </c>
      <c r="I11" s="424">
        <v>3.0</v>
      </c>
      <c r="J11" s="424">
        <v>6.0</v>
      </c>
      <c r="K11" s="424">
        <v>2.0</v>
      </c>
      <c r="L11" s="424">
        <v>6.0</v>
      </c>
      <c r="M11" s="973">
        <v>4.0</v>
      </c>
      <c r="N11" s="876">
        <f>if(M11="","", sum(E11:M11))</f>
        <v>40</v>
      </c>
      <c r="O11" s="364"/>
      <c r="P11" s="974" t="str">
        <f>A11</f>
        <v>TJSC</v>
      </c>
      <c r="Q11" s="895">
        <v>8.0</v>
      </c>
      <c r="R11" s="424">
        <v>7.0</v>
      </c>
      <c r="S11" s="424">
        <v>4.0</v>
      </c>
      <c r="T11" s="424">
        <v>6.0</v>
      </c>
      <c r="U11" s="424">
        <v>5.0</v>
      </c>
      <c r="V11" s="424">
        <v>3.0</v>
      </c>
      <c r="W11" s="424">
        <v>6.0</v>
      </c>
      <c r="X11" s="424">
        <v>4.0</v>
      </c>
      <c r="Y11" s="424">
        <v>6.0</v>
      </c>
      <c r="Z11" s="877">
        <f>if(Y11="","", sum(Q11:Y11))</f>
        <v>49</v>
      </c>
      <c r="AA11" s="878">
        <f>if(Z11="", "", sum(N11,Z11))</f>
        <v>89</v>
      </c>
      <c r="AB11" s="879">
        <f>if(Y11="", "", AA11-C11)</f>
        <v>76</v>
      </c>
    </row>
    <row r="12" ht="7.5" customHeight="1">
      <c r="A12" s="975"/>
      <c r="B12" s="897"/>
      <c r="C12" s="898"/>
      <c r="D12" s="899"/>
      <c r="E12" s="904" t="str">
        <f t="shared" ref="E12:M12" si="9">if(E13=1,"O", if(E13=2,"O   O",""))</f>
        <v>O</v>
      </c>
      <c r="F12" s="905" t="str">
        <f t="shared" si="9"/>
        <v/>
      </c>
      <c r="G12" s="905" t="str">
        <f t="shared" si="9"/>
        <v>O</v>
      </c>
      <c r="H12" s="905" t="str">
        <f t="shared" si="9"/>
        <v>O</v>
      </c>
      <c r="I12" s="905" t="str">
        <f t="shared" si="9"/>
        <v>O</v>
      </c>
      <c r="J12" s="905" t="str">
        <f t="shared" si="9"/>
        <v>O</v>
      </c>
      <c r="K12" s="905" t="str">
        <f t="shared" si="9"/>
        <v/>
      </c>
      <c r="L12" s="905" t="str">
        <f t="shared" si="9"/>
        <v>O</v>
      </c>
      <c r="M12" s="976" t="str">
        <f t="shared" si="9"/>
        <v>O</v>
      </c>
      <c r="N12" s="902"/>
      <c r="O12" s="351"/>
      <c r="P12" s="977"/>
      <c r="Q12" s="904" t="str">
        <f t="shared" ref="Q12:Y12" si="10">if(Q13=1,"O", if(Q13=2,"O   O",""))</f>
        <v>O</v>
      </c>
      <c r="R12" s="905" t="str">
        <f t="shared" si="10"/>
        <v>O</v>
      </c>
      <c r="S12" s="905" t="str">
        <f t="shared" si="10"/>
        <v/>
      </c>
      <c r="T12" s="905" t="str">
        <f t="shared" si="10"/>
        <v>O</v>
      </c>
      <c r="U12" s="905" t="str">
        <f t="shared" si="10"/>
        <v>O</v>
      </c>
      <c r="V12" s="905" t="str">
        <f t="shared" si="10"/>
        <v>O</v>
      </c>
      <c r="W12" s="905" t="str">
        <f t="shared" si="10"/>
        <v>O</v>
      </c>
      <c r="X12" s="905" t="str">
        <f t="shared" si="10"/>
        <v>O</v>
      </c>
      <c r="Y12" s="905" t="str">
        <f t="shared" si="10"/>
        <v/>
      </c>
      <c r="Z12" s="888"/>
      <c r="AA12" s="889"/>
      <c r="AB12" s="906"/>
    </row>
    <row r="13" ht="22.5" hidden="1" customHeight="1">
      <c r="A13" s="961"/>
      <c r="B13" s="393"/>
      <c r="C13" s="522"/>
      <c r="D13" s="359"/>
      <c r="E13" s="907">
        <f t="shared" ref="E13:M13" si="11">IF($D14&gt;0,FLOOR($D14/18,1),0)+IF(AND(MOD($D14,18)&gt;=E$2,$D14&gt;0),1,0)-IF(E$2-18&gt;$D14,1,0)</f>
        <v>1</v>
      </c>
      <c r="F13" s="908">
        <f t="shared" si="11"/>
        <v>0</v>
      </c>
      <c r="G13" s="908">
        <f t="shared" si="11"/>
        <v>1</v>
      </c>
      <c r="H13" s="908">
        <f t="shared" si="11"/>
        <v>1</v>
      </c>
      <c r="I13" s="908">
        <f t="shared" si="11"/>
        <v>1</v>
      </c>
      <c r="J13" s="908">
        <f t="shared" si="11"/>
        <v>1</v>
      </c>
      <c r="K13" s="908">
        <f t="shared" si="11"/>
        <v>0</v>
      </c>
      <c r="L13" s="908">
        <f t="shared" si="11"/>
        <v>1</v>
      </c>
      <c r="M13" s="978">
        <f t="shared" si="11"/>
        <v>1</v>
      </c>
      <c r="N13" s="869"/>
      <c r="O13" s="364"/>
      <c r="P13" s="526"/>
      <c r="Q13" s="907">
        <f t="shared" ref="Q13:Y13" si="12">IF($D14&gt;0,FLOOR($D14/18,1),0)+IF(AND(MOD($D14,18)&gt;=Q$2,$D14&gt;0),1,0)-IF(Q$2-18&gt;$D14,1,0)</f>
        <v>1</v>
      </c>
      <c r="R13" s="908">
        <f t="shared" si="12"/>
        <v>1</v>
      </c>
      <c r="S13" s="908">
        <f t="shared" si="12"/>
        <v>0</v>
      </c>
      <c r="T13" s="908">
        <f t="shared" si="12"/>
        <v>1</v>
      </c>
      <c r="U13" s="908">
        <f t="shared" si="12"/>
        <v>1</v>
      </c>
      <c r="V13" s="908">
        <f t="shared" si="12"/>
        <v>1</v>
      </c>
      <c r="W13" s="908">
        <f t="shared" si="12"/>
        <v>1</v>
      </c>
      <c r="X13" s="908">
        <f t="shared" si="12"/>
        <v>1</v>
      </c>
      <c r="Y13" s="908">
        <f t="shared" si="12"/>
        <v>0</v>
      </c>
      <c r="Z13" s="870"/>
      <c r="AA13" s="871"/>
      <c r="AB13" s="872"/>
    </row>
    <row r="14" ht="27.0" customHeight="1">
      <c r="A14" s="963" t="str">
        <f>'Match Selection'!M19</f>
        <v>Weezy</v>
      </c>
      <c r="B14" s="873" t="str">
        <f>vlookup(A14, 'Master Input'!$A$11:$B$27,2, false)</f>
        <v>Drivers</v>
      </c>
      <c r="C14" s="531">
        <f>vlookup(A14,'Master Input'!$A$11:$L$27,'Master Input'!$L$28, false)</f>
        <v>14</v>
      </c>
      <c r="D14" s="372">
        <f>C14</f>
        <v>14</v>
      </c>
      <c r="E14" s="909">
        <v>6.0</v>
      </c>
      <c r="F14" s="910">
        <v>5.0</v>
      </c>
      <c r="G14" s="910">
        <v>5.0</v>
      </c>
      <c r="H14" s="910">
        <v>4.0</v>
      </c>
      <c r="I14" s="910">
        <v>6.0</v>
      </c>
      <c r="J14" s="910">
        <v>6.0</v>
      </c>
      <c r="K14" s="910">
        <v>4.0</v>
      </c>
      <c r="L14" s="910">
        <v>5.0</v>
      </c>
      <c r="M14" s="979">
        <v>4.0</v>
      </c>
      <c r="N14" s="876">
        <f>if(M14="","", sum(E14:M14))</f>
        <v>45</v>
      </c>
      <c r="O14" s="364"/>
      <c r="P14" s="965" t="str">
        <f>A14</f>
        <v>Weezy</v>
      </c>
      <c r="Q14" s="909">
        <v>5.0</v>
      </c>
      <c r="R14" s="910">
        <v>4.0</v>
      </c>
      <c r="S14" s="910">
        <v>3.0</v>
      </c>
      <c r="T14" s="910">
        <v>8.0</v>
      </c>
      <c r="U14" s="910">
        <v>4.0</v>
      </c>
      <c r="V14" s="910">
        <v>5.0</v>
      </c>
      <c r="W14" s="910">
        <v>6.0</v>
      </c>
      <c r="X14" s="910">
        <v>5.0</v>
      </c>
      <c r="Y14" s="910">
        <v>8.0</v>
      </c>
      <c r="Z14" s="877">
        <f>if(Y14="","", sum(Q14:Y14))</f>
        <v>48</v>
      </c>
      <c r="AA14" s="878">
        <f>if(Z14="", "", sum(N14,Z14))</f>
        <v>93</v>
      </c>
      <c r="AB14" s="879">
        <f>if(Y14="", "", AA14-C14)</f>
        <v>79</v>
      </c>
    </row>
    <row r="15" ht="7.5" customHeight="1">
      <c r="A15" s="980"/>
      <c r="B15" s="911"/>
      <c r="C15" s="912"/>
      <c r="D15" s="913"/>
      <c r="E15" s="402" t="str">
        <f t="shared" ref="E15:M15" si="13">if(E16=1,"O", if(E16=2,"O   O",""))</f>
        <v>O</v>
      </c>
      <c r="F15" s="403" t="str">
        <f t="shared" si="13"/>
        <v/>
      </c>
      <c r="G15" s="403" t="str">
        <f t="shared" si="13"/>
        <v>O</v>
      </c>
      <c r="H15" s="403" t="str">
        <f t="shared" si="13"/>
        <v>O</v>
      </c>
      <c r="I15" s="403" t="str">
        <f t="shared" si="13"/>
        <v>O</v>
      </c>
      <c r="J15" s="403" t="str">
        <f t="shared" si="13"/>
        <v>O</v>
      </c>
      <c r="K15" s="403" t="str">
        <f t="shared" si="13"/>
        <v/>
      </c>
      <c r="L15" s="403" t="str">
        <f t="shared" si="13"/>
        <v>O</v>
      </c>
      <c r="M15" s="981" t="str">
        <f t="shared" si="13"/>
        <v>O</v>
      </c>
      <c r="N15" s="914"/>
      <c r="O15" s="545"/>
      <c r="P15" s="982"/>
      <c r="Q15" s="402" t="str">
        <f t="shared" ref="Q15:Y15" si="14">if(Q16=1,"O", if(Q16=2,"O   O",""))</f>
        <v>O</v>
      </c>
      <c r="R15" s="403" t="str">
        <f t="shared" si="14"/>
        <v>O</v>
      </c>
      <c r="S15" s="403" t="str">
        <f t="shared" si="14"/>
        <v>O</v>
      </c>
      <c r="T15" s="403" t="str">
        <f t="shared" si="14"/>
        <v>O</v>
      </c>
      <c r="U15" s="403" t="str">
        <f t="shared" si="14"/>
        <v>O</v>
      </c>
      <c r="V15" s="403" t="str">
        <f t="shared" si="14"/>
        <v>O</v>
      </c>
      <c r="W15" s="403" t="str">
        <f t="shared" si="14"/>
        <v>O</v>
      </c>
      <c r="X15" s="403" t="str">
        <f t="shared" si="14"/>
        <v>O</v>
      </c>
      <c r="Y15" s="403" t="str">
        <f t="shared" si="14"/>
        <v/>
      </c>
      <c r="Z15" s="915"/>
      <c r="AA15" s="916"/>
      <c r="AB15" s="906"/>
    </row>
    <row r="16" ht="22.5" hidden="1" customHeight="1">
      <c r="A16" s="969"/>
      <c r="B16" s="411"/>
      <c r="C16" s="553"/>
      <c r="D16" s="413"/>
      <c r="E16" s="414">
        <f t="shared" ref="E16:M16" si="15">IF($D17&gt;0,FLOOR($D17/18,1),0)+IF(AND(MOD($D17,18)&gt;=E$2,$D17&gt;0),1,0)-IF(E$2-18&gt;$D17,1,0)</f>
        <v>1</v>
      </c>
      <c r="F16" s="415">
        <f t="shared" si="15"/>
        <v>0</v>
      </c>
      <c r="G16" s="415">
        <f t="shared" si="15"/>
        <v>1</v>
      </c>
      <c r="H16" s="415">
        <f t="shared" si="15"/>
        <v>1</v>
      </c>
      <c r="I16" s="415">
        <f t="shared" si="15"/>
        <v>1</v>
      </c>
      <c r="J16" s="415">
        <f t="shared" si="15"/>
        <v>1</v>
      </c>
      <c r="K16" s="415">
        <f t="shared" si="15"/>
        <v>0</v>
      </c>
      <c r="L16" s="415">
        <f t="shared" si="15"/>
        <v>1</v>
      </c>
      <c r="M16" s="970">
        <f t="shared" si="15"/>
        <v>1</v>
      </c>
      <c r="N16" s="869"/>
      <c r="O16" s="364"/>
      <c r="P16" s="971"/>
      <c r="Q16" s="414">
        <f t="shared" ref="Q16:Y16" si="16">IF($D17&gt;0,FLOOR($D17/18,1),0)+IF(AND(MOD($D17,18)&gt;=Q$2,$D17&gt;0),1,0)-IF(Q$2-18&gt;$D17,1,0)</f>
        <v>1</v>
      </c>
      <c r="R16" s="415">
        <f t="shared" si="16"/>
        <v>1</v>
      </c>
      <c r="S16" s="415">
        <f t="shared" si="16"/>
        <v>1</v>
      </c>
      <c r="T16" s="415">
        <f t="shared" si="16"/>
        <v>1</v>
      </c>
      <c r="U16" s="415">
        <f t="shared" si="16"/>
        <v>1</v>
      </c>
      <c r="V16" s="415">
        <f t="shared" si="16"/>
        <v>1</v>
      </c>
      <c r="W16" s="415">
        <f t="shared" si="16"/>
        <v>1</v>
      </c>
      <c r="X16" s="415">
        <f t="shared" si="16"/>
        <v>1</v>
      </c>
      <c r="Y16" s="415">
        <f t="shared" si="16"/>
        <v>0</v>
      </c>
      <c r="Z16" s="870"/>
      <c r="AA16" s="917"/>
      <c r="AB16" s="872"/>
    </row>
    <row r="17" ht="27.0" customHeight="1">
      <c r="A17" s="983" t="str">
        <f>'Match Selection'!M20</f>
        <v>Joe O</v>
      </c>
      <c r="B17" s="984" t="str">
        <f>vlookup(A17, 'Master Input'!$A$11:$B$27,2, false)</f>
        <v>Drivers</v>
      </c>
      <c r="C17" s="985">
        <f>vlookup(A17,'Master Input'!$A$11:$L$27,'Master Input'!$L$28, false)</f>
        <v>15</v>
      </c>
      <c r="D17" s="986">
        <f>C17</f>
        <v>15</v>
      </c>
      <c r="E17" s="987">
        <v>4.0</v>
      </c>
      <c r="F17" s="988">
        <v>6.0</v>
      </c>
      <c r="G17" s="988">
        <v>5.0</v>
      </c>
      <c r="H17" s="988">
        <v>5.0</v>
      </c>
      <c r="I17" s="988">
        <v>6.0</v>
      </c>
      <c r="J17" s="988">
        <v>6.0</v>
      </c>
      <c r="K17" s="988">
        <v>4.0</v>
      </c>
      <c r="L17" s="988">
        <v>7.0</v>
      </c>
      <c r="M17" s="989">
        <v>5.0</v>
      </c>
      <c r="N17" s="990">
        <f>if(M17="","", sum(E17:M17))</f>
        <v>48</v>
      </c>
      <c r="O17" s="364"/>
      <c r="P17" s="991" t="str">
        <f>A17</f>
        <v>Joe O</v>
      </c>
      <c r="Q17" s="987">
        <v>7.0</v>
      </c>
      <c r="R17" s="988">
        <v>6.0</v>
      </c>
      <c r="S17" s="988">
        <v>3.0</v>
      </c>
      <c r="T17" s="988">
        <v>7.0</v>
      </c>
      <c r="U17" s="988">
        <v>4.0</v>
      </c>
      <c r="V17" s="988">
        <v>4.0</v>
      </c>
      <c r="W17" s="988">
        <v>9.0</v>
      </c>
      <c r="X17" s="988">
        <v>5.0</v>
      </c>
      <c r="Y17" s="988">
        <v>6.0</v>
      </c>
      <c r="Z17" s="992">
        <f>if(Y17="","", sum(Q17:Y17))</f>
        <v>51</v>
      </c>
      <c r="AA17" s="993">
        <f>if(Z17="", "", sum(N17,Z17))</f>
        <v>99</v>
      </c>
      <c r="AB17" s="994">
        <f>if(Y17="", "", AA17-C17)</f>
        <v>84</v>
      </c>
    </row>
    <row r="18" ht="11.25" customHeight="1">
      <c r="A18" s="923"/>
      <c r="B18" s="924"/>
      <c r="C18" s="925"/>
      <c r="D18" s="926"/>
      <c r="E18" s="927"/>
      <c r="F18" s="927"/>
      <c r="G18" s="927"/>
      <c r="H18" s="927"/>
      <c r="I18" s="927"/>
      <c r="J18" s="927"/>
      <c r="K18" s="927"/>
      <c r="L18" s="927"/>
      <c r="M18" s="927"/>
      <c r="N18" s="927"/>
      <c r="O18" s="928"/>
      <c r="P18" s="927"/>
      <c r="Q18" s="927"/>
      <c r="R18" s="927"/>
      <c r="S18" s="927"/>
      <c r="T18" s="927"/>
      <c r="U18" s="927"/>
      <c r="V18" s="927"/>
      <c r="W18" s="927"/>
      <c r="X18" s="927"/>
      <c r="Y18" s="927"/>
      <c r="Z18" s="927"/>
      <c r="AA18" s="927"/>
      <c r="AB18" s="927"/>
    </row>
    <row r="19">
      <c r="A19" s="929" t="s">
        <v>101</v>
      </c>
      <c r="B19" s="930"/>
      <c r="C19" s="931"/>
      <c r="D19" s="932"/>
      <c r="E19" s="995">
        <f>'R4_G1'!E19</f>
        <v>5</v>
      </c>
      <c r="F19" s="996">
        <f>'R4_G1'!F19</f>
        <v>5</v>
      </c>
      <c r="G19" s="996">
        <f>'R4_G1'!G19</f>
        <v>5</v>
      </c>
      <c r="H19" s="996">
        <f>'R4_G1'!H19</f>
        <v>5</v>
      </c>
      <c r="I19" s="996">
        <f>'R4_G1'!I19</f>
        <v>5</v>
      </c>
      <c r="J19" s="996">
        <f>'R4_G1'!J19</f>
        <v>5</v>
      </c>
      <c r="K19" s="996">
        <f>'R4_G1'!K19</f>
        <v>5</v>
      </c>
      <c r="L19" s="996">
        <f>'R4_G1'!L19</f>
        <v>5</v>
      </c>
      <c r="M19" s="997">
        <f>'R4_G1'!M19</f>
        <v>5</v>
      </c>
      <c r="N19" s="462"/>
      <c r="O19" s="364"/>
      <c r="P19" s="929" t="s">
        <v>101</v>
      </c>
      <c r="Q19" s="995">
        <f>'R4_G1'!Q19</f>
        <v>6</v>
      </c>
      <c r="R19" s="996">
        <f>'R4_G1'!R19</f>
        <v>6</v>
      </c>
      <c r="S19" s="996">
        <f>'R4_G1'!S19</f>
        <v>6</v>
      </c>
      <c r="T19" s="996">
        <f>'R4_G1'!T19</f>
        <v>6</v>
      </c>
      <c r="U19" s="996">
        <f>'R4_G1'!U19</f>
        <v>6</v>
      </c>
      <c r="V19" s="996">
        <f>'R4_G1'!V19</f>
        <v>6</v>
      </c>
      <c r="W19" s="996">
        <f>'R4_G1'!W19</f>
        <v>6</v>
      </c>
      <c r="X19" s="996">
        <f>'R4_G1'!X19</f>
        <v>6</v>
      </c>
      <c r="Y19" s="997">
        <f>'R4_G1'!Y19</f>
        <v>6</v>
      </c>
      <c r="Z19" s="648"/>
      <c r="AA19" s="998" t="s">
        <v>102</v>
      </c>
      <c r="AB19" s="999"/>
    </row>
    <row r="20">
      <c r="A20" s="929" t="s">
        <v>103</v>
      </c>
      <c r="B20" s="930"/>
      <c r="C20" s="931"/>
      <c r="D20" s="932"/>
      <c r="E20" s="938">
        <f t="shared" ref="E20:M20" si="17">if(E23="","",E23/E19)</f>
        <v>3.4</v>
      </c>
      <c r="F20" s="939">
        <f t="shared" si="17"/>
        <v>5</v>
      </c>
      <c r="G20" s="939">
        <f t="shared" si="17"/>
        <v>4.4</v>
      </c>
      <c r="H20" s="939">
        <f t="shared" si="17"/>
        <v>3</v>
      </c>
      <c r="I20" s="939">
        <f t="shared" si="17"/>
        <v>3.6</v>
      </c>
      <c r="J20" s="939">
        <f t="shared" si="17"/>
        <v>5</v>
      </c>
      <c r="K20" s="939">
        <f t="shared" si="17"/>
        <v>2.6</v>
      </c>
      <c r="L20" s="939">
        <f t="shared" si="17"/>
        <v>3.6</v>
      </c>
      <c r="M20" s="940">
        <f t="shared" si="17"/>
        <v>3.2</v>
      </c>
      <c r="N20" s="462"/>
      <c r="O20" s="364"/>
      <c r="P20" s="929" t="s">
        <v>103</v>
      </c>
      <c r="Q20" s="938">
        <f t="shared" ref="Q20:Y20" si="18">if(Q23="","",Q23/Q19)</f>
        <v>3.833333333</v>
      </c>
      <c r="R20" s="939">
        <f t="shared" si="18"/>
        <v>4.166666667</v>
      </c>
      <c r="S20" s="939">
        <f t="shared" si="18"/>
        <v>2.833333333</v>
      </c>
      <c r="T20" s="939">
        <f t="shared" si="18"/>
        <v>5.166666667</v>
      </c>
      <c r="U20" s="939">
        <f t="shared" si="18"/>
        <v>3.5</v>
      </c>
      <c r="V20" s="939">
        <f t="shared" si="18"/>
        <v>2.833333333</v>
      </c>
      <c r="W20" s="939">
        <f t="shared" si="18"/>
        <v>4.166666667</v>
      </c>
      <c r="X20" s="939">
        <f t="shared" si="18"/>
        <v>3.333333333</v>
      </c>
      <c r="Y20" s="940">
        <f t="shared" si="18"/>
        <v>5</v>
      </c>
      <c r="Z20" s="648"/>
      <c r="AA20" s="1000" t="s">
        <v>104</v>
      </c>
      <c r="AB20" s="1001"/>
    </row>
    <row r="21">
      <c r="A21" s="929" t="s">
        <v>105</v>
      </c>
      <c r="B21" s="930"/>
      <c r="C21" s="931"/>
      <c r="D21" s="932"/>
      <c r="E21" s="943">
        <f t="shared" ref="E21:M21" si="19">if(E23="","",E23-E3*E19)</f>
        <v>-3</v>
      </c>
      <c r="F21" s="944">
        <f t="shared" si="19"/>
        <v>0</v>
      </c>
      <c r="G21" s="944">
        <f t="shared" si="19"/>
        <v>2</v>
      </c>
      <c r="H21" s="944">
        <f t="shared" si="19"/>
        <v>0</v>
      </c>
      <c r="I21" s="944">
        <f t="shared" si="19"/>
        <v>-2</v>
      </c>
      <c r="J21" s="944">
        <f t="shared" si="19"/>
        <v>0</v>
      </c>
      <c r="K21" s="944">
        <f t="shared" si="19"/>
        <v>-2</v>
      </c>
      <c r="L21" s="944">
        <f t="shared" si="19"/>
        <v>-2</v>
      </c>
      <c r="M21" s="945">
        <f t="shared" si="19"/>
        <v>-4</v>
      </c>
      <c r="N21" s="462"/>
      <c r="O21" s="364"/>
      <c r="P21" s="929" t="s">
        <v>105</v>
      </c>
      <c r="Q21" s="943">
        <f t="shared" ref="Q21:Y21" si="20">if(Q23="","",Q23-Q3*Q19)</f>
        <v>-1</v>
      </c>
      <c r="R21" s="944">
        <f t="shared" si="20"/>
        <v>1</v>
      </c>
      <c r="S21" s="944">
        <f t="shared" si="20"/>
        <v>-1</v>
      </c>
      <c r="T21" s="944">
        <f t="shared" si="20"/>
        <v>1</v>
      </c>
      <c r="U21" s="944">
        <f t="shared" si="20"/>
        <v>-3</v>
      </c>
      <c r="V21" s="944">
        <f t="shared" si="20"/>
        <v>-1</v>
      </c>
      <c r="W21" s="944">
        <f t="shared" si="20"/>
        <v>1</v>
      </c>
      <c r="X21" s="944">
        <f t="shared" si="20"/>
        <v>-4</v>
      </c>
      <c r="Y21" s="945">
        <f t="shared" si="20"/>
        <v>0</v>
      </c>
      <c r="Z21" s="648"/>
      <c r="AA21" s="1002" t="s">
        <v>111</v>
      </c>
      <c r="AB21" s="1003"/>
    </row>
    <row r="22" ht="18.75" customHeight="1">
      <c r="Z22" s="652" t="s">
        <v>51</v>
      </c>
      <c r="AA22" s="948" t="s">
        <v>68</v>
      </c>
      <c r="AB22" s="653" t="s">
        <v>69</v>
      </c>
    </row>
    <row r="23" ht="18.75" customHeight="1">
      <c r="A23" s="949" t="s">
        <v>107</v>
      </c>
      <c r="B23" s="950"/>
      <c r="C23" s="951"/>
      <c r="D23" s="952"/>
      <c r="E23" s="953">
        <f t="array" ref="E23">if(OR(E8="", E11="", E14="", E17="", 'R4_G4'!E8="", 'R4_G4'!E11="", 'R4_G4'!E14=""), "",
if(E19&gt;=1,(small({E8-E7,E11-E10,E14-E13,E17-E16,'R4_G4'!E8-'R4_G4'!E7,'R4_G4'!E11-'R4_G4'!E10,'R4_G4'!E14-'R4_G4'!E13,'R4_G4'!E17-'R4_G4'!E16},1)),0)+
if(E19&gt;=2,(small({E8-E7,E11-E10,E14-E13,E17-E16,'R4_G4'!E8-'R4_G4'!E7,'R4_G4'!E11-'R4_G4'!E10,'R4_G4'!E14-'R4_G4'!E13,'R4_G4'!E17-'R4_G4'!E16},2)),0)+
if(E19&gt;=3,(small({E8-E7,E11-E10,E14-E13,E17-E16,'R4_G4'!E8-'R4_G4'!E7,'R4_G4'!E11-'R4_G4'!E10,'R4_G4'!E14-'R4_G4'!E13,'R4_G4'!E17-'R4_G4'!E16},3)),0)+
if(E19&gt;=4,(small({E8-E7,E11-E10,E14-E13,E17-E16,'R4_G4'!E8-'R4_G4'!E7,'R4_G4'!E11-'R4_G4'!E10,'R4_G4'!E14-'R4_G4'!E13,'R4_G4'!E17-'R4_G4'!E16},4)),0)+
if(E19&gt;=5,(small({E8-E7,E11-E10,E14-E13,E17-E16,'R4_G4'!E8-'R4_G4'!E7,'R4_G4'!E11-'R4_G4'!E10,'R4_G4'!E14-'R4_G4'!E13,'R4_G4'!E17-'R4_G4'!E16},5)),0)+
if(E19&gt;=6,(small({E8-E7,E11-E10,E14-E13,E17-E16,'R4_G4'!E8-'R4_G4'!E7,'R4_G4'!E11-'R4_G4'!E10,'R4_G4'!E14-'R4_G4'!E13,'R4_G4'!E17-'R4_G4'!E16},6)),0)+
if(E19&gt;=7,(small({E8-E7,E11-E10,E14-E13,E17-E16,'R4_G4'!E8-'R4_G4'!E7,'R4_G4'!E11-'R4_G4'!E10,'R4_G4'!E14-'R4_G4'!E13,'R4_G4'!E17-'R4_G4'!E16},7)),0)+
if(E19&gt;=8,(small({E8-E7,E11-E10,E14-E13,E17-E16,'R4_G4'!E8-'R4_G4'!E7,'R4_G4'!E11-'R4_G4'!E10,'R4_G4'!E14-'R4_G4'!E13,'R4_G4'!E17-'R4_G4'!E16},8)),0))
</f>
        <v>17</v>
      </c>
      <c r="F23" s="953">
        <f t="array" ref="F23">if(OR(F8="", F11="", F14="", F17="", 'R4_G4'!F8="", 'R4_G4'!F11="", 'R4_G4'!F14=""), "",
if(F19&gt;=1,(small({F8-F7,F11-F10,F14-F13,F17-F16,'R4_G4'!F8-'R4_G4'!F7,'R4_G4'!F11-'R4_G4'!F10,'R4_G4'!F14-'R4_G4'!F13,'R4_G4'!F17-'R4_G4'!F16},1)),0)+
if(F19&gt;=2,(small({F8-F7,F11-F10,F14-F13,F17-F16,'R4_G4'!F8-'R4_G4'!F7,'R4_G4'!F11-'R4_G4'!F10,'R4_G4'!F14-'R4_G4'!F13,'R4_G4'!F17-'R4_G4'!F16},2)),0)+
if(F19&gt;=3,(small({F8-F7,F11-F10,F14-F13,F17-F16,'R4_G4'!F8-'R4_G4'!F7,'R4_G4'!F11-'R4_G4'!F10,'R4_G4'!F14-'R4_G4'!F13,'R4_G4'!F17-'R4_G4'!F16},3)),0)+
if(F19&gt;=4,(small({F8-F7,F11-F10,F14-F13,F17-F16,'R4_G4'!F8-'R4_G4'!F7,'R4_G4'!F11-'R4_G4'!F10,'R4_G4'!F14-'R4_G4'!F13,'R4_G4'!F17-'R4_G4'!F16},4)),0)+
if(F19&gt;=5,(small({F8-F7,F11-F10,F14-F13,F17-F16,'R4_G4'!F8-'R4_G4'!F7,'R4_G4'!F11-'R4_G4'!F10,'R4_G4'!F14-'R4_G4'!F13,'R4_G4'!F17-'R4_G4'!F16},5)),0)+
if(F19&gt;=6,(small({F8-F7,F11-F10,F14-F13,F17-F16,'R4_G4'!F8-'R4_G4'!F7,'R4_G4'!F11-'R4_G4'!F10,'R4_G4'!F14-'R4_G4'!F13,'R4_G4'!F17-'R4_G4'!F16},6)),0)+
if(F19&gt;=7,(small({F8-F7,F11-F10,F14-F13,F17-F16,'R4_G4'!F8-'R4_G4'!F7,'R4_G4'!F11-'R4_G4'!F10,'R4_G4'!F14-'R4_G4'!F13,'R4_G4'!F17-'R4_G4'!F16},7)),0)+
if(F19&gt;=8,(small({F8-F7,F11-F10,F14-F13,F17-F16,'R4_G4'!F8-'R4_G4'!F7,'R4_G4'!F11-'R4_G4'!F10,'R4_G4'!F14-'R4_G4'!F13,'R4_G4'!F17-'R4_G4'!F16},8)),0))
</f>
        <v>25</v>
      </c>
      <c r="G23" s="953">
        <f t="array" ref="G23">if(OR(G8="", G11="", G14="", G17="", 'R4_G4'!G8="", 'R4_G4'!G11="", 'R4_G4'!G14=""), "",
if(G19&gt;=1,(small({G8-G7,G11-G10,G14-G13,G17-G16,'R4_G4'!G8-'R4_G4'!G7,'R4_G4'!G11-'R4_G4'!G10,'R4_G4'!G14-'R4_G4'!G13,'R4_G4'!G17-'R4_G4'!G16},1)),0)+
if(G19&gt;=2,(small({G8-G7,G11-G10,G14-G13,G17-G16,'R4_G4'!G8-'R4_G4'!G7,'R4_G4'!G11-'R4_G4'!G10,'R4_G4'!G14-'R4_G4'!G13,'R4_G4'!G17-'R4_G4'!G16},2)),0)+
if(G19&gt;=3,(small({G8-G7,G11-G10,G14-G13,G17-G16,'R4_G4'!G8-'R4_G4'!G7,'R4_G4'!G11-'R4_G4'!G10,'R4_G4'!G14-'R4_G4'!G13,'R4_G4'!G17-'R4_G4'!G16},3)),0)+
if(G19&gt;=4,(small({G8-G7,G11-G10,G14-G13,G17-G16,'R4_G4'!G8-'R4_G4'!G7,'R4_G4'!G11-'R4_G4'!G10,'R4_G4'!G14-'R4_G4'!G13,'R4_G4'!G17-'R4_G4'!G16},4)),0)+
if(G19&gt;=5,(small({G8-G7,G11-G10,G14-G13,G17-G16,'R4_G4'!G8-'R4_G4'!G7,'R4_G4'!G11-'R4_G4'!G10,'R4_G4'!G14-'R4_G4'!G13,'R4_G4'!G17-'R4_G4'!G16},5)),0)+
if(G19&gt;=6,(small({G8-G7,G11-G10,G14-G13,G17-G16,'R4_G4'!G8-'R4_G4'!G7,'R4_G4'!G11-'R4_G4'!G10,'R4_G4'!G14-'R4_G4'!G13,'R4_G4'!G17-'R4_G4'!G16},6)),0)+
if(G19&gt;=7,(small({G8-G7,G11-G10,G14-G13,G17-G16,'R4_G4'!G8-'R4_G4'!G7,'R4_G4'!G11-'R4_G4'!G10,'R4_G4'!G14-'R4_G4'!G13,'R4_G4'!G17-'R4_G4'!G16},7)),0)+
if(G19&gt;=8,(small({G8-G7,G11-G10,G14-G13,G17-G16,'R4_G4'!G8-'R4_G4'!G7,'R4_G4'!G11-'R4_G4'!G10,'R4_G4'!G14-'R4_G4'!G13,'R4_G4'!G17-'R4_G4'!G16},8)),0))
</f>
        <v>22</v>
      </c>
      <c r="H23" s="953">
        <f t="array" ref="H23">if(OR(H8="", H11="", H14="", H17="", 'R4_G4'!H8="", 'R4_G4'!H11="", 'R4_G4'!H14=""), "",
if(H19&gt;=1,(small({H8-H7,H11-H10,H14-H13,H17-H16,'R4_G4'!H8-'R4_G4'!H7,'R4_G4'!H11-'R4_G4'!H10,'R4_G4'!H14-'R4_G4'!H13,'R4_G4'!H17-'R4_G4'!H16},1)),0)+
if(H19&gt;=2,(small({H8-H7,H11-H10,H14-H13,H17-H16,'R4_G4'!H8-'R4_G4'!H7,'R4_G4'!H11-'R4_G4'!H10,'R4_G4'!H14-'R4_G4'!H13,'R4_G4'!H17-'R4_G4'!H16},2)),0)+
if(H19&gt;=3,(small({H8-H7,H11-H10,H14-H13,H17-H16,'R4_G4'!H8-'R4_G4'!H7,'R4_G4'!H11-'R4_G4'!H10,'R4_G4'!H14-'R4_G4'!H13,'R4_G4'!H17-'R4_G4'!H16},3)),0)+
if(H19&gt;=4,(small({H8-H7,H11-H10,H14-H13,H17-H16,'R4_G4'!H8-'R4_G4'!H7,'R4_G4'!H11-'R4_G4'!H10,'R4_G4'!H14-'R4_G4'!H13,'R4_G4'!H17-'R4_G4'!H16},4)),0)+
if(H19&gt;=5,(small({H8-H7,H11-H10,H14-H13,H17-H16,'R4_G4'!H8-'R4_G4'!H7,'R4_G4'!H11-'R4_G4'!H10,'R4_G4'!H14-'R4_G4'!H13,'R4_G4'!H17-'R4_G4'!H16},5)),0)+
if(H19&gt;=6,(small({H8-H7,H11-H10,H14-H13,H17-H16,'R4_G4'!H8-'R4_G4'!H7,'R4_G4'!H11-'R4_G4'!H10,'R4_G4'!H14-'R4_G4'!H13,'R4_G4'!H17-'R4_G4'!H16},6)),0)+
if(H19&gt;=7,(small({H8-H7,H11-H10,H14-H13,H17-H16,'R4_G4'!H8-'R4_G4'!H7,'R4_G4'!H11-'R4_G4'!H10,'R4_G4'!H14-'R4_G4'!H13,'R4_G4'!H17-'R4_G4'!H16},7)),0)+
if(H19&gt;=8,(small({H8-H7,H11-H10,H14-H13,H17-H16,'R4_G4'!H8-'R4_G4'!H7,'R4_G4'!H11-'R4_G4'!H10,'R4_G4'!H14-'R4_G4'!H13,'R4_G4'!H17-'R4_G4'!H16},8)),0))
</f>
        <v>15</v>
      </c>
      <c r="I23" s="953">
        <f t="array" ref="I23">if(OR(I8="", I11="", I14="", I17="", 'R4_G4'!I8="", 'R4_G4'!I11="", 'R4_G4'!I14=""), "",
if(I19&gt;=1,(small({I8-I7,I11-I10,I14-I13,I17-I16,'R4_G4'!I8-'R4_G4'!I7,'R4_G4'!I11-'R4_G4'!I10,'R4_G4'!I14-'R4_G4'!I13,'R4_G4'!I17-'R4_G4'!I16},1)),0)+
if(I19&gt;=2,(small({I8-I7,I11-I10,I14-I13,I17-I16,'R4_G4'!I8-'R4_G4'!I7,'R4_G4'!I11-'R4_G4'!I10,'R4_G4'!I14-'R4_G4'!I13,'R4_G4'!I17-'R4_G4'!I16},2)),0)+
if(I19&gt;=3,(small({I8-I7,I11-I10,I14-I13,I17-I16,'R4_G4'!I8-'R4_G4'!I7,'R4_G4'!I11-'R4_G4'!I10,'R4_G4'!I14-'R4_G4'!I13,'R4_G4'!I17-'R4_G4'!I16},3)),0)+
if(I19&gt;=4,(small({I8-I7,I11-I10,I14-I13,I17-I16,'R4_G4'!I8-'R4_G4'!I7,'R4_G4'!I11-'R4_G4'!I10,'R4_G4'!I14-'R4_G4'!I13,'R4_G4'!I17-'R4_G4'!I16},4)),0)+
if(I19&gt;=5,(small({I8-I7,I11-I10,I14-I13,I17-I16,'R4_G4'!I8-'R4_G4'!I7,'R4_G4'!I11-'R4_G4'!I10,'R4_G4'!I14-'R4_G4'!I13,'R4_G4'!I17-'R4_G4'!I16},5)),0)+
if(I19&gt;=6,(small({I8-I7,I11-I10,I14-I13,I17-I16,'R4_G4'!I8-'R4_G4'!I7,'R4_G4'!I11-'R4_G4'!I10,'R4_G4'!I14-'R4_G4'!I13,'R4_G4'!I17-'R4_G4'!I16},6)),0)+
if(I19&gt;=7,(small({I8-I7,I11-I10,I14-I13,I17-I16,'R4_G4'!I8-'R4_G4'!I7,'R4_G4'!I11-'R4_G4'!I10,'R4_G4'!I14-'R4_G4'!I13,'R4_G4'!I17-'R4_G4'!I16},7)),0)+
if(I19&gt;=8,(small({I8-I7,I11-I10,I14-I13,I17-I16,'R4_G4'!I8-'R4_G4'!I7,'R4_G4'!I11-'R4_G4'!I10,'R4_G4'!I14-'R4_G4'!I13,'R4_G4'!I17-'R4_G4'!I16},8)),0))
</f>
        <v>18</v>
      </c>
      <c r="J23" s="953">
        <f t="array" ref="J23">if(OR(J8="", J11="", J14="", J17="", 'R4_G4'!J8="", 'R4_G4'!J11="", 'R4_G4'!J14=""), "",
if(J19&gt;=1,(small({J8-J7,J11-J10,J14-J13,J17-J16,'R4_G4'!J8-'R4_G4'!J7,'R4_G4'!J11-'R4_G4'!J10,'R4_G4'!J14-'R4_G4'!J13,'R4_G4'!J17-'R4_G4'!J16},1)),0)+
if(J19&gt;=2,(small({J8-J7,J11-J10,J14-J13,J17-J16,'R4_G4'!J8-'R4_G4'!J7,'R4_G4'!J11-'R4_G4'!J10,'R4_G4'!J14-'R4_G4'!J13,'R4_G4'!J17-'R4_G4'!J16},2)),0)+
if(J19&gt;=3,(small({J8-J7,J11-J10,J14-J13,J17-J16,'R4_G4'!J8-'R4_G4'!J7,'R4_G4'!J11-'R4_G4'!J10,'R4_G4'!J14-'R4_G4'!J13,'R4_G4'!J17-'R4_G4'!J16},3)),0)+
if(J19&gt;=4,(small({J8-J7,J11-J10,J14-J13,J17-J16,'R4_G4'!J8-'R4_G4'!J7,'R4_G4'!J11-'R4_G4'!J10,'R4_G4'!J14-'R4_G4'!J13,'R4_G4'!J17-'R4_G4'!J16},4)),0)+
if(J19&gt;=5,(small({J8-J7,J11-J10,J14-J13,J17-J16,'R4_G4'!J8-'R4_G4'!J7,'R4_G4'!J11-'R4_G4'!J10,'R4_G4'!J14-'R4_G4'!J13,'R4_G4'!J17-'R4_G4'!J16},5)),0)+
if(J19&gt;=6,(small({J8-J7,J11-J10,J14-J13,J17-J16,'R4_G4'!J8-'R4_G4'!J7,'R4_G4'!J11-'R4_G4'!J10,'R4_G4'!J14-'R4_G4'!J13,'R4_G4'!J17-'R4_G4'!J16},6)),0)+
if(J19&gt;=7,(small({J8-J7,J11-J10,J14-J13,J17-J16,'R4_G4'!J8-'R4_G4'!J7,'R4_G4'!J11-'R4_G4'!J10,'R4_G4'!J14-'R4_G4'!J13,'R4_G4'!J17-'R4_G4'!J16},7)),0)+
if(J19&gt;=8,(small({J8-J7,J11-J10,J14-J13,J17-J16,'R4_G4'!J8-'R4_G4'!J7,'R4_G4'!J11-'R4_G4'!J10,'R4_G4'!J14-'R4_G4'!J13,'R4_G4'!J17-'R4_G4'!J16},8)),0))
</f>
        <v>25</v>
      </c>
      <c r="K23" s="953">
        <f t="array" ref="K23">if(OR(K8="", K11="", K14="", K17="", 'R4_G4'!K8="", 'R4_G4'!K11="", 'R4_G4'!K14=""), "",
if(K19&gt;=1,(small({K8-K7,K11-K10,K14-K13,K17-K16,'R4_G4'!K8-'R4_G4'!K7,'R4_G4'!K11-'R4_G4'!K10,'R4_G4'!K14-'R4_G4'!K13,'R4_G4'!K17-'R4_G4'!K16},1)),0)+
if(K19&gt;=2,(small({K8-K7,K11-K10,K14-K13,K17-K16,'R4_G4'!K8-'R4_G4'!K7,'R4_G4'!K11-'R4_G4'!K10,'R4_G4'!K14-'R4_G4'!K13,'R4_G4'!K17-'R4_G4'!K16},2)),0)+
if(K19&gt;=3,(small({K8-K7,K11-K10,K14-K13,K17-K16,'R4_G4'!K8-'R4_G4'!K7,'R4_G4'!K11-'R4_G4'!K10,'R4_G4'!K14-'R4_G4'!K13,'R4_G4'!K17-'R4_G4'!K16},3)),0)+
if(K19&gt;=4,(small({K8-K7,K11-K10,K14-K13,K17-K16,'R4_G4'!K8-'R4_G4'!K7,'R4_G4'!K11-'R4_G4'!K10,'R4_G4'!K14-'R4_G4'!K13,'R4_G4'!K17-'R4_G4'!K16},4)),0)+
if(K19&gt;=5,(small({K8-K7,K11-K10,K14-K13,K17-K16,'R4_G4'!K8-'R4_G4'!K7,'R4_G4'!K11-'R4_G4'!K10,'R4_G4'!K14-'R4_G4'!K13,'R4_G4'!K17-'R4_G4'!K16},5)),0)+
if(K19&gt;=6,(small({K8-K7,K11-K10,K14-K13,K17-K16,'R4_G4'!K8-'R4_G4'!K7,'R4_G4'!K11-'R4_G4'!K10,'R4_G4'!K14-'R4_G4'!K13,'R4_G4'!K17-'R4_G4'!K16},6)),0)+
if(K19&gt;=7,(small({K8-K7,K11-K10,K14-K13,K17-K16,'R4_G4'!K8-'R4_G4'!K7,'R4_G4'!K11-'R4_G4'!K10,'R4_G4'!K14-'R4_G4'!K13,'R4_G4'!K17-'R4_G4'!K16},7)),0)+
if(K19&gt;=8,(small({K8-K7,K11-K10,K14-K13,K17-K16,'R4_G4'!K8-'R4_G4'!K7,'R4_G4'!K11-'R4_G4'!K10,'R4_G4'!K14-'R4_G4'!K13,'R4_G4'!K17-'R4_G4'!K16},8)),0))
</f>
        <v>13</v>
      </c>
      <c r="L23" s="953">
        <f t="array" ref="L23">if(OR(L8="", L11="", L14="", L17="", 'R4_G4'!L8="", 'R4_G4'!L11="", 'R4_G4'!L14=""), "",
if(L19&gt;=1,(small({L8-L7,L11-L10,L14-L13,L17-L16,'R4_G4'!L8-'R4_G4'!L7,'R4_G4'!L11-'R4_G4'!L10,'R4_G4'!L14-'R4_G4'!L13,'R4_G4'!L17-'R4_G4'!L16},1)),0)+
if(L19&gt;=2,(small({L8-L7,L11-L10,L14-L13,L17-L16,'R4_G4'!L8-'R4_G4'!L7,'R4_G4'!L11-'R4_G4'!L10,'R4_G4'!L14-'R4_G4'!L13,'R4_G4'!L17-'R4_G4'!L16},2)),0)+
if(L19&gt;=3,(small({L8-L7,L11-L10,L14-L13,L17-L16,'R4_G4'!L8-'R4_G4'!L7,'R4_G4'!L11-'R4_G4'!L10,'R4_G4'!L14-'R4_G4'!L13,'R4_G4'!L17-'R4_G4'!L16},3)),0)+
if(L19&gt;=4,(small({L8-L7,L11-L10,L14-L13,L17-L16,'R4_G4'!L8-'R4_G4'!L7,'R4_G4'!L11-'R4_G4'!L10,'R4_G4'!L14-'R4_G4'!L13,'R4_G4'!L17-'R4_G4'!L16},4)),0)+
if(L19&gt;=5,(small({L8-L7,L11-L10,L14-L13,L17-L16,'R4_G4'!L8-'R4_G4'!L7,'R4_G4'!L11-'R4_G4'!L10,'R4_G4'!L14-'R4_G4'!L13,'R4_G4'!L17-'R4_G4'!L16},5)),0)+
if(L19&gt;=6,(small({L8-L7,L11-L10,L14-L13,L17-L16,'R4_G4'!L8-'R4_G4'!L7,'R4_G4'!L11-'R4_G4'!L10,'R4_G4'!L14-'R4_G4'!L13,'R4_G4'!L17-'R4_G4'!L16},6)),0)+
if(L19&gt;=7,(small({L8-L7,L11-L10,L14-L13,L17-L16,'R4_G4'!L8-'R4_G4'!L7,'R4_G4'!L11-'R4_G4'!L10,'R4_G4'!L14-'R4_G4'!L13,'R4_G4'!L17-'R4_G4'!L16},7)),0)+
if(L19&gt;=8,(small({L8-L7,L11-L10,L14-L13,L17-L16,'R4_G4'!L8-'R4_G4'!L7,'R4_G4'!L11-'R4_G4'!L10,'R4_G4'!L14-'R4_G4'!L13,'R4_G4'!L17-'R4_G4'!L16},8)),0))
</f>
        <v>18</v>
      </c>
      <c r="M23" s="953">
        <f t="array" ref="M23">if(OR(M8="", M11="", M14="", M17="", 'R4_G4'!M8="", 'R4_G4'!M11="", 'R4_G4'!M14=""), "",
if(M19&gt;=1,(small({M8-M7,M11-M10,M14-M13,M17-M16,'R4_G4'!M8-'R4_G4'!M7,'R4_G4'!M11-'R4_G4'!M10,'R4_G4'!M14-'R4_G4'!M13,'R4_G4'!M17-'R4_G4'!M16},1)),0)+
if(M19&gt;=2,(small({M8-M7,M11-M10,M14-M13,M17-M16,'R4_G4'!M8-'R4_G4'!M7,'R4_G4'!M11-'R4_G4'!M10,'R4_G4'!M14-'R4_G4'!M13,'R4_G4'!M17-'R4_G4'!M16},2)),0)+
if(M19&gt;=3,(small({M8-M7,M11-M10,M14-M13,M17-M16,'R4_G4'!M8-'R4_G4'!M7,'R4_G4'!M11-'R4_G4'!M10,'R4_G4'!M14-'R4_G4'!M13,'R4_G4'!M17-'R4_G4'!M16},3)),0)+
if(M19&gt;=4,(small({M8-M7,M11-M10,M14-M13,M17-M16,'R4_G4'!M8-'R4_G4'!M7,'R4_G4'!M11-'R4_G4'!M10,'R4_G4'!M14-'R4_G4'!M13,'R4_G4'!M17-'R4_G4'!M16},4)),0)+
if(M19&gt;=5,(small({M8-M7,M11-M10,M14-M13,M17-M16,'R4_G4'!M8-'R4_G4'!M7,'R4_G4'!M11-'R4_G4'!M10,'R4_G4'!M14-'R4_G4'!M13,'R4_G4'!M17-'R4_G4'!M16},5)),0)+
if(M19&gt;=6,(small({M8-M7,M11-M10,M14-M13,M17-M16,'R4_G4'!M8-'R4_G4'!M7,'R4_G4'!M11-'R4_G4'!M10,'R4_G4'!M14-'R4_G4'!M13,'R4_G4'!M17-'R4_G4'!M16},6)),0)+
if(M19&gt;=7,(small({M8-M7,M11-M10,M14-M13,M17-M16,'R4_G4'!M8-'R4_G4'!M7,'R4_G4'!M11-'R4_G4'!M10,'R4_G4'!M14-'R4_G4'!M13,'R4_G4'!M17-'R4_G4'!M16},7)),0)+
if(M19&gt;=8,(small({M8-M7,M11-M10,M14-M13,M17-M16,'R4_G4'!M8-'R4_G4'!M7,'R4_G4'!M11-'R4_G4'!M10,'R4_G4'!M14-'R4_G4'!M13,'R4_G4'!M17-'R4_G4'!M16},8)),0))
</f>
        <v>16</v>
      </c>
      <c r="N23" s="954"/>
      <c r="O23" s="955"/>
      <c r="P23" s="949" t="s">
        <v>107</v>
      </c>
      <c r="Q23" s="953">
        <f t="array" ref="Q23">if(OR(Q8="", Q11="", Q14="", Q17="", 'R4_G4'!Q8="", 'R4_G4'!Q11="", 'R4_G4'!Q14=""), "",
if(Q19&gt;=1,(small({Q8-Q7,Q11-Q10,Q14-Q13,Q17-Q16,'R4_G4'!Q8-'R4_G4'!Q7,'R4_G4'!Q11-'R4_G4'!Q10,'R4_G4'!Q14-'R4_G4'!Q13,'R4_G4'!Q17-'R4_G4'!Q16},1)),0)+
if(Q19&gt;=2,(small({Q8-Q7,Q11-Q10,Q14-Q13,Q17-Q16,'R4_G4'!Q8-'R4_G4'!Q7,'R4_G4'!Q11-'R4_G4'!Q10,'R4_G4'!Q14-'R4_G4'!Q13,'R4_G4'!Q17-'R4_G4'!Q16},2)),0)+
if(Q19&gt;=3,(small({Q8-Q7,Q11-Q10,Q14-Q13,Q17-Q16,'R4_G4'!Q8-'R4_G4'!Q7,'R4_G4'!Q11-'R4_G4'!Q10,'R4_G4'!Q14-'R4_G4'!Q13,'R4_G4'!Q17-'R4_G4'!Q16},3)),0)+
if(Q19&gt;=4,(small({Q8-Q7,Q11-Q10,Q14-Q13,Q17-Q16,'R4_G4'!Q8-'R4_G4'!Q7,'R4_G4'!Q11-'R4_G4'!Q10,'R4_G4'!Q14-'R4_G4'!Q13,'R4_G4'!Q17-'R4_G4'!Q16},4)),0)+
if(Q19&gt;=5,(small({Q8-Q7,Q11-Q10,Q14-Q13,Q17-Q16,'R4_G4'!Q8-'R4_G4'!Q7,'R4_G4'!Q11-'R4_G4'!Q10,'R4_G4'!Q14-'R4_G4'!Q13,'R4_G4'!Q17-'R4_G4'!Q16},5)),0)+
if(Q19&gt;=6,(small({Q8-Q7,Q11-Q10,Q14-Q13,Q17-Q16,'R4_G4'!Q8-'R4_G4'!Q7,'R4_G4'!Q11-'R4_G4'!Q10,'R4_G4'!Q14-'R4_G4'!Q13,'R4_G4'!Q17-'R4_G4'!Q16},6)),0)+
if(Q19&gt;=7,(small({Q8-Q7,Q11-Q10,Q14-Q13,Q17-Q16,'R4_G4'!Q8-'R4_G4'!Q7,'R4_G4'!Q11-'R4_G4'!Q10,'R4_G4'!Q14-'R4_G4'!Q13,'R4_G4'!Q17-'R4_G4'!Q16},7)),0)+
if(Q19&gt;=8,(small({Q8-Q7,Q11-Q10,Q14-Q13,Q17-Q16,'R4_G4'!Q8-'R4_G4'!Q7,'R4_G4'!Q11-'R4_G4'!Q10,'R4_G4'!Q14-'R4_G4'!Q13,'R4_G4'!Q17-'R4_G4'!Q16},8)),0))
</f>
        <v>23</v>
      </c>
      <c r="R23" s="953">
        <f t="array" ref="R23">if(OR(R8="", R11="", R14="", R17="", 'R4_G4'!R8="", 'R4_G4'!R11="", 'R4_G4'!R14=""), "",
if(R19&gt;=1,(small({R8-R7,R11-R10,R14-R13,R17-R16,'R4_G4'!R8-'R4_G4'!R7,'R4_G4'!R11-'R4_G4'!R10,'R4_G4'!R14-'R4_G4'!R13,'R4_G4'!R17-'R4_G4'!R16},1)),0)+
if(R19&gt;=2,(small({R8-R7,R11-R10,R14-R13,R17-R16,'R4_G4'!R8-'R4_G4'!R7,'R4_G4'!R11-'R4_G4'!R10,'R4_G4'!R14-'R4_G4'!R13,'R4_G4'!R17-'R4_G4'!R16},2)),0)+
if(R19&gt;=3,(small({R8-R7,R11-R10,R14-R13,R17-R16,'R4_G4'!R8-'R4_G4'!R7,'R4_G4'!R11-'R4_G4'!R10,'R4_G4'!R14-'R4_G4'!R13,'R4_G4'!R17-'R4_G4'!R16},3)),0)+
if(R19&gt;=4,(small({R8-R7,R11-R10,R14-R13,R17-R16,'R4_G4'!R8-'R4_G4'!R7,'R4_G4'!R11-'R4_G4'!R10,'R4_G4'!R14-'R4_G4'!R13,'R4_G4'!R17-'R4_G4'!R16},4)),0)+
if(R19&gt;=5,(small({R8-R7,R11-R10,R14-R13,R17-R16,'R4_G4'!R8-'R4_G4'!R7,'R4_G4'!R11-'R4_G4'!R10,'R4_G4'!R14-'R4_G4'!R13,'R4_G4'!R17-'R4_G4'!R16},5)),0)+
if(R19&gt;=6,(small({R8-R7,R11-R10,R14-R13,R17-R16,'R4_G4'!R8-'R4_G4'!R7,'R4_G4'!R11-'R4_G4'!R10,'R4_G4'!R14-'R4_G4'!R13,'R4_G4'!R17-'R4_G4'!R16},6)),0)+
if(R19&gt;=7,(small({R8-R7,R11-R10,R14-R13,R17-R16,'R4_G4'!R8-'R4_G4'!R7,'R4_G4'!R11-'R4_G4'!R10,'R4_G4'!R14-'R4_G4'!R13,'R4_G4'!R17-'R4_G4'!R16},7)),0)+
if(R19&gt;=8,(small({R8-R7,R11-R10,R14-R13,R17-R16,'R4_G4'!R8-'R4_G4'!R7,'R4_G4'!R11-'R4_G4'!R10,'R4_G4'!R14-'R4_G4'!R13,'R4_G4'!R17-'R4_G4'!R16},8)),0))
</f>
        <v>25</v>
      </c>
      <c r="S23" s="953">
        <f t="array" ref="S23">if(OR(S8="", S11="", S14="", S17="", 'R4_G4'!S8="", 'R4_G4'!S11="", 'R4_G4'!S14=""), "",
if(S19&gt;=1,(small({S8-S7,S11-S10,S14-S13,S17-S16,'R4_G4'!S8-'R4_G4'!S7,'R4_G4'!S11-'R4_G4'!S10,'R4_G4'!S14-'R4_G4'!S13,'R4_G4'!S17-'R4_G4'!S16},1)),0)+
if(S19&gt;=2,(small({S8-S7,S11-S10,S14-S13,S17-S16,'R4_G4'!S8-'R4_G4'!S7,'R4_G4'!S11-'R4_G4'!S10,'R4_G4'!S14-'R4_G4'!S13,'R4_G4'!S17-'R4_G4'!S16},2)),0)+
if(S19&gt;=3,(small({S8-S7,S11-S10,S14-S13,S17-S16,'R4_G4'!S8-'R4_G4'!S7,'R4_G4'!S11-'R4_G4'!S10,'R4_G4'!S14-'R4_G4'!S13,'R4_G4'!S17-'R4_G4'!S16},3)),0)+
if(S19&gt;=4,(small({S8-S7,S11-S10,S14-S13,S17-S16,'R4_G4'!S8-'R4_G4'!S7,'R4_G4'!S11-'R4_G4'!S10,'R4_G4'!S14-'R4_G4'!S13,'R4_G4'!S17-'R4_G4'!S16},4)),0)+
if(S19&gt;=5,(small({S8-S7,S11-S10,S14-S13,S17-S16,'R4_G4'!S8-'R4_G4'!S7,'R4_G4'!S11-'R4_G4'!S10,'R4_G4'!S14-'R4_G4'!S13,'R4_G4'!S17-'R4_G4'!S16},5)),0)+
if(S19&gt;=6,(small({S8-S7,S11-S10,S14-S13,S17-S16,'R4_G4'!S8-'R4_G4'!S7,'R4_G4'!S11-'R4_G4'!S10,'R4_G4'!S14-'R4_G4'!S13,'R4_G4'!S17-'R4_G4'!S16},6)),0)+
if(S19&gt;=7,(small({S8-S7,S11-S10,S14-S13,S17-S16,'R4_G4'!S8-'R4_G4'!S7,'R4_G4'!S11-'R4_G4'!S10,'R4_G4'!S14-'R4_G4'!S13,'R4_G4'!S17-'R4_G4'!S16},7)),0)+
if(S19&gt;=8,(small({S8-S7,S11-S10,S14-S13,S17-S16,'R4_G4'!S8-'R4_G4'!S7,'R4_G4'!S11-'R4_G4'!S10,'R4_G4'!S14-'R4_G4'!S13,'R4_G4'!S17-'R4_G4'!S16},8)),0))
</f>
        <v>17</v>
      </c>
      <c r="T23" s="953">
        <f t="array" ref="T23">if(OR(T8="", T11="", T14="", T17="", 'R4_G4'!T8="", 'R4_G4'!T11="", 'R4_G4'!T14=""), "",
if(T19&gt;=1,(small({T8-T7,T11-T10,T14-T13,T17-T16,'R4_G4'!T8-'R4_G4'!T7,'R4_G4'!T11-'R4_G4'!T10,'R4_G4'!T14-'R4_G4'!T13,'R4_G4'!T17-'R4_G4'!T16},1)),0)+
if(T19&gt;=2,(small({T8-T7,T11-T10,T14-T13,T17-T16,'R4_G4'!T8-'R4_G4'!T7,'R4_G4'!T11-'R4_G4'!T10,'R4_G4'!T14-'R4_G4'!T13,'R4_G4'!T17-'R4_G4'!T16},2)),0)+
if(T19&gt;=3,(small({T8-T7,T11-T10,T14-T13,T17-T16,'R4_G4'!T8-'R4_G4'!T7,'R4_G4'!T11-'R4_G4'!T10,'R4_G4'!T14-'R4_G4'!T13,'R4_G4'!T17-'R4_G4'!T16},3)),0)+
if(T19&gt;=4,(small({T8-T7,T11-T10,T14-T13,T17-T16,'R4_G4'!T8-'R4_G4'!T7,'R4_G4'!T11-'R4_G4'!T10,'R4_G4'!T14-'R4_G4'!T13,'R4_G4'!T17-'R4_G4'!T16},4)),0)+
if(T19&gt;=5,(small({T8-T7,T11-T10,T14-T13,T17-T16,'R4_G4'!T8-'R4_G4'!T7,'R4_G4'!T11-'R4_G4'!T10,'R4_G4'!T14-'R4_G4'!T13,'R4_G4'!T17-'R4_G4'!T16},5)),0)+
if(T19&gt;=6,(small({T8-T7,T11-T10,T14-T13,T17-T16,'R4_G4'!T8-'R4_G4'!T7,'R4_G4'!T11-'R4_G4'!T10,'R4_G4'!T14-'R4_G4'!T13,'R4_G4'!T17-'R4_G4'!T16},6)),0)+
if(T19&gt;=7,(small({T8-T7,T11-T10,T14-T13,T17-T16,'R4_G4'!T8-'R4_G4'!T7,'R4_G4'!T11-'R4_G4'!T10,'R4_G4'!T14-'R4_G4'!T13,'R4_G4'!T17-'R4_G4'!T16},7)),0)+
if(T19&gt;=8,(small({T8-T7,T11-T10,T14-T13,T17-T16,'R4_G4'!T8-'R4_G4'!T7,'R4_G4'!T11-'R4_G4'!T10,'R4_G4'!T14-'R4_G4'!T13,'R4_G4'!T17-'R4_G4'!T16},8)),0))
</f>
        <v>31</v>
      </c>
      <c r="U23" s="953">
        <f t="array" ref="U23">if(OR(U8="", U11="", U14="", U17="", 'R4_G4'!U8="", 'R4_G4'!U11="", 'R4_G4'!U14=""), "",
if(U19&gt;=1,(small({U8-U7,U11-U10,U14-U13,U17-U16,'R4_G4'!U8-'R4_G4'!U7,'R4_G4'!U11-'R4_G4'!U10,'R4_G4'!U14-'R4_G4'!U13,'R4_G4'!U17-'R4_G4'!U16},1)),0)+
if(U19&gt;=2,(small({U8-U7,U11-U10,U14-U13,U17-U16,'R4_G4'!U8-'R4_G4'!U7,'R4_G4'!U11-'R4_G4'!U10,'R4_G4'!U14-'R4_G4'!U13,'R4_G4'!U17-'R4_G4'!U16},2)),0)+
if(U19&gt;=3,(small({U8-U7,U11-U10,U14-U13,U17-U16,'R4_G4'!U8-'R4_G4'!U7,'R4_G4'!U11-'R4_G4'!U10,'R4_G4'!U14-'R4_G4'!U13,'R4_G4'!U17-'R4_G4'!U16},3)),0)+
if(U19&gt;=4,(small({U8-U7,U11-U10,U14-U13,U17-U16,'R4_G4'!U8-'R4_G4'!U7,'R4_G4'!U11-'R4_G4'!U10,'R4_G4'!U14-'R4_G4'!U13,'R4_G4'!U17-'R4_G4'!U16},4)),0)+
if(U19&gt;=5,(small({U8-U7,U11-U10,U14-U13,U17-U16,'R4_G4'!U8-'R4_G4'!U7,'R4_G4'!U11-'R4_G4'!U10,'R4_G4'!U14-'R4_G4'!U13,'R4_G4'!U17-'R4_G4'!U16},5)),0)+
if(U19&gt;=6,(small({U8-U7,U11-U10,U14-U13,U17-U16,'R4_G4'!U8-'R4_G4'!U7,'R4_G4'!U11-'R4_G4'!U10,'R4_G4'!U14-'R4_G4'!U13,'R4_G4'!U17-'R4_G4'!U16},6)),0)+
if(U19&gt;=7,(small({U8-U7,U11-U10,U14-U13,U17-U16,'R4_G4'!U8-'R4_G4'!U7,'R4_G4'!U11-'R4_G4'!U10,'R4_G4'!U14-'R4_G4'!U13,'R4_G4'!U17-'R4_G4'!U16},7)),0)+
if(U19&gt;=8,(small({U8-U7,U11-U10,U14-U13,U17-U16,'R4_G4'!U8-'R4_G4'!U7,'R4_G4'!U11-'R4_G4'!U10,'R4_G4'!U14-'R4_G4'!U13,'R4_G4'!U17-'R4_G4'!U16},8)),0))
</f>
        <v>21</v>
      </c>
      <c r="V23" s="953">
        <f t="array" ref="V23">if(OR(V8="", V11="", V14="", V17="", 'R4_G4'!V8="", 'R4_G4'!V11="", 'R4_G4'!V14=""), "",
if(V19&gt;=1,(small({V8-V7,V11-V10,V14-V13,V17-V16,'R4_G4'!V8-'R4_G4'!V7,'R4_G4'!V11-'R4_G4'!V10,'R4_G4'!V14-'R4_G4'!V13,'R4_G4'!V17-'R4_G4'!V16},1)),0)+
if(V19&gt;=2,(small({V8-V7,V11-V10,V14-V13,V17-V16,'R4_G4'!V8-'R4_G4'!V7,'R4_G4'!V11-'R4_G4'!V10,'R4_G4'!V14-'R4_G4'!V13,'R4_G4'!V17-'R4_G4'!V16},2)),0)+
if(V19&gt;=3,(small({V8-V7,V11-V10,V14-V13,V17-V16,'R4_G4'!V8-'R4_G4'!V7,'R4_G4'!V11-'R4_G4'!V10,'R4_G4'!V14-'R4_G4'!V13,'R4_G4'!V17-'R4_G4'!V16},3)),0)+
if(V19&gt;=4,(small({V8-V7,V11-V10,V14-V13,V17-V16,'R4_G4'!V8-'R4_G4'!V7,'R4_G4'!V11-'R4_G4'!V10,'R4_G4'!V14-'R4_G4'!V13,'R4_G4'!V17-'R4_G4'!V16},4)),0)+
if(V19&gt;=5,(small({V8-V7,V11-V10,V14-V13,V17-V16,'R4_G4'!V8-'R4_G4'!V7,'R4_G4'!V11-'R4_G4'!V10,'R4_G4'!V14-'R4_G4'!V13,'R4_G4'!V17-'R4_G4'!V16},5)),0)+
if(V19&gt;=6,(small({V8-V7,V11-V10,V14-V13,V17-V16,'R4_G4'!V8-'R4_G4'!V7,'R4_G4'!V11-'R4_G4'!V10,'R4_G4'!V14-'R4_G4'!V13,'R4_G4'!V17-'R4_G4'!V16},6)),0)+
if(V19&gt;=7,(small({V8-V7,V11-V10,V14-V13,V17-V16,'R4_G4'!V8-'R4_G4'!V7,'R4_G4'!V11-'R4_G4'!V10,'R4_G4'!V14-'R4_G4'!V13,'R4_G4'!V17-'R4_G4'!V16},7)),0)+
if(V19&gt;=8,(small({V8-V7,V11-V10,V14-V13,V17-V16,'R4_G4'!V8-'R4_G4'!V7,'R4_G4'!V11-'R4_G4'!V10,'R4_G4'!V14-'R4_G4'!V13,'R4_G4'!V17-'R4_G4'!V16},8)),0))
</f>
        <v>17</v>
      </c>
      <c r="W23" s="953">
        <f t="array" ref="W23">if(OR(W8="", W11="", W14="", W17="", 'R4_G4'!W8="", 'R4_G4'!W11="", 'R4_G4'!W14=""), "",
if(W19&gt;=1,(small({W8-W7,W11-W10,W14-W13,W17-W16,'R4_G4'!W8-'R4_G4'!W7,'R4_G4'!W11-'R4_G4'!W10,'R4_G4'!W14-'R4_G4'!W13,'R4_G4'!W17-'R4_G4'!W16},1)),0)+
if(W19&gt;=2,(small({W8-W7,W11-W10,W14-W13,W17-W16,'R4_G4'!W8-'R4_G4'!W7,'R4_G4'!W11-'R4_G4'!W10,'R4_G4'!W14-'R4_G4'!W13,'R4_G4'!W17-'R4_G4'!W16},2)),0)+
if(W19&gt;=3,(small({W8-W7,W11-W10,W14-W13,W17-W16,'R4_G4'!W8-'R4_G4'!W7,'R4_G4'!W11-'R4_G4'!W10,'R4_G4'!W14-'R4_G4'!W13,'R4_G4'!W17-'R4_G4'!W16},3)),0)+
if(W19&gt;=4,(small({W8-W7,W11-W10,W14-W13,W17-W16,'R4_G4'!W8-'R4_G4'!W7,'R4_G4'!W11-'R4_G4'!W10,'R4_G4'!W14-'R4_G4'!W13,'R4_G4'!W17-'R4_G4'!W16},4)),0)+
if(W19&gt;=5,(small({W8-W7,W11-W10,W14-W13,W17-W16,'R4_G4'!W8-'R4_G4'!W7,'R4_G4'!W11-'R4_G4'!W10,'R4_G4'!W14-'R4_G4'!W13,'R4_G4'!W17-'R4_G4'!W16},5)),0)+
if(W19&gt;=6,(small({W8-W7,W11-W10,W14-W13,W17-W16,'R4_G4'!W8-'R4_G4'!W7,'R4_G4'!W11-'R4_G4'!W10,'R4_G4'!W14-'R4_G4'!W13,'R4_G4'!W17-'R4_G4'!W16},6)),0)+
if(W19&gt;=7,(small({W8-W7,W11-W10,W14-W13,W17-W16,'R4_G4'!W8-'R4_G4'!W7,'R4_G4'!W11-'R4_G4'!W10,'R4_G4'!W14-'R4_G4'!W13,'R4_G4'!W17-'R4_G4'!W16},7)),0)+
if(W19&gt;=8,(small({W8-W7,W11-W10,W14-W13,W17-W16,'R4_G4'!W8-'R4_G4'!W7,'R4_G4'!W11-'R4_G4'!W10,'R4_G4'!W14-'R4_G4'!W13,'R4_G4'!W17-'R4_G4'!W16},8)),0))
</f>
        <v>25</v>
      </c>
      <c r="X23" s="953">
        <f t="array" ref="X23">if(OR(X8="", X11="", X14="", X17="", 'R4_G4'!X8="", 'R4_G4'!X11="", 'R4_G4'!X14=""), "",
if(X19&gt;=1,(small({X8-X7,X11-X10,X14-X13,X17-X16,'R4_G4'!X8-'R4_G4'!X7,'R4_G4'!X11-'R4_G4'!X10,'R4_G4'!X14-'R4_G4'!X13,'R4_G4'!X17-'R4_G4'!X16},1)),0)+
if(X19&gt;=2,(small({X8-X7,X11-X10,X14-X13,X17-X16,'R4_G4'!X8-'R4_G4'!X7,'R4_G4'!X11-'R4_G4'!X10,'R4_G4'!X14-'R4_G4'!X13,'R4_G4'!X17-'R4_G4'!X16},2)),0)+
if(X19&gt;=3,(small({X8-X7,X11-X10,X14-X13,X17-X16,'R4_G4'!X8-'R4_G4'!X7,'R4_G4'!X11-'R4_G4'!X10,'R4_G4'!X14-'R4_G4'!X13,'R4_G4'!X17-'R4_G4'!X16},3)),0)+
if(X19&gt;=4,(small({X8-X7,X11-X10,X14-X13,X17-X16,'R4_G4'!X8-'R4_G4'!X7,'R4_G4'!X11-'R4_G4'!X10,'R4_G4'!X14-'R4_G4'!X13,'R4_G4'!X17-'R4_G4'!X16},4)),0)+
if(X19&gt;=5,(small({X8-X7,X11-X10,X14-X13,X17-X16,'R4_G4'!X8-'R4_G4'!X7,'R4_G4'!X11-'R4_G4'!X10,'R4_G4'!X14-'R4_G4'!X13,'R4_G4'!X17-'R4_G4'!X16},5)),0)+
if(X19&gt;=6,(small({X8-X7,X11-X10,X14-X13,X17-X16,'R4_G4'!X8-'R4_G4'!X7,'R4_G4'!X11-'R4_G4'!X10,'R4_G4'!X14-'R4_G4'!X13,'R4_G4'!X17-'R4_G4'!X16},6)),0)+
if(X19&gt;=7,(small({X8-X7,X11-X10,X14-X13,X17-X16,'R4_G4'!X8-'R4_G4'!X7,'R4_G4'!X11-'R4_G4'!X10,'R4_G4'!X14-'R4_G4'!X13,'R4_G4'!X17-'R4_G4'!X16},7)),0)+
if(X19&gt;=8,(small({X8-X7,X11-X10,X14-X13,X17-X16,'R4_G4'!X8-'R4_G4'!X7,'R4_G4'!X11-'R4_G4'!X10,'R4_G4'!X14-'R4_G4'!X13,'R4_G4'!X17-'R4_G4'!X16},8)),0))
</f>
        <v>20</v>
      </c>
      <c r="Y23" s="953">
        <f t="array" ref="Y23">if(OR(Y8="", Y11="", Y14="", Y17="", 'R4_G4'!Y8="", 'R4_G4'!Y11="", 'R4_G4'!Y14=""), "",
if(Y19&gt;=1,(small({Y8-Y7,Y11-Y10,Y14-Y13,Y17-Y16,'R4_G4'!Y8-'R4_G4'!Y7,'R4_G4'!Y11-'R4_G4'!Y10,'R4_G4'!Y14-'R4_G4'!Y13,'R4_G4'!Y17-'R4_G4'!Y16},1)),0)+
if(Y19&gt;=2,(small({Y8-Y7,Y11-Y10,Y14-Y13,Y17-Y16,'R4_G4'!Y8-'R4_G4'!Y7,'R4_G4'!Y11-'R4_G4'!Y10,'R4_G4'!Y14-'R4_G4'!Y13,'R4_G4'!Y17-'R4_G4'!Y16},2)),0)+
if(Y19&gt;=3,(small({Y8-Y7,Y11-Y10,Y14-Y13,Y17-Y16,'R4_G4'!Y8-'R4_G4'!Y7,'R4_G4'!Y11-'R4_G4'!Y10,'R4_G4'!Y14-'R4_G4'!Y13,'R4_G4'!Y17-'R4_G4'!Y16},3)),0)+
if(Y19&gt;=4,(small({Y8-Y7,Y11-Y10,Y14-Y13,Y17-Y16,'R4_G4'!Y8-'R4_G4'!Y7,'R4_G4'!Y11-'R4_G4'!Y10,'R4_G4'!Y14-'R4_G4'!Y13,'R4_G4'!Y17-'R4_G4'!Y16},4)),0)+
if(Y19&gt;=5,(small({Y8-Y7,Y11-Y10,Y14-Y13,Y17-Y16,'R4_G4'!Y8-'R4_G4'!Y7,'R4_G4'!Y11-'R4_G4'!Y10,'R4_G4'!Y14-'R4_G4'!Y13,'R4_G4'!Y17-'R4_G4'!Y16},5)),0)+
if(Y19&gt;=6,(small({Y8-Y7,Y11-Y10,Y14-Y13,Y17-Y16,'R4_G4'!Y8-'R4_G4'!Y7,'R4_G4'!Y11-'R4_G4'!Y10,'R4_G4'!Y14-'R4_G4'!Y13,'R4_G4'!Y17-'R4_G4'!Y16},6)),0)+
if(Y19&gt;=7,(small({Y8-Y7,Y11-Y10,Y14-Y13,Y17-Y16,'R4_G4'!Y8-'R4_G4'!Y7,'R4_G4'!Y11-'R4_G4'!Y10,'R4_G4'!Y14-'R4_G4'!Y13,'R4_G4'!Y17-'R4_G4'!Y16},7)),0)+
if(Y19&gt;=8,(small({Y8-Y7,Y11-Y10,Y14-Y13,Y17-Y16,'R4_G4'!Y8-'R4_G4'!Y7,'R4_G4'!Y11-'R4_G4'!Y10,'R4_G4'!Y14-'R4_G4'!Y13,'R4_G4'!Y17-'R4_G4'!Y16},8)),0))
</f>
        <v>30</v>
      </c>
      <c r="Z23" s="478" t="s">
        <v>71</v>
      </c>
      <c r="AA23" s="475" t="s">
        <v>72</v>
      </c>
      <c r="AB23" s="479" t="s">
        <v>73</v>
      </c>
    </row>
    <row r="24" ht="18.75" hidden="1" customHeight="1">
      <c r="A24" s="660"/>
      <c r="B24" s="655" t="str">
        <f>B8</f>
        <v>Drivers</v>
      </c>
      <c r="C24" s="656"/>
      <c r="D24" s="655"/>
      <c r="E24" s="657">
        <f>'FINAL COUNTDOWN'!O2</f>
        <v>0.5</v>
      </c>
      <c r="F24" s="657">
        <f>'FINAL COUNTDOWN'!O3</f>
        <v>1</v>
      </c>
      <c r="G24" s="657">
        <f>'FINAL COUNTDOWN'!O4</f>
        <v>0</v>
      </c>
      <c r="H24" s="657">
        <f>'FINAL COUNTDOWN'!O5</f>
        <v>1</v>
      </c>
      <c r="I24" s="657">
        <f>'FINAL COUNTDOWN'!O6</f>
        <v>0.5</v>
      </c>
      <c r="J24" s="657">
        <f>'FINAL COUNTDOWN'!O7</f>
        <v>0.5</v>
      </c>
      <c r="K24" s="657">
        <f>'FINAL COUNTDOWN'!O8</f>
        <v>0.5</v>
      </c>
      <c r="L24" s="657">
        <f>'FINAL COUNTDOWN'!O9</f>
        <v>0.5</v>
      </c>
      <c r="M24" s="657">
        <f>'FINAL COUNTDOWN'!O10</f>
        <v>1</v>
      </c>
      <c r="N24" s="655"/>
      <c r="O24" s="657"/>
      <c r="P24" s="658"/>
      <c r="Q24" s="1004">
        <f>'FINAL COUNTDOWN'!O12</f>
        <v>2</v>
      </c>
      <c r="R24" s="1004">
        <f>'FINAL COUNTDOWN'!O13</f>
        <v>0</v>
      </c>
      <c r="S24" s="1004">
        <f>'FINAL COUNTDOWN'!O14</f>
        <v>1</v>
      </c>
      <c r="T24" s="1004">
        <f>'FINAL COUNTDOWN'!O15</f>
        <v>2</v>
      </c>
      <c r="U24" s="1004">
        <f>'FINAL COUNTDOWN'!O16</f>
        <v>0</v>
      </c>
      <c r="V24" s="1004">
        <f>'FINAL COUNTDOWN'!O17</f>
        <v>0</v>
      </c>
      <c r="W24" s="1004">
        <f>'FINAL COUNTDOWN'!O18</f>
        <v>2</v>
      </c>
      <c r="X24" s="1004">
        <f>'FINAL COUNTDOWN'!O19</f>
        <v>2</v>
      </c>
      <c r="Y24" s="1004">
        <f>'FINAL COUNTDOWN'!O20</f>
        <v>2</v>
      </c>
      <c r="Z24" s="483"/>
      <c r="AA24" s="483"/>
      <c r="AB24" s="956">
        <f>sum(E24:Y24)</f>
        <v>16.5</v>
      </c>
    </row>
    <row r="25" ht="18.75" hidden="1" customHeight="1">
      <c r="A25" s="649" t="str">
        <f>A8</f>
        <v>Telly</v>
      </c>
      <c r="B25" s="649"/>
      <c r="C25" s="650"/>
      <c r="D25" s="649"/>
      <c r="E25" s="492">
        <f>if('Captains Card 2'!E39&lt;small('Captains Card 2'!E$39:E$46,E$19),1,if('Captains Card 2'!E39=small('Captains Card 2'!E$39:E$46,E$19),(E$19-countif('Captains Card 2'!E$39:E$46,"&lt;"&amp;small('Captains Card 2'!E$39:E$46,E$19)))/countif('Captains Card 2'!E$39:E$46,small('Captains Card 2'!E$39:E$46,E$19)),0))</f>
        <v>0.5</v>
      </c>
      <c r="F25" s="492">
        <f>if('Captains Card 2'!F39&lt;small('Captains Card 2'!F$39:F$46,F$19),1,if('Captains Card 2'!F39=small('Captains Card 2'!F$39:F$46,F$19),(F$19-countif('Captains Card 2'!F$39:F$46,"&lt;"&amp;small('Captains Card 2'!F$39:F$46,F$19)))/countif('Captains Card 2'!F$39:F$46,small('Captains Card 2'!F$39:F$46,F$19)),0))</f>
        <v>0.3333333333</v>
      </c>
      <c r="G25" s="492">
        <f>if('Captains Card 2'!G39&lt;small('Captains Card 2'!G$39:G$46,G$19),1,if('Captains Card 2'!G39=small('Captains Card 2'!G$39:G$46,G$19),(G$19-countif('Captains Card 2'!G$39:G$46,"&lt;"&amp;small('Captains Card 2'!G$39:G$46,G$19)))/countif('Captains Card 2'!G$39:G$46,small('Captains Card 2'!G$39:G$46,G$19)),0))</f>
        <v>1</v>
      </c>
      <c r="H25" s="492">
        <f>if('Captains Card 2'!H39&lt;small('Captains Card 2'!H$39:H$46,H$19),1,if('Captains Card 2'!H39=small('Captains Card 2'!H$39:H$46,H$19),(H$19-countif('Captains Card 2'!H$39:H$46,"&lt;"&amp;small('Captains Card 2'!H$39:H$46,H$19)))/countif('Captains Card 2'!H$39:H$46,small('Captains Card 2'!H$39:H$46,H$19)),0))</f>
        <v>0.25</v>
      </c>
      <c r="I25" s="492">
        <f>if('Captains Card 2'!I39&lt;small('Captains Card 2'!I$39:I$46,I$19),1,if('Captains Card 2'!I39=small('Captains Card 2'!I$39:I$46,I$19),(I$19-countif('Captains Card 2'!I$39:I$46,"&lt;"&amp;small('Captains Card 2'!I$39:I$46,I$19)))/countif('Captains Card 2'!I$39:I$46,small('Captains Card 2'!I$39:I$46,I$19)),0))</f>
        <v>1</v>
      </c>
      <c r="J25" s="492">
        <f>if('Captains Card 2'!J39&lt;small('Captains Card 2'!J$39:J$46,J$19),1,if('Captains Card 2'!J39=small('Captains Card 2'!J$39:J$46,J$19),(J$19-countif('Captains Card 2'!J$39:J$46,"&lt;"&amp;small('Captains Card 2'!J$39:J$46,J$19)))/countif('Captains Card 2'!J$39:J$46,small('Captains Card 2'!J$39:J$46,J$19)),0))</f>
        <v>0</v>
      </c>
      <c r="K25" s="492">
        <f>if('Captains Card 2'!K39&lt;small('Captains Card 2'!K$39:K$46,K$19),1,if('Captains Card 2'!K39=small('Captains Card 2'!K$39:K$46,K$19),(K$19-countif('Captains Card 2'!K$39:K$46,"&lt;"&amp;small('Captains Card 2'!K$39:K$46,K$19)))/countif('Captains Card 2'!K$39:K$46,small('Captains Card 2'!K$39:K$46,K$19)),0))</f>
        <v>1</v>
      </c>
      <c r="L25" s="492">
        <f>if('Captains Card 2'!L39&lt;small('Captains Card 2'!L$39:L$46,L$19),1,if('Captains Card 2'!L39=small('Captains Card 2'!L$39:L$46,L$19),(L$19-countif('Captains Card 2'!L$39:L$46,"&lt;"&amp;small('Captains Card 2'!L$39:L$46,L$19)))/countif('Captains Card 2'!L$39:L$46,small('Captains Card 2'!L$39:L$46,L$19)),0))</f>
        <v>1</v>
      </c>
      <c r="M25" s="492">
        <f>if('Captains Card 2'!M39&lt;small('Captains Card 2'!M$39:M$46,M$19),1,if('Captains Card 2'!M39=small('Captains Card 2'!M$39:M$46,M$19),(M$19-countif('Captains Card 2'!M$39:M$46,"&lt;"&amp;small('Captains Card 2'!M$39:M$46,M$19)))/countif('Captains Card 2'!M$39:M$46,small('Captains Card 2'!M$39:M$46,M$19)),0))</f>
        <v>0</v>
      </c>
      <c r="N25" s="470"/>
      <c r="O25" s="470"/>
      <c r="P25" s="470"/>
      <c r="Q25" s="492">
        <f>if('Captains Card 2'!Q39&lt;small('Captains Card 2'!Q$39:Q$46,Q$19),1,
if('Captains Card 2'!Q39=small('Captains Card 2'!Q$39:Q$46,Q$19),
(Q$19-countif('Captains Card 2'!Q$39:Q$46,"&lt;"&amp;small('Captains Card 2'!Q$39:Q$46,Q$19)))
/countif('Captains Card 2'!Q$39:Q$46,small('Captains Card 2'!Q$39:Q$46,Q$19)),0))</f>
        <v>1</v>
      </c>
      <c r="R25" s="492">
        <f>if('Captains Card 2'!R39&lt;small('Captains Card 2'!R$39:R$46,R$19),1,if('Captains Card 2'!R39=small('Captains Card 2'!R$39:R$46,R$19),(R$19-countif('Captains Card 2'!R$39:R$46,"&lt;"&amp;small('Captains Card 2'!R$39:R$46,R$19)))/countif('Captains Card 2'!R$39:R$46,small('Captains Card 2'!R$39:R$46,R$19)),0))</f>
        <v>1</v>
      </c>
      <c r="S25" s="492">
        <f>if('Captains Card 2'!S39&lt;small('Captains Card 2'!S$39:S$46,S$19),1,if('Captains Card 2'!S39=small('Captains Card 2'!S$39:S$46,S$19),(S$19-countif('Captains Card 2'!S$39:S$46,"&lt;"&amp;small('Captains Card 2'!S$39:S$46,S$19)))/countif('Captains Card 2'!S$39:S$46,small('Captains Card 2'!S$39:S$46,S$19)),0))</f>
        <v>1</v>
      </c>
      <c r="T25" s="492">
        <f>if('Captains Card 2'!T39&lt;small('Captains Card 2'!T$39:T$46,T$19),1,if('Captains Card 2'!T39=small('Captains Card 2'!T$39:T$46,T$19),(T$19-countif('Captains Card 2'!T$39:T$46,"&lt;"&amp;small('Captains Card 2'!T$39:T$46,T$19)))/countif('Captains Card 2'!T$39:T$46,small('Captains Card 2'!T$39:T$46,T$19)),0))</f>
        <v>1</v>
      </c>
      <c r="U25" s="492">
        <f>if('Captains Card 2'!U39&lt;small('Captains Card 2'!U$39:U$46,U$19),1,if('Captains Card 2'!U39=small('Captains Card 2'!U$39:U$46,U$19),(U$19-countif('Captains Card 2'!U$39:U$46,"&lt;"&amp;small('Captains Card 2'!U$39:U$46,U$19)))/countif('Captains Card 2'!U$39:U$46,small('Captains Card 2'!U$39:U$46,U$19)),0))</f>
        <v>0</v>
      </c>
      <c r="V25" s="492">
        <f>if('Captains Card 2'!V39&lt;small('Captains Card 2'!V$39:V$46,V$19),1,if('Captains Card 2'!V39=small('Captains Card 2'!V$39:V$46,V$19),(V$19-countif('Captains Card 2'!V$39:V$46,"&lt;"&amp;small('Captains Card 2'!V$39:V$46,V$19)))/countif('Captains Card 2'!V$39:V$46,small('Captains Card 2'!V$39:V$46,V$19)),0))</f>
        <v>1</v>
      </c>
      <c r="W25" s="492">
        <f>if('Captains Card 2'!W39&lt;small('Captains Card 2'!W$39:W$46,W$19),1,if('Captains Card 2'!W39=small('Captains Card 2'!W$39:W$46,W$19),(W$19-countif('Captains Card 2'!W$39:W$46,"&lt;"&amp;small('Captains Card 2'!W$39:W$46,W$19)))/countif('Captains Card 2'!W$39:W$46,small('Captains Card 2'!W$39:W$46,W$19)),0))</f>
        <v>1</v>
      </c>
      <c r="X25" s="492">
        <f>if('Captains Card 2'!X39&lt;small('Captains Card 2'!X$39:X$46,X$19),1,if('Captains Card 2'!X39=small('Captains Card 2'!X$39:X$46,X$19),(X$19-countif('Captains Card 2'!X$39:X$46,"&lt;"&amp;small('Captains Card 2'!X$39:X$46,X$19)))/countif('Captains Card 2'!X$39:X$46,small('Captains Card 2'!X$39:X$46,X$19)),0))</f>
        <v>1</v>
      </c>
      <c r="Y25" s="492">
        <f>if('Captains Card 2'!Y39&lt;small('Captains Card 2'!Y$39:Y$46,Y$19),1,if('Captains Card 2'!Y39=small('Captains Card 2'!Y$39:Y$46,Y$19),(Y$19-countif('Captains Card 2'!Y$39:Y$46,"&lt;"&amp;small('Captains Card 2'!Y$39:Y$46,Y$19)))/countif('Captains Card 2'!Y$39:Y$46,small('Captains Card 2'!Y$39:Y$46,Y$19)),0))</f>
        <v>1</v>
      </c>
      <c r="Z25" s="957">
        <f t="shared" ref="Z25:Z28" si="21">if(Y$8="","", sum(E25:M25,Q25:Y25))</f>
        <v>13.08333333</v>
      </c>
      <c r="AA25" s="958">
        <f t="shared" ref="AA25:AA28" si="22">if(Y$8="","",sumif($E$24:$M$24,"&gt;0.5",E25:M25)+sumif($E$24:$M$24,0.5,E25:M25)/2+sumif($Q$24:$Y$24,"&gt;1",Q25:Y25)+sumif($Q$24:$Y$24,1,Q25:Y25)/2)</f>
        <v>7.833333333</v>
      </c>
      <c r="AB25" s="492">
        <f t="shared" ref="AB25:AB28" si="23">if(Y$8="","",Z25/(sum($E$19:$M$19,$Q$19:$Y$19))*$AB$24)</f>
        <v>2.180555556</v>
      </c>
    </row>
    <row r="26" ht="18.75" hidden="1" customHeight="1">
      <c r="A26" s="649" t="str">
        <f>A11</f>
        <v>TJSC</v>
      </c>
      <c r="B26" s="649"/>
      <c r="C26" s="650"/>
      <c r="D26" s="649"/>
      <c r="E26" s="492">
        <f>if('Captains Card 2'!E40&lt;small('Captains Card 2'!E$39:E$46,E$19),1,if('Captains Card 2'!E40=small('Captains Card 2'!E$39:E$46,E$19),(E$19-countif('Captains Card 2'!E$39:E$46,"&lt;"&amp;small('Captains Card 2'!E$39:E$46,E$19)))/countif('Captains Card 2'!E$39:E$46,small('Captains Card 2'!E$39:E$46,E$19)),0))</f>
        <v>1</v>
      </c>
      <c r="F26" s="492">
        <f>if('Captains Card 2'!F40&lt;small('Captains Card 2'!F$39:F$46,F$19),1,if('Captains Card 2'!F40=small('Captains Card 2'!F$39:F$46,F$19),(F$19-countif('Captains Card 2'!F$39:F$46,"&lt;"&amp;small('Captains Card 2'!F$39:F$46,F$19)))/countif('Captains Card 2'!F$39:F$46,small('Captains Card 2'!F$39:F$46,F$19)),0))</f>
        <v>1</v>
      </c>
      <c r="G26" s="492">
        <f>if('Captains Card 2'!G40&lt;small('Captains Card 2'!G$39:G$46,G$19),1,if('Captains Card 2'!G40=small('Captains Card 2'!G$39:G$46,G$19),(G$19-countif('Captains Card 2'!G$39:G$46,"&lt;"&amp;small('Captains Card 2'!G$39:G$46,G$19)))/countif('Captains Card 2'!G$39:G$46,small('Captains Card 2'!G$39:G$46,G$19)),0))</f>
        <v>0</v>
      </c>
      <c r="H26" s="492">
        <f>if('Captains Card 2'!H40&lt;small('Captains Card 2'!H$39:H$46,H$19),1,if('Captains Card 2'!H40=small('Captains Card 2'!H$39:H$46,H$19),(H$19-countif('Captains Card 2'!H$39:H$46,"&lt;"&amp;small('Captains Card 2'!H$39:H$46,H$19)))/countif('Captains Card 2'!H$39:H$46,small('Captains Card 2'!H$39:H$46,H$19)),0))</f>
        <v>1</v>
      </c>
      <c r="I26" s="492">
        <f>if('Captains Card 2'!I40&lt;small('Captains Card 2'!I$39:I$46,I$19),1,if('Captains Card 2'!I40=small('Captains Card 2'!I$39:I$46,I$19),(I$19-countif('Captains Card 2'!I$39:I$46,"&lt;"&amp;small('Captains Card 2'!I$39:I$46,I$19)))/countif('Captains Card 2'!I$39:I$46,small('Captains Card 2'!I$39:I$46,I$19)),0))</f>
        <v>1</v>
      </c>
      <c r="J26" s="492">
        <f>if('Captains Card 2'!J40&lt;small('Captains Card 2'!J$39:J$46,J$19),1,if('Captains Card 2'!J40=small('Captains Card 2'!J$39:J$46,J$19),(J$19-countif('Captains Card 2'!J$39:J$46,"&lt;"&amp;small('Captains Card 2'!J$39:J$46,J$19)))/countif('Captains Card 2'!J$39:J$46,small('Captains Card 2'!J$39:J$46,J$19)),0))</f>
        <v>1</v>
      </c>
      <c r="K26" s="492">
        <f>if('Captains Card 2'!K40&lt;small('Captains Card 2'!K$39:K$46,K$19),1,if('Captains Card 2'!K40=small('Captains Card 2'!K$39:K$46,K$19),(K$19-countif('Captains Card 2'!K$39:K$46,"&lt;"&amp;small('Captains Card 2'!K$39:K$46,K$19)))/countif('Captains Card 2'!K$39:K$46,small('Captains Card 2'!K$39:K$46,K$19)),0))</f>
        <v>1</v>
      </c>
      <c r="L26" s="492">
        <f>if('Captains Card 2'!L40&lt;small('Captains Card 2'!L$39:L$46,L$19),1,if('Captains Card 2'!L40=small('Captains Card 2'!L$39:L$46,L$19),(L$19-countif('Captains Card 2'!L$39:L$46,"&lt;"&amp;small('Captains Card 2'!L$39:L$46,L$19)))/countif('Captains Card 2'!L$39:L$46,small('Captains Card 2'!L$39:L$46,L$19)),0))</f>
        <v>0</v>
      </c>
      <c r="M26" s="492">
        <f>if('Captains Card 2'!M40&lt;small('Captains Card 2'!M$39:M$46,M$19),1,if('Captains Card 2'!M40=small('Captains Card 2'!M$39:M$46,M$19),(M$19-countif('Captains Card 2'!M$39:M$46,"&lt;"&amp;small('Captains Card 2'!M$39:M$46,M$19)))/countif('Captains Card 2'!M$39:M$46,small('Captains Card 2'!M$39:M$46,M$19)),0))</f>
        <v>1</v>
      </c>
      <c r="N26" s="470"/>
      <c r="O26" s="470"/>
      <c r="P26" s="470"/>
      <c r="Q26" s="492">
        <f>if('Captains Card 2'!Q40&lt;small('Captains Card 2'!Q$39:Q$46,Q$19),1,if('Captains Card 2'!Q40=small('Captains Card 2'!Q$39:Q$46,Q$19),(Q$19-countif('Captains Card 2'!Q$39:Q$46,"&lt;"&amp;small('Captains Card 2'!Q$39:Q$46,Q$19)))/countif('Captains Card 2'!Q$39:Q$46,small('Captains Card 2'!Q$39:Q$46,Q$19)),0))</f>
        <v>0</v>
      </c>
      <c r="R26" s="492">
        <f>if('Captains Card 2'!R40&lt;small('Captains Card 2'!R$39:R$46,R$19),1,if('Captains Card 2'!R40=small('Captains Card 2'!R$39:R$46,R$19),(R$19-countif('Captains Card 2'!R$39:R$46,"&lt;"&amp;small('Captains Card 2'!R$39:R$46,R$19)))/countif('Captains Card 2'!R$39:R$46,small('Captains Card 2'!R$39:R$46,R$19)),0))</f>
        <v>0</v>
      </c>
      <c r="S26" s="492">
        <f>if('Captains Card 2'!S40&lt;small('Captains Card 2'!S$39:S$46,S$19),1,if('Captains Card 2'!S40=small('Captains Card 2'!S$39:S$46,S$19),(S$19-countif('Captains Card 2'!S$39:S$46,"&lt;"&amp;small('Captains Card 2'!S$39:S$46,S$19)))/countif('Captains Card 2'!S$39:S$46,small('Captains Card 2'!S$39:S$46,S$19)),0))</f>
        <v>0.5</v>
      </c>
      <c r="T26" s="492">
        <f>if('Captains Card 2'!T40&lt;small('Captains Card 2'!T$39:T$46,T$19),1,if('Captains Card 2'!T40=small('Captains Card 2'!T$39:T$46,T$19),(T$19-countif('Captains Card 2'!T$39:T$46,"&lt;"&amp;small('Captains Card 2'!T$39:T$46,T$19)))/countif('Captains Card 2'!T$39:T$46,small('Captains Card 2'!T$39:T$46,T$19)),0))</f>
        <v>1</v>
      </c>
      <c r="U26" s="492">
        <f>if('Captains Card 2'!U40&lt;small('Captains Card 2'!U$39:U$46,U$19),1,if('Captains Card 2'!U40=small('Captains Card 2'!U$39:U$46,U$19),(U$19-countif('Captains Card 2'!U$39:U$46,"&lt;"&amp;small('Captains Card 2'!U$39:U$46,U$19)))/countif('Captains Card 2'!U$39:U$46,small('Captains Card 2'!U$39:U$46,U$19)),0))</f>
        <v>1</v>
      </c>
      <c r="V26" s="492">
        <f>if('Captains Card 2'!V40&lt;small('Captains Card 2'!V$39:V$46,V$19),1,if('Captains Card 2'!V40=small('Captains Card 2'!V$39:V$46,V$19),(V$19-countif('Captains Card 2'!V$39:V$46,"&lt;"&amp;small('Captains Card 2'!V$39:V$46,V$19)))/countif('Captains Card 2'!V$39:V$46,small('Captains Card 2'!V$39:V$46,V$19)),0))</f>
        <v>1</v>
      </c>
      <c r="W26" s="492">
        <f>if('Captains Card 2'!W40&lt;small('Captains Card 2'!W$39:W$46,W$19),1,if('Captains Card 2'!W40=small('Captains Card 2'!W$39:W$46,W$19),(W$19-countif('Captains Card 2'!W$39:W$46,"&lt;"&amp;small('Captains Card 2'!W$39:W$46,W$19)))/countif('Captains Card 2'!W$39:W$46,small('Captains Card 2'!W$39:W$46,W$19)),0))</f>
        <v>0.6666666667</v>
      </c>
      <c r="X26" s="492">
        <f>if('Captains Card 2'!X40&lt;small('Captains Card 2'!X$39:X$46,X$19),1,if('Captains Card 2'!X40=small('Captains Card 2'!X$39:X$46,X$19),(X$19-countif('Captains Card 2'!X$39:X$46,"&lt;"&amp;small('Captains Card 2'!X$39:X$46,X$19)))/countif('Captains Card 2'!X$39:X$46,small('Captains Card 2'!X$39:X$46,X$19)),0))</f>
        <v>1</v>
      </c>
      <c r="Y26" s="492">
        <f>if('Captains Card 2'!Y40&lt;small('Captains Card 2'!Y$39:Y$46,Y$19),1,if('Captains Card 2'!Y40=small('Captains Card 2'!Y$39:Y$46,Y$19),(Y$19-countif('Captains Card 2'!Y$39:Y$46,"&lt;"&amp;small('Captains Card 2'!Y$39:Y$46,Y$19)))/countif('Captains Card 2'!Y$39:Y$46,small('Captains Card 2'!Y$39:Y$46,Y$19)),0))</f>
        <v>1</v>
      </c>
      <c r="Z26" s="957">
        <f t="shared" si="21"/>
        <v>13.16666667</v>
      </c>
      <c r="AA26" s="958">
        <f t="shared" si="22"/>
        <v>8.916666667</v>
      </c>
      <c r="AB26" s="492">
        <f t="shared" si="23"/>
        <v>2.194444444</v>
      </c>
    </row>
    <row r="27" ht="18.75" hidden="1" customHeight="1">
      <c r="A27" s="649" t="str">
        <f>A14</f>
        <v>Weezy</v>
      </c>
      <c r="B27" s="649"/>
      <c r="C27" s="650"/>
      <c r="D27" s="649"/>
      <c r="E27" s="492">
        <f>if('Captains Card 2'!E41&lt;small('Captains Card 2'!E$39:E$46,E$19),1,if('Captains Card 2'!E41=small('Captains Card 2'!E$39:E$46,E$19),(E$19-countif('Captains Card 2'!E$39:E$46,"&lt;"&amp;small('Captains Card 2'!E$39:E$46,E$19)))/countif('Captains Card 2'!E$39:E$46,small('Captains Card 2'!E$39:E$46,E$19)),0))</f>
        <v>0</v>
      </c>
      <c r="F27" s="492">
        <f>if('Captains Card 2'!F41&lt;small('Captains Card 2'!F$39:F$46,F$19),1,if('Captains Card 2'!F41=small('Captains Card 2'!F$39:F$46,F$19),(F$19-countif('Captains Card 2'!F$39:F$46,"&lt;"&amp;small('Captains Card 2'!F$39:F$46,F$19)))/countif('Captains Card 2'!F$39:F$46,small('Captains Card 2'!F$39:F$46,F$19)),0))</f>
        <v>1</v>
      </c>
      <c r="G27" s="492">
        <f>if('Captains Card 2'!G41&lt;small('Captains Card 2'!G$39:G$46,G$19),1,if('Captains Card 2'!G41=small('Captains Card 2'!G$39:G$46,G$19),(G$19-countif('Captains Card 2'!G$39:G$46,"&lt;"&amp;small('Captains Card 2'!G$39:G$46,G$19)))/countif('Captains Card 2'!G$39:G$46,small('Captains Card 2'!G$39:G$46,G$19)),0))</f>
        <v>1</v>
      </c>
      <c r="H27" s="492">
        <f>if('Captains Card 2'!H41&lt;small('Captains Card 2'!H$39:H$46,H$19),1,if('Captains Card 2'!H41=small('Captains Card 2'!H$39:H$46,H$19),(H$19-countif('Captains Card 2'!H$39:H$46,"&lt;"&amp;small('Captains Card 2'!H$39:H$46,H$19)))/countif('Captains Card 2'!H$39:H$46,small('Captains Card 2'!H$39:H$46,H$19)),0))</f>
        <v>1</v>
      </c>
      <c r="I27" s="492">
        <f>if('Captains Card 2'!I41&lt;small('Captains Card 2'!I$39:I$46,I$19),1,if('Captains Card 2'!I41=small('Captains Card 2'!I$39:I$46,I$19),(I$19-countif('Captains Card 2'!I$39:I$46,"&lt;"&amp;small('Captains Card 2'!I$39:I$46,I$19)))/countif('Captains Card 2'!I$39:I$46,small('Captains Card 2'!I$39:I$46,I$19)),0))</f>
        <v>0.3333333333</v>
      </c>
      <c r="J27" s="492">
        <f>if('Captains Card 2'!J41&lt;small('Captains Card 2'!J$39:J$46,J$19),1,if('Captains Card 2'!J41=small('Captains Card 2'!J$39:J$46,J$19),(J$19-countif('Captains Card 2'!J$39:J$46,"&lt;"&amp;small('Captains Card 2'!J$39:J$46,J$19)))/countif('Captains Card 2'!J$39:J$46,small('Captains Card 2'!J$39:J$46,J$19)),0))</f>
        <v>1</v>
      </c>
      <c r="K27" s="492">
        <f>if('Captains Card 2'!K41&lt;small('Captains Card 2'!K$39:K$46,K$19),1,if('Captains Card 2'!K41=small('Captains Card 2'!K$39:K$46,K$19),(K$19-countif('Captains Card 2'!K$39:K$46,"&lt;"&amp;small('Captains Card 2'!K$39:K$46,K$19)))/countif('Captains Card 2'!K$39:K$46,small('Captains Card 2'!K$39:K$46,K$19)),0))</f>
        <v>0.3333333333</v>
      </c>
      <c r="L27" s="492">
        <f>if('Captains Card 2'!L41&lt;small('Captains Card 2'!L$39:L$46,L$19),1,if('Captains Card 2'!L41=small('Captains Card 2'!L$39:L$46,L$19),(L$19-countif('Captains Card 2'!L$39:L$46,"&lt;"&amp;small('Captains Card 2'!L$39:L$46,L$19)))/countif('Captains Card 2'!L$39:L$46,small('Captains Card 2'!L$39:L$46,L$19)),0))</f>
        <v>1</v>
      </c>
      <c r="M27" s="492">
        <f>if('Captains Card 2'!M41&lt;small('Captains Card 2'!M$39:M$46,M$19),1,if('Captains Card 2'!M41=small('Captains Card 2'!M$39:M$46,M$19),(M$19-countif('Captains Card 2'!M$39:M$46,"&lt;"&amp;small('Captains Card 2'!M$39:M$46,M$19)))/countif('Captains Card 2'!M$39:M$46,small('Captains Card 2'!M$39:M$46,M$19)),0))</f>
        <v>1</v>
      </c>
      <c r="N27" s="470"/>
      <c r="O27" s="470"/>
      <c r="P27" s="470"/>
      <c r="Q27" s="492">
        <f>if('Captains Card 2'!Q41&lt;small('Captains Card 2'!Q$39:Q$46,Q$19),1,if('Captains Card 2'!Q41=small('Captains Card 2'!Q$39:Q$46,Q$19),(Q$19-countif('Captains Card 2'!Q$39:Q$46,"&lt;"&amp;small('Captains Card 2'!Q$39:Q$46,Q$19)))/countif('Captains Card 2'!Q$39:Q$46,small('Captains Card 2'!Q$39:Q$46,Q$19)),0))</f>
        <v>1</v>
      </c>
      <c r="R27" s="492">
        <f>if('Captains Card 2'!R41&lt;small('Captains Card 2'!R$39:R$46,R$19),1,if('Captains Card 2'!R41=small('Captains Card 2'!R$39:R$46,R$19),(R$19-countif('Captains Card 2'!R$39:R$46,"&lt;"&amp;small('Captains Card 2'!R$39:R$46,R$19)))/countif('Captains Card 2'!R$39:R$46,small('Captains Card 2'!R$39:R$46,R$19)),0))</f>
        <v>1</v>
      </c>
      <c r="S27" s="492">
        <f>if('Captains Card 2'!S41&lt;small('Captains Card 2'!S$39:S$46,S$19),1,if('Captains Card 2'!S41=small('Captains Card 2'!S$39:S$46,S$19),(S$19-countif('Captains Card 2'!S$39:S$46,"&lt;"&amp;small('Captains Card 2'!S$39:S$46,S$19)))/countif('Captains Card 2'!S$39:S$46,small('Captains Card 2'!S$39:S$46,S$19)),0))</f>
        <v>1</v>
      </c>
      <c r="T27" s="492">
        <f>if('Captains Card 2'!T41&lt;small('Captains Card 2'!T$39:T$46,T$19),1,if('Captains Card 2'!T41=small('Captains Card 2'!T$39:T$46,T$19),(T$19-countif('Captains Card 2'!T$39:T$46,"&lt;"&amp;small('Captains Card 2'!T$39:T$46,T$19)))/countif('Captains Card 2'!T$39:T$46,small('Captains Card 2'!T$39:T$46,T$19)),0))</f>
        <v>0</v>
      </c>
      <c r="U27" s="492">
        <f>if('Captains Card 2'!U41&lt;small('Captains Card 2'!U$39:U$46,U$19),1,if('Captains Card 2'!U41=small('Captains Card 2'!U$39:U$46,U$19),(U$19-countif('Captains Card 2'!U$39:U$46,"&lt;"&amp;small('Captains Card 2'!U$39:U$46,U$19)))/countif('Captains Card 2'!U$39:U$46,small('Captains Card 2'!U$39:U$46,U$19)),0))</f>
        <v>1</v>
      </c>
      <c r="V27" s="492">
        <f>if('Captains Card 2'!V41&lt;small('Captains Card 2'!V$39:V$46,V$19),1,if('Captains Card 2'!V41=small('Captains Card 2'!V$39:V$46,V$19),(V$19-countif('Captains Card 2'!V$39:V$46,"&lt;"&amp;small('Captains Card 2'!V$39:V$46,V$19)))/countif('Captains Card 2'!V$39:V$46,small('Captains Card 2'!V$39:V$46,V$19)),0))</f>
        <v>0.3333333333</v>
      </c>
      <c r="W27" s="492">
        <f>if('Captains Card 2'!W41&lt;small('Captains Card 2'!W$39:W$46,W$19),1,if('Captains Card 2'!W41=small('Captains Card 2'!W$39:W$46,W$19),(W$19-countif('Captains Card 2'!W$39:W$46,"&lt;"&amp;small('Captains Card 2'!W$39:W$46,W$19)))/countif('Captains Card 2'!W$39:W$46,small('Captains Card 2'!W$39:W$46,W$19)),0))</f>
        <v>0.6666666667</v>
      </c>
      <c r="X27" s="492">
        <f>if('Captains Card 2'!X41&lt;small('Captains Card 2'!X$39:X$46,X$19),1,if('Captains Card 2'!X41=small('Captains Card 2'!X$39:X$46,X$19),(X$19-countif('Captains Card 2'!X$39:X$46,"&lt;"&amp;small('Captains Card 2'!X$39:X$46,X$19)))/countif('Captains Card 2'!X$39:X$46,small('Captains Card 2'!X$39:X$46,X$19)),0))</f>
        <v>0.75</v>
      </c>
      <c r="Y27" s="492">
        <f>if('Captains Card 2'!Y41&lt;small('Captains Card 2'!Y$39:Y$46,Y$19),1,if('Captains Card 2'!Y41=small('Captains Card 2'!Y$39:Y$46,Y$19),(Y$19-countif('Captains Card 2'!Y$39:Y$46,"&lt;"&amp;small('Captains Card 2'!Y$39:Y$46,Y$19)))/countif('Captains Card 2'!Y$39:Y$46,small('Captains Card 2'!Y$39:Y$46,Y$19)),0))</f>
        <v>0</v>
      </c>
      <c r="Z27" s="957">
        <f t="shared" si="21"/>
        <v>12.41666667</v>
      </c>
      <c r="AA27" s="958">
        <f t="shared" si="22"/>
        <v>7.25</v>
      </c>
      <c r="AB27" s="492">
        <f t="shared" si="23"/>
        <v>2.069444444</v>
      </c>
    </row>
    <row r="28" ht="18.75" hidden="1" customHeight="1">
      <c r="A28" s="649" t="str">
        <f>A17</f>
        <v>Joe O</v>
      </c>
      <c r="B28" s="649"/>
      <c r="C28" s="650"/>
      <c r="D28" s="649"/>
      <c r="E28" s="492">
        <f>if('Captains Card 2'!E42&lt;small('Captains Card 2'!E$39:E$46,E$19),1,if('Captains Card 2'!E42=small('Captains Card 2'!E$39:E$46,E$19),(E$19-countif('Captains Card 2'!E$39:E$46,"&lt;"&amp;small('Captains Card 2'!E$39:E$46,E$19)))/countif('Captains Card 2'!E$39:E$46,small('Captains Card 2'!E$39:E$46,E$19)),0))</f>
        <v>1</v>
      </c>
      <c r="F28" s="492">
        <f>if('Captains Card 2'!F42&lt;small('Captains Card 2'!F$39:F$46,F$19),1,if('Captains Card 2'!F42=small('Captains Card 2'!F$39:F$46,F$19),(F$19-countif('Captains Card 2'!F$39:F$46,"&lt;"&amp;small('Captains Card 2'!F$39:F$46,F$19)))/countif('Captains Card 2'!F$39:F$46,small('Captains Card 2'!F$39:F$46,F$19)),0))</f>
        <v>0.3333333333</v>
      </c>
      <c r="G28" s="492">
        <f>if('Captains Card 2'!G42&lt;small('Captains Card 2'!G$39:G$46,G$19),1,if('Captains Card 2'!G42=small('Captains Card 2'!G$39:G$46,G$19),(G$19-countif('Captains Card 2'!G$39:G$46,"&lt;"&amp;small('Captains Card 2'!G$39:G$46,G$19)))/countif('Captains Card 2'!G$39:G$46,small('Captains Card 2'!G$39:G$46,G$19)),0))</f>
        <v>1</v>
      </c>
      <c r="H28" s="492">
        <f>if('Captains Card 2'!H42&lt;small('Captains Card 2'!H$39:H$46,H$19),1,if('Captains Card 2'!H42=small('Captains Card 2'!H$39:H$46,H$19),(H$19-countif('Captains Card 2'!H$39:H$46,"&lt;"&amp;small('Captains Card 2'!H$39:H$46,H$19)))/countif('Captains Card 2'!H$39:H$46,small('Captains Card 2'!H$39:H$46,H$19)),0))</f>
        <v>0.25</v>
      </c>
      <c r="I28" s="492">
        <f>if('Captains Card 2'!I42&lt;small('Captains Card 2'!I$39:I$46,I$19),1,if('Captains Card 2'!I42=small('Captains Card 2'!I$39:I$46,I$19),(I$19-countif('Captains Card 2'!I$39:I$46,"&lt;"&amp;small('Captains Card 2'!I$39:I$46,I$19)))/countif('Captains Card 2'!I$39:I$46,small('Captains Card 2'!I$39:I$46,I$19)),0))</f>
        <v>0.3333333333</v>
      </c>
      <c r="J28" s="492">
        <f>if('Captains Card 2'!J42&lt;small('Captains Card 2'!J$39:J$46,J$19),1,if('Captains Card 2'!J42=small('Captains Card 2'!J$39:J$46,J$19),(J$19-countif('Captains Card 2'!J$39:J$46,"&lt;"&amp;small('Captains Card 2'!J$39:J$46,J$19)))/countif('Captains Card 2'!J$39:J$46,small('Captains Card 2'!J$39:J$46,J$19)),0))</f>
        <v>1</v>
      </c>
      <c r="K28" s="492">
        <f>if('Captains Card 2'!K42&lt;small('Captains Card 2'!K$39:K$46,K$19),1,if('Captains Card 2'!K42=small('Captains Card 2'!K$39:K$46,K$19),(K$19-countif('Captains Card 2'!K$39:K$46,"&lt;"&amp;small('Captains Card 2'!K$39:K$46,K$19)))/countif('Captains Card 2'!K$39:K$46,small('Captains Card 2'!K$39:K$46,K$19)),0))</f>
        <v>0.3333333333</v>
      </c>
      <c r="L28" s="492">
        <f>if('Captains Card 2'!L42&lt;small('Captains Card 2'!L$39:L$46,L$19),1,if('Captains Card 2'!L42=small('Captains Card 2'!L$39:L$46,L$19),(L$19-countif('Captains Card 2'!L$39:L$46,"&lt;"&amp;small('Captains Card 2'!L$39:L$46,L$19)))/countif('Captains Card 2'!L$39:L$46,small('Captains Card 2'!L$39:L$46,L$19)),0))</f>
        <v>0</v>
      </c>
      <c r="M28" s="492">
        <f>if('Captains Card 2'!M42&lt;small('Captains Card 2'!M$39:M$46,M$19),1,if('Captains Card 2'!M42=small('Captains Card 2'!M$39:M$46,M$19),(M$19-countif('Captains Card 2'!M$39:M$46,"&lt;"&amp;small('Captains Card 2'!M$39:M$46,M$19)))/countif('Captains Card 2'!M$39:M$46,small('Captains Card 2'!M$39:M$46,M$19)),0))</f>
        <v>1</v>
      </c>
      <c r="N28" s="470"/>
      <c r="O28" s="470"/>
      <c r="P28" s="470"/>
      <c r="Q28" s="492">
        <f>if('Captains Card 2'!Q42&lt;small('Captains Card 2'!Q$39:Q$46,Q$19),1,if('Captains Card 2'!Q42=small('Captains Card 2'!Q$39:Q$46,Q$19),(Q$19-countif('Captains Card 2'!Q$39:Q$46,"&lt;"&amp;small('Captains Card 2'!Q$39:Q$46,Q$19)))/countif('Captains Card 2'!Q$39:Q$46,small('Captains Card 2'!Q$39:Q$46,Q$19)),0))</f>
        <v>0</v>
      </c>
      <c r="R28" s="492">
        <f>if('Captains Card 2'!R42&lt;small('Captains Card 2'!R$39:R$46,R$19),1,if('Captains Card 2'!R42=small('Captains Card 2'!R$39:R$46,R$19),(R$19-countif('Captains Card 2'!R$39:R$46,"&lt;"&amp;small('Captains Card 2'!R$39:R$46,R$19)))/countif('Captains Card 2'!R$39:R$46,small('Captains Card 2'!R$39:R$46,R$19)),0))</f>
        <v>0.6666666667</v>
      </c>
      <c r="S28" s="492">
        <f>if('Captains Card 2'!S42&lt;small('Captains Card 2'!S$39:S$46,S$19),1,if('Captains Card 2'!S42=small('Captains Card 2'!S$39:S$46,S$19),(S$19-countif('Captains Card 2'!S$39:S$46,"&lt;"&amp;small('Captains Card 2'!S$39:S$46,S$19)))/countif('Captains Card 2'!S$39:S$46,small('Captains Card 2'!S$39:S$46,S$19)),0))</f>
        <v>1</v>
      </c>
      <c r="T28" s="492">
        <f>if('Captains Card 2'!T42&lt;small('Captains Card 2'!T$39:T$46,T$19),1,if('Captains Card 2'!T42=small('Captains Card 2'!T$39:T$46,T$19),(T$19-countif('Captains Card 2'!T$39:T$46,"&lt;"&amp;small('Captains Card 2'!T$39:T$46,T$19)))/countif('Captains Card 2'!T$39:T$46,small('Captains Card 2'!T$39:T$46,T$19)),0))</f>
        <v>0.6666666667</v>
      </c>
      <c r="U28" s="492">
        <f>if('Captains Card 2'!U42&lt;small('Captains Card 2'!U$39:U$46,U$19),1,if('Captains Card 2'!U42=small('Captains Card 2'!U$39:U$46,U$19),(U$19-countif('Captains Card 2'!U$39:U$46,"&lt;"&amp;small('Captains Card 2'!U$39:U$46,U$19)))/countif('Captains Card 2'!U$39:U$46,small('Captains Card 2'!U$39:U$46,U$19)),0))</f>
        <v>1</v>
      </c>
      <c r="V28" s="492">
        <f>if('Captains Card 2'!V42&lt;small('Captains Card 2'!V$39:V$46,V$19),1,if('Captains Card 2'!V42=small('Captains Card 2'!V$39:V$46,V$19),(V$19-countif('Captains Card 2'!V$39:V$46,"&lt;"&amp;small('Captains Card 2'!V$39:V$46,V$19)))/countif('Captains Card 2'!V$39:V$46,small('Captains Card 2'!V$39:V$46,V$19)),0))</f>
        <v>1</v>
      </c>
      <c r="W28" s="492">
        <f>if('Captains Card 2'!W42&lt;small('Captains Card 2'!W$39:W$46,W$19),1,if('Captains Card 2'!W42=small('Captains Card 2'!W$39:W$46,W$19),(W$19-countif('Captains Card 2'!W$39:W$46,"&lt;"&amp;small('Captains Card 2'!W$39:W$46,W$19)))/countif('Captains Card 2'!W$39:W$46,small('Captains Card 2'!W$39:W$46,W$19)),0))</f>
        <v>0</v>
      </c>
      <c r="X28" s="492">
        <f>if('Captains Card 2'!X42&lt;small('Captains Card 2'!X$39:X$46,X$19),1,if('Captains Card 2'!X42=small('Captains Card 2'!X$39:X$46,X$19),(X$19-countif('Captains Card 2'!X$39:X$46,"&lt;"&amp;small('Captains Card 2'!X$39:X$46,X$19)))/countif('Captains Card 2'!X$39:X$46,small('Captains Card 2'!X$39:X$46,X$19)),0))</f>
        <v>0.75</v>
      </c>
      <c r="Y28" s="492">
        <f>if('Captains Card 2'!Y42&lt;small('Captains Card 2'!Y$39:Y$46,Y$19),1,if('Captains Card 2'!Y42=small('Captains Card 2'!Y$39:Y$46,Y$19),(Y$19-countif('Captains Card 2'!Y$39:Y$46,"&lt;"&amp;small('Captains Card 2'!Y$39:Y$46,Y$19)))/countif('Captains Card 2'!Y$39:Y$46,small('Captains Card 2'!Y$39:Y$46,Y$19)),0))</f>
        <v>1</v>
      </c>
      <c r="Z28" s="957">
        <f t="shared" si="21"/>
        <v>11.33333333</v>
      </c>
      <c r="AA28" s="958">
        <f t="shared" si="22"/>
        <v>5.833333333</v>
      </c>
      <c r="AB28" s="492">
        <f t="shared" si="23"/>
        <v>1.888888889</v>
      </c>
    </row>
    <row r="29" ht="18.75" hidden="1" customHeight="1">
      <c r="A29" s="649"/>
      <c r="B29" s="649"/>
      <c r="C29" s="650"/>
      <c r="D29" s="649"/>
      <c r="E29" s="470"/>
      <c r="F29" s="470"/>
      <c r="G29" s="470"/>
      <c r="H29" s="470"/>
      <c r="I29" s="470"/>
      <c r="J29" s="470"/>
      <c r="K29" s="470"/>
      <c r="L29" s="470"/>
      <c r="M29" s="470"/>
      <c r="N29" s="470"/>
      <c r="O29" s="470"/>
      <c r="P29" s="470"/>
      <c r="Q29" s="470"/>
      <c r="R29" s="470"/>
      <c r="S29" s="470"/>
      <c r="T29" s="470"/>
      <c r="U29" s="470"/>
      <c r="V29" s="470"/>
      <c r="W29" s="470"/>
      <c r="X29" s="470"/>
      <c r="Y29" s="470"/>
      <c r="Z29" s="492">
        <f>sum(Z25:Z28)</f>
        <v>50</v>
      </c>
      <c r="AA29" s="959"/>
      <c r="AB29" s="492">
        <f>sum(AB25:AB28,'R4_G4'!AB25:AB28)</f>
        <v>16.5</v>
      </c>
    </row>
    <row r="30" ht="18.75" hidden="1" customHeight="1">
      <c r="A30" s="649" t="str">
        <f t="shared" ref="A30:A33" si="26">A25</f>
        <v>Telly</v>
      </c>
      <c r="B30" s="649"/>
      <c r="C30" s="649"/>
      <c r="D30" s="649"/>
      <c r="E30" s="492">
        <f t="shared" ref="E30:M30" si="24">(E25/E$19)*E$24</f>
        <v>0.05</v>
      </c>
      <c r="F30" s="492">
        <f t="shared" si="24"/>
        <v>0.06666666667</v>
      </c>
      <c r="G30" s="492">
        <f t="shared" si="24"/>
        <v>0</v>
      </c>
      <c r="H30" s="492">
        <f t="shared" si="24"/>
        <v>0.05</v>
      </c>
      <c r="I30" s="492">
        <f t="shared" si="24"/>
        <v>0.1</v>
      </c>
      <c r="J30" s="492">
        <f t="shared" si="24"/>
        <v>0</v>
      </c>
      <c r="K30" s="492">
        <f t="shared" si="24"/>
        <v>0.1</v>
      </c>
      <c r="L30" s="492">
        <f t="shared" si="24"/>
        <v>0.1</v>
      </c>
      <c r="M30" s="492">
        <f t="shared" si="24"/>
        <v>0</v>
      </c>
      <c r="N30" s="470"/>
      <c r="O30" s="470"/>
      <c r="P30" s="470"/>
      <c r="Q30" s="492">
        <f t="shared" ref="Q30:Y30" si="25">(Q25/Q$19)*Q$24</f>
        <v>0.3333333333</v>
      </c>
      <c r="R30" s="492">
        <f t="shared" si="25"/>
        <v>0</v>
      </c>
      <c r="S30" s="492">
        <f t="shared" si="25"/>
        <v>0.1666666667</v>
      </c>
      <c r="T30" s="492">
        <f t="shared" si="25"/>
        <v>0.3333333333</v>
      </c>
      <c r="U30" s="492">
        <f t="shared" si="25"/>
        <v>0</v>
      </c>
      <c r="V30" s="492">
        <f t="shared" si="25"/>
        <v>0</v>
      </c>
      <c r="W30" s="492">
        <f t="shared" si="25"/>
        <v>0.3333333333</v>
      </c>
      <c r="X30" s="492">
        <f t="shared" si="25"/>
        <v>0.3333333333</v>
      </c>
      <c r="Y30" s="492">
        <f t="shared" si="25"/>
        <v>0.3333333333</v>
      </c>
      <c r="Z30" s="470"/>
      <c r="AA30" s="470"/>
      <c r="AB30" s="960">
        <f t="shared" ref="AB30:AB33" si="29">AB25/$AB$24</f>
        <v>0.1321548822</v>
      </c>
    </row>
    <row r="31" ht="18.75" hidden="1" customHeight="1">
      <c r="A31" s="649" t="str">
        <f t="shared" si="26"/>
        <v>TJSC</v>
      </c>
      <c r="B31" s="649"/>
      <c r="C31" s="649"/>
      <c r="D31" s="649"/>
      <c r="E31" s="492">
        <f t="shared" ref="E31:M31" si="27">(E26/E$19)*E$24</f>
        <v>0.1</v>
      </c>
      <c r="F31" s="492">
        <f t="shared" si="27"/>
        <v>0.2</v>
      </c>
      <c r="G31" s="492">
        <f t="shared" si="27"/>
        <v>0</v>
      </c>
      <c r="H31" s="492">
        <f t="shared" si="27"/>
        <v>0.2</v>
      </c>
      <c r="I31" s="492">
        <f t="shared" si="27"/>
        <v>0.1</v>
      </c>
      <c r="J31" s="492">
        <f t="shared" si="27"/>
        <v>0.1</v>
      </c>
      <c r="K31" s="492">
        <f t="shared" si="27"/>
        <v>0.1</v>
      </c>
      <c r="L31" s="492">
        <f t="shared" si="27"/>
        <v>0</v>
      </c>
      <c r="M31" s="492">
        <f t="shared" si="27"/>
        <v>0.2</v>
      </c>
      <c r="N31" s="470"/>
      <c r="O31" s="470"/>
      <c r="P31" s="470"/>
      <c r="Q31" s="492">
        <f t="shared" ref="Q31:Y31" si="28">(Q26/Q$19)*Q$24</f>
        <v>0</v>
      </c>
      <c r="R31" s="492">
        <f t="shared" si="28"/>
        <v>0</v>
      </c>
      <c r="S31" s="492">
        <f t="shared" si="28"/>
        <v>0.08333333333</v>
      </c>
      <c r="T31" s="492">
        <f t="shared" si="28"/>
        <v>0.3333333333</v>
      </c>
      <c r="U31" s="492">
        <f t="shared" si="28"/>
        <v>0</v>
      </c>
      <c r="V31" s="492">
        <f t="shared" si="28"/>
        <v>0</v>
      </c>
      <c r="W31" s="492">
        <f t="shared" si="28"/>
        <v>0.2222222222</v>
      </c>
      <c r="X31" s="492">
        <f t="shared" si="28"/>
        <v>0.3333333333</v>
      </c>
      <c r="Y31" s="492">
        <f t="shared" si="28"/>
        <v>0.3333333333</v>
      </c>
      <c r="Z31" s="470"/>
      <c r="AA31" s="470"/>
      <c r="AB31" s="960">
        <f t="shared" si="29"/>
        <v>0.132996633</v>
      </c>
    </row>
    <row r="32" ht="18.75" hidden="1" customHeight="1">
      <c r="A32" s="649" t="str">
        <f t="shared" si="26"/>
        <v>Weezy</v>
      </c>
      <c r="B32" s="649"/>
      <c r="C32" s="649"/>
      <c r="D32" s="649"/>
      <c r="E32" s="492">
        <f t="shared" ref="E32:M32" si="30">(E27/E$19)*E$24</f>
        <v>0</v>
      </c>
      <c r="F32" s="492">
        <f t="shared" si="30"/>
        <v>0.2</v>
      </c>
      <c r="G32" s="492">
        <f t="shared" si="30"/>
        <v>0</v>
      </c>
      <c r="H32" s="492">
        <f t="shared" si="30"/>
        <v>0.2</v>
      </c>
      <c r="I32" s="492">
        <f t="shared" si="30"/>
        <v>0.03333333333</v>
      </c>
      <c r="J32" s="492">
        <f t="shared" si="30"/>
        <v>0.1</v>
      </c>
      <c r="K32" s="492">
        <f t="shared" si="30"/>
        <v>0.03333333333</v>
      </c>
      <c r="L32" s="492">
        <f t="shared" si="30"/>
        <v>0.1</v>
      </c>
      <c r="M32" s="492">
        <f t="shared" si="30"/>
        <v>0.2</v>
      </c>
      <c r="N32" s="470"/>
      <c r="O32" s="470"/>
      <c r="P32" s="470"/>
      <c r="Q32" s="492">
        <f t="shared" ref="Q32:Y32" si="31">(Q27/Q$19)*Q$24</f>
        <v>0.3333333333</v>
      </c>
      <c r="R32" s="492">
        <f t="shared" si="31"/>
        <v>0</v>
      </c>
      <c r="S32" s="492">
        <f t="shared" si="31"/>
        <v>0.1666666667</v>
      </c>
      <c r="T32" s="492">
        <f t="shared" si="31"/>
        <v>0</v>
      </c>
      <c r="U32" s="492">
        <f t="shared" si="31"/>
        <v>0</v>
      </c>
      <c r="V32" s="492">
        <f t="shared" si="31"/>
        <v>0</v>
      </c>
      <c r="W32" s="492">
        <f t="shared" si="31"/>
        <v>0.2222222222</v>
      </c>
      <c r="X32" s="492">
        <f t="shared" si="31"/>
        <v>0.25</v>
      </c>
      <c r="Y32" s="492">
        <f t="shared" si="31"/>
        <v>0</v>
      </c>
      <c r="Z32" s="470"/>
      <c r="AA32" s="470"/>
      <c r="AB32" s="960">
        <f t="shared" si="29"/>
        <v>0.1254208754</v>
      </c>
    </row>
    <row r="33" ht="18.75" hidden="1" customHeight="1">
      <c r="A33" s="649" t="str">
        <f t="shared" si="26"/>
        <v>Joe O</v>
      </c>
      <c r="B33" s="649"/>
      <c r="C33" s="649"/>
      <c r="D33" s="649"/>
      <c r="E33" s="492">
        <f t="shared" ref="E33:M33" si="32">(E28/E$19)*E$24</f>
        <v>0.1</v>
      </c>
      <c r="F33" s="492">
        <f t="shared" si="32"/>
        <v>0.06666666667</v>
      </c>
      <c r="G33" s="492">
        <f t="shared" si="32"/>
        <v>0</v>
      </c>
      <c r="H33" s="492">
        <f t="shared" si="32"/>
        <v>0.05</v>
      </c>
      <c r="I33" s="492">
        <f t="shared" si="32"/>
        <v>0.03333333333</v>
      </c>
      <c r="J33" s="492">
        <f t="shared" si="32"/>
        <v>0.1</v>
      </c>
      <c r="K33" s="492">
        <f t="shared" si="32"/>
        <v>0.03333333333</v>
      </c>
      <c r="L33" s="492">
        <f t="shared" si="32"/>
        <v>0</v>
      </c>
      <c r="M33" s="492">
        <f t="shared" si="32"/>
        <v>0.2</v>
      </c>
      <c r="N33" s="470"/>
      <c r="O33" s="470"/>
      <c r="P33" s="470"/>
      <c r="Q33" s="492">
        <f t="shared" ref="Q33:Y33" si="33">(Q28/Q$19)*Q$24</f>
        <v>0</v>
      </c>
      <c r="R33" s="492">
        <f t="shared" si="33"/>
        <v>0</v>
      </c>
      <c r="S33" s="492">
        <f t="shared" si="33"/>
        <v>0.1666666667</v>
      </c>
      <c r="T33" s="492">
        <f t="shared" si="33"/>
        <v>0.2222222222</v>
      </c>
      <c r="U33" s="492">
        <f t="shared" si="33"/>
        <v>0</v>
      </c>
      <c r="V33" s="492">
        <f t="shared" si="33"/>
        <v>0</v>
      </c>
      <c r="W33" s="492">
        <f t="shared" si="33"/>
        <v>0</v>
      </c>
      <c r="X33" s="492">
        <f t="shared" si="33"/>
        <v>0.25</v>
      </c>
      <c r="Y33" s="492">
        <f t="shared" si="33"/>
        <v>0.3333333333</v>
      </c>
      <c r="Z33" s="470"/>
      <c r="AA33" s="470"/>
      <c r="AB33" s="960">
        <f t="shared" si="29"/>
        <v>0.1144781145</v>
      </c>
    </row>
  </sheetData>
  <mergeCells count="1">
    <mergeCell ref="B2:B3"/>
  </mergeCells>
  <conditionalFormatting sqref="E14:M14 Q14:Y14">
    <cfRule type="expression" dxfId="15" priority="1">
      <formula>and(E$23&lt;&gt;"",E$27=1)</formula>
    </cfRule>
  </conditionalFormatting>
  <conditionalFormatting sqref="E17:M17 Q17:Y17">
    <cfRule type="expression" dxfId="15" priority="2">
      <formula>and(E$23&lt;&gt;"",E$28=1)</formula>
    </cfRule>
  </conditionalFormatting>
  <conditionalFormatting sqref="E14:M14 Q14:Y14">
    <cfRule type="expression" dxfId="2" priority="3">
      <formula>and(E$23&lt;&gt;"",E$27&lt;1,E$27&gt;0)</formula>
    </cfRule>
  </conditionalFormatting>
  <conditionalFormatting sqref="E17:M17 Q17:Y17">
    <cfRule type="expression" dxfId="2" priority="4">
      <formula>and(E$23&lt;&gt;"",E$28&lt;1,E$28&gt;0)</formula>
    </cfRule>
  </conditionalFormatting>
  <conditionalFormatting sqref="E8:M8 Q8:Y8">
    <cfRule type="expression" dxfId="15" priority="5">
      <formula>and(E$23&lt;&gt;"",E$25=1)</formula>
    </cfRule>
  </conditionalFormatting>
  <conditionalFormatting sqref="E8:M8 Q8:Y8">
    <cfRule type="expression" dxfId="2" priority="6">
      <formula>and(E$23&lt;&gt;"",E$25&lt;1,E$25&gt;0)</formula>
    </cfRule>
  </conditionalFormatting>
  <conditionalFormatting sqref="E11:M11 Q11:Y11">
    <cfRule type="expression" dxfId="15" priority="7">
      <formula>and(E$23&lt;&gt;"",E$26=1)</formula>
    </cfRule>
  </conditionalFormatting>
  <conditionalFormatting sqref="E11:M11 Q11:Y11">
    <cfRule type="expression" dxfId="2" priority="8">
      <formula>and(E$23&lt;&gt;"",E$26&lt;1,E$26&gt;0)</formula>
    </cfRule>
  </conditionalFormatting>
  <printOptions horizontalCentered="1"/>
  <pageMargins bottom="0.5" footer="0.0" header="0.0" left="0.55" right="0.25" top="0.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839" t="s">
        <v>75</v>
      </c>
      <c r="B1" s="840">
        <f>'Master Input'!K4</f>
        <v>0.4305555556</v>
      </c>
      <c r="C1" s="841" t="str">
        <f>'Master Input'!$K$2</f>
        <v>Round 4</v>
      </c>
      <c r="D1" s="842"/>
      <c r="E1" s="841" t="str">
        <f>'Master Input'!$K$6</f>
        <v>American Dunes - Freedom/WH</v>
      </c>
      <c r="F1" s="843"/>
      <c r="G1" s="843"/>
      <c r="H1" s="843"/>
      <c r="I1" s="843"/>
      <c r="J1" s="843"/>
      <c r="K1" s="843"/>
      <c r="L1" s="843"/>
      <c r="M1" s="843"/>
      <c r="N1" s="844"/>
      <c r="O1" s="301"/>
      <c r="P1" s="845" t="str">
        <f>'Master Input'!$K$2</f>
        <v>Round 4</v>
      </c>
      <c r="Q1" s="842"/>
      <c r="R1" s="841" t="str">
        <f>'Master Input'!$K$6</f>
        <v>American Dunes - Freedom/WH</v>
      </c>
      <c r="S1" s="843"/>
      <c r="T1" s="843"/>
      <c r="U1" s="843"/>
      <c r="V1" s="843"/>
      <c r="W1" s="843"/>
      <c r="X1" s="843"/>
      <c r="Y1" s="843"/>
      <c r="Z1" s="843"/>
      <c r="AA1" s="843"/>
      <c r="AB1" s="844"/>
    </row>
    <row r="2" ht="14.25" customHeight="1">
      <c r="A2" s="846" t="s">
        <v>55</v>
      </c>
      <c r="B2" s="847" t="str">
        <f>'Match Selection'!B19</f>
        <v>Team Best Ball</v>
      </c>
      <c r="C2" s="502"/>
      <c r="D2" s="308" t="s">
        <v>108</v>
      </c>
      <c r="E2" s="503">
        <f>vlookup($E1, 'Course List'!$A$3:$AS$14,5+E4, false)</f>
        <v>10</v>
      </c>
      <c r="F2" s="310">
        <f>vlookup($E1, 'Course List'!$A$3:$AS$14,5+F4, false)</f>
        <v>18</v>
      </c>
      <c r="G2" s="310">
        <f>vlookup($E1, 'Course List'!$A$3:$AS$14,5+G4, false)</f>
        <v>6</v>
      </c>
      <c r="H2" s="310">
        <f>vlookup($E1, 'Course List'!$A$3:$AS$14,5+H4, false)</f>
        <v>14</v>
      </c>
      <c r="I2" s="310">
        <f>vlookup($E1, 'Course List'!$A$3:$AS$14,5+I4, false)</f>
        <v>2</v>
      </c>
      <c r="J2" s="310">
        <f>vlookup($E1, 'Course List'!$A$3:$AS$14,5+J4, false)</f>
        <v>12</v>
      </c>
      <c r="K2" s="310">
        <f>vlookup($E1, 'Course List'!$A$3:$AS$14,5+K4, false)</f>
        <v>16</v>
      </c>
      <c r="L2" s="310">
        <f>vlookup($E1, 'Course List'!$A$3:$AS$14,5+L4, false)</f>
        <v>4</v>
      </c>
      <c r="M2" s="311">
        <f>vlookup($E1, 'Course List'!$A$3:$AS$14,5+M4, false)</f>
        <v>8</v>
      </c>
      <c r="N2" s="312"/>
      <c r="O2" s="313"/>
      <c r="P2" s="846" t="s">
        <v>55</v>
      </c>
      <c r="Q2" s="310">
        <f>vlookup($E1, 'Course List'!$A$3:$AS$14,5+Q4, false)</f>
        <v>3</v>
      </c>
      <c r="R2" s="310">
        <f>vlookup($E1, 'Course List'!$A$3:$AS$14,5+R4, false)</f>
        <v>13</v>
      </c>
      <c r="S2" s="310">
        <f>vlookup($E1, 'Course List'!$A$3:$AS$14,5+S4, false)</f>
        <v>15</v>
      </c>
      <c r="T2" s="310">
        <f>vlookup($E1, 'Course List'!$A$3:$AS$14,5+T4, false)</f>
        <v>11</v>
      </c>
      <c r="U2" s="310">
        <f>vlookup($E1, 'Course List'!$A$3:$AS$14,5+U4, false)</f>
        <v>7</v>
      </c>
      <c r="V2" s="310">
        <f>vlookup($E1, 'Course List'!$A$3:$AS$14,5+V4, false)</f>
        <v>9</v>
      </c>
      <c r="W2" s="310">
        <f>vlookup($E1, 'Course List'!$A$3:$AS$14,5+W4, false)</f>
        <v>1</v>
      </c>
      <c r="X2" s="310">
        <f>vlookup($E1, 'Course List'!$A$3:$AS$14,5+X4, false)</f>
        <v>5</v>
      </c>
      <c r="Y2" s="311">
        <f>vlookup($E1, 'Course List'!$A$3:$AS$14,5+Y4, false)</f>
        <v>17</v>
      </c>
      <c r="Z2" s="504"/>
      <c r="AA2" s="315"/>
      <c r="AB2" s="316"/>
    </row>
    <row r="3" ht="14.25" customHeight="1">
      <c r="A3" s="848" t="s">
        <v>56</v>
      </c>
      <c r="B3" s="317"/>
      <c r="C3" s="849"/>
      <c r="D3" s="319" t="s">
        <v>56</v>
      </c>
      <c r="E3" s="850">
        <f>vlookup($E1, 'Course List'!$A$3:$AS$14,27+E4, false)</f>
        <v>4</v>
      </c>
      <c r="F3" s="321">
        <f>vlookup($E1, 'Course List'!$A$3:$AS$14,27+F4, false)</f>
        <v>5</v>
      </c>
      <c r="G3" s="321">
        <f>vlookup($E1, 'Course List'!$A$3:$AS$14,27+G4, false)</f>
        <v>4</v>
      </c>
      <c r="H3" s="321">
        <f>vlookup($E1, 'Course List'!$A$3:$AS$14,27+H4, false)</f>
        <v>3</v>
      </c>
      <c r="I3" s="321">
        <f>vlookup($E1, 'Course List'!$A$3:$AS$14,27+I4, false)</f>
        <v>4</v>
      </c>
      <c r="J3" s="321">
        <f>vlookup($E1, 'Course List'!$A$3:$AS$14,27+J4, false)</f>
        <v>5</v>
      </c>
      <c r="K3" s="321">
        <f>vlookup($E1, 'Course List'!$A$3:$AS$14,27+K4, false)</f>
        <v>3</v>
      </c>
      <c r="L3" s="321">
        <f>vlookup($E1, 'Course List'!$A$3:$AS$14,27+L4, false)</f>
        <v>4</v>
      </c>
      <c r="M3" s="322">
        <f>vlookup($E1, 'Course List'!$A$3:$AS$14,27+M4, false)</f>
        <v>4</v>
      </c>
      <c r="N3" s="323">
        <f>SUM(E3:M3)</f>
        <v>36</v>
      </c>
      <c r="O3" s="313"/>
      <c r="P3" s="848" t="s">
        <v>56</v>
      </c>
      <c r="Q3" s="321">
        <f>vlookup($E1, 'Course List'!$A$3:$AS$14,27+Q4, false)</f>
        <v>4</v>
      </c>
      <c r="R3" s="321">
        <f>vlookup($E1, 'Course List'!$A$3:$AS$14,27+R4, false)</f>
        <v>4</v>
      </c>
      <c r="S3" s="321">
        <f>vlookup($E1, 'Course List'!$A$3:$AS$14,27+S4, false)</f>
        <v>3</v>
      </c>
      <c r="T3" s="321">
        <f>vlookup($E1, 'Course List'!$A$3:$AS$14,27+T4, false)</f>
        <v>5</v>
      </c>
      <c r="U3" s="321">
        <f>vlookup($E1, 'Course List'!$A$3:$AS$14,27+U4, false)</f>
        <v>4</v>
      </c>
      <c r="V3" s="321">
        <f>vlookup($E1, 'Course List'!$A$3:$AS$14,27+V4, false)</f>
        <v>3</v>
      </c>
      <c r="W3" s="321">
        <f>vlookup($E1, 'Course List'!$A$3:$AS$14,27+W4, false)</f>
        <v>4</v>
      </c>
      <c r="X3" s="321">
        <f>vlookup($E1, 'Course List'!$A$3:$AS$14,27+X4, false)</f>
        <v>4</v>
      </c>
      <c r="Y3" s="322">
        <f>vlookup($E1, 'Course List'!$A$3:$AS$14,27+Y4, false)</f>
        <v>5</v>
      </c>
      <c r="Z3" s="851">
        <f>SUM(Q3:Y3)</f>
        <v>36</v>
      </c>
      <c r="AA3" s="321">
        <f>N3+Z3</f>
        <v>72</v>
      </c>
      <c r="AB3" s="324"/>
    </row>
    <row r="4" ht="14.25" customHeight="1">
      <c r="A4" s="325" t="s">
        <v>109</v>
      </c>
      <c r="B4" s="326" t="s">
        <v>57</v>
      </c>
      <c r="C4" s="852" t="s">
        <v>58</v>
      </c>
      <c r="D4" s="853" t="s">
        <v>59</v>
      </c>
      <c r="E4" s="854">
        <v>1.0</v>
      </c>
      <c r="F4" s="855">
        <v>2.0</v>
      </c>
      <c r="G4" s="855">
        <v>3.0</v>
      </c>
      <c r="H4" s="855">
        <v>4.0</v>
      </c>
      <c r="I4" s="855">
        <v>5.0</v>
      </c>
      <c r="J4" s="855">
        <v>6.0</v>
      </c>
      <c r="K4" s="855">
        <v>7.0</v>
      </c>
      <c r="L4" s="855">
        <v>8.0</v>
      </c>
      <c r="M4" s="856">
        <v>9.0</v>
      </c>
      <c r="N4" s="332" t="s">
        <v>60</v>
      </c>
      <c r="O4" s="857"/>
      <c r="P4" s="325" t="s">
        <v>109</v>
      </c>
      <c r="Q4" s="854">
        <v>10.0</v>
      </c>
      <c r="R4" s="855">
        <v>11.0</v>
      </c>
      <c r="S4" s="855">
        <v>12.0</v>
      </c>
      <c r="T4" s="855">
        <v>13.0</v>
      </c>
      <c r="U4" s="855">
        <v>14.0</v>
      </c>
      <c r="V4" s="855">
        <v>15.0</v>
      </c>
      <c r="W4" s="855">
        <v>16.0</v>
      </c>
      <c r="X4" s="855">
        <v>17.0</v>
      </c>
      <c r="Y4" s="856">
        <v>18.0</v>
      </c>
      <c r="Z4" s="332" t="s">
        <v>61</v>
      </c>
      <c r="AA4" s="858" t="s">
        <v>62</v>
      </c>
      <c r="AB4" s="859" t="s">
        <v>110</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860"/>
      <c r="B6" s="861"/>
      <c r="C6" s="862"/>
      <c r="D6" s="863"/>
      <c r="E6" s="347" t="str">
        <f t="shared" ref="E6:M6" si="1">if(E7=1,"O", if(E7=2,"O   O",""))</f>
        <v/>
      </c>
      <c r="F6" s="348" t="str">
        <f t="shared" si="1"/>
        <v/>
      </c>
      <c r="G6" s="348" t="str">
        <f t="shared" si="1"/>
        <v>O</v>
      </c>
      <c r="H6" s="348" t="str">
        <f t="shared" si="1"/>
        <v/>
      </c>
      <c r="I6" s="348" t="str">
        <f t="shared" si="1"/>
        <v>O</v>
      </c>
      <c r="J6" s="348" t="str">
        <f t="shared" si="1"/>
        <v/>
      </c>
      <c r="K6" s="348" t="str">
        <f t="shared" si="1"/>
        <v/>
      </c>
      <c r="L6" s="348" t="str">
        <f t="shared" si="1"/>
        <v>O</v>
      </c>
      <c r="M6" s="348" t="str">
        <f t="shared" si="1"/>
        <v>O</v>
      </c>
      <c r="N6" s="864"/>
      <c r="O6" s="351"/>
      <c r="P6" s="517"/>
      <c r="Q6" s="347" t="str">
        <f t="shared" ref="Q6:Y6" si="2">if(Q7=1,"O", if(Q7=2,"O   O",""))</f>
        <v>O</v>
      </c>
      <c r="R6" s="348" t="str">
        <f t="shared" si="2"/>
        <v/>
      </c>
      <c r="S6" s="348" t="str">
        <f t="shared" si="2"/>
        <v/>
      </c>
      <c r="T6" s="348" t="str">
        <f t="shared" si="2"/>
        <v/>
      </c>
      <c r="U6" s="348" t="str">
        <f t="shared" si="2"/>
        <v>O</v>
      </c>
      <c r="V6" s="348" t="str">
        <f t="shared" si="2"/>
        <v>O</v>
      </c>
      <c r="W6" s="348" t="str">
        <f t="shared" si="2"/>
        <v>O</v>
      </c>
      <c r="X6" s="348" t="str">
        <f t="shared" si="2"/>
        <v>O</v>
      </c>
      <c r="Y6" s="348" t="str">
        <f t="shared" si="2"/>
        <v/>
      </c>
      <c r="Z6" s="865"/>
      <c r="AA6" s="866"/>
      <c r="AB6" s="867"/>
    </row>
    <row r="7" ht="22.5" hidden="1" customHeight="1">
      <c r="A7" s="356"/>
      <c r="B7" s="393"/>
      <c r="C7" s="522"/>
      <c r="D7" s="359"/>
      <c r="E7" s="868">
        <f t="shared" ref="E7:M7" si="3">IF($D8&gt;0,FLOOR($D8/18,1),0)+IF(AND(MOD($D8,18)&gt;=E$2,$D8&gt;0),1,0)-IF(E$2-18&gt;$D8,1,0)</f>
        <v>0</v>
      </c>
      <c r="F7" s="361">
        <f t="shared" si="3"/>
        <v>0</v>
      </c>
      <c r="G7" s="361">
        <f t="shared" si="3"/>
        <v>1</v>
      </c>
      <c r="H7" s="361">
        <f t="shared" si="3"/>
        <v>0</v>
      </c>
      <c r="I7" s="361">
        <f t="shared" si="3"/>
        <v>1</v>
      </c>
      <c r="J7" s="361">
        <f t="shared" si="3"/>
        <v>0</v>
      </c>
      <c r="K7" s="361">
        <f t="shared" si="3"/>
        <v>0</v>
      </c>
      <c r="L7" s="361">
        <f t="shared" si="3"/>
        <v>1</v>
      </c>
      <c r="M7" s="361">
        <f t="shared" si="3"/>
        <v>1</v>
      </c>
      <c r="N7" s="869"/>
      <c r="O7" s="364"/>
      <c r="P7" s="526"/>
      <c r="Q7" s="868">
        <f t="shared" ref="Q7:Y7" si="4">IF($D8&gt;0,FLOOR($D8/18,1),0)+IF(AND(MOD($D8,18)&gt;=Q$2,$D8&gt;0),1,0)-IF(Q$2-18&gt;$D8,1,0)</f>
        <v>1</v>
      </c>
      <c r="R7" s="361">
        <f t="shared" si="4"/>
        <v>0</v>
      </c>
      <c r="S7" s="361">
        <f t="shared" si="4"/>
        <v>0</v>
      </c>
      <c r="T7" s="361">
        <f t="shared" si="4"/>
        <v>0</v>
      </c>
      <c r="U7" s="361">
        <f t="shared" si="4"/>
        <v>1</v>
      </c>
      <c r="V7" s="361">
        <f t="shared" si="4"/>
        <v>1</v>
      </c>
      <c r="W7" s="361">
        <f t="shared" si="4"/>
        <v>1</v>
      </c>
      <c r="X7" s="361">
        <f t="shared" si="4"/>
        <v>1</v>
      </c>
      <c r="Y7" s="361">
        <f t="shared" si="4"/>
        <v>0</v>
      </c>
      <c r="Z7" s="870"/>
      <c r="AA7" s="871"/>
      <c r="AB7" s="872"/>
    </row>
    <row r="8" ht="27.0" customHeight="1">
      <c r="A8" s="369" t="str">
        <f>'Match Selection'!P19</f>
        <v>Pace</v>
      </c>
      <c r="B8" s="873" t="str">
        <f>vlookup(A8, 'Master Input'!$A$11:$B$27,2, false)</f>
        <v>Irons</v>
      </c>
      <c r="C8" s="531">
        <f>vlookup(A8,'Master Input'!$A$11:$L$27,'Master Input'!$L$28, false)</f>
        <v>9</v>
      </c>
      <c r="D8" s="372">
        <f>C8</f>
        <v>9</v>
      </c>
      <c r="E8" s="874">
        <v>4.0</v>
      </c>
      <c r="F8" s="374">
        <v>6.0</v>
      </c>
      <c r="G8" s="374">
        <v>6.0</v>
      </c>
      <c r="H8" s="374">
        <v>7.0</v>
      </c>
      <c r="I8" s="374">
        <v>6.0</v>
      </c>
      <c r="J8" s="374">
        <v>5.0</v>
      </c>
      <c r="K8" s="374">
        <v>3.0</v>
      </c>
      <c r="L8" s="374">
        <v>8.0</v>
      </c>
      <c r="M8" s="374">
        <v>5.0</v>
      </c>
      <c r="N8" s="876">
        <f>if(M8="","", sum(E8:M8))</f>
        <v>50</v>
      </c>
      <c r="O8" s="364"/>
      <c r="P8" s="535" t="str">
        <f>A8</f>
        <v>Pace</v>
      </c>
      <c r="Q8" s="874">
        <v>5.0</v>
      </c>
      <c r="R8" s="374">
        <v>4.0</v>
      </c>
      <c r="S8" s="374">
        <v>3.0</v>
      </c>
      <c r="T8" s="374">
        <v>6.0</v>
      </c>
      <c r="U8" s="374">
        <v>6.0</v>
      </c>
      <c r="V8" s="374">
        <v>3.0</v>
      </c>
      <c r="W8" s="374">
        <v>6.0</v>
      </c>
      <c r="X8" s="374">
        <v>6.0</v>
      </c>
      <c r="Y8" s="374">
        <v>6.0</v>
      </c>
      <c r="Z8" s="877">
        <f>if(Y8="","", sum(Q8:Y8))</f>
        <v>45</v>
      </c>
      <c r="AA8" s="878">
        <f>if(Z8="", "", sum(N8,Z8))</f>
        <v>95</v>
      </c>
      <c r="AB8" s="879">
        <f>if(Y8="", "", AA8-C8)</f>
        <v>86</v>
      </c>
    </row>
    <row r="9" ht="7.5" customHeight="1">
      <c r="A9" s="546"/>
      <c r="B9" s="880"/>
      <c r="C9" s="881"/>
      <c r="D9" s="882"/>
      <c r="E9" s="886" t="str">
        <f t="shared" ref="E9:M9" si="5">if(E10=1,"O", if(E10=2,"O   O",""))</f>
        <v>O</v>
      </c>
      <c r="F9" s="887" t="str">
        <f t="shared" si="5"/>
        <v>O</v>
      </c>
      <c r="G9" s="887" t="str">
        <f t="shared" si="5"/>
        <v>O</v>
      </c>
      <c r="H9" s="887" t="str">
        <f t="shared" si="5"/>
        <v>O</v>
      </c>
      <c r="I9" s="887" t="str">
        <f t="shared" si="5"/>
        <v>O</v>
      </c>
      <c r="J9" s="887" t="str">
        <f t="shared" si="5"/>
        <v>O</v>
      </c>
      <c r="K9" s="887" t="str">
        <f t="shared" si="5"/>
        <v>O</v>
      </c>
      <c r="L9" s="887" t="str">
        <f t="shared" si="5"/>
        <v>O</v>
      </c>
      <c r="M9" s="887" t="str">
        <f t="shared" si="5"/>
        <v>O</v>
      </c>
      <c r="N9" s="885"/>
      <c r="O9" s="545"/>
      <c r="P9" s="546"/>
      <c r="Q9" s="886" t="str">
        <f t="shared" ref="Q9:Y9" si="6">if(Q10=1,"O", if(Q10=2,"O   O",""))</f>
        <v>O</v>
      </c>
      <c r="R9" s="887" t="str">
        <f t="shared" si="6"/>
        <v>O</v>
      </c>
      <c r="S9" s="887" t="str">
        <f t="shared" si="6"/>
        <v>O</v>
      </c>
      <c r="T9" s="887" t="str">
        <f t="shared" si="6"/>
        <v>O</v>
      </c>
      <c r="U9" s="887" t="str">
        <f t="shared" si="6"/>
        <v>O</v>
      </c>
      <c r="V9" s="887" t="str">
        <f t="shared" si="6"/>
        <v>O</v>
      </c>
      <c r="W9" s="887" t="str">
        <f t="shared" si="6"/>
        <v>O</v>
      </c>
      <c r="X9" s="887" t="str">
        <f t="shared" si="6"/>
        <v>O</v>
      </c>
      <c r="Y9" s="887" t="str">
        <f t="shared" si="6"/>
        <v>O</v>
      </c>
      <c r="Z9" s="888"/>
      <c r="AA9" s="889"/>
      <c r="AB9" s="890"/>
    </row>
    <row r="10" ht="22.5" hidden="1" customHeight="1">
      <c r="A10" s="410"/>
      <c r="B10" s="411"/>
      <c r="C10" s="553"/>
      <c r="D10" s="413"/>
      <c r="E10" s="414">
        <f t="shared" ref="E10:M10" si="7">IF($D11&gt;0,FLOOR($D11/18,1),0)+IF(AND(MOD($D11,18)&gt;=E$2,$D11&gt;0),1,0)-IF(E$2-18&gt;$D11,1,0)</f>
        <v>1</v>
      </c>
      <c r="F10" s="415">
        <f t="shared" si="7"/>
        <v>1</v>
      </c>
      <c r="G10" s="415">
        <f t="shared" si="7"/>
        <v>1</v>
      </c>
      <c r="H10" s="415">
        <f t="shared" si="7"/>
        <v>1</v>
      </c>
      <c r="I10" s="415">
        <f t="shared" si="7"/>
        <v>1</v>
      </c>
      <c r="J10" s="415">
        <f t="shared" si="7"/>
        <v>1</v>
      </c>
      <c r="K10" s="415">
        <f t="shared" si="7"/>
        <v>1</v>
      </c>
      <c r="L10" s="415">
        <f t="shared" si="7"/>
        <v>1</v>
      </c>
      <c r="M10" s="415">
        <f t="shared" si="7"/>
        <v>1</v>
      </c>
      <c r="N10" s="869"/>
      <c r="O10" s="364"/>
      <c r="P10" s="540"/>
      <c r="Q10" s="414">
        <f t="shared" ref="Q10:Y10" si="8">IF($D11&gt;0,FLOOR($D11/18,1),0)+IF(AND(MOD($D11,18)&gt;=Q$2,$D11&gt;0),1,0)-IF(Q$2-18&gt;$D11,1,0)</f>
        <v>1</v>
      </c>
      <c r="R10" s="415">
        <f t="shared" si="8"/>
        <v>1</v>
      </c>
      <c r="S10" s="415">
        <f t="shared" si="8"/>
        <v>1</v>
      </c>
      <c r="T10" s="415">
        <f t="shared" si="8"/>
        <v>1</v>
      </c>
      <c r="U10" s="415">
        <f t="shared" si="8"/>
        <v>1</v>
      </c>
      <c r="V10" s="415">
        <f t="shared" si="8"/>
        <v>1</v>
      </c>
      <c r="W10" s="415">
        <f t="shared" si="8"/>
        <v>1</v>
      </c>
      <c r="X10" s="415">
        <f t="shared" si="8"/>
        <v>1</v>
      </c>
      <c r="Y10" s="415">
        <f t="shared" si="8"/>
        <v>1</v>
      </c>
      <c r="Z10" s="870"/>
      <c r="AA10" s="871"/>
      <c r="AB10" s="872"/>
    </row>
    <row r="11" ht="27.0" customHeight="1">
      <c r="A11" s="419" t="str">
        <f>'Match Selection'!P20</f>
        <v>Carp</v>
      </c>
      <c r="B11" s="420" t="str">
        <f>vlookup(A11, 'Master Input'!$A$11:$B$27,2, false)</f>
        <v>Irons</v>
      </c>
      <c r="C11" s="597">
        <f>vlookup(A11,'Master Input'!$A$11:$L$27,'Master Input'!$L$28, false)</f>
        <v>18</v>
      </c>
      <c r="D11" s="422">
        <f>C11</f>
        <v>18</v>
      </c>
      <c r="E11" s="895">
        <v>4.0</v>
      </c>
      <c r="F11" s="424">
        <v>7.0</v>
      </c>
      <c r="G11" s="424">
        <v>9.0</v>
      </c>
      <c r="H11" s="424">
        <v>3.0</v>
      </c>
      <c r="I11" s="424">
        <v>5.0</v>
      </c>
      <c r="J11" s="424">
        <v>5.0</v>
      </c>
      <c r="K11" s="424">
        <v>4.0</v>
      </c>
      <c r="L11" s="424">
        <v>6.0</v>
      </c>
      <c r="M11" s="424">
        <v>4.0</v>
      </c>
      <c r="N11" s="876">
        <f>if(M11="","", sum(E11:M11))</f>
        <v>47</v>
      </c>
      <c r="O11" s="364"/>
      <c r="P11" s="894" t="str">
        <f>A11</f>
        <v>Carp</v>
      </c>
      <c r="Q11" s="895">
        <v>6.0</v>
      </c>
      <c r="R11" s="424">
        <v>5.0</v>
      </c>
      <c r="S11" s="424">
        <v>4.0</v>
      </c>
      <c r="T11" s="424">
        <v>7.0</v>
      </c>
      <c r="U11" s="424">
        <v>7.0</v>
      </c>
      <c r="V11" s="424">
        <v>3.0</v>
      </c>
      <c r="W11" s="424">
        <v>7.0</v>
      </c>
      <c r="X11" s="424">
        <v>5.0</v>
      </c>
      <c r="Y11" s="424">
        <v>7.0</v>
      </c>
      <c r="Z11" s="877">
        <f>if(Y11="","", sum(Q11:Y11))</f>
        <v>51</v>
      </c>
      <c r="AA11" s="878">
        <f>if(Z11="", "", sum(N11,Z11))</f>
        <v>98</v>
      </c>
      <c r="AB11" s="879">
        <f>if(Y11="", "", AA11-C11)</f>
        <v>80</v>
      </c>
    </row>
    <row r="12" ht="7.5" customHeight="1">
      <c r="A12" s="896"/>
      <c r="B12" s="897"/>
      <c r="C12" s="898"/>
      <c r="D12" s="899"/>
      <c r="E12" s="904" t="str">
        <f t="shared" ref="E12:M12" si="9">if(E13=1,"O", if(E13=2,"O   O",""))</f>
        <v/>
      </c>
      <c r="F12" s="905" t="str">
        <f t="shared" si="9"/>
        <v/>
      </c>
      <c r="G12" s="905" t="str">
        <f t="shared" si="9"/>
        <v>O</v>
      </c>
      <c r="H12" s="905" t="str">
        <f t="shared" si="9"/>
        <v/>
      </c>
      <c r="I12" s="905" t="str">
        <f t="shared" si="9"/>
        <v>O</v>
      </c>
      <c r="J12" s="905" t="str">
        <f t="shared" si="9"/>
        <v/>
      </c>
      <c r="K12" s="905" t="str">
        <f t="shared" si="9"/>
        <v/>
      </c>
      <c r="L12" s="905" t="str">
        <f t="shared" si="9"/>
        <v>O</v>
      </c>
      <c r="M12" s="905" t="str">
        <f t="shared" si="9"/>
        <v>O</v>
      </c>
      <c r="N12" s="902"/>
      <c r="O12" s="351"/>
      <c r="P12" s="903"/>
      <c r="Q12" s="904" t="str">
        <f t="shared" ref="Q12:Y12" si="10">if(Q13=1,"O", if(Q13=2,"O   O",""))</f>
        <v>O</v>
      </c>
      <c r="R12" s="905" t="str">
        <f t="shared" si="10"/>
        <v/>
      </c>
      <c r="S12" s="905" t="str">
        <f t="shared" si="10"/>
        <v/>
      </c>
      <c r="T12" s="905" t="str">
        <f t="shared" si="10"/>
        <v/>
      </c>
      <c r="U12" s="905" t="str">
        <f t="shared" si="10"/>
        <v>O</v>
      </c>
      <c r="V12" s="905" t="str">
        <f t="shared" si="10"/>
        <v/>
      </c>
      <c r="W12" s="905" t="str">
        <f t="shared" si="10"/>
        <v>O</v>
      </c>
      <c r="X12" s="905" t="str">
        <f t="shared" si="10"/>
        <v>O</v>
      </c>
      <c r="Y12" s="905" t="str">
        <f t="shared" si="10"/>
        <v/>
      </c>
      <c r="Z12" s="888"/>
      <c r="AA12" s="889"/>
      <c r="AB12" s="906"/>
    </row>
    <row r="13" ht="22.5" hidden="1" customHeight="1">
      <c r="A13" s="392"/>
      <c r="B13" s="393"/>
      <c r="C13" s="522"/>
      <c r="D13" s="359"/>
      <c r="E13" s="907">
        <f t="shared" ref="E13:M13" si="11">IF($D14&gt;0,FLOOR($D14/18,1),0)+IF(AND(MOD($D14,18)&gt;=E$2,$D14&gt;0),1,0)-IF(E$2-18&gt;$D14,1,0)</f>
        <v>0</v>
      </c>
      <c r="F13" s="908">
        <f t="shared" si="11"/>
        <v>0</v>
      </c>
      <c r="G13" s="908">
        <f t="shared" si="11"/>
        <v>1</v>
      </c>
      <c r="H13" s="908">
        <f t="shared" si="11"/>
        <v>0</v>
      </c>
      <c r="I13" s="908">
        <f t="shared" si="11"/>
        <v>1</v>
      </c>
      <c r="J13" s="908">
        <f t="shared" si="11"/>
        <v>0</v>
      </c>
      <c r="K13" s="908">
        <f t="shared" si="11"/>
        <v>0</v>
      </c>
      <c r="L13" s="908">
        <f t="shared" si="11"/>
        <v>1</v>
      </c>
      <c r="M13" s="908">
        <f t="shared" si="11"/>
        <v>1</v>
      </c>
      <c r="N13" s="869"/>
      <c r="O13" s="364"/>
      <c r="P13" s="380"/>
      <c r="Q13" s="907">
        <f t="shared" ref="Q13:Y13" si="12">IF($D14&gt;0,FLOOR($D14/18,1),0)+IF(AND(MOD($D14,18)&gt;=Q$2,$D14&gt;0),1,0)-IF(Q$2-18&gt;$D14,1,0)</f>
        <v>1</v>
      </c>
      <c r="R13" s="908">
        <f t="shared" si="12"/>
        <v>0</v>
      </c>
      <c r="S13" s="908">
        <f t="shared" si="12"/>
        <v>0</v>
      </c>
      <c r="T13" s="908">
        <f t="shared" si="12"/>
        <v>0</v>
      </c>
      <c r="U13" s="908">
        <f t="shared" si="12"/>
        <v>1</v>
      </c>
      <c r="V13" s="908">
        <f t="shared" si="12"/>
        <v>0</v>
      </c>
      <c r="W13" s="908">
        <f t="shared" si="12"/>
        <v>1</v>
      </c>
      <c r="X13" s="908">
        <f t="shared" si="12"/>
        <v>1</v>
      </c>
      <c r="Y13" s="908">
        <f t="shared" si="12"/>
        <v>0</v>
      </c>
      <c r="Z13" s="870"/>
      <c r="AA13" s="871"/>
      <c r="AB13" s="872"/>
    </row>
    <row r="14" ht="27.0" customHeight="1">
      <c r="A14" s="369" t="str">
        <f>'Match Selection'!S19</f>
        <v>Andy</v>
      </c>
      <c r="B14" s="873" t="str">
        <f>vlookup(A14, 'Master Input'!$A$11:$B$27,2, false)</f>
        <v>Irons</v>
      </c>
      <c r="C14" s="531">
        <f>vlookup(A14,'Master Input'!$A$11:$L$27,'Master Input'!$L$28, false)</f>
        <v>8</v>
      </c>
      <c r="D14" s="372">
        <f>C14</f>
        <v>8</v>
      </c>
      <c r="E14" s="909">
        <v>5.0</v>
      </c>
      <c r="F14" s="910">
        <v>5.0</v>
      </c>
      <c r="G14" s="910">
        <v>6.0</v>
      </c>
      <c r="H14" s="910">
        <v>4.0</v>
      </c>
      <c r="I14" s="910">
        <v>5.0</v>
      </c>
      <c r="J14" s="910">
        <v>5.0</v>
      </c>
      <c r="K14" s="910">
        <v>3.0</v>
      </c>
      <c r="L14" s="910">
        <v>5.0</v>
      </c>
      <c r="M14" s="910">
        <v>5.0</v>
      </c>
      <c r="N14" s="876">
        <f>if(M14="","", sum(E14:M14))</f>
        <v>43</v>
      </c>
      <c r="O14" s="364"/>
      <c r="P14" s="535" t="str">
        <f>A14</f>
        <v>Andy</v>
      </c>
      <c r="Q14" s="909">
        <v>5.0</v>
      </c>
      <c r="R14" s="910">
        <v>5.0</v>
      </c>
      <c r="S14" s="910">
        <v>3.0</v>
      </c>
      <c r="T14" s="910">
        <v>6.0</v>
      </c>
      <c r="U14" s="910">
        <v>4.0</v>
      </c>
      <c r="V14" s="910">
        <v>3.0</v>
      </c>
      <c r="W14" s="910">
        <v>6.0</v>
      </c>
      <c r="X14" s="910">
        <v>4.0</v>
      </c>
      <c r="Y14" s="910">
        <v>6.0</v>
      </c>
      <c r="Z14" s="877">
        <f>if(Y14="","", sum(Q14:Y14))</f>
        <v>42</v>
      </c>
      <c r="AA14" s="878">
        <f>if(Z14="", "", sum(N14,Z14))</f>
        <v>85</v>
      </c>
      <c r="AB14" s="879">
        <f>if(Y14="", "", AA14-C14)</f>
        <v>77</v>
      </c>
    </row>
    <row r="15" ht="7.5" customHeight="1">
      <c r="A15" s="591"/>
      <c r="B15" s="911"/>
      <c r="C15" s="912"/>
      <c r="D15" s="913"/>
      <c r="E15" s="402" t="str">
        <f t="shared" ref="E15:M15" si="13">if(E16=1,"O", if(E16=2,"O   O",""))</f>
        <v>O   O</v>
      </c>
      <c r="F15" s="403" t="str">
        <f t="shared" si="13"/>
        <v>O</v>
      </c>
      <c r="G15" s="403" t="str">
        <f t="shared" si="13"/>
        <v>O   O</v>
      </c>
      <c r="H15" s="403" t="str">
        <f t="shared" si="13"/>
        <v>O   O</v>
      </c>
      <c r="I15" s="403" t="str">
        <f t="shared" si="13"/>
        <v>O   O</v>
      </c>
      <c r="J15" s="403" t="str">
        <f t="shared" si="13"/>
        <v>O   O</v>
      </c>
      <c r="K15" s="403" t="str">
        <f t="shared" si="13"/>
        <v>O   O</v>
      </c>
      <c r="L15" s="403" t="str">
        <f t="shared" si="13"/>
        <v>O   O</v>
      </c>
      <c r="M15" s="403" t="str">
        <f t="shared" si="13"/>
        <v>O   O</v>
      </c>
      <c r="N15" s="914"/>
      <c r="O15" s="545"/>
      <c r="P15" s="591"/>
      <c r="Q15" s="402" t="str">
        <f t="shared" ref="Q15:Y15" si="14">if(Q16=1,"O", if(Q16=2,"O   O",""))</f>
        <v>O   O</v>
      </c>
      <c r="R15" s="403" t="str">
        <f t="shared" si="14"/>
        <v>O   O</v>
      </c>
      <c r="S15" s="403" t="str">
        <f t="shared" si="14"/>
        <v>O   O</v>
      </c>
      <c r="T15" s="403" t="str">
        <f t="shared" si="14"/>
        <v>O   O</v>
      </c>
      <c r="U15" s="403" t="str">
        <f t="shared" si="14"/>
        <v>O   O</v>
      </c>
      <c r="V15" s="403" t="str">
        <f t="shared" si="14"/>
        <v>O   O</v>
      </c>
      <c r="W15" s="403" t="str">
        <f t="shared" si="14"/>
        <v>O   O</v>
      </c>
      <c r="X15" s="403" t="str">
        <f t="shared" si="14"/>
        <v>O   O</v>
      </c>
      <c r="Y15" s="403" t="str">
        <f t="shared" si="14"/>
        <v>O</v>
      </c>
      <c r="Z15" s="915"/>
      <c r="AA15" s="916"/>
      <c r="AB15" s="906"/>
    </row>
    <row r="16" ht="22.5" hidden="1" customHeight="1">
      <c r="A16" s="410"/>
      <c r="B16" s="411"/>
      <c r="C16" s="553"/>
      <c r="D16" s="413"/>
      <c r="E16" s="414">
        <f t="shared" ref="E16:M16" si="15">IF($D17&gt;0,FLOOR($D17/18,1),0)+IF(AND(MOD($D17,18)&gt;=E$2,$D17&gt;0),1,0)-IF(E$2-18&gt;$D17,1,0)</f>
        <v>2</v>
      </c>
      <c r="F16" s="415">
        <f t="shared" si="15"/>
        <v>1</v>
      </c>
      <c r="G16" s="415">
        <f t="shared" si="15"/>
        <v>2</v>
      </c>
      <c r="H16" s="415">
        <f t="shared" si="15"/>
        <v>2</v>
      </c>
      <c r="I16" s="415">
        <f t="shared" si="15"/>
        <v>2</v>
      </c>
      <c r="J16" s="415">
        <f t="shared" si="15"/>
        <v>2</v>
      </c>
      <c r="K16" s="415">
        <f t="shared" si="15"/>
        <v>2</v>
      </c>
      <c r="L16" s="415">
        <f t="shared" si="15"/>
        <v>2</v>
      </c>
      <c r="M16" s="415">
        <f t="shared" si="15"/>
        <v>2</v>
      </c>
      <c r="N16" s="869"/>
      <c r="O16" s="364"/>
      <c r="P16" s="540"/>
      <c r="Q16" s="414">
        <f t="shared" ref="Q16:Y16" si="16">IF($D17&gt;0,FLOOR($D17/18,1),0)+IF(AND(MOD($D17,18)&gt;=Q$2,$D17&gt;0),1,0)-IF(Q$2-18&gt;$D17,1,0)</f>
        <v>2</v>
      </c>
      <c r="R16" s="415">
        <f t="shared" si="16"/>
        <v>2</v>
      </c>
      <c r="S16" s="415">
        <f t="shared" si="16"/>
        <v>2</v>
      </c>
      <c r="T16" s="415">
        <f t="shared" si="16"/>
        <v>2</v>
      </c>
      <c r="U16" s="415">
        <f t="shared" si="16"/>
        <v>2</v>
      </c>
      <c r="V16" s="415">
        <f t="shared" si="16"/>
        <v>2</v>
      </c>
      <c r="W16" s="415">
        <f t="shared" si="16"/>
        <v>2</v>
      </c>
      <c r="X16" s="415">
        <f t="shared" si="16"/>
        <v>2</v>
      </c>
      <c r="Y16" s="415">
        <f t="shared" si="16"/>
        <v>1</v>
      </c>
      <c r="Z16" s="870"/>
      <c r="AA16" s="917"/>
      <c r="AB16" s="872"/>
    </row>
    <row r="17" ht="27.0" customHeight="1">
      <c r="A17" s="429" t="str">
        <f>'Match Selection'!S20</f>
        <v>Saugy</v>
      </c>
      <c r="B17" s="420" t="str">
        <f>vlookup(A17, 'Master Input'!$A$11:$B$27,2, false)</f>
        <v>Irons</v>
      </c>
      <c r="C17" s="597">
        <f>vlookup(A17,'Master Input'!$A$11:$L$27,'Master Input'!$L$28, false)</f>
        <v>34</v>
      </c>
      <c r="D17" s="422">
        <f>C17</f>
        <v>34</v>
      </c>
      <c r="E17" s="918">
        <v>7.0</v>
      </c>
      <c r="F17" s="434">
        <v>9.0</v>
      </c>
      <c r="G17" s="434">
        <v>4.0</v>
      </c>
      <c r="H17" s="434">
        <v>6.0</v>
      </c>
      <c r="I17" s="434">
        <v>6.0</v>
      </c>
      <c r="J17" s="434">
        <v>8.0</v>
      </c>
      <c r="K17" s="434">
        <v>3.0</v>
      </c>
      <c r="L17" s="434">
        <v>7.0</v>
      </c>
      <c r="M17" s="434">
        <v>8.0</v>
      </c>
      <c r="N17" s="919">
        <f>if(M17="","", sum(E17:M17))</f>
        <v>58</v>
      </c>
      <c r="O17" s="364"/>
      <c r="P17" s="567" t="str">
        <f>A17</f>
        <v>Saugy</v>
      </c>
      <c r="Q17" s="918">
        <v>7.0</v>
      </c>
      <c r="R17" s="434">
        <v>4.0</v>
      </c>
      <c r="S17" s="434">
        <v>4.0</v>
      </c>
      <c r="T17" s="434">
        <v>8.0</v>
      </c>
      <c r="U17" s="434">
        <v>5.0</v>
      </c>
      <c r="V17" s="434">
        <v>3.0</v>
      </c>
      <c r="W17" s="434">
        <v>6.0</v>
      </c>
      <c r="X17" s="434">
        <v>6.0</v>
      </c>
      <c r="Y17" s="434">
        <v>5.0</v>
      </c>
      <c r="Z17" s="920">
        <f>if(Y17="","", sum(Q17:Y17))</f>
        <v>48</v>
      </c>
      <c r="AA17" s="921">
        <f>if(Z17="", "", sum(N17,Z17))</f>
        <v>106</v>
      </c>
      <c r="AB17" s="922">
        <f>if(Y17="", "", AA17-C17)</f>
        <v>72</v>
      </c>
    </row>
    <row r="18" ht="11.25" customHeight="1">
      <c r="A18" s="1005"/>
      <c r="B18" s="1006"/>
      <c r="C18" s="1007"/>
      <c r="D18" s="1008"/>
      <c r="E18" s="1009"/>
      <c r="F18" s="1009"/>
      <c r="G18" s="1009"/>
      <c r="H18" s="1009"/>
      <c r="I18" s="1009"/>
      <c r="J18" s="1009"/>
      <c r="K18" s="1009"/>
      <c r="L18" s="1009"/>
      <c r="M18" s="1009"/>
      <c r="N18" s="1009"/>
      <c r="O18" s="1010"/>
      <c r="P18" s="1009"/>
      <c r="Q18" s="1009"/>
      <c r="R18" s="1009"/>
      <c r="S18" s="1009"/>
      <c r="T18" s="1009"/>
      <c r="U18" s="1009"/>
      <c r="V18" s="1009"/>
      <c r="W18" s="1009"/>
      <c r="X18" s="1009"/>
      <c r="Y18" s="1009"/>
      <c r="Z18" s="1009"/>
      <c r="AA18" s="1009"/>
      <c r="AB18" s="1009"/>
    </row>
    <row r="19">
      <c r="A19" s="929" t="s">
        <v>101</v>
      </c>
      <c r="B19" s="930"/>
      <c r="C19" s="931"/>
      <c r="D19" s="932"/>
      <c r="E19" s="995">
        <f>'R4_G1'!E19</f>
        <v>5</v>
      </c>
      <c r="F19" s="996">
        <f>'R4_G1'!F19</f>
        <v>5</v>
      </c>
      <c r="G19" s="996">
        <f>'R4_G1'!G19</f>
        <v>5</v>
      </c>
      <c r="H19" s="996">
        <f>'R4_G1'!H19</f>
        <v>5</v>
      </c>
      <c r="I19" s="996">
        <f>'R4_G1'!I19</f>
        <v>5</v>
      </c>
      <c r="J19" s="996">
        <f>'R4_G1'!J19</f>
        <v>5</v>
      </c>
      <c r="K19" s="996">
        <f>'R4_G1'!K19</f>
        <v>5</v>
      </c>
      <c r="L19" s="996">
        <f>'R4_G1'!L19</f>
        <v>5</v>
      </c>
      <c r="M19" s="997">
        <f>'R4_G1'!M19</f>
        <v>5</v>
      </c>
      <c r="N19" s="462"/>
      <c r="O19" s="364"/>
      <c r="P19" s="929" t="s">
        <v>101</v>
      </c>
      <c r="Q19" s="995">
        <f>'R4_G1'!Q19</f>
        <v>6</v>
      </c>
      <c r="R19" s="996">
        <f>'R4_G1'!R19</f>
        <v>6</v>
      </c>
      <c r="S19" s="996">
        <f>'R4_G1'!S19</f>
        <v>6</v>
      </c>
      <c r="T19" s="996">
        <f>'R4_G1'!T19</f>
        <v>6</v>
      </c>
      <c r="U19" s="996">
        <f>'R4_G1'!U19</f>
        <v>6</v>
      </c>
      <c r="V19" s="996">
        <f>'R4_G1'!V19</f>
        <v>6</v>
      </c>
      <c r="W19" s="996">
        <f>'R4_G1'!W19</f>
        <v>6</v>
      </c>
      <c r="X19" s="996">
        <f>'R4_G1'!X19</f>
        <v>6</v>
      </c>
      <c r="Y19" s="997">
        <f>'R4_G1'!Y19</f>
        <v>6</v>
      </c>
      <c r="Z19" s="648"/>
      <c r="AA19" s="998" t="s">
        <v>102</v>
      </c>
      <c r="AB19" s="999"/>
    </row>
    <row r="20">
      <c r="A20" s="929" t="s">
        <v>103</v>
      </c>
      <c r="B20" s="930"/>
      <c r="C20" s="931"/>
      <c r="D20" s="932"/>
      <c r="E20" s="938">
        <f>'R4_G1'!E20</f>
        <v>3.4</v>
      </c>
      <c r="F20" s="939">
        <f>'R4_G1'!F20</f>
        <v>5.4</v>
      </c>
      <c r="G20" s="939">
        <f>'R4_G1'!G20</f>
        <v>4.2</v>
      </c>
      <c r="H20" s="939">
        <f>'R4_G1'!H20</f>
        <v>3.2</v>
      </c>
      <c r="I20" s="939">
        <f>'R4_G1'!I20</f>
        <v>3.6</v>
      </c>
      <c r="J20" s="939">
        <f>'R4_G1'!J20</f>
        <v>5</v>
      </c>
      <c r="K20" s="939">
        <f>'R4_G1'!K20</f>
        <v>2.6</v>
      </c>
      <c r="L20" s="939">
        <f>'R4_G1'!L20</f>
        <v>3.6</v>
      </c>
      <c r="M20" s="940">
        <f>'R4_G1'!M20</f>
        <v>3.6</v>
      </c>
      <c r="N20" s="462"/>
      <c r="O20" s="364"/>
      <c r="P20" s="929" t="s">
        <v>103</v>
      </c>
      <c r="Q20" s="938">
        <f>'R4_G1'!Q20</f>
        <v>4.166666667</v>
      </c>
      <c r="R20" s="939">
        <f>'R4_G1'!R20</f>
        <v>3.666666667</v>
      </c>
      <c r="S20" s="939">
        <f>'R4_G1'!S20</f>
        <v>2.833333333</v>
      </c>
      <c r="T20" s="939">
        <f>'R4_G1'!T20</f>
        <v>5.333333333</v>
      </c>
      <c r="U20" s="939">
        <f>'R4_G1'!U20</f>
        <v>3</v>
      </c>
      <c r="V20" s="939">
        <f>'R4_G1'!V20</f>
        <v>2.5</v>
      </c>
      <c r="W20" s="939">
        <f>'R4_G1'!W20</f>
        <v>4.333333333</v>
      </c>
      <c r="X20" s="939">
        <f>'R4_G1'!X20</f>
        <v>3.833333333</v>
      </c>
      <c r="Y20" s="940">
        <f>'R4_G1'!Y20</f>
        <v>5.166666667</v>
      </c>
      <c r="Z20" s="648"/>
      <c r="AA20" s="1000" t="s">
        <v>104</v>
      </c>
      <c r="AB20" s="1001"/>
    </row>
    <row r="21">
      <c r="A21" s="929" t="s">
        <v>105</v>
      </c>
      <c r="B21" s="930"/>
      <c r="C21" s="931"/>
      <c r="D21" s="932"/>
      <c r="E21" s="943">
        <f>'R4_G1'!E21</f>
        <v>-3</v>
      </c>
      <c r="F21" s="944">
        <f>'R4_G1'!F21</f>
        <v>2</v>
      </c>
      <c r="G21" s="944">
        <f>'R4_G1'!G21</f>
        <v>1</v>
      </c>
      <c r="H21" s="944">
        <f>'R4_G1'!H21</f>
        <v>1</v>
      </c>
      <c r="I21" s="944">
        <f>'R4_G1'!I21</f>
        <v>-2</v>
      </c>
      <c r="J21" s="944">
        <f>'R4_G1'!J21</f>
        <v>0</v>
      </c>
      <c r="K21" s="944">
        <f>'R4_G1'!K21</f>
        <v>-2</v>
      </c>
      <c r="L21" s="944">
        <f>'R4_G1'!L21</f>
        <v>-2</v>
      </c>
      <c r="M21" s="945">
        <f>'R4_G1'!M21</f>
        <v>-2</v>
      </c>
      <c r="N21" s="462"/>
      <c r="O21" s="364"/>
      <c r="P21" s="929" t="s">
        <v>105</v>
      </c>
      <c r="Q21" s="943">
        <f>'R4_G1'!Q21</f>
        <v>1</v>
      </c>
      <c r="R21" s="944">
        <f>'R4_G1'!R21</f>
        <v>-2</v>
      </c>
      <c r="S21" s="944">
        <f>'R4_G1'!S21</f>
        <v>-1</v>
      </c>
      <c r="T21" s="944">
        <f>'R4_G1'!T21</f>
        <v>2</v>
      </c>
      <c r="U21" s="944">
        <f>'R4_G1'!U21</f>
        <v>-6</v>
      </c>
      <c r="V21" s="944">
        <f>'R4_G1'!V21</f>
        <v>-3</v>
      </c>
      <c r="W21" s="944">
        <f>'R4_G1'!W21</f>
        <v>2</v>
      </c>
      <c r="X21" s="944">
        <f>'R4_G1'!X21</f>
        <v>-1</v>
      </c>
      <c r="Y21" s="945">
        <f>'R4_G1'!Y21</f>
        <v>1</v>
      </c>
      <c r="Z21" s="648"/>
      <c r="AA21" s="1002" t="s">
        <v>111</v>
      </c>
      <c r="AB21" s="1003"/>
    </row>
    <row r="22" ht="18.75" customHeight="1">
      <c r="Z22" s="652" t="s">
        <v>51</v>
      </c>
      <c r="AA22" s="948" t="s">
        <v>68</v>
      </c>
      <c r="AB22" s="653" t="s">
        <v>69</v>
      </c>
    </row>
    <row r="23" ht="18.75" customHeight="1">
      <c r="A23" s="949" t="s">
        <v>107</v>
      </c>
      <c r="B23" s="950"/>
      <c r="C23" s="951"/>
      <c r="D23" s="952"/>
      <c r="E23" s="953">
        <f>'R4_G1'!E23</f>
        <v>17</v>
      </c>
      <c r="F23" s="953">
        <f>'R4_G1'!F23</f>
        <v>27</v>
      </c>
      <c r="G23" s="953">
        <f>'R4_G1'!G23</f>
        <v>21</v>
      </c>
      <c r="H23" s="953">
        <f>'R4_G1'!H23</f>
        <v>16</v>
      </c>
      <c r="I23" s="953">
        <f>'R4_G1'!I23</f>
        <v>18</v>
      </c>
      <c r="J23" s="953">
        <f>'R4_G1'!J23</f>
        <v>25</v>
      </c>
      <c r="K23" s="953">
        <f>'R4_G1'!K23</f>
        <v>13</v>
      </c>
      <c r="L23" s="953">
        <f>'R4_G1'!L23</f>
        <v>18</v>
      </c>
      <c r="M23" s="953">
        <f>'R4_G1'!M23</f>
        <v>18</v>
      </c>
      <c r="N23" s="954"/>
      <c r="O23" s="955"/>
      <c r="P23" s="949" t="s">
        <v>107</v>
      </c>
      <c r="Q23" s="953">
        <f>'R4_G1'!Q23</f>
        <v>25</v>
      </c>
      <c r="R23" s="953">
        <f>'R4_G1'!R23</f>
        <v>22</v>
      </c>
      <c r="S23" s="953">
        <f>'R4_G1'!S23</f>
        <v>17</v>
      </c>
      <c r="T23" s="953">
        <f>'R4_G1'!T23</f>
        <v>32</v>
      </c>
      <c r="U23" s="953">
        <f>'R4_G1'!U23</f>
        <v>18</v>
      </c>
      <c r="V23" s="953">
        <f>'R4_G1'!V23</f>
        <v>15</v>
      </c>
      <c r="W23" s="953">
        <f>'R4_G1'!W23</f>
        <v>26</v>
      </c>
      <c r="X23" s="953">
        <f>'R4_G1'!X23</f>
        <v>23</v>
      </c>
      <c r="Y23" s="953">
        <f>'R4_G1'!Y23</f>
        <v>31</v>
      </c>
      <c r="Z23" s="652" t="s">
        <v>71</v>
      </c>
      <c r="AA23" s="948" t="s">
        <v>72</v>
      </c>
      <c r="AB23" s="653" t="s">
        <v>73</v>
      </c>
    </row>
    <row r="24" ht="18.75" hidden="1" customHeight="1">
      <c r="A24" s="660"/>
      <c r="B24" s="655" t="str">
        <f>B8</f>
        <v>Irons</v>
      </c>
      <c r="C24" s="656"/>
      <c r="D24" s="655"/>
      <c r="E24" s="956">
        <f>'FINAL COUNTDOWN'!B2</f>
        <v>0.5</v>
      </c>
      <c r="F24" s="956">
        <f>'FINAL COUNTDOWN'!B3</f>
        <v>0</v>
      </c>
      <c r="G24" s="956">
        <f>'FINAL COUNTDOWN'!B4</f>
        <v>1</v>
      </c>
      <c r="H24" s="956">
        <f>'FINAL COUNTDOWN'!B5</f>
        <v>0</v>
      </c>
      <c r="I24" s="956">
        <f>'FINAL COUNTDOWN'!B6</f>
        <v>0.5</v>
      </c>
      <c r="J24" s="956">
        <f>'FINAL COUNTDOWN'!B7</f>
        <v>0.5</v>
      </c>
      <c r="K24" s="956">
        <f>'FINAL COUNTDOWN'!B8</f>
        <v>0.5</v>
      </c>
      <c r="L24" s="956">
        <f>'FINAL COUNTDOWN'!B9</f>
        <v>0.5</v>
      </c>
      <c r="M24" s="956">
        <f>'FINAL COUNTDOWN'!B10</f>
        <v>0</v>
      </c>
      <c r="N24" s="483"/>
      <c r="O24" s="483"/>
      <c r="P24" s="483"/>
      <c r="Q24" s="486">
        <f>'FINAL COUNTDOWN'!B12</f>
        <v>0</v>
      </c>
      <c r="R24" s="486">
        <f>'FINAL COUNTDOWN'!B13</f>
        <v>2</v>
      </c>
      <c r="S24" s="486">
        <f>'FINAL COUNTDOWN'!B14</f>
        <v>1</v>
      </c>
      <c r="T24" s="486">
        <f>'FINAL COUNTDOWN'!B15</f>
        <v>0</v>
      </c>
      <c r="U24" s="486">
        <f>'FINAL COUNTDOWN'!B16</f>
        <v>2</v>
      </c>
      <c r="V24" s="486">
        <f>'FINAL COUNTDOWN'!B17</f>
        <v>2</v>
      </c>
      <c r="W24" s="486">
        <f>'FINAL COUNTDOWN'!B18</f>
        <v>0</v>
      </c>
      <c r="X24" s="486">
        <f>'FINAL COUNTDOWN'!B19</f>
        <v>0</v>
      </c>
      <c r="Y24" s="486">
        <f>'FINAL COUNTDOWN'!B20</f>
        <v>0</v>
      </c>
      <c r="Z24" s="659"/>
      <c r="AA24" s="659"/>
      <c r="AB24" s="660">
        <f>sum(E24:Y24)</f>
        <v>10.5</v>
      </c>
    </row>
    <row r="25" ht="18.75" hidden="1" customHeight="1">
      <c r="A25" s="649" t="str">
        <f>A8</f>
        <v>Pace</v>
      </c>
      <c r="B25" s="649"/>
      <c r="C25" s="650"/>
      <c r="D25" s="650"/>
      <c r="E25" s="492">
        <f>if('Captains Card 1'!E43&lt;small('Captains Card 1'!E$39:E$46,E$19),1,
if('Captains Card 1'!E43=small('Captains Card 1'!E$39:E$46,E$19),
(E$19-countif('Captains Card 1'!E$39:E$46,"&lt;"&amp;small('Captains Card 1'!E$39:E$46,E$19)))
/countif('Captains Card 1'!E$39:E$46,small('Captains Card 1'!E$39:E$46,E$19)),0))</f>
        <v>1</v>
      </c>
      <c r="F25" s="492">
        <f>if('Captains Card 1'!F43&lt;small('Captains Card 1'!F$39:F$46,F$19),1,
if('Captains Card 1'!F43=small('Captains Card 1'!F$39:F$46,F$19),
(F$19-countif('Captains Card 1'!F$39:F$46,"&lt;"&amp;small('Captains Card 1'!F$39:F$46,F$19)))
/countif('Captains Card 1'!F$39:F$46,small('Captains Card 1'!F$39:F$46,F$19)),0))</f>
        <v>1</v>
      </c>
      <c r="G25" s="492">
        <f>if('Captains Card 1'!G43&lt;small('Captains Card 1'!G$39:G$46,G$19),1,
if('Captains Card 1'!G43=small('Captains Card 1'!G$39:G$46,G$19),
(G$19-countif('Captains Card 1'!G$39:G$46,"&lt;"&amp;small('Captains Card 1'!G$39:G$46,G$19)))
/countif('Captains Card 1'!G$39:G$46,small('Captains Card 1'!G$39:G$46,G$19)),0))</f>
        <v>0.75</v>
      </c>
      <c r="H25" s="492">
        <f>if('Captains Card 1'!H43&lt;small('Captains Card 1'!H$39:H$46,H$19),1,
if('Captains Card 1'!H43=small('Captains Card 1'!H$39:H$46,H$19),
(H$19-countif('Captains Card 1'!H$39:H$46,"&lt;"&amp;small('Captains Card 1'!H$39:H$46,H$19)))
/countif('Captains Card 1'!H$39:H$46,small('Captains Card 1'!H$39:H$46,H$19)),0))</f>
        <v>0</v>
      </c>
      <c r="I25" s="492">
        <f>if('Captains Card 1'!I43&lt;small('Captains Card 1'!I$39:I$46,I$19),1,
if('Captains Card 1'!I43=small('Captains Card 1'!I$39:I$46,I$19),
(I$19-countif('Captains Card 1'!I$39:I$46,"&lt;"&amp;small('Captains Card 1'!I$39:I$46,I$19)))
/countif('Captains Card 1'!I$39:I$46,small('Captains Card 1'!I$39:I$46,I$19)),0))</f>
        <v>0</v>
      </c>
      <c r="J25" s="492">
        <f>if('Captains Card 1'!J43&lt;small('Captains Card 1'!J$39:J$46,J$19),1,
if('Captains Card 1'!J43=small('Captains Card 1'!J$39:J$46,J$19),
(J$19-countif('Captains Card 1'!J$39:J$46,"&lt;"&amp;small('Captains Card 1'!J$39:J$46,J$19)))
/countif('Captains Card 1'!J$39:J$46,small('Captains Card 1'!J$39:J$46,J$19)),0))</f>
        <v>1</v>
      </c>
      <c r="K25" s="492">
        <f>if('Captains Card 1'!K43&lt;small('Captains Card 1'!K$39:K$46,K$19),1,
if('Captains Card 1'!K43=small('Captains Card 1'!K$39:K$46,K$19),
(K$19-countif('Captains Card 1'!K$39:K$46,"&lt;"&amp;small('Captains Card 1'!K$39:K$46,K$19)))
/countif('Captains Card 1'!K$39:K$46,small('Captains Card 1'!K$39:K$46,K$19)),0))</f>
        <v>0.8</v>
      </c>
      <c r="L25" s="492">
        <f>if('Captains Card 1'!L43&lt;small('Captains Card 1'!L$39:L$46,L$19),1,
if('Captains Card 1'!L43=small('Captains Card 1'!L$39:L$46,L$19),
(L$19-countif('Captains Card 1'!L$39:L$46,"&lt;"&amp;small('Captains Card 1'!L$39:L$46,L$19)))
/countif('Captains Card 1'!L$39:L$46,small('Captains Card 1'!L$39:L$46,L$19)),0))</f>
        <v>0</v>
      </c>
      <c r="M25" s="492">
        <f>if('Captains Card 1'!M43&lt;small('Captains Card 1'!M$39:M$46,M$19),1,
if('Captains Card 1'!M43=small('Captains Card 1'!M$39:M$46,M$19),
(M$19-countif('Captains Card 1'!M$39:M$46,"&lt;"&amp;small('Captains Card 1'!M$39:M$46,M$19)))
/countif('Captains Card 1'!M$39:M$46,small('Captains Card 1'!M$39:M$46,M$19)),0))</f>
        <v>0.75</v>
      </c>
      <c r="N25" s="470"/>
      <c r="O25" s="470"/>
      <c r="P25" s="470"/>
      <c r="Q25" s="492">
        <f>if('Captains Card 1'!Q43&lt;small('Captains Card 1'!Q$39:Q$46,Q$19),1,
if('Captains Card 1'!Q43=small('Captains Card 1'!Q$39:Q$46,Q$19),
(Q$19-countif('Captains Card 1'!Q$39:Q$46,"&lt;"&amp;small('Captains Card 1'!Q$39:Q$46,Q$19)))
/countif('Captains Card 1'!Q$39:Q$46,small('Captains Card 1'!Q$39:Q$46,Q$19)),0))</f>
        <v>1</v>
      </c>
      <c r="R25" s="492">
        <f>if('Captains Card 1'!R43&lt;small('Captains Card 1'!R$39:R$46,R$19),1,
if('Captains Card 1'!R43=small('Captains Card 1'!R$39:R$46,R$19),
(R$19-countif('Captains Card 1'!R$39:R$46,"&lt;"&amp;small('Captains Card 1'!R$39:R$46,R$19)))
/countif('Captains Card 1'!R$39:R$46,small('Captains Card 1'!R$39:R$46,R$19)),0))</f>
        <v>1</v>
      </c>
      <c r="S25" s="492">
        <f>if('Captains Card 1'!S43&lt;small('Captains Card 1'!S$39:S$46,S$19),1,
if('Captains Card 1'!S43=small('Captains Card 1'!S$39:S$46,S$19),
(S$19-countif('Captains Card 1'!S$39:S$46,"&lt;"&amp;small('Captains Card 1'!S$39:S$46,S$19)))
/countif('Captains Card 1'!S$39:S$46,small('Captains Card 1'!S$39:S$46,S$19)),0))</f>
        <v>1</v>
      </c>
      <c r="T25" s="492">
        <f>if('Captains Card 1'!T43&lt;small('Captains Card 1'!T$39:T$46,T$19),1,
if('Captains Card 1'!T43=small('Captains Card 1'!T$39:T$46,T$19),
(T$19-countif('Captains Card 1'!T$39:T$46,"&lt;"&amp;small('Captains Card 1'!T$39:T$46,T$19)))
/countif('Captains Card 1'!T$39:T$46,small('Captains Card 1'!T$39:T$46,T$19)),0))</f>
        <v>0.75</v>
      </c>
      <c r="U25" s="492">
        <f>if('Captains Card 1'!U43&lt;small('Captains Card 1'!U$39:U$46,U$19),1,
if('Captains Card 1'!U43=small('Captains Card 1'!U$39:U$46,U$19),
(U$19-countif('Captains Card 1'!U$39:U$46,"&lt;"&amp;small('Captains Card 1'!U$39:U$46,U$19)))
/countif('Captains Card 1'!U$39:U$46,small('Captains Card 1'!U$39:U$46,U$19)),0))</f>
        <v>0</v>
      </c>
      <c r="V25" s="492">
        <f>if('Captains Card 1'!V43&lt;small('Captains Card 1'!V$39:V$46,V$19),1,
if('Captains Card 1'!V43=small('Captains Card 1'!V$39:V$46,V$19),
(V$19-countif('Captains Card 1'!V$39:V$46,"&lt;"&amp;small('Captains Card 1'!V$39:V$46,V$19)))
/countif('Captains Card 1'!V$39:V$46,small('Captains Card 1'!V$39:V$46,V$19)),0))</f>
        <v>1</v>
      </c>
      <c r="W25" s="492">
        <f>if('Captains Card 1'!W43&lt;small('Captains Card 1'!W$39:W$46,W$19),1,
if('Captains Card 1'!W43=small('Captains Card 1'!W$39:W$46,W$19),
(W$19-countif('Captains Card 1'!W$39:W$46,"&lt;"&amp;small('Captains Card 1'!W$39:W$46,W$19)))
/countif('Captains Card 1'!W$39:W$46,small('Captains Card 1'!W$39:W$46,W$19)),0))</f>
        <v>0.6666666667</v>
      </c>
      <c r="X25" s="492">
        <f>if('Captains Card 1'!X43&lt;small('Captains Card 1'!X$39:X$46,X$19),1,
if('Captains Card 1'!X43=small('Captains Card 1'!X$39:X$46,X$19),
(X$19-countif('Captains Card 1'!X$39:X$46,"&lt;"&amp;small('Captains Card 1'!X$39:X$46,X$19)))
/countif('Captains Card 1'!X$39:X$46,small('Captains Card 1'!X$39:X$46,X$19)),0))</f>
        <v>0</v>
      </c>
      <c r="Y25" s="492">
        <f>if('Captains Card 1'!Y43&lt;small('Captains Card 1'!Y$39:Y$46,Y$19),1,
if('Captains Card 1'!Y43=small('Captains Card 1'!Y$39:Y$46,Y$19),
(Y$19-countif('Captains Card 1'!Y$39:Y$46,"&lt;"&amp;small('Captains Card 1'!Y$39:Y$46,Y$19)))
/countif('Captains Card 1'!Y$39:Y$46,small('Captains Card 1'!Y$39:Y$46,Y$19)),0))</f>
        <v>0.6</v>
      </c>
      <c r="Z25" s="957">
        <f t="shared" ref="Z25:Z28" si="17">if(Y$8="","", sum(E25:M25,Q25:Y25))</f>
        <v>11.31666667</v>
      </c>
      <c r="AA25" s="958">
        <f t="shared" ref="AA25:AA28" si="18">if(Y$8="","",sumif($E$24:$M$24,"&gt;0.5",E25:M25)+sumif($E$24:$M$24,0.5,E25:M25)/2+sumif($Q$24:$Y$24,"&gt;1",Q25:Y25)+sumif($Q$24:$Y$24,1,Q25:Y25)/2)</f>
        <v>4.65</v>
      </c>
      <c r="AB25" s="492">
        <f t="shared" ref="AB25:AB28" si="19">if(Y$8="","",Z25/(sum($E$19:$M$19,$Q$19:$Y$19))*$AB$24)</f>
        <v>1.200252525</v>
      </c>
    </row>
    <row r="26" ht="18.75" hidden="1" customHeight="1">
      <c r="A26" s="649" t="str">
        <f>A11</f>
        <v>Carp</v>
      </c>
      <c r="B26" s="649"/>
      <c r="C26" s="650"/>
      <c r="D26" s="650"/>
      <c r="E26" s="492">
        <f>if('Captains Card 1'!E44&lt;small('Captains Card 1'!E$39:E$46,E$19),1,
if('Captains Card 1'!E44=small('Captains Card 1'!E$39:E$46,E$19),
(E$19-countif('Captains Card 1'!E$39:E$46,"&lt;"&amp;small('Captains Card 1'!E$39:E$46,E$19)))
/countif('Captains Card 1'!E$39:E$46,small('Captains Card 1'!E$39:E$46,E$19)),0))</f>
        <v>1</v>
      </c>
      <c r="F26" s="492">
        <f>if('Captains Card 1'!F44&lt;small('Captains Card 1'!F$39:F$46,F$19),1,
if('Captains Card 1'!F44=small('Captains Card 1'!F$39:F$46,F$19),
(F$19-countif('Captains Card 1'!F$39:F$46,"&lt;"&amp;small('Captains Card 1'!F$39:F$46,F$19)))
/countif('Captains Card 1'!F$39:F$46,small('Captains Card 1'!F$39:F$46,F$19)),0))</f>
        <v>1</v>
      </c>
      <c r="G26" s="492">
        <f>if('Captains Card 1'!G44&lt;small('Captains Card 1'!G$39:G$46,G$19),1,
if('Captains Card 1'!G44=small('Captains Card 1'!G$39:G$46,G$19),
(G$19-countif('Captains Card 1'!G$39:G$46,"&lt;"&amp;small('Captains Card 1'!G$39:G$46,G$19)))
/countif('Captains Card 1'!G$39:G$46,small('Captains Card 1'!G$39:G$46,G$19)),0))</f>
        <v>0</v>
      </c>
      <c r="H26" s="492">
        <f>if('Captains Card 1'!H44&lt;small('Captains Card 1'!H$39:H$46,H$19),1,
if('Captains Card 1'!H44=small('Captains Card 1'!H$39:H$46,H$19),
(H$19-countif('Captains Card 1'!H$39:H$46,"&lt;"&amp;small('Captains Card 1'!H$39:H$46,H$19)))
/countif('Captains Card 1'!H$39:H$46,small('Captains Card 1'!H$39:H$46,H$19)),0))</f>
        <v>1</v>
      </c>
      <c r="I26" s="492">
        <f>if('Captains Card 1'!I44&lt;small('Captains Card 1'!I$39:I$46,I$19),1,
if('Captains Card 1'!I44=small('Captains Card 1'!I$39:I$46,I$19),
(I$19-countif('Captains Card 1'!I$39:I$46,"&lt;"&amp;small('Captains Card 1'!I$39:I$46,I$19)))
/countif('Captains Card 1'!I$39:I$46,small('Captains Card 1'!I$39:I$46,I$19)),0))</f>
        <v>0.6</v>
      </c>
      <c r="J26" s="492">
        <f>if('Captains Card 1'!J44&lt;small('Captains Card 1'!J$39:J$46,J$19),1,
if('Captains Card 1'!J44=small('Captains Card 1'!J$39:J$46,J$19),
(J$19-countif('Captains Card 1'!J$39:J$46,"&lt;"&amp;small('Captains Card 1'!J$39:J$46,J$19)))
/countif('Captains Card 1'!J$39:J$46,small('Captains Card 1'!J$39:J$46,J$19)),0))</f>
        <v>1</v>
      </c>
      <c r="K26" s="492">
        <f>if('Captains Card 1'!K44&lt;small('Captains Card 1'!K$39:K$46,K$19),1,
if('Captains Card 1'!K44=small('Captains Card 1'!K$39:K$46,K$19),
(K$19-countif('Captains Card 1'!K$39:K$46,"&lt;"&amp;small('Captains Card 1'!K$39:K$46,K$19)))
/countif('Captains Card 1'!K$39:K$46,small('Captains Card 1'!K$39:K$46,K$19)),0))</f>
        <v>0.8</v>
      </c>
      <c r="L26" s="492">
        <f>if('Captains Card 1'!L44&lt;small('Captains Card 1'!L$39:L$46,L$19),1,
if('Captains Card 1'!L44=small('Captains Card 1'!L$39:L$46,L$19),
(L$19-countif('Captains Card 1'!L$39:L$46,"&lt;"&amp;small('Captains Card 1'!L$39:L$46,L$19)))
/countif('Captains Card 1'!L$39:L$46,small('Captains Card 1'!L$39:L$46,L$19)),0))</f>
        <v>0</v>
      </c>
      <c r="M26" s="492">
        <f>if('Captains Card 1'!M44&lt;small('Captains Card 1'!M$39:M$46,M$19),1,
if('Captains Card 1'!M44=small('Captains Card 1'!M$39:M$46,M$19),
(M$19-countif('Captains Card 1'!M$39:M$46,"&lt;"&amp;small('Captains Card 1'!M$39:M$46,M$19)))
/countif('Captains Card 1'!M$39:M$46,small('Captains Card 1'!M$39:M$46,M$19)),0))</f>
        <v>1</v>
      </c>
      <c r="N26" s="470"/>
      <c r="O26" s="470"/>
      <c r="P26" s="470"/>
      <c r="Q26" s="492">
        <f>if('Captains Card 1'!Q44&lt;small('Captains Card 1'!Q$39:Q$46,Q$19),1,
if('Captains Card 1'!Q44=small('Captains Card 1'!Q$39:Q$46,Q$19),
(Q$19-countif('Captains Card 1'!Q$39:Q$46,"&lt;"&amp;small('Captains Card 1'!Q$39:Q$46,Q$19)))
/countif('Captains Card 1'!Q$39:Q$46,small('Captains Card 1'!Q$39:Q$46,Q$19)),0))</f>
        <v>0.3333333333</v>
      </c>
      <c r="R26" s="492">
        <f>if('Captains Card 1'!R44&lt;small('Captains Card 1'!R$39:R$46,R$19),1,
if('Captains Card 1'!R44=small('Captains Card 1'!R$39:R$46,R$19),
(R$19-countif('Captains Card 1'!R$39:R$46,"&lt;"&amp;small('Captains Card 1'!R$39:R$46,R$19)))
/countif('Captains Card 1'!R$39:R$46,small('Captains Card 1'!R$39:R$46,R$19)),0))</f>
        <v>1</v>
      </c>
      <c r="S26" s="492">
        <f>if('Captains Card 1'!S44&lt;small('Captains Card 1'!S$39:S$46,S$19),1,
if('Captains Card 1'!S44=small('Captains Card 1'!S$39:S$46,S$19),
(S$19-countif('Captains Card 1'!S$39:S$46,"&lt;"&amp;small('Captains Card 1'!S$39:S$46,S$19)))
/countif('Captains Card 1'!S$39:S$46,small('Captains Card 1'!S$39:S$46,S$19)),0))</f>
        <v>1</v>
      </c>
      <c r="T26" s="492">
        <f>if('Captains Card 1'!T44&lt;small('Captains Card 1'!T$39:T$46,T$19),1,
if('Captains Card 1'!T44=small('Captains Card 1'!T$39:T$46,T$19),
(T$19-countif('Captains Card 1'!T$39:T$46,"&lt;"&amp;small('Captains Card 1'!T$39:T$46,T$19)))
/countif('Captains Card 1'!T$39:T$46,small('Captains Card 1'!T$39:T$46,T$19)),0))</f>
        <v>0.75</v>
      </c>
      <c r="U26" s="492">
        <f>if('Captains Card 1'!U44&lt;small('Captains Card 1'!U$39:U$46,U$19),1,
if('Captains Card 1'!U44=small('Captains Card 1'!U$39:U$46,U$19),
(U$19-countif('Captains Card 1'!U$39:U$46,"&lt;"&amp;small('Captains Card 1'!U$39:U$46,U$19)))
/countif('Captains Card 1'!U$39:U$46,small('Captains Card 1'!U$39:U$46,U$19)),0))</f>
        <v>0</v>
      </c>
      <c r="V26" s="492">
        <f>if('Captains Card 1'!V44&lt;small('Captains Card 1'!V$39:V$46,V$19),1,
if('Captains Card 1'!V44=small('Captains Card 1'!V$39:V$46,V$19),
(V$19-countif('Captains Card 1'!V$39:V$46,"&lt;"&amp;small('Captains Card 1'!V$39:V$46,V$19)))
/countif('Captains Card 1'!V$39:V$46,small('Captains Card 1'!V$39:V$46,V$19)),0))</f>
        <v>1</v>
      </c>
      <c r="W26" s="492">
        <f>if('Captains Card 1'!W44&lt;small('Captains Card 1'!W$39:W$46,W$19),1,
if('Captains Card 1'!W44=small('Captains Card 1'!W$39:W$46,W$19),
(W$19-countif('Captains Card 1'!W$39:W$46,"&lt;"&amp;small('Captains Card 1'!W$39:W$46,W$19)))
/countif('Captains Card 1'!W$39:W$46,small('Captains Card 1'!W$39:W$46,W$19)),0))</f>
        <v>0</v>
      </c>
      <c r="X26" s="492">
        <f>if('Captains Card 1'!X44&lt;small('Captains Card 1'!X$39:X$46,X$19),1,
if('Captains Card 1'!X44=small('Captains Card 1'!X$39:X$46,X$19),
(X$19-countif('Captains Card 1'!X$39:X$46,"&lt;"&amp;small('Captains Card 1'!X$39:X$46,X$19)))
/countif('Captains Card 1'!X$39:X$46,small('Captains Card 1'!X$39:X$46,X$19)),0))</f>
        <v>1</v>
      </c>
      <c r="Y26" s="492">
        <f>if('Captains Card 1'!Y44&lt;small('Captains Card 1'!Y$39:Y$46,Y$19),1,
if('Captains Card 1'!Y44=small('Captains Card 1'!Y$39:Y$46,Y$19),
(Y$19-countif('Captains Card 1'!Y$39:Y$46,"&lt;"&amp;small('Captains Card 1'!Y$39:Y$46,Y$19)))
/countif('Captains Card 1'!Y$39:Y$46,small('Captains Card 1'!Y$39:Y$46,Y$19)),0))</f>
        <v>0.6</v>
      </c>
      <c r="Z26" s="957">
        <f t="shared" si="17"/>
        <v>12.08333333</v>
      </c>
      <c r="AA26" s="958">
        <f t="shared" si="18"/>
        <v>4.2</v>
      </c>
      <c r="AB26" s="492">
        <f t="shared" si="19"/>
        <v>1.281565657</v>
      </c>
    </row>
    <row r="27" ht="18.75" hidden="1" customHeight="1">
      <c r="A27" s="649" t="str">
        <f>A14</f>
        <v>Andy</v>
      </c>
      <c r="B27" s="649"/>
      <c r="C27" s="650"/>
      <c r="D27" s="650"/>
      <c r="E27" s="492">
        <f>if('Captains Card 1'!E45&lt;small('Captains Card 1'!E$39:E$46,E$19),1,
if('Captains Card 1'!E45=small('Captains Card 1'!E$39:E$46,E$19),
(E$19-countif('Captains Card 1'!E$39:E$46,"&lt;"&amp;small('Captains Card 1'!E$39:E$46,E$19)))
/countif('Captains Card 1'!E$39:E$46,small('Captains Card 1'!E$39:E$46,E$19)),0))</f>
        <v>0</v>
      </c>
      <c r="F27" s="492">
        <f>if('Captains Card 1'!F45&lt;small('Captains Card 1'!F$39:F$46,F$19),1,
if('Captains Card 1'!F45=small('Captains Card 1'!F$39:F$46,F$19),
(F$19-countif('Captains Card 1'!F$39:F$46,"&lt;"&amp;small('Captains Card 1'!F$39:F$46,F$19)))
/countif('Captains Card 1'!F$39:F$46,small('Captains Card 1'!F$39:F$46,F$19)),0))</f>
        <v>1</v>
      </c>
      <c r="G27" s="492">
        <f>if('Captains Card 1'!G45&lt;small('Captains Card 1'!G$39:G$46,G$19),1,
if('Captains Card 1'!G45=small('Captains Card 1'!G$39:G$46,G$19),
(G$19-countif('Captains Card 1'!G$39:G$46,"&lt;"&amp;small('Captains Card 1'!G$39:G$46,G$19)))
/countif('Captains Card 1'!G$39:G$46,small('Captains Card 1'!G$39:G$46,G$19)),0))</f>
        <v>0.75</v>
      </c>
      <c r="H27" s="492">
        <f>if('Captains Card 1'!H45&lt;small('Captains Card 1'!H$39:H$46,H$19),1,
if('Captains Card 1'!H45=small('Captains Card 1'!H$39:H$46,H$19),
(H$19-countif('Captains Card 1'!H$39:H$46,"&lt;"&amp;small('Captains Card 1'!H$39:H$46,H$19)))
/countif('Captains Card 1'!H$39:H$46,small('Captains Card 1'!H$39:H$46,H$19)),0))</f>
        <v>0.6666666667</v>
      </c>
      <c r="I27" s="492">
        <f>if('Captains Card 1'!I45&lt;small('Captains Card 1'!I$39:I$46,I$19),1,
if('Captains Card 1'!I45=small('Captains Card 1'!I$39:I$46,I$19),
(I$19-countif('Captains Card 1'!I$39:I$46,"&lt;"&amp;small('Captains Card 1'!I$39:I$46,I$19)))
/countif('Captains Card 1'!I$39:I$46,small('Captains Card 1'!I$39:I$46,I$19)),0))</f>
        <v>0.6</v>
      </c>
      <c r="J27" s="492">
        <f>if('Captains Card 1'!J45&lt;small('Captains Card 1'!J$39:J$46,J$19),1,
if('Captains Card 1'!J45=small('Captains Card 1'!J$39:J$46,J$19),
(J$19-countif('Captains Card 1'!J$39:J$46,"&lt;"&amp;small('Captains Card 1'!J$39:J$46,J$19)))
/countif('Captains Card 1'!J$39:J$46,small('Captains Card 1'!J$39:J$46,J$19)),0))</f>
        <v>1</v>
      </c>
      <c r="K27" s="492">
        <f>if('Captains Card 1'!K45&lt;small('Captains Card 1'!K$39:K$46,K$19),1,
if('Captains Card 1'!K45=small('Captains Card 1'!K$39:K$46,K$19),
(K$19-countif('Captains Card 1'!K$39:K$46,"&lt;"&amp;small('Captains Card 1'!K$39:K$46,K$19)))
/countif('Captains Card 1'!K$39:K$46,small('Captains Card 1'!K$39:K$46,K$19)),0))</f>
        <v>0.8</v>
      </c>
      <c r="L27" s="492">
        <f>if('Captains Card 1'!L45&lt;small('Captains Card 1'!L$39:L$46,L$19),1,
if('Captains Card 1'!L45=small('Captains Card 1'!L$39:L$46,L$19),
(L$19-countif('Captains Card 1'!L$39:L$46,"&lt;"&amp;small('Captains Card 1'!L$39:L$46,L$19)))
/countif('Captains Card 1'!L$39:L$46,small('Captains Card 1'!L$39:L$46,L$19)),0))</f>
        <v>1</v>
      </c>
      <c r="M27" s="492">
        <f>if('Captains Card 1'!M45&lt;small('Captains Card 1'!M$39:M$46,M$19),1,
if('Captains Card 1'!M45=small('Captains Card 1'!M$39:M$46,M$19),
(M$19-countif('Captains Card 1'!M$39:M$46,"&lt;"&amp;small('Captains Card 1'!M$39:M$46,M$19)))
/countif('Captains Card 1'!M$39:M$46,small('Captains Card 1'!M$39:M$46,M$19)),0))</f>
        <v>0.75</v>
      </c>
      <c r="N27" s="470"/>
      <c r="O27" s="470"/>
      <c r="P27" s="470"/>
      <c r="Q27" s="492">
        <f>if('Captains Card 1'!Q45&lt;small('Captains Card 1'!Q$39:Q$46,Q$19),1,
if('Captains Card 1'!Q45=small('Captains Card 1'!Q$39:Q$46,Q$19),
(Q$19-countif('Captains Card 1'!Q$39:Q$46,"&lt;"&amp;small('Captains Card 1'!Q$39:Q$46,Q$19)))
/countif('Captains Card 1'!Q$39:Q$46,small('Captains Card 1'!Q$39:Q$46,Q$19)),0))</f>
        <v>1</v>
      </c>
      <c r="R27" s="492">
        <f>if('Captains Card 1'!R45&lt;small('Captains Card 1'!R$39:R$46,R$19),1,
if('Captains Card 1'!R45=small('Captains Card 1'!R$39:R$46,R$19),
(R$19-countif('Captains Card 1'!R$39:R$46,"&lt;"&amp;small('Captains Card 1'!R$39:R$46,R$19)))
/countif('Captains Card 1'!R$39:R$46,small('Captains Card 1'!R$39:R$46,R$19)),0))</f>
        <v>0</v>
      </c>
      <c r="S27" s="492">
        <f>if('Captains Card 1'!S45&lt;small('Captains Card 1'!S$39:S$46,S$19),1,
if('Captains Card 1'!S45=small('Captains Card 1'!S$39:S$46,S$19),
(S$19-countif('Captains Card 1'!S$39:S$46,"&lt;"&amp;small('Captains Card 1'!S$39:S$46,S$19)))
/countif('Captains Card 1'!S$39:S$46,small('Captains Card 1'!S$39:S$46,S$19)),0))</f>
        <v>1</v>
      </c>
      <c r="T27" s="492">
        <f>if('Captains Card 1'!T45&lt;small('Captains Card 1'!T$39:T$46,T$19),1,
if('Captains Card 1'!T45=small('Captains Card 1'!T$39:T$46,T$19),
(T$19-countif('Captains Card 1'!T$39:T$46,"&lt;"&amp;small('Captains Card 1'!T$39:T$46,T$19)))
/countif('Captains Card 1'!T$39:T$46,small('Captains Card 1'!T$39:T$46,T$19)),0))</f>
        <v>0.75</v>
      </c>
      <c r="U27" s="492">
        <f>if('Captains Card 1'!U45&lt;small('Captains Card 1'!U$39:U$46,U$19),1,
if('Captains Card 1'!U45=small('Captains Card 1'!U$39:U$46,U$19),
(U$19-countif('Captains Card 1'!U$39:U$46,"&lt;"&amp;small('Captains Card 1'!U$39:U$46,U$19)))
/countif('Captains Card 1'!U$39:U$46,small('Captains Card 1'!U$39:U$46,U$19)),0))</f>
        <v>1</v>
      </c>
      <c r="V27" s="492">
        <f>if('Captains Card 1'!V45&lt;small('Captains Card 1'!V$39:V$46,V$19),1,
if('Captains Card 1'!V45=small('Captains Card 1'!V$39:V$46,V$19),
(V$19-countif('Captains Card 1'!V$39:V$46,"&lt;"&amp;small('Captains Card 1'!V$39:V$46,V$19)))
/countif('Captains Card 1'!V$39:V$46,small('Captains Card 1'!V$39:V$46,V$19)),0))</f>
        <v>1</v>
      </c>
      <c r="W27" s="492">
        <f>if('Captains Card 1'!W45&lt;small('Captains Card 1'!W$39:W$46,W$19),1,
if('Captains Card 1'!W45=small('Captains Card 1'!W$39:W$46,W$19),
(W$19-countif('Captains Card 1'!W$39:W$46,"&lt;"&amp;small('Captains Card 1'!W$39:W$46,W$19)))
/countif('Captains Card 1'!W$39:W$46,small('Captains Card 1'!W$39:W$46,W$19)),0))</f>
        <v>0.6666666667</v>
      </c>
      <c r="X27" s="492">
        <f>if('Captains Card 1'!X45&lt;small('Captains Card 1'!X$39:X$46,X$19),1,
if('Captains Card 1'!X45=small('Captains Card 1'!X$39:X$46,X$19),
(X$19-countif('Captains Card 1'!X$39:X$46,"&lt;"&amp;small('Captains Card 1'!X$39:X$46,X$19)))
/countif('Captains Card 1'!X$39:X$46,small('Captains Card 1'!X$39:X$46,X$19)),0))</f>
        <v>1</v>
      </c>
      <c r="Y27" s="492">
        <f>if('Captains Card 1'!Y45&lt;small('Captains Card 1'!Y$39:Y$46,Y$19),1,
if('Captains Card 1'!Y45=small('Captains Card 1'!Y$39:Y$46,Y$19),
(Y$19-countif('Captains Card 1'!Y$39:Y$46,"&lt;"&amp;small('Captains Card 1'!Y$39:Y$46,Y$19)))
/countif('Captains Card 1'!Y$39:Y$46,small('Captains Card 1'!Y$39:Y$46,Y$19)),0))</f>
        <v>0.6</v>
      </c>
      <c r="Z27" s="957">
        <f t="shared" si="17"/>
        <v>13.58333333</v>
      </c>
      <c r="AA27" s="958">
        <f t="shared" si="18"/>
        <v>4.95</v>
      </c>
      <c r="AB27" s="492">
        <f t="shared" si="19"/>
        <v>1.440656566</v>
      </c>
    </row>
    <row r="28" ht="18.75" hidden="1" customHeight="1">
      <c r="A28" s="649" t="str">
        <f>A17</f>
        <v>Saugy</v>
      </c>
      <c r="B28" s="649"/>
      <c r="C28" s="650"/>
      <c r="D28" s="650"/>
      <c r="E28" s="492">
        <f>if('Captains Card 1'!E46&lt;small('Captains Card 1'!E$39:E$46,E$19),1,
if('Captains Card 1'!E46=small('Captains Card 1'!E$39:E$46,E$19),
(E$19-countif('Captains Card 1'!E$39:E$46,"&lt;"&amp;small('Captains Card 1'!E$39:E$46,E$19)))
/countif('Captains Card 1'!E$39:E$46,small('Captains Card 1'!E$39:E$46,E$19)),0))</f>
        <v>0</v>
      </c>
      <c r="F28" s="492">
        <f>if('Captains Card 1'!F46&lt;small('Captains Card 1'!F$39:F$46,F$19),1,
if('Captains Card 1'!F46=small('Captains Card 1'!F$39:F$46,F$19),
(F$19-countif('Captains Card 1'!F$39:F$46,"&lt;"&amp;small('Captains Card 1'!F$39:F$46,F$19)))
/countif('Captains Card 1'!F$39:F$46,small('Captains Card 1'!F$39:F$46,F$19)),0))</f>
        <v>0</v>
      </c>
      <c r="G28" s="492">
        <f>if('Captains Card 1'!G46&lt;small('Captains Card 1'!G$39:G$46,G$19),1,
if('Captains Card 1'!G46=small('Captains Card 1'!G$39:G$46,G$19),
(G$19-countif('Captains Card 1'!G$39:G$46,"&lt;"&amp;small('Captains Card 1'!G$39:G$46,G$19)))
/countif('Captains Card 1'!G$39:G$46,small('Captains Card 1'!G$39:G$46,G$19)),0))</f>
        <v>1</v>
      </c>
      <c r="H28" s="492">
        <f>if('Captains Card 1'!H46&lt;small('Captains Card 1'!H$39:H$46,H$19),1,
if('Captains Card 1'!H46=small('Captains Card 1'!H$39:H$46,H$19),
(H$19-countif('Captains Card 1'!H$39:H$46,"&lt;"&amp;small('Captains Card 1'!H$39:H$46,H$19)))
/countif('Captains Card 1'!H$39:H$46,small('Captains Card 1'!H$39:H$46,H$19)),0))</f>
        <v>0.6666666667</v>
      </c>
      <c r="I28" s="492">
        <f>if('Captains Card 1'!I46&lt;small('Captains Card 1'!I$39:I$46,I$19),1,
if('Captains Card 1'!I46=small('Captains Card 1'!I$39:I$46,I$19),
(I$19-countif('Captains Card 1'!I$39:I$46,"&lt;"&amp;small('Captains Card 1'!I$39:I$46,I$19)))
/countif('Captains Card 1'!I$39:I$46,small('Captains Card 1'!I$39:I$46,I$19)),0))</f>
        <v>0.6</v>
      </c>
      <c r="J28" s="492">
        <f>if('Captains Card 1'!J46&lt;small('Captains Card 1'!J$39:J$46,J$19),1,
if('Captains Card 1'!J46=small('Captains Card 1'!J$39:J$46,J$19),
(J$19-countif('Captains Card 1'!J$39:J$46,"&lt;"&amp;small('Captains Card 1'!J$39:J$46,J$19)))
/countif('Captains Card 1'!J$39:J$46,small('Captains Card 1'!J$39:J$46,J$19)),0))</f>
        <v>0.3333333333</v>
      </c>
      <c r="K28" s="492">
        <f>if('Captains Card 1'!K46&lt;small('Captains Card 1'!K$39:K$46,K$19),1,
if('Captains Card 1'!K46=small('Captains Card 1'!K$39:K$46,K$19),
(K$19-countif('Captains Card 1'!K$39:K$46,"&lt;"&amp;small('Captains Card 1'!K$39:K$46,K$19)))
/countif('Captains Card 1'!K$39:K$46,small('Captains Card 1'!K$39:K$46,K$19)),0))</f>
        <v>1</v>
      </c>
      <c r="L28" s="492">
        <f>if('Captains Card 1'!L46&lt;small('Captains Card 1'!L$39:L$46,L$19),1,
if('Captains Card 1'!L46=small('Captains Card 1'!L$39:L$46,L$19),
(L$19-countif('Captains Card 1'!L$39:L$46,"&lt;"&amp;small('Captains Card 1'!L$39:L$46,L$19)))
/countif('Captains Card 1'!L$39:L$46,small('Captains Card 1'!L$39:L$46,L$19)),0))</f>
        <v>0</v>
      </c>
      <c r="M28" s="492">
        <f>if('Captains Card 1'!M46&lt;small('Captains Card 1'!M$39:M$46,M$19),1,
if('Captains Card 1'!M46=small('Captains Card 1'!M$39:M$46,M$19),
(M$19-countif('Captains Card 1'!M$39:M$46,"&lt;"&amp;small('Captains Card 1'!M$39:M$46,M$19)))
/countif('Captains Card 1'!M$39:M$46,small('Captains Card 1'!M$39:M$46,M$19)),0))</f>
        <v>0</v>
      </c>
      <c r="N28" s="470"/>
      <c r="O28" s="470"/>
      <c r="P28" s="470"/>
      <c r="Q28" s="492">
        <f>if('Captains Card 1'!Q46&lt;small('Captains Card 1'!Q$39:Q$46,Q$19),1,
if('Captains Card 1'!Q46=small('Captains Card 1'!Q$39:Q$46,Q$19),
(Q$19-countif('Captains Card 1'!Q$39:Q$46,"&lt;"&amp;small('Captains Card 1'!Q$39:Q$46,Q$19)))
/countif('Captains Card 1'!Q$39:Q$46,small('Captains Card 1'!Q$39:Q$46,Q$19)),0))</f>
        <v>0.3333333333</v>
      </c>
      <c r="R28" s="492">
        <f>if('Captains Card 1'!R46&lt;small('Captains Card 1'!R$39:R$46,R$19),1,
if('Captains Card 1'!R46=small('Captains Card 1'!R$39:R$46,R$19),
(R$19-countif('Captains Card 1'!R$39:R$46,"&lt;"&amp;small('Captains Card 1'!R$39:R$46,R$19)))
/countif('Captains Card 1'!R$39:R$46,small('Captains Card 1'!R$39:R$46,R$19)),0))</f>
        <v>1</v>
      </c>
      <c r="S28" s="492">
        <f>if('Captains Card 1'!S46&lt;small('Captains Card 1'!S$39:S$46,S$19),1,
if('Captains Card 1'!S46=small('Captains Card 1'!S$39:S$46,S$19),
(S$19-countif('Captains Card 1'!S$39:S$46,"&lt;"&amp;small('Captains Card 1'!S$39:S$46,S$19)))
/countif('Captains Card 1'!S$39:S$46,small('Captains Card 1'!S$39:S$46,S$19)),0))</f>
        <v>1</v>
      </c>
      <c r="T28" s="492">
        <f>if('Captains Card 1'!T46&lt;small('Captains Card 1'!T$39:T$46,T$19),1,
if('Captains Card 1'!T46=small('Captains Card 1'!T$39:T$46,T$19),
(T$19-countif('Captains Card 1'!T$39:T$46,"&lt;"&amp;small('Captains Card 1'!T$39:T$46,T$19)))
/countif('Captains Card 1'!T$39:T$46,small('Captains Card 1'!T$39:T$46,T$19)),0))</f>
        <v>0.75</v>
      </c>
      <c r="U28" s="492">
        <f>if('Captains Card 1'!U46&lt;small('Captains Card 1'!U$39:U$46,U$19),1,
if('Captains Card 1'!U46=small('Captains Card 1'!U$39:U$46,U$19),
(U$19-countif('Captains Card 1'!U$39:U$46,"&lt;"&amp;small('Captains Card 1'!U$39:U$46,U$19)))
/countif('Captains Card 1'!U$39:U$46,small('Captains Card 1'!U$39:U$46,U$19)),0))</f>
        <v>1</v>
      </c>
      <c r="V28" s="492">
        <f>if('Captains Card 1'!V46&lt;small('Captains Card 1'!V$39:V$46,V$19),1,
if('Captains Card 1'!V46=small('Captains Card 1'!V$39:V$46,V$19),
(V$19-countif('Captains Card 1'!V$39:V$46,"&lt;"&amp;small('Captains Card 1'!V$39:V$46,V$19)))
/countif('Captains Card 1'!V$39:V$46,small('Captains Card 1'!V$39:V$46,V$19)),0))</f>
        <v>1</v>
      </c>
      <c r="W28" s="492">
        <f>if('Captains Card 1'!W46&lt;small('Captains Card 1'!W$39:W$46,W$19),1,
if('Captains Card 1'!W46=small('Captains Card 1'!W$39:W$46,W$19),
(W$19-countif('Captains Card 1'!W$39:W$46,"&lt;"&amp;small('Captains Card 1'!W$39:W$46,W$19)))
/countif('Captains Card 1'!W$39:W$46,small('Captains Card 1'!W$39:W$46,W$19)),0))</f>
        <v>1</v>
      </c>
      <c r="X28" s="492">
        <f>if('Captains Card 1'!X46&lt;small('Captains Card 1'!X$39:X$46,X$19),1,
if('Captains Card 1'!X46=small('Captains Card 1'!X$39:X$46,X$19),
(X$19-countif('Captains Card 1'!X$39:X$46,"&lt;"&amp;small('Captains Card 1'!X$39:X$46,X$19)))
/countif('Captains Card 1'!X$39:X$46,small('Captains Card 1'!X$39:X$46,X$19)),0))</f>
        <v>1</v>
      </c>
      <c r="Y28" s="492">
        <f>if('Captains Card 1'!Y46&lt;small('Captains Card 1'!Y$39:Y$46,Y$19),1,
if('Captains Card 1'!Y46=small('Captains Card 1'!Y$39:Y$46,Y$19),
(Y$19-countif('Captains Card 1'!Y$39:Y$46,"&lt;"&amp;small('Captains Card 1'!Y$39:Y$46,Y$19)))
/countif('Captains Card 1'!Y$39:Y$46,small('Captains Card 1'!Y$39:Y$46,Y$19)),0))</f>
        <v>1</v>
      </c>
      <c r="Z28" s="957">
        <f t="shared" si="17"/>
        <v>11.68333333</v>
      </c>
      <c r="AA28" s="958">
        <f t="shared" si="18"/>
        <v>5.466666667</v>
      </c>
      <c r="AB28" s="492">
        <f t="shared" si="19"/>
        <v>1.239141414</v>
      </c>
    </row>
    <row r="29" ht="18.75" hidden="1" customHeight="1">
      <c r="A29" s="649"/>
      <c r="B29" s="649"/>
      <c r="C29" s="649"/>
      <c r="D29" s="649"/>
      <c r="E29" s="470"/>
      <c r="F29" s="470"/>
      <c r="G29" s="470"/>
      <c r="H29" s="470"/>
      <c r="I29" s="470"/>
      <c r="J29" s="470"/>
      <c r="K29" s="470"/>
      <c r="L29" s="470"/>
      <c r="M29" s="470"/>
      <c r="N29" s="470"/>
      <c r="O29" s="470"/>
      <c r="P29" s="470"/>
      <c r="Q29" s="470"/>
      <c r="R29" s="470"/>
      <c r="S29" s="470"/>
      <c r="T29" s="470"/>
      <c r="U29" s="470"/>
      <c r="V29" s="470"/>
      <c r="W29" s="470"/>
      <c r="X29" s="470"/>
      <c r="Y29" s="470"/>
      <c r="Z29" s="492">
        <f>sum(Z25:Z28)</f>
        <v>48.66666667</v>
      </c>
      <c r="AA29" s="959"/>
      <c r="AB29" s="494"/>
    </row>
    <row r="30" ht="18.75" hidden="1" customHeight="1">
      <c r="A30" s="649" t="str">
        <f t="shared" ref="A30:A33" si="22">A25</f>
        <v>Pace</v>
      </c>
      <c r="B30" s="649"/>
      <c r="C30" s="649"/>
      <c r="D30" s="649"/>
      <c r="E30" s="492">
        <f t="shared" ref="E30:M30" si="20">(E25/E$19)*E$24</f>
        <v>0.1</v>
      </c>
      <c r="F30" s="492">
        <f t="shared" si="20"/>
        <v>0</v>
      </c>
      <c r="G30" s="492">
        <f t="shared" si="20"/>
        <v>0.15</v>
      </c>
      <c r="H30" s="492">
        <f t="shared" si="20"/>
        <v>0</v>
      </c>
      <c r="I30" s="492">
        <f t="shared" si="20"/>
        <v>0</v>
      </c>
      <c r="J30" s="492">
        <f t="shared" si="20"/>
        <v>0.1</v>
      </c>
      <c r="K30" s="492">
        <f t="shared" si="20"/>
        <v>0.08</v>
      </c>
      <c r="L30" s="492">
        <f t="shared" si="20"/>
        <v>0</v>
      </c>
      <c r="M30" s="492">
        <f t="shared" si="20"/>
        <v>0</v>
      </c>
      <c r="N30" s="470"/>
      <c r="O30" s="470"/>
      <c r="P30" s="470"/>
      <c r="Q30" s="492">
        <f t="shared" ref="Q30:Y30" si="21">(Q25/Q$19)*Q$24</f>
        <v>0</v>
      </c>
      <c r="R30" s="492">
        <f t="shared" si="21"/>
        <v>0.3333333333</v>
      </c>
      <c r="S30" s="492">
        <f t="shared" si="21"/>
        <v>0.1666666667</v>
      </c>
      <c r="T30" s="492">
        <f t="shared" si="21"/>
        <v>0</v>
      </c>
      <c r="U30" s="492">
        <f t="shared" si="21"/>
        <v>0</v>
      </c>
      <c r="V30" s="492">
        <f t="shared" si="21"/>
        <v>0.3333333333</v>
      </c>
      <c r="W30" s="492">
        <f t="shared" si="21"/>
        <v>0</v>
      </c>
      <c r="X30" s="492">
        <f t="shared" si="21"/>
        <v>0</v>
      </c>
      <c r="Y30" s="492">
        <f t="shared" si="21"/>
        <v>0</v>
      </c>
      <c r="Z30" s="470"/>
      <c r="AA30" s="470"/>
      <c r="AB30" s="960">
        <f t="shared" ref="AB30:AB33" si="25">AB25/$AB$24</f>
        <v>0.1143097643</v>
      </c>
    </row>
    <row r="31" ht="18.75" hidden="1" customHeight="1">
      <c r="A31" s="649" t="str">
        <f t="shared" si="22"/>
        <v>Carp</v>
      </c>
      <c r="B31" s="649"/>
      <c r="C31" s="649"/>
      <c r="D31" s="649"/>
      <c r="E31" s="492">
        <f t="shared" ref="E31:M31" si="23">(E26/E$19)*E$24</f>
        <v>0.1</v>
      </c>
      <c r="F31" s="492">
        <f t="shared" si="23"/>
        <v>0</v>
      </c>
      <c r="G31" s="492">
        <f t="shared" si="23"/>
        <v>0</v>
      </c>
      <c r="H31" s="492">
        <f t="shared" si="23"/>
        <v>0</v>
      </c>
      <c r="I31" s="492">
        <f t="shared" si="23"/>
        <v>0.06</v>
      </c>
      <c r="J31" s="492">
        <f t="shared" si="23"/>
        <v>0.1</v>
      </c>
      <c r="K31" s="492">
        <f t="shared" si="23"/>
        <v>0.08</v>
      </c>
      <c r="L31" s="492">
        <f t="shared" si="23"/>
        <v>0</v>
      </c>
      <c r="M31" s="492">
        <f t="shared" si="23"/>
        <v>0</v>
      </c>
      <c r="N31" s="470"/>
      <c r="O31" s="470"/>
      <c r="P31" s="470"/>
      <c r="Q31" s="492">
        <f t="shared" ref="Q31:Y31" si="24">(Q26/Q$19)*Q$24</f>
        <v>0</v>
      </c>
      <c r="R31" s="492">
        <f t="shared" si="24"/>
        <v>0.3333333333</v>
      </c>
      <c r="S31" s="492">
        <f t="shared" si="24"/>
        <v>0.1666666667</v>
      </c>
      <c r="T31" s="492">
        <f t="shared" si="24"/>
        <v>0</v>
      </c>
      <c r="U31" s="492">
        <f t="shared" si="24"/>
        <v>0</v>
      </c>
      <c r="V31" s="492">
        <f t="shared" si="24"/>
        <v>0.3333333333</v>
      </c>
      <c r="W31" s="492">
        <f t="shared" si="24"/>
        <v>0</v>
      </c>
      <c r="X31" s="492">
        <f t="shared" si="24"/>
        <v>0</v>
      </c>
      <c r="Y31" s="492">
        <f t="shared" si="24"/>
        <v>0</v>
      </c>
      <c r="Z31" s="470"/>
      <c r="AA31" s="470"/>
      <c r="AB31" s="960">
        <f t="shared" si="25"/>
        <v>0.1220538721</v>
      </c>
    </row>
    <row r="32" ht="18.75" hidden="1" customHeight="1">
      <c r="A32" s="649" t="str">
        <f t="shared" si="22"/>
        <v>Andy</v>
      </c>
      <c r="B32" s="649"/>
      <c r="C32" s="649"/>
      <c r="D32" s="649"/>
      <c r="E32" s="492">
        <f t="shared" ref="E32:M32" si="26">(E27/E$19)*E$24</f>
        <v>0</v>
      </c>
      <c r="F32" s="492">
        <f t="shared" si="26"/>
        <v>0</v>
      </c>
      <c r="G32" s="492">
        <f t="shared" si="26"/>
        <v>0.15</v>
      </c>
      <c r="H32" s="492">
        <f t="shared" si="26"/>
        <v>0</v>
      </c>
      <c r="I32" s="492">
        <f t="shared" si="26"/>
        <v>0.06</v>
      </c>
      <c r="J32" s="492">
        <f t="shared" si="26"/>
        <v>0.1</v>
      </c>
      <c r="K32" s="492">
        <f t="shared" si="26"/>
        <v>0.08</v>
      </c>
      <c r="L32" s="492">
        <f t="shared" si="26"/>
        <v>0.1</v>
      </c>
      <c r="M32" s="492">
        <f t="shared" si="26"/>
        <v>0</v>
      </c>
      <c r="N32" s="470"/>
      <c r="O32" s="470"/>
      <c r="P32" s="470"/>
      <c r="Q32" s="492">
        <f t="shared" ref="Q32:Y32" si="27">(Q27/Q$19)*Q$24</f>
        <v>0</v>
      </c>
      <c r="R32" s="492">
        <f t="shared" si="27"/>
        <v>0</v>
      </c>
      <c r="S32" s="492">
        <f t="shared" si="27"/>
        <v>0.1666666667</v>
      </c>
      <c r="T32" s="492">
        <f t="shared" si="27"/>
        <v>0</v>
      </c>
      <c r="U32" s="492">
        <f t="shared" si="27"/>
        <v>0.3333333333</v>
      </c>
      <c r="V32" s="492">
        <f t="shared" si="27"/>
        <v>0.3333333333</v>
      </c>
      <c r="W32" s="492">
        <f t="shared" si="27"/>
        <v>0</v>
      </c>
      <c r="X32" s="492">
        <f t="shared" si="27"/>
        <v>0</v>
      </c>
      <c r="Y32" s="492">
        <f t="shared" si="27"/>
        <v>0</v>
      </c>
      <c r="Z32" s="470"/>
      <c r="AA32" s="470"/>
      <c r="AB32" s="960">
        <f t="shared" si="25"/>
        <v>0.1372053872</v>
      </c>
    </row>
    <row r="33" ht="18.75" hidden="1" customHeight="1">
      <c r="A33" s="649" t="str">
        <f t="shared" si="22"/>
        <v>Saugy</v>
      </c>
      <c r="B33" s="649"/>
      <c r="C33" s="649"/>
      <c r="D33" s="649"/>
      <c r="E33" s="492">
        <f t="shared" ref="E33:M33" si="28">(E28/E$19)*E$24</f>
        <v>0</v>
      </c>
      <c r="F33" s="492">
        <f t="shared" si="28"/>
        <v>0</v>
      </c>
      <c r="G33" s="492">
        <f t="shared" si="28"/>
        <v>0.2</v>
      </c>
      <c r="H33" s="492">
        <f t="shared" si="28"/>
        <v>0</v>
      </c>
      <c r="I33" s="492">
        <f t="shared" si="28"/>
        <v>0.06</v>
      </c>
      <c r="J33" s="492">
        <f t="shared" si="28"/>
        <v>0.03333333333</v>
      </c>
      <c r="K33" s="492">
        <f t="shared" si="28"/>
        <v>0.1</v>
      </c>
      <c r="L33" s="492">
        <f t="shared" si="28"/>
        <v>0</v>
      </c>
      <c r="M33" s="492">
        <f t="shared" si="28"/>
        <v>0</v>
      </c>
      <c r="N33" s="470"/>
      <c r="O33" s="470"/>
      <c r="P33" s="470"/>
      <c r="Q33" s="492">
        <f t="shared" ref="Q33:Y33" si="29">(Q28/Q$19)*Q$24</f>
        <v>0</v>
      </c>
      <c r="R33" s="492">
        <f t="shared" si="29"/>
        <v>0.3333333333</v>
      </c>
      <c r="S33" s="492">
        <f t="shared" si="29"/>
        <v>0.1666666667</v>
      </c>
      <c r="T33" s="492">
        <f t="shared" si="29"/>
        <v>0</v>
      </c>
      <c r="U33" s="492">
        <f t="shared" si="29"/>
        <v>0.3333333333</v>
      </c>
      <c r="V33" s="492">
        <f t="shared" si="29"/>
        <v>0.3333333333</v>
      </c>
      <c r="W33" s="492">
        <f t="shared" si="29"/>
        <v>0</v>
      </c>
      <c r="X33" s="492">
        <f t="shared" si="29"/>
        <v>0</v>
      </c>
      <c r="Y33" s="492">
        <f t="shared" si="29"/>
        <v>0</v>
      </c>
      <c r="Z33" s="470"/>
      <c r="AA33" s="470"/>
      <c r="AB33" s="960">
        <f t="shared" si="25"/>
        <v>0.118013468</v>
      </c>
    </row>
  </sheetData>
  <mergeCells count="1">
    <mergeCell ref="B2:B3"/>
  </mergeCells>
  <conditionalFormatting sqref="E14:M14 Q14:Y14">
    <cfRule type="expression" dxfId="16" priority="1">
      <formula>and(E$23&lt;&gt;"",E$27=1)</formula>
    </cfRule>
  </conditionalFormatting>
  <conditionalFormatting sqref="E17:M17 Q17:Y17">
    <cfRule type="expression" dxfId="16" priority="2">
      <formula>and(E$23&lt;&gt;"",E$28=1)</formula>
    </cfRule>
  </conditionalFormatting>
  <conditionalFormatting sqref="E8:M8 Q8:Y8">
    <cfRule type="expression" dxfId="16" priority="3">
      <formula>and(E$23&lt;&gt;"",E$25=1)</formula>
    </cfRule>
  </conditionalFormatting>
  <conditionalFormatting sqref="E11:M11 Q11:Y11">
    <cfRule type="expression" dxfId="16" priority="4">
      <formula>and(E$23&lt;&gt;"",E$26=1)</formula>
    </cfRule>
  </conditionalFormatting>
  <conditionalFormatting sqref="E14:M14 Q14:Y14">
    <cfRule type="expression" dxfId="2" priority="5">
      <formula>and(E$23&lt;&gt;"",E$27&lt;1,E$27&gt;0)</formula>
    </cfRule>
  </conditionalFormatting>
  <conditionalFormatting sqref="E17:M17 Q17:Y17">
    <cfRule type="expression" dxfId="2" priority="6">
      <formula>and(E$23&lt;&gt;"",E$28&lt;1,E$28&gt;0)</formula>
    </cfRule>
  </conditionalFormatting>
  <conditionalFormatting sqref="E8:M8 Q8:Y8">
    <cfRule type="expression" dxfId="2" priority="7">
      <formula>and(E$23&lt;&gt;"",E$25&lt;1,E$25&gt;0)</formula>
    </cfRule>
  </conditionalFormatting>
  <conditionalFormatting sqref="E11:M11 Q11:Y11">
    <cfRule type="expression" dxfId="2" priority="8">
      <formula>and(E$23&lt;&gt;"",E$26&lt;1,E$26&gt;0)</formula>
    </cfRule>
  </conditionalFormatting>
  <printOptions horizontalCentered="1"/>
  <pageMargins bottom="0.5" footer="0.0" header="0.0" left="0.55" right="0.25" top="0.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839" t="s">
        <v>76</v>
      </c>
      <c r="B1" s="840">
        <f>'Master Input'!L4</f>
        <v>0.4375</v>
      </c>
      <c r="C1" s="841" t="str">
        <f>'Master Input'!$K$2</f>
        <v>Round 4</v>
      </c>
      <c r="D1" s="842"/>
      <c r="E1" s="841" t="str">
        <f>'Master Input'!$K$6</f>
        <v>American Dunes - Freedom/WH</v>
      </c>
      <c r="F1" s="843"/>
      <c r="G1" s="843"/>
      <c r="H1" s="843"/>
      <c r="I1" s="843"/>
      <c r="J1" s="843"/>
      <c r="K1" s="843"/>
      <c r="L1" s="843"/>
      <c r="M1" s="843"/>
      <c r="N1" s="844"/>
      <c r="O1" s="301"/>
      <c r="P1" s="845" t="str">
        <f>'Master Input'!$K$2</f>
        <v>Round 4</v>
      </c>
      <c r="Q1" s="842"/>
      <c r="R1" s="841" t="str">
        <f>'Master Input'!$K$6</f>
        <v>American Dunes - Freedom/WH</v>
      </c>
      <c r="S1" s="843"/>
      <c r="T1" s="843"/>
      <c r="U1" s="843"/>
      <c r="V1" s="843"/>
      <c r="W1" s="843"/>
      <c r="X1" s="843"/>
      <c r="Y1" s="843"/>
      <c r="Z1" s="843"/>
      <c r="AA1" s="843"/>
      <c r="AB1" s="844"/>
    </row>
    <row r="2" ht="14.25" customHeight="1">
      <c r="A2" s="846" t="s">
        <v>55</v>
      </c>
      <c r="B2" s="847" t="str">
        <f>'Match Selection'!B19</f>
        <v>Team Best Ball</v>
      </c>
      <c r="C2" s="502"/>
      <c r="D2" s="308" t="s">
        <v>108</v>
      </c>
      <c r="E2" s="503">
        <f>vlookup($E1, 'Course List'!$A$3:$AS$14,5+E4, false)</f>
        <v>10</v>
      </c>
      <c r="F2" s="310">
        <f>vlookup($E1, 'Course List'!$A$3:$AS$14,5+F4, false)</f>
        <v>18</v>
      </c>
      <c r="G2" s="310">
        <f>vlookup($E1, 'Course List'!$A$3:$AS$14,5+G4, false)</f>
        <v>6</v>
      </c>
      <c r="H2" s="310">
        <f>vlookup($E1, 'Course List'!$A$3:$AS$14,5+H4, false)</f>
        <v>14</v>
      </c>
      <c r="I2" s="310">
        <f>vlookup($E1, 'Course List'!$A$3:$AS$14,5+I4, false)</f>
        <v>2</v>
      </c>
      <c r="J2" s="310">
        <f>vlookup($E1, 'Course List'!$A$3:$AS$14,5+J4, false)</f>
        <v>12</v>
      </c>
      <c r="K2" s="310">
        <f>vlookup($E1, 'Course List'!$A$3:$AS$14,5+K4, false)</f>
        <v>16</v>
      </c>
      <c r="L2" s="310">
        <f>vlookup($E1, 'Course List'!$A$3:$AS$14,5+L4, false)</f>
        <v>4</v>
      </c>
      <c r="M2" s="311">
        <f>vlookup($E1, 'Course List'!$A$3:$AS$14,5+M4, false)</f>
        <v>8</v>
      </c>
      <c r="N2" s="312"/>
      <c r="O2" s="313"/>
      <c r="P2" s="846" t="s">
        <v>55</v>
      </c>
      <c r="Q2" s="310">
        <f>vlookup($E1, 'Course List'!$A$3:$AS$14,5+Q4, false)</f>
        <v>3</v>
      </c>
      <c r="R2" s="310">
        <f>vlookup($E1, 'Course List'!$A$3:$AS$14,5+R4, false)</f>
        <v>13</v>
      </c>
      <c r="S2" s="310">
        <f>vlookup($E1, 'Course List'!$A$3:$AS$14,5+S4, false)</f>
        <v>15</v>
      </c>
      <c r="T2" s="310">
        <f>vlookup($E1, 'Course List'!$A$3:$AS$14,5+T4, false)</f>
        <v>11</v>
      </c>
      <c r="U2" s="310">
        <f>vlookup($E1, 'Course List'!$A$3:$AS$14,5+U4, false)</f>
        <v>7</v>
      </c>
      <c r="V2" s="310">
        <f>vlookup($E1, 'Course List'!$A$3:$AS$14,5+V4, false)</f>
        <v>9</v>
      </c>
      <c r="W2" s="310">
        <f>vlookup($E1, 'Course List'!$A$3:$AS$14,5+W4, false)</f>
        <v>1</v>
      </c>
      <c r="X2" s="310">
        <f>vlookup($E1, 'Course List'!$A$3:$AS$14,5+X4, false)</f>
        <v>5</v>
      </c>
      <c r="Y2" s="311">
        <f>vlookup($E1, 'Course List'!$A$3:$AS$14,5+Y4, false)</f>
        <v>17</v>
      </c>
      <c r="Z2" s="504"/>
      <c r="AA2" s="315"/>
      <c r="AB2" s="316"/>
    </row>
    <row r="3" ht="14.25" customHeight="1">
      <c r="A3" s="848" t="s">
        <v>56</v>
      </c>
      <c r="B3" s="317"/>
      <c r="C3" s="849"/>
      <c r="D3" s="319" t="s">
        <v>56</v>
      </c>
      <c r="E3" s="850">
        <f>vlookup($E1, 'Course List'!$A$3:$AS$14,27+E4, false)</f>
        <v>4</v>
      </c>
      <c r="F3" s="321">
        <f>vlookup($E1, 'Course List'!$A$3:$AS$14,27+F4, false)</f>
        <v>5</v>
      </c>
      <c r="G3" s="321">
        <f>vlookup($E1, 'Course List'!$A$3:$AS$14,27+G4, false)</f>
        <v>4</v>
      </c>
      <c r="H3" s="321">
        <f>vlookup($E1, 'Course List'!$A$3:$AS$14,27+H4, false)</f>
        <v>3</v>
      </c>
      <c r="I3" s="321">
        <f>vlookup($E1, 'Course List'!$A$3:$AS$14,27+I4, false)</f>
        <v>4</v>
      </c>
      <c r="J3" s="321">
        <f>vlookup($E1, 'Course List'!$A$3:$AS$14,27+J4, false)</f>
        <v>5</v>
      </c>
      <c r="K3" s="321">
        <f>vlookup($E1, 'Course List'!$A$3:$AS$14,27+K4, false)</f>
        <v>3</v>
      </c>
      <c r="L3" s="321">
        <f>vlookup($E1, 'Course List'!$A$3:$AS$14,27+L4, false)</f>
        <v>4</v>
      </c>
      <c r="M3" s="322">
        <f>vlookup($E1, 'Course List'!$A$3:$AS$14,27+M4, false)</f>
        <v>4</v>
      </c>
      <c r="N3" s="323">
        <f>SUM(E3:M3)</f>
        <v>36</v>
      </c>
      <c r="O3" s="313"/>
      <c r="P3" s="848" t="s">
        <v>56</v>
      </c>
      <c r="Q3" s="321">
        <f>vlookup($E1, 'Course List'!$A$3:$AS$14,27+Q4, false)</f>
        <v>4</v>
      </c>
      <c r="R3" s="321">
        <f>vlookup($E1, 'Course List'!$A$3:$AS$14,27+R4, false)</f>
        <v>4</v>
      </c>
      <c r="S3" s="321">
        <f>vlookup($E1, 'Course List'!$A$3:$AS$14,27+S4, false)</f>
        <v>3</v>
      </c>
      <c r="T3" s="321">
        <f>vlookup($E1, 'Course List'!$A$3:$AS$14,27+T4, false)</f>
        <v>5</v>
      </c>
      <c r="U3" s="321">
        <f>vlookup($E1, 'Course List'!$A$3:$AS$14,27+U4, false)</f>
        <v>4</v>
      </c>
      <c r="V3" s="321">
        <f>vlookup($E1, 'Course List'!$A$3:$AS$14,27+V4, false)</f>
        <v>3</v>
      </c>
      <c r="W3" s="321">
        <f>vlookup($E1, 'Course List'!$A$3:$AS$14,27+W4, false)</f>
        <v>4</v>
      </c>
      <c r="X3" s="321">
        <f>vlookup($E1, 'Course List'!$A$3:$AS$14,27+X4, false)</f>
        <v>4</v>
      </c>
      <c r="Y3" s="322">
        <f>vlookup($E1, 'Course List'!$A$3:$AS$14,27+Y4, false)</f>
        <v>5</v>
      </c>
      <c r="Z3" s="851">
        <f>SUM(Q3:Y3)</f>
        <v>36</v>
      </c>
      <c r="AA3" s="321">
        <f>N3+Z3</f>
        <v>72</v>
      </c>
      <c r="AB3" s="324"/>
    </row>
    <row r="4" ht="14.25" customHeight="1">
      <c r="A4" s="325" t="s">
        <v>109</v>
      </c>
      <c r="B4" s="326" t="s">
        <v>57</v>
      </c>
      <c r="C4" s="852" t="s">
        <v>58</v>
      </c>
      <c r="D4" s="853" t="s">
        <v>59</v>
      </c>
      <c r="E4" s="854">
        <v>1.0</v>
      </c>
      <c r="F4" s="855">
        <v>2.0</v>
      </c>
      <c r="G4" s="855">
        <v>3.0</v>
      </c>
      <c r="H4" s="855">
        <v>4.0</v>
      </c>
      <c r="I4" s="855">
        <v>5.0</v>
      </c>
      <c r="J4" s="855">
        <v>6.0</v>
      </c>
      <c r="K4" s="855">
        <v>7.0</v>
      </c>
      <c r="L4" s="855">
        <v>8.0</v>
      </c>
      <c r="M4" s="856">
        <v>9.0</v>
      </c>
      <c r="N4" s="332" t="s">
        <v>60</v>
      </c>
      <c r="O4" s="857"/>
      <c r="P4" s="325" t="s">
        <v>109</v>
      </c>
      <c r="Q4" s="854">
        <v>10.0</v>
      </c>
      <c r="R4" s="855">
        <v>11.0</v>
      </c>
      <c r="S4" s="855">
        <v>12.0</v>
      </c>
      <c r="T4" s="855">
        <v>13.0</v>
      </c>
      <c r="U4" s="855">
        <v>14.0</v>
      </c>
      <c r="V4" s="855">
        <v>15.0</v>
      </c>
      <c r="W4" s="855">
        <v>16.0</v>
      </c>
      <c r="X4" s="855">
        <v>17.0</v>
      </c>
      <c r="Y4" s="856">
        <v>18.0</v>
      </c>
      <c r="Z4" s="332" t="s">
        <v>61</v>
      </c>
      <c r="AA4" s="858" t="s">
        <v>62</v>
      </c>
      <c r="AB4" s="859" t="s">
        <v>110</v>
      </c>
    </row>
    <row r="5" ht="7.5" customHeight="1">
      <c r="A5" s="336"/>
      <c r="B5" s="336"/>
      <c r="C5" s="337"/>
      <c r="D5" s="338"/>
      <c r="E5" s="339"/>
      <c r="F5" s="339"/>
      <c r="G5" s="339"/>
      <c r="H5" s="339"/>
      <c r="I5" s="339"/>
      <c r="J5" s="339"/>
      <c r="K5" s="339"/>
      <c r="L5" s="339"/>
      <c r="M5" s="339"/>
      <c r="N5" s="340"/>
      <c r="O5" s="341"/>
      <c r="P5" s="341"/>
      <c r="Q5" s="339"/>
      <c r="R5" s="339"/>
      <c r="S5" s="339"/>
      <c r="T5" s="339"/>
      <c r="U5" s="339"/>
      <c r="V5" s="339"/>
      <c r="W5" s="339"/>
      <c r="X5" s="339"/>
      <c r="Y5" s="339"/>
      <c r="Z5" s="336"/>
      <c r="AA5" s="342"/>
      <c r="AB5" s="342"/>
    </row>
    <row r="6" ht="7.5" customHeight="1">
      <c r="A6" s="860"/>
      <c r="B6" s="861"/>
      <c r="C6" s="862"/>
      <c r="D6" s="863"/>
      <c r="E6" s="347" t="str">
        <f t="shared" ref="E6:M6" si="1">if(E7=1,"O", if(E7=2,"O   O",""))</f>
        <v/>
      </c>
      <c r="F6" s="348" t="str">
        <f t="shared" si="1"/>
        <v/>
      </c>
      <c r="G6" s="348" t="str">
        <f t="shared" si="1"/>
        <v>O</v>
      </c>
      <c r="H6" s="348" t="str">
        <f t="shared" si="1"/>
        <v/>
      </c>
      <c r="I6" s="348" t="str">
        <f t="shared" si="1"/>
        <v>O</v>
      </c>
      <c r="J6" s="348" t="str">
        <f t="shared" si="1"/>
        <v/>
      </c>
      <c r="K6" s="348" t="str">
        <f t="shared" si="1"/>
        <v/>
      </c>
      <c r="L6" s="348" t="str">
        <f t="shared" si="1"/>
        <v>O</v>
      </c>
      <c r="M6" s="348" t="str">
        <f t="shared" si="1"/>
        <v>O</v>
      </c>
      <c r="N6" s="864"/>
      <c r="O6" s="351"/>
      <c r="P6" s="517"/>
      <c r="Q6" s="347" t="str">
        <f t="shared" ref="Q6:Y6" si="2">if(Q7=1,"O", if(Q7=2,"O   O",""))</f>
        <v>O</v>
      </c>
      <c r="R6" s="348" t="str">
        <f t="shared" si="2"/>
        <v/>
      </c>
      <c r="S6" s="348" t="str">
        <f t="shared" si="2"/>
        <v/>
      </c>
      <c r="T6" s="348" t="str">
        <f t="shared" si="2"/>
        <v/>
      </c>
      <c r="U6" s="348" t="str">
        <f t="shared" si="2"/>
        <v>O</v>
      </c>
      <c r="V6" s="348" t="str">
        <f t="shared" si="2"/>
        <v/>
      </c>
      <c r="W6" s="348" t="str">
        <f t="shared" si="2"/>
        <v>O</v>
      </c>
      <c r="X6" s="348" t="str">
        <f t="shared" si="2"/>
        <v>O</v>
      </c>
      <c r="Y6" s="348" t="str">
        <f t="shared" si="2"/>
        <v/>
      </c>
      <c r="Z6" s="865"/>
      <c r="AA6" s="866"/>
      <c r="AB6" s="867"/>
    </row>
    <row r="7" ht="22.5" hidden="1" customHeight="1">
      <c r="A7" s="961"/>
      <c r="B7" s="393"/>
      <c r="C7" s="522"/>
      <c r="D7" s="359"/>
      <c r="E7" s="868">
        <f t="shared" ref="E7:M7" si="3">IF($D8&gt;0,FLOOR($D8/18,1),0)+IF(AND(MOD($D8,18)&gt;=E$2,$D8&gt;0),1,0)-IF(E$2-18&gt;$D8,1,0)</f>
        <v>0</v>
      </c>
      <c r="F7" s="361">
        <f t="shared" si="3"/>
        <v>0</v>
      </c>
      <c r="G7" s="361">
        <f t="shared" si="3"/>
        <v>1</v>
      </c>
      <c r="H7" s="361">
        <f t="shared" si="3"/>
        <v>0</v>
      </c>
      <c r="I7" s="361">
        <f t="shared" si="3"/>
        <v>1</v>
      </c>
      <c r="J7" s="361">
        <f t="shared" si="3"/>
        <v>0</v>
      </c>
      <c r="K7" s="361">
        <f t="shared" si="3"/>
        <v>0</v>
      </c>
      <c r="L7" s="361">
        <f t="shared" si="3"/>
        <v>1</v>
      </c>
      <c r="M7" s="962">
        <f t="shared" si="3"/>
        <v>1</v>
      </c>
      <c r="N7" s="869"/>
      <c r="O7" s="364"/>
      <c r="P7" s="526"/>
      <c r="Q7" s="868">
        <f t="shared" ref="Q7:Y7" si="4">IF($D8&gt;0,FLOOR($D8/18,1),0)+IF(AND(MOD($D8,18)&gt;=Q$2,$D8&gt;0),1,0)-IF(Q$2-18&gt;$D8,1,0)</f>
        <v>1</v>
      </c>
      <c r="R7" s="361">
        <f t="shared" si="4"/>
        <v>0</v>
      </c>
      <c r="S7" s="361">
        <f t="shared" si="4"/>
        <v>0</v>
      </c>
      <c r="T7" s="361">
        <f t="shared" si="4"/>
        <v>0</v>
      </c>
      <c r="U7" s="361">
        <f t="shared" si="4"/>
        <v>1</v>
      </c>
      <c r="V7" s="361">
        <f t="shared" si="4"/>
        <v>0</v>
      </c>
      <c r="W7" s="361">
        <f t="shared" si="4"/>
        <v>1</v>
      </c>
      <c r="X7" s="361">
        <f t="shared" si="4"/>
        <v>1</v>
      </c>
      <c r="Y7" s="361">
        <f t="shared" si="4"/>
        <v>0</v>
      </c>
      <c r="Z7" s="870"/>
      <c r="AA7" s="871"/>
      <c r="AB7" s="872"/>
    </row>
    <row r="8" ht="27.0" customHeight="1">
      <c r="A8" s="963" t="str">
        <f>'Match Selection'!V19</f>
        <v>KJ</v>
      </c>
      <c r="B8" s="873" t="str">
        <f>vlookup(A8, 'Master Input'!$A$11:$B$27,2, false)</f>
        <v>Drivers</v>
      </c>
      <c r="C8" s="531">
        <f>vlookup(A8,'Master Input'!$A$11:$L$27,'Master Input'!$L$28, false)</f>
        <v>8</v>
      </c>
      <c r="D8" s="372">
        <f>C8</f>
        <v>8</v>
      </c>
      <c r="E8" s="874">
        <v>4.0</v>
      </c>
      <c r="F8" s="374">
        <v>5.0</v>
      </c>
      <c r="G8" s="374">
        <v>5.0</v>
      </c>
      <c r="H8" s="374">
        <v>4.0</v>
      </c>
      <c r="I8" s="374">
        <v>5.0</v>
      </c>
      <c r="J8" s="374">
        <v>5.0</v>
      </c>
      <c r="K8" s="374">
        <v>2.0</v>
      </c>
      <c r="L8" s="374">
        <v>4.0</v>
      </c>
      <c r="M8" s="964">
        <v>3.0</v>
      </c>
      <c r="N8" s="876">
        <f>if(M8="","", sum(E8:M8))</f>
        <v>37</v>
      </c>
      <c r="O8" s="364"/>
      <c r="P8" s="965" t="str">
        <f>A8</f>
        <v>KJ</v>
      </c>
      <c r="Q8" s="874">
        <v>4.0</v>
      </c>
      <c r="R8" s="374">
        <v>4.0</v>
      </c>
      <c r="S8" s="374">
        <v>4.0</v>
      </c>
      <c r="T8" s="374">
        <v>6.0</v>
      </c>
      <c r="U8" s="374">
        <v>6.0</v>
      </c>
      <c r="V8" s="374">
        <v>4.0</v>
      </c>
      <c r="W8" s="374">
        <v>5.0</v>
      </c>
      <c r="X8" s="374">
        <v>5.0</v>
      </c>
      <c r="Y8" s="374">
        <v>4.0</v>
      </c>
      <c r="Z8" s="877">
        <f>if(Y8="","", sum(Q8:Y8))</f>
        <v>42</v>
      </c>
      <c r="AA8" s="878">
        <f>if(Z8="", "", sum(N8,Z8))</f>
        <v>79</v>
      </c>
      <c r="AB8" s="879">
        <f>if(Y8="", "", AA8-C8)</f>
        <v>71</v>
      </c>
    </row>
    <row r="9" ht="7.5" customHeight="1">
      <c r="A9" s="966"/>
      <c r="B9" s="880"/>
      <c r="C9" s="881"/>
      <c r="D9" s="882"/>
      <c r="E9" s="886" t="str">
        <f t="shared" ref="E9:M9" si="5">if(E10=1,"O", if(E10=2,"O   O",""))</f>
        <v>O</v>
      </c>
      <c r="F9" s="887" t="str">
        <f t="shared" si="5"/>
        <v/>
      </c>
      <c r="G9" s="887" t="str">
        <f t="shared" si="5"/>
        <v>O</v>
      </c>
      <c r="H9" s="887" t="str">
        <f t="shared" si="5"/>
        <v/>
      </c>
      <c r="I9" s="887" t="str">
        <f t="shared" si="5"/>
        <v>O</v>
      </c>
      <c r="J9" s="887" t="str">
        <f t="shared" si="5"/>
        <v/>
      </c>
      <c r="K9" s="887" t="str">
        <f t="shared" si="5"/>
        <v/>
      </c>
      <c r="L9" s="887" t="str">
        <f t="shared" si="5"/>
        <v>O</v>
      </c>
      <c r="M9" s="967" t="str">
        <f t="shared" si="5"/>
        <v>O</v>
      </c>
      <c r="N9" s="885"/>
      <c r="O9" s="545"/>
      <c r="P9" s="968"/>
      <c r="Q9" s="886" t="str">
        <f t="shared" ref="Q9:Y9" si="6">if(Q10=1,"O", if(Q10=2,"O   O",""))</f>
        <v>O</v>
      </c>
      <c r="R9" s="887" t="str">
        <f t="shared" si="6"/>
        <v/>
      </c>
      <c r="S9" s="887" t="str">
        <f t="shared" si="6"/>
        <v/>
      </c>
      <c r="T9" s="887" t="str">
        <f t="shared" si="6"/>
        <v>O</v>
      </c>
      <c r="U9" s="887" t="str">
        <f t="shared" si="6"/>
        <v>O</v>
      </c>
      <c r="V9" s="887" t="str">
        <f t="shared" si="6"/>
        <v>O</v>
      </c>
      <c r="W9" s="887" t="str">
        <f t="shared" si="6"/>
        <v>O</v>
      </c>
      <c r="X9" s="887" t="str">
        <f t="shared" si="6"/>
        <v>O</v>
      </c>
      <c r="Y9" s="887" t="str">
        <f t="shared" si="6"/>
        <v/>
      </c>
      <c r="Z9" s="888"/>
      <c r="AA9" s="889"/>
      <c r="AB9" s="890"/>
    </row>
    <row r="10" ht="22.5" hidden="1" customHeight="1">
      <c r="A10" s="969"/>
      <c r="B10" s="411"/>
      <c r="C10" s="553"/>
      <c r="D10" s="413"/>
      <c r="E10" s="414">
        <f t="shared" ref="E10:M10" si="7">IF($D11&gt;0,FLOOR($D11/18,1),0)+IF(AND(MOD($D11,18)&gt;=E$2,$D11&gt;0),1,0)-IF(E$2-18&gt;$D11,1,0)</f>
        <v>1</v>
      </c>
      <c r="F10" s="415">
        <f t="shared" si="7"/>
        <v>0</v>
      </c>
      <c r="G10" s="415">
        <f t="shared" si="7"/>
        <v>1</v>
      </c>
      <c r="H10" s="415">
        <f t="shared" si="7"/>
        <v>0</v>
      </c>
      <c r="I10" s="415">
        <f t="shared" si="7"/>
        <v>1</v>
      </c>
      <c r="J10" s="415">
        <f t="shared" si="7"/>
        <v>0</v>
      </c>
      <c r="K10" s="415">
        <f t="shared" si="7"/>
        <v>0</v>
      </c>
      <c r="L10" s="415">
        <f t="shared" si="7"/>
        <v>1</v>
      </c>
      <c r="M10" s="970">
        <f t="shared" si="7"/>
        <v>1</v>
      </c>
      <c r="N10" s="869"/>
      <c r="O10" s="364"/>
      <c r="P10" s="971"/>
      <c r="Q10" s="414">
        <f t="shared" ref="Q10:Y10" si="8">IF($D11&gt;0,FLOOR($D11/18,1),0)+IF(AND(MOD($D11,18)&gt;=Q$2,$D11&gt;0),1,0)-IF(Q$2-18&gt;$D11,1,0)</f>
        <v>1</v>
      </c>
      <c r="R10" s="415">
        <f t="shared" si="8"/>
        <v>0</v>
      </c>
      <c r="S10" s="415">
        <f t="shared" si="8"/>
        <v>0</v>
      </c>
      <c r="T10" s="415">
        <f t="shared" si="8"/>
        <v>1</v>
      </c>
      <c r="U10" s="415">
        <f t="shared" si="8"/>
        <v>1</v>
      </c>
      <c r="V10" s="415">
        <f t="shared" si="8"/>
        <v>1</v>
      </c>
      <c r="W10" s="415">
        <f t="shared" si="8"/>
        <v>1</v>
      </c>
      <c r="X10" s="415">
        <f t="shared" si="8"/>
        <v>1</v>
      </c>
      <c r="Y10" s="415">
        <f t="shared" si="8"/>
        <v>0</v>
      </c>
      <c r="Z10" s="870"/>
      <c r="AA10" s="871"/>
      <c r="AB10" s="872"/>
    </row>
    <row r="11" ht="27.0" customHeight="1">
      <c r="A11" s="972" t="str">
        <f>'Match Selection'!V20</f>
        <v>T-Mo</v>
      </c>
      <c r="B11" s="420" t="str">
        <f>vlookup(A11, 'Master Input'!$A$11:$B$27,2, false)</f>
        <v>Drivers</v>
      </c>
      <c r="C11" s="597">
        <f>vlookup(A11,'Master Input'!$A$11:$L$27,'Master Input'!$L$28, false)</f>
        <v>11</v>
      </c>
      <c r="D11" s="422">
        <f>C11</f>
        <v>11</v>
      </c>
      <c r="E11" s="895">
        <v>5.0</v>
      </c>
      <c r="F11" s="424">
        <v>7.0</v>
      </c>
      <c r="G11" s="424">
        <v>7.0</v>
      </c>
      <c r="H11" s="424">
        <v>4.0</v>
      </c>
      <c r="I11" s="424">
        <v>7.0</v>
      </c>
      <c r="J11" s="424">
        <v>6.0</v>
      </c>
      <c r="K11" s="424">
        <v>5.0</v>
      </c>
      <c r="L11" s="424">
        <v>5.0</v>
      </c>
      <c r="M11" s="973">
        <v>6.0</v>
      </c>
      <c r="N11" s="876">
        <f>if(M11="","", sum(E11:M11))</f>
        <v>52</v>
      </c>
      <c r="O11" s="364"/>
      <c r="P11" s="974" t="str">
        <f>A11</f>
        <v>T-Mo</v>
      </c>
      <c r="Q11" s="895">
        <v>5.0</v>
      </c>
      <c r="R11" s="424">
        <v>4.0</v>
      </c>
      <c r="S11" s="424">
        <v>5.0</v>
      </c>
      <c r="T11" s="424">
        <v>6.0</v>
      </c>
      <c r="U11" s="424">
        <v>5.0</v>
      </c>
      <c r="V11" s="424">
        <v>4.0</v>
      </c>
      <c r="W11" s="424">
        <v>5.0</v>
      </c>
      <c r="X11" s="424">
        <v>3.0</v>
      </c>
      <c r="Y11" s="424">
        <v>6.0</v>
      </c>
      <c r="Z11" s="877">
        <f>if(Y11="","", sum(Q11:Y11))</f>
        <v>43</v>
      </c>
      <c r="AA11" s="878">
        <f>if(Z11="", "", sum(N11,Z11))</f>
        <v>95</v>
      </c>
      <c r="AB11" s="879">
        <f>if(Y11="", "", AA11-C11)</f>
        <v>84</v>
      </c>
    </row>
    <row r="12" ht="7.5" customHeight="1">
      <c r="A12" s="975"/>
      <c r="B12" s="897"/>
      <c r="C12" s="898"/>
      <c r="D12" s="899"/>
      <c r="E12" s="904" t="str">
        <f t="shared" ref="E12:M12" si="9">if(E13=1,"O", if(E13=2,"O   O",""))</f>
        <v/>
      </c>
      <c r="F12" s="905" t="str">
        <f t="shared" si="9"/>
        <v/>
      </c>
      <c r="G12" s="905" t="str">
        <f t="shared" si="9"/>
        <v>O</v>
      </c>
      <c r="H12" s="905" t="str">
        <f t="shared" si="9"/>
        <v/>
      </c>
      <c r="I12" s="905" t="str">
        <f t="shared" si="9"/>
        <v>O</v>
      </c>
      <c r="J12" s="905" t="str">
        <f t="shared" si="9"/>
        <v/>
      </c>
      <c r="K12" s="905" t="str">
        <f t="shared" si="9"/>
        <v/>
      </c>
      <c r="L12" s="905" t="str">
        <f t="shared" si="9"/>
        <v>O</v>
      </c>
      <c r="M12" s="976" t="str">
        <f t="shared" si="9"/>
        <v>O</v>
      </c>
      <c r="N12" s="902"/>
      <c r="O12" s="351"/>
      <c r="P12" s="977"/>
      <c r="Q12" s="904" t="str">
        <f t="shared" ref="Q12:Y12" si="10">if(Q13=1,"O", if(Q13=2,"O   O",""))</f>
        <v>O</v>
      </c>
      <c r="R12" s="905" t="str">
        <f t="shared" si="10"/>
        <v/>
      </c>
      <c r="S12" s="905" t="str">
        <f t="shared" si="10"/>
        <v/>
      </c>
      <c r="T12" s="905" t="str">
        <f t="shared" si="10"/>
        <v/>
      </c>
      <c r="U12" s="905" t="str">
        <f t="shared" si="10"/>
        <v>O</v>
      </c>
      <c r="V12" s="905" t="str">
        <f t="shared" si="10"/>
        <v>O</v>
      </c>
      <c r="W12" s="905" t="str">
        <f t="shared" si="10"/>
        <v>O</v>
      </c>
      <c r="X12" s="905" t="str">
        <f t="shared" si="10"/>
        <v>O</v>
      </c>
      <c r="Y12" s="905" t="str">
        <f t="shared" si="10"/>
        <v/>
      </c>
      <c r="Z12" s="888"/>
      <c r="AA12" s="889"/>
      <c r="AB12" s="906"/>
    </row>
    <row r="13" ht="22.5" hidden="1" customHeight="1">
      <c r="A13" s="961"/>
      <c r="B13" s="393"/>
      <c r="C13" s="522"/>
      <c r="D13" s="359"/>
      <c r="E13" s="907">
        <f t="shared" ref="E13:M13" si="11">IF($D14&gt;0,FLOOR($D14/18,1),0)+IF(AND(MOD($D14,18)&gt;=E$2,$D14&gt;0),1,0)-IF(E$2-18&gt;$D14,1,0)</f>
        <v>0</v>
      </c>
      <c r="F13" s="908">
        <f t="shared" si="11"/>
        <v>0</v>
      </c>
      <c r="G13" s="908">
        <f t="shared" si="11"/>
        <v>1</v>
      </c>
      <c r="H13" s="908">
        <f t="shared" si="11"/>
        <v>0</v>
      </c>
      <c r="I13" s="908">
        <f t="shared" si="11"/>
        <v>1</v>
      </c>
      <c r="J13" s="908">
        <f t="shared" si="11"/>
        <v>0</v>
      </c>
      <c r="K13" s="908">
        <f t="shared" si="11"/>
        <v>0</v>
      </c>
      <c r="L13" s="908">
        <f t="shared" si="11"/>
        <v>1</v>
      </c>
      <c r="M13" s="978">
        <f t="shared" si="11"/>
        <v>1</v>
      </c>
      <c r="N13" s="869"/>
      <c r="O13" s="364"/>
      <c r="P13" s="526"/>
      <c r="Q13" s="907">
        <f t="shared" ref="Q13:Y13" si="12">IF($D14&gt;0,FLOOR($D14/18,1),0)+IF(AND(MOD($D14,18)&gt;=Q$2,$D14&gt;0),1,0)-IF(Q$2-18&gt;$D14,1,0)</f>
        <v>1</v>
      </c>
      <c r="R13" s="908">
        <f t="shared" si="12"/>
        <v>0</v>
      </c>
      <c r="S13" s="908">
        <f t="shared" si="12"/>
        <v>0</v>
      </c>
      <c r="T13" s="908">
        <f t="shared" si="12"/>
        <v>0</v>
      </c>
      <c r="U13" s="908">
        <f t="shared" si="12"/>
        <v>1</v>
      </c>
      <c r="V13" s="908">
        <f t="shared" si="12"/>
        <v>1</v>
      </c>
      <c r="W13" s="908">
        <f t="shared" si="12"/>
        <v>1</v>
      </c>
      <c r="X13" s="908">
        <f t="shared" si="12"/>
        <v>1</v>
      </c>
      <c r="Y13" s="908">
        <f t="shared" si="12"/>
        <v>0</v>
      </c>
      <c r="Z13" s="870"/>
      <c r="AA13" s="871"/>
      <c r="AB13" s="872"/>
    </row>
    <row r="14" ht="27.0" customHeight="1">
      <c r="A14" s="963" t="str">
        <f>'Match Selection'!Y19</f>
        <v>R-Mac</v>
      </c>
      <c r="B14" s="873" t="str">
        <f>vlookup(A14, 'Master Input'!$A$11:$B$27,2, false)</f>
        <v>Drivers</v>
      </c>
      <c r="C14" s="531">
        <f>vlookup(A14,'Master Input'!$A$11:$L$27,'Master Input'!$L$28, false)</f>
        <v>9</v>
      </c>
      <c r="D14" s="372">
        <f>C14</f>
        <v>9</v>
      </c>
      <c r="E14" s="909">
        <v>3.0</v>
      </c>
      <c r="F14" s="910">
        <v>6.0</v>
      </c>
      <c r="G14" s="910">
        <v>7.0</v>
      </c>
      <c r="H14" s="910">
        <v>3.0</v>
      </c>
      <c r="I14" s="910">
        <v>6.0</v>
      </c>
      <c r="J14" s="910">
        <v>5.0</v>
      </c>
      <c r="K14" s="910">
        <v>4.0</v>
      </c>
      <c r="L14" s="910">
        <v>6.0</v>
      </c>
      <c r="M14" s="979">
        <v>5.0</v>
      </c>
      <c r="N14" s="876">
        <f>if(M14="","", sum(E14:M14))</f>
        <v>45</v>
      </c>
      <c r="O14" s="364"/>
      <c r="P14" s="965" t="str">
        <f>A14</f>
        <v>R-Mac</v>
      </c>
      <c r="Q14" s="909">
        <v>4.0</v>
      </c>
      <c r="R14" s="910">
        <v>5.0</v>
      </c>
      <c r="S14" s="910">
        <v>3.0</v>
      </c>
      <c r="T14" s="910">
        <v>6.0</v>
      </c>
      <c r="U14" s="910">
        <v>5.0</v>
      </c>
      <c r="V14" s="910">
        <v>3.0</v>
      </c>
      <c r="W14" s="910">
        <v>6.0</v>
      </c>
      <c r="X14" s="910">
        <v>5.0</v>
      </c>
      <c r="Y14" s="910">
        <v>8.0</v>
      </c>
      <c r="Z14" s="877">
        <f>if(Y14="","", sum(Q14:Y14))</f>
        <v>45</v>
      </c>
      <c r="AA14" s="878">
        <f>if(Z14="", "", sum(N14,Z14))</f>
        <v>90</v>
      </c>
      <c r="AB14" s="879">
        <f>if(Y14="", "", AA14-C14)</f>
        <v>81</v>
      </c>
    </row>
    <row r="15" ht="7.5" customHeight="1">
      <c r="A15" s="980"/>
      <c r="B15" s="911"/>
      <c r="C15" s="912"/>
      <c r="D15" s="913"/>
      <c r="E15" s="402" t="str">
        <f t="shared" ref="E15:M15" si="13">if(E16=1,"O", if(E16=2,"O   O",""))</f>
        <v>O</v>
      </c>
      <c r="F15" s="403" t="str">
        <f t="shared" si="13"/>
        <v>O</v>
      </c>
      <c r="G15" s="403" t="str">
        <f t="shared" si="13"/>
        <v>O   O</v>
      </c>
      <c r="H15" s="403" t="str">
        <f t="shared" si="13"/>
        <v>O</v>
      </c>
      <c r="I15" s="403" t="str">
        <f t="shared" si="13"/>
        <v>O   O</v>
      </c>
      <c r="J15" s="403" t="str">
        <f t="shared" si="13"/>
        <v>O</v>
      </c>
      <c r="K15" s="403" t="str">
        <f t="shared" si="13"/>
        <v>O</v>
      </c>
      <c r="L15" s="403" t="str">
        <f t="shared" si="13"/>
        <v>O   O</v>
      </c>
      <c r="M15" s="981" t="str">
        <f t="shared" si="13"/>
        <v>O   O</v>
      </c>
      <c r="N15" s="914"/>
      <c r="O15" s="545"/>
      <c r="P15" s="982"/>
      <c r="Q15" s="402" t="str">
        <f t="shared" ref="Q15:Y15" si="14">if(Q16=1,"O", if(Q16=2,"O   O",""))</f>
        <v>O   O</v>
      </c>
      <c r="R15" s="403" t="str">
        <f t="shared" si="14"/>
        <v>O</v>
      </c>
      <c r="S15" s="403" t="str">
        <f t="shared" si="14"/>
        <v>O</v>
      </c>
      <c r="T15" s="403" t="str">
        <f t="shared" si="14"/>
        <v>O</v>
      </c>
      <c r="U15" s="403" t="str">
        <f t="shared" si="14"/>
        <v>O   O</v>
      </c>
      <c r="V15" s="403" t="str">
        <f t="shared" si="14"/>
        <v>O</v>
      </c>
      <c r="W15" s="403" t="str">
        <f t="shared" si="14"/>
        <v>O   O</v>
      </c>
      <c r="X15" s="403" t="str">
        <f t="shared" si="14"/>
        <v>O   O</v>
      </c>
      <c r="Y15" s="403" t="str">
        <f t="shared" si="14"/>
        <v>O</v>
      </c>
      <c r="Z15" s="915"/>
      <c r="AA15" s="916"/>
      <c r="AB15" s="906"/>
    </row>
    <row r="16" ht="22.5" hidden="1" customHeight="1">
      <c r="A16" s="969"/>
      <c r="B16" s="411"/>
      <c r="C16" s="553"/>
      <c r="D16" s="413"/>
      <c r="E16" s="414">
        <f t="shared" ref="E16:M16" si="15">IF($D17&gt;0,FLOOR($D17/18,1),0)+IF(AND(MOD($D17,18)&gt;=E$2,$D17&gt;0),1,0)-IF(E$2-18&gt;$D17,1,0)</f>
        <v>1</v>
      </c>
      <c r="F16" s="415">
        <f t="shared" si="15"/>
        <v>1</v>
      </c>
      <c r="G16" s="415">
        <f t="shared" si="15"/>
        <v>2</v>
      </c>
      <c r="H16" s="415">
        <f t="shared" si="15"/>
        <v>1</v>
      </c>
      <c r="I16" s="415">
        <f t="shared" si="15"/>
        <v>2</v>
      </c>
      <c r="J16" s="415">
        <f t="shared" si="15"/>
        <v>1</v>
      </c>
      <c r="K16" s="415">
        <f t="shared" si="15"/>
        <v>1</v>
      </c>
      <c r="L16" s="415">
        <f t="shared" si="15"/>
        <v>2</v>
      </c>
      <c r="M16" s="970">
        <f t="shared" si="15"/>
        <v>2</v>
      </c>
      <c r="N16" s="869"/>
      <c r="O16" s="364"/>
      <c r="P16" s="971"/>
      <c r="Q16" s="414">
        <f t="shared" ref="Q16:Y16" si="16">IF($D17&gt;0,FLOOR($D17/18,1),0)+IF(AND(MOD($D17,18)&gt;=Q$2,$D17&gt;0),1,0)-IF(Q$2-18&gt;$D17,1,0)</f>
        <v>2</v>
      </c>
      <c r="R16" s="415">
        <f t="shared" si="16"/>
        <v>1</v>
      </c>
      <c r="S16" s="415">
        <f t="shared" si="16"/>
        <v>1</v>
      </c>
      <c r="T16" s="415">
        <f t="shared" si="16"/>
        <v>1</v>
      </c>
      <c r="U16" s="415">
        <f t="shared" si="16"/>
        <v>2</v>
      </c>
      <c r="V16" s="415">
        <f t="shared" si="16"/>
        <v>1</v>
      </c>
      <c r="W16" s="415">
        <f t="shared" si="16"/>
        <v>2</v>
      </c>
      <c r="X16" s="415">
        <f t="shared" si="16"/>
        <v>2</v>
      </c>
      <c r="Y16" s="415">
        <f t="shared" si="16"/>
        <v>1</v>
      </c>
      <c r="Z16" s="870"/>
      <c r="AA16" s="917"/>
      <c r="AB16" s="872"/>
    </row>
    <row r="17" ht="27.0" customHeight="1">
      <c r="A17" s="983" t="str">
        <f>'Match Selection'!Y20</f>
        <v>Hile</v>
      </c>
      <c r="B17" s="420" t="str">
        <f>vlookup(A17, 'Master Input'!$A$11:$B$27,2, false)</f>
        <v>Drivers</v>
      </c>
      <c r="C17" s="597">
        <f>vlookup(A17,'Master Input'!$A$11:$L$27,'Master Input'!$L$28, false)</f>
        <v>26</v>
      </c>
      <c r="D17" s="422">
        <f>C17</f>
        <v>26</v>
      </c>
      <c r="E17" s="987">
        <v>5.0</v>
      </c>
      <c r="F17" s="988">
        <v>5.0</v>
      </c>
      <c r="G17" s="988">
        <v>7.0</v>
      </c>
      <c r="H17" s="988">
        <v>3.0</v>
      </c>
      <c r="I17" s="988">
        <v>5.0</v>
      </c>
      <c r="J17" s="988">
        <v>8.0</v>
      </c>
      <c r="K17" s="988">
        <v>3.0</v>
      </c>
      <c r="L17" s="988">
        <v>6.0</v>
      </c>
      <c r="M17" s="989">
        <v>7.0</v>
      </c>
      <c r="N17" s="990">
        <f>if(M17="","", sum(E17:M17))</f>
        <v>49</v>
      </c>
      <c r="O17" s="364"/>
      <c r="P17" s="991" t="str">
        <f>A17</f>
        <v>Hile</v>
      </c>
      <c r="Q17" s="987">
        <v>7.0</v>
      </c>
      <c r="R17" s="988">
        <v>6.0</v>
      </c>
      <c r="S17" s="988">
        <v>3.0</v>
      </c>
      <c r="T17" s="988">
        <v>5.0</v>
      </c>
      <c r="U17" s="988">
        <v>5.0</v>
      </c>
      <c r="V17" s="988">
        <v>5.0</v>
      </c>
      <c r="W17" s="988">
        <v>6.0</v>
      </c>
      <c r="X17" s="988">
        <v>7.0</v>
      </c>
      <c r="Y17" s="988">
        <v>6.0</v>
      </c>
      <c r="Z17" s="992">
        <f>if(Y17="","", sum(Q17:Y17))</f>
        <v>50</v>
      </c>
      <c r="AA17" s="993">
        <f>if(Z17="", "", sum(N17,Z17))</f>
        <v>99</v>
      </c>
      <c r="AB17" s="994">
        <f>if(Y17="", "", AA17-C17)</f>
        <v>73</v>
      </c>
    </row>
    <row r="18" ht="11.25" customHeight="1">
      <c r="A18" s="1005"/>
      <c r="B18" s="1006"/>
      <c r="C18" s="1007"/>
      <c r="D18" s="1008"/>
      <c r="E18" s="1009"/>
      <c r="F18" s="1009"/>
      <c r="G18" s="1009"/>
      <c r="H18" s="1009"/>
      <c r="I18" s="1009"/>
      <c r="J18" s="1009"/>
      <c r="K18" s="1009"/>
      <c r="L18" s="1009"/>
      <c r="M18" s="1009"/>
      <c r="N18" s="1009"/>
      <c r="O18" s="1010"/>
      <c r="P18" s="1009"/>
      <c r="Q18" s="1009"/>
      <c r="R18" s="1009"/>
      <c r="S18" s="1009"/>
      <c r="T18" s="1009"/>
      <c r="U18" s="1009"/>
      <c r="V18" s="1009"/>
      <c r="W18" s="1009"/>
      <c r="X18" s="1009"/>
      <c r="Y18" s="1009"/>
      <c r="Z18" s="1009"/>
      <c r="AA18" s="1009"/>
      <c r="AB18" s="1009"/>
    </row>
    <row r="19">
      <c r="A19" s="929" t="s">
        <v>101</v>
      </c>
      <c r="B19" s="930"/>
      <c r="C19" s="931"/>
      <c r="D19" s="932"/>
      <c r="E19" s="995">
        <f>'R4_G1'!E19</f>
        <v>5</v>
      </c>
      <c r="F19" s="996">
        <f>'R4_G1'!F19</f>
        <v>5</v>
      </c>
      <c r="G19" s="996">
        <f>'R4_G1'!G19</f>
        <v>5</v>
      </c>
      <c r="H19" s="996">
        <f>'R4_G1'!H19</f>
        <v>5</v>
      </c>
      <c r="I19" s="996">
        <f>'R4_G1'!I19</f>
        <v>5</v>
      </c>
      <c r="J19" s="996">
        <f>'R4_G1'!J19</f>
        <v>5</v>
      </c>
      <c r="K19" s="996">
        <f>'R4_G1'!K19</f>
        <v>5</v>
      </c>
      <c r="L19" s="996">
        <f>'R4_G1'!L19</f>
        <v>5</v>
      </c>
      <c r="M19" s="997">
        <f>'R4_G1'!M19</f>
        <v>5</v>
      </c>
      <c r="N19" s="462"/>
      <c r="O19" s="364"/>
      <c r="P19" s="929" t="s">
        <v>101</v>
      </c>
      <c r="Q19" s="995">
        <f>'R4_G1'!Q19</f>
        <v>6</v>
      </c>
      <c r="R19" s="996">
        <f>'R4_G1'!R19</f>
        <v>6</v>
      </c>
      <c r="S19" s="996">
        <f>'R4_G1'!S19</f>
        <v>6</v>
      </c>
      <c r="T19" s="996">
        <f>'R4_G1'!T19</f>
        <v>6</v>
      </c>
      <c r="U19" s="996">
        <f>'R4_G1'!U19</f>
        <v>6</v>
      </c>
      <c r="V19" s="996">
        <f>'R4_G1'!V19</f>
        <v>6</v>
      </c>
      <c r="W19" s="996">
        <f>'R4_G1'!W19</f>
        <v>6</v>
      </c>
      <c r="X19" s="996">
        <f>'R4_G1'!X19</f>
        <v>6</v>
      </c>
      <c r="Y19" s="997">
        <f>'R4_G1'!Y19</f>
        <v>6</v>
      </c>
      <c r="Z19" s="648"/>
      <c r="AA19" s="998" t="s">
        <v>102</v>
      </c>
      <c r="AB19" s="999"/>
    </row>
    <row r="20">
      <c r="A20" s="929" t="s">
        <v>103</v>
      </c>
      <c r="B20" s="930"/>
      <c r="C20" s="931"/>
      <c r="D20" s="932"/>
      <c r="E20" s="938">
        <f>'R4_G2'!E20</f>
        <v>3.4</v>
      </c>
      <c r="F20" s="939">
        <f>'R4_G2'!F20</f>
        <v>5</v>
      </c>
      <c r="G20" s="939">
        <f>'R4_G2'!G20</f>
        <v>4.4</v>
      </c>
      <c r="H20" s="939">
        <f>'R4_G2'!H20</f>
        <v>3</v>
      </c>
      <c r="I20" s="939">
        <f>'R4_G2'!I20</f>
        <v>3.6</v>
      </c>
      <c r="J20" s="939">
        <f>'R4_G2'!J20</f>
        <v>5</v>
      </c>
      <c r="K20" s="939">
        <f>'R4_G2'!K20</f>
        <v>2.6</v>
      </c>
      <c r="L20" s="939">
        <f>'R4_G2'!L20</f>
        <v>3.6</v>
      </c>
      <c r="M20" s="940">
        <f>'R4_G2'!M20</f>
        <v>3.2</v>
      </c>
      <c r="N20" s="462"/>
      <c r="O20" s="364"/>
      <c r="P20" s="929" t="s">
        <v>103</v>
      </c>
      <c r="Q20" s="938">
        <f>'R4_G2'!Q20</f>
        <v>3.833333333</v>
      </c>
      <c r="R20" s="939">
        <f>'R4_G2'!R20</f>
        <v>4.166666667</v>
      </c>
      <c r="S20" s="939">
        <f>'R4_G2'!S20</f>
        <v>2.833333333</v>
      </c>
      <c r="T20" s="939">
        <f>'R4_G2'!T20</f>
        <v>5.166666667</v>
      </c>
      <c r="U20" s="939">
        <f>'R4_G2'!U20</f>
        <v>3.5</v>
      </c>
      <c r="V20" s="939">
        <f>'R4_G2'!V20</f>
        <v>2.833333333</v>
      </c>
      <c r="W20" s="939">
        <f>'R4_G2'!W20</f>
        <v>4.166666667</v>
      </c>
      <c r="X20" s="939">
        <f>'R4_G2'!X20</f>
        <v>3.333333333</v>
      </c>
      <c r="Y20" s="940">
        <f>'R4_G2'!Y20</f>
        <v>5</v>
      </c>
      <c r="Z20" s="648"/>
      <c r="AA20" s="1000" t="s">
        <v>104</v>
      </c>
      <c r="AB20" s="1001"/>
    </row>
    <row r="21">
      <c r="A21" s="929" t="s">
        <v>105</v>
      </c>
      <c r="B21" s="930"/>
      <c r="C21" s="931"/>
      <c r="D21" s="932"/>
      <c r="E21" s="943">
        <f>'R4_G2'!E21</f>
        <v>-3</v>
      </c>
      <c r="F21" s="944">
        <f>'R4_G2'!F21</f>
        <v>0</v>
      </c>
      <c r="G21" s="944">
        <f>'R4_G2'!G21</f>
        <v>2</v>
      </c>
      <c r="H21" s="944">
        <f>'R4_G2'!H21</f>
        <v>0</v>
      </c>
      <c r="I21" s="944">
        <f>'R4_G2'!I21</f>
        <v>-2</v>
      </c>
      <c r="J21" s="944">
        <f>'R4_G2'!J21</f>
        <v>0</v>
      </c>
      <c r="K21" s="944">
        <f>'R4_G2'!K21</f>
        <v>-2</v>
      </c>
      <c r="L21" s="944">
        <f>'R4_G2'!L21</f>
        <v>-2</v>
      </c>
      <c r="M21" s="945">
        <f>'R4_G2'!M21</f>
        <v>-4</v>
      </c>
      <c r="N21" s="462"/>
      <c r="O21" s="364"/>
      <c r="P21" s="929" t="s">
        <v>105</v>
      </c>
      <c r="Q21" s="943">
        <f>'R4_G2'!Q21</f>
        <v>-1</v>
      </c>
      <c r="R21" s="944">
        <f>'R4_G2'!R21</f>
        <v>1</v>
      </c>
      <c r="S21" s="944">
        <f>'R4_G2'!S21</f>
        <v>-1</v>
      </c>
      <c r="T21" s="944">
        <f>'R4_G2'!T21</f>
        <v>1</v>
      </c>
      <c r="U21" s="944">
        <f>'R4_G2'!U21</f>
        <v>-3</v>
      </c>
      <c r="V21" s="944">
        <f>'R4_G2'!V21</f>
        <v>-1</v>
      </c>
      <c r="W21" s="944">
        <f>'R4_G2'!W21</f>
        <v>1</v>
      </c>
      <c r="X21" s="944">
        <f>'R4_G2'!X21</f>
        <v>-4</v>
      </c>
      <c r="Y21" s="945">
        <f>'R4_G2'!Y21</f>
        <v>0</v>
      </c>
      <c r="Z21" s="648"/>
      <c r="AA21" s="1002" t="s">
        <v>111</v>
      </c>
      <c r="AB21" s="1003"/>
    </row>
    <row r="22" ht="18.75" customHeight="1">
      <c r="Z22" s="652" t="s">
        <v>51</v>
      </c>
      <c r="AA22" s="948" t="s">
        <v>68</v>
      </c>
      <c r="AB22" s="653" t="s">
        <v>69</v>
      </c>
    </row>
    <row r="23" ht="18.75" customHeight="1">
      <c r="A23" s="949" t="s">
        <v>107</v>
      </c>
      <c r="B23" s="950"/>
      <c r="C23" s="951"/>
      <c r="D23" s="952"/>
      <c r="E23" s="953">
        <f>'R4_G2'!E23</f>
        <v>17</v>
      </c>
      <c r="F23" s="953">
        <f>'R4_G2'!F23</f>
        <v>25</v>
      </c>
      <c r="G23" s="953">
        <f>'R4_G2'!G23</f>
        <v>22</v>
      </c>
      <c r="H23" s="953">
        <f>'R4_G2'!H23</f>
        <v>15</v>
      </c>
      <c r="I23" s="953">
        <f>'R4_G2'!I23</f>
        <v>18</v>
      </c>
      <c r="J23" s="953">
        <f>'R4_G2'!J23</f>
        <v>25</v>
      </c>
      <c r="K23" s="953">
        <f>'R4_G2'!K23</f>
        <v>13</v>
      </c>
      <c r="L23" s="953">
        <f>'R4_G2'!L23</f>
        <v>18</v>
      </c>
      <c r="M23" s="953">
        <f>'R4_G2'!M23</f>
        <v>16</v>
      </c>
      <c r="N23" s="954"/>
      <c r="O23" s="955"/>
      <c r="P23" s="949" t="s">
        <v>107</v>
      </c>
      <c r="Q23" s="953">
        <f>'R4_G2'!Q23</f>
        <v>23</v>
      </c>
      <c r="R23" s="953">
        <f>'R4_G2'!R23</f>
        <v>25</v>
      </c>
      <c r="S23" s="953">
        <f>'R4_G2'!S23</f>
        <v>17</v>
      </c>
      <c r="T23" s="953">
        <f>'R4_G2'!T23</f>
        <v>31</v>
      </c>
      <c r="U23" s="953">
        <f>'R4_G2'!U23</f>
        <v>21</v>
      </c>
      <c r="V23" s="953">
        <f>'R4_G2'!V23</f>
        <v>17</v>
      </c>
      <c r="W23" s="953">
        <f>'R4_G2'!W23</f>
        <v>25</v>
      </c>
      <c r="X23" s="953">
        <f>'R4_G2'!X23</f>
        <v>20</v>
      </c>
      <c r="Y23" s="953">
        <f>'R4_G2'!Y23</f>
        <v>30</v>
      </c>
      <c r="Z23" s="478" t="s">
        <v>71</v>
      </c>
      <c r="AA23" s="475" t="s">
        <v>72</v>
      </c>
      <c r="AB23" s="479" t="s">
        <v>73</v>
      </c>
    </row>
    <row r="24" ht="18.75" hidden="1" customHeight="1">
      <c r="A24" s="660"/>
      <c r="B24" s="655" t="str">
        <f>B8</f>
        <v>Drivers</v>
      </c>
      <c r="C24" s="656"/>
      <c r="D24" s="655"/>
      <c r="E24" s="657">
        <f>'FINAL COUNTDOWN'!O2</f>
        <v>0.5</v>
      </c>
      <c r="F24" s="657">
        <f>'FINAL COUNTDOWN'!O3</f>
        <v>1</v>
      </c>
      <c r="G24" s="657">
        <f>'FINAL COUNTDOWN'!O4</f>
        <v>0</v>
      </c>
      <c r="H24" s="657">
        <f>'FINAL COUNTDOWN'!O5</f>
        <v>1</v>
      </c>
      <c r="I24" s="657">
        <f>'FINAL COUNTDOWN'!O6</f>
        <v>0.5</v>
      </c>
      <c r="J24" s="657">
        <f>'FINAL COUNTDOWN'!O7</f>
        <v>0.5</v>
      </c>
      <c r="K24" s="657">
        <f>'FINAL COUNTDOWN'!O8</f>
        <v>0.5</v>
      </c>
      <c r="L24" s="657">
        <f>'FINAL COUNTDOWN'!O9</f>
        <v>0.5</v>
      </c>
      <c r="M24" s="657">
        <f>'FINAL COUNTDOWN'!O10</f>
        <v>1</v>
      </c>
      <c r="N24" s="655"/>
      <c r="O24" s="657"/>
      <c r="P24" s="658"/>
      <c r="Q24" s="1004">
        <f>'FINAL COUNTDOWN'!O12</f>
        <v>2</v>
      </c>
      <c r="R24" s="1004">
        <f>'FINAL COUNTDOWN'!O13</f>
        <v>0</v>
      </c>
      <c r="S24" s="1004">
        <f>'FINAL COUNTDOWN'!O14</f>
        <v>1</v>
      </c>
      <c r="T24" s="1004">
        <f>'FINAL COUNTDOWN'!O15</f>
        <v>2</v>
      </c>
      <c r="U24" s="1004">
        <f>'FINAL COUNTDOWN'!O16</f>
        <v>0</v>
      </c>
      <c r="V24" s="1004">
        <f>'FINAL COUNTDOWN'!O17</f>
        <v>0</v>
      </c>
      <c r="W24" s="1004">
        <f>'FINAL COUNTDOWN'!O18</f>
        <v>2</v>
      </c>
      <c r="X24" s="1004">
        <f>'FINAL COUNTDOWN'!O19</f>
        <v>2</v>
      </c>
      <c r="Y24" s="1004">
        <f>'FINAL COUNTDOWN'!O20</f>
        <v>2</v>
      </c>
      <c r="Z24" s="483"/>
      <c r="AA24" s="483"/>
      <c r="AB24" s="956">
        <f>sum(E24:Y24)</f>
        <v>16.5</v>
      </c>
    </row>
    <row r="25" ht="18.75" hidden="1" customHeight="1">
      <c r="A25" s="649" t="str">
        <f>A8</f>
        <v>KJ</v>
      </c>
      <c r="B25" s="649"/>
      <c r="C25" s="650"/>
      <c r="D25" s="650"/>
      <c r="E25" s="492">
        <f>if('Captains Card 2'!E43&lt;small('Captains Card 2'!E$39:E$46,E$19),1,if('Captains Card 2'!E43=small('Captains Card 2'!E$39:E$46,E$19),(E$19-countif('Captains Card 2'!E$39:E$46,"&lt;"&amp;small('Captains Card 2'!E$39:E$46,E$19)))/countif('Captains Card 2'!E$39:E$46,small('Captains Card 2'!E$39:E$46,E$19)),0))</f>
        <v>0.5</v>
      </c>
      <c r="F25" s="492">
        <f>if('Captains Card 2'!F43&lt;small('Captains Card 2'!F$39:F$46,F$19),1,if('Captains Card 2'!F43=small('Captains Card 2'!F$39:F$46,F$19),(F$19-countif('Captains Card 2'!F$39:F$46,"&lt;"&amp;small('Captains Card 2'!F$39:F$46,F$19)))/countif('Captains Card 2'!F$39:F$46,small('Captains Card 2'!F$39:F$46,F$19)),0))</f>
        <v>1</v>
      </c>
      <c r="G25" s="492">
        <f>if('Captains Card 2'!G43&lt;small('Captains Card 2'!G$39:G$46,G$19),1,if('Captains Card 2'!G43=small('Captains Card 2'!G$39:G$46,G$19),(G$19-countif('Captains Card 2'!G$39:G$46,"&lt;"&amp;small('Captains Card 2'!G$39:G$46,G$19)))/countif('Captains Card 2'!G$39:G$46,small('Captains Card 2'!G$39:G$46,G$19)),0))</f>
        <v>1</v>
      </c>
      <c r="H25" s="492">
        <f>if('Captains Card 2'!H43&lt;small('Captains Card 2'!H$39:H$46,H$19),1,if('Captains Card 2'!H43=small('Captains Card 2'!H$39:H$46,H$19),(H$19-countif('Captains Card 2'!H$39:H$46,"&lt;"&amp;small('Captains Card 2'!H$39:H$46,H$19)))/countif('Captains Card 2'!H$39:H$46,small('Captains Card 2'!H$39:H$46,H$19)),0))</f>
        <v>0.25</v>
      </c>
      <c r="I25" s="492">
        <f>if('Captains Card 2'!I43&lt;small('Captains Card 2'!I$39:I$46,I$19),1,if('Captains Card 2'!I43=small('Captains Card 2'!I$39:I$46,I$19),(I$19-countif('Captains Card 2'!I$39:I$46,"&lt;"&amp;small('Captains Card 2'!I$39:I$46,I$19)))/countif('Captains Card 2'!I$39:I$46,small('Captains Card 2'!I$39:I$46,I$19)),0))</f>
        <v>1</v>
      </c>
      <c r="J25" s="492">
        <f>if('Captains Card 2'!J43&lt;small('Captains Card 2'!J$39:J$46,J$19),1,if('Captains Card 2'!J43=small('Captains Card 2'!J$39:J$46,J$19),(J$19-countif('Captains Card 2'!J$39:J$46,"&lt;"&amp;small('Captains Card 2'!J$39:J$46,J$19)))/countif('Captains Card 2'!J$39:J$46,small('Captains Card 2'!J$39:J$46,J$19)),0))</f>
        <v>1</v>
      </c>
      <c r="K25" s="492">
        <f>if('Captains Card 2'!K43&lt;small('Captains Card 2'!K$39:K$46,K$19),1,if('Captains Card 2'!K43=small('Captains Card 2'!K$39:K$46,K$19),(K$19-countif('Captains Card 2'!K$39:K$46,"&lt;"&amp;small('Captains Card 2'!K$39:K$46,K$19)))/countif('Captains Card 2'!K$39:K$46,small('Captains Card 2'!K$39:K$46,K$19)),0))</f>
        <v>1</v>
      </c>
      <c r="L25" s="492">
        <f>if('Captains Card 2'!L43&lt;small('Captains Card 2'!L$39:L$46,L$19),1,if('Captains Card 2'!L43=small('Captains Card 2'!L$39:L$46,L$19),(L$19-countif('Captains Card 2'!L$39:L$46,"&lt;"&amp;small('Captains Card 2'!L$39:L$46,L$19)))/countif('Captains Card 2'!L$39:L$46,small('Captains Card 2'!L$39:L$46,L$19)),0))</f>
        <v>1</v>
      </c>
      <c r="M25" s="492">
        <f>if('Captains Card 2'!M43&lt;small('Captains Card 2'!M$39:M$46,M$19),1,if('Captains Card 2'!M43=small('Captains Card 2'!M$39:M$46,M$19),(M$19-countif('Captains Card 2'!M$39:M$46,"&lt;"&amp;small('Captains Card 2'!M$39:M$46,M$19)))/countif('Captains Card 2'!M$39:M$46,small('Captains Card 2'!M$39:M$46,M$19)),0))</f>
        <v>1</v>
      </c>
      <c r="N25" s="470"/>
      <c r="O25" s="959"/>
      <c r="P25" s="470"/>
      <c r="Q25" s="492">
        <f>if('Captains Card 2'!Q43&lt;small('Captains Card 2'!Q$39:Q$46,Q$19),1,if('Captains Card 2'!Q43=small('Captains Card 2'!Q$39:Q$46,Q$19),(Q$19-countif('Captains Card 2'!Q$39:Q$46,"&lt;"&amp;small('Captains Card 2'!Q$39:Q$46,Q$19)))/countif('Captains Card 2'!Q$39:Q$46,small('Captains Card 2'!Q$39:Q$46,Q$19)),0))</f>
        <v>1</v>
      </c>
      <c r="R25" s="492">
        <f>if('Captains Card 2'!R43&lt;small('Captains Card 2'!R$39:R$46,R$19),1,if('Captains Card 2'!R43=small('Captains Card 2'!R$39:R$46,R$19),(R$19-countif('Captains Card 2'!R$39:R$46,"&lt;"&amp;small('Captains Card 2'!R$39:R$46,R$19)))/countif('Captains Card 2'!R$39:R$46,small('Captains Card 2'!R$39:R$46,R$19)),0))</f>
        <v>1</v>
      </c>
      <c r="S25" s="492">
        <f>if('Captains Card 2'!S43&lt;small('Captains Card 2'!S$39:S$46,S$19),1,if('Captains Card 2'!S43=small('Captains Card 2'!S$39:S$46,S$19),(S$19-countif('Captains Card 2'!S$39:S$46,"&lt;"&amp;small('Captains Card 2'!S$39:S$46,S$19)))/countif('Captains Card 2'!S$39:S$46,small('Captains Card 2'!S$39:S$46,S$19)),0))</f>
        <v>0.5</v>
      </c>
      <c r="T25" s="492">
        <f>if('Captains Card 2'!T43&lt;small('Captains Card 2'!T$39:T$46,T$19),1,if('Captains Card 2'!T43=small('Captains Card 2'!T$39:T$46,T$19),(T$19-countif('Captains Card 2'!T$39:T$46,"&lt;"&amp;small('Captains Card 2'!T$39:T$46,T$19)))/countif('Captains Card 2'!T$39:T$46,small('Captains Card 2'!T$39:T$46,T$19)),0))</f>
        <v>0.6666666667</v>
      </c>
      <c r="U25" s="492">
        <f>if('Captains Card 2'!U43&lt;small('Captains Card 2'!U$39:U$46,U$19),1,if('Captains Card 2'!U43=small('Captains Card 2'!U$39:U$46,U$19),(U$19-countif('Captains Card 2'!U$39:U$46,"&lt;"&amp;small('Captains Card 2'!U$39:U$46,U$19)))/countif('Captains Card 2'!U$39:U$46,small('Captains Card 2'!U$39:U$46,U$19)),0))</f>
        <v>0</v>
      </c>
      <c r="V25" s="492">
        <f>if('Captains Card 2'!V43&lt;small('Captains Card 2'!V$39:V$46,V$19),1,if('Captains Card 2'!V43=small('Captains Card 2'!V$39:V$46,V$19),(V$19-countif('Captains Card 2'!V$39:V$46,"&lt;"&amp;small('Captains Card 2'!V$39:V$46,V$19)))/countif('Captains Card 2'!V$39:V$46,small('Captains Card 2'!V$39:V$46,V$19)),0))</f>
        <v>0.3333333333</v>
      </c>
      <c r="W25" s="492">
        <f>if('Captains Card 2'!W43&lt;small('Captains Card 2'!W$39:W$46,W$19),1,if('Captains Card 2'!W43=small('Captains Card 2'!W$39:W$46,W$19),(W$19-countif('Captains Card 2'!W$39:W$46,"&lt;"&amp;small('Captains Card 2'!W$39:W$46,W$19)))/countif('Captains Card 2'!W$39:W$46,small('Captains Card 2'!W$39:W$46,W$19)),0))</f>
        <v>1</v>
      </c>
      <c r="X25" s="492">
        <f>if('Captains Card 2'!X43&lt;small('Captains Card 2'!X$39:X$46,X$19),1,if('Captains Card 2'!X43=small('Captains Card 2'!X$39:X$46,X$19),(X$19-countif('Captains Card 2'!X$39:X$46,"&lt;"&amp;small('Captains Card 2'!X$39:X$46,X$19)))/countif('Captains Card 2'!X$39:X$46,small('Captains Card 2'!X$39:X$46,X$19)),0))</f>
        <v>0.75</v>
      </c>
      <c r="Y25" s="492">
        <f>if('Captains Card 2'!Y43&lt;small('Captains Card 2'!Y$39:Y$46,Y$19),1,if('Captains Card 2'!Y43=small('Captains Card 2'!Y$39:Y$46,Y$19),(Y$19-countif('Captains Card 2'!Y$39:Y$46,"&lt;"&amp;small('Captains Card 2'!Y$39:Y$46,Y$19)))/countif('Captains Card 2'!Y$39:Y$46,small('Captains Card 2'!Y$39:Y$46,Y$19)),0))</f>
        <v>1</v>
      </c>
      <c r="Z25" s="957">
        <f t="shared" ref="Z25:Z28" si="17">if(Y$8="","", sum(E25:M25,Q25:Y25))</f>
        <v>14</v>
      </c>
      <c r="AA25" s="958">
        <f t="shared" ref="AA25:AA28" si="18">if(Y$8="","",sumif($E$24:$M$24,"&gt;0.5",E25:M25)+sumif($E$24:$M$24,0.5,E25:M25)/2+sumif($Q$24:$Y$24,"&gt;1",Q25:Y25)+sumif($Q$24:$Y$24,1,Q25:Y25)/2)</f>
        <v>9.166666667</v>
      </c>
      <c r="AB25" s="492">
        <f t="shared" ref="AB25:AB28" si="19">if(Y$8="","",Z25/(sum($E$19:$M$19,$Q$19:$Y$19))*$AB$24)</f>
        <v>2.333333333</v>
      </c>
    </row>
    <row r="26" ht="18.75" hidden="1" customHeight="1">
      <c r="A26" s="649" t="str">
        <f>A11</f>
        <v>T-Mo</v>
      </c>
      <c r="B26" s="649"/>
      <c r="C26" s="650"/>
      <c r="D26" s="650"/>
      <c r="E26" s="492">
        <f>if('Captains Card 2'!E44&lt;small('Captains Card 2'!E$39:E$46,E$19),1,if('Captains Card 2'!E44=small('Captains Card 2'!E$39:E$46,E$19),(E$19-countif('Captains Card 2'!E$39:E$46,"&lt;"&amp;small('Captains Card 2'!E$39:E$46,E$19)))/countif('Captains Card 2'!E$39:E$46,small('Captains Card 2'!E$39:E$46,E$19)),0))</f>
        <v>0.5</v>
      </c>
      <c r="F26" s="492">
        <f>if('Captains Card 2'!F44&lt;small('Captains Card 2'!F$39:F$46,F$19),1,if('Captains Card 2'!F44=small('Captains Card 2'!F$39:F$46,F$19),(F$19-countif('Captains Card 2'!F$39:F$46,"&lt;"&amp;small('Captains Card 2'!F$39:F$46,F$19)))/countif('Captains Card 2'!F$39:F$46,small('Captains Card 2'!F$39:F$46,F$19)),0))</f>
        <v>0</v>
      </c>
      <c r="G26" s="492">
        <f>if('Captains Card 2'!G44&lt;small('Captains Card 2'!G$39:G$46,G$19),1,if('Captains Card 2'!G44=small('Captains Card 2'!G$39:G$46,G$19),(G$19-countif('Captains Card 2'!G$39:G$46,"&lt;"&amp;small('Captains Card 2'!G$39:G$46,G$19)))/countif('Captains Card 2'!G$39:G$46,small('Captains Card 2'!G$39:G$46,G$19)),0))</f>
        <v>0</v>
      </c>
      <c r="H26" s="492">
        <f>if('Captains Card 2'!H44&lt;small('Captains Card 2'!H$39:H$46,H$19),1,if('Captains Card 2'!H44=small('Captains Card 2'!H$39:H$46,H$19),(H$19-countif('Captains Card 2'!H$39:H$46,"&lt;"&amp;small('Captains Card 2'!H$39:H$46,H$19)))/countif('Captains Card 2'!H$39:H$46,small('Captains Card 2'!H$39:H$46,H$19)),0))</f>
        <v>0.25</v>
      </c>
      <c r="I26" s="492">
        <f>if('Captains Card 2'!I44&lt;small('Captains Card 2'!I$39:I$46,I$19),1,if('Captains Card 2'!I44=small('Captains Card 2'!I$39:I$46,I$19),(I$19-countif('Captains Card 2'!I$39:I$46,"&lt;"&amp;small('Captains Card 2'!I$39:I$46,I$19)))/countif('Captains Card 2'!I$39:I$46,small('Captains Card 2'!I$39:I$46,I$19)),0))</f>
        <v>0</v>
      </c>
      <c r="J26" s="492">
        <f>if('Captains Card 2'!J44&lt;small('Captains Card 2'!J$39:J$46,J$19),1,if('Captains Card 2'!J44=small('Captains Card 2'!J$39:J$46,J$19),(J$19-countif('Captains Card 2'!J$39:J$46,"&lt;"&amp;small('Captains Card 2'!J$39:J$46,J$19)))/countif('Captains Card 2'!J$39:J$46,small('Captains Card 2'!J$39:J$46,J$19)),0))</f>
        <v>0</v>
      </c>
      <c r="K26" s="492">
        <f>if('Captains Card 2'!K44&lt;small('Captains Card 2'!K$39:K$46,K$19),1,if('Captains Card 2'!K44=small('Captains Card 2'!K$39:K$46,K$19),(K$19-countif('Captains Card 2'!K$39:K$46,"&lt;"&amp;small('Captains Card 2'!K$39:K$46,K$19)))/countif('Captains Card 2'!K$39:K$46,small('Captains Card 2'!K$39:K$46,K$19)),0))</f>
        <v>0</v>
      </c>
      <c r="L26" s="492">
        <f>if('Captains Card 2'!L44&lt;small('Captains Card 2'!L$39:L$46,L$19),1,if('Captains Card 2'!L44=small('Captains Card 2'!L$39:L$46,L$19),(L$19-countif('Captains Card 2'!L$39:L$46,"&lt;"&amp;small('Captains Card 2'!L$39:L$46,L$19)))/countif('Captains Card 2'!L$39:L$46,small('Captains Card 2'!L$39:L$46,L$19)),0))</f>
        <v>1</v>
      </c>
      <c r="M26" s="492">
        <f>if('Captains Card 2'!M44&lt;small('Captains Card 2'!M$39:M$46,M$19),1,if('Captains Card 2'!M44=small('Captains Card 2'!M$39:M$46,M$19),(M$19-countif('Captains Card 2'!M$39:M$46,"&lt;"&amp;small('Captains Card 2'!M$39:M$46,M$19)))/countif('Captains Card 2'!M$39:M$46,small('Captains Card 2'!M$39:M$46,M$19)),0))</f>
        <v>0</v>
      </c>
      <c r="N26" s="470"/>
      <c r="O26" s="959"/>
      <c r="P26" s="470"/>
      <c r="Q26" s="492">
        <f>if('Captains Card 2'!Q44&lt;small('Captains Card 2'!Q$39:Q$46,Q$19),1,if('Captains Card 2'!Q44=small('Captains Card 2'!Q$39:Q$46,Q$19),(Q$19-countif('Captains Card 2'!Q$39:Q$46,"&lt;"&amp;small('Captains Card 2'!Q$39:Q$46,Q$19)))/countif('Captains Card 2'!Q$39:Q$46,small('Captains Card 2'!Q$39:Q$46,Q$19)),0))</f>
        <v>1</v>
      </c>
      <c r="R26" s="492">
        <f>if('Captains Card 2'!R44&lt;small('Captains Card 2'!R$39:R$46,R$19),1,if('Captains Card 2'!R44=small('Captains Card 2'!R$39:R$46,R$19),(R$19-countif('Captains Card 2'!R$39:R$46,"&lt;"&amp;small('Captains Card 2'!R$39:R$46,R$19)))/countif('Captains Card 2'!R$39:R$46,small('Captains Card 2'!R$39:R$46,R$19)),0))</f>
        <v>1</v>
      </c>
      <c r="S26" s="492">
        <f>if('Captains Card 2'!S44&lt;small('Captains Card 2'!S$39:S$46,S$19),1,if('Captains Card 2'!S44=small('Captains Card 2'!S$39:S$46,S$19),(S$19-countif('Captains Card 2'!S$39:S$46,"&lt;"&amp;small('Captains Card 2'!S$39:S$46,S$19)))/countif('Captains Card 2'!S$39:S$46,small('Captains Card 2'!S$39:S$46,S$19)),0))</f>
        <v>0</v>
      </c>
      <c r="T26" s="492">
        <f>if('Captains Card 2'!T44&lt;small('Captains Card 2'!T$39:T$46,T$19),1,if('Captains Card 2'!T44=small('Captains Card 2'!T$39:T$46,T$19),(T$19-countif('Captains Card 2'!T$39:T$46,"&lt;"&amp;small('Captains Card 2'!T$39:T$46,T$19)))/countif('Captains Card 2'!T$39:T$46,small('Captains Card 2'!T$39:T$46,T$19)),0))</f>
        <v>1</v>
      </c>
      <c r="U26" s="492">
        <f>if('Captains Card 2'!U44&lt;small('Captains Card 2'!U$39:U$46,U$19),1,if('Captains Card 2'!U44=small('Captains Card 2'!U$39:U$46,U$19),(U$19-countif('Captains Card 2'!U$39:U$46,"&lt;"&amp;small('Captains Card 2'!U$39:U$46,U$19)))/countif('Captains Card 2'!U$39:U$46,small('Captains Card 2'!U$39:U$46,U$19)),0))</f>
        <v>1</v>
      </c>
      <c r="V26" s="492">
        <f>if('Captains Card 2'!V44&lt;small('Captains Card 2'!V$39:V$46,V$19),1,if('Captains Card 2'!V44=small('Captains Card 2'!V$39:V$46,V$19),(V$19-countif('Captains Card 2'!V$39:V$46,"&lt;"&amp;small('Captains Card 2'!V$39:V$46,V$19)))/countif('Captains Card 2'!V$39:V$46,small('Captains Card 2'!V$39:V$46,V$19)),0))</f>
        <v>1</v>
      </c>
      <c r="W26" s="492">
        <f>if('Captains Card 2'!W44&lt;small('Captains Card 2'!W$39:W$46,W$19),1,if('Captains Card 2'!W44=small('Captains Card 2'!W$39:W$46,W$19),(W$19-countif('Captains Card 2'!W$39:W$46,"&lt;"&amp;small('Captains Card 2'!W$39:W$46,W$19)))/countif('Captains Card 2'!W$39:W$46,small('Captains Card 2'!W$39:W$46,W$19)),0))</f>
        <v>1</v>
      </c>
      <c r="X26" s="492">
        <f>if('Captains Card 2'!X44&lt;small('Captains Card 2'!X$39:X$46,X$19),1,if('Captains Card 2'!X44=small('Captains Card 2'!X$39:X$46,X$19),(X$19-countif('Captains Card 2'!X$39:X$46,"&lt;"&amp;small('Captains Card 2'!X$39:X$46,X$19)))/countif('Captains Card 2'!X$39:X$46,small('Captains Card 2'!X$39:X$46,X$19)),0))</f>
        <v>1</v>
      </c>
      <c r="Y26" s="492">
        <f>if('Captains Card 2'!Y44&lt;small('Captains Card 2'!Y$39:Y$46,Y$19),1,if('Captains Card 2'!Y44=small('Captains Card 2'!Y$39:Y$46,Y$19),(Y$19-countif('Captains Card 2'!Y$39:Y$46,"&lt;"&amp;small('Captains Card 2'!Y$39:Y$46,Y$19)))/countif('Captains Card 2'!Y$39:Y$46,small('Captains Card 2'!Y$39:Y$46,Y$19)),0))</f>
        <v>1</v>
      </c>
      <c r="Z26" s="957">
        <f t="shared" si="17"/>
        <v>9.75</v>
      </c>
      <c r="AA26" s="958">
        <f t="shared" si="18"/>
        <v>6</v>
      </c>
      <c r="AB26" s="492">
        <f t="shared" si="19"/>
        <v>1.625</v>
      </c>
    </row>
    <row r="27" ht="18.75" hidden="1" customHeight="1">
      <c r="A27" s="649" t="str">
        <f>A14</f>
        <v>R-Mac</v>
      </c>
      <c r="B27" s="649"/>
      <c r="C27" s="650"/>
      <c r="D27" s="650"/>
      <c r="E27" s="492">
        <f>if('Captains Card 2'!E45&lt;small('Captains Card 2'!E$39:E$46,E$19),1,if('Captains Card 2'!E45=small('Captains Card 2'!E$39:E$46,E$19),(E$19-countif('Captains Card 2'!E$39:E$46,"&lt;"&amp;small('Captains Card 2'!E$39:E$46,E$19)))/countif('Captains Card 2'!E$39:E$46,small('Captains Card 2'!E$39:E$46,E$19)),0))</f>
        <v>1</v>
      </c>
      <c r="F27" s="492">
        <f>if('Captains Card 2'!F45&lt;small('Captains Card 2'!F$39:F$46,F$19),1,if('Captains Card 2'!F45=small('Captains Card 2'!F$39:F$46,F$19),(F$19-countif('Captains Card 2'!F$39:F$46,"&lt;"&amp;small('Captains Card 2'!F$39:F$46,F$19)))/countif('Captains Card 2'!F$39:F$46,small('Captains Card 2'!F$39:F$46,F$19)),0))</f>
        <v>0.3333333333</v>
      </c>
      <c r="G27" s="492">
        <f>if('Captains Card 2'!G45&lt;small('Captains Card 2'!G$39:G$46,G$19),1,if('Captains Card 2'!G45=small('Captains Card 2'!G$39:G$46,G$19),(G$19-countif('Captains Card 2'!G$39:G$46,"&lt;"&amp;small('Captains Card 2'!G$39:G$46,G$19)))/countif('Captains Card 2'!G$39:G$46,small('Captains Card 2'!G$39:G$46,G$19)),0))</f>
        <v>0</v>
      </c>
      <c r="H27" s="492">
        <f>if('Captains Card 2'!H45&lt;small('Captains Card 2'!H$39:H$46,H$19),1,if('Captains Card 2'!H45=small('Captains Card 2'!H$39:H$46,H$19),(H$19-countif('Captains Card 2'!H$39:H$46,"&lt;"&amp;small('Captains Card 2'!H$39:H$46,H$19)))/countif('Captains Card 2'!H$39:H$46,small('Captains Card 2'!H$39:H$46,H$19)),0))</f>
        <v>1</v>
      </c>
      <c r="I27" s="492">
        <f>if('Captains Card 2'!I45&lt;small('Captains Card 2'!I$39:I$46,I$19),1,if('Captains Card 2'!I45=small('Captains Card 2'!I$39:I$46,I$19),(I$19-countif('Captains Card 2'!I$39:I$46,"&lt;"&amp;small('Captains Card 2'!I$39:I$46,I$19)))/countif('Captains Card 2'!I$39:I$46,small('Captains Card 2'!I$39:I$46,I$19)),0))</f>
        <v>0.3333333333</v>
      </c>
      <c r="J27" s="492">
        <f>if('Captains Card 2'!J45&lt;small('Captains Card 2'!J$39:J$46,J$19),1,if('Captains Card 2'!J45=small('Captains Card 2'!J$39:J$46,J$19),(J$19-countif('Captains Card 2'!J$39:J$46,"&lt;"&amp;small('Captains Card 2'!J$39:J$46,J$19)))/countif('Captains Card 2'!J$39:J$46,small('Captains Card 2'!J$39:J$46,J$19)),0))</f>
        <v>1</v>
      </c>
      <c r="K27" s="492">
        <f>if('Captains Card 2'!K45&lt;small('Captains Card 2'!K$39:K$46,K$19),1,if('Captains Card 2'!K45=small('Captains Card 2'!K$39:K$46,K$19),(K$19-countif('Captains Card 2'!K$39:K$46,"&lt;"&amp;small('Captains Card 2'!K$39:K$46,K$19)))/countif('Captains Card 2'!K$39:K$46,small('Captains Card 2'!K$39:K$46,K$19)),0))</f>
        <v>0.3333333333</v>
      </c>
      <c r="L27" s="492">
        <f>if('Captains Card 2'!L45&lt;small('Captains Card 2'!L$39:L$46,L$19),1,if('Captains Card 2'!L45=small('Captains Card 2'!L$39:L$46,L$19),(L$19-countif('Captains Card 2'!L$39:L$46,"&lt;"&amp;small('Captains Card 2'!L$39:L$46,L$19)))/countif('Captains Card 2'!L$39:L$46,small('Captains Card 2'!L$39:L$46,L$19)),0))</f>
        <v>0</v>
      </c>
      <c r="M27" s="492">
        <f>if('Captains Card 2'!M45&lt;small('Captains Card 2'!M$39:M$46,M$19),1,if('Captains Card 2'!M45=small('Captains Card 2'!M$39:M$46,M$19),(M$19-countif('Captains Card 2'!M$39:M$46,"&lt;"&amp;small('Captains Card 2'!M$39:M$46,M$19)))/countif('Captains Card 2'!M$39:M$46,small('Captains Card 2'!M$39:M$46,M$19)),0))</f>
        <v>1</v>
      </c>
      <c r="N27" s="470"/>
      <c r="O27" s="959"/>
      <c r="P27" s="470"/>
      <c r="Q27" s="492">
        <f>if('Captains Card 2'!Q45&lt;small('Captains Card 2'!Q$39:Q$46,Q$19),1,if('Captains Card 2'!Q45=small('Captains Card 2'!Q$39:Q$46,Q$19),(Q$19-countif('Captains Card 2'!Q$39:Q$46,"&lt;"&amp;small('Captains Card 2'!Q$39:Q$46,Q$19)))/countif('Captains Card 2'!Q$39:Q$46,small('Captains Card 2'!Q$39:Q$46,Q$19)),0))</f>
        <v>1</v>
      </c>
      <c r="R27" s="492">
        <f>if('Captains Card 2'!R45&lt;small('Captains Card 2'!R$39:R$46,R$19),1,if('Captains Card 2'!R45=small('Captains Card 2'!R$39:R$46,R$19),(R$19-countif('Captains Card 2'!R$39:R$46,"&lt;"&amp;small('Captains Card 2'!R$39:R$46,R$19)))/countif('Captains Card 2'!R$39:R$46,small('Captains Card 2'!R$39:R$46,R$19)),0))</f>
        <v>0.6666666667</v>
      </c>
      <c r="S27" s="492">
        <f>if('Captains Card 2'!S45&lt;small('Captains Card 2'!S$39:S$46,S$19),1,if('Captains Card 2'!S45=small('Captains Card 2'!S$39:S$46,S$19),(S$19-countif('Captains Card 2'!S$39:S$46,"&lt;"&amp;small('Captains Card 2'!S$39:S$46,S$19)))/countif('Captains Card 2'!S$39:S$46,small('Captains Card 2'!S$39:S$46,S$19)),0))</f>
        <v>1</v>
      </c>
      <c r="T27" s="492">
        <f>if('Captains Card 2'!T45&lt;small('Captains Card 2'!T$39:T$46,T$19),1,if('Captains Card 2'!T45=small('Captains Card 2'!T$39:T$46,T$19),(T$19-countif('Captains Card 2'!T$39:T$46,"&lt;"&amp;small('Captains Card 2'!T$39:T$46,T$19)))/countif('Captains Card 2'!T$39:T$46,small('Captains Card 2'!T$39:T$46,T$19)),0))</f>
        <v>0.6666666667</v>
      </c>
      <c r="U27" s="492">
        <f>if('Captains Card 2'!U45&lt;small('Captains Card 2'!U$39:U$46,U$19),1,if('Captains Card 2'!U45=small('Captains Card 2'!U$39:U$46,U$19),(U$19-countif('Captains Card 2'!U$39:U$46,"&lt;"&amp;small('Captains Card 2'!U$39:U$46,U$19)))/countif('Captains Card 2'!U$39:U$46,small('Captains Card 2'!U$39:U$46,U$19)),0))</f>
        <v>1</v>
      </c>
      <c r="V27" s="492">
        <f>if('Captains Card 2'!V45&lt;small('Captains Card 2'!V$39:V$46,V$19),1,if('Captains Card 2'!V45=small('Captains Card 2'!V$39:V$46,V$19),(V$19-countif('Captains Card 2'!V$39:V$46,"&lt;"&amp;small('Captains Card 2'!V$39:V$46,V$19)))/countif('Captains Card 2'!V$39:V$46,small('Captains Card 2'!V$39:V$46,V$19)),0))</f>
        <v>1</v>
      </c>
      <c r="W27" s="492">
        <f>if('Captains Card 2'!W45&lt;small('Captains Card 2'!W$39:W$46,W$19),1,if('Captains Card 2'!W45=small('Captains Card 2'!W$39:W$46,W$19),(W$19-countif('Captains Card 2'!W$39:W$46,"&lt;"&amp;small('Captains Card 2'!W$39:W$46,W$19)))/countif('Captains Card 2'!W$39:W$46,small('Captains Card 2'!W$39:W$46,W$19)),0))</f>
        <v>0.6666666667</v>
      </c>
      <c r="X27" s="492">
        <f>if('Captains Card 2'!X45&lt;small('Captains Card 2'!X$39:X$46,X$19),1,if('Captains Card 2'!X45=small('Captains Card 2'!X$39:X$46,X$19),(X$19-countif('Captains Card 2'!X$39:X$46,"&lt;"&amp;small('Captains Card 2'!X$39:X$46,X$19)))/countif('Captains Card 2'!X$39:X$46,small('Captains Card 2'!X$39:X$46,X$19)),0))</f>
        <v>0.75</v>
      </c>
      <c r="Y27" s="492">
        <f>if('Captains Card 2'!Y45&lt;small('Captains Card 2'!Y$39:Y$46,Y$19),1,if('Captains Card 2'!Y45=small('Captains Card 2'!Y$39:Y$46,Y$19),(Y$19-countif('Captains Card 2'!Y$39:Y$46,"&lt;"&amp;small('Captains Card 2'!Y$39:Y$46,Y$19)))/countif('Captains Card 2'!Y$39:Y$46,small('Captains Card 2'!Y$39:Y$46,Y$19)),0))</f>
        <v>0</v>
      </c>
      <c r="Z27" s="957">
        <f t="shared" si="17"/>
        <v>11.75</v>
      </c>
      <c r="AA27" s="958">
        <f t="shared" si="18"/>
        <v>7.25</v>
      </c>
      <c r="AB27" s="492">
        <f t="shared" si="19"/>
        <v>1.958333333</v>
      </c>
    </row>
    <row r="28" ht="18.75" hidden="1" customHeight="1">
      <c r="A28" s="649" t="str">
        <f>A17</f>
        <v>Hile</v>
      </c>
      <c r="B28" s="649"/>
      <c r="C28" s="650"/>
      <c r="D28" s="650"/>
      <c r="E28" s="492">
        <f>if('Captains Card 2'!E46&lt;small('Captains Card 2'!E$39:E$46,E$19),1,if('Captains Card 2'!E46=small('Captains Card 2'!E$39:E$46,E$19),(E$19-countif('Captains Card 2'!E$39:E$46,"&lt;"&amp;small('Captains Card 2'!E$39:E$46,E$19)))/countif('Captains Card 2'!E$39:E$46,small('Captains Card 2'!E$39:E$46,E$19)),0))</f>
        <v>0.5</v>
      </c>
      <c r="F28" s="492">
        <f>if('Captains Card 2'!F46&lt;small('Captains Card 2'!F$39:F$46,F$19),1,if('Captains Card 2'!F46=small('Captains Card 2'!F$39:F$46,F$19),(F$19-countif('Captains Card 2'!F$39:F$46,"&lt;"&amp;small('Captains Card 2'!F$39:F$46,F$19)))/countif('Captains Card 2'!F$39:F$46,small('Captains Card 2'!F$39:F$46,F$19)),0))</f>
        <v>1</v>
      </c>
      <c r="G28" s="492">
        <f>if('Captains Card 2'!G46&lt;small('Captains Card 2'!G$39:G$46,G$19),1,if('Captains Card 2'!G46=small('Captains Card 2'!G$39:G$46,G$19),(G$19-countif('Captains Card 2'!G$39:G$46,"&lt;"&amp;small('Captains Card 2'!G$39:G$46,G$19)))/countif('Captains Card 2'!G$39:G$46,small('Captains Card 2'!G$39:G$46,G$19)),0))</f>
        <v>1</v>
      </c>
      <c r="H28" s="492">
        <f>if('Captains Card 2'!H46&lt;small('Captains Card 2'!H$39:H$46,H$19),1,if('Captains Card 2'!H46=small('Captains Card 2'!H$39:H$46,H$19),(H$19-countif('Captains Card 2'!H$39:H$46,"&lt;"&amp;small('Captains Card 2'!H$39:H$46,H$19)))/countif('Captains Card 2'!H$39:H$46,small('Captains Card 2'!H$39:H$46,H$19)),0))</f>
        <v>1</v>
      </c>
      <c r="I28" s="492">
        <f>if('Captains Card 2'!I46&lt;small('Captains Card 2'!I$39:I$46,I$19),1,if('Captains Card 2'!I46=small('Captains Card 2'!I$39:I$46,I$19),(I$19-countif('Captains Card 2'!I$39:I$46,"&lt;"&amp;small('Captains Card 2'!I$39:I$46,I$19)))/countif('Captains Card 2'!I$39:I$46,small('Captains Card 2'!I$39:I$46,I$19)),0))</f>
        <v>1</v>
      </c>
      <c r="J28" s="492">
        <f>if('Captains Card 2'!J46&lt;small('Captains Card 2'!J$39:J$46,J$19),1,if('Captains Card 2'!J46=small('Captains Card 2'!J$39:J$46,J$19),(J$19-countif('Captains Card 2'!J$39:J$46,"&lt;"&amp;small('Captains Card 2'!J$39:J$46,J$19)))/countif('Captains Card 2'!J$39:J$46,small('Captains Card 2'!J$39:J$46,J$19)),0))</f>
        <v>0</v>
      </c>
      <c r="K28" s="492">
        <f>if('Captains Card 2'!K46&lt;small('Captains Card 2'!K$39:K$46,K$19),1,if('Captains Card 2'!K46=small('Captains Card 2'!K$39:K$46,K$19),(K$19-countif('Captains Card 2'!K$39:K$46,"&lt;"&amp;small('Captains Card 2'!K$39:K$46,K$19)))/countif('Captains Card 2'!K$39:K$46,small('Captains Card 2'!K$39:K$46,K$19)),0))</f>
        <v>1</v>
      </c>
      <c r="L28" s="492">
        <f>if('Captains Card 2'!L46&lt;small('Captains Card 2'!L$39:L$46,L$19),1,if('Captains Card 2'!L46=small('Captains Card 2'!L$39:L$46,L$19),(L$19-countif('Captains Card 2'!L$39:L$46,"&lt;"&amp;small('Captains Card 2'!L$39:L$46,L$19)))/countif('Captains Card 2'!L$39:L$46,small('Captains Card 2'!L$39:L$46,L$19)),0))</f>
        <v>1</v>
      </c>
      <c r="M28" s="492">
        <f>if('Captains Card 2'!M46&lt;small('Captains Card 2'!M$39:M$46,M$19),1,if('Captains Card 2'!M46=small('Captains Card 2'!M$39:M$46,M$19),(M$19-countif('Captains Card 2'!M$39:M$46,"&lt;"&amp;small('Captains Card 2'!M$39:M$46,M$19)))/countif('Captains Card 2'!M$39:M$46,small('Captains Card 2'!M$39:M$46,M$19)),0))</f>
        <v>0</v>
      </c>
      <c r="N28" s="470"/>
      <c r="O28" s="959"/>
      <c r="P28" s="470"/>
      <c r="Q28" s="492">
        <f>if('Captains Card 2'!Q46&lt;small('Captains Card 2'!Q$39:Q$46,Q$19),1,if('Captains Card 2'!Q46=small('Captains Card 2'!Q$39:Q$46,Q$19),(Q$19-countif('Captains Card 2'!Q$39:Q$46,"&lt;"&amp;small('Captains Card 2'!Q$39:Q$46,Q$19)))/countif('Captains Card 2'!Q$39:Q$46,small('Captains Card 2'!Q$39:Q$46,Q$19)),0))</f>
        <v>1</v>
      </c>
      <c r="R28" s="492">
        <f>if('Captains Card 2'!R46&lt;small('Captains Card 2'!R$39:R$46,R$19),1,if('Captains Card 2'!R46=small('Captains Card 2'!R$39:R$46,R$19),(R$19-countif('Captains Card 2'!R$39:R$46,"&lt;"&amp;small('Captains Card 2'!R$39:R$46,R$19)))/countif('Captains Card 2'!R$39:R$46,small('Captains Card 2'!R$39:R$46,R$19)),0))</f>
        <v>0.6666666667</v>
      </c>
      <c r="S28" s="492">
        <f>if('Captains Card 2'!S46&lt;small('Captains Card 2'!S$39:S$46,S$19),1,if('Captains Card 2'!S46=small('Captains Card 2'!S$39:S$46,S$19),(S$19-countif('Captains Card 2'!S$39:S$46,"&lt;"&amp;small('Captains Card 2'!S$39:S$46,S$19)))/countif('Captains Card 2'!S$39:S$46,small('Captains Card 2'!S$39:S$46,S$19)),0))</f>
        <v>1</v>
      </c>
      <c r="T28" s="492">
        <f>if('Captains Card 2'!T46&lt;small('Captains Card 2'!T$39:T$46,T$19),1,if('Captains Card 2'!T46=small('Captains Card 2'!T$39:T$46,T$19),(T$19-countif('Captains Card 2'!T$39:T$46,"&lt;"&amp;small('Captains Card 2'!T$39:T$46,T$19)))/countif('Captains Card 2'!T$39:T$46,small('Captains Card 2'!T$39:T$46,T$19)),0))</f>
        <v>1</v>
      </c>
      <c r="U28" s="492">
        <f>if('Captains Card 2'!U46&lt;small('Captains Card 2'!U$39:U$46,U$19),1,if('Captains Card 2'!U46=small('Captains Card 2'!U$39:U$46,U$19),(U$19-countif('Captains Card 2'!U$39:U$46,"&lt;"&amp;small('Captains Card 2'!U$39:U$46,U$19)))/countif('Captains Card 2'!U$39:U$46,small('Captains Card 2'!U$39:U$46,U$19)),0))</f>
        <v>1</v>
      </c>
      <c r="V28" s="492">
        <f>if('Captains Card 2'!V46&lt;small('Captains Card 2'!V$39:V$46,V$19),1,if('Captains Card 2'!V46=small('Captains Card 2'!V$39:V$46,V$19),(V$19-countif('Captains Card 2'!V$39:V$46,"&lt;"&amp;small('Captains Card 2'!V$39:V$46,V$19)))/countif('Captains Card 2'!V$39:V$46,small('Captains Card 2'!V$39:V$46,V$19)),0))</f>
        <v>0.3333333333</v>
      </c>
      <c r="W28" s="492">
        <f>if('Captains Card 2'!W46&lt;small('Captains Card 2'!W$39:W$46,W$19),1,if('Captains Card 2'!W46=small('Captains Card 2'!W$39:W$46,W$19),(W$19-countif('Captains Card 2'!W$39:W$46,"&lt;"&amp;small('Captains Card 2'!W$39:W$46,W$19)))/countif('Captains Card 2'!W$39:W$46,small('Captains Card 2'!W$39:W$46,W$19)),0))</f>
        <v>1</v>
      </c>
      <c r="X28" s="492">
        <f>if('Captains Card 2'!X46&lt;small('Captains Card 2'!X$39:X$46,X$19),1,if('Captains Card 2'!X46=small('Captains Card 2'!X$39:X$46,X$19),(X$19-countif('Captains Card 2'!X$39:X$46,"&lt;"&amp;small('Captains Card 2'!X$39:X$46,X$19)))/countif('Captains Card 2'!X$39:X$46,small('Captains Card 2'!X$39:X$46,X$19)),0))</f>
        <v>0</v>
      </c>
      <c r="Y28" s="492">
        <f>if('Captains Card 2'!Y46&lt;small('Captains Card 2'!Y$39:Y$46,Y$19),1,if('Captains Card 2'!Y46=small('Captains Card 2'!Y$39:Y$46,Y$19),(Y$19-countif('Captains Card 2'!Y$39:Y$46,"&lt;"&amp;small('Captains Card 2'!Y$39:Y$46,Y$19)))/countif('Captains Card 2'!Y$39:Y$46,small('Captains Card 2'!Y$39:Y$46,Y$19)),0))</f>
        <v>1</v>
      </c>
      <c r="Z28" s="957">
        <f t="shared" si="17"/>
        <v>13.5</v>
      </c>
      <c r="AA28" s="958">
        <f t="shared" si="18"/>
        <v>8.25</v>
      </c>
      <c r="AB28" s="492">
        <f t="shared" si="19"/>
        <v>2.25</v>
      </c>
    </row>
    <row r="29" ht="18.75" hidden="1" customHeight="1">
      <c r="A29" s="649"/>
      <c r="B29" s="649"/>
      <c r="C29" s="649"/>
      <c r="D29" s="649"/>
      <c r="E29" s="470"/>
      <c r="F29" s="470"/>
      <c r="G29" s="470"/>
      <c r="H29" s="470"/>
      <c r="I29" s="470"/>
      <c r="J29" s="470"/>
      <c r="K29" s="470"/>
      <c r="L29" s="470"/>
      <c r="M29" s="470"/>
      <c r="N29" s="470"/>
      <c r="O29" s="959"/>
      <c r="P29" s="470"/>
      <c r="Q29" s="470"/>
      <c r="R29" s="470"/>
      <c r="S29" s="470"/>
      <c r="T29" s="470"/>
      <c r="U29" s="470"/>
      <c r="V29" s="470"/>
      <c r="W29" s="470"/>
      <c r="X29" s="470"/>
      <c r="Y29" s="470"/>
      <c r="Z29" s="492">
        <f>sum(Z25:Z28)</f>
        <v>49</v>
      </c>
      <c r="AA29" s="959"/>
      <c r="AB29" s="470"/>
    </row>
    <row r="30" ht="18.75" hidden="1" customHeight="1">
      <c r="A30" s="649" t="str">
        <f t="shared" ref="A30:A33" si="22">A25</f>
        <v>KJ</v>
      </c>
      <c r="B30" s="649"/>
      <c r="C30" s="649"/>
      <c r="D30" s="649"/>
      <c r="E30" s="492">
        <f t="shared" ref="E30:M30" si="20">(E25/E$19)*E$24</f>
        <v>0.05</v>
      </c>
      <c r="F30" s="492">
        <f t="shared" si="20"/>
        <v>0.2</v>
      </c>
      <c r="G30" s="492">
        <f t="shared" si="20"/>
        <v>0</v>
      </c>
      <c r="H30" s="492">
        <f t="shared" si="20"/>
        <v>0.05</v>
      </c>
      <c r="I30" s="492">
        <f t="shared" si="20"/>
        <v>0.1</v>
      </c>
      <c r="J30" s="492">
        <f t="shared" si="20"/>
        <v>0.1</v>
      </c>
      <c r="K30" s="492">
        <f t="shared" si="20"/>
        <v>0.1</v>
      </c>
      <c r="L30" s="492">
        <f t="shared" si="20"/>
        <v>0.1</v>
      </c>
      <c r="M30" s="492">
        <f t="shared" si="20"/>
        <v>0.2</v>
      </c>
      <c r="N30" s="470"/>
      <c r="O30" s="959"/>
      <c r="P30" s="470"/>
      <c r="Q30" s="492">
        <f t="shared" ref="Q30:Y30" si="21">(Q25/Q$19)*Q$24</f>
        <v>0.3333333333</v>
      </c>
      <c r="R30" s="492">
        <f t="shared" si="21"/>
        <v>0</v>
      </c>
      <c r="S30" s="492">
        <f t="shared" si="21"/>
        <v>0.08333333333</v>
      </c>
      <c r="T30" s="492">
        <f t="shared" si="21"/>
        <v>0.2222222222</v>
      </c>
      <c r="U30" s="492">
        <f t="shared" si="21"/>
        <v>0</v>
      </c>
      <c r="V30" s="492">
        <f t="shared" si="21"/>
        <v>0</v>
      </c>
      <c r="W30" s="492">
        <f t="shared" si="21"/>
        <v>0.3333333333</v>
      </c>
      <c r="X30" s="492">
        <f t="shared" si="21"/>
        <v>0.25</v>
      </c>
      <c r="Y30" s="492">
        <f t="shared" si="21"/>
        <v>0.3333333333</v>
      </c>
      <c r="Z30" s="470"/>
      <c r="AA30" s="470"/>
      <c r="AB30" s="960">
        <f t="shared" ref="AB30:AB33" si="25">AB25/$AB$24</f>
        <v>0.1414141414</v>
      </c>
    </row>
    <row r="31" ht="18.75" hidden="1" customHeight="1">
      <c r="A31" s="649" t="str">
        <f t="shared" si="22"/>
        <v>T-Mo</v>
      </c>
      <c r="B31" s="649"/>
      <c r="C31" s="649"/>
      <c r="D31" s="649"/>
      <c r="E31" s="492">
        <f t="shared" ref="E31:M31" si="23">(E26/E$19)*E$24</f>
        <v>0.05</v>
      </c>
      <c r="F31" s="492">
        <f t="shared" si="23"/>
        <v>0</v>
      </c>
      <c r="G31" s="492">
        <f t="shared" si="23"/>
        <v>0</v>
      </c>
      <c r="H31" s="492">
        <f t="shared" si="23"/>
        <v>0.05</v>
      </c>
      <c r="I31" s="492">
        <f t="shared" si="23"/>
        <v>0</v>
      </c>
      <c r="J31" s="492">
        <f t="shared" si="23"/>
        <v>0</v>
      </c>
      <c r="K31" s="492">
        <f t="shared" si="23"/>
        <v>0</v>
      </c>
      <c r="L31" s="492">
        <f t="shared" si="23"/>
        <v>0.1</v>
      </c>
      <c r="M31" s="492">
        <f t="shared" si="23"/>
        <v>0</v>
      </c>
      <c r="N31" s="470"/>
      <c r="O31" s="959"/>
      <c r="P31" s="470"/>
      <c r="Q31" s="492">
        <f t="shared" ref="Q31:Y31" si="24">(Q26/Q$19)*Q$24</f>
        <v>0.3333333333</v>
      </c>
      <c r="R31" s="492">
        <f t="shared" si="24"/>
        <v>0</v>
      </c>
      <c r="S31" s="492">
        <f t="shared" si="24"/>
        <v>0</v>
      </c>
      <c r="T31" s="492">
        <f t="shared" si="24"/>
        <v>0.3333333333</v>
      </c>
      <c r="U31" s="492">
        <f t="shared" si="24"/>
        <v>0</v>
      </c>
      <c r="V31" s="492">
        <f t="shared" si="24"/>
        <v>0</v>
      </c>
      <c r="W31" s="492">
        <f t="shared" si="24"/>
        <v>0.3333333333</v>
      </c>
      <c r="X31" s="492">
        <f t="shared" si="24"/>
        <v>0.3333333333</v>
      </c>
      <c r="Y31" s="492">
        <f t="shared" si="24"/>
        <v>0.3333333333</v>
      </c>
      <c r="Z31" s="470"/>
      <c r="AA31" s="470"/>
      <c r="AB31" s="960">
        <f t="shared" si="25"/>
        <v>0.09848484848</v>
      </c>
    </row>
    <row r="32" ht="18.75" hidden="1" customHeight="1">
      <c r="A32" s="649" t="str">
        <f t="shared" si="22"/>
        <v>R-Mac</v>
      </c>
      <c r="B32" s="649"/>
      <c r="C32" s="649"/>
      <c r="D32" s="649"/>
      <c r="E32" s="492">
        <f t="shared" ref="E32:M32" si="26">(E27/E$19)*E$24</f>
        <v>0.1</v>
      </c>
      <c r="F32" s="492">
        <f t="shared" si="26"/>
        <v>0.06666666667</v>
      </c>
      <c r="G32" s="492">
        <f t="shared" si="26"/>
        <v>0</v>
      </c>
      <c r="H32" s="492">
        <f t="shared" si="26"/>
        <v>0.2</v>
      </c>
      <c r="I32" s="492">
        <f t="shared" si="26"/>
        <v>0.03333333333</v>
      </c>
      <c r="J32" s="492">
        <f t="shared" si="26"/>
        <v>0.1</v>
      </c>
      <c r="K32" s="492">
        <f t="shared" si="26"/>
        <v>0.03333333333</v>
      </c>
      <c r="L32" s="492">
        <f t="shared" si="26"/>
        <v>0</v>
      </c>
      <c r="M32" s="492">
        <f t="shared" si="26"/>
        <v>0.2</v>
      </c>
      <c r="N32" s="470"/>
      <c r="O32" s="959"/>
      <c r="P32" s="470"/>
      <c r="Q32" s="492">
        <f t="shared" ref="Q32:Y32" si="27">(Q27/Q$19)*Q$24</f>
        <v>0.3333333333</v>
      </c>
      <c r="R32" s="492">
        <f t="shared" si="27"/>
        <v>0</v>
      </c>
      <c r="S32" s="492">
        <f t="shared" si="27"/>
        <v>0.1666666667</v>
      </c>
      <c r="T32" s="492">
        <f t="shared" si="27"/>
        <v>0.2222222222</v>
      </c>
      <c r="U32" s="492">
        <f t="shared" si="27"/>
        <v>0</v>
      </c>
      <c r="V32" s="492">
        <f t="shared" si="27"/>
        <v>0</v>
      </c>
      <c r="W32" s="492">
        <f t="shared" si="27"/>
        <v>0.2222222222</v>
      </c>
      <c r="X32" s="492">
        <f t="shared" si="27"/>
        <v>0.25</v>
      </c>
      <c r="Y32" s="492">
        <f t="shared" si="27"/>
        <v>0</v>
      </c>
      <c r="Z32" s="470"/>
      <c r="AA32" s="470"/>
      <c r="AB32" s="960">
        <f t="shared" si="25"/>
        <v>0.1186868687</v>
      </c>
    </row>
    <row r="33" ht="18.75" hidden="1" customHeight="1">
      <c r="A33" s="649" t="str">
        <f t="shared" si="22"/>
        <v>Hile</v>
      </c>
      <c r="B33" s="649"/>
      <c r="C33" s="649"/>
      <c r="D33" s="649"/>
      <c r="E33" s="492">
        <f t="shared" ref="E33:M33" si="28">(E28/E$19)*E$24</f>
        <v>0.05</v>
      </c>
      <c r="F33" s="492">
        <f t="shared" si="28"/>
        <v>0.2</v>
      </c>
      <c r="G33" s="492">
        <f t="shared" si="28"/>
        <v>0</v>
      </c>
      <c r="H33" s="492">
        <f t="shared" si="28"/>
        <v>0.2</v>
      </c>
      <c r="I33" s="492">
        <f t="shared" si="28"/>
        <v>0.1</v>
      </c>
      <c r="J33" s="492">
        <f t="shared" si="28"/>
        <v>0</v>
      </c>
      <c r="K33" s="492">
        <f t="shared" si="28"/>
        <v>0.1</v>
      </c>
      <c r="L33" s="492">
        <f t="shared" si="28"/>
        <v>0.1</v>
      </c>
      <c r="M33" s="492">
        <f t="shared" si="28"/>
        <v>0</v>
      </c>
      <c r="N33" s="470"/>
      <c r="O33" s="959"/>
      <c r="P33" s="470"/>
      <c r="Q33" s="492">
        <f t="shared" ref="Q33:Y33" si="29">(Q28/Q$19)*Q$24</f>
        <v>0.3333333333</v>
      </c>
      <c r="R33" s="492">
        <f t="shared" si="29"/>
        <v>0</v>
      </c>
      <c r="S33" s="492">
        <f t="shared" si="29"/>
        <v>0.1666666667</v>
      </c>
      <c r="T33" s="492">
        <f t="shared" si="29"/>
        <v>0.3333333333</v>
      </c>
      <c r="U33" s="492">
        <f t="shared" si="29"/>
        <v>0</v>
      </c>
      <c r="V33" s="492">
        <f t="shared" si="29"/>
        <v>0</v>
      </c>
      <c r="W33" s="492">
        <f t="shared" si="29"/>
        <v>0.3333333333</v>
      </c>
      <c r="X33" s="492">
        <f t="shared" si="29"/>
        <v>0</v>
      </c>
      <c r="Y33" s="492">
        <f t="shared" si="29"/>
        <v>0.3333333333</v>
      </c>
      <c r="Z33" s="470"/>
      <c r="AA33" s="470"/>
      <c r="AB33" s="960">
        <f t="shared" si="25"/>
        <v>0.1363636364</v>
      </c>
    </row>
  </sheetData>
  <mergeCells count="1">
    <mergeCell ref="B2:B3"/>
  </mergeCells>
  <conditionalFormatting sqref="E14:M14 Q14:Y14">
    <cfRule type="expression" dxfId="15" priority="1">
      <formula>and(E$23&lt;&gt;"",E$27=1)</formula>
    </cfRule>
  </conditionalFormatting>
  <conditionalFormatting sqref="E17:M17 Q17:Y17">
    <cfRule type="expression" dxfId="15" priority="2">
      <formula>and(E$23&lt;&gt;"",E$28=1)</formula>
    </cfRule>
  </conditionalFormatting>
  <conditionalFormatting sqref="E8:M8 Q8:Y8">
    <cfRule type="expression" dxfId="15" priority="3">
      <formula>and(E$23&lt;&gt;"",E$25=1)</formula>
    </cfRule>
  </conditionalFormatting>
  <conditionalFormatting sqref="E11:M11 Q11:Y11">
    <cfRule type="expression" dxfId="15" priority="4">
      <formula>and(E$23&lt;&gt;"",E$26=1)</formula>
    </cfRule>
  </conditionalFormatting>
  <conditionalFormatting sqref="E14:M14 Q14:Y14">
    <cfRule type="expression" dxfId="2" priority="5">
      <formula>and(E$23&lt;&gt;"",E$27&lt;1,E$27&gt;0)</formula>
    </cfRule>
  </conditionalFormatting>
  <conditionalFormatting sqref="E17:M17 Q17:Y17">
    <cfRule type="expression" dxfId="2" priority="6">
      <formula>and(E$23&lt;&gt;"",E$28&lt;1,E$28&gt;0)</formula>
    </cfRule>
  </conditionalFormatting>
  <conditionalFormatting sqref="E8:M8 Q8:Y8">
    <cfRule type="expression" dxfId="2" priority="7">
      <formula>and(E$23&lt;&gt;"",E$25&lt;1,E$25&gt;0)</formula>
    </cfRule>
  </conditionalFormatting>
  <conditionalFormatting sqref="E11:M11 Q11:Y11">
    <cfRule type="expression" dxfId="2" priority="8">
      <formula>and(E$23&lt;&gt;"",E$26&lt;1,E$26&gt;0)</formula>
    </cfRule>
  </conditionalFormatting>
  <printOptions horizontalCentered="1"/>
  <pageMargins bottom="0.5" footer="0.0" header="0.0" left="0.55" right="0.25" top="0.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11" t="s">
        <v>54</v>
      </c>
      <c r="B1" s="1012">
        <f>'Master Input'!K3</f>
        <v>0.4166666667</v>
      </c>
      <c r="C1" s="1013" t="str">
        <f>'Master Input'!$K$6</f>
        <v>American Dunes - Freedom/WH</v>
      </c>
      <c r="D1" s="1014"/>
      <c r="E1" s="1015"/>
      <c r="F1" s="1015"/>
      <c r="G1" s="1015"/>
      <c r="H1" s="1015"/>
      <c r="I1" s="1015"/>
      <c r="J1" s="1015"/>
      <c r="K1" s="1015"/>
      <c r="L1" s="1015"/>
      <c r="M1" s="1015"/>
      <c r="N1" s="1015"/>
      <c r="O1" s="1014"/>
      <c r="P1" s="1013" t="str">
        <f>'Master Input'!$K$6</f>
        <v>American Dunes - Freedom/WH</v>
      </c>
      <c r="Q1" s="1015"/>
      <c r="R1" s="1015"/>
      <c r="S1" s="1015"/>
      <c r="T1" s="1015"/>
      <c r="U1" s="1015"/>
      <c r="V1" s="1015"/>
      <c r="W1" s="1015"/>
      <c r="X1" s="1015"/>
      <c r="Y1" s="1015"/>
      <c r="Z1" s="1015"/>
      <c r="AA1" s="1016"/>
      <c r="AB1" s="1017"/>
    </row>
    <row r="2" ht="14.25" customHeight="1">
      <c r="A2" s="1018" t="s">
        <v>10</v>
      </c>
      <c r="B2" s="1019" t="str">
        <f>'Match Selection'!B19</f>
        <v>Team Best Ball</v>
      </c>
      <c r="C2" s="1020"/>
      <c r="D2" s="1021" t="s">
        <v>10</v>
      </c>
      <c r="E2" s="1022">
        <v>1.0</v>
      </c>
      <c r="F2" s="1023">
        <v>2.0</v>
      </c>
      <c r="G2" s="1023">
        <v>3.0</v>
      </c>
      <c r="H2" s="1023">
        <v>4.0</v>
      </c>
      <c r="I2" s="1023">
        <v>5.0</v>
      </c>
      <c r="J2" s="1023">
        <v>6.0</v>
      </c>
      <c r="K2" s="1023">
        <v>7.0</v>
      </c>
      <c r="L2" s="1023">
        <v>8.0</v>
      </c>
      <c r="M2" s="1023">
        <v>9.0</v>
      </c>
      <c r="N2" s="1024" t="s">
        <v>60</v>
      </c>
      <c r="O2" s="1025"/>
      <c r="P2" s="1021" t="s">
        <v>10</v>
      </c>
      <c r="Q2" s="1023">
        <v>10.0</v>
      </c>
      <c r="R2" s="1023">
        <v>11.0</v>
      </c>
      <c r="S2" s="1023">
        <v>12.0</v>
      </c>
      <c r="T2" s="1023">
        <v>13.0</v>
      </c>
      <c r="U2" s="1023">
        <v>14.0</v>
      </c>
      <c r="V2" s="1023">
        <v>15.0</v>
      </c>
      <c r="W2" s="1023">
        <v>16.0</v>
      </c>
      <c r="X2" s="1023">
        <v>17.0</v>
      </c>
      <c r="Y2" s="1023">
        <v>18.0</v>
      </c>
      <c r="Z2" s="1024" t="s">
        <v>61</v>
      </c>
      <c r="AA2" s="1026" t="s">
        <v>52</v>
      </c>
      <c r="AB2" s="1026" t="s">
        <v>112</v>
      </c>
    </row>
    <row r="3" ht="14.25" customHeight="1">
      <c r="A3" s="1027" t="s">
        <v>108</v>
      </c>
      <c r="C3" s="1028"/>
      <c r="D3" s="1029" t="s">
        <v>108</v>
      </c>
      <c r="E3" s="1030">
        <f>vlookup($C1, 'Course List'!$A$3:$AS$14,5+E2, false)</f>
        <v>10</v>
      </c>
      <c r="F3" s="1030">
        <f>vlookup($C1, 'Course List'!$A$3:$AS$14,5+F2, false)</f>
        <v>18</v>
      </c>
      <c r="G3" s="1030">
        <f>vlookup($C1, 'Course List'!$A$3:$AS$14,5+G2, false)</f>
        <v>6</v>
      </c>
      <c r="H3" s="1030">
        <f>vlookup($C1, 'Course List'!$A$3:$AS$14,5+H2, false)</f>
        <v>14</v>
      </c>
      <c r="I3" s="1030">
        <f>vlookup($C1, 'Course List'!$A$3:$AS$14,5+I2, false)</f>
        <v>2</v>
      </c>
      <c r="J3" s="1030">
        <f>vlookup($C1, 'Course List'!$A$3:$AS$14,5+J2, false)</f>
        <v>12</v>
      </c>
      <c r="K3" s="1030">
        <f>vlookup($C1, 'Course List'!$A$3:$AS$14,5+K2, false)</f>
        <v>16</v>
      </c>
      <c r="L3" s="1030">
        <f>vlookup($C1, 'Course List'!$A$3:$AS$14,5+L2, false)</f>
        <v>4</v>
      </c>
      <c r="M3" s="1030">
        <f>vlookup($C1, 'Course List'!$A$3:$AS$14,5+M2, false)</f>
        <v>8</v>
      </c>
      <c r="N3" s="1031"/>
      <c r="O3" s="1032"/>
      <c r="P3" s="1029" t="s">
        <v>55</v>
      </c>
      <c r="Q3" s="1030">
        <f>vlookup($C1, 'Course List'!$A$3:$AS$14,5+Q2, false)</f>
        <v>3</v>
      </c>
      <c r="R3" s="1030">
        <f>vlookup($C1, 'Course List'!$A$3:$AS$14,5+R2, false)</f>
        <v>13</v>
      </c>
      <c r="S3" s="1030">
        <f>vlookup($C1, 'Course List'!$A$3:$AS$14,5+S2, false)</f>
        <v>15</v>
      </c>
      <c r="T3" s="1030">
        <f>vlookup($C1, 'Course List'!$A$3:$AS$14,5+T2, false)</f>
        <v>11</v>
      </c>
      <c r="U3" s="1030">
        <f>vlookup($C1, 'Course List'!$A$3:$AS$14,5+U2, false)</f>
        <v>7</v>
      </c>
      <c r="V3" s="1030">
        <f>vlookup($C1, 'Course List'!$A$3:$AS$14,5+V2, false)</f>
        <v>9</v>
      </c>
      <c r="W3" s="1030">
        <f>vlookup($C1, 'Course List'!$A$3:$AS$14,5+W2, false)</f>
        <v>1</v>
      </c>
      <c r="X3" s="1030">
        <f>vlookup($C1, 'Course List'!$A$3:$AS$14,5+X2, false)</f>
        <v>5</v>
      </c>
      <c r="Y3" s="1030">
        <f>vlookup($C1, 'Course List'!$A$3:$AS$14,5+Y2, false)</f>
        <v>17</v>
      </c>
      <c r="Z3" s="1031"/>
      <c r="AA3" s="1033"/>
      <c r="AB3" s="1033"/>
    </row>
    <row r="4" ht="14.25" customHeight="1">
      <c r="A4" s="1027" t="s">
        <v>56</v>
      </c>
      <c r="B4" s="317"/>
      <c r="C4" s="1028"/>
      <c r="D4" s="1029" t="s">
        <v>56</v>
      </c>
      <c r="E4" s="1034">
        <f>vlookup($C1, 'Course List'!$A$3:$AS$14,27+E2, false)</f>
        <v>4</v>
      </c>
      <c r="F4" s="1034">
        <f>vlookup($C1, 'Course List'!$A$3:$AS$14,27+F2, false)</f>
        <v>5</v>
      </c>
      <c r="G4" s="1034">
        <f>vlookup($C1, 'Course List'!$A$3:$AS$14,27+G2, false)</f>
        <v>4</v>
      </c>
      <c r="H4" s="1034">
        <f>vlookup($C1, 'Course List'!$A$3:$AS$14,27+H2, false)</f>
        <v>3</v>
      </c>
      <c r="I4" s="1034">
        <f>vlookup($C1, 'Course List'!$A$3:$AS$14,27+I2, false)</f>
        <v>4</v>
      </c>
      <c r="J4" s="1034">
        <f>vlookup($C1, 'Course List'!$A$3:$AS$14,27+J2, false)</f>
        <v>5</v>
      </c>
      <c r="K4" s="1034">
        <f>vlookup($C1, 'Course List'!$A$3:$AS$14,27+K2, false)</f>
        <v>3</v>
      </c>
      <c r="L4" s="1034">
        <f>vlookup($C1, 'Course List'!$A$3:$AS$14,27+L2, false)</f>
        <v>4</v>
      </c>
      <c r="M4" s="1034">
        <f>vlookup($C1, 'Course List'!$A$3:$AS$14,27+M2, false)</f>
        <v>4</v>
      </c>
      <c r="N4" s="1035">
        <f>SUM(E4:M4)</f>
        <v>36</v>
      </c>
      <c r="O4" s="1032"/>
      <c r="P4" s="1029" t="s">
        <v>56</v>
      </c>
      <c r="Q4" s="1034">
        <f>vlookup($C1, 'Course List'!$A$3:$AS$14,27+Q2, false)</f>
        <v>4</v>
      </c>
      <c r="R4" s="1034">
        <f>vlookup($C1, 'Course List'!$A$3:$AS$14,27+R2, false)</f>
        <v>4</v>
      </c>
      <c r="S4" s="1034">
        <f>vlookup($C1, 'Course List'!$A$3:$AS$14,27+S2, false)</f>
        <v>3</v>
      </c>
      <c r="T4" s="1034">
        <f>vlookup($C1, 'Course List'!$A$3:$AS$14,27+T2, false)</f>
        <v>5</v>
      </c>
      <c r="U4" s="1034">
        <f>vlookup($C1, 'Course List'!$A$3:$AS$14,27+U2, false)</f>
        <v>4</v>
      </c>
      <c r="V4" s="1034">
        <f>vlookup($C1, 'Course List'!$A$3:$AS$14,27+V2, false)</f>
        <v>3</v>
      </c>
      <c r="W4" s="1034">
        <f>vlookup($C1, 'Course List'!$A$3:$AS$14,27+W2, false)</f>
        <v>4</v>
      </c>
      <c r="X4" s="1034">
        <f>vlookup($C1, 'Course List'!$A$3:$AS$14,27+X2, false)</f>
        <v>4</v>
      </c>
      <c r="Y4" s="1034">
        <f>vlookup($C1, 'Course List'!$A$3:$AS$14,27+Y2, false)</f>
        <v>5</v>
      </c>
      <c r="Z4" s="1035">
        <f>SUM(Q4:Y4)</f>
        <v>36</v>
      </c>
      <c r="AA4" s="1035">
        <f>N4+Z4</f>
        <v>72</v>
      </c>
      <c r="AB4" s="1036"/>
    </row>
    <row r="5" ht="14.25" customHeight="1">
      <c r="A5" s="1037" t="s">
        <v>109</v>
      </c>
      <c r="B5" s="1038" t="s">
        <v>57</v>
      </c>
      <c r="C5" s="1039" t="s">
        <v>58</v>
      </c>
      <c r="D5" s="1040" t="s">
        <v>59</v>
      </c>
      <c r="E5" s="1041">
        <v>1.0</v>
      </c>
      <c r="F5" s="1041">
        <v>2.0</v>
      </c>
      <c r="G5" s="1041">
        <v>3.0</v>
      </c>
      <c r="H5" s="1041">
        <v>4.0</v>
      </c>
      <c r="I5" s="1041">
        <v>5.0</v>
      </c>
      <c r="J5" s="1041">
        <v>6.0</v>
      </c>
      <c r="K5" s="1041">
        <v>7.0</v>
      </c>
      <c r="L5" s="1041">
        <v>8.0</v>
      </c>
      <c r="M5" s="1041">
        <v>9.0</v>
      </c>
      <c r="N5" s="1042" t="s">
        <v>60</v>
      </c>
      <c r="O5" s="1043"/>
      <c r="P5" s="1044" t="s">
        <v>109</v>
      </c>
      <c r="Q5" s="1041">
        <v>10.0</v>
      </c>
      <c r="R5" s="1041">
        <v>11.0</v>
      </c>
      <c r="S5" s="1041">
        <v>12.0</v>
      </c>
      <c r="T5" s="1041">
        <v>13.0</v>
      </c>
      <c r="U5" s="1041">
        <v>14.0</v>
      </c>
      <c r="V5" s="1041">
        <v>15.0</v>
      </c>
      <c r="W5" s="1041">
        <v>16.0</v>
      </c>
      <c r="X5" s="1041">
        <v>17.0</v>
      </c>
      <c r="Y5" s="1041">
        <v>18.0</v>
      </c>
      <c r="Z5" s="1042" t="s">
        <v>61</v>
      </c>
      <c r="AA5" s="1045" t="s">
        <v>62</v>
      </c>
      <c r="AB5" s="1045" t="s">
        <v>110</v>
      </c>
    </row>
    <row r="6" ht="7.5" customHeight="1">
      <c r="A6" s="1046" t="str">
        <f>'R4_G1'!A6</f>
        <v/>
      </c>
      <c r="B6" s="1047" t="str">
        <f>'R4_G1'!B6</f>
        <v/>
      </c>
      <c r="C6" s="1048" t="str">
        <f>'R4_G1'!C6</f>
        <v/>
      </c>
      <c r="D6" s="1049" t="str">
        <f>'R4_G1'!D6</f>
        <v/>
      </c>
      <c r="E6" s="1050" t="str">
        <f>'R4_G1'!E6</f>
        <v/>
      </c>
      <c r="F6" s="1050" t="str">
        <f>'R4_G1'!F6</f>
        <v/>
      </c>
      <c r="G6" s="1050" t="str">
        <f>'R4_G1'!G6</f>
        <v>O</v>
      </c>
      <c r="H6" s="1050" t="str">
        <f>'R4_G1'!H6</f>
        <v/>
      </c>
      <c r="I6" s="1050" t="str">
        <f>'R4_G1'!I6</f>
        <v>O</v>
      </c>
      <c r="J6" s="1050" t="str">
        <f>'R4_G1'!J6</f>
        <v/>
      </c>
      <c r="K6" s="1050" t="str">
        <f>'R4_G1'!K6</f>
        <v/>
      </c>
      <c r="L6" s="1050" t="str">
        <f>'R4_G1'!L6</f>
        <v>O</v>
      </c>
      <c r="M6" s="1050" t="str">
        <f>'R4_G1'!M6</f>
        <v>O</v>
      </c>
      <c r="N6" s="1051" t="str">
        <f>'R4_G1'!N6</f>
        <v/>
      </c>
      <c r="O6" s="1052" t="str">
        <f>'R4_G1'!O6</f>
        <v/>
      </c>
      <c r="P6" s="1053" t="str">
        <f>'R4_G1'!P6</f>
        <v/>
      </c>
      <c r="Q6" s="1050" t="str">
        <f>'R4_G1'!Q6</f>
        <v>O</v>
      </c>
      <c r="R6" s="1050" t="str">
        <f>'R4_G1'!R6</f>
        <v/>
      </c>
      <c r="S6" s="1050" t="str">
        <f>'R4_G1'!S6</f>
        <v/>
      </c>
      <c r="T6" s="1050" t="str">
        <f>'R4_G1'!T6</f>
        <v/>
      </c>
      <c r="U6" s="1050" t="str">
        <f>'R4_G1'!U6</f>
        <v>O</v>
      </c>
      <c r="V6" s="1050" t="str">
        <f>'R4_G1'!V6</f>
        <v/>
      </c>
      <c r="W6" s="1050" t="str">
        <f>'R4_G1'!W6</f>
        <v>O</v>
      </c>
      <c r="X6" s="1050" t="str">
        <f>'R4_G1'!X6</f>
        <v>O</v>
      </c>
      <c r="Y6" s="1050" t="str">
        <f>'R4_G1'!Y6</f>
        <v/>
      </c>
      <c r="Z6" s="1054" t="str">
        <f>'R4_G1'!Z6</f>
        <v/>
      </c>
      <c r="AA6" s="1055" t="str">
        <f>'R4_G1'!AA6</f>
        <v/>
      </c>
      <c r="AB6" s="1055" t="str">
        <f>'R4_G1'!AB6</f>
        <v/>
      </c>
    </row>
    <row r="7" ht="22.5" hidden="1" customHeight="1">
      <c r="A7" s="1056" t="str">
        <f>'R4_G1'!A7</f>
        <v/>
      </c>
      <c r="B7" s="1057" t="str">
        <f>'R4_G1'!B7</f>
        <v/>
      </c>
      <c r="C7" s="1058" t="str">
        <f>'R4_G1'!C7</f>
        <v/>
      </c>
      <c r="D7" s="1059" t="str">
        <f>'R4_G1'!D7</f>
        <v/>
      </c>
      <c r="E7" s="1060">
        <f>'R4_G1'!E7</f>
        <v>0</v>
      </c>
      <c r="F7" s="1060">
        <f>'R4_G1'!F7</f>
        <v>0</v>
      </c>
      <c r="G7" s="1060">
        <f>'R4_G1'!G7</f>
        <v>1</v>
      </c>
      <c r="H7" s="1060">
        <f>'R4_G1'!H7</f>
        <v>0</v>
      </c>
      <c r="I7" s="1060">
        <f>'R4_G1'!I7</f>
        <v>1</v>
      </c>
      <c r="J7" s="1060">
        <f>'R4_G1'!J7</f>
        <v>0</v>
      </c>
      <c r="K7" s="1060">
        <f>'R4_G1'!K7</f>
        <v>0</v>
      </c>
      <c r="L7" s="1060">
        <f>'R4_G1'!L7</f>
        <v>1</v>
      </c>
      <c r="M7" s="1060">
        <f>'R4_G1'!M7</f>
        <v>1</v>
      </c>
      <c r="N7" s="1061" t="str">
        <f>'R4_G1'!N7</f>
        <v/>
      </c>
      <c r="O7" s="1062" t="str">
        <f>'R4_G1'!O7</f>
        <v/>
      </c>
      <c r="P7" s="1063" t="str">
        <f>'R4_G1'!P7</f>
        <v/>
      </c>
      <c r="Q7" s="1060">
        <f>'R4_G1'!Q7</f>
        <v>1</v>
      </c>
      <c r="R7" s="1060">
        <f>'R4_G1'!R7</f>
        <v>0</v>
      </c>
      <c r="S7" s="1060">
        <f>'R4_G1'!S7</f>
        <v>0</v>
      </c>
      <c r="T7" s="1060">
        <f>'R4_G1'!T7</f>
        <v>0</v>
      </c>
      <c r="U7" s="1060">
        <f>'R4_G1'!U7</f>
        <v>1</v>
      </c>
      <c r="V7" s="1060">
        <f>'R4_G1'!V7</f>
        <v>0</v>
      </c>
      <c r="W7" s="1060">
        <f>'R4_G1'!W7</f>
        <v>1</v>
      </c>
      <c r="X7" s="1060">
        <f>'R4_G1'!X7</f>
        <v>1</v>
      </c>
      <c r="Y7" s="1060">
        <f>'R4_G1'!Y7</f>
        <v>0</v>
      </c>
      <c r="Z7" s="1061" t="str">
        <f>'R4_G1'!Z7</f>
        <v/>
      </c>
      <c r="AA7" s="1061" t="str">
        <f>'R4_G1'!AA7</f>
        <v/>
      </c>
      <c r="AB7" s="1064" t="str">
        <f>'R4_G1'!AB7</f>
        <v/>
      </c>
    </row>
    <row r="8" ht="22.5" customHeight="1">
      <c r="A8" s="1065" t="str">
        <f>'R4_G1'!A8</f>
        <v>Jensen</v>
      </c>
      <c r="B8" s="1066" t="str">
        <f>'R4_G1'!B8</f>
        <v>Irons</v>
      </c>
      <c r="C8" s="1067">
        <f>'R4_G1'!C8</f>
        <v>8</v>
      </c>
      <c r="D8" s="1068">
        <f>'R4_G1'!D8</f>
        <v>8</v>
      </c>
      <c r="E8" s="1069">
        <f>'R4_G1'!E8</f>
        <v>3</v>
      </c>
      <c r="F8" s="1069">
        <f>'R4_G1'!F8</f>
        <v>7</v>
      </c>
      <c r="G8" s="1069">
        <f>'R4_G1'!G8</f>
        <v>5</v>
      </c>
      <c r="H8" s="1069">
        <f>'R4_G1'!H8</f>
        <v>3</v>
      </c>
      <c r="I8" s="1069">
        <f>'R4_G1'!I8</f>
        <v>4</v>
      </c>
      <c r="J8" s="1069">
        <f>'R4_G1'!J8</f>
        <v>5</v>
      </c>
      <c r="K8" s="1069">
        <f>'R4_G1'!K8</f>
        <v>3</v>
      </c>
      <c r="L8" s="1069">
        <f>'R4_G1'!L8</f>
        <v>5</v>
      </c>
      <c r="M8" s="1069">
        <f>'R4_G1'!M8</f>
        <v>4</v>
      </c>
      <c r="N8" s="1070">
        <f>'R4_G1'!N8</f>
        <v>39</v>
      </c>
      <c r="O8" s="1071" t="str">
        <f>'R4_G1'!O8</f>
        <v/>
      </c>
      <c r="P8" s="1072" t="str">
        <f>'R4_G1'!P8</f>
        <v>Jensen</v>
      </c>
      <c r="Q8" s="1069">
        <f>'R4_G1'!Q8</f>
        <v>6</v>
      </c>
      <c r="R8" s="1069">
        <f>'R4_G1'!R8</f>
        <v>4</v>
      </c>
      <c r="S8" s="1069">
        <f>'R4_G1'!S8</f>
        <v>3</v>
      </c>
      <c r="T8" s="1069">
        <f>'R4_G1'!T8</f>
        <v>5</v>
      </c>
      <c r="U8" s="1069">
        <f>'R4_G1'!U8</f>
        <v>4</v>
      </c>
      <c r="V8" s="1069">
        <f>'R4_G1'!V8</f>
        <v>4</v>
      </c>
      <c r="W8" s="1069">
        <f>'R4_G1'!W8</f>
        <v>5</v>
      </c>
      <c r="X8" s="1069">
        <f>'R4_G1'!X8</f>
        <v>5</v>
      </c>
      <c r="Y8" s="1069">
        <f>'R4_G1'!Y8</f>
        <v>4</v>
      </c>
      <c r="Z8" s="1070">
        <f>'R4_G1'!Z8</f>
        <v>40</v>
      </c>
      <c r="AA8" s="1070">
        <f>'R4_G1'!AA8</f>
        <v>79</v>
      </c>
      <c r="AB8" s="1073">
        <f>'R4_G1'!AB8</f>
        <v>71</v>
      </c>
    </row>
    <row r="9" ht="7.5" customHeight="1">
      <c r="A9" s="1074" t="str">
        <f>'R4_G1'!A9</f>
        <v/>
      </c>
      <c r="B9" s="1075" t="str">
        <f>'R4_G1'!B9</f>
        <v/>
      </c>
      <c r="C9" s="1076" t="str">
        <f>'R4_G1'!C9</f>
        <v/>
      </c>
      <c r="D9" s="1077" t="str">
        <f>'R4_G1'!D9</f>
        <v/>
      </c>
      <c r="E9" s="1078" t="str">
        <f>'R4_G1'!E9</f>
        <v>O</v>
      </c>
      <c r="F9" s="1078" t="str">
        <f>'R4_G1'!F9</f>
        <v/>
      </c>
      <c r="G9" s="1078" t="str">
        <f>'R4_G1'!G9</f>
        <v>O</v>
      </c>
      <c r="H9" s="1078" t="str">
        <f>'R4_G1'!H9</f>
        <v/>
      </c>
      <c r="I9" s="1078" t="str">
        <f>'R4_G1'!I9</f>
        <v>O</v>
      </c>
      <c r="J9" s="1078" t="str">
        <f>'R4_G1'!J9</f>
        <v/>
      </c>
      <c r="K9" s="1078" t="str">
        <f>'R4_G1'!K9</f>
        <v/>
      </c>
      <c r="L9" s="1078" t="str">
        <f>'R4_G1'!L9</f>
        <v>O</v>
      </c>
      <c r="M9" s="1078" t="str">
        <f>'R4_G1'!M9</f>
        <v>O</v>
      </c>
      <c r="N9" s="1079" t="str">
        <f>'R4_G1'!N9</f>
        <v/>
      </c>
      <c r="O9" s="1080" t="str">
        <f>'R4_G1'!O9</f>
        <v/>
      </c>
      <c r="P9" s="1081" t="str">
        <f>'R4_G1'!P9</f>
        <v/>
      </c>
      <c r="Q9" s="1078" t="str">
        <f>'R4_G1'!Q9</f>
        <v>O</v>
      </c>
      <c r="R9" s="1078" t="str">
        <f>'R4_G1'!R9</f>
        <v/>
      </c>
      <c r="S9" s="1078" t="str">
        <f>'R4_G1'!S9</f>
        <v/>
      </c>
      <c r="T9" s="1078" t="str">
        <f>'R4_G1'!T9</f>
        <v/>
      </c>
      <c r="U9" s="1078" t="str">
        <f>'R4_G1'!U9</f>
        <v>O</v>
      </c>
      <c r="V9" s="1078" t="str">
        <f>'R4_G1'!V9</f>
        <v>O</v>
      </c>
      <c r="W9" s="1078" t="str">
        <f>'R4_G1'!W9</f>
        <v>O</v>
      </c>
      <c r="X9" s="1078" t="str">
        <f>'R4_G1'!X9</f>
        <v>O</v>
      </c>
      <c r="Y9" s="1078" t="str">
        <f>'R4_G1'!Y9</f>
        <v/>
      </c>
      <c r="Z9" s="1079" t="str">
        <f>'R4_G1'!Z9</f>
        <v/>
      </c>
      <c r="AA9" s="1082" t="str">
        <f>'R4_G1'!AA9</f>
        <v/>
      </c>
      <c r="AB9" s="1083" t="str">
        <f>'R4_G1'!AB9</f>
        <v/>
      </c>
    </row>
    <row r="10" ht="22.5" hidden="1" customHeight="1">
      <c r="A10" s="1084" t="str">
        <f>'R4_G1'!A10</f>
        <v/>
      </c>
      <c r="B10" s="1085" t="str">
        <f>'R4_G1'!B10</f>
        <v/>
      </c>
      <c r="C10" s="1086" t="str">
        <f>'R4_G1'!C10</f>
        <v/>
      </c>
      <c r="D10" s="1087" t="str">
        <f>'R4_G1'!D10</f>
        <v/>
      </c>
      <c r="E10" s="1088">
        <f>'R4_G1'!E10</f>
        <v>1</v>
      </c>
      <c r="F10" s="1088">
        <f>'R4_G1'!F10</f>
        <v>0</v>
      </c>
      <c r="G10" s="1088">
        <f>'R4_G1'!G10</f>
        <v>1</v>
      </c>
      <c r="H10" s="1088">
        <f>'R4_G1'!H10</f>
        <v>0</v>
      </c>
      <c r="I10" s="1088">
        <f>'R4_G1'!I10</f>
        <v>1</v>
      </c>
      <c r="J10" s="1088">
        <f>'R4_G1'!J10</f>
        <v>0</v>
      </c>
      <c r="K10" s="1088">
        <f>'R4_G1'!K10</f>
        <v>0</v>
      </c>
      <c r="L10" s="1088">
        <f>'R4_G1'!L10</f>
        <v>1</v>
      </c>
      <c r="M10" s="1088">
        <f>'R4_G1'!M10</f>
        <v>1</v>
      </c>
      <c r="N10" s="1061" t="str">
        <f>'R4_G1'!N10</f>
        <v/>
      </c>
      <c r="O10" s="1062" t="str">
        <f>'R4_G1'!O10</f>
        <v/>
      </c>
      <c r="P10" s="1089" t="str">
        <f>'R4_G1'!P10</f>
        <v/>
      </c>
      <c r="Q10" s="1088">
        <f>'R4_G1'!Q10</f>
        <v>1</v>
      </c>
      <c r="R10" s="1088">
        <f>'R4_G1'!R10</f>
        <v>0</v>
      </c>
      <c r="S10" s="1088">
        <f>'R4_G1'!S10</f>
        <v>0</v>
      </c>
      <c r="T10" s="1088">
        <f>'R4_G1'!T10</f>
        <v>0</v>
      </c>
      <c r="U10" s="1088">
        <f>'R4_G1'!U10</f>
        <v>1</v>
      </c>
      <c r="V10" s="1088">
        <f>'R4_G1'!V10</f>
        <v>1</v>
      </c>
      <c r="W10" s="1088">
        <f>'R4_G1'!W10</f>
        <v>1</v>
      </c>
      <c r="X10" s="1088">
        <f>'R4_G1'!X10</f>
        <v>1</v>
      </c>
      <c r="Y10" s="1088">
        <f>'R4_G1'!Y10</f>
        <v>0</v>
      </c>
      <c r="Z10" s="1061" t="str">
        <f>'R4_G1'!Z10</f>
        <v/>
      </c>
      <c r="AA10" s="1061" t="str">
        <f>'R4_G1'!AA10</f>
        <v/>
      </c>
      <c r="AB10" s="1064" t="str">
        <f>'R4_G1'!AB10</f>
        <v/>
      </c>
    </row>
    <row r="11" ht="22.5" customHeight="1">
      <c r="A11" s="1090" t="str">
        <f>'R4_G1'!A11</f>
        <v>House</v>
      </c>
      <c r="B11" s="1091" t="str">
        <f>'R4_G1'!B11</f>
        <v>Irons</v>
      </c>
      <c r="C11" s="1092">
        <f>'R4_G1'!C11</f>
        <v>10</v>
      </c>
      <c r="D11" s="1093">
        <f>'R4_G1'!D11</f>
        <v>10</v>
      </c>
      <c r="E11" s="1094">
        <f>'R4_G1'!E11</f>
        <v>4</v>
      </c>
      <c r="F11" s="1094">
        <f>'R4_G1'!F11</f>
        <v>6</v>
      </c>
      <c r="G11" s="1094">
        <f>'R4_G1'!G11</f>
        <v>6</v>
      </c>
      <c r="H11" s="1094">
        <f>'R4_G1'!H11</f>
        <v>3</v>
      </c>
      <c r="I11" s="1094">
        <f>'R4_G1'!I11</f>
        <v>5</v>
      </c>
      <c r="J11" s="1094">
        <f>'R4_G1'!J11</f>
        <v>10</v>
      </c>
      <c r="K11" s="1094">
        <f>'R4_G1'!K11</f>
        <v>3</v>
      </c>
      <c r="L11" s="1094">
        <f>'R4_G1'!L11</f>
        <v>4</v>
      </c>
      <c r="M11" s="1094">
        <f>'R4_G1'!M11</f>
        <v>6</v>
      </c>
      <c r="N11" s="1070">
        <f>'R4_G1'!N11</f>
        <v>47</v>
      </c>
      <c r="O11" s="1071" t="str">
        <f>'R4_G1'!O11</f>
        <v/>
      </c>
      <c r="P11" s="1095" t="str">
        <f>'R4_G1'!P11</f>
        <v>House</v>
      </c>
      <c r="Q11" s="1094">
        <f>'R4_G1'!Q11</f>
        <v>5</v>
      </c>
      <c r="R11" s="1094">
        <f>'R4_G1'!R11</f>
        <v>4</v>
      </c>
      <c r="S11" s="1094">
        <f>'R4_G1'!S11</f>
        <v>4</v>
      </c>
      <c r="T11" s="1094">
        <f>'R4_G1'!T11</f>
        <v>7</v>
      </c>
      <c r="U11" s="1094">
        <f>'R4_G1'!U11</f>
        <v>4</v>
      </c>
      <c r="V11" s="1094">
        <f>'R4_G1'!V11</f>
        <v>4</v>
      </c>
      <c r="W11" s="1094">
        <f>'R4_G1'!W11</f>
        <v>5</v>
      </c>
      <c r="X11" s="1094">
        <f>'R4_G1'!X11</f>
        <v>7</v>
      </c>
      <c r="Y11" s="1094">
        <f>'R4_G1'!Y11</f>
        <v>5</v>
      </c>
      <c r="Z11" s="1070">
        <f>'R4_G1'!Z11</f>
        <v>45</v>
      </c>
      <c r="AA11" s="1070">
        <f>'R4_G1'!AA11</f>
        <v>92</v>
      </c>
      <c r="AB11" s="1073">
        <f>'R4_G1'!AB11</f>
        <v>82</v>
      </c>
    </row>
    <row r="12" ht="7.5" customHeight="1">
      <c r="A12" s="1096" t="str">
        <f>'R4_G1'!A12</f>
        <v/>
      </c>
      <c r="B12" s="1097" t="str">
        <f>'R4_G1'!B12</f>
        <v/>
      </c>
      <c r="C12" s="1098" t="str">
        <f>'R4_G1'!C12</f>
        <v/>
      </c>
      <c r="D12" s="1099" t="str">
        <f>'R4_G1'!D12</f>
        <v/>
      </c>
      <c r="E12" s="1100" t="str">
        <f>'R4_G1'!E12</f>
        <v/>
      </c>
      <c r="F12" s="1100" t="str">
        <f>'R4_G1'!F12</f>
        <v/>
      </c>
      <c r="G12" s="1100" t="str">
        <f>'R4_G1'!G12</f>
        <v>O</v>
      </c>
      <c r="H12" s="1100" t="str">
        <f>'R4_G1'!H12</f>
        <v/>
      </c>
      <c r="I12" s="1100" t="str">
        <f>'R4_G1'!I12</f>
        <v>O</v>
      </c>
      <c r="J12" s="1100" t="str">
        <f>'R4_G1'!J12</f>
        <v/>
      </c>
      <c r="K12" s="1100" t="str">
        <f>'R4_G1'!K12</f>
        <v/>
      </c>
      <c r="L12" s="1100" t="str">
        <f>'R4_G1'!L12</f>
        <v>O</v>
      </c>
      <c r="M12" s="1100" t="str">
        <f>'R4_G1'!M12</f>
        <v>O</v>
      </c>
      <c r="N12" s="1101" t="str">
        <f>'R4_G1'!N12</f>
        <v/>
      </c>
      <c r="O12" s="1102" t="str">
        <f>'R4_G1'!O12</f>
        <v/>
      </c>
      <c r="P12" s="1103" t="str">
        <f>'R4_G1'!P12</f>
        <v/>
      </c>
      <c r="Q12" s="1100" t="str">
        <f>'R4_G1'!Q12</f>
        <v>O</v>
      </c>
      <c r="R12" s="1100" t="str">
        <f>'R4_G1'!R12</f>
        <v/>
      </c>
      <c r="S12" s="1100" t="str">
        <f>'R4_G1'!S12</f>
        <v/>
      </c>
      <c r="T12" s="1100" t="str">
        <f>'R4_G1'!T12</f>
        <v/>
      </c>
      <c r="U12" s="1100" t="str">
        <f>'R4_G1'!U12</f>
        <v>O</v>
      </c>
      <c r="V12" s="1100" t="str">
        <f>'R4_G1'!V12</f>
        <v/>
      </c>
      <c r="W12" s="1100" t="str">
        <f>'R4_G1'!W12</f>
        <v>O</v>
      </c>
      <c r="X12" s="1100" t="str">
        <f>'R4_G1'!X12</f>
        <v>O</v>
      </c>
      <c r="Y12" s="1100" t="str">
        <f>'R4_G1'!Y12</f>
        <v/>
      </c>
      <c r="Z12" s="1079" t="str">
        <f>'R4_G1'!Z12</f>
        <v/>
      </c>
      <c r="AA12" s="1082" t="str">
        <f>'R4_G1'!AA12</f>
        <v/>
      </c>
      <c r="AB12" s="1104" t="str">
        <f>'R4_G1'!AB12</f>
        <v/>
      </c>
    </row>
    <row r="13" ht="22.5" hidden="1" customHeight="1">
      <c r="A13" s="1056" t="str">
        <f>'R4_G1'!A13</f>
        <v/>
      </c>
      <c r="B13" s="1057" t="str">
        <f>'R4_G1'!B13</f>
        <v/>
      </c>
      <c r="C13" s="1058" t="str">
        <f>'R4_G1'!C13</f>
        <v/>
      </c>
      <c r="D13" s="1059" t="str">
        <f>'R4_G1'!D13</f>
        <v/>
      </c>
      <c r="E13" s="1060">
        <f>'R4_G1'!E13</f>
        <v>0</v>
      </c>
      <c r="F13" s="1060">
        <f>'R4_G1'!F13</f>
        <v>0</v>
      </c>
      <c r="G13" s="1060">
        <f>'R4_G1'!G13</f>
        <v>1</v>
      </c>
      <c r="H13" s="1060">
        <f>'R4_G1'!H13</f>
        <v>0</v>
      </c>
      <c r="I13" s="1060">
        <f>'R4_G1'!I13</f>
        <v>1</v>
      </c>
      <c r="J13" s="1060">
        <f>'R4_G1'!J13</f>
        <v>0</v>
      </c>
      <c r="K13" s="1060">
        <f>'R4_G1'!K13</f>
        <v>0</v>
      </c>
      <c r="L13" s="1060">
        <f>'R4_G1'!L13</f>
        <v>1</v>
      </c>
      <c r="M13" s="1060">
        <f>'R4_G1'!M13</f>
        <v>1</v>
      </c>
      <c r="N13" s="1061" t="str">
        <f>'R4_G1'!N13</f>
        <v/>
      </c>
      <c r="O13" s="1062" t="str">
        <f>'R4_G1'!O13</f>
        <v/>
      </c>
      <c r="P13" s="1063" t="str">
        <f>'R4_G1'!P13</f>
        <v/>
      </c>
      <c r="Q13" s="1060">
        <f>'R4_G1'!Q13</f>
        <v>1</v>
      </c>
      <c r="R13" s="1060">
        <f>'R4_G1'!R13</f>
        <v>0</v>
      </c>
      <c r="S13" s="1060">
        <f>'R4_G1'!S13</f>
        <v>0</v>
      </c>
      <c r="T13" s="1060">
        <f>'R4_G1'!T13</f>
        <v>0</v>
      </c>
      <c r="U13" s="1060">
        <f>'R4_G1'!U13</f>
        <v>1</v>
      </c>
      <c r="V13" s="1060">
        <f>'R4_G1'!V13</f>
        <v>0</v>
      </c>
      <c r="W13" s="1060">
        <f>'R4_G1'!W13</f>
        <v>1</v>
      </c>
      <c r="X13" s="1060">
        <f>'R4_G1'!X13</f>
        <v>1</v>
      </c>
      <c r="Y13" s="1060">
        <f>'R4_G1'!Y13</f>
        <v>0</v>
      </c>
      <c r="Z13" s="1061" t="str">
        <f>'R4_G1'!Z13</f>
        <v/>
      </c>
      <c r="AA13" s="1061" t="str">
        <f>'R4_G1'!AA13</f>
        <v/>
      </c>
      <c r="AB13" s="1064" t="str">
        <f>'R4_G1'!AB13</f>
        <v/>
      </c>
    </row>
    <row r="14" ht="22.5" customHeight="1">
      <c r="A14" s="1065" t="str">
        <f>'R4_G1'!A14</f>
        <v>CuzNick</v>
      </c>
      <c r="B14" s="1066" t="str">
        <f>'R4_G1'!B14</f>
        <v>Irons</v>
      </c>
      <c r="C14" s="1067">
        <f>'R4_G1'!C14</f>
        <v>8</v>
      </c>
      <c r="D14" s="1068">
        <f>'R4_G1'!D14</f>
        <v>8</v>
      </c>
      <c r="E14" s="1069">
        <f>'R4_G1'!E14</f>
        <v>8</v>
      </c>
      <c r="F14" s="1069">
        <f>'R4_G1'!F14</f>
        <v>7</v>
      </c>
      <c r="G14" s="1069">
        <f>'R4_G1'!G14</f>
        <v>7</v>
      </c>
      <c r="H14" s="1069">
        <f>'R4_G1'!H14</f>
        <v>6</v>
      </c>
      <c r="I14" s="1069">
        <f>'R4_G1'!I14</f>
        <v>4</v>
      </c>
      <c r="J14" s="1069">
        <f>'R4_G1'!J14</f>
        <v>6</v>
      </c>
      <c r="K14" s="1069">
        <f>'R4_G1'!K14</f>
        <v>4</v>
      </c>
      <c r="L14" s="1069">
        <f>'R4_G1'!L14</f>
        <v>4</v>
      </c>
      <c r="M14" s="1069">
        <f>'R4_G1'!M14</f>
        <v>5</v>
      </c>
      <c r="N14" s="1070">
        <f>'R4_G1'!N14</f>
        <v>51</v>
      </c>
      <c r="O14" s="1071" t="str">
        <f>'R4_G1'!O14</f>
        <v/>
      </c>
      <c r="P14" s="1072" t="str">
        <f>'R4_G1'!P14</f>
        <v>CuzNick</v>
      </c>
      <c r="Q14" s="1069">
        <f>'R4_G1'!Q14</f>
        <v>5</v>
      </c>
      <c r="R14" s="1069">
        <f>'R4_G1'!R14</f>
        <v>4</v>
      </c>
      <c r="S14" s="1069">
        <f>'R4_G1'!S14</f>
        <v>4</v>
      </c>
      <c r="T14" s="1069">
        <f>'R4_G1'!T14</f>
        <v>5</v>
      </c>
      <c r="U14" s="1069">
        <f>'R4_G1'!U14</f>
        <v>4</v>
      </c>
      <c r="V14" s="1069">
        <f>'R4_G1'!V14</f>
        <v>4</v>
      </c>
      <c r="W14" s="1069">
        <f>'R4_G1'!W14</f>
        <v>6</v>
      </c>
      <c r="X14" s="1069">
        <f>'R4_G1'!X14</f>
        <v>5</v>
      </c>
      <c r="Y14" s="1069">
        <f>'R4_G1'!Y14</f>
        <v>6</v>
      </c>
      <c r="Z14" s="1070">
        <f>'R4_G1'!Z14</f>
        <v>43</v>
      </c>
      <c r="AA14" s="1070">
        <f>'R4_G1'!AA14</f>
        <v>94</v>
      </c>
      <c r="AB14" s="1073">
        <f>'R4_G1'!AB14</f>
        <v>86</v>
      </c>
    </row>
    <row r="15" ht="7.5" customHeight="1">
      <c r="A15" s="1105" t="str">
        <f>'R4_G1'!A15</f>
        <v/>
      </c>
      <c r="B15" s="1106" t="str">
        <f>'R4_G1'!B15</f>
        <v/>
      </c>
      <c r="C15" s="1107" t="str">
        <f>'R4_G1'!C15</f>
        <v/>
      </c>
      <c r="D15" s="1108" t="str">
        <f>'R4_G1'!D15</f>
        <v/>
      </c>
      <c r="E15" s="1109" t="str">
        <f>'R4_G1'!E15</f>
        <v>O</v>
      </c>
      <c r="F15" s="1109" t="str">
        <f>'R4_G1'!F15</f>
        <v/>
      </c>
      <c r="G15" s="1109" t="str">
        <f>'R4_G1'!G15</f>
        <v>O</v>
      </c>
      <c r="H15" s="1109" t="str">
        <f>'R4_G1'!H15</f>
        <v/>
      </c>
      <c r="I15" s="1109" t="str">
        <f>'R4_G1'!I15</f>
        <v>O</v>
      </c>
      <c r="J15" s="1109" t="str">
        <f>'R4_G1'!J15</f>
        <v>O</v>
      </c>
      <c r="K15" s="1109" t="str">
        <f>'R4_G1'!K15</f>
        <v/>
      </c>
      <c r="L15" s="1109" t="str">
        <f>'R4_G1'!L15</f>
        <v>O</v>
      </c>
      <c r="M15" s="1109" t="str">
        <f>'R4_G1'!M15</f>
        <v>O</v>
      </c>
      <c r="N15" s="1110" t="str">
        <f>'R4_G1'!N15</f>
        <v/>
      </c>
      <c r="O15" s="1111" t="str">
        <f>'R4_G1'!O15</f>
        <v/>
      </c>
      <c r="P15" s="1112" t="str">
        <f>'R4_G1'!P15</f>
        <v/>
      </c>
      <c r="Q15" s="1109" t="str">
        <f>'R4_G1'!Q15</f>
        <v>O</v>
      </c>
      <c r="R15" s="1109" t="str">
        <f>'R4_G1'!R15</f>
        <v/>
      </c>
      <c r="S15" s="1109" t="str">
        <f>'R4_G1'!S15</f>
        <v/>
      </c>
      <c r="T15" s="1109" t="str">
        <f>'R4_G1'!T15</f>
        <v>O</v>
      </c>
      <c r="U15" s="1109" t="str">
        <f>'R4_G1'!U15</f>
        <v>O</v>
      </c>
      <c r="V15" s="1109" t="str">
        <f>'R4_G1'!V15</f>
        <v>O</v>
      </c>
      <c r="W15" s="1109" t="str">
        <f>'R4_G1'!W15</f>
        <v>O</v>
      </c>
      <c r="X15" s="1109" t="str">
        <f>'R4_G1'!X15</f>
        <v>O</v>
      </c>
      <c r="Y15" s="1109" t="str">
        <f>'R4_G1'!Y15</f>
        <v/>
      </c>
      <c r="Z15" s="1110" t="str">
        <f>'R4_G1'!Z15</f>
        <v/>
      </c>
      <c r="AA15" s="1113" t="str">
        <f>'R4_G1'!AA15</f>
        <v/>
      </c>
      <c r="AB15" s="1104" t="str">
        <f>'R4_G1'!AB15</f>
        <v/>
      </c>
    </row>
    <row r="16" ht="22.5" hidden="1" customHeight="1">
      <c r="A16" s="1084" t="str">
        <f>'R4_G1'!A16</f>
        <v/>
      </c>
      <c r="B16" s="1085" t="str">
        <f>'R4_G1'!B16</f>
        <v/>
      </c>
      <c r="C16" s="1086" t="str">
        <f>'R4_G1'!C16</f>
        <v/>
      </c>
      <c r="D16" s="1087" t="str">
        <f>'R4_G1'!D16</f>
        <v/>
      </c>
      <c r="E16" s="1088">
        <f>'R4_G1'!E16</f>
        <v>1</v>
      </c>
      <c r="F16" s="1088">
        <f>'R4_G1'!F16</f>
        <v>0</v>
      </c>
      <c r="G16" s="1088">
        <f>'R4_G1'!G16</f>
        <v>1</v>
      </c>
      <c r="H16" s="1088">
        <f>'R4_G1'!H16</f>
        <v>0</v>
      </c>
      <c r="I16" s="1088">
        <f>'R4_G1'!I16</f>
        <v>1</v>
      </c>
      <c r="J16" s="1088">
        <f>'R4_G1'!J16</f>
        <v>1</v>
      </c>
      <c r="K16" s="1088">
        <f>'R4_G1'!K16</f>
        <v>0</v>
      </c>
      <c r="L16" s="1088">
        <f>'R4_G1'!L16</f>
        <v>1</v>
      </c>
      <c r="M16" s="1088">
        <f>'R4_G1'!M16</f>
        <v>1</v>
      </c>
      <c r="N16" s="1061" t="str">
        <f>'R4_G1'!N16</f>
        <v/>
      </c>
      <c r="O16" s="1062" t="str">
        <f>'R4_G1'!O16</f>
        <v/>
      </c>
      <c r="P16" s="1089" t="str">
        <f>'R4_G1'!P16</f>
        <v/>
      </c>
      <c r="Q16" s="1088">
        <f>'R4_G1'!Q16</f>
        <v>1</v>
      </c>
      <c r="R16" s="1088">
        <f>'R4_G1'!R16</f>
        <v>0</v>
      </c>
      <c r="S16" s="1088">
        <f>'R4_G1'!S16</f>
        <v>0</v>
      </c>
      <c r="T16" s="1088">
        <f>'R4_G1'!T16</f>
        <v>1</v>
      </c>
      <c r="U16" s="1088">
        <f>'R4_G1'!U16</f>
        <v>1</v>
      </c>
      <c r="V16" s="1088">
        <f>'R4_G1'!V16</f>
        <v>1</v>
      </c>
      <c r="W16" s="1088">
        <f>'R4_G1'!W16</f>
        <v>1</v>
      </c>
      <c r="X16" s="1088">
        <f>'R4_G1'!X16</f>
        <v>1</v>
      </c>
      <c r="Y16" s="1088">
        <f>'R4_G1'!Y16</f>
        <v>0</v>
      </c>
      <c r="Z16" s="1061" t="str">
        <f>'R4_G1'!Z16</f>
        <v/>
      </c>
      <c r="AA16" s="1114" t="str">
        <f>'R4_G1'!AA16</f>
        <v/>
      </c>
      <c r="AB16" s="1064" t="str">
        <f>'R4_G1'!AB16</f>
        <v/>
      </c>
    </row>
    <row r="17" ht="22.5" customHeight="1">
      <c r="A17" s="1115" t="str">
        <f>'R4_G1'!A17</f>
        <v>DK</v>
      </c>
      <c r="B17" s="1091" t="str">
        <f>'R4_G1'!B17</f>
        <v>Irons</v>
      </c>
      <c r="C17" s="1092">
        <f>'R4_G1'!C17</f>
        <v>12</v>
      </c>
      <c r="D17" s="1093">
        <f>'R4_G1'!D17</f>
        <v>12</v>
      </c>
      <c r="E17" s="1094">
        <f>'R4_G1'!E17</f>
        <v>5</v>
      </c>
      <c r="F17" s="1094">
        <f>'R4_G1'!F17</f>
        <v>4</v>
      </c>
      <c r="G17" s="1094">
        <f>'R4_G1'!G17</f>
        <v>6</v>
      </c>
      <c r="H17" s="1094">
        <f>'R4_G1'!H17</f>
        <v>4</v>
      </c>
      <c r="I17" s="1094">
        <f>'R4_G1'!I17</f>
        <v>5</v>
      </c>
      <c r="J17" s="1094">
        <f>'R4_G1'!J17</f>
        <v>7</v>
      </c>
      <c r="K17" s="1094">
        <f>'R4_G1'!K17</f>
        <v>4</v>
      </c>
      <c r="L17" s="1094">
        <f>'R4_G1'!L17</f>
        <v>5</v>
      </c>
      <c r="M17" s="1094">
        <f>'R4_G1'!M17</f>
        <v>5</v>
      </c>
      <c r="N17" s="1070">
        <f>'R4_G1'!N17</f>
        <v>45</v>
      </c>
      <c r="O17" s="1071" t="str">
        <f>'R4_G1'!O17</f>
        <v/>
      </c>
      <c r="P17" s="1095" t="str">
        <f>'R4_G1'!P17</f>
        <v>DK</v>
      </c>
      <c r="Q17" s="1094">
        <f>'R4_G1'!Q17</f>
        <v>5</v>
      </c>
      <c r="R17" s="1094">
        <f>'R4_G1'!R17</f>
        <v>6</v>
      </c>
      <c r="S17" s="1094">
        <f>'R4_G1'!S17</f>
        <v>3</v>
      </c>
      <c r="T17" s="1094">
        <f>'R4_G1'!T17</f>
        <v>5</v>
      </c>
      <c r="U17" s="1094">
        <f>'R4_G1'!U17</f>
        <v>4</v>
      </c>
      <c r="V17" s="1094">
        <f>'R4_G1'!V17</f>
        <v>6</v>
      </c>
      <c r="W17" s="1094">
        <f>'R4_G1'!W17</f>
        <v>5</v>
      </c>
      <c r="X17" s="1094">
        <f>'R4_G1'!X17</f>
        <v>5</v>
      </c>
      <c r="Y17" s="1094">
        <f>'R4_G1'!Y17</f>
        <v>6</v>
      </c>
      <c r="Z17" s="1070">
        <f>'R4_G1'!Z17</f>
        <v>45</v>
      </c>
      <c r="AA17" s="1070">
        <f>'R4_G1'!AA17</f>
        <v>90</v>
      </c>
      <c r="AB17" s="1073">
        <f>'R4_G1'!AB17</f>
        <v>78</v>
      </c>
    </row>
    <row r="18" ht="7.5" customHeight="1">
      <c r="A18" s="1046" t="str">
        <f>'R4_G3'!A6</f>
        <v/>
      </c>
      <c r="B18" s="1047" t="str">
        <f>'R4_G3'!B6</f>
        <v/>
      </c>
      <c r="C18" s="1048" t="str">
        <f>'R4_G3'!C6</f>
        <v/>
      </c>
      <c r="D18" s="1049" t="str">
        <f>'R4_G3'!D6</f>
        <v/>
      </c>
      <c r="E18" s="1050" t="str">
        <f>'R4_G3'!E6</f>
        <v/>
      </c>
      <c r="F18" s="1050" t="str">
        <f>'R4_G3'!F6</f>
        <v/>
      </c>
      <c r="G18" s="1050" t="str">
        <f>'R4_G3'!G6</f>
        <v>O</v>
      </c>
      <c r="H18" s="1050" t="str">
        <f>'R4_G3'!H6</f>
        <v/>
      </c>
      <c r="I18" s="1050" t="str">
        <f>'R4_G3'!I6</f>
        <v>O</v>
      </c>
      <c r="J18" s="1050" t="str">
        <f>'R4_G3'!J6</f>
        <v/>
      </c>
      <c r="K18" s="1050" t="str">
        <f>'R4_G3'!K6</f>
        <v/>
      </c>
      <c r="L18" s="1050" t="str">
        <f>'R4_G3'!L6</f>
        <v>O</v>
      </c>
      <c r="M18" s="1050" t="str">
        <f>'R4_G3'!M6</f>
        <v>O</v>
      </c>
      <c r="N18" s="1051" t="str">
        <f>'R4_G3'!N6</f>
        <v/>
      </c>
      <c r="O18" s="1052" t="str">
        <f>'R4_G3'!O6</f>
        <v/>
      </c>
      <c r="P18" s="1053" t="str">
        <f>'R4_G3'!P6</f>
        <v/>
      </c>
      <c r="Q18" s="1050" t="str">
        <f>'R4_G3'!Q6</f>
        <v>O</v>
      </c>
      <c r="R18" s="1050" t="str">
        <f>'R4_G3'!R6</f>
        <v/>
      </c>
      <c r="S18" s="1050" t="str">
        <f>'R4_G3'!S6</f>
        <v/>
      </c>
      <c r="T18" s="1050" t="str">
        <f>'R4_G3'!T6</f>
        <v/>
      </c>
      <c r="U18" s="1050" t="str">
        <f>'R4_G3'!U6</f>
        <v>O</v>
      </c>
      <c r="V18" s="1050" t="str">
        <f>'R4_G3'!V6</f>
        <v>O</v>
      </c>
      <c r="W18" s="1050" t="str">
        <f>'R4_G3'!W6</f>
        <v>O</v>
      </c>
      <c r="X18" s="1050" t="str">
        <f>'R4_G3'!X6</f>
        <v>O</v>
      </c>
      <c r="Y18" s="1050" t="str">
        <f>'R4_G3'!Y6</f>
        <v/>
      </c>
      <c r="Z18" s="1054" t="str">
        <f>'R4_G3'!Z6</f>
        <v/>
      </c>
      <c r="AA18" s="1055" t="str">
        <f>'R4_G3'!AA6</f>
        <v/>
      </c>
      <c r="AB18" s="1055" t="str">
        <f>'R4_G3'!AB6</f>
        <v/>
      </c>
    </row>
    <row r="19" ht="22.5" hidden="1" customHeight="1">
      <c r="A19" s="1056" t="str">
        <f>'R4_G3'!A7</f>
        <v/>
      </c>
      <c r="B19" s="1057" t="str">
        <f>'R4_G3'!B7</f>
        <v/>
      </c>
      <c r="C19" s="1058" t="str">
        <f>'R4_G3'!C7</f>
        <v/>
      </c>
      <c r="D19" s="1059" t="str">
        <f>'R4_G3'!D7</f>
        <v/>
      </c>
      <c r="E19" s="1060">
        <f>'R4_G3'!E7</f>
        <v>0</v>
      </c>
      <c r="F19" s="1060">
        <f>'R4_G3'!F7</f>
        <v>0</v>
      </c>
      <c r="G19" s="1060">
        <f>'R4_G3'!G7</f>
        <v>1</v>
      </c>
      <c r="H19" s="1060">
        <f>'R4_G3'!H7</f>
        <v>0</v>
      </c>
      <c r="I19" s="1060">
        <f>'R4_G3'!I7</f>
        <v>1</v>
      </c>
      <c r="J19" s="1060">
        <f>'R4_G3'!J7</f>
        <v>0</v>
      </c>
      <c r="K19" s="1060">
        <f>'R4_G3'!K7</f>
        <v>0</v>
      </c>
      <c r="L19" s="1060">
        <f>'R4_G3'!L7</f>
        <v>1</v>
      </c>
      <c r="M19" s="1060">
        <f>'R4_G3'!M7</f>
        <v>1</v>
      </c>
      <c r="N19" s="1116" t="str">
        <f>'R4_G3'!N7</f>
        <v/>
      </c>
      <c r="O19" s="1062" t="str">
        <f>'R4_G3'!O7</f>
        <v/>
      </c>
      <c r="P19" s="1063" t="str">
        <f>'R4_G3'!P7</f>
        <v/>
      </c>
      <c r="Q19" s="1060">
        <f>'R4_G3'!Q7</f>
        <v>1</v>
      </c>
      <c r="R19" s="1060">
        <f>'R4_G3'!R7</f>
        <v>0</v>
      </c>
      <c r="S19" s="1060">
        <f>'R4_G3'!S7</f>
        <v>0</v>
      </c>
      <c r="T19" s="1060">
        <f>'R4_G3'!T7</f>
        <v>0</v>
      </c>
      <c r="U19" s="1060">
        <f>'R4_G3'!U7</f>
        <v>1</v>
      </c>
      <c r="V19" s="1060">
        <f>'R4_G3'!V7</f>
        <v>1</v>
      </c>
      <c r="W19" s="1060">
        <f>'R4_G3'!W7</f>
        <v>1</v>
      </c>
      <c r="X19" s="1060">
        <f>'R4_G3'!X7</f>
        <v>1</v>
      </c>
      <c r="Y19" s="1060">
        <f>'R4_G3'!Y7</f>
        <v>0</v>
      </c>
      <c r="Z19" s="1116" t="str">
        <f>'R4_G3'!Z7</f>
        <v/>
      </c>
      <c r="AA19" s="1116" t="str">
        <f>'R4_G3'!AA7</f>
        <v/>
      </c>
      <c r="AB19" s="1064" t="str">
        <f>'R4_G3'!AB7</f>
        <v/>
      </c>
    </row>
    <row r="20" ht="22.5" customHeight="1">
      <c r="A20" s="1065" t="str">
        <f>'R4_G3'!A8</f>
        <v>Pace</v>
      </c>
      <c r="B20" s="1066" t="str">
        <f>'R4_G3'!B8</f>
        <v>Irons</v>
      </c>
      <c r="C20" s="1067">
        <f>'R4_G3'!C8</f>
        <v>9</v>
      </c>
      <c r="D20" s="1068">
        <f>'R4_G3'!D8</f>
        <v>9</v>
      </c>
      <c r="E20" s="1069">
        <f>'R4_G3'!E8</f>
        <v>4</v>
      </c>
      <c r="F20" s="1069">
        <f>'R4_G3'!F8</f>
        <v>6</v>
      </c>
      <c r="G20" s="1069">
        <f>'R4_G3'!G8</f>
        <v>6</v>
      </c>
      <c r="H20" s="1069">
        <f>'R4_G3'!H8</f>
        <v>7</v>
      </c>
      <c r="I20" s="1069">
        <f>'R4_G3'!I8</f>
        <v>6</v>
      </c>
      <c r="J20" s="1069">
        <f>'R4_G3'!J8</f>
        <v>5</v>
      </c>
      <c r="K20" s="1069">
        <f>'R4_G3'!K8</f>
        <v>3</v>
      </c>
      <c r="L20" s="1069">
        <f>'R4_G3'!L8</f>
        <v>8</v>
      </c>
      <c r="M20" s="1069">
        <f>'R4_G3'!M8</f>
        <v>5</v>
      </c>
      <c r="N20" s="1070">
        <f>'R4_G3'!N8</f>
        <v>50</v>
      </c>
      <c r="O20" s="1071" t="str">
        <f>'R4_G3'!O8</f>
        <v/>
      </c>
      <c r="P20" s="1072" t="str">
        <f>'R4_G3'!P8</f>
        <v>Pace</v>
      </c>
      <c r="Q20" s="1069">
        <f>'R4_G3'!Q8</f>
        <v>5</v>
      </c>
      <c r="R20" s="1069">
        <f>'R4_G3'!R8</f>
        <v>4</v>
      </c>
      <c r="S20" s="1069">
        <f>'R4_G3'!S8</f>
        <v>3</v>
      </c>
      <c r="T20" s="1069">
        <f>'R4_G3'!T8</f>
        <v>6</v>
      </c>
      <c r="U20" s="1069">
        <f>'R4_G3'!U8</f>
        <v>6</v>
      </c>
      <c r="V20" s="1069">
        <f>'R4_G3'!V8</f>
        <v>3</v>
      </c>
      <c r="W20" s="1069">
        <f>'R4_G3'!W8</f>
        <v>6</v>
      </c>
      <c r="X20" s="1069">
        <f>'R4_G3'!X8</f>
        <v>6</v>
      </c>
      <c r="Y20" s="1069">
        <f>'R4_G3'!Y8</f>
        <v>6</v>
      </c>
      <c r="Z20" s="1070">
        <f>'R4_G3'!Z8</f>
        <v>45</v>
      </c>
      <c r="AA20" s="1070">
        <f>'R4_G3'!AA8</f>
        <v>95</v>
      </c>
      <c r="AB20" s="1073">
        <f>'R4_G3'!AB8</f>
        <v>86</v>
      </c>
    </row>
    <row r="21" ht="7.5" customHeight="1">
      <c r="A21" s="1074" t="str">
        <f>'R4_G3'!A9</f>
        <v/>
      </c>
      <c r="B21" s="1075" t="str">
        <f>'R4_G3'!B9</f>
        <v/>
      </c>
      <c r="C21" s="1076" t="str">
        <f>'R4_G3'!C9</f>
        <v/>
      </c>
      <c r="D21" s="1077" t="str">
        <f>'R4_G3'!D9</f>
        <v/>
      </c>
      <c r="E21" s="1078" t="str">
        <f>'R4_G3'!E9</f>
        <v>O</v>
      </c>
      <c r="F21" s="1078" t="str">
        <f>'R4_G3'!F9</f>
        <v>O</v>
      </c>
      <c r="G21" s="1078" t="str">
        <f>'R4_G3'!G9</f>
        <v>O</v>
      </c>
      <c r="H21" s="1078" t="str">
        <f>'R4_G3'!H9</f>
        <v>O</v>
      </c>
      <c r="I21" s="1078" t="str">
        <f>'R4_G3'!I9</f>
        <v>O</v>
      </c>
      <c r="J21" s="1078" t="str">
        <f>'R4_G3'!J9</f>
        <v>O</v>
      </c>
      <c r="K21" s="1078" t="str">
        <f>'R4_G3'!K9</f>
        <v>O</v>
      </c>
      <c r="L21" s="1078" t="str">
        <f>'R4_G3'!L9</f>
        <v>O</v>
      </c>
      <c r="M21" s="1078" t="str">
        <f>'R4_G3'!M9</f>
        <v>O</v>
      </c>
      <c r="N21" s="1079" t="str">
        <f>'R4_G3'!N9</f>
        <v/>
      </c>
      <c r="O21" s="1080" t="str">
        <f>'R4_G3'!O9</f>
        <v/>
      </c>
      <c r="P21" s="1081" t="str">
        <f>'R4_G3'!P9</f>
        <v/>
      </c>
      <c r="Q21" s="1078" t="str">
        <f>'R4_G3'!Q9</f>
        <v>O</v>
      </c>
      <c r="R21" s="1078" t="str">
        <f>'R4_G3'!R9</f>
        <v>O</v>
      </c>
      <c r="S21" s="1078" t="str">
        <f>'R4_G3'!S9</f>
        <v>O</v>
      </c>
      <c r="T21" s="1078" t="str">
        <f>'R4_G3'!T9</f>
        <v>O</v>
      </c>
      <c r="U21" s="1078" t="str">
        <f>'R4_G3'!U9</f>
        <v>O</v>
      </c>
      <c r="V21" s="1078" t="str">
        <f>'R4_G3'!V9</f>
        <v>O</v>
      </c>
      <c r="W21" s="1078" t="str">
        <f>'R4_G3'!W9</f>
        <v>O</v>
      </c>
      <c r="X21" s="1078" t="str">
        <f>'R4_G3'!X9</f>
        <v>O</v>
      </c>
      <c r="Y21" s="1078" t="str">
        <f>'R4_G3'!Y9</f>
        <v>O</v>
      </c>
      <c r="Z21" s="1079" t="str">
        <f>'R4_G3'!Z9</f>
        <v/>
      </c>
      <c r="AA21" s="1082" t="str">
        <f>'R4_G3'!AA9</f>
        <v/>
      </c>
      <c r="AB21" s="1083" t="str">
        <f>'R4_G3'!AB9</f>
        <v/>
      </c>
    </row>
    <row r="22" ht="22.5" hidden="1" customHeight="1">
      <c r="A22" s="1084" t="str">
        <f>'R4_G3'!A10</f>
        <v/>
      </c>
      <c r="B22" s="1085" t="str">
        <f>'R4_G3'!B10</f>
        <v/>
      </c>
      <c r="C22" s="1086" t="str">
        <f>'R4_G3'!C10</f>
        <v/>
      </c>
      <c r="D22" s="1087" t="str">
        <f>'R4_G3'!D10</f>
        <v/>
      </c>
      <c r="E22" s="1088">
        <f>'R4_G3'!E10</f>
        <v>1</v>
      </c>
      <c r="F22" s="1088">
        <f>'R4_G3'!F10</f>
        <v>1</v>
      </c>
      <c r="G22" s="1088">
        <f>'R4_G3'!G10</f>
        <v>1</v>
      </c>
      <c r="H22" s="1088">
        <f>'R4_G3'!H10</f>
        <v>1</v>
      </c>
      <c r="I22" s="1088">
        <f>'R4_G3'!I10</f>
        <v>1</v>
      </c>
      <c r="J22" s="1088">
        <f>'R4_G3'!J10</f>
        <v>1</v>
      </c>
      <c r="K22" s="1088">
        <f>'R4_G3'!K10</f>
        <v>1</v>
      </c>
      <c r="L22" s="1088">
        <f>'R4_G3'!L10</f>
        <v>1</v>
      </c>
      <c r="M22" s="1088">
        <f>'R4_G3'!M10</f>
        <v>1</v>
      </c>
      <c r="N22" s="1116" t="str">
        <f>'R4_G3'!N10</f>
        <v/>
      </c>
      <c r="O22" s="1062" t="str">
        <f>'R4_G3'!O10</f>
        <v/>
      </c>
      <c r="P22" s="1089" t="str">
        <f>'R4_G3'!P10</f>
        <v/>
      </c>
      <c r="Q22" s="1088">
        <f>'R4_G3'!Q10</f>
        <v>1</v>
      </c>
      <c r="R22" s="1088">
        <f>'R4_G3'!R10</f>
        <v>1</v>
      </c>
      <c r="S22" s="1088">
        <f>'R4_G3'!S10</f>
        <v>1</v>
      </c>
      <c r="T22" s="1088">
        <f>'R4_G3'!T10</f>
        <v>1</v>
      </c>
      <c r="U22" s="1088">
        <f>'R4_G3'!U10</f>
        <v>1</v>
      </c>
      <c r="V22" s="1088">
        <f>'R4_G3'!V10</f>
        <v>1</v>
      </c>
      <c r="W22" s="1088">
        <f>'R4_G3'!W10</f>
        <v>1</v>
      </c>
      <c r="X22" s="1088">
        <f>'R4_G3'!X10</f>
        <v>1</v>
      </c>
      <c r="Y22" s="1088">
        <f>'R4_G3'!Y10</f>
        <v>1</v>
      </c>
      <c r="Z22" s="1116" t="str">
        <f>'R4_G3'!Z10</f>
        <v/>
      </c>
      <c r="AA22" s="1116" t="str">
        <f>'R4_G3'!AA10</f>
        <v/>
      </c>
      <c r="AB22" s="1064" t="str">
        <f>'R4_G3'!AB10</f>
        <v/>
      </c>
    </row>
    <row r="23" ht="22.5" customHeight="1">
      <c r="A23" s="1090" t="str">
        <f>'R4_G3'!A11</f>
        <v>Carp</v>
      </c>
      <c r="B23" s="1091" t="str">
        <f>'R4_G3'!B11</f>
        <v>Irons</v>
      </c>
      <c r="C23" s="1092">
        <f>'R4_G3'!C11</f>
        <v>18</v>
      </c>
      <c r="D23" s="1093">
        <f>'R4_G3'!D11</f>
        <v>18</v>
      </c>
      <c r="E23" s="1094">
        <f>'R4_G3'!E11</f>
        <v>4</v>
      </c>
      <c r="F23" s="1094">
        <f>'R4_G3'!F11</f>
        <v>7</v>
      </c>
      <c r="G23" s="1094">
        <f>'R4_G3'!G11</f>
        <v>9</v>
      </c>
      <c r="H23" s="1094">
        <f>'R4_G3'!H11</f>
        <v>3</v>
      </c>
      <c r="I23" s="1094">
        <f>'R4_G3'!I11</f>
        <v>5</v>
      </c>
      <c r="J23" s="1094">
        <f>'R4_G3'!J11</f>
        <v>5</v>
      </c>
      <c r="K23" s="1094">
        <f>'R4_G3'!K11</f>
        <v>4</v>
      </c>
      <c r="L23" s="1094">
        <f>'R4_G3'!L11</f>
        <v>6</v>
      </c>
      <c r="M23" s="1094">
        <f>'R4_G3'!M11</f>
        <v>4</v>
      </c>
      <c r="N23" s="1070">
        <f>'R4_G3'!N11</f>
        <v>47</v>
      </c>
      <c r="O23" s="1071" t="str">
        <f>'R4_G3'!O11</f>
        <v/>
      </c>
      <c r="P23" s="1095" t="str">
        <f>'R4_G3'!P11</f>
        <v>Carp</v>
      </c>
      <c r="Q23" s="1094">
        <f>'R4_G3'!Q11</f>
        <v>6</v>
      </c>
      <c r="R23" s="1094">
        <f>'R4_G3'!R11</f>
        <v>5</v>
      </c>
      <c r="S23" s="1094">
        <f>'R4_G3'!S11</f>
        <v>4</v>
      </c>
      <c r="T23" s="1094">
        <f>'R4_G3'!T11</f>
        <v>7</v>
      </c>
      <c r="U23" s="1094">
        <f>'R4_G3'!U11</f>
        <v>7</v>
      </c>
      <c r="V23" s="1094">
        <f>'R4_G3'!V11</f>
        <v>3</v>
      </c>
      <c r="W23" s="1094">
        <f>'R4_G3'!W11</f>
        <v>7</v>
      </c>
      <c r="X23" s="1094">
        <f>'R4_G3'!X11</f>
        <v>5</v>
      </c>
      <c r="Y23" s="1094">
        <f>'R4_G3'!Y11</f>
        <v>7</v>
      </c>
      <c r="Z23" s="1070">
        <f>'R4_G3'!Z11</f>
        <v>51</v>
      </c>
      <c r="AA23" s="1070">
        <f>'R4_G3'!AA11</f>
        <v>98</v>
      </c>
      <c r="AB23" s="1073">
        <f>'R4_G3'!AB11</f>
        <v>80</v>
      </c>
    </row>
    <row r="24" ht="7.5" customHeight="1">
      <c r="A24" s="1096" t="str">
        <f>'R4_G3'!A12</f>
        <v/>
      </c>
      <c r="B24" s="1097" t="str">
        <f>'R4_G3'!B12</f>
        <v/>
      </c>
      <c r="C24" s="1098" t="str">
        <f>'R4_G3'!C12</f>
        <v/>
      </c>
      <c r="D24" s="1099" t="str">
        <f>'R4_G3'!D12</f>
        <v/>
      </c>
      <c r="E24" s="1100" t="str">
        <f>'R4_G3'!E12</f>
        <v/>
      </c>
      <c r="F24" s="1100" t="str">
        <f>'R4_G3'!F12</f>
        <v/>
      </c>
      <c r="G24" s="1100" t="str">
        <f>'R4_G3'!G12</f>
        <v>O</v>
      </c>
      <c r="H24" s="1100" t="str">
        <f>'R4_G3'!H12</f>
        <v/>
      </c>
      <c r="I24" s="1100" t="str">
        <f>'R4_G3'!I12</f>
        <v>O</v>
      </c>
      <c r="J24" s="1100" t="str">
        <f>'R4_G3'!J12</f>
        <v/>
      </c>
      <c r="K24" s="1100" t="str">
        <f>'R4_G3'!K12</f>
        <v/>
      </c>
      <c r="L24" s="1100" t="str">
        <f>'R4_G3'!L12</f>
        <v>O</v>
      </c>
      <c r="M24" s="1100" t="str">
        <f>'R4_G3'!M12</f>
        <v>O</v>
      </c>
      <c r="N24" s="1101" t="str">
        <f>'R4_G3'!N12</f>
        <v/>
      </c>
      <c r="O24" s="1102" t="str">
        <f>'R4_G3'!O12</f>
        <v/>
      </c>
      <c r="P24" s="1103" t="str">
        <f>'R4_G3'!P12</f>
        <v/>
      </c>
      <c r="Q24" s="1100" t="str">
        <f>'R4_G3'!Q12</f>
        <v>O</v>
      </c>
      <c r="R24" s="1100" t="str">
        <f>'R4_G3'!R12</f>
        <v/>
      </c>
      <c r="S24" s="1100" t="str">
        <f>'R4_G3'!S12</f>
        <v/>
      </c>
      <c r="T24" s="1100" t="str">
        <f>'R4_G3'!T12</f>
        <v/>
      </c>
      <c r="U24" s="1100" t="str">
        <f>'R4_G3'!U12</f>
        <v>O</v>
      </c>
      <c r="V24" s="1100" t="str">
        <f>'R4_G3'!V12</f>
        <v/>
      </c>
      <c r="W24" s="1100" t="str">
        <f>'R4_G3'!W12</f>
        <v>O</v>
      </c>
      <c r="X24" s="1100" t="str">
        <f>'R4_G3'!X12</f>
        <v>O</v>
      </c>
      <c r="Y24" s="1100" t="str">
        <f>'R4_G3'!Y12</f>
        <v/>
      </c>
      <c r="Z24" s="1079" t="str">
        <f>'R4_G3'!Z12</f>
        <v/>
      </c>
      <c r="AA24" s="1082" t="str">
        <f>'R4_G3'!AA12</f>
        <v/>
      </c>
      <c r="AB24" s="1104" t="str">
        <f>'R4_G3'!AB12</f>
        <v/>
      </c>
    </row>
    <row r="25" ht="22.5" hidden="1" customHeight="1">
      <c r="A25" s="1056" t="str">
        <f>'R4_G3'!A13</f>
        <v/>
      </c>
      <c r="B25" s="1057" t="str">
        <f>'R4_G3'!B13</f>
        <v/>
      </c>
      <c r="C25" s="1058" t="str">
        <f>'R4_G3'!C13</f>
        <v/>
      </c>
      <c r="D25" s="1059" t="str">
        <f>'R4_G3'!D13</f>
        <v/>
      </c>
      <c r="E25" s="1060">
        <f>'R4_G3'!E13</f>
        <v>0</v>
      </c>
      <c r="F25" s="1060">
        <f>'R4_G3'!F13</f>
        <v>0</v>
      </c>
      <c r="G25" s="1060">
        <f>'R4_G3'!G13</f>
        <v>1</v>
      </c>
      <c r="H25" s="1060">
        <f>'R4_G3'!H13</f>
        <v>0</v>
      </c>
      <c r="I25" s="1060">
        <f>'R4_G3'!I13</f>
        <v>1</v>
      </c>
      <c r="J25" s="1060">
        <f>'R4_G3'!J13</f>
        <v>0</v>
      </c>
      <c r="K25" s="1060">
        <f>'R4_G3'!K13</f>
        <v>0</v>
      </c>
      <c r="L25" s="1060">
        <f>'R4_G3'!L13</f>
        <v>1</v>
      </c>
      <c r="M25" s="1060">
        <f>'R4_G3'!M13</f>
        <v>1</v>
      </c>
      <c r="N25" s="1116" t="str">
        <f>'R4_G3'!N13</f>
        <v/>
      </c>
      <c r="O25" s="1062" t="str">
        <f>'R4_G3'!O13</f>
        <v/>
      </c>
      <c r="P25" s="1063" t="str">
        <f>'R4_G3'!P13</f>
        <v/>
      </c>
      <c r="Q25" s="1060">
        <f>'R4_G3'!Q13</f>
        <v>1</v>
      </c>
      <c r="R25" s="1060">
        <f>'R4_G3'!R13</f>
        <v>0</v>
      </c>
      <c r="S25" s="1060">
        <f>'R4_G3'!S13</f>
        <v>0</v>
      </c>
      <c r="T25" s="1060">
        <f>'R4_G3'!T13</f>
        <v>0</v>
      </c>
      <c r="U25" s="1060">
        <f>'R4_G3'!U13</f>
        <v>1</v>
      </c>
      <c r="V25" s="1060">
        <f>'R4_G3'!V13</f>
        <v>0</v>
      </c>
      <c r="W25" s="1060">
        <f>'R4_G3'!W13</f>
        <v>1</v>
      </c>
      <c r="X25" s="1060">
        <f>'R4_G3'!X13</f>
        <v>1</v>
      </c>
      <c r="Y25" s="1060">
        <f>'R4_G3'!Y13</f>
        <v>0</v>
      </c>
      <c r="Z25" s="1116" t="str">
        <f>'R4_G3'!Z13</f>
        <v/>
      </c>
      <c r="AA25" s="1116" t="str">
        <f>'R4_G3'!AA13</f>
        <v/>
      </c>
      <c r="AB25" s="1064" t="str">
        <f>'R4_G3'!AB13</f>
        <v/>
      </c>
    </row>
    <row r="26" ht="22.5" customHeight="1">
      <c r="A26" s="1065" t="str">
        <f>'R4_G3'!A14</f>
        <v>Andy</v>
      </c>
      <c r="B26" s="1066" t="str">
        <f>'R4_G3'!B14</f>
        <v>Irons</v>
      </c>
      <c r="C26" s="1067">
        <f>'R4_G3'!C14</f>
        <v>8</v>
      </c>
      <c r="D26" s="1068">
        <f>'R4_G3'!D14</f>
        <v>8</v>
      </c>
      <c r="E26" s="1069">
        <f>'R4_G3'!E14</f>
        <v>5</v>
      </c>
      <c r="F26" s="1069">
        <f>'R4_G3'!F14</f>
        <v>5</v>
      </c>
      <c r="G26" s="1069">
        <f>'R4_G3'!G14</f>
        <v>6</v>
      </c>
      <c r="H26" s="1069">
        <f>'R4_G3'!H14</f>
        <v>4</v>
      </c>
      <c r="I26" s="1069">
        <f>'R4_G3'!I14</f>
        <v>5</v>
      </c>
      <c r="J26" s="1069">
        <f>'R4_G3'!J14</f>
        <v>5</v>
      </c>
      <c r="K26" s="1069">
        <f>'R4_G3'!K14</f>
        <v>3</v>
      </c>
      <c r="L26" s="1069">
        <f>'R4_G3'!L14</f>
        <v>5</v>
      </c>
      <c r="M26" s="1069">
        <f>'R4_G3'!M14</f>
        <v>5</v>
      </c>
      <c r="N26" s="1070">
        <f>'R4_G3'!N14</f>
        <v>43</v>
      </c>
      <c r="O26" s="1071" t="str">
        <f>'R4_G3'!O14</f>
        <v/>
      </c>
      <c r="P26" s="1072" t="str">
        <f>'R4_G3'!P14</f>
        <v>Andy</v>
      </c>
      <c r="Q26" s="1069">
        <f>'R4_G3'!Q14</f>
        <v>5</v>
      </c>
      <c r="R26" s="1069">
        <f>'R4_G3'!R14</f>
        <v>5</v>
      </c>
      <c r="S26" s="1069">
        <f>'R4_G3'!S14</f>
        <v>3</v>
      </c>
      <c r="T26" s="1069">
        <f>'R4_G3'!T14</f>
        <v>6</v>
      </c>
      <c r="U26" s="1069">
        <f>'R4_G3'!U14</f>
        <v>4</v>
      </c>
      <c r="V26" s="1069">
        <f>'R4_G3'!V14</f>
        <v>3</v>
      </c>
      <c r="W26" s="1069">
        <f>'R4_G3'!W14</f>
        <v>6</v>
      </c>
      <c r="X26" s="1069">
        <f>'R4_G3'!X14</f>
        <v>4</v>
      </c>
      <c r="Y26" s="1069">
        <f>'R4_G3'!Y14</f>
        <v>6</v>
      </c>
      <c r="Z26" s="1070">
        <f>'R4_G3'!Z14</f>
        <v>42</v>
      </c>
      <c r="AA26" s="1070">
        <f>'R4_G3'!AA14</f>
        <v>85</v>
      </c>
      <c r="AB26" s="1073">
        <f>'R4_G3'!AB14</f>
        <v>77</v>
      </c>
    </row>
    <row r="27" ht="7.5" customHeight="1">
      <c r="A27" s="1105" t="str">
        <f>'R4_G3'!A15</f>
        <v/>
      </c>
      <c r="B27" s="1106" t="str">
        <f>'R4_G3'!B15</f>
        <v/>
      </c>
      <c r="C27" s="1107" t="str">
        <f>'R4_G3'!C15</f>
        <v/>
      </c>
      <c r="D27" s="1108" t="str">
        <f>'R4_G3'!D15</f>
        <v/>
      </c>
      <c r="E27" s="1109" t="str">
        <f>'R4_G3'!E15</f>
        <v>O   O</v>
      </c>
      <c r="F27" s="1109" t="str">
        <f>'R4_G3'!F15</f>
        <v>O</v>
      </c>
      <c r="G27" s="1109" t="str">
        <f>'R4_G3'!G15</f>
        <v>O   O</v>
      </c>
      <c r="H27" s="1109" t="str">
        <f>'R4_G3'!H15</f>
        <v>O   O</v>
      </c>
      <c r="I27" s="1109" t="str">
        <f>'R4_G3'!I15</f>
        <v>O   O</v>
      </c>
      <c r="J27" s="1109" t="str">
        <f>'R4_G3'!J15</f>
        <v>O   O</v>
      </c>
      <c r="K27" s="1109" t="str">
        <f>'R4_G3'!K15</f>
        <v>O   O</v>
      </c>
      <c r="L27" s="1109" t="str">
        <f>'R4_G3'!L15</f>
        <v>O   O</v>
      </c>
      <c r="M27" s="1109" t="str">
        <f>'R4_G3'!M15</f>
        <v>O   O</v>
      </c>
      <c r="N27" s="1110" t="str">
        <f>'R4_G3'!N15</f>
        <v/>
      </c>
      <c r="O27" s="1111" t="str">
        <f>'R4_G3'!O15</f>
        <v/>
      </c>
      <c r="P27" s="1112" t="str">
        <f>'R4_G3'!P15</f>
        <v/>
      </c>
      <c r="Q27" s="1109" t="str">
        <f>'R4_G3'!Q15</f>
        <v>O   O</v>
      </c>
      <c r="R27" s="1109" t="str">
        <f>'R4_G3'!R15</f>
        <v>O   O</v>
      </c>
      <c r="S27" s="1109" t="str">
        <f>'R4_G3'!S15</f>
        <v>O   O</v>
      </c>
      <c r="T27" s="1109" t="str">
        <f>'R4_G3'!T15</f>
        <v>O   O</v>
      </c>
      <c r="U27" s="1109" t="str">
        <f>'R4_G3'!U15</f>
        <v>O   O</v>
      </c>
      <c r="V27" s="1109" t="str">
        <f>'R4_G3'!V15</f>
        <v>O   O</v>
      </c>
      <c r="W27" s="1109" t="str">
        <f>'R4_G3'!W15</f>
        <v>O   O</v>
      </c>
      <c r="X27" s="1109" t="str">
        <f>'R4_G3'!X15</f>
        <v>O   O</v>
      </c>
      <c r="Y27" s="1109" t="str">
        <f>'R4_G3'!Y15</f>
        <v>O</v>
      </c>
      <c r="Z27" s="1110" t="str">
        <f>'R4_G3'!Z15</f>
        <v/>
      </c>
      <c r="AA27" s="1113" t="str">
        <f>'R4_G3'!AA15</f>
        <v/>
      </c>
      <c r="AB27" s="1104" t="str">
        <f>'R4_G3'!AB15</f>
        <v/>
      </c>
    </row>
    <row r="28" ht="22.5" hidden="1" customHeight="1">
      <c r="A28" s="1084" t="str">
        <f>'R4_G3'!A16</f>
        <v/>
      </c>
      <c r="B28" s="1085" t="str">
        <f>'R4_G3'!B16</f>
        <v/>
      </c>
      <c r="C28" s="1086" t="str">
        <f>'R4_G3'!C16</f>
        <v/>
      </c>
      <c r="D28" s="1087" t="str">
        <f>'R4_G3'!D16</f>
        <v/>
      </c>
      <c r="E28" s="1088">
        <f>'R4_G3'!E16</f>
        <v>2</v>
      </c>
      <c r="F28" s="1088">
        <f>'R4_G3'!F16</f>
        <v>1</v>
      </c>
      <c r="G28" s="1088">
        <f>'R4_G3'!G16</f>
        <v>2</v>
      </c>
      <c r="H28" s="1088">
        <f>'R4_G3'!H16</f>
        <v>2</v>
      </c>
      <c r="I28" s="1088">
        <f>'R4_G3'!I16</f>
        <v>2</v>
      </c>
      <c r="J28" s="1088">
        <f>'R4_G3'!J16</f>
        <v>2</v>
      </c>
      <c r="K28" s="1088">
        <f>'R4_G3'!K16</f>
        <v>2</v>
      </c>
      <c r="L28" s="1088">
        <f>'R4_G3'!L16</f>
        <v>2</v>
      </c>
      <c r="M28" s="1088">
        <f>'R4_G3'!M16</f>
        <v>2</v>
      </c>
      <c r="N28" s="1116" t="str">
        <f>'R4_G3'!N16</f>
        <v/>
      </c>
      <c r="O28" s="1062" t="str">
        <f>'R4_G3'!O16</f>
        <v/>
      </c>
      <c r="P28" s="1089" t="str">
        <f>'R4_G3'!P16</f>
        <v/>
      </c>
      <c r="Q28" s="1088">
        <f>'R4_G3'!Q16</f>
        <v>2</v>
      </c>
      <c r="R28" s="1088">
        <f>'R4_G3'!R16</f>
        <v>2</v>
      </c>
      <c r="S28" s="1088">
        <f>'R4_G3'!S16</f>
        <v>2</v>
      </c>
      <c r="T28" s="1088">
        <f>'R4_G3'!T16</f>
        <v>2</v>
      </c>
      <c r="U28" s="1088">
        <f>'R4_G3'!U16</f>
        <v>2</v>
      </c>
      <c r="V28" s="1088">
        <f>'R4_G3'!V16</f>
        <v>2</v>
      </c>
      <c r="W28" s="1088">
        <f>'R4_G3'!W16</f>
        <v>2</v>
      </c>
      <c r="X28" s="1088">
        <f>'R4_G3'!X16</f>
        <v>2</v>
      </c>
      <c r="Y28" s="1088">
        <f>'R4_G3'!Y16</f>
        <v>1</v>
      </c>
      <c r="Z28" s="1116" t="str">
        <f>'R4_G3'!Z16</f>
        <v/>
      </c>
      <c r="AA28" s="1117" t="str">
        <f>'R4_G3'!AA16</f>
        <v/>
      </c>
      <c r="AB28" s="1064" t="str">
        <f>'R4_G3'!AB16</f>
        <v/>
      </c>
    </row>
    <row r="29" ht="22.5" customHeight="1">
      <c r="A29" s="1115" t="str">
        <f>'R4_G3'!A17</f>
        <v>Saugy</v>
      </c>
      <c r="B29" s="1091" t="str">
        <f>'R4_G3'!B17</f>
        <v>Irons</v>
      </c>
      <c r="C29" s="1092">
        <f>'R4_G3'!C17</f>
        <v>34</v>
      </c>
      <c r="D29" s="1093">
        <f>'R4_G3'!D17</f>
        <v>34</v>
      </c>
      <c r="E29" s="1094">
        <f>'R4_G3'!E17</f>
        <v>7</v>
      </c>
      <c r="F29" s="1094">
        <f>'R4_G3'!F17</f>
        <v>9</v>
      </c>
      <c r="G29" s="1094">
        <f>'R4_G3'!G17</f>
        <v>4</v>
      </c>
      <c r="H29" s="1094">
        <f>'R4_G3'!H17</f>
        <v>6</v>
      </c>
      <c r="I29" s="1094">
        <f>'R4_G3'!I17</f>
        <v>6</v>
      </c>
      <c r="J29" s="1094">
        <f>'R4_G3'!J17</f>
        <v>8</v>
      </c>
      <c r="K29" s="1094">
        <f>'R4_G3'!K17</f>
        <v>3</v>
      </c>
      <c r="L29" s="1094">
        <f>'R4_G3'!L17</f>
        <v>7</v>
      </c>
      <c r="M29" s="1094">
        <f>'R4_G3'!M17</f>
        <v>8</v>
      </c>
      <c r="N29" s="1070">
        <f>'R4_G3'!N17</f>
        <v>58</v>
      </c>
      <c r="O29" s="1071" t="str">
        <f>'R4_G3'!O17</f>
        <v/>
      </c>
      <c r="P29" s="1095" t="str">
        <f>'R4_G3'!P17</f>
        <v>Saugy</v>
      </c>
      <c r="Q29" s="1094">
        <f>'R4_G3'!Q17</f>
        <v>7</v>
      </c>
      <c r="R29" s="1094">
        <f>'R4_G3'!R17</f>
        <v>4</v>
      </c>
      <c r="S29" s="1094">
        <f>'R4_G3'!S17</f>
        <v>4</v>
      </c>
      <c r="T29" s="1094">
        <f>'R4_G3'!T17</f>
        <v>8</v>
      </c>
      <c r="U29" s="1094">
        <f>'R4_G3'!U17</f>
        <v>5</v>
      </c>
      <c r="V29" s="1094">
        <f>'R4_G3'!V17</f>
        <v>3</v>
      </c>
      <c r="W29" s="1094">
        <f>'R4_G3'!W17</f>
        <v>6</v>
      </c>
      <c r="X29" s="1094">
        <f>'R4_G3'!X17</f>
        <v>6</v>
      </c>
      <c r="Y29" s="1094">
        <f>'R4_G3'!Y17</f>
        <v>5</v>
      </c>
      <c r="Z29" s="1070">
        <f>'R4_G3'!Z17</f>
        <v>48</v>
      </c>
      <c r="AA29" s="1070">
        <f>'R4_G3'!AA17</f>
        <v>106</v>
      </c>
      <c r="AB29" s="1073">
        <f>'R4_G3'!AB17</f>
        <v>72</v>
      </c>
    </row>
    <row r="30" ht="18.75" customHeight="1">
      <c r="Z30" s="649"/>
      <c r="AA30" s="649"/>
      <c r="AB30" s="649"/>
    </row>
    <row r="31">
      <c r="Z31" s="649"/>
      <c r="AA31" s="649"/>
      <c r="AB31" s="649"/>
    </row>
    <row r="32" ht="18.75" customHeight="1">
      <c r="C32" s="1118"/>
      <c r="D32" s="1119" t="s">
        <v>113</v>
      </c>
      <c r="E32" s="1120">
        <v>1.0</v>
      </c>
      <c r="F32" s="1121">
        <v>2.0</v>
      </c>
      <c r="G32" s="1121">
        <v>3.0</v>
      </c>
      <c r="H32" s="1121">
        <v>4.0</v>
      </c>
      <c r="I32" s="1121">
        <v>5.0</v>
      </c>
      <c r="J32" s="1121">
        <v>6.0</v>
      </c>
      <c r="K32" s="1121">
        <v>7.0</v>
      </c>
      <c r="L32" s="1121">
        <v>8.0</v>
      </c>
      <c r="M32" s="1121">
        <v>9.0</v>
      </c>
      <c r="N32" s="1122"/>
      <c r="O32" s="1123"/>
      <c r="P32" s="1119" t="s">
        <v>113</v>
      </c>
      <c r="Q32" s="1120">
        <v>10.0</v>
      </c>
      <c r="R32" s="1121">
        <v>11.0</v>
      </c>
      <c r="S32" s="1121">
        <v>12.0</v>
      </c>
      <c r="T32" s="1121">
        <v>13.0</v>
      </c>
      <c r="U32" s="1121">
        <v>14.0</v>
      </c>
      <c r="V32" s="1121">
        <v>15.0</v>
      </c>
      <c r="W32" s="1121">
        <v>16.0</v>
      </c>
      <c r="X32" s="1121">
        <v>17.0</v>
      </c>
      <c r="Y32" s="1121">
        <v>18.0</v>
      </c>
      <c r="Z32" s="649"/>
      <c r="AA32" s="649"/>
      <c r="AB32" s="649"/>
    </row>
    <row r="33" ht="18.75" customHeight="1">
      <c r="C33" s="1124"/>
      <c r="D33" s="1125" t="s">
        <v>114</v>
      </c>
      <c r="E33" s="1126">
        <f t="shared" ref="E33:M33" si="1">E4</f>
        <v>4</v>
      </c>
      <c r="F33" s="1126">
        <f t="shared" si="1"/>
        <v>5</v>
      </c>
      <c r="G33" s="1126">
        <f t="shared" si="1"/>
        <v>4</v>
      </c>
      <c r="H33" s="1126">
        <f t="shared" si="1"/>
        <v>3</v>
      </c>
      <c r="I33" s="1126">
        <f t="shared" si="1"/>
        <v>4</v>
      </c>
      <c r="J33" s="1126">
        <f t="shared" si="1"/>
        <v>5</v>
      </c>
      <c r="K33" s="1126">
        <f t="shared" si="1"/>
        <v>3</v>
      </c>
      <c r="L33" s="1126">
        <f t="shared" si="1"/>
        <v>4</v>
      </c>
      <c r="M33" s="1126">
        <f t="shared" si="1"/>
        <v>4</v>
      </c>
      <c r="N33" s="1122"/>
      <c r="O33" s="1127"/>
      <c r="P33" s="1125" t="s">
        <v>114</v>
      </c>
      <c r="Q33" s="1126">
        <f t="shared" ref="Q33:Y33" si="2">Q4</f>
        <v>4</v>
      </c>
      <c r="R33" s="1126">
        <f t="shared" si="2"/>
        <v>4</v>
      </c>
      <c r="S33" s="1126">
        <f t="shared" si="2"/>
        <v>3</v>
      </c>
      <c r="T33" s="1126">
        <f t="shared" si="2"/>
        <v>5</v>
      </c>
      <c r="U33" s="1126">
        <f t="shared" si="2"/>
        <v>4</v>
      </c>
      <c r="V33" s="1126">
        <f t="shared" si="2"/>
        <v>3</v>
      </c>
      <c r="W33" s="1126">
        <f t="shared" si="2"/>
        <v>4</v>
      </c>
      <c r="X33" s="1126">
        <f t="shared" si="2"/>
        <v>4</v>
      </c>
      <c r="Y33" s="1126">
        <f t="shared" si="2"/>
        <v>5</v>
      </c>
      <c r="Z33" s="649"/>
      <c r="AA33" s="649"/>
      <c r="AB33" s="649"/>
    </row>
    <row r="34" ht="18.0" hidden="1" customHeight="1">
      <c r="C34" s="1128"/>
      <c r="D34" s="1129" t="s">
        <v>115</v>
      </c>
      <c r="E34" s="1130">
        <f>'R4_G1'!E23</f>
        <v>17</v>
      </c>
      <c r="F34" s="1130">
        <f>'R4_G1'!F23</f>
        <v>27</v>
      </c>
      <c r="G34" s="1130">
        <f>'R4_G1'!G23</f>
        <v>21</v>
      </c>
      <c r="H34" s="1130">
        <f>'R4_G1'!H23</f>
        <v>16</v>
      </c>
      <c r="I34" s="1130">
        <f>'R4_G1'!I23</f>
        <v>18</v>
      </c>
      <c r="J34" s="1130">
        <f>'R4_G1'!J23</f>
        <v>25</v>
      </c>
      <c r="K34" s="1130">
        <f>'R4_G1'!K23</f>
        <v>13</v>
      </c>
      <c r="L34" s="1130">
        <f>'R4_G1'!L23</f>
        <v>18</v>
      </c>
      <c r="M34" s="1130">
        <f>'R4_G1'!M23</f>
        <v>18</v>
      </c>
      <c r="N34" s="1131"/>
      <c r="O34" s="1132"/>
      <c r="P34" s="1133"/>
      <c r="Q34" s="1134">
        <f>'R4_G1'!Q23</f>
        <v>25</v>
      </c>
      <c r="R34" s="1130">
        <f>'R4_G1'!R23</f>
        <v>22</v>
      </c>
      <c r="S34" s="1130">
        <f>'R4_G1'!S23</f>
        <v>17</v>
      </c>
      <c r="T34" s="1130">
        <f>'R4_G1'!T23</f>
        <v>32</v>
      </c>
      <c r="U34" s="1130">
        <f>'R4_G1'!U23</f>
        <v>18</v>
      </c>
      <c r="V34" s="1130">
        <f>'R4_G1'!V23</f>
        <v>15</v>
      </c>
      <c r="W34" s="1130">
        <f>'R4_G1'!W23</f>
        <v>26</v>
      </c>
      <c r="X34" s="1130">
        <f>'R4_G1'!X23</f>
        <v>23</v>
      </c>
      <c r="Y34" s="1130">
        <f>'R4_G1'!Y23</f>
        <v>31</v>
      </c>
      <c r="Z34" s="649"/>
      <c r="AA34" s="649"/>
      <c r="AB34" s="649"/>
    </row>
    <row r="35" ht="18.0" hidden="1" customHeight="1">
      <c r="C35" s="1128"/>
      <c r="D35" s="1129" t="s">
        <v>116</v>
      </c>
      <c r="E35" s="1135">
        <f>'R4_G1'!E20</f>
        <v>3.4</v>
      </c>
      <c r="F35" s="1135">
        <f>'R4_G1'!F20</f>
        <v>5.4</v>
      </c>
      <c r="G35" s="1135">
        <f>'R4_G1'!G20</f>
        <v>4.2</v>
      </c>
      <c r="H35" s="1135">
        <f>'R4_G1'!H20</f>
        <v>3.2</v>
      </c>
      <c r="I35" s="1135">
        <f>'R4_G1'!I20</f>
        <v>3.6</v>
      </c>
      <c r="J35" s="1135">
        <f>'R4_G1'!J20</f>
        <v>5</v>
      </c>
      <c r="K35" s="1135">
        <f>'R4_G1'!K20</f>
        <v>2.6</v>
      </c>
      <c r="L35" s="1135">
        <f>'R4_G1'!L20</f>
        <v>3.6</v>
      </c>
      <c r="M35" s="1135">
        <f>'R4_G1'!M20</f>
        <v>3.6</v>
      </c>
      <c r="N35" s="1131"/>
      <c r="O35" s="1132"/>
      <c r="P35" s="1133"/>
      <c r="Q35" s="1136">
        <f>'R4_G1'!Q20</f>
        <v>4.166666667</v>
      </c>
      <c r="R35" s="1135">
        <f>'R4_G1'!R20</f>
        <v>3.666666667</v>
      </c>
      <c r="S35" s="1135">
        <f>'R4_G1'!S20</f>
        <v>2.833333333</v>
      </c>
      <c r="T35" s="1135">
        <f>'R4_G1'!T20</f>
        <v>5.333333333</v>
      </c>
      <c r="U35" s="1135">
        <f>'R4_G1'!U20</f>
        <v>3</v>
      </c>
      <c r="V35" s="1135">
        <f>'R4_G1'!V20</f>
        <v>2.5</v>
      </c>
      <c r="W35" s="1135">
        <f>'R4_G1'!W20</f>
        <v>4.333333333</v>
      </c>
      <c r="X35" s="1135">
        <f>'R4_G1'!X20</f>
        <v>3.833333333</v>
      </c>
      <c r="Y35" s="1135">
        <f>'R4_G1'!Y20</f>
        <v>5.166666667</v>
      </c>
      <c r="Z35" s="473"/>
      <c r="AA35" s="649"/>
      <c r="AB35" s="649"/>
    </row>
    <row r="36" ht="9.0" customHeight="1">
      <c r="A36" s="649"/>
      <c r="B36" s="649"/>
      <c r="C36" s="649"/>
      <c r="D36" s="649"/>
      <c r="E36" s="649"/>
      <c r="F36" s="649"/>
      <c r="G36" s="649"/>
      <c r="H36" s="649"/>
      <c r="I36" s="649"/>
      <c r="J36" s="649"/>
      <c r="K36" s="649"/>
      <c r="L36" s="649"/>
      <c r="M36" s="649"/>
      <c r="N36" s="649"/>
      <c r="O36" s="649"/>
      <c r="P36" s="649"/>
      <c r="Q36" s="649"/>
      <c r="R36" s="649"/>
      <c r="S36" s="649"/>
      <c r="T36" s="649"/>
      <c r="U36" s="649"/>
      <c r="V36" s="649"/>
      <c r="W36" s="649"/>
      <c r="X36" s="649"/>
      <c r="Y36" s="649"/>
      <c r="Z36" s="473"/>
      <c r="AA36" s="649"/>
      <c r="AB36" s="649"/>
    </row>
    <row r="37" ht="27.0" customHeight="1">
      <c r="A37" s="649"/>
      <c r="B37" s="649"/>
      <c r="C37" s="1137"/>
      <c r="D37" s="1138" t="s">
        <v>117</v>
      </c>
      <c r="E37" s="1139">
        <f>'R4_G1'!E21</f>
        <v>-3</v>
      </c>
      <c r="F37" s="1139">
        <f>'R4_G1'!F21</f>
        <v>2</v>
      </c>
      <c r="G37" s="1139">
        <f>'R4_G1'!G21</f>
        <v>1</v>
      </c>
      <c r="H37" s="1139">
        <f>'R4_G1'!H21</f>
        <v>1</v>
      </c>
      <c r="I37" s="1139">
        <f>'R4_G1'!I21</f>
        <v>-2</v>
      </c>
      <c r="J37" s="1139">
        <f>'R4_G1'!J21</f>
        <v>0</v>
      </c>
      <c r="K37" s="1139">
        <f>'R4_G1'!K21</f>
        <v>-2</v>
      </c>
      <c r="L37" s="1139">
        <f>'R4_G1'!L21</f>
        <v>-2</v>
      </c>
      <c r="M37" s="1139">
        <f>'R4_G1'!M21</f>
        <v>-2</v>
      </c>
      <c r="N37" s="1122"/>
      <c r="O37" s="1140"/>
      <c r="P37" s="1141" t="s">
        <v>117</v>
      </c>
      <c r="Q37" s="1142">
        <f>'R4_G1'!Q21</f>
        <v>1</v>
      </c>
      <c r="R37" s="1139">
        <f>'R4_G1'!R21</f>
        <v>-2</v>
      </c>
      <c r="S37" s="1139">
        <f>'R4_G1'!S21</f>
        <v>-1</v>
      </c>
      <c r="T37" s="1139">
        <f>'R4_G1'!T21</f>
        <v>2</v>
      </c>
      <c r="U37" s="1139">
        <f>'R4_G1'!U21</f>
        <v>-6</v>
      </c>
      <c r="V37" s="1139">
        <f>'R4_G1'!V21</f>
        <v>-3</v>
      </c>
      <c r="W37" s="1139">
        <f>'R4_G1'!W21</f>
        <v>2</v>
      </c>
      <c r="X37" s="1139">
        <f>'R4_G1'!X21</f>
        <v>-1</v>
      </c>
      <c r="Y37" s="1139">
        <f>'R4_G1'!Y21</f>
        <v>1</v>
      </c>
      <c r="Z37" s="473"/>
      <c r="AA37" s="649"/>
      <c r="AB37" s="649"/>
    </row>
    <row r="38" ht="9.0" customHeight="1">
      <c r="A38" s="649"/>
      <c r="B38" s="649"/>
      <c r="C38" s="649"/>
      <c r="D38" s="649"/>
      <c r="E38" s="649"/>
      <c r="F38" s="649"/>
      <c r="G38" s="649"/>
      <c r="H38" s="649"/>
      <c r="I38" s="649"/>
      <c r="J38" s="649"/>
      <c r="K38" s="649"/>
      <c r="L38" s="649"/>
      <c r="M38" s="649"/>
      <c r="N38" s="649"/>
      <c r="O38" s="649"/>
      <c r="P38" s="649"/>
      <c r="Q38" s="649"/>
      <c r="R38" s="649"/>
      <c r="S38" s="649"/>
      <c r="T38" s="649"/>
      <c r="U38" s="649"/>
      <c r="V38" s="649"/>
      <c r="W38" s="649"/>
      <c r="X38" s="649"/>
      <c r="Y38" s="649"/>
      <c r="Z38" s="649"/>
      <c r="AA38" s="661"/>
      <c r="AB38" s="662"/>
    </row>
    <row r="39" ht="18.75" customHeight="1">
      <c r="A39" s="649" t="str">
        <f>A8</f>
        <v>Jensen</v>
      </c>
      <c r="B39" s="649"/>
      <c r="C39" s="1143"/>
      <c r="D39" s="1144" t="str">
        <f t="shared" ref="D39:D46" si="5">A39</f>
        <v>Jensen</v>
      </c>
      <c r="E39" s="1145">
        <f t="shared" ref="E39:M39" si="3">E8-E7</f>
        <v>3</v>
      </c>
      <c r="F39" s="1146">
        <f t="shared" si="3"/>
        <v>7</v>
      </c>
      <c r="G39" s="1146">
        <f t="shared" si="3"/>
        <v>4</v>
      </c>
      <c r="H39" s="1146">
        <f t="shared" si="3"/>
        <v>3</v>
      </c>
      <c r="I39" s="1146">
        <f t="shared" si="3"/>
        <v>3</v>
      </c>
      <c r="J39" s="1146">
        <f t="shared" si="3"/>
        <v>5</v>
      </c>
      <c r="K39" s="1146">
        <f t="shared" si="3"/>
        <v>3</v>
      </c>
      <c r="L39" s="1146">
        <f t="shared" si="3"/>
        <v>4</v>
      </c>
      <c r="M39" s="1146">
        <f t="shared" si="3"/>
        <v>3</v>
      </c>
      <c r="N39" s="1147"/>
      <c r="O39" s="1143"/>
      <c r="P39" s="1144" t="str">
        <f t="shared" ref="P39:P46" si="7">D39</f>
        <v>Jensen</v>
      </c>
      <c r="Q39" s="1146">
        <f t="shared" ref="Q39:Y39" si="4">Q8-Q7</f>
        <v>5</v>
      </c>
      <c r="R39" s="1146">
        <f t="shared" si="4"/>
        <v>4</v>
      </c>
      <c r="S39" s="1146">
        <f t="shared" si="4"/>
        <v>3</v>
      </c>
      <c r="T39" s="1146">
        <f t="shared" si="4"/>
        <v>5</v>
      </c>
      <c r="U39" s="1146">
        <f t="shared" si="4"/>
        <v>3</v>
      </c>
      <c r="V39" s="1146">
        <f t="shared" si="4"/>
        <v>4</v>
      </c>
      <c r="W39" s="1146">
        <f t="shared" si="4"/>
        <v>4</v>
      </c>
      <c r="X39" s="1146">
        <f t="shared" si="4"/>
        <v>4</v>
      </c>
      <c r="Y39" s="1146">
        <f t="shared" si="4"/>
        <v>4</v>
      </c>
      <c r="Z39" s="649"/>
      <c r="AA39" s="661"/>
      <c r="AB39" s="662"/>
    </row>
    <row r="40" ht="18.75" customHeight="1">
      <c r="A40" s="649" t="str">
        <f>A11</f>
        <v>House</v>
      </c>
      <c r="B40" s="649"/>
      <c r="C40" s="1143"/>
      <c r="D40" s="1144" t="str">
        <f t="shared" si="5"/>
        <v>House</v>
      </c>
      <c r="E40" s="1145">
        <f t="shared" ref="E40:M40" si="6">E11-E10</f>
        <v>3</v>
      </c>
      <c r="F40" s="1146">
        <f t="shared" si="6"/>
        <v>6</v>
      </c>
      <c r="G40" s="1146">
        <f t="shared" si="6"/>
        <v>5</v>
      </c>
      <c r="H40" s="1146">
        <f t="shared" si="6"/>
        <v>3</v>
      </c>
      <c r="I40" s="1146">
        <f t="shared" si="6"/>
        <v>4</v>
      </c>
      <c r="J40" s="1146">
        <f t="shared" si="6"/>
        <v>10</v>
      </c>
      <c r="K40" s="1146">
        <f t="shared" si="6"/>
        <v>3</v>
      </c>
      <c r="L40" s="1146">
        <f t="shared" si="6"/>
        <v>3</v>
      </c>
      <c r="M40" s="1146">
        <f t="shared" si="6"/>
        <v>5</v>
      </c>
      <c r="N40" s="1147"/>
      <c r="O40" s="1148"/>
      <c r="P40" s="1149" t="str">
        <f t="shared" si="7"/>
        <v>House</v>
      </c>
      <c r="Q40" s="1146">
        <f t="shared" ref="Q40:Y40" si="8">Q11-Q10</f>
        <v>4</v>
      </c>
      <c r="R40" s="1146">
        <f t="shared" si="8"/>
        <v>4</v>
      </c>
      <c r="S40" s="1146">
        <f t="shared" si="8"/>
        <v>4</v>
      </c>
      <c r="T40" s="1146">
        <f t="shared" si="8"/>
        <v>7</v>
      </c>
      <c r="U40" s="1146">
        <f t="shared" si="8"/>
        <v>3</v>
      </c>
      <c r="V40" s="1146">
        <f t="shared" si="8"/>
        <v>3</v>
      </c>
      <c r="W40" s="1146">
        <f t="shared" si="8"/>
        <v>4</v>
      </c>
      <c r="X40" s="1146">
        <f t="shared" si="8"/>
        <v>6</v>
      </c>
      <c r="Y40" s="1146">
        <f t="shared" si="8"/>
        <v>5</v>
      </c>
      <c r="Z40" s="649"/>
      <c r="AA40" s="661"/>
      <c r="AB40" s="662"/>
    </row>
    <row r="41" ht="18.75" customHeight="1">
      <c r="A41" s="649" t="str">
        <f>A14</f>
        <v>CuzNick</v>
      </c>
      <c r="B41" s="649"/>
      <c r="C41" s="1143"/>
      <c r="D41" s="1144" t="str">
        <f t="shared" si="5"/>
        <v>CuzNick</v>
      </c>
      <c r="E41" s="1145">
        <f t="shared" ref="E41:M41" si="9">E14-E13</f>
        <v>8</v>
      </c>
      <c r="F41" s="1146">
        <f t="shared" si="9"/>
        <v>7</v>
      </c>
      <c r="G41" s="1146">
        <f t="shared" si="9"/>
        <v>6</v>
      </c>
      <c r="H41" s="1146">
        <f t="shared" si="9"/>
        <v>6</v>
      </c>
      <c r="I41" s="1146">
        <f t="shared" si="9"/>
        <v>3</v>
      </c>
      <c r="J41" s="1146">
        <f t="shared" si="9"/>
        <v>6</v>
      </c>
      <c r="K41" s="1146">
        <f t="shared" si="9"/>
        <v>4</v>
      </c>
      <c r="L41" s="1146">
        <f t="shared" si="9"/>
        <v>3</v>
      </c>
      <c r="M41" s="1146">
        <f t="shared" si="9"/>
        <v>4</v>
      </c>
      <c r="N41" s="1147"/>
      <c r="O41" s="1150"/>
      <c r="P41" s="1151" t="str">
        <f t="shared" si="7"/>
        <v>CuzNick</v>
      </c>
      <c r="Q41" s="1146">
        <f t="shared" ref="Q41:Y41" si="10">Q14-Q13</f>
        <v>4</v>
      </c>
      <c r="R41" s="1146">
        <f t="shared" si="10"/>
        <v>4</v>
      </c>
      <c r="S41" s="1146">
        <f t="shared" si="10"/>
        <v>4</v>
      </c>
      <c r="T41" s="1146">
        <f t="shared" si="10"/>
        <v>5</v>
      </c>
      <c r="U41" s="1146">
        <f t="shared" si="10"/>
        <v>3</v>
      </c>
      <c r="V41" s="1146">
        <f t="shared" si="10"/>
        <v>4</v>
      </c>
      <c r="W41" s="1146">
        <f t="shared" si="10"/>
        <v>5</v>
      </c>
      <c r="X41" s="1146">
        <f t="shared" si="10"/>
        <v>4</v>
      </c>
      <c r="Y41" s="1146">
        <f t="shared" si="10"/>
        <v>6</v>
      </c>
      <c r="Z41" s="649"/>
      <c r="AA41" s="661"/>
      <c r="AB41" s="662"/>
    </row>
    <row r="42" ht="18.75" customHeight="1">
      <c r="A42" s="649" t="str">
        <f>A17</f>
        <v>DK</v>
      </c>
      <c r="B42" s="649"/>
      <c r="C42" s="1143"/>
      <c r="D42" s="1144" t="str">
        <f t="shared" si="5"/>
        <v>DK</v>
      </c>
      <c r="E42" s="1145">
        <f t="shared" ref="E42:M42" si="11">E17-E16</f>
        <v>4</v>
      </c>
      <c r="F42" s="1146">
        <f t="shared" si="11"/>
        <v>4</v>
      </c>
      <c r="G42" s="1146">
        <f t="shared" si="11"/>
        <v>5</v>
      </c>
      <c r="H42" s="1146">
        <f t="shared" si="11"/>
        <v>4</v>
      </c>
      <c r="I42" s="1146">
        <f t="shared" si="11"/>
        <v>4</v>
      </c>
      <c r="J42" s="1146">
        <f t="shared" si="11"/>
        <v>6</v>
      </c>
      <c r="K42" s="1146">
        <f t="shared" si="11"/>
        <v>4</v>
      </c>
      <c r="L42" s="1146">
        <f t="shared" si="11"/>
        <v>4</v>
      </c>
      <c r="M42" s="1146">
        <f t="shared" si="11"/>
        <v>4</v>
      </c>
      <c r="N42" s="1147"/>
      <c r="O42" s="1148"/>
      <c r="P42" s="1149" t="str">
        <f t="shared" si="7"/>
        <v>DK</v>
      </c>
      <c r="Q42" s="1146">
        <f t="shared" ref="Q42:Y42" si="12">Q17-Q16</f>
        <v>4</v>
      </c>
      <c r="R42" s="1146">
        <f t="shared" si="12"/>
        <v>6</v>
      </c>
      <c r="S42" s="1146">
        <f t="shared" si="12"/>
        <v>3</v>
      </c>
      <c r="T42" s="1146">
        <f t="shared" si="12"/>
        <v>4</v>
      </c>
      <c r="U42" s="1146">
        <f t="shared" si="12"/>
        <v>3</v>
      </c>
      <c r="V42" s="1146">
        <f t="shared" si="12"/>
        <v>5</v>
      </c>
      <c r="W42" s="1146">
        <f t="shared" si="12"/>
        <v>4</v>
      </c>
      <c r="X42" s="1146">
        <f t="shared" si="12"/>
        <v>4</v>
      </c>
      <c r="Y42" s="1146">
        <f t="shared" si="12"/>
        <v>6</v>
      </c>
      <c r="Z42" s="649"/>
      <c r="AA42" s="649"/>
      <c r="AB42" s="649"/>
    </row>
    <row r="43" ht="18.75" customHeight="1">
      <c r="A43" s="649" t="str">
        <f>A20</f>
        <v>Pace</v>
      </c>
      <c r="B43" s="649"/>
      <c r="C43" s="1143"/>
      <c r="D43" s="1144" t="str">
        <f t="shared" si="5"/>
        <v>Pace</v>
      </c>
      <c r="E43" s="1145">
        <f t="shared" ref="E43:M43" si="13">E20-E19</f>
        <v>4</v>
      </c>
      <c r="F43" s="1146">
        <f t="shared" si="13"/>
        <v>6</v>
      </c>
      <c r="G43" s="1146">
        <f t="shared" si="13"/>
        <v>5</v>
      </c>
      <c r="H43" s="1146">
        <f t="shared" si="13"/>
        <v>7</v>
      </c>
      <c r="I43" s="1146">
        <f t="shared" si="13"/>
        <v>5</v>
      </c>
      <c r="J43" s="1146">
        <f t="shared" si="13"/>
        <v>5</v>
      </c>
      <c r="K43" s="1146">
        <f t="shared" si="13"/>
        <v>3</v>
      </c>
      <c r="L43" s="1146">
        <f t="shared" si="13"/>
        <v>7</v>
      </c>
      <c r="M43" s="1146">
        <f t="shared" si="13"/>
        <v>4</v>
      </c>
      <c r="N43" s="1147"/>
      <c r="O43" s="1148"/>
      <c r="P43" s="1149" t="str">
        <f t="shared" si="7"/>
        <v>Pace</v>
      </c>
      <c r="Q43" s="1146">
        <f t="shared" ref="Q43:Y43" si="14">Q20-Q19</f>
        <v>4</v>
      </c>
      <c r="R43" s="1146">
        <f t="shared" si="14"/>
        <v>4</v>
      </c>
      <c r="S43" s="1146">
        <f t="shared" si="14"/>
        <v>3</v>
      </c>
      <c r="T43" s="1146">
        <f t="shared" si="14"/>
        <v>6</v>
      </c>
      <c r="U43" s="1146">
        <f t="shared" si="14"/>
        <v>5</v>
      </c>
      <c r="V43" s="1146">
        <f t="shared" si="14"/>
        <v>2</v>
      </c>
      <c r="W43" s="1146">
        <f t="shared" si="14"/>
        <v>5</v>
      </c>
      <c r="X43" s="1146">
        <f t="shared" si="14"/>
        <v>5</v>
      </c>
      <c r="Y43" s="1146">
        <f t="shared" si="14"/>
        <v>6</v>
      </c>
      <c r="Z43" s="649"/>
      <c r="AA43" s="649"/>
      <c r="AB43" s="649"/>
    </row>
    <row r="44" ht="18.75" customHeight="1">
      <c r="A44" s="649" t="str">
        <f>A23</f>
        <v>Carp</v>
      </c>
      <c r="B44" s="649"/>
      <c r="C44" s="1143"/>
      <c r="D44" s="1144" t="str">
        <f t="shared" si="5"/>
        <v>Carp</v>
      </c>
      <c r="E44" s="1145">
        <f t="shared" ref="E44:M44" si="15">E23-E22</f>
        <v>3</v>
      </c>
      <c r="F44" s="1146">
        <f t="shared" si="15"/>
        <v>6</v>
      </c>
      <c r="G44" s="1146">
        <f t="shared" si="15"/>
        <v>8</v>
      </c>
      <c r="H44" s="1146">
        <f t="shared" si="15"/>
        <v>2</v>
      </c>
      <c r="I44" s="1146">
        <f t="shared" si="15"/>
        <v>4</v>
      </c>
      <c r="J44" s="1146">
        <f t="shared" si="15"/>
        <v>4</v>
      </c>
      <c r="K44" s="1146">
        <f t="shared" si="15"/>
        <v>3</v>
      </c>
      <c r="L44" s="1146">
        <f t="shared" si="15"/>
        <v>5</v>
      </c>
      <c r="M44" s="1146">
        <f t="shared" si="15"/>
        <v>3</v>
      </c>
      <c r="N44" s="1147"/>
      <c r="O44" s="1150"/>
      <c r="P44" s="1151" t="str">
        <f t="shared" si="7"/>
        <v>Carp</v>
      </c>
      <c r="Q44" s="1146">
        <f t="shared" ref="Q44:Y44" si="16">Q23-Q22</f>
        <v>5</v>
      </c>
      <c r="R44" s="1146">
        <f t="shared" si="16"/>
        <v>4</v>
      </c>
      <c r="S44" s="1146">
        <f t="shared" si="16"/>
        <v>3</v>
      </c>
      <c r="T44" s="1146">
        <f t="shared" si="16"/>
        <v>6</v>
      </c>
      <c r="U44" s="1146">
        <f t="shared" si="16"/>
        <v>6</v>
      </c>
      <c r="V44" s="1146">
        <f t="shared" si="16"/>
        <v>2</v>
      </c>
      <c r="W44" s="1146">
        <f t="shared" si="16"/>
        <v>6</v>
      </c>
      <c r="X44" s="1146">
        <f t="shared" si="16"/>
        <v>4</v>
      </c>
      <c r="Y44" s="1146">
        <f t="shared" si="16"/>
        <v>6</v>
      </c>
      <c r="Z44" s="649"/>
      <c r="AA44" s="649"/>
      <c r="AB44" s="649"/>
    </row>
    <row r="45" ht="18.75" customHeight="1">
      <c r="A45" s="649" t="str">
        <f>A26</f>
        <v>Andy</v>
      </c>
      <c r="B45" s="649"/>
      <c r="C45" s="1143"/>
      <c r="D45" s="1144" t="str">
        <f t="shared" si="5"/>
        <v>Andy</v>
      </c>
      <c r="E45" s="1145">
        <f t="shared" ref="E45:M45" si="17">E26-E25</f>
        <v>5</v>
      </c>
      <c r="F45" s="1146">
        <f t="shared" si="17"/>
        <v>5</v>
      </c>
      <c r="G45" s="1146">
        <f t="shared" si="17"/>
        <v>5</v>
      </c>
      <c r="H45" s="1146">
        <f t="shared" si="17"/>
        <v>4</v>
      </c>
      <c r="I45" s="1146">
        <f t="shared" si="17"/>
        <v>4</v>
      </c>
      <c r="J45" s="1146">
        <f t="shared" si="17"/>
        <v>5</v>
      </c>
      <c r="K45" s="1146">
        <f t="shared" si="17"/>
        <v>3</v>
      </c>
      <c r="L45" s="1146">
        <f t="shared" si="17"/>
        <v>4</v>
      </c>
      <c r="M45" s="1146">
        <f t="shared" si="17"/>
        <v>4</v>
      </c>
      <c r="N45" s="1147"/>
      <c r="O45" s="1150"/>
      <c r="P45" s="1151" t="str">
        <f t="shared" si="7"/>
        <v>Andy</v>
      </c>
      <c r="Q45" s="1146">
        <f t="shared" ref="Q45:Y45" si="18">Q26-Q25</f>
        <v>4</v>
      </c>
      <c r="R45" s="1146">
        <f t="shared" si="18"/>
        <v>5</v>
      </c>
      <c r="S45" s="1146">
        <f t="shared" si="18"/>
        <v>3</v>
      </c>
      <c r="T45" s="1146">
        <f t="shared" si="18"/>
        <v>6</v>
      </c>
      <c r="U45" s="1146">
        <f t="shared" si="18"/>
        <v>3</v>
      </c>
      <c r="V45" s="1146">
        <f t="shared" si="18"/>
        <v>3</v>
      </c>
      <c r="W45" s="1146">
        <f t="shared" si="18"/>
        <v>5</v>
      </c>
      <c r="X45" s="1146">
        <f t="shared" si="18"/>
        <v>3</v>
      </c>
      <c r="Y45" s="1146">
        <f t="shared" si="18"/>
        <v>6</v>
      </c>
      <c r="Z45" s="649"/>
      <c r="AA45" s="649"/>
      <c r="AB45" s="649"/>
    </row>
    <row r="46" ht="18.75" customHeight="1">
      <c r="A46" s="649" t="str">
        <f>A29</f>
        <v>Saugy</v>
      </c>
      <c r="B46" s="649"/>
      <c r="C46" s="1143"/>
      <c r="D46" s="1144" t="str">
        <f t="shared" si="5"/>
        <v>Saugy</v>
      </c>
      <c r="E46" s="1145">
        <f t="shared" ref="E46:M46" si="19">E29-E28</f>
        <v>5</v>
      </c>
      <c r="F46" s="1146">
        <f t="shared" si="19"/>
        <v>8</v>
      </c>
      <c r="G46" s="1146">
        <f t="shared" si="19"/>
        <v>2</v>
      </c>
      <c r="H46" s="1146">
        <f t="shared" si="19"/>
        <v>4</v>
      </c>
      <c r="I46" s="1146">
        <f t="shared" si="19"/>
        <v>4</v>
      </c>
      <c r="J46" s="1146">
        <f t="shared" si="19"/>
        <v>6</v>
      </c>
      <c r="K46" s="1146">
        <f t="shared" si="19"/>
        <v>1</v>
      </c>
      <c r="L46" s="1146">
        <f t="shared" si="19"/>
        <v>5</v>
      </c>
      <c r="M46" s="1146">
        <f t="shared" si="19"/>
        <v>6</v>
      </c>
      <c r="N46" s="1147"/>
      <c r="O46" s="1148"/>
      <c r="P46" s="1149" t="str">
        <f t="shared" si="7"/>
        <v>Saugy</v>
      </c>
      <c r="Q46" s="1146">
        <f t="shared" ref="Q46:Y46" si="20">Q29-Q28</f>
        <v>5</v>
      </c>
      <c r="R46" s="1146">
        <f t="shared" si="20"/>
        <v>2</v>
      </c>
      <c r="S46" s="1146">
        <f t="shared" si="20"/>
        <v>2</v>
      </c>
      <c r="T46" s="1146">
        <f t="shared" si="20"/>
        <v>6</v>
      </c>
      <c r="U46" s="1146">
        <f t="shared" si="20"/>
        <v>3</v>
      </c>
      <c r="V46" s="1146">
        <f t="shared" si="20"/>
        <v>1</v>
      </c>
      <c r="W46" s="1146">
        <f t="shared" si="20"/>
        <v>4</v>
      </c>
      <c r="X46" s="1146">
        <f t="shared" si="20"/>
        <v>4</v>
      </c>
      <c r="Y46" s="1146">
        <f t="shared" si="20"/>
        <v>4</v>
      </c>
      <c r="Z46" s="649"/>
      <c r="AA46" s="649"/>
      <c r="AB46" s="649"/>
    </row>
    <row r="47" ht="18.75" customHeight="1">
      <c r="A47" s="1152"/>
      <c r="B47" s="1152"/>
      <c r="C47" s="1153"/>
      <c r="D47" s="1154"/>
      <c r="E47" s="1155"/>
      <c r="F47" s="1155"/>
      <c r="G47" s="1155"/>
      <c r="H47" s="1155"/>
      <c r="I47" s="1155"/>
      <c r="J47" s="1155"/>
      <c r="K47" s="1155"/>
      <c r="L47" s="1155"/>
      <c r="M47" s="1155"/>
      <c r="N47" s="649"/>
      <c r="O47" s="1152"/>
      <c r="P47" s="1152"/>
      <c r="Q47" s="1155"/>
      <c r="R47" s="1155"/>
      <c r="S47" s="1155"/>
      <c r="T47" s="1155"/>
      <c r="U47" s="1155"/>
      <c r="V47" s="1155"/>
      <c r="W47" s="1155"/>
      <c r="X47" s="1155"/>
      <c r="Y47" s="1155"/>
      <c r="Z47" s="649"/>
      <c r="AA47" s="649"/>
      <c r="AB47" s="649"/>
    </row>
  </sheetData>
  <mergeCells count="1">
    <mergeCell ref="B2:B4"/>
  </mergeCells>
  <conditionalFormatting sqref="E39:M46 Q39:Y46">
    <cfRule type="expression" dxfId="24" priority="1">
      <formula>E39&lt;=small(E$39:E$46,1)</formula>
    </cfRule>
  </conditionalFormatting>
  <conditionalFormatting sqref="E39:M46 Q39:Y46">
    <cfRule type="expression" dxfId="25" priority="2">
      <formula>E39&lt;=small(E$39:E$46,5)</formula>
    </cfRule>
  </conditionalFormatting>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11" t="s">
        <v>75</v>
      </c>
      <c r="B1" s="1012">
        <f>'Master Input'!K4</f>
        <v>0.4305555556</v>
      </c>
      <c r="C1" s="1013" t="str">
        <f>'Master Input'!$K$6</f>
        <v>American Dunes - Freedom/WH</v>
      </c>
      <c r="D1" s="1014"/>
      <c r="E1" s="1015"/>
      <c r="F1" s="1015"/>
      <c r="G1" s="1015"/>
      <c r="H1" s="1015"/>
      <c r="I1" s="1015"/>
      <c r="J1" s="1015"/>
      <c r="K1" s="1015"/>
      <c r="L1" s="1015"/>
      <c r="M1" s="1015"/>
      <c r="N1" s="1015"/>
      <c r="O1" s="1014"/>
      <c r="P1" s="1013" t="str">
        <f>'Master Input'!$K$6</f>
        <v>American Dunes - Freedom/WH</v>
      </c>
      <c r="Q1" s="1015"/>
      <c r="R1" s="1015"/>
      <c r="S1" s="1015"/>
      <c r="T1" s="1015"/>
      <c r="U1" s="1015"/>
      <c r="V1" s="1015"/>
      <c r="W1" s="1015"/>
      <c r="X1" s="1015"/>
      <c r="Y1" s="1015"/>
      <c r="Z1" s="1015"/>
      <c r="AA1" s="1016"/>
      <c r="AB1" s="1017"/>
    </row>
    <row r="2" ht="14.25" customHeight="1">
      <c r="A2" s="1018" t="s">
        <v>10</v>
      </c>
      <c r="B2" s="1019" t="str">
        <f>'R4_G2'!B2</f>
        <v>Team Best Ball</v>
      </c>
      <c r="C2" s="1020"/>
      <c r="D2" s="1021" t="s">
        <v>10</v>
      </c>
      <c r="E2" s="1022">
        <f>'R4_G2'!E4</f>
        <v>1</v>
      </c>
      <c r="F2" s="1023">
        <f>'R4_G2'!F4</f>
        <v>2</v>
      </c>
      <c r="G2" s="1023">
        <f>'R4_G2'!G4</f>
        <v>3</v>
      </c>
      <c r="H2" s="1023">
        <f>'R4_G2'!H4</f>
        <v>4</v>
      </c>
      <c r="I2" s="1023">
        <f>'R4_G2'!I4</f>
        <v>5</v>
      </c>
      <c r="J2" s="1023">
        <f>'R4_G2'!J4</f>
        <v>6</v>
      </c>
      <c r="K2" s="1023">
        <v>7.0</v>
      </c>
      <c r="L2" s="1023">
        <v>8.0</v>
      </c>
      <c r="M2" s="1023">
        <v>9.0</v>
      </c>
      <c r="N2" s="1024" t="s">
        <v>60</v>
      </c>
      <c r="O2" s="1025"/>
      <c r="P2" s="1021" t="s">
        <v>10</v>
      </c>
      <c r="Q2" s="1023">
        <v>10.0</v>
      </c>
      <c r="R2" s="1023">
        <v>11.0</v>
      </c>
      <c r="S2" s="1023">
        <v>12.0</v>
      </c>
      <c r="T2" s="1023">
        <v>13.0</v>
      </c>
      <c r="U2" s="1023">
        <v>14.0</v>
      </c>
      <c r="V2" s="1023">
        <v>15.0</v>
      </c>
      <c r="W2" s="1023">
        <v>16.0</v>
      </c>
      <c r="X2" s="1023">
        <v>17.0</v>
      </c>
      <c r="Y2" s="1023">
        <v>18.0</v>
      </c>
      <c r="Z2" s="1024" t="s">
        <v>61</v>
      </c>
      <c r="AA2" s="1026" t="s">
        <v>52</v>
      </c>
      <c r="AB2" s="1026" t="s">
        <v>112</v>
      </c>
    </row>
    <row r="3" ht="14.25" customHeight="1">
      <c r="A3" s="1027" t="s">
        <v>108</v>
      </c>
      <c r="C3" s="1028" t="str">
        <f>'R4_G2'!C2</f>
        <v/>
      </c>
      <c r="D3" s="1029" t="str">
        <f>'R4_G2'!D2</f>
        <v>Handicap:</v>
      </c>
      <c r="E3" s="1030">
        <f>'R4_G2'!E2</f>
        <v>10</v>
      </c>
      <c r="F3" s="1030">
        <f>'R4_G2'!F2</f>
        <v>18</v>
      </c>
      <c r="G3" s="1030">
        <f>'R4_G2'!G2</f>
        <v>6</v>
      </c>
      <c r="H3" s="1030">
        <f>'R4_G2'!H2</f>
        <v>14</v>
      </c>
      <c r="I3" s="1030">
        <f>'R4_G2'!I2</f>
        <v>2</v>
      </c>
      <c r="J3" s="1030">
        <f>'R4_G2'!J2</f>
        <v>12</v>
      </c>
      <c r="K3" s="1030">
        <f>'R4_G2'!K2</f>
        <v>16</v>
      </c>
      <c r="L3" s="1030">
        <f>'R4_G2'!L2</f>
        <v>4</v>
      </c>
      <c r="M3" s="1030">
        <f>'R4_G2'!M2</f>
        <v>8</v>
      </c>
      <c r="N3" s="1031"/>
      <c r="O3" s="1032"/>
      <c r="P3" s="1029" t="s">
        <v>55</v>
      </c>
      <c r="Q3" s="1030">
        <f>'R4_G2'!Q2</f>
        <v>3</v>
      </c>
      <c r="R3" s="1030">
        <f>'R4_G2'!R2</f>
        <v>13</v>
      </c>
      <c r="S3" s="1030">
        <f>'R4_G2'!S2</f>
        <v>15</v>
      </c>
      <c r="T3" s="1030">
        <f>'R4_G2'!T2</f>
        <v>11</v>
      </c>
      <c r="U3" s="1030">
        <f>'R4_G2'!U2</f>
        <v>7</v>
      </c>
      <c r="V3" s="1030">
        <f>'R4_G2'!V2</f>
        <v>9</v>
      </c>
      <c r="W3" s="1030">
        <f>'R4_G2'!W2</f>
        <v>1</v>
      </c>
      <c r="X3" s="1030">
        <f>'R4_G2'!X2</f>
        <v>5</v>
      </c>
      <c r="Y3" s="1030">
        <f>'R4_G2'!Y2</f>
        <v>17</v>
      </c>
      <c r="Z3" s="1031"/>
      <c r="AA3" s="1033"/>
      <c r="AB3" s="1033"/>
    </row>
    <row r="4" ht="14.25" customHeight="1">
      <c r="A4" s="1027" t="s">
        <v>56</v>
      </c>
      <c r="B4" s="317"/>
      <c r="C4" s="1028" t="str">
        <f>'R4_G2'!C3</f>
        <v/>
      </c>
      <c r="D4" s="1029" t="str">
        <f>'R4_G2'!D3</f>
        <v>Par:</v>
      </c>
      <c r="E4" s="1034">
        <f>'R4_G2'!E3</f>
        <v>4</v>
      </c>
      <c r="F4" s="1034">
        <f>'R4_G2'!F3</f>
        <v>5</v>
      </c>
      <c r="G4" s="1034">
        <f>'R4_G2'!G3</f>
        <v>4</v>
      </c>
      <c r="H4" s="1034">
        <f>'R4_G2'!H3</f>
        <v>3</v>
      </c>
      <c r="I4" s="1034">
        <f>'R4_G2'!I3</f>
        <v>4</v>
      </c>
      <c r="J4" s="1034">
        <f>'R4_G2'!J3</f>
        <v>5</v>
      </c>
      <c r="K4" s="1034">
        <f>'R4_G2'!K3</f>
        <v>3</v>
      </c>
      <c r="L4" s="1034">
        <f>'R4_G2'!L3</f>
        <v>4</v>
      </c>
      <c r="M4" s="1034">
        <f>'R4_G2'!M3</f>
        <v>4</v>
      </c>
      <c r="N4" s="1035">
        <f>SUM(E4:M4)</f>
        <v>36</v>
      </c>
      <c r="O4" s="1032"/>
      <c r="P4" s="1029" t="s">
        <v>56</v>
      </c>
      <c r="Q4" s="1034">
        <f>'R4_G2'!Q3</f>
        <v>4</v>
      </c>
      <c r="R4" s="1034">
        <f>'R4_G2'!R3</f>
        <v>4</v>
      </c>
      <c r="S4" s="1034">
        <f>'R4_G2'!S3</f>
        <v>3</v>
      </c>
      <c r="T4" s="1034">
        <f>'R4_G2'!T3</f>
        <v>5</v>
      </c>
      <c r="U4" s="1034">
        <f>'R4_G2'!U3</f>
        <v>4</v>
      </c>
      <c r="V4" s="1034">
        <f>'R4_G2'!V3</f>
        <v>3</v>
      </c>
      <c r="W4" s="1034">
        <f>'R4_G2'!W3</f>
        <v>4</v>
      </c>
      <c r="X4" s="1034">
        <f>'R4_G2'!X3</f>
        <v>4</v>
      </c>
      <c r="Y4" s="1034">
        <f>'R4_G2'!Y3</f>
        <v>5</v>
      </c>
      <c r="Z4" s="1035">
        <f>SUM(Q4:Y4)</f>
        <v>36</v>
      </c>
      <c r="AA4" s="1035">
        <f>N4+Z4</f>
        <v>72</v>
      </c>
      <c r="AB4" s="1036"/>
    </row>
    <row r="5" ht="14.25" customHeight="1">
      <c r="A5" s="1037" t="s">
        <v>109</v>
      </c>
      <c r="B5" s="1038" t="s">
        <v>57</v>
      </c>
      <c r="C5" s="1039" t="s">
        <v>58</v>
      </c>
      <c r="D5" s="1040" t="s">
        <v>59</v>
      </c>
      <c r="E5" s="1041">
        <v>1.0</v>
      </c>
      <c r="F5" s="1041">
        <v>2.0</v>
      </c>
      <c r="G5" s="1041">
        <v>3.0</v>
      </c>
      <c r="H5" s="1041">
        <v>4.0</v>
      </c>
      <c r="I5" s="1041">
        <v>5.0</v>
      </c>
      <c r="J5" s="1041">
        <v>6.0</v>
      </c>
      <c r="K5" s="1041">
        <v>7.0</v>
      </c>
      <c r="L5" s="1041">
        <v>8.0</v>
      </c>
      <c r="M5" s="1041">
        <v>9.0</v>
      </c>
      <c r="N5" s="1042" t="s">
        <v>60</v>
      </c>
      <c r="O5" s="1043"/>
      <c r="P5" s="1044" t="s">
        <v>109</v>
      </c>
      <c r="Q5" s="1041">
        <v>10.0</v>
      </c>
      <c r="R5" s="1041">
        <v>11.0</v>
      </c>
      <c r="S5" s="1041">
        <v>12.0</v>
      </c>
      <c r="T5" s="1041">
        <v>13.0</v>
      </c>
      <c r="U5" s="1041">
        <v>14.0</v>
      </c>
      <c r="V5" s="1041">
        <v>15.0</v>
      </c>
      <c r="W5" s="1041">
        <v>16.0</v>
      </c>
      <c r="X5" s="1041">
        <v>17.0</v>
      </c>
      <c r="Y5" s="1041">
        <v>18.0</v>
      </c>
      <c r="Z5" s="1042" t="s">
        <v>61</v>
      </c>
      <c r="AA5" s="1045" t="s">
        <v>62</v>
      </c>
      <c r="AB5" s="1045" t="s">
        <v>110</v>
      </c>
    </row>
    <row r="6" ht="7.5" customHeight="1">
      <c r="A6" s="1046"/>
      <c r="B6" s="1047"/>
      <c r="C6" s="1048" t="str">
        <f>'R4_G2'!C6</f>
        <v/>
      </c>
      <c r="D6" s="1049" t="str">
        <f>'R4_G2'!D6</f>
        <v/>
      </c>
      <c r="E6" s="1050" t="str">
        <f>'R4_G2'!E6</f>
        <v/>
      </c>
      <c r="F6" s="1050" t="str">
        <f>'R4_G2'!F6</f>
        <v/>
      </c>
      <c r="G6" s="1050" t="str">
        <f>'R4_G2'!G6</f>
        <v>O</v>
      </c>
      <c r="H6" s="1050" t="str">
        <f>'R4_G2'!H6</f>
        <v/>
      </c>
      <c r="I6" s="1050" t="str">
        <f>'R4_G2'!I6</f>
        <v>O</v>
      </c>
      <c r="J6" s="1050" t="str">
        <f>'R4_G2'!J6</f>
        <v/>
      </c>
      <c r="K6" s="1050" t="str">
        <f>'R4_G2'!K6</f>
        <v/>
      </c>
      <c r="L6" s="1050" t="str">
        <f>'R4_G2'!L6</f>
        <v>O</v>
      </c>
      <c r="M6" s="1050" t="str">
        <f>'R4_G2'!M6</f>
        <v/>
      </c>
      <c r="N6" s="1051" t="str">
        <f>'R4_G2'!N6</f>
        <v/>
      </c>
      <c r="O6" s="1052"/>
      <c r="P6" s="1053" t="str">
        <f>'R4_G2'!P6</f>
        <v/>
      </c>
      <c r="Q6" s="1050" t="str">
        <f>'R4_G2'!Q6</f>
        <v>O</v>
      </c>
      <c r="R6" s="1050" t="str">
        <f>'R4_G2'!R6</f>
        <v/>
      </c>
      <c r="S6" s="1050" t="str">
        <f>'R4_G2'!S6</f>
        <v/>
      </c>
      <c r="T6" s="1050" t="str">
        <f>'R4_G2'!T6</f>
        <v/>
      </c>
      <c r="U6" s="1050" t="str">
        <f>'R4_G2'!U6</f>
        <v/>
      </c>
      <c r="V6" s="1050" t="str">
        <f>'R4_G2'!V6</f>
        <v/>
      </c>
      <c r="W6" s="1050" t="str">
        <f>'R4_G2'!W6</f>
        <v>O</v>
      </c>
      <c r="X6" s="1050" t="str">
        <f>'R4_G2'!X6</f>
        <v>O</v>
      </c>
      <c r="Y6" s="1050" t="str">
        <f>'R4_G2'!Y6</f>
        <v/>
      </c>
      <c r="Z6" s="1054" t="str">
        <f>'R4_G2'!Z6</f>
        <v/>
      </c>
      <c r="AA6" s="1055" t="str">
        <f>'R4_G2'!AA6</f>
        <v/>
      </c>
      <c r="AB6" s="1055" t="str">
        <f>'R4_G2'!AB6</f>
        <v/>
      </c>
    </row>
    <row r="7" ht="22.5" hidden="1" customHeight="1">
      <c r="A7" s="1056"/>
      <c r="B7" s="1057"/>
      <c r="C7" s="1058" t="str">
        <f>'R4_G2'!C7</f>
        <v/>
      </c>
      <c r="D7" s="1059" t="str">
        <f>'R4_G2'!D7</f>
        <v/>
      </c>
      <c r="E7" s="1060">
        <f>'R4_G2'!E7</f>
        <v>0</v>
      </c>
      <c r="F7" s="1060">
        <f>'R4_G2'!F7</f>
        <v>0</v>
      </c>
      <c r="G7" s="1060">
        <f>'R4_G2'!G7</f>
        <v>1</v>
      </c>
      <c r="H7" s="1060">
        <f>'R4_G2'!H7</f>
        <v>0</v>
      </c>
      <c r="I7" s="1060">
        <f>'R4_G2'!I7</f>
        <v>1</v>
      </c>
      <c r="J7" s="1060">
        <f>'R4_G2'!J7</f>
        <v>0</v>
      </c>
      <c r="K7" s="1060">
        <f>'R4_G2'!K7</f>
        <v>0</v>
      </c>
      <c r="L7" s="1060">
        <f>'R4_G2'!L7</f>
        <v>1</v>
      </c>
      <c r="M7" s="1060">
        <f>'R4_G2'!M7</f>
        <v>0</v>
      </c>
      <c r="N7" s="1061" t="str">
        <f>'R4_G2'!N7</f>
        <v/>
      </c>
      <c r="O7" s="1062"/>
      <c r="P7" s="1063" t="str">
        <f>'R4_G2'!P7</f>
        <v/>
      </c>
      <c r="Q7" s="1060">
        <f>'R4_G2'!Q7</f>
        <v>1</v>
      </c>
      <c r="R7" s="1060">
        <f>'R4_G2'!R7</f>
        <v>0</v>
      </c>
      <c r="S7" s="1060">
        <f>'R4_G2'!S7</f>
        <v>0</v>
      </c>
      <c r="T7" s="1060">
        <f>'R4_G2'!T7</f>
        <v>0</v>
      </c>
      <c r="U7" s="1060">
        <f>'R4_G2'!U7</f>
        <v>0</v>
      </c>
      <c r="V7" s="1060">
        <f>'R4_G2'!V7</f>
        <v>0</v>
      </c>
      <c r="W7" s="1060">
        <f>'R4_G2'!W7</f>
        <v>1</v>
      </c>
      <c r="X7" s="1060">
        <f>'R4_G2'!X7</f>
        <v>1</v>
      </c>
      <c r="Y7" s="1060">
        <f>'R4_G2'!Y7</f>
        <v>0</v>
      </c>
      <c r="Z7" s="1061" t="str">
        <f>'R4_G2'!Z7</f>
        <v/>
      </c>
      <c r="AA7" s="1061" t="str">
        <f>'R4_G2'!AA7</f>
        <v/>
      </c>
      <c r="AB7" s="1064" t="str">
        <f>'R4_G2'!AB7</f>
        <v/>
      </c>
    </row>
    <row r="8" ht="22.5" customHeight="1">
      <c r="A8" s="1065" t="str">
        <f>'R4_G2'!A8</f>
        <v>Telly</v>
      </c>
      <c r="B8" s="1066" t="str">
        <f>'R4_G2'!B8</f>
        <v>Drivers</v>
      </c>
      <c r="C8" s="1067">
        <f>'R4_G2'!C8</f>
        <v>6</v>
      </c>
      <c r="D8" s="1068">
        <f>'R4_G2'!D8</f>
        <v>6</v>
      </c>
      <c r="E8" s="1156">
        <f>'R4_G2'!E8</f>
        <v>4</v>
      </c>
      <c r="F8" s="1156">
        <f>'R4_G2'!F8</f>
        <v>6</v>
      </c>
      <c r="G8" s="1156">
        <f>'R4_G2'!G8</f>
        <v>6</v>
      </c>
      <c r="H8" s="1156">
        <f>'R4_G2'!H8</f>
        <v>4</v>
      </c>
      <c r="I8" s="1156">
        <f>'R4_G2'!I8</f>
        <v>5</v>
      </c>
      <c r="J8" s="1156">
        <f>'R4_G2'!J8</f>
        <v>7</v>
      </c>
      <c r="K8" s="1156">
        <f>'R4_G2'!K8</f>
        <v>3</v>
      </c>
      <c r="L8" s="1156">
        <f>'R4_G2'!L8</f>
        <v>4</v>
      </c>
      <c r="M8" s="1156">
        <f>'R4_G2'!M8</f>
        <v>6</v>
      </c>
      <c r="N8" s="1070">
        <f>'R4_G2'!N8</f>
        <v>45</v>
      </c>
      <c r="O8" s="1071"/>
      <c r="P8" s="1072" t="str">
        <f>'R4_G2'!P8</f>
        <v>Telly</v>
      </c>
      <c r="Q8" s="1069">
        <f>'R4_G2'!Q8</f>
        <v>5</v>
      </c>
      <c r="R8" s="1069">
        <f>'R4_G2'!R8</f>
        <v>4</v>
      </c>
      <c r="S8" s="1069">
        <f>'R4_G2'!S8</f>
        <v>3</v>
      </c>
      <c r="T8" s="1069">
        <f>'R4_G2'!T8</f>
        <v>5</v>
      </c>
      <c r="U8" s="1069">
        <f>'R4_G2'!U8</f>
        <v>6</v>
      </c>
      <c r="V8" s="1069">
        <f>'R4_G2'!V8</f>
        <v>3</v>
      </c>
      <c r="W8" s="1069">
        <f>'R4_G2'!W8</f>
        <v>4</v>
      </c>
      <c r="X8" s="1069">
        <f>'R4_G2'!X8</f>
        <v>4</v>
      </c>
      <c r="Y8" s="1069">
        <f>'R4_G2'!Y8</f>
        <v>3</v>
      </c>
      <c r="Z8" s="1070">
        <f>'R4_G2'!Z8</f>
        <v>37</v>
      </c>
      <c r="AA8" s="1070">
        <f>'R4_G2'!AA8</f>
        <v>82</v>
      </c>
      <c r="AB8" s="1073">
        <f>'R4_G2'!AB8</f>
        <v>76</v>
      </c>
    </row>
    <row r="9" ht="7.5" customHeight="1">
      <c r="A9" s="1074"/>
      <c r="B9" s="1075"/>
      <c r="C9" s="1076" t="str">
        <f>'R4_G2'!C9</f>
        <v/>
      </c>
      <c r="D9" s="1077" t="str">
        <f>'R4_G2'!D9</f>
        <v/>
      </c>
      <c r="E9" s="1078" t="str">
        <f>'R4_G2'!E9</f>
        <v>O</v>
      </c>
      <c r="F9" s="1078" t="str">
        <f>'R4_G2'!F9</f>
        <v/>
      </c>
      <c r="G9" s="1078" t="str">
        <f>'R4_G2'!G9</f>
        <v>O</v>
      </c>
      <c r="H9" s="1078" t="str">
        <f>'R4_G2'!H9</f>
        <v/>
      </c>
      <c r="I9" s="1078" t="str">
        <f>'R4_G2'!I9</f>
        <v>O</v>
      </c>
      <c r="J9" s="1078" t="str">
        <f>'R4_G2'!J9</f>
        <v>O</v>
      </c>
      <c r="K9" s="1078" t="str">
        <f>'R4_G2'!K9</f>
        <v/>
      </c>
      <c r="L9" s="1078" t="str">
        <f>'R4_G2'!L9</f>
        <v>O</v>
      </c>
      <c r="M9" s="1078" t="str">
        <f>'R4_G2'!M9</f>
        <v>O</v>
      </c>
      <c r="N9" s="1079" t="str">
        <f>'R4_G2'!N9</f>
        <v/>
      </c>
      <c r="O9" s="1080"/>
      <c r="P9" s="1081" t="str">
        <f>'R4_G2'!P9</f>
        <v/>
      </c>
      <c r="Q9" s="1078" t="str">
        <f>'R4_G2'!Q9</f>
        <v>O</v>
      </c>
      <c r="R9" s="1078" t="str">
        <f>'R4_G2'!R9</f>
        <v>O</v>
      </c>
      <c r="S9" s="1078" t="str">
        <f>'R4_G2'!S9</f>
        <v/>
      </c>
      <c r="T9" s="1078" t="str">
        <f>'R4_G2'!T9</f>
        <v>O</v>
      </c>
      <c r="U9" s="1078" t="str">
        <f>'R4_G2'!U9</f>
        <v>O</v>
      </c>
      <c r="V9" s="1078" t="str">
        <f>'R4_G2'!V9</f>
        <v>O</v>
      </c>
      <c r="W9" s="1078" t="str">
        <f>'R4_G2'!W9</f>
        <v>O</v>
      </c>
      <c r="X9" s="1078" t="str">
        <f>'R4_G2'!X9</f>
        <v>O</v>
      </c>
      <c r="Y9" s="1078" t="str">
        <f>'R4_G2'!Y9</f>
        <v/>
      </c>
      <c r="Z9" s="1079" t="str">
        <f>'R4_G2'!Z9</f>
        <v/>
      </c>
      <c r="AA9" s="1082" t="str">
        <f>'R4_G2'!AA9</f>
        <v/>
      </c>
      <c r="AB9" s="1083" t="str">
        <f>'R4_G2'!AB9</f>
        <v/>
      </c>
    </row>
    <row r="10" ht="22.5" hidden="1" customHeight="1">
      <c r="A10" s="1084"/>
      <c r="B10" s="1085"/>
      <c r="C10" s="1086" t="str">
        <f>'R4_G2'!C10</f>
        <v/>
      </c>
      <c r="D10" s="1087" t="str">
        <f>'R4_G2'!D10</f>
        <v/>
      </c>
      <c r="E10" s="1088">
        <f>'R4_G2'!E10</f>
        <v>1</v>
      </c>
      <c r="F10" s="1088">
        <f>'R4_G2'!F10</f>
        <v>0</v>
      </c>
      <c r="G10" s="1088">
        <f>'R4_G2'!G10</f>
        <v>1</v>
      </c>
      <c r="H10" s="1088">
        <f>'R4_G2'!H10</f>
        <v>0</v>
      </c>
      <c r="I10" s="1088">
        <f>'R4_G2'!I10</f>
        <v>1</v>
      </c>
      <c r="J10" s="1088">
        <f>'R4_G2'!J10</f>
        <v>1</v>
      </c>
      <c r="K10" s="1088">
        <f>'R4_G2'!K10</f>
        <v>0</v>
      </c>
      <c r="L10" s="1088">
        <f>'R4_G2'!L10</f>
        <v>1</v>
      </c>
      <c r="M10" s="1088">
        <f>'R4_G2'!M10</f>
        <v>1</v>
      </c>
      <c r="N10" s="1061" t="str">
        <f>'R4_G2'!N10</f>
        <v/>
      </c>
      <c r="O10" s="1062"/>
      <c r="P10" s="1089" t="str">
        <f>'R4_G2'!P10</f>
        <v/>
      </c>
      <c r="Q10" s="1088">
        <f>'R4_G2'!Q10</f>
        <v>1</v>
      </c>
      <c r="R10" s="1088">
        <f>'R4_G2'!R10</f>
        <v>1</v>
      </c>
      <c r="S10" s="1088">
        <f>'R4_G2'!S10</f>
        <v>0</v>
      </c>
      <c r="T10" s="1088">
        <f>'R4_G2'!T10</f>
        <v>1</v>
      </c>
      <c r="U10" s="1088">
        <f>'R4_G2'!U10</f>
        <v>1</v>
      </c>
      <c r="V10" s="1088">
        <f>'R4_G2'!V10</f>
        <v>1</v>
      </c>
      <c r="W10" s="1088">
        <f>'R4_G2'!W10</f>
        <v>1</v>
      </c>
      <c r="X10" s="1088">
        <f>'R4_G2'!X10</f>
        <v>1</v>
      </c>
      <c r="Y10" s="1088">
        <f>'R4_G2'!Y10</f>
        <v>0</v>
      </c>
      <c r="Z10" s="1061" t="str">
        <f>'R4_G2'!Z10</f>
        <v/>
      </c>
      <c r="AA10" s="1061" t="str">
        <f>'R4_G2'!AA10</f>
        <v/>
      </c>
      <c r="AB10" s="1064" t="str">
        <f>'R4_G2'!AB10</f>
        <v/>
      </c>
    </row>
    <row r="11" ht="22.5" customHeight="1">
      <c r="A11" s="1090" t="str">
        <f>'R4_G2'!A11</f>
        <v>TJSC</v>
      </c>
      <c r="B11" s="1091" t="str">
        <f>'R4_G2'!B11</f>
        <v>Drivers</v>
      </c>
      <c r="C11" s="1092">
        <f>'R4_G2'!C11</f>
        <v>13</v>
      </c>
      <c r="D11" s="1093">
        <f>'R4_G2'!D11</f>
        <v>13</v>
      </c>
      <c r="E11" s="1094">
        <f>'R4_G2'!E11</f>
        <v>4</v>
      </c>
      <c r="F11" s="1094">
        <f>'R4_G2'!F11</f>
        <v>5</v>
      </c>
      <c r="G11" s="1094">
        <f>'R4_G2'!G11</f>
        <v>7</v>
      </c>
      <c r="H11" s="1094">
        <f>'R4_G2'!H11</f>
        <v>3</v>
      </c>
      <c r="I11" s="1094">
        <f>'R4_G2'!I11</f>
        <v>3</v>
      </c>
      <c r="J11" s="1094">
        <f>'R4_G2'!J11</f>
        <v>6</v>
      </c>
      <c r="K11" s="1094">
        <f>'R4_G2'!K11</f>
        <v>2</v>
      </c>
      <c r="L11" s="1094">
        <f>'R4_G2'!L11</f>
        <v>6</v>
      </c>
      <c r="M11" s="1094">
        <f>'R4_G2'!M11</f>
        <v>4</v>
      </c>
      <c r="N11" s="1070">
        <f>'R4_G2'!N11</f>
        <v>40</v>
      </c>
      <c r="O11" s="1071"/>
      <c r="P11" s="1095" t="str">
        <f>'R4_G2'!P11</f>
        <v>TJSC</v>
      </c>
      <c r="Q11" s="1094">
        <f>'R4_G2'!Q11</f>
        <v>8</v>
      </c>
      <c r="R11" s="1094">
        <f>'R4_G2'!R11</f>
        <v>7</v>
      </c>
      <c r="S11" s="1094">
        <f>'R4_G2'!S11</f>
        <v>4</v>
      </c>
      <c r="T11" s="1094">
        <f>'R4_G2'!T11</f>
        <v>6</v>
      </c>
      <c r="U11" s="1094">
        <f>'R4_G2'!U11</f>
        <v>5</v>
      </c>
      <c r="V11" s="1094">
        <f>'R4_G2'!V11</f>
        <v>3</v>
      </c>
      <c r="W11" s="1094">
        <f>'R4_G2'!W11</f>
        <v>6</v>
      </c>
      <c r="X11" s="1094">
        <f>'R4_G2'!X11</f>
        <v>4</v>
      </c>
      <c r="Y11" s="1094">
        <f>'R4_G2'!Y11</f>
        <v>6</v>
      </c>
      <c r="Z11" s="1070">
        <f>'R4_G2'!Z11</f>
        <v>49</v>
      </c>
      <c r="AA11" s="1070">
        <f>'R4_G2'!AA11</f>
        <v>89</v>
      </c>
      <c r="AB11" s="1073">
        <f>'R4_G2'!AB11</f>
        <v>76</v>
      </c>
    </row>
    <row r="12" ht="7.5" customHeight="1">
      <c r="A12" s="1096"/>
      <c r="B12" s="1097"/>
      <c r="C12" s="1098" t="str">
        <f>'R4_G2'!C12</f>
        <v/>
      </c>
      <c r="D12" s="1099" t="str">
        <f>'R4_G2'!D12</f>
        <v/>
      </c>
      <c r="E12" s="1100" t="str">
        <f>'R4_G2'!E12</f>
        <v>O</v>
      </c>
      <c r="F12" s="1100" t="str">
        <f>'R4_G2'!F12</f>
        <v/>
      </c>
      <c r="G12" s="1100" t="str">
        <f>'R4_G2'!G12</f>
        <v>O</v>
      </c>
      <c r="H12" s="1100" t="str">
        <f>'R4_G2'!H12</f>
        <v>O</v>
      </c>
      <c r="I12" s="1100" t="str">
        <f>'R4_G2'!I12</f>
        <v>O</v>
      </c>
      <c r="J12" s="1100" t="str">
        <f>'R4_G2'!J12</f>
        <v>O</v>
      </c>
      <c r="K12" s="1100" t="str">
        <f>'R4_G2'!K12</f>
        <v/>
      </c>
      <c r="L12" s="1100" t="str">
        <f>'R4_G2'!L12</f>
        <v>O</v>
      </c>
      <c r="M12" s="1100" t="str">
        <f>'R4_G2'!M12</f>
        <v>O</v>
      </c>
      <c r="N12" s="1101" t="str">
        <f>'R4_G2'!N12</f>
        <v/>
      </c>
      <c r="O12" s="1102"/>
      <c r="P12" s="1103" t="str">
        <f>'R4_G2'!P12</f>
        <v/>
      </c>
      <c r="Q12" s="1100" t="str">
        <f>'R4_G2'!Q12</f>
        <v>O</v>
      </c>
      <c r="R12" s="1100" t="str">
        <f>'R4_G2'!R12</f>
        <v>O</v>
      </c>
      <c r="S12" s="1100" t="str">
        <f>'R4_G2'!S12</f>
        <v/>
      </c>
      <c r="T12" s="1100" t="str">
        <f>'R4_G2'!T12</f>
        <v>O</v>
      </c>
      <c r="U12" s="1100" t="str">
        <f>'R4_G2'!U12</f>
        <v>O</v>
      </c>
      <c r="V12" s="1100" t="str">
        <f>'R4_G2'!V12</f>
        <v>O</v>
      </c>
      <c r="W12" s="1100" t="str">
        <f>'R4_G2'!W12</f>
        <v>O</v>
      </c>
      <c r="X12" s="1100" t="str">
        <f>'R4_G2'!X12</f>
        <v>O</v>
      </c>
      <c r="Y12" s="1100" t="str">
        <f>'R4_G2'!Y12</f>
        <v/>
      </c>
      <c r="Z12" s="1079" t="str">
        <f>'R4_G2'!Z12</f>
        <v/>
      </c>
      <c r="AA12" s="1082" t="str">
        <f>'R4_G2'!AA12</f>
        <v/>
      </c>
      <c r="AB12" s="1104" t="str">
        <f>'R4_G2'!AB12</f>
        <v/>
      </c>
    </row>
    <row r="13" ht="22.5" hidden="1" customHeight="1">
      <c r="A13" s="1056"/>
      <c r="B13" s="1057"/>
      <c r="C13" s="1058" t="str">
        <f>'R4_G2'!C13</f>
        <v/>
      </c>
      <c r="D13" s="1059" t="str">
        <f>'R4_G2'!D13</f>
        <v/>
      </c>
      <c r="E13" s="1060">
        <f>'R4_G2'!E13</f>
        <v>1</v>
      </c>
      <c r="F13" s="1060">
        <f>'R4_G2'!F13</f>
        <v>0</v>
      </c>
      <c r="G13" s="1060">
        <f>'R4_G2'!G13</f>
        <v>1</v>
      </c>
      <c r="H13" s="1060">
        <f>'R4_G2'!H13</f>
        <v>1</v>
      </c>
      <c r="I13" s="1060">
        <f>'R4_G2'!I13</f>
        <v>1</v>
      </c>
      <c r="J13" s="1060">
        <f>'R4_G2'!J13</f>
        <v>1</v>
      </c>
      <c r="K13" s="1060">
        <f>'R4_G2'!K13</f>
        <v>0</v>
      </c>
      <c r="L13" s="1060">
        <f>'R4_G2'!L13</f>
        <v>1</v>
      </c>
      <c r="M13" s="1060">
        <f>'R4_G2'!M13</f>
        <v>1</v>
      </c>
      <c r="N13" s="1061" t="str">
        <f>'R4_G2'!N13</f>
        <v/>
      </c>
      <c r="O13" s="1062"/>
      <c r="P13" s="1063" t="str">
        <f>'R4_G2'!P13</f>
        <v/>
      </c>
      <c r="Q13" s="1060">
        <f>'R4_G2'!Q13</f>
        <v>1</v>
      </c>
      <c r="R13" s="1060">
        <f>'R4_G2'!R13</f>
        <v>1</v>
      </c>
      <c r="S13" s="1060">
        <f>'R4_G2'!S13</f>
        <v>0</v>
      </c>
      <c r="T13" s="1060">
        <f>'R4_G2'!T13</f>
        <v>1</v>
      </c>
      <c r="U13" s="1060">
        <f>'R4_G2'!U13</f>
        <v>1</v>
      </c>
      <c r="V13" s="1060">
        <f>'R4_G2'!V13</f>
        <v>1</v>
      </c>
      <c r="W13" s="1060">
        <f>'R4_G2'!W13</f>
        <v>1</v>
      </c>
      <c r="X13" s="1060">
        <f>'R4_G2'!X13</f>
        <v>1</v>
      </c>
      <c r="Y13" s="1060">
        <f>'R4_G2'!Y13</f>
        <v>0</v>
      </c>
      <c r="Z13" s="1061" t="str">
        <f>'R4_G2'!Z13</f>
        <v/>
      </c>
      <c r="AA13" s="1061" t="str">
        <f>'R4_G2'!AA13</f>
        <v/>
      </c>
      <c r="AB13" s="1064" t="str">
        <f>'R4_G2'!AB13</f>
        <v/>
      </c>
    </row>
    <row r="14" ht="22.5" customHeight="1">
      <c r="A14" s="1065" t="str">
        <f>'R4_G2'!A14</f>
        <v>Weezy</v>
      </c>
      <c r="B14" s="1066" t="str">
        <f>'R4_G2'!B14</f>
        <v>Drivers</v>
      </c>
      <c r="C14" s="1067">
        <f>'R4_G2'!C14</f>
        <v>14</v>
      </c>
      <c r="D14" s="1068">
        <f>'R4_G2'!D14</f>
        <v>14</v>
      </c>
      <c r="E14" s="1069">
        <f>'R4_G2'!E14</f>
        <v>6</v>
      </c>
      <c r="F14" s="1069">
        <f>'R4_G2'!F14</f>
        <v>5</v>
      </c>
      <c r="G14" s="1069">
        <f>'R4_G2'!G14</f>
        <v>5</v>
      </c>
      <c r="H14" s="1069">
        <f>'R4_G2'!H14</f>
        <v>4</v>
      </c>
      <c r="I14" s="1069">
        <f>'R4_G2'!I14</f>
        <v>6</v>
      </c>
      <c r="J14" s="1069">
        <f>'R4_G2'!J14</f>
        <v>6</v>
      </c>
      <c r="K14" s="1069">
        <f>'R4_G2'!K14</f>
        <v>4</v>
      </c>
      <c r="L14" s="1069">
        <f>'R4_G2'!L14</f>
        <v>5</v>
      </c>
      <c r="M14" s="1069">
        <f>'R4_G2'!M14</f>
        <v>4</v>
      </c>
      <c r="N14" s="1070">
        <f>'R4_G2'!N14</f>
        <v>45</v>
      </c>
      <c r="O14" s="1071"/>
      <c r="P14" s="1072" t="str">
        <f>'R4_G2'!P14</f>
        <v>Weezy</v>
      </c>
      <c r="Q14" s="1069">
        <f>'R4_G2'!Q14</f>
        <v>5</v>
      </c>
      <c r="R14" s="1069">
        <f>'R4_G2'!R14</f>
        <v>4</v>
      </c>
      <c r="S14" s="1069">
        <f>'R4_G2'!S14</f>
        <v>3</v>
      </c>
      <c r="T14" s="1069">
        <f>'R4_G2'!T14</f>
        <v>8</v>
      </c>
      <c r="U14" s="1069">
        <f>'R4_G2'!U14</f>
        <v>4</v>
      </c>
      <c r="V14" s="1069">
        <f>'R4_G2'!V14</f>
        <v>5</v>
      </c>
      <c r="W14" s="1069">
        <f>'R4_G2'!W14</f>
        <v>6</v>
      </c>
      <c r="X14" s="1069">
        <f>'R4_G2'!X14</f>
        <v>5</v>
      </c>
      <c r="Y14" s="1069">
        <f>'R4_G2'!Y14</f>
        <v>8</v>
      </c>
      <c r="Z14" s="1070">
        <f>'R4_G2'!Z14</f>
        <v>48</v>
      </c>
      <c r="AA14" s="1070">
        <f>'R4_G2'!AA14</f>
        <v>93</v>
      </c>
      <c r="AB14" s="1073">
        <f>'R4_G2'!AB14</f>
        <v>79</v>
      </c>
    </row>
    <row r="15" ht="7.5" customHeight="1">
      <c r="A15" s="1105"/>
      <c r="B15" s="1106"/>
      <c r="C15" s="1107" t="str">
        <f>'R4_G2'!C15</f>
        <v/>
      </c>
      <c r="D15" s="1108" t="str">
        <f>'R4_G2'!D15</f>
        <v/>
      </c>
      <c r="E15" s="1109" t="str">
        <f>'R4_G2'!E15</f>
        <v>O</v>
      </c>
      <c r="F15" s="1109" t="str">
        <f>'R4_G2'!F15</f>
        <v/>
      </c>
      <c r="G15" s="1109" t="str">
        <f>'R4_G2'!G15</f>
        <v>O</v>
      </c>
      <c r="H15" s="1109" t="str">
        <f>'R4_G2'!H15</f>
        <v>O</v>
      </c>
      <c r="I15" s="1109" t="str">
        <f>'R4_G2'!I15</f>
        <v>O</v>
      </c>
      <c r="J15" s="1109" t="str">
        <f>'R4_G2'!J15</f>
        <v>O</v>
      </c>
      <c r="K15" s="1109" t="str">
        <f>'R4_G2'!K15</f>
        <v/>
      </c>
      <c r="L15" s="1109" t="str">
        <f>'R4_G2'!L15</f>
        <v>O</v>
      </c>
      <c r="M15" s="1109" t="str">
        <f>'R4_G2'!M15</f>
        <v>O</v>
      </c>
      <c r="N15" s="1110" t="str">
        <f>'R4_G2'!N15</f>
        <v/>
      </c>
      <c r="O15" s="1111"/>
      <c r="P15" s="1112" t="str">
        <f>'R4_G2'!P15</f>
        <v/>
      </c>
      <c r="Q15" s="1109" t="str">
        <f>'R4_G2'!Q15</f>
        <v>O</v>
      </c>
      <c r="R15" s="1109" t="str">
        <f>'R4_G2'!R15</f>
        <v>O</v>
      </c>
      <c r="S15" s="1109" t="str">
        <f>'R4_G2'!S15</f>
        <v>O</v>
      </c>
      <c r="T15" s="1109" t="str">
        <f>'R4_G2'!T15</f>
        <v>O</v>
      </c>
      <c r="U15" s="1109" t="str">
        <f>'R4_G2'!U15</f>
        <v>O</v>
      </c>
      <c r="V15" s="1109" t="str">
        <f>'R4_G2'!V15</f>
        <v>O</v>
      </c>
      <c r="W15" s="1109" t="str">
        <f>'R4_G2'!W15</f>
        <v>O</v>
      </c>
      <c r="X15" s="1109" t="str">
        <f>'R4_G2'!X15</f>
        <v>O</v>
      </c>
      <c r="Y15" s="1109" t="str">
        <f>'R4_G2'!Y15</f>
        <v/>
      </c>
      <c r="Z15" s="1110" t="str">
        <f>'R4_G2'!Z15</f>
        <v/>
      </c>
      <c r="AA15" s="1113" t="str">
        <f>'R4_G2'!AA15</f>
        <v/>
      </c>
      <c r="AB15" s="1104" t="str">
        <f>'R4_G2'!AB15</f>
        <v/>
      </c>
    </row>
    <row r="16" ht="22.5" hidden="1" customHeight="1">
      <c r="A16" s="1084"/>
      <c r="B16" s="1085"/>
      <c r="C16" s="1086" t="str">
        <f>'R4_G2'!C16</f>
        <v/>
      </c>
      <c r="D16" s="1087" t="str">
        <f>'R4_G2'!D16</f>
        <v/>
      </c>
      <c r="E16" s="1088">
        <f>'R4_G2'!E16</f>
        <v>1</v>
      </c>
      <c r="F16" s="1088">
        <f>'R4_G2'!F16</f>
        <v>0</v>
      </c>
      <c r="G16" s="1088">
        <f>'R4_G2'!G16</f>
        <v>1</v>
      </c>
      <c r="H16" s="1088">
        <f>'R4_G2'!H16</f>
        <v>1</v>
      </c>
      <c r="I16" s="1088">
        <f>'R4_G2'!I16</f>
        <v>1</v>
      </c>
      <c r="J16" s="1088">
        <f>'R4_G2'!J16</f>
        <v>1</v>
      </c>
      <c r="K16" s="1088">
        <f>'R4_G2'!K16</f>
        <v>0</v>
      </c>
      <c r="L16" s="1088">
        <f>'R4_G2'!L16</f>
        <v>1</v>
      </c>
      <c r="M16" s="1088">
        <f>'R4_G2'!M16</f>
        <v>1</v>
      </c>
      <c r="N16" s="1061" t="str">
        <f>'R4_G2'!N16</f>
        <v/>
      </c>
      <c r="O16" s="1062"/>
      <c r="P16" s="1089" t="str">
        <f>'R4_G2'!P16</f>
        <v/>
      </c>
      <c r="Q16" s="1088">
        <f>'R4_G2'!Q16</f>
        <v>1</v>
      </c>
      <c r="R16" s="1088">
        <f>'R4_G2'!R16</f>
        <v>1</v>
      </c>
      <c r="S16" s="1088">
        <f>'R4_G2'!S16</f>
        <v>1</v>
      </c>
      <c r="T16" s="1088">
        <f>'R4_G2'!T16</f>
        <v>1</v>
      </c>
      <c r="U16" s="1088">
        <f>'R4_G2'!U16</f>
        <v>1</v>
      </c>
      <c r="V16" s="1088">
        <f>'R4_G2'!V16</f>
        <v>1</v>
      </c>
      <c r="W16" s="1088">
        <f>'R4_G2'!W16</f>
        <v>1</v>
      </c>
      <c r="X16" s="1088">
        <f>'R4_G2'!X16</f>
        <v>1</v>
      </c>
      <c r="Y16" s="1088">
        <f>'R4_G2'!Y16</f>
        <v>0</v>
      </c>
      <c r="Z16" s="1061" t="str">
        <f>'R4_G2'!Z16</f>
        <v/>
      </c>
      <c r="AA16" s="1114" t="str">
        <f>'R4_G2'!AA16</f>
        <v/>
      </c>
      <c r="AB16" s="1064" t="str">
        <f>'R4_G2'!AB16</f>
        <v/>
      </c>
    </row>
    <row r="17" ht="22.5" customHeight="1">
      <c r="A17" s="1115" t="str">
        <f>'R4_G2'!A17</f>
        <v>Joe O</v>
      </c>
      <c r="B17" s="1091" t="str">
        <f>'R4_G2'!B17</f>
        <v>Drivers</v>
      </c>
      <c r="C17" s="1092">
        <f>'R4_G2'!C17</f>
        <v>15</v>
      </c>
      <c r="D17" s="1093">
        <f>'R4_G2'!D17</f>
        <v>15</v>
      </c>
      <c r="E17" s="1094">
        <f>'R4_G2'!E17</f>
        <v>4</v>
      </c>
      <c r="F17" s="1094">
        <f>'R4_G2'!F17</f>
        <v>6</v>
      </c>
      <c r="G17" s="1094">
        <f>'R4_G2'!G17</f>
        <v>5</v>
      </c>
      <c r="H17" s="1094">
        <f>'R4_G2'!H17</f>
        <v>5</v>
      </c>
      <c r="I17" s="1094">
        <f>'R4_G2'!I17</f>
        <v>6</v>
      </c>
      <c r="J17" s="1094">
        <f>'R4_G2'!J17</f>
        <v>6</v>
      </c>
      <c r="K17" s="1094">
        <f>'R4_G2'!K17</f>
        <v>4</v>
      </c>
      <c r="L17" s="1094">
        <f>'R4_G2'!L17</f>
        <v>7</v>
      </c>
      <c r="M17" s="1094">
        <f>'R4_G2'!M17</f>
        <v>5</v>
      </c>
      <c r="N17" s="1070">
        <f>'R4_G2'!N17</f>
        <v>48</v>
      </c>
      <c r="O17" s="1071"/>
      <c r="P17" s="1095" t="str">
        <f>'R4_G2'!P17</f>
        <v>Joe O</v>
      </c>
      <c r="Q17" s="1094">
        <f>'R4_G2'!Q17</f>
        <v>7</v>
      </c>
      <c r="R17" s="1094">
        <f>'R4_G2'!R17</f>
        <v>6</v>
      </c>
      <c r="S17" s="1094">
        <f>'R4_G2'!S17</f>
        <v>3</v>
      </c>
      <c r="T17" s="1094">
        <f>'R4_G2'!T17</f>
        <v>7</v>
      </c>
      <c r="U17" s="1094">
        <f>'R4_G2'!U17</f>
        <v>4</v>
      </c>
      <c r="V17" s="1094">
        <f>'R4_G2'!V17</f>
        <v>4</v>
      </c>
      <c r="W17" s="1094">
        <f>'R4_G2'!W17</f>
        <v>9</v>
      </c>
      <c r="X17" s="1094">
        <f>'R4_G2'!X17</f>
        <v>5</v>
      </c>
      <c r="Y17" s="1094">
        <f>'R4_G2'!Y17</f>
        <v>6</v>
      </c>
      <c r="Z17" s="1070">
        <f>'R4_G2'!Z17</f>
        <v>51</v>
      </c>
      <c r="AA17" s="1070">
        <f>'R4_G2'!AA17</f>
        <v>99</v>
      </c>
      <c r="AB17" s="1073">
        <f>'R4_G2'!AB17</f>
        <v>84</v>
      </c>
    </row>
    <row r="18" ht="7.5" customHeight="1">
      <c r="A18" s="1046"/>
      <c r="B18" s="1047"/>
      <c r="C18" s="1048"/>
      <c r="D18" s="1049"/>
      <c r="E18" s="1050" t="str">
        <f>'R4_G4'!E6</f>
        <v/>
      </c>
      <c r="F18" s="1050" t="str">
        <f>'R4_G4'!F6</f>
        <v/>
      </c>
      <c r="G18" s="1050" t="str">
        <f>'R4_G4'!G6</f>
        <v>O</v>
      </c>
      <c r="H18" s="1050" t="str">
        <f>'R4_G4'!H6</f>
        <v/>
      </c>
      <c r="I18" s="1050" t="str">
        <f>'R4_G4'!I6</f>
        <v>O</v>
      </c>
      <c r="J18" s="1050" t="str">
        <f>'R4_G4'!J6</f>
        <v/>
      </c>
      <c r="K18" s="1050" t="str">
        <f>'R4_G4'!K6</f>
        <v/>
      </c>
      <c r="L18" s="1050" t="str">
        <f>'R4_G4'!L6</f>
        <v>O</v>
      </c>
      <c r="M18" s="1050" t="str">
        <f>'R4_G4'!M6</f>
        <v>O</v>
      </c>
      <c r="N18" s="1051"/>
      <c r="O18" s="1052"/>
      <c r="P18" s="1053"/>
      <c r="Q18" s="1050" t="str">
        <f>'R4_G4'!Q6</f>
        <v>O</v>
      </c>
      <c r="R18" s="1050" t="str">
        <f>'R4_G4'!R6</f>
        <v/>
      </c>
      <c r="S18" s="1050" t="str">
        <f>'R4_G4'!S6</f>
        <v/>
      </c>
      <c r="T18" s="1050" t="str">
        <f>'R4_G4'!T6</f>
        <v/>
      </c>
      <c r="U18" s="1050" t="str">
        <f>'R4_G4'!U6</f>
        <v>O</v>
      </c>
      <c r="V18" s="1050" t="str">
        <f>'R4_G4'!V6</f>
        <v/>
      </c>
      <c r="W18" s="1050" t="str">
        <f>'R4_G4'!W6</f>
        <v>O</v>
      </c>
      <c r="X18" s="1050" t="str">
        <f>'R4_G4'!X6</f>
        <v>O</v>
      </c>
      <c r="Y18" s="1050" t="str">
        <f>'R4_G4'!Y6</f>
        <v/>
      </c>
      <c r="Z18" s="1054" t="str">
        <f>'R4_G4'!Z6</f>
        <v/>
      </c>
      <c r="AA18" s="1055" t="str">
        <f>'R4_G4'!AA6</f>
        <v/>
      </c>
      <c r="AB18" s="1055" t="str">
        <f>'R4_G4'!AB6</f>
        <v/>
      </c>
    </row>
    <row r="19" ht="22.5" hidden="1" customHeight="1">
      <c r="A19" s="1056"/>
      <c r="B19" s="1057"/>
      <c r="C19" s="1058"/>
      <c r="D19" s="1059"/>
      <c r="E19" s="1060">
        <f>'R4_G4'!E7</f>
        <v>0</v>
      </c>
      <c r="F19" s="1060">
        <f>'R4_G4'!F7</f>
        <v>0</v>
      </c>
      <c r="G19" s="1060">
        <f>'R4_G4'!G7</f>
        <v>1</v>
      </c>
      <c r="H19" s="1060">
        <f>'R4_G4'!H7</f>
        <v>0</v>
      </c>
      <c r="I19" s="1060">
        <f>'R4_G4'!I7</f>
        <v>1</v>
      </c>
      <c r="J19" s="1060">
        <f>'R4_G4'!J7</f>
        <v>0</v>
      </c>
      <c r="K19" s="1060">
        <f>'R4_G4'!K7</f>
        <v>0</v>
      </c>
      <c r="L19" s="1060">
        <f>'R4_G4'!L7</f>
        <v>1</v>
      </c>
      <c r="M19" s="1060">
        <f>'R4_G4'!M7</f>
        <v>1</v>
      </c>
      <c r="N19" s="1116"/>
      <c r="O19" s="1062"/>
      <c r="P19" s="1063"/>
      <c r="Q19" s="1060">
        <f>'R4_G4'!Q7</f>
        <v>1</v>
      </c>
      <c r="R19" s="1060">
        <f>'R4_G4'!R7</f>
        <v>0</v>
      </c>
      <c r="S19" s="1060">
        <f>'R4_G4'!S7</f>
        <v>0</v>
      </c>
      <c r="T19" s="1060">
        <f>'R4_G4'!T7</f>
        <v>0</v>
      </c>
      <c r="U19" s="1060">
        <f>'R4_G4'!U7</f>
        <v>1</v>
      </c>
      <c r="V19" s="1060">
        <f>'R4_G4'!V7</f>
        <v>0</v>
      </c>
      <c r="W19" s="1060">
        <f>'R4_G4'!W7</f>
        <v>1</v>
      </c>
      <c r="X19" s="1060">
        <f>'R4_G4'!X7</f>
        <v>1</v>
      </c>
      <c r="Y19" s="1060">
        <f>'R4_G4'!Y7</f>
        <v>0</v>
      </c>
      <c r="Z19" s="1116" t="str">
        <f>'R4_G4'!Z7</f>
        <v/>
      </c>
      <c r="AA19" s="1116" t="str">
        <f>'R4_G4'!AA7</f>
        <v/>
      </c>
      <c r="AB19" s="1064" t="str">
        <f>'R4_G4'!AB7</f>
        <v/>
      </c>
    </row>
    <row r="20" ht="22.5" customHeight="1">
      <c r="A20" s="1065" t="str">
        <f>'R4_G4'!A8</f>
        <v>KJ</v>
      </c>
      <c r="B20" s="1157" t="str">
        <f>'R4_G4'!B8</f>
        <v>Drivers</v>
      </c>
      <c r="C20" s="1067">
        <f>'R4_G4'!C8</f>
        <v>8</v>
      </c>
      <c r="D20" s="1068">
        <f>'R4_G4'!D8</f>
        <v>8</v>
      </c>
      <c r="E20" s="1069">
        <f>'R4_G4'!E8</f>
        <v>4</v>
      </c>
      <c r="F20" s="1069">
        <f>'R4_G4'!F8</f>
        <v>5</v>
      </c>
      <c r="G20" s="1069">
        <f>'R4_G4'!G8</f>
        <v>5</v>
      </c>
      <c r="H20" s="1069">
        <f>'R4_G4'!H8</f>
        <v>4</v>
      </c>
      <c r="I20" s="1069">
        <f>'R4_G4'!I8</f>
        <v>5</v>
      </c>
      <c r="J20" s="1069">
        <f>'R4_G4'!J8</f>
        <v>5</v>
      </c>
      <c r="K20" s="1069">
        <f>'R4_G4'!K8</f>
        <v>2</v>
      </c>
      <c r="L20" s="1069">
        <f>'R4_G4'!L8</f>
        <v>4</v>
      </c>
      <c r="M20" s="1069">
        <f>'R4_G4'!M8</f>
        <v>3</v>
      </c>
      <c r="N20" s="1070">
        <f>'R4_G4'!N8</f>
        <v>37</v>
      </c>
      <c r="O20" s="1071"/>
      <c r="P20" s="1072" t="str">
        <f>'R4_G4'!P8</f>
        <v>KJ</v>
      </c>
      <c r="Q20" s="1069">
        <f>'R4_G4'!Q8</f>
        <v>4</v>
      </c>
      <c r="R20" s="1069">
        <f>'R4_G4'!R8</f>
        <v>4</v>
      </c>
      <c r="S20" s="1069">
        <f>'R4_G4'!S8</f>
        <v>4</v>
      </c>
      <c r="T20" s="1069">
        <f>'R4_G4'!T8</f>
        <v>6</v>
      </c>
      <c r="U20" s="1069">
        <f>'R4_G4'!U8</f>
        <v>6</v>
      </c>
      <c r="V20" s="1069">
        <f>'R4_G4'!V8</f>
        <v>4</v>
      </c>
      <c r="W20" s="1069">
        <f>'R4_G4'!W8</f>
        <v>5</v>
      </c>
      <c r="X20" s="1069">
        <f>'R4_G4'!X8</f>
        <v>5</v>
      </c>
      <c r="Y20" s="1069">
        <f>'R4_G4'!Y8</f>
        <v>4</v>
      </c>
      <c r="Z20" s="1070">
        <f>'R4_G4'!Z8</f>
        <v>42</v>
      </c>
      <c r="AA20" s="1070">
        <f>'R4_G4'!AA8</f>
        <v>79</v>
      </c>
      <c r="AB20" s="1073">
        <f>'R4_G4'!AB8</f>
        <v>71</v>
      </c>
    </row>
    <row r="21" ht="7.5" customHeight="1">
      <c r="A21" s="1074"/>
      <c r="B21" s="1075"/>
      <c r="C21" s="1076"/>
      <c r="D21" s="1077"/>
      <c r="E21" s="1078" t="str">
        <f>'R4_G4'!E9</f>
        <v>O</v>
      </c>
      <c r="F21" s="1078" t="str">
        <f>'R4_G4'!F9</f>
        <v/>
      </c>
      <c r="G21" s="1078" t="str">
        <f>'R4_G4'!G9</f>
        <v>O</v>
      </c>
      <c r="H21" s="1078" t="str">
        <f>'R4_G4'!H9</f>
        <v/>
      </c>
      <c r="I21" s="1078" t="str">
        <f>'R4_G4'!I9</f>
        <v>O</v>
      </c>
      <c r="J21" s="1078" t="str">
        <f>'R4_G4'!J9</f>
        <v/>
      </c>
      <c r="K21" s="1078" t="str">
        <f>'R4_G4'!K9</f>
        <v/>
      </c>
      <c r="L21" s="1078" t="str">
        <f>'R4_G4'!L9</f>
        <v>O</v>
      </c>
      <c r="M21" s="1078" t="str">
        <f>'R4_G4'!M9</f>
        <v>O</v>
      </c>
      <c r="N21" s="1079"/>
      <c r="O21" s="1080"/>
      <c r="P21" s="1081"/>
      <c r="Q21" s="1078" t="str">
        <f>'R4_G4'!Q9</f>
        <v>O</v>
      </c>
      <c r="R21" s="1078" t="str">
        <f>'R4_G4'!R9</f>
        <v/>
      </c>
      <c r="S21" s="1078" t="str">
        <f>'R4_G4'!S9</f>
        <v/>
      </c>
      <c r="T21" s="1078" t="str">
        <f>'R4_G4'!T9</f>
        <v>O</v>
      </c>
      <c r="U21" s="1078" t="str">
        <f>'R4_G4'!U9</f>
        <v>O</v>
      </c>
      <c r="V21" s="1078" t="str">
        <f>'R4_G4'!V9</f>
        <v>O</v>
      </c>
      <c r="W21" s="1078" t="str">
        <f>'R4_G4'!W9</f>
        <v>O</v>
      </c>
      <c r="X21" s="1078" t="str">
        <f>'R4_G4'!X9</f>
        <v>O</v>
      </c>
      <c r="Y21" s="1078" t="str">
        <f>'R4_G4'!Y9</f>
        <v/>
      </c>
      <c r="Z21" s="1079" t="str">
        <f>'R4_G4'!Z9</f>
        <v/>
      </c>
      <c r="AA21" s="1082" t="str">
        <f>'R4_G4'!AA9</f>
        <v/>
      </c>
      <c r="AB21" s="1083" t="str">
        <f>'R4_G4'!AB9</f>
        <v/>
      </c>
    </row>
    <row r="22" ht="22.5" hidden="1" customHeight="1">
      <c r="A22" s="1084"/>
      <c r="B22" s="1085"/>
      <c r="C22" s="1086"/>
      <c r="D22" s="1087"/>
      <c r="E22" s="1088">
        <f>'R4_G4'!E10</f>
        <v>1</v>
      </c>
      <c r="F22" s="1088">
        <f>'R4_G4'!F10</f>
        <v>0</v>
      </c>
      <c r="G22" s="1088">
        <f>'R4_G4'!G10</f>
        <v>1</v>
      </c>
      <c r="H22" s="1088">
        <f>'R4_G4'!H10</f>
        <v>0</v>
      </c>
      <c r="I22" s="1088">
        <f>'R4_G4'!I10</f>
        <v>1</v>
      </c>
      <c r="J22" s="1088">
        <f>'R4_G4'!J10</f>
        <v>0</v>
      </c>
      <c r="K22" s="1088">
        <f>'R4_G4'!K10</f>
        <v>0</v>
      </c>
      <c r="L22" s="1088">
        <f>'R4_G4'!L10</f>
        <v>1</v>
      </c>
      <c r="M22" s="1088">
        <f>'R4_G4'!M10</f>
        <v>1</v>
      </c>
      <c r="N22" s="1116"/>
      <c r="O22" s="1062"/>
      <c r="P22" s="1089"/>
      <c r="Q22" s="1088">
        <f>'R4_G4'!Q10</f>
        <v>1</v>
      </c>
      <c r="R22" s="1088">
        <f>'R4_G4'!R10</f>
        <v>0</v>
      </c>
      <c r="S22" s="1088">
        <f>'R4_G4'!S10</f>
        <v>0</v>
      </c>
      <c r="T22" s="1088">
        <f>'R4_G4'!T10</f>
        <v>1</v>
      </c>
      <c r="U22" s="1088">
        <f>'R4_G4'!U10</f>
        <v>1</v>
      </c>
      <c r="V22" s="1088">
        <f>'R4_G4'!V10</f>
        <v>1</v>
      </c>
      <c r="W22" s="1088">
        <f>'R4_G4'!W10</f>
        <v>1</v>
      </c>
      <c r="X22" s="1088">
        <f>'R4_G4'!X10</f>
        <v>1</v>
      </c>
      <c r="Y22" s="1088">
        <f>'R4_G4'!Y10</f>
        <v>0</v>
      </c>
      <c r="Z22" s="1116" t="str">
        <f>'R4_G4'!Z10</f>
        <v/>
      </c>
      <c r="AA22" s="1116" t="str">
        <f>'R4_G4'!AA10</f>
        <v/>
      </c>
      <c r="AB22" s="1064" t="str">
        <f>'R4_G4'!AB10</f>
        <v/>
      </c>
    </row>
    <row r="23" ht="22.5" customHeight="1">
      <c r="A23" s="1090" t="str">
        <f>'R4_G4'!A11</f>
        <v>T-Mo</v>
      </c>
      <c r="B23" s="1091" t="str">
        <f>'R4_G4'!B11</f>
        <v>Drivers</v>
      </c>
      <c r="C23" s="1092">
        <f>'R4_G4'!C11</f>
        <v>11</v>
      </c>
      <c r="D23" s="1093">
        <f>'R4_G4'!D11</f>
        <v>11</v>
      </c>
      <c r="E23" s="1094">
        <f>'R4_G4'!E11</f>
        <v>5</v>
      </c>
      <c r="F23" s="1094">
        <f>'R4_G4'!F11</f>
        <v>7</v>
      </c>
      <c r="G23" s="1094">
        <f>'R4_G4'!G11</f>
        <v>7</v>
      </c>
      <c r="H23" s="1094">
        <f>'R4_G4'!H11</f>
        <v>4</v>
      </c>
      <c r="I23" s="1094">
        <f>'R4_G4'!I11</f>
        <v>7</v>
      </c>
      <c r="J23" s="1094">
        <f>'R4_G4'!J11</f>
        <v>6</v>
      </c>
      <c r="K23" s="1094">
        <f>'R4_G4'!K11</f>
        <v>5</v>
      </c>
      <c r="L23" s="1094">
        <f>'R4_G4'!L11</f>
        <v>5</v>
      </c>
      <c r="M23" s="1094">
        <f>'R4_G4'!M11</f>
        <v>6</v>
      </c>
      <c r="N23" s="1070">
        <f>'R4_G4'!N11</f>
        <v>52</v>
      </c>
      <c r="O23" s="1071"/>
      <c r="P23" s="1095" t="str">
        <f>'R4_G4'!P11</f>
        <v>T-Mo</v>
      </c>
      <c r="Q23" s="1094">
        <f>'R4_G4'!Q11</f>
        <v>5</v>
      </c>
      <c r="R23" s="1094">
        <f>'R4_G4'!R11</f>
        <v>4</v>
      </c>
      <c r="S23" s="1094">
        <f>'R4_G4'!S11</f>
        <v>5</v>
      </c>
      <c r="T23" s="1094">
        <f>'R4_G4'!T11</f>
        <v>6</v>
      </c>
      <c r="U23" s="1094">
        <f>'R4_G4'!U11</f>
        <v>5</v>
      </c>
      <c r="V23" s="1094">
        <f>'R4_G4'!V11</f>
        <v>4</v>
      </c>
      <c r="W23" s="1094">
        <f>'R4_G4'!W11</f>
        <v>5</v>
      </c>
      <c r="X23" s="1094">
        <f>'R4_G4'!X11</f>
        <v>3</v>
      </c>
      <c r="Y23" s="1094">
        <f>'R4_G4'!Y11</f>
        <v>6</v>
      </c>
      <c r="Z23" s="1070">
        <f>'R4_G4'!Z11</f>
        <v>43</v>
      </c>
      <c r="AA23" s="1070">
        <f>'R4_G4'!AA11</f>
        <v>95</v>
      </c>
      <c r="AB23" s="1073">
        <f>'R4_G4'!AB11</f>
        <v>84</v>
      </c>
    </row>
    <row r="24" ht="7.5" customHeight="1">
      <c r="A24" s="1096"/>
      <c r="B24" s="1097"/>
      <c r="C24" s="1098"/>
      <c r="D24" s="1099"/>
      <c r="E24" s="1100" t="str">
        <f>'R4_G4'!E12</f>
        <v/>
      </c>
      <c r="F24" s="1100" t="str">
        <f>'R4_G4'!F12</f>
        <v/>
      </c>
      <c r="G24" s="1100" t="str">
        <f>'R4_G4'!G12</f>
        <v>O</v>
      </c>
      <c r="H24" s="1100" t="str">
        <f>'R4_G4'!H12</f>
        <v/>
      </c>
      <c r="I24" s="1100" t="str">
        <f>'R4_G4'!I12</f>
        <v>O</v>
      </c>
      <c r="J24" s="1100" t="str">
        <f>'R4_G4'!J12</f>
        <v/>
      </c>
      <c r="K24" s="1100" t="str">
        <f>'R4_G4'!K12</f>
        <v/>
      </c>
      <c r="L24" s="1100" t="str">
        <f>'R4_G4'!L12</f>
        <v>O</v>
      </c>
      <c r="M24" s="1100" t="str">
        <f>'R4_G4'!M12</f>
        <v>O</v>
      </c>
      <c r="N24" s="1101"/>
      <c r="O24" s="1102"/>
      <c r="P24" s="1103"/>
      <c r="Q24" s="1100" t="str">
        <f>'R4_G4'!Q12</f>
        <v>O</v>
      </c>
      <c r="R24" s="1100" t="str">
        <f>'R4_G4'!R12</f>
        <v/>
      </c>
      <c r="S24" s="1100" t="str">
        <f>'R4_G4'!S12</f>
        <v/>
      </c>
      <c r="T24" s="1100" t="str">
        <f>'R4_G4'!T12</f>
        <v/>
      </c>
      <c r="U24" s="1100" t="str">
        <f>'R4_G4'!U12</f>
        <v>O</v>
      </c>
      <c r="V24" s="1100" t="str">
        <f>'R4_G4'!V12</f>
        <v>O</v>
      </c>
      <c r="W24" s="1100" t="str">
        <f>'R4_G4'!W12</f>
        <v>O</v>
      </c>
      <c r="X24" s="1100" t="str">
        <f>'R4_G4'!X12</f>
        <v>O</v>
      </c>
      <c r="Y24" s="1100" t="str">
        <f>'R4_G4'!Y12</f>
        <v/>
      </c>
      <c r="Z24" s="1079" t="str">
        <f>'R4_G4'!Z12</f>
        <v/>
      </c>
      <c r="AA24" s="1082" t="str">
        <f>'R4_G4'!AA12</f>
        <v/>
      </c>
      <c r="AB24" s="1104" t="str">
        <f>'R4_G4'!AB12</f>
        <v/>
      </c>
    </row>
    <row r="25" ht="22.5" hidden="1" customHeight="1">
      <c r="A25" s="1056"/>
      <c r="B25" s="1057"/>
      <c r="C25" s="1058"/>
      <c r="D25" s="1059"/>
      <c r="E25" s="1060">
        <f>'R4_G4'!E13</f>
        <v>0</v>
      </c>
      <c r="F25" s="1060">
        <f>'R4_G4'!F13</f>
        <v>0</v>
      </c>
      <c r="G25" s="1060">
        <f>'R4_G4'!G13</f>
        <v>1</v>
      </c>
      <c r="H25" s="1060">
        <f>'R4_G4'!H13</f>
        <v>0</v>
      </c>
      <c r="I25" s="1060">
        <f>'R4_G4'!I13</f>
        <v>1</v>
      </c>
      <c r="J25" s="1060">
        <f>'R4_G4'!J13</f>
        <v>0</v>
      </c>
      <c r="K25" s="1060">
        <f>'R4_G4'!K13</f>
        <v>0</v>
      </c>
      <c r="L25" s="1060">
        <f>'R4_G4'!L13</f>
        <v>1</v>
      </c>
      <c r="M25" s="1060">
        <f>'R4_G4'!M13</f>
        <v>1</v>
      </c>
      <c r="N25" s="1116"/>
      <c r="O25" s="1062"/>
      <c r="P25" s="1063"/>
      <c r="Q25" s="1060">
        <f>'R4_G4'!Q13</f>
        <v>1</v>
      </c>
      <c r="R25" s="1060">
        <f>'R4_G4'!R13</f>
        <v>0</v>
      </c>
      <c r="S25" s="1060">
        <f>'R4_G4'!S13</f>
        <v>0</v>
      </c>
      <c r="T25" s="1060">
        <f>'R4_G4'!T13</f>
        <v>0</v>
      </c>
      <c r="U25" s="1060">
        <f>'R4_G4'!U13</f>
        <v>1</v>
      </c>
      <c r="V25" s="1060">
        <f>'R4_G4'!V13</f>
        <v>1</v>
      </c>
      <c r="W25" s="1060">
        <f>'R4_G4'!W13</f>
        <v>1</v>
      </c>
      <c r="X25" s="1060">
        <f>'R4_G4'!X13</f>
        <v>1</v>
      </c>
      <c r="Y25" s="1060">
        <f>'R4_G4'!Y13</f>
        <v>0</v>
      </c>
      <c r="Z25" s="1116" t="str">
        <f>'R4_G4'!Z13</f>
        <v/>
      </c>
      <c r="AA25" s="1116" t="str">
        <f>'R4_G4'!AA13</f>
        <v/>
      </c>
      <c r="AB25" s="1064" t="str">
        <f>'R4_G4'!AB13</f>
        <v/>
      </c>
    </row>
    <row r="26" ht="22.5" customHeight="1">
      <c r="A26" s="1065" t="str">
        <f>'R4_G4'!A14</f>
        <v>R-Mac</v>
      </c>
      <c r="B26" s="1066" t="str">
        <f>'R4_G4'!B14</f>
        <v>Drivers</v>
      </c>
      <c r="C26" s="1067">
        <f>'R4_G4'!C14</f>
        <v>9</v>
      </c>
      <c r="D26" s="1068">
        <f>'R4_G4'!D14</f>
        <v>9</v>
      </c>
      <c r="E26" s="1069">
        <f>'R4_G4'!E14</f>
        <v>3</v>
      </c>
      <c r="F26" s="1069">
        <f>'R4_G4'!F14</f>
        <v>6</v>
      </c>
      <c r="G26" s="1069">
        <f>'R4_G4'!G14</f>
        <v>7</v>
      </c>
      <c r="H26" s="1069">
        <f>'R4_G4'!H14</f>
        <v>3</v>
      </c>
      <c r="I26" s="1069">
        <f>'R4_G4'!I14</f>
        <v>6</v>
      </c>
      <c r="J26" s="1069">
        <f>'R4_G4'!J14</f>
        <v>5</v>
      </c>
      <c r="K26" s="1069">
        <f>'R4_G4'!K14</f>
        <v>4</v>
      </c>
      <c r="L26" s="1069">
        <f>'R4_G4'!L14</f>
        <v>6</v>
      </c>
      <c r="M26" s="1069">
        <f>'R4_G4'!M14</f>
        <v>5</v>
      </c>
      <c r="N26" s="1070">
        <f>'R4_G4'!N14</f>
        <v>45</v>
      </c>
      <c r="O26" s="1071"/>
      <c r="P26" s="1072" t="str">
        <f>'R4_G4'!P14</f>
        <v>R-Mac</v>
      </c>
      <c r="Q26" s="1069">
        <f>'R4_G4'!Q14</f>
        <v>4</v>
      </c>
      <c r="R26" s="1069">
        <f>'R4_G4'!R14</f>
        <v>5</v>
      </c>
      <c r="S26" s="1069">
        <f>'R4_G4'!S14</f>
        <v>3</v>
      </c>
      <c r="T26" s="1069">
        <f>'R4_G4'!T14</f>
        <v>6</v>
      </c>
      <c r="U26" s="1069">
        <f>'R4_G4'!U14</f>
        <v>5</v>
      </c>
      <c r="V26" s="1069">
        <f>'R4_G4'!V14</f>
        <v>3</v>
      </c>
      <c r="W26" s="1069">
        <f>'R4_G4'!W14</f>
        <v>6</v>
      </c>
      <c r="X26" s="1069">
        <f>'R4_G4'!X14</f>
        <v>5</v>
      </c>
      <c r="Y26" s="1069">
        <f>'R4_G4'!Y14</f>
        <v>8</v>
      </c>
      <c r="Z26" s="1070">
        <f>'R4_G4'!Z14</f>
        <v>45</v>
      </c>
      <c r="AA26" s="1070">
        <f>'R4_G4'!AA14</f>
        <v>90</v>
      </c>
      <c r="AB26" s="1073">
        <f>'R4_G4'!AB14</f>
        <v>81</v>
      </c>
    </row>
    <row r="27" ht="7.5" customHeight="1">
      <c r="A27" s="1105"/>
      <c r="B27" s="1106"/>
      <c r="C27" s="1107"/>
      <c r="D27" s="1108"/>
      <c r="E27" s="1109" t="str">
        <f>'R4_G4'!E15</f>
        <v>O</v>
      </c>
      <c r="F27" s="1109" t="str">
        <f>'R4_G4'!F15</f>
        <v>O</v>
      </c>
      <c r="G27" s="1109" t="str">
        <f>'R4_G4'!G15</f>
        <v>O   O</v>
      </c>
      <c r="H27" s="1109" t="str">
        <f>'R4_G4'!H15</f>
        <v>O</v>
      </c>
      <c r="I27" s="1109" t="str">
        <f>'R4_G4'!I15</f>
        <v>O   O</v>
      </c>
      <c r="J27" s="1109" t="str">
        <f>'R4_G4'!J15</f>
        <v>O</v>
      </c>
      <c r="K27" s="1109" t="str">
        <f>'R4_G4'!K15</f>
        <v>O</v>
      </c>
      <c r="L27" s="1109" t="str">
        <f>'R4_G4'!L15</f>
        <v>O   O</v>
      </c>
      <c r="M27" s="1109" t="str">
        <f>'R4_G4'!M15</f>
        <v>O   O</v>
      </c>
      <c r="N27" s="1110"/>
      <c r="O27" s="1111"/>
      <c r="P27" s="1112"/>
      <c r="Q27" s="1109" t="str">
        <f>'R4_G4'!Q15</f>
        <v>O   O</v>
      </c>
      <c r="R27" s="1109" t="str">
        <f>'R4_G4'!R15</f>
        <v>O</v>
      </c>
      <c r="S27" s="1109" t="str">
        <f>'R4_G4'!S15</f>
        <v>O</v>
      </c>
      <c r="T27" s="1109" t="str">
        <f>'R4_G4'!T15</f>
        <v>O</v>
      </c>
      <c r="U27" s="1109" t="str">
        <f>'R4_G4'!U15</f>
        <v>O   O</v>
      </c>
      <c r="V27" s="1109" t="str">
        <f>'R4_G4'!V15</f>
        <v>O</v>
      </c>
      <c r="W27" s="1109" t="str">
        <f>'R4_G4'!W15</f>
        <v>O   O</v>
      </c>
      <c r="X27" s="1109" t="str">
        <f>'R4_G4'!X15</f>
        <v>O   O</v>
      </c>
      <c r="Y27" s="1109" t="str">
        <f>'R4_G4'!Y15</f>
        <v>O</v>
      </c>
      <c r="Z27" s="1110" t="str">
        <f>'R4_G4'!Z15</f>
        <v/>
      </c>
      <c r="AA27" s="1113" t="str">
        <f>'R4_G4'!AA15</f>
        <v/>
      </c>
      <c r="AB27" s="1104" t="str">
        <f>'R4_G4'!AB15</f>
        <v/>
      </c>
    </row>
    <row r="28" ht="22.5" hidden="1" customHeight="1">
      <c r="A28" s="1084"/>
      <c r="B28" s="1085"/>
      <c r="C28" s="1086"/>
      <c r="D28" s="1087"/>
      <c r="E28" s="1088">
        <f>'R4_G4'!E16</f>
        <v>1</v>
      </c>
      <c r="F28" s="1088">
        <f>'R4_G4'!F16</f>
        <v>1</v>
      </c>
      <c r="G28" s="1088">
        <f>'R4_G4'!G16</f>
        <v>2</v>
      </c>
      <c r="H28" s="1088">
        <f>'R4_G4'!H16</f>
        <v>1</v>
      </c>
      <c r="I28" s="1088">
        <f>'R4_G4'!I16</f>
        <v>2</v>
      </c>
      <c r="J28" s="1088">
        <f>'R4_G4'!J16</f>
        <v>1</v>
      </c>
      <c r="K28" s="1088">
        <f>'R4_G4'!K16</f>
        <v>1</v>
      </c>
      <c r="L28" s="1088">
        <f>'R4_G4'!L16</f>
        <v>2</v>
      </c>
      <c r="M28" s="1088">
        <f>'R4_G4'!M16</f>
        <v>2</v>
      </c>
      <c r="N28" s="1116"/>
      <c r="O28" s="1062"/>
      <c r="P28" s="1089"/>
      <c r="Q28" s="1088">
        <f>'R4_G4'!Q16</f>
        <v>2</v>
      </c>
      <c r="R28" s="1088">
        <f>'R4_G4'!R16</f>
        <v>1</v>
      </c>
      <c r="S28" s="1088">
        <f>'R4_G4'!S16</f>
        <v>1</v>
      </c>
      <c r="T28" s="1088">
        <f>'R4_G4'!T16</f>
        <v>1</v>
      </c>
      <c r="U28" s="1088">
        <f>'R4_G4'!U16</f>
        <v>2</v>
      </c>
      <c r="V28" s="1088">
        <f>'R4_G4'!V16</f>
        <v>1</v>
      </c>
      <c r="W28" s="1088">
        <f>'R4_G4'!W16</f>
        <v>2</v>
      </c>
      <c r="X28" s="1088">
        <f>'R4_G4'!X16</f>
        <v>2</v>
      </c>
      <c r="Y28" s="1088">
        <f>'R4_G4'!Y16</f>
        <v>1</v>
      </c>
      <c r="Z28" s="1116" t="str">
        <f>'R4_G4'!Z16</f>
        <v/>
      </c>
      <c r="AA28" s="1117" t="str">
        <f>'R4_G4'!AA16</f>
        <v/>
      </c>
      <c r="AB28" s="1064" t="str">
        <f>'R4_G4'!AB16</f>
        <v/>
      </c>
    </row>
    <row r="29" ht="22.5" customHeight="1">
      <c r="A29" s="1115" t="str">
        <f>'R4_G4'!A17</f>
        <v>Hile</v>
      </c>
      <c r="B29" s="1091" t="str">
        <f>'R4_G4'!B17</f>
        <v>Drivers</v>
      </c>
      <c r="C29" s="1092">
        <f>'R4_G4'!C17</f>
        <v>26</v>
      </c>
      <c r="D29" s="1093">
        <f>'R4_G4'!D17</f>
        <v>26</v>
      </c>
      <c r="E29" s="1094">
        <f>'R4_G4'!E17</f>
        <v>5</v>
      </c>
      <c r="F29" s="1094">
        <f>'R4_G4'!F17</f>
        <v>5</v>
      </c>
      <c r="G29" s="1094">
        <f>'R4_G4'!G17</f>
        <v>7</v>
      </c>
      <c r="H29" s="1094">
        <f>'R4_G4'!H17</f>
        <v>3</v>
      </c>
      <c r="I29" s="1094">
        <f>'R4_G4'!I17</f>
        <v>5</v>
      </c>
      <c r="J29" s="1094">
        <f>'R4_G4'!J17</f>
        <v>8</v>
      </c>
      <c r="K29" s="1094">
        <f>'R4_G4'!K17</f>
        <v>3</v>
      </c>
      <c r="L29" s="1094">
        <f>'R4_G4'!L17</f>
        <v>6</v>
      </c>
      <c r="M29" s="1094">
        <f>'R4_G4'!M17</f>
        <v>7</v>
      </c>
      <c r="N29" s="1070">
        <f>'R4_G4'!N17</f>
        <v>49</v>
      </c>
      <c r="O29" s="1071"/>
      <c r="P29" s="1095" t="str">
        <f>'R4_G4'!P17</f>
        <v>Hile</v>
      </c>
      <c r="Q29" s="1094">
        <f>'R4_G4'!Q17</f>
        <v>7</v>
      </c>
      <c r="R29" s="1094">
        <f>'R4_G4'!R17</f>
        <v>6</v>
      </c>
      <c r="S29" s="1094">
        <f>'R4_G4'!S17</f>
        <v>3</v>
      </c>
      <c r="T29" s="1094">
        <f>'R4_G4'!T17</f>
        <v>5</v>
      </c>
      <c r="U29" s="1094">
        <f>'R4_G4'!U17</f>
        <v>5</v>
      </c>
      <c r="V29" s="1094">
        <f>'R4_G4'!V17</f>
        <v>5</v>
      </c>
      <c r="W29" s="1094">
        <f>'R4_G4'!W17</f>
        <v>6</v>
      </c>
      <c r="X29" s="1094">
        <f>'R4_G4'!X17</f>
        <v>7</v>
      </c>
      <c r="Y29" s="1094">
        <f>'R4_G4'!Y17</f>
        <v>6</v>
      </c>
      <c r="Z29" s="1070">
        <f>'R4_G4'!Z17</f>
        <v>50</v>
      </c>
      <c r="AA29" s="1070">
        <f>'R4_G4'!AA17</f>
        <v>99</v>
      </c>
      <c r="AB29" s="1073">
        <f>'R4_G4'!AB17</f>
        <v>73</v>
      </c>
    </row>
    <row r="30" ht="18.75" customHeight="1">
      <c r="Z30" s="649"/>
      <c r="AA30" s="649"/>
      <c r="AB30" s="649"/>
    </row>
    <row r="31">
      <c r="Z31" s="649"/>
      <c r="AA31" s="649"/>
      <c r="AB31" s="649"/>
    </row>
    <row r="32" ht="18.75" customHeight="1">
      <c r="C32" s="1118"/>
      <c r="D32" s="1119" t="s">
        <v>113</v>
      </c>
      <c r="E32" s="1120">
        <v>1.0</v>
      </c>
      <c r="F32" s="1121">
        <v>2.0</v>
      </c>
      <c r="G32" s="1121">
        <v>3.0</v>
      </c>
      <c r="H32" s="1121">
        <v>4.0</v>
      </c>
      <c r="I32" s="1121">
        <v>5.0</v>
      </c>
      <c r="J32" s="1121">
        <v>6.0</v>
      </c>
      <c r="K32" s="1121">
        <v>7.0</v>
      </c>
      <c r="L32" s="1121">
        <v>8.0</v>
      </c>
      <c r="M32" s="1121">
        <v>9.0</v>
      </c>
      <c r="N32" s="1158"/>
      <c r="O32" s="1123"/>
      <c r="P32" s="1119" t="s">
        <v>113</v>
      </c>
      <c r="Q32" s="1120">
        <v>10.0</v>
      </c>
      <c r="R32" s="1121">
        <v>11.0</v>
      </c>
      <c r="S32" s="1121">
        <v>12.0</v>
      </c>
      <c r="T32" s="1121">
        <v>13.0</v>
      </c>
      <c r="U32" s="1121">
        <v>14.0</v>
      </c>
      <c r="V32" s="1121">
        <v>15.0</v>
      </c>
      <c r="W32" s="1121">
        <v>16.0</v>
      </c>
      <c r="X32" s="1121">
        <v>17.0</v>
      </c>
      <c r="Y32" s="1121">
        <v>18.0</v>
      </c>
      <c r="Z32" s="649"/>
      <c r="AA32" s="649"/>
      <c r="AB32" s="649"/>
    </row>
    <row r="33" ht="18.75" customHeight="1">
      <c r="C33" s="1124"/>
      <c r="D33" s="1125" t="s">
        <v>114</v>
      </c>
      <c r="E33" s="1126">
        <f t="shared" ref="E33:M33" si="1">E4</f>
        <v>4</v>
      </c>
      <c r="F33" s="1126">
        <f t="shared" si="1"/>
        <v>5</v>
      </c>
      <c r="G33" s="1126">
        <f t="shared" si="1"/>
        <v>4</v>
      </c>
      <c r="H33" s="1126">
        <f t="shared" si="1"/>
        <v>3</v>
      </c>
      <c r="I33" s="1126">
        <f t="shared" si="1"/>
        <v>4</v>
      </c>
      <c r="J33" s="1126">
        <f t="shared" si="1"/>
        <v>5</v>
      </c>
      <c r="K33" s="1126">
        <f t="shared" si="1"/>
        <v>3</v>
      </c>
      <c r="L33" s="1126">
        <f t="shared" si="1"/>
        <v>4</v>
      </c>
      <c r="M33" s="1126">
        <f t="shared" si="1"/>
        <v>4</v>
      </c>
      <c r="N33" s="1122"/>
      <c r="O33" s="1127"/>
      <c r="P33" s="1125" t="s">
        <v>114</v>
      </c>
      <c r="Q33" s="1126">
        <f t="shared" ref="Q33:Y33" si="2">Q4</f>
        <v>4</v>
      </c>
      <c r="R33" s="1126">
        <f t="shared" si="2"/>
        <v>4</v>
      </c>
      <c r="S33" s="1126">
        <f t="shared" si="2"/>
        <v>3</v>
      </c>
      <c r="T33" s="1126">
        <f t="shared" si="2"/>
        <v>5</v>
      </c>
      <c r="U33" s="1126">
        <f t="shared" si="2"/>
        <v>4</v>
      </c>
      <c r="V33" s="1126">
        <f t="shared" si="2"/>
        <v>3</v>
      </c>
      <c r="W33" s="1126">
        <f t="shared" si="2"/>
        <v>4</v>
      </c>
      <c r="X33" s="1126">
        <f t="shared" si="2"/>
        <v>4</v>
      </c>
      <c r="Y33" s="1126">
        <f t="shared" si="2"/>
        <v>5</v>
      </c>
      <c r="Z33" s="649"/>
      <c r="AA33" s="649"/>
      <c r="AB33" s="649"/>
    </row>
    <row r="34" ht="18.0" hidden="1" customHeight="1">
      <c r="C34" s="1128"/>
      <c r="D34" s="1129" t="s">
        <v>115</v>
      </c>
      <c r="E34" s="1130">
        <f>'R4_G4'!E23</f>
        <v>17</v>
      </c>
      <c r="F34" s="1130">
        <f>'R4_G4'!F23</f>
        <v>25</v>
      </c>
      <c r="G34" s="1130">
        <f>'R4_G4'!G23</f>
        <v>22</v>
      </c>
      <c r="H34" s="1130">
        <f>'R4_G4'!H23</f>
        <v>15</v>
      </c>
      <c r="I34" s="1130">
        <f>'R4_G4'!I23</f>
        <v>18</v>
      </c>
      <c r="J34" s="1130">
        <f>'R4_G4'!J23</f>
        <v>25</v>
      </c>
      <c r="K34" s="1130">
        <f>'R4_G4'!K23</f>
        <v>13</v>
      </c>
      <c r="L34" s="1130">
        <f>'R4_G4'!L23</f>
        <v>18</v>
      </c>
      <c r="M34" s="1130">
        <f>'R4_G4'!M23</f>
        <v>16</v>
      </c>
      <c r="N34" s="1131"/>
      <c r="O34" s="1132"/>
      <c r="P34" s="1133"/>
      <c r="Q34" s="1134">
        <f>'R4_G4'!Q23</f>
        <v>23</v>
      </c>
      <c r="R34" s="1130">
        <f>'R4_G4'!R23</f>
        <v>25</v>
      </c>
      <c r="S34" s="1130">
        <f>'R4_G4'!S23</f>
        <v>17</v>
      </c>
      <c r="T34" s="1130">
        <f>'R4_G4'!T23</f>
        <v>31</v>
      </c>
      <c r="U34" s="1130">
        <f>'R4_G4'!U23</f>
        <v>21</v>
      </c>
      <c r="V34" s="1130">
        <f>'R4_G4'!V23</f>
        <v>17</v>
      </c>
      <c r="W34" s="1130">
        <f>'R4_G4'!W23</f>
        <v>25</v>
      </c>
      <c r="X34" s="1130">
        <f>'R4_G4'!X23</f>
        <v>20</v>
      </c>
      <c r="Y34" s="1130">
        <f>'R4_G4'!Y23</f>
        <v>30</v>
      </c>
      <c r="Z34" s="649"/>
      <c r="AA34" s="649"/>
      <c r="AB34" s="649"/>
    </row>
    <row r="35" ht="18.0" hidden="1" customHeight="1">
      <c r="C35" s="1128"/>
      <c r="D35" s="1129" t="s">
        <v>116</v>
      </c>
      <c r="E35" s="1135">
        <f>'R4_G4'!E20</f>
        <v>3.4</v>
      </c>
      <c r="F35" s="1135">
        <f>'R4_G4'!F20</f>
        <v>5</v>
      </c>
      <c r="G35" s="1135">
        <f>'R4_G4'!G20</f>
        <v>4.4</v>
      </c>
      <c r="H35" s="1135">
        <f>'R4_G4'!H20</f>
        <v>3</v>
      </c>
      <c r="I35" s="1135">
        <f>'R4_G4'!I20</f>
        <v>3.6</v>
      </c>
      <c r="J35" s="1135">
        <f>'R4_G4'!J20</f>
        <v>5</v>
      </c>
      <c r="K35" s="1135">
        <f>'R4_G4'!K20</f>
        <v>2.6</v>
      </c>
      <c r="L35" s="1135">
        <f>'R4_G4'!L20</f>
        <v>3.6</v>
      </c>
      <c r="M35" s="1135">
        <f>'R4_G4'!M20</f>
        <v>3.2</v>
      </c>
      <c r="N35" s="1131"/>
      <c r="O35" s="1132"/>
      <c r="P35" s="1133"/>
      <c r="Q35" s="1136">
        <f>'R4_G4'!Q20</f>
        <v>3.833333333</v>
      </c>
      <c r="R35" s="1135">
        <f>'R4_G4'!R20</f>
        <v>4.166666667</v>
      </c>
      <c r="S35" s="1135">
        <f>'R4_G4'!S20</f>
        <v>2.833333333</v>
      </c>
      <c r="T35" s="1135">
        <f>'R4_G4'!T20</f>
        <v>5.166666667</v>
      </c>
      <c r="U35" s="1135">
        <f>'R4_G4'!U20</f>
        <v>3.5</v>
      </c>
      <c r="V35" s="1135">
        <f>'R4_G4'!V20</f>
        <v>2.833333333</v>
      </c>
      <c r="W35" s="1135">
        <f>'R4_G4'!W20</f>
        <v>4.166666667</v>
      </c>
      <c r="X35" s="1135">
        <f>'R4_G4'!X20</f>
        <v>3.333333333</v>
      </c>
      <c r="Y35" s="1135">
        <f>'R4_G4'!Y20</f>
        <v>5</v>
      </c>
      <c r="Z35" s="649"/>
      <c r="AA35" s="649"/>
      <c r="AB35" s="649"/>
    </row>
    <row r="36" ht="9.0" customHeight="1">
      <c r="A36" s="649"/>
      <c r="B36" s="649"/>
      <c r="C36" s="649"/>
      <c r="D36" s="649"/>
      <c r="E36" s="649"/>
      <c r="F36" s="649"/>
      <c r="G36" s="649"/>
      <c r="H36" s="649"/>
      <c r="I36" s="649"/>
      <c r="J36" s="649"/>
      <c r="K36" s="649"/>
      <c r="L36" s="649"/>
      <c r="M36" s="649"/>
      <c r="N36" s="649"/>
      <c r="O36" s="649"/>
      <c r="P36" s="649"/>
      <c r="Q36" s="649"/>
      <c r="R36" s="649"/>
      <c r="S36" s="649"/>
      <c r="T36" s="649"/>
      <c r="U36" s="649"/>
      <c r="V36" s="649"/>
      <c r="W36" s="649"/>
      <c r="X36" s="649"/>
      <c r="Y36" s="649"/>
      <c r="Z36" s="649"/>
      <c r="AA36" s="649"/>
      <c r="AB36" s="649"/>
    </row>
    <row r="37" ht="27.0" customHeight="1">
      <c r="A37" s="649"/>
      <c r="B37" s="649"/>
      <c r="C37" s="1137"/>
      <c r="D37" s="1138" t="s">
        <v>117</v>
      </c>
      <c r="E37" s="1139">
        <f>'R4_G4'!E21</f>
        <v>-3</v>
      </c>
      <c r="F37" s="1139">
        <f>'R4_G4'!F21</f>
        <v>0</v>
      </c>
      <c r="G37" s="1139">
        <f>'R4_G4'!G21</f>
        <v>2</v>
      </c>
      <c r="H37" s="1139">
        <f>'R4_G4'!H21</f>
        <v>0</v>
      </c>
      <c r="I37" s="1139">
        <f>'R4_G4'!I21</f>
        <v>-2</v>
      </c>
      <c r="J37" s="1139">
        <f>'R4_G4'!J21</f>
        <v>0</v>
      </c>
      <c r="K37" s="1139">
        <f>'R4_G4'!K21</f>
        <v>-2</v>
      </c>
      <c r="L37" s="1139">
        <f>'R4_G4'!L21</f>
        <v>-2</v>
      </c>
      <c r="M37" s="1139">
        <f>'R4_G4'!M21</f>
        <v>-4</v>
      </c>
      <c r="N37" s="1159" t="str">
        <f>'R4_G4'!N21</f>
        <v/>
      </c>
      <c r="O37" s="1140"/>
      <c r="P37" s="1141" t="s">
        <v>117</v>
      </c>
      <c r="Q37" s="1139">
        <f>'R4_G4'!Q21</f>
        <v>-1</v>
      </c>
      <c r="R37" s="1139">
        <f>'R4_G4'!R21</f>
        <v>1</v>
      </c>
      <c r="S37" s="1139">
        <f>'R4_G4'!S21</f>
        <v>-1</v>
      </c>
      <c r="T37" s="1139">
        <f>'R4_G4'!T21</f>
        <v>1</v>
      </c>
      <c r="U37" s="1139">
        <f>'R4_G4'!U21</f>
        <v>-3</v>
      </c>
      <c r="V37" s="1139">
        <f>'R4_G4'!V21</f>
        <v>-1</v>
      </c>
      <c r="W37" s="1139">
        <f>'R4_G4'!W21</f>
        <v>1</v>
      </c>
      <c r="X37" s="1139">
        <f>'R4_G4'!X21</f>
        <v>-4</v>
      </c>
      <c r="Y37" s="1139">
        <f>'R4_G4'!Y21</f>
        <v>0</v>
      </c>
      <c r="Z37" s="649"/>
      <c r="AA37" s="649"/>
      <c r="AB37" s="649"/>
    </row>
    <row r="38" ht="9.0" customHeight="1">
      <c r="A38" s="1152"/>
      <c r="B38" s="649"/>
      <c r="C38" s="649"/>
      <c r="D38" s="649"/>
      <c r="E38" s="649"/>
      <c r="F38" s="649"/>
      <c r="G38" s="649"/>
      <c r="H38" s="649"/>
      <c r="I38" s="649"/>
      <c r="J38" s="649"/>
      <c r="K38" s="649"/>
      <c r="L38" s="649"/>
      <c r="M38" s="649"/>
      <c r="N38" s="649"/>
      <c r="O38" s="649"/>
      <c r="P38" s="649"/>
      <c r="Q38" s="649"/>
      <c r="R38" s="649"/>
      <c r="S38" s="649"/>
      <c r="T38" s="649"/>
      <c r="U38" s="649"/>
      <c r="V38" s="649"/>
      <c r="W38" s="649"/>
      <c r="X38" s="649"/>
      <c r="Y38" s="649"/>
      <c r="Z38" s="649"/>
      <c r="AA38" s="649"/>
      <c r="AB38" s="649"/>
    </row>
    <row r="39" ht="18.75" customHeight="1">
      <c r="A39" s="1152" t="str">
        <f>A8</f>
        <v>Telly</v>
      </c>
      <c r="B39" s="1152"/>
      <c r="C39" s="1160"/>
      <c r="D39" s="1161" t="str">
        <f t="shared" ref="D39:D46" si="5">A39</f>
        <v>Telly</v>
      </c>
      <c r="E39" s="1145">
        <f t="shared" ref="E39:M39" si="3">E8-E7</f>
        <v>4</v>
      </c>
      <c r="F39" s="1146">
        <f t="shared" si="3"/>
        <v>6</v>
      </c>
      <c r="G39" s="1146">
        <f t="shared" si="3"/>
        <v>5</v>
      </c>
      <c r="H39" s="1146">
        <f t="shared" si="3"/>
        <v>4</v>
      </c>
      <c r="I39" s="1146">
        <f t="shared" si="3"/>
        <v>4</v>
      </c>
      <c r="J39" s="1146">
        <f t="shared" si="3"/>
        <v>7</v>
      </c>
      <c r="K39" s="1146">
        <f t="shared" si="3"/>
        <v>3</v>
      </c>
      <c r="L39" s="1146">
        <f t="shared" si="3"/>
        <v>3</v>
      </c>
      <c r="M39" s="1146">
        <f t="shared" si="3"/>
        <v>6</v>
      </c>
      <c r="N39" s="1147"/>
      <c r="O39" s="1160"/>
      <c r="P39" s="1161" t="str">
        <f t="shared" ref="P39:P46" si="7">D39</f>
        <v>Telly</v>
      </c>
      <c r="Q39" s="1146">
        <f t="shared" ref="Q39:Y39" si="4">Q8-Q7</f>
        <v>4</v>
      </c>
      <c r="R39" s="1146">
        <f t="shared" si="4"/>
        <v>4</v>
      </c>
      <c r="S39" s="1146">
        <f t="shared" si="4"/>
        <v>3</v>
      </c>
      <c r="T39" s="1146">
        <f t="shared" si="4"/>
        <v>5</v>
      </c>
      <c r="U39" s="1146">
        <f t="shared" si="4"/>
        <v>6</v>
      </c>
      <c r="V39" s="1146">
        <f t="shared" si="4"/>
        <v>3</v>
      </c>
      <c r="W39" s="1146">
        <f t="shared" si="4"/>
        <v>3</v>
      </c>
      <c r="X39" s="1146">
        <f t="shared" si="4"/>
        <v>3</v>
      </c>
      <c r="Y39" s="1146">
        <f t="shared" si="4"/>
        <v>3</v>
      </c>
      <c r="Z39" s="649"/>
      <c r="AA39" s="649"/>
      <c r="AB39" s="649"/>
    </row>
    <row r="40" ht="18.75" customHeight="1">
      <c r="A40" s="1152" t="str">
        <f>A11</f>
        <v>TJSC</v>
      </c>
      <c r="B40" s="1152"/>
      <c r="C40" s="1160"/>
      <c r="D40" s="1161" t="str">
        <f t="shared" si="5"/>
        <v>TJSC</v>
      </c>
      <c r="E40" s="1145">
        <f t="shared" ref="E40:M40" si="6">E11-E10</f>
        <v>3</v>
      </c>
      <c r="F40" s="1146">
        <f t="shared" si="6"/>
        <v>5</v>
      </c>
      <c r="G40" s="1146">
        <f t="shared" si="6"/>
        <v>6</v>
      </c>
      <c r="H40" s="1146">
        <f t="shared" si="6"/>
        <v>3</v>
      </c>
      <c r="I40" s="1146">
        <f t="shared" si="6"/>
        <v>2</v>
      </c>
      <c r="J40" s="1146">
        <f t="shared" si="6"/>
        <v>5</v>
      </c>
      <c r="K40" s="1146">
        <f t="shared" si="6"/>
        <v>2</v>
      </c>
      <c r="L40" s="1146">
        <f t="shared" si="6"/>
        <v>5</v>
      </c>
      <c r="M40" s="1146">
        <f t="shared" si="6"/>
        <v>3</v>
      </c>
      <c r="N40" s="1147"/>
      <c r="O40" s="1160"/>
      <c r="P40" s="1161" t="str">
        <f t="shared" si="7"/>
        <v>TJSC</v>
      </c>
      <c r="Q40" s="1146">
        <f t="shared" ref="Q40:Y40" si="8">Q11-Q10</f>
        <v>7</v>
      </c>
      <c r="R40" s="1146">
        <f t="shared" si="8"/>
        <v>6</v>
      </c>
      <c r="S40" s="1146">
        <f t="shared" si="8"/>
        <v>4</v>
      </c>
      <c r="T40" s="1146">
        <f t="shared" si="8"/>
        <v>5</v>
      </c>
      <c r="U40" s="1146">
        <f t="shared" si="8"/>
        <v>4</v>
      </c>
      <c r="V40" s="1146">
        <f t="shared" si="8"/>
        <v>2</v>
      </c>
      <c r="W40" s="1146">
        <f t="shared" si="8"/>
        <v>5</v>
      </c>
      <c r="X40" s="1146">
        <f t="shared" si="8"/>
        <v>3</v>
      </c>
      <c r="Y40" s="1146">
        <f t="shared" si="8"/>
        <v>6</v>
      </c>
      <c r="Z40" s="649"/>
      <c r="AA40" s="649"/>
      <c r="AB40" s="649"/>
    </row>
    <row r="41" ht="18.75" customHeight="1">
      <c r="A41" s="1152" t="str">
        <f>A14</f>
        <v>Weezy</v>
      </c>
      <c r="B41" s="1152"/>
      <c r="C41" s="1160"/>
      <c r="D41" s="1161" t="str">
        <f t="shared" si="5"/>
        <v>Weezy</v>
      </c>
      <c r="E41" s="1145">
        <f t="shared" ref="E41:M41" si="9">E14-E13</f>
        <v>5</v>
      </c>
      <c r="F41" s="1146">
        <f t="shared" si="9"/>
        <v>5</v>
      </c>
      <c r="G41" s="1146">
        <f t="shared" si="9"/>
        <v>4</v>
      </c>
      <c r="H41" s="1146">
        <f t="shared" si="9"/>
        <v>3</v>
      </c>
      <c r="I41" s="1146">
        <f t="shared" si="9"/>
        <v>5</v>
      </c>
      <c r="J41" s="1146">
        <f t="shared" si="9"/>
        <v>5</v>
      </c>
      <c r="K41" s="1146">
        <f t="shared" si="9"/>
        <v>4</v>
      </c>
      <c r="L41" s="1146">
        <f t="shared" si="9"/>
        <v>4</v>
      </c>
      <c r="M41" s="1146">
        <f t="shared" si="9"/>
        <v>3</v>
      </c>
      <c r="N41" s="1147"/>
      <c r="O41" s="1160"/>
      <c r="P41" s="1161" t="str">
        <f t="shared" si="7"/>
        <v>Weezy</v>
      </c>
      <c r="Q41" s="1146">
        <f t="shared" ref="Q41:Y41" si="10">Q14-Q13</f>
        <v>4</v>
      </c>
      <c r="R41" s="1146">
        <f t="shared" si="10"/>
        <v>3</v>
      </c>
      <c r="S41" s="1146">
        <f t="shared" si="10"/>
        <v>3</v>
      </c>
      <c r="T41" s="1146">
        <f t="shared" si="10"/>
        <v>7</v>
      </c>
      <c r="U41" s="1146">
        <f t="shared" si="10"/>
        <v>3</v>
      </c>
      <c r="V41" s="1146">
        <f t="shared" si="10"/>
        <v>4</v>
      </c>
      <c r="W41" s="1146">
        <f t="shared" si="10"/>
        <v>5</v>
      </c>
      <c r="X41" s="1146">
        <f t="shared" si="10"/>
        <v>4</v>
      </c>
      <c r="Y41" s="1146">
        <f t="shared" si="10"/>
        <v>8</v>
      </c>
      <c r="Z41" s="649"/>
      <c r="AA41" s="649"/>
      <c r="AB41" s="649"/>
    </row>
    <row r="42" ht="18.75" customHeight="1">
      <c r="A42" s="1152" t="str">
        <f>A17</f>
        <v>Joe O</v>
      </c>
      <c r="B42" s="1152"/>
      <c r="C42" s="1160"/>
      <c r="D42" s="1161" t="str">
        <f t="shared" si="5"/>
        <v>Joe O</v>
      </c>
      <c r="E42" s="1145">
        <f t="shared" ref="E42:M42" si="11">E17-E16</f>
        <v>3</v>
      </c>
      <c r="F42" s="1146">
        <f t="shared" si="11"/>
        <v>6</v>
      </c>
      <c r="G42" s="1146">
        <f t="shared" si="11"/>
        <v>4</v>
      </c>
      <c r="H42" s="1146">
        <f t="shared" si="11"/>
        <v>4</v>
      </c>
      <c r="I42" s="1146">
        <f t="shared" si="11"/>
        <v>5</v>
      </c>
      <c r="J42" s="1146">
        <f t="shared" si="11"/>
        <v>5</v>
      </c>
      <c r="K42" s="1146">
        <f t="shared" si="11"/>
        <v>4</v>
      </c>
      <c r="L42" s="1146">
        <f t="shared" si="11"/>
        <v>6</v>
      </c>
      <c r="M42" s="1146">
        <f t="shared" si="11"/>
        <v>4</v>
      </c>
      <c r="N42" s="1147"/>
      <c r="O42" s="1160"/>
      <c r="P42" s="1161" t="str">
        <f t="shared" si="7"/>
        <v>Joe O</v>
      </c>
      <c r="Q42" s="1146">
        <f t="shared" ref="Q42:Y42" si="12">Q17-Q16</f>
        <v>6</v>
      </c>
      <c r="R42" s="1146">
        <f t="shared" si="12"/>
        <v>5</v>
      </c>
      <c r="S42" s="1146">
        <f t="shared" si="12"/>
        <v>2</v>
      </c>
      <c r="T42" s="1146">
        <f t="shared" si="12"/>
        <v>6</v>
      </c>
      <c r="U42" s="1146">
        <f t="shared" si="12"/>
        <v>3</v>
      </c>
      <c r="V42" s="1146">
        <f t="shared" si="12"/>
        <v>3</v>
      </c>
      <c r="W42" s="1146">
        <f t="shared" si="12"/>
        <v>8</v>
      </c>
      <c r="X42" s="1146">
        <f t="shared" si="12"/>
        <v>4</v>
      </c>
      <c r="Y42" s="1146">
        <f t="shared" si="12"/>
        <v>6</v>
      </c>
      <c r="Z42" s="649"/>
      <c r="AA42" s="649"/>
      <c r="AB42" s="649"/>
    </row>
    <row r="43" ht="18.75" customHeight="1">
      <c r="A43" s="1152" t="str">
        <f>A20</f>
        <v>KJ</v>
      </c>
      <c r="B43" s="1152"/>
      <c r="C43" s="1160"/>
      <c r="D43" s="1161" t="str">
        <f t="shared" si="5"/>
        <v>KJ</v>
      </c>
      <c r="E43" s="1145">
        <f t="shared" ref="E43:M43" si="13">E20-E19</f>
        <v>4</v>
      </c>
      <c r="F43" s="1146">
        <f t="shared" si="13"/>
        <v>5</v>
      </c>
      <c r="G43" s="1146">
        <f t="shared" si="13"/>
        <v>4</v>
      </c>
      <c r="H43" s="1146">
        <f t="shared" si="13"/>
        <v>4</v>
      </c>
      <c r="I43" s="1146">
        <f t="shared" si="13"/>
        <v>4</v>
      </c>
      <c r="J43" s="1146">
        <f t="shared" si="13"/>
        <v>5</v>
      </c>
      <c r="K43" s="1146">
        <f t="shared" si="13"/>
        <v>2</v>
      </c>
      <c r="L43" s="1146">
        <f t="shared" si="13"/>
        <v>3</v>
      </c>
      <c r="M43" s="1146">
        <f t="shared" si="13"/>
        <v>2</v>
      </c>
      <c r="N43" s="1147"/>
      <c r="O43" s="1160"/>
      <c r="P43" s="1161" t="str">
        <f t="shared" si="7"/>
        <v>KJ</v>
      </c>
      <c r="Q43" s="1146">
        <f t="shared" ref="Q43:Y43" si="14">Q20-Q19</f>
        <v>3</v>
      </c>
      <c r="R43" s="1146">
        <f t="shared" si="14"/>
        <v>4</v>
      </c>
      <c r="S43" s="1146">
        <f t="shared" si="14"/>
        <v>4</v>
      </c>
      <c r="T43" s="1146">
        <f t="shared" si="14"/>
        <v>6</v>
      </c>
      <c r="U43" s="1146">
        <f t="shared" si="14"/>
        <v>5</v>
      </c>
      <c r="V43" s="1146">
        <f t="shared" si="14"/>
        <v>4</v>
      </c>
      <c r="W43" s="1146">
        <f t="shared" si="14"/>
        <v>4</v>
      </c>
      <c r="X43" s="1146">
        <f t="shared" si="14"/>
        <v>4</v>
      </c>
      <c r="Y43" s="1146">
        <f t="shared" si="14"/>
        <v>4</v>
      </c>
      <c r="Z43" s="649"/>
      <c r="AA43" s="649"/>
      <c r="AB43" s="649"/>
    </row>
    <row r="44" ht="18.75" customHeight="1">
      <c r="A44" s="1152" t="str">
        <f>A23</f>
        <v>T-Mo</v>
      </c>
      <c r="B44" s="1152"/>
      <c r="C44" s="1160"/>
      <c r="D44" s="1161" t="str">
        <f t="shared" si="5"/>
        <v>T-Mo</v>
      </c>
      <c r="E44" s="1145">
        <f t="shared" ref="E44:M44" si="15">E23-E22</f>
        <v>4</v>
      </c>
      <c r="F44" s="1146">
        <f t="shared" si="15"/>
        <v>7</v>
      </c>
      <c r="G44" s="1146">
        <f t="shared" si="15"/>
        <v>6</v>
      </c>
      <c r="H44" s="1146">
        <f t="shared" si="15"/>
        <v>4</v>
      </c>
      <c r="I44" s="1146">
        <f t="shared" si="15"/>
        <v>6</v>
      </c>
      <c r="J44" s="1146">
        <f t="shared" si="15"/>
        <v>6</v>
      </c>
      <c r="K44" s="1146">
        <f t="shared" si="15"/>
        <v>5</v>
      </c>
      <c r="L44" s="1146">
        <f t="shared" si="15"/>
        <v>4</v>
      </c>
      <c r="M44" s="1146">
        <f t="shared" si="15"/>
        <v>5</v>
      </c>
      <c r="N44" s="1147"/>
      <c r="O44" s="1160"/>
      <c r="P44" s="1161" t="str">
        <f t="shared" si="7"/>
        <v>T-Mo</v>
      </c>
      <c r="Q44" s="1146">
        <f t="shared" ref="Q44:Y44" si="16">Q23-Q22</f>
        <v>4</v>
      </c>
      <c r="R44" s="1146">
        <f t="shared" si="16"/>
        <v>4</v>
      </c>
      <c r="S44" s="1146">
        <f t="shared" si="16"/>
        <v>5</v>
      </c>
      <c r="T44" s="1146">
        <f t="shared" si="16"/>
        <v>5</v>
      </c>
      <c r="U44" s="1146">
        <f t="shared" si="16"/>
        <v>4</v>
      </c>
      <c r="V44" s="1146">
        <f t="shared" si="16"/>
        <v>3</v>
      </c>
      <c r="W44" s="1146">
        <f t="shared" si="16"/>
        <v>4</v>
      </c>
      <c r="X44" s="1146">
        <f t="shared" si="16"/>
        <v>2</v>
      </c>
      <c r="Y44" s="1146">
        <f t="shared" si="16"/>
        <v>6</v>
      </c>
      <c r="Z44" s="649"/>
      <c r="AA44" s="649"/>
      <c r="AB44" s="649"/>
    </row>
    <row r="45" ht="18.75" customHeight="1">
      <c r="A45" s="1152" t="str">
        <f>A26</f>
        <v>R-Mac</v>
      </c>
      <c r="B45" s="1152"/>
      <c r="C45" s="1160"/>
      <c r="D45" s="1161" t="str">
        <f t="shared" si="5"/>
        <v>R-Mac</v>
      </c>
      <c r="E45" s="1145">
        <f t="shared" ref="E45:M45" si="17">E26-E25</f>
        <v>3</v>
      </c>
      <c r="F45" s="1146">
        <f t="shared" si="17"/>
        <v>6</v>
      </c>
      <c r="G45" s="1146">
        <f t="shared" si="17"/>
        <v>6</v>
      </c>
      <c r="H45" s="1146">
        <f t="shared" si="17"/>
        <v>3</v>
      </c>
      <c r="I45" s="1146">
        <f t="shared" si="17"/>
        <v>5</v>
      </c>
      <c r="J45" s="1146">
        <f t="shared" si="17"/>
        <v>5</v>
      </c>
      <c r="K45" s="1146">
        <f t="shared" si="17"/>
        <v>4</v>
      </c>
      <c r="L45" s="1146">
        <f t="shared" si="17"/>
        <v>5</v>
      </c>
      <c r="M45" s="1146">
        <f t="shared" si="17"/>
        <v>4</v>
      </c>
      <c r="N45" s="1147"/>
      <c r="O45" s="1160"/>
      <c r="P45" s="1161" t="str">
        <f t="shared" si="7"/>
        <v>R-Mac</v>
      </c>
      <c r="Q45" s="1146">
        <f t="shared" ref="Q45:Y45" si="18">Q26-Q25</f>
        <v>3</v>
      </c>
      <c r="R45" s="1146">
        <f t="shared" si="18"/>
        <v>5</v>
      </c>
      <c r="S45" s="1146">
        <f t="shared" si="18"/>
        <v>3</v>
      </c>
      <c r="T45" s="1146">
        <f t="shared" si="18"/>
        <v>6</v>
      </c>
      <c r="U45" s="1146">
        <f t="shared" si="18"/>
        <v>4</v>
      </c>
      <c r="V45" s="1146">
        <f t="shared" si="18"/>
        <v>2</v>
      </c>
      <c r="W45" s="1146">
        <f t="shared" si="18"/>
        <v>5</v>
      </c>
      <c r="X45" s="1146">
        <f t="shared" si="18"/>
        <v>4</v>
      </c>
      <c r="Y45" s="1146">
        <f t="shared" si="18"/>
        <v>8</v>
      </c>
      <c r="Z45" s="649"/>
      <c r="AA45" s="649"/>
      <c r="AB45" s="649"/>
    </row>
    <row r="46" ht="18.75" customHeight="1">
      <c r="A46" s="1152" t="str">
        <f>A29</f>
        <v>Hile</v>
      </c>
      <c r="B46" s="1152"/>
      <c r="C46" s="1160"/>
      <c r="D46" s="1161" t="str">
        <f t="shared" si="5"/>
        <v>Hile</v>
      </c>
      <c r="E46" s="1145">
        <f t="shared" ref="E46:M46" si="19">E29-E28</f>
        <v>4</v>
      </c>
      <c r="F46" s="1146">
        <f t="shared" si="19"/>
        <v>4</v>
      </c>
      <c r="G46" s="1146">
        <f t="shared" si="19"/>
        <v>5</v>
      </c>
      <c r="H46" s="1146">
        <f t="shared" si="19"/>
        <v>2</v>
      </c>
      <c r="I46" s="1146">
        <f t="shared" si="19"/>
        <v>3</v>
      </c>
      <c r="J46" s="1146">
        <f t="shared" si="19"/>
        <v>7</v>
      </c>
      <c r="K46" s="1146">
        <f t="shared" si="19"/>
        <v>2</v>
      </c>
      <c r="L46" s="1146">
        <f t="shared" si="19"/>
        <v>4</v>
      </c>
      <c r="M46" s="1146">
        <f t="shared" si="19"/>
        <v>5</v>
      </c>
      <c r="N46" s="1147"/>
      <c r="O46" s="1160"/>
      <c r="P46" s="1161" t="str">
        <f t="shared" si="7"/>
        <v>Hile</v>
      </c>
      <c r="Q46" s="1146">
        <f t="shared" ref="Q46:Y46" si="20">Q29-Q28</f>
        <v>5</v>
      </c>
      <c r="R46" s="1146">
        <f t="shared" si="20"/>
        <v>5</v>
      </c>
      <c r="S46" s="1146">
        <f t="shared" si="20"/>
        <v>2</v>
      </c>
      <c r="T46" s="1146">
        <f t="shared" si="20"/>
        <v>4</v>
      </c>
      <c r="U46" s="1146">
        <f t="shared" si="20"/>
        <v>3</v>
      </c>
      <c r="V46" s="1146">
        <f t="shared" si="20"/>
        <v>4</v>
      </c>
      <c r="W46" s="1146">
        <f t="shared" si="20"/>
        <v>4</v>
      </c>
      <c r="X46" s="1146">
        <f t="shared" si="20"/>
        <v>5</v>
      </c>
      <c r="Y46" s="1146">
        <f t="shared" si="20"/>
        <v>5</v>
      </c>
      <c r="Z46" s="649"/>
      <c r="AA46" s="649"/>
      <c r="AB46" s="649"/>
    </row>
    <row r="47" ht="18.75" customHeight="1">
      <c r="A47" s="1152"/>
      <c r="B47" s="1152"/>
      <c r="C47" s="1153"/>
      <c r="D47" s="1154"/>
      <c r="E47" s="1155"/>
      <c r="F47" s="1155"/>
      <c r="G47" s="1155"/>
      <c r="H47" s="1155"/>
      <c r="I47" s="1155"/>
      <c r="J47" s="1155"/>
      <c r="K47" s="1155"/>
      <c r="L47" s="1155"/>
      <c r="M47" s="1155"/>
      <c r="N47" s="649"/>
      <c r="O47" s="649"/>
      <c r="P47" s="1152"/>
      <c r="Q47" s="1155"/>
      <c r="R47" s="1155"/>
      <c r="S47" s="1155"/>
      <c r="T47" s="1155"/>
      <c r="U47" s="1155"/>
      <c r="V47" s="1155"/>
      <c r="W47" s="1155"/>
      <c r="X47" s="1155"/>
      <c r="Y47" s="1155"/>
      <c r="Z47" s="649"/>
      <c r="AA47" s="649"/>
      <c r="AB47" s="649"/>
    </row>
  </sheetData>
  <mergeCells count="1">
    <mergeCell ref="B2:B4"/>
  </mergeCells>
  <conditionalFormatting sqref="E39:M46 Q39:Y46">
    <cfRule type="expression" dxfId="26" priority="1">
      <formula>E39&lt;=small(E$39:E$46,1)</formula>
    </cfRule>
  </conditionalFormatting>
  <conditionalFormatting sqref="E39:M46 Q39:Y46">
    <cfRule type="expression" dxfId="25" priority="2">
      <formula>E39&lt;=small(E$39:E$46,5)</formula>
    </cfRule>
  </conditionalFormatting>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3.0"/>
    <col customWidth="1" min="4" max="4" width="2.14"/>
    <col customWidth="1" min="5" max="12" width="17.29"/>
    <col customWidth="1" min="13" max="13" width="8.0"/>
    <col customWidth="1" min="14" max="14" width="9.14"/>
    <col customWidth="1" min="15" max="15" width="19.0"/>
    <col customWidth="1" min="16" max="18" width="7.29"/>
    <col customWidth="1" min="19" max="19" width="49.86"/>
    <col customWidth="1" min="20" max="31" width="5.86"/>
  </cols>
  <sheetData>
    <row r="1">
      <c r="A1" s="1162"/>
      <c r="B1" s="1162"/>
      <c r="C1" s="1163"/>
      <c r="D1" s="1163"/>
      <c r="E1" s="1164" t="s">
        <v>118</v>
      </c>
      <c r="M1" s="1165"/>
      <c r="N1" s="1166"/>
      <c r="O1" s="1167"/>
      <c r="P1" s="1168"/>
      <c r="Q1" s="1168"/>
      <c r="R1" s="1168"/>
      <c r="S1" s="1167"/>
      <c r="T1" s="1167"/>
      <c r="U1" s="1167"/>
      <c r="V1" s="1167"/>
      <c r="W1" s="1167"/>
      <c r="X1" s="1167"/>
      <c r="Y1" s="1167"/>
      <c r="Z1" s="1167"/>
      <c r="AA1" s="1167"/>
      <c r="AB1" s="1167"/>
      <c r="AC1" s="1167"/>
      <c r="AD1" s="1167"/>
      <c r="AE1" s="1167"/>
    </row>
    <row r="2">
      <c r="B2" s="1169"/>
      <c r="C2" s="1170"/>
      <c r="D2" s="1171"/>
      <c r="E2" s="1172" t="s">
        <v>119</v>
      </c>
      <c r="F2" s="1173" t="s">
        <v>120</v>
      </c>
      <c r="G2" s="1172" t="s">
        <v>121</v>
      </c>
      <c r="H2" s="1173" t="s">
        <v>120</v>
      </c>
      <c r="I2" s="1172" t="s">
        <v>122</v>
      </c>
      <c r="J2" s="1173" t="s">
        <v>120</v>
      </c>
      <c r="K2" s="1172" t="s">
        <v>123</v>
      </c>
      <c r="L2" s="1173" t="s">
        <v>120</v>
      </c>
      <c r="M2" s="1174"/>
      <c r="P2" s="1168"/>
      <c r="Q2" s="1168"/>
      <c r="R2" s="1168"/>
      <c r="S2" s="1167"/>
      <c r="T2" s="1167"/>
      <c r="U2" s="1167"/>
      <c r="V2" s="1167"/>
      <c r="W2" s="1167"/>
      <c r="X2" s="1167"/>
      <c r="Y2" s="1167"/>
      <c r="Z2" s="1167"/>
      <c r="AA2" s="1167"/>
      <c r="AB2" s="1167"/>
      <c r="AC2" s="1167"/>
      <c r="AD2" s="1167"/>
      <c r="AE2" s="1167"/>
    </row>
    <row r="3">
      <c r="B3" s="1169"/>
      <c r="C3" s="1170"/>
      <c r="D3" s="1170"/>
      <c r="E3" s="1175">
        <v>0.5208333333333334</v>
      </c>
      <c r="F3" s="1176">
        <v>0.5277777777777778</v>
      </c>
      <c r="G3" s="1175">
        <v>0.35138888888888886</v>
      </c>
      <c r="H3" s="1176">
        <v>0.3576388888888889</v>
      </c>
      <c r="I3" s="1175">
        <v>0.0875</v>
      </c>
      <c r="J3" s="1176">
        <v>0.09375</v>
      </c>
      <c r="K3" s="1175">
        <v>0.4166666666666667</v>
      </c>
      <c r="L3" s="1176">
        <v>0.4236111111111111</v>
      </c>
      <c r="M3" s="1177"/>
      <c r="P3" s="1178"/>
      <c r="Q3" s="1178"/>
      <c r="R3" s="1178"/>
      <c r="S3" s="1179"/>
      <c r="T3" s="1179"/>
      <c r="U3" s="1179"/>
      <c r="V3" s="1179"/>
      <c r="W3" s="1179"/>
      <c r="X3" s="1179"/>
      <c r="Y3" s="1179"/>
      <c r="Z3" s="1179"/>
      <c r="AA3" s="1179"/>
      <c r="AB3" s="1179"/>
      <c r="AC3" s="1179"/>
      <c r="AD3" s="1179"/>
      <c r="AE3" s="1179"/>
    </row>
    <row r="4">
      <c r="B4" s="1169"/>
      <c r="C4" s="1170"/>
      <c r="D4" s="1170"/>
      <c r="E4" s="1175">
        <v>0.5347222222222222</v>
      </c>
      <c r="F4" s="1176">
        <v>0.041666666666666664</v>
      </c>
      <c r="G4" s="1175">
        <v>0.3638888888888889</v>
      </c>
      <c r="H4" s="1176">
        <v>0.3701388888888889</v>
      </c>
      <c r="I4" s="1175">
        <v>0.1</v>
      </c>
      <c r="J4" s="1176">
        <v>0.10625</v>
      </c>
      <c r="K4" s="1175">
        <v>0.4305555555555556</v>
      </c>
      <c r="L4" s="1176">
        <v>0.4375</v>
      </c>
      <c r="M4" s="1177"/>
      <c r="P4" s="1178"/>
      <c r="Q4" s="1178"/>
      <c r="R4" s="1178"/>
      <c r="S4" s="1179"/>
      <c r="T4" s="1179"/>
      <c r="U4" s="1179"/>
      <c r="V4" s="1179"/>
      <c r="W4" s="1179"/>
      <c r="X4" s="1179"/>
      <c r="Y4" s="1179"/>
      <c r="Z4" s="1179"/>
      <c r="AA4" s="1179"/>
      <c r="AB4" s="1179"/>
      <c r="AC4" s="1179"/>
      <c r="AD4" s="1179"/>
      <c r="AE4" s="1179"/>
    </row>
    <row r="5">
      <c r="B5" s="1169"/>
      <c r="C5" s="1170"/>
      <c r="D5" s="1170"/>
      <c r="E5" s="1180" t="s">
        <v>124</v>
      </c>
      <c r="F5" s="1181" t="s">
        <v>125</v>
      </c>
      <c r="G5" s="1180" t="s">
        <v>124</v>
      </c>
      <c r="H5" s="1181" t="s">
        <v>125</v>
      </c>
      <c r="I5" s="1180" t="s">
        <v>124</v>
      </c>
      <c r="J5" s="1181" t="s">
        <v>125</v>
      </c>
      <c r="K5" s="1180" t="s">
        <v>124</v>
      </c>
      <c r="L5" s="1181" t="s">
        <v>125</v>
      </c>
      <c r="M5" s="1177"/>
      <c r="P5" s="1178"/>
      <c r="Q5" s="1178"/>
      <c r="R5" s="1178"/>
      <c r="S5" s="1179"/>
      <c r="T5" s="1179"/>
      <c r="U5" s="1179"/>
      <c r="V5" s="1179"/>
      <c r="W5" s="1179"/>
      <c r="X5" s="1179"/>
      <c r="Y5" s="1179"/>
      <c r="Z5" s="1179"/>
      <c r="AA5" s="1179"/>
      <c r="AB5" s="1179"/>
      <c r="AC5" s="1179"/>
      <c r="AD5" s="1179"/>
      <c r="AE5" s="1179"/>
    </row>
    <row r="6">
      <c r="A6" s="1182" t="s">
        <v>126</v>
      </c>
      <c r="B6" s="1183"/>
      <c r="C6" s="1184"/>
      <c r="D6" s="1184"/>
      <c r="E6" s="1185" t="s">
        <v>127</v>
      </c>
      <c r="F6" s="1186" t="s">
        <v>128</v>
      </c>
      <c r="G6" s="1185" t="s">
        <v>129</v>
      </c>
      <c r="H6" s="1186" t="s">
        <v>130</v>
      </c>
      <c r="I6" s="1185" t="s">
        <v>129</v>
      </c>
      <c r="J6" s="1186" t="s">
        <v>131</v>
      </c>
      <c r="K6" s="1185" t="s">
        <v>132</v>
      </c>
      <c r="L6" s="1186" t="s">
        <v>133</v>
      </c>
      <c r="M6" s="1187"/>
      <c r="T6" s="1167"/>
      <c r="U6" s="1167"/>
      <c r="V6" s="1167"/>
      <c r="W6" s="1167"/>
      <c r="X6" s="1167"/>
      <c r="Y6" s="1167"/>
      <c r="Z6" s="1167"/>
      <c r="AA6" s="1167"/>
      <c r="AB6" s="1167"/>
      <c r="AC6" s="1167"/>
      <c r="AD6" s="1167"/>
      <c r="AE6" s="1167"/>
    </row>
    <row r="7" ht="15.0" customHeight="1">
      <c r="A7" s="1188" t="s">
        <v>134</v>
      </c>
      <c r="C7" s="1189" t="s">
        <v>135</v>
      </c>
      <c r="D7" s="1169"/>
      <c r="E7" s="1180" t="s">
        <v>136</v>
      </c>
      <c r="F7" s="1190">
        <f>vlookup(E6, 'Course List'!$A$3:$AT$14,46, false)</f>
        <v>71</v>
      </c>
      <c r="G7" s="1180" t="s">
        <v>136</v>
      </c>
      <c r="H7" s="1190">
        <f>vlookup(G6, 'Course List'!$A$3:$AT$14,46, false)</f>
        <v>72</v>
      </c>
      <c r="I7" s="1180" t="s">
        <v>136</v>
      </c>
      <c r="J7" s="1191">
        <f>vlookup(I6, 'Course List'!$A$3:$AT$14,46, false)</f>
        <v>72</v>
      </c>
      <c r="K7" s="1180" t="s">
        <v>136</v>
      </c>
      <c r="L7" s="1190">
        <f>vlookup(K6, 'Course List'!$A$3:$AT$14,46, false)</f>
        <v>72</v>
      </c>
      <c r="M7" s="1174"/>
      <c r="AB7" s="1167"/>
      <c r="AC7" s="1167"/>
      <c r="AD7" s="1167"/>
      <c r="AE7" s="1167"/>
    </row>
    <row r="8" ht="15.0" customHeight="1">
      <c r="C8" s="1187"/>
      <c r="D8" s="1169"/>
      <c r="E8" s="1180" t="s">
        <v>137</v>
      </c>
      <c r="F8" s="1192">
        <f>vlookup(E6, 'Course List'!$A$3:$C$14,2, false)</f>
        <v>71.5</v>
      </c>
      <c r="G8" s="1180" t="s">
        <v>137</v>
      </c>
      <c r="H8" s="1192">
        <f>vlookup(G6, 'Course List'!$A$3:$C$14,2, false)</f>
        <v>68.1</v>
      </c>
      <c r="I8" s="1180" t="s">
        <v>137</v>
      </c>
      <c r="J8" s="1192">
        <f>vlookup(I6, 'Course List'!$A$3:$C$14,2, false)</f>
        <v>68.1</v>
      </c>
      <c r="K8" s="1180" t="s">
        <v>137</v>
      </c>
      <c r="L8" s="1192">
        <f>vlookup(K6, 'Course List'!$A$3:$C$14,2, false)</f>
        <v>70.3</v>
      </c>
      <c r="M8" s="1174"/>
      <c r="AB8" s="1167"/>
      <c r="AC8" s="1167"/>
      <c r="AD8" s="1167"/>
      <c r="AE8" s="1167"/>
    </row>
    <row r="9" ht="15.0" customHeight="1">
      <c r="C9" s="1187"/>
      <c r="D9" s="1169"/>
      <c r="E9" s="1180" t="s">
        <v>138</v>
      </c>
      <c r="F9" s="1190">
        <f>vlookup(E6, 'Course List'!$A$3:$C$14,3, false)</f>
        <v>132</v>
      </c>
      <c r="G9" s="1180" t="s">
        <v>138</v>
      </c>
      <c r="H9" s="1190">
        <f>vlookup(G6, 'Course List'!$A$3:$C$14,3, false)</f>
        <v>129</v>
      </c>
      <c r="I9" s="1180" t="s">
        <v>138</v>
      </c>
      <c r="J9" s="1190">
        <f>vlookup(I6, 'Course List'!$A$3:$C$14,3, false)</f>
        <v>129</v>
      </c>
      <c r="K9" s="1180" t="s">
        <v>138</v>
      </c>
      <c r="L9" s="1190">
        <f>vlookup(K6, 'Course List'!$A$3:$C$14,3, false)</f>
        <v>133</v>
      </c>
      <c r="M9" s="1174"/>
      <c r="N9" s="948" t="s">
        <v>116</v>
      </c>
      <c r="O9" s="1193" t="s">
        <v>139</v>
      </c>
      <c r="P9" s="1194" t="s">
        <v>140</v>
      </c>
      <c r="Q9" s="1195"/>
      <c r="R9" s="1196"/>
      <c r="S9" s="1167"/>
      <c r="T9" s="1167"/>
      <c r="U9" s="1167"/>
      <c r="V9" s="1167"/>
      <c r="W9" s="1167"/>
      <c r="X9" s="1167"/>
      <c r="Y9" s="1167"/>
      <c r="Z9" s="1167"/>
      <c r="AA9" s="1167"/>
      <c r="AB9" s="1167"/>
      <c r="AC9" s="1167"/>
      <c r="AD9" s="1167"/>
      <c r="AE9" s="1167"/>
    </row>
    <row r="10">
      <c r="A10" s="1197" t="s">
        <v>141</v>
      </c>
      <c r="B10" s="1198" t="s">
        <v>142</v>
      </c>
      <c r="C10" s="1199" t="s">
        <v>143</v>
      </c>
      <c r="D10" s="1200"/>
      <c r="E10" s="1201" t="s">
        <v>144</v>
      </c>
      <c r="F10" s="1202" t="s">
        <v>145</v>
      </c>
      <c r="G10" s="1201" t="s">
        <v>144</v>
      </c>
      <c r="H10" s="1202" t="s">
        <v>145</v>
      </c>
      <c r="I10" s="1201" t="s">
        <v>144</v>
      </c>
      <c r="J10" s="1202" t="s">
        <v>145</v>
      </c>
      <c r="K10" s="1201" t="s">
        <v>144</v>
      </c>
      <c r="L10" s="1203" t="s">
        <v>145</v>
      </c>
      <c r="M10" s="1204"/>
      <c r="N10" s="948" t="s">
        <v>146</v>
      </c>
      <c r="O10" s="1205" t="s">
        <v>147</v>
      </c>
      <c r="P10" s="1205" t="s">
        <v>7</v>
      </c>
      <c r="Q10" s="1205" t="s">
        <v>8</v>
      </c>
      <c r="R10" s="1205" t="s">
        <v>9</v>
      </c>
      <c r="S10" s="1205" t="s">
        <v>148</v>
      </c>
      <c r="T10" s="1167"/>
      <c r="U10" s="1167"/>
      <c r="V10" s="1167"/>
      <c r="W10" s="1167"/>
      <c r="X10" s="1167"/>
      <c r="Y10" s="1167"/>
      <c r="Z10" s="1167"/>
      <c r="AA10" s="1167"/>
    </row>
    <row r="11">
      <c r="A11" s="1206" t="s">
        <v>149</v>
      </c>
      <c r="B11" s="1202" t="str">
        <f t="shared" ref="B11:B18" si="1">$A$10</f>
        <v>Irons</v>
      </c>
      <c r="C11" s="1207">
        <f>if(A11="","",vlookup(A11,'Grint Handis'!$A$2:$B$19,2,false))</f>
        <v>6.8</v>
      </c>
      <c r="D11" s="1208"/>
      <c r="E11" s="1209">
        <v>7.4</v>
      </c>
      <c r="F11" s="1210">
        <f t="shared" ref="F11:F18" si="2">if(E11="","-",ROUND((E11*F$9)/113+(F$8-F$7),0))</f>
        <v>9</v>
      </c>
      <c r="G11" s="1209">
        <v>7.4</v>
      </c>
      <c r="H11" s="1210">
        <f t="shared" ref="H11:H18" si="3">if(G11="","-",ROUND((G11*H$9)/113+(H$8-H$7),0))</f>
        <v>5</v>
      </c>
      <c r="I11" s="1209">
        <v>7.4</v>
      </c>
      <c r="J11" s="1210">
        <f t="shared" ref="J11:J18" si="4">if(I11="","-",ROUND((I11*J$9)/113+(J$8-J$7),0))</f>
        <v>5</v>
      </c>
      <c r="K11" s="1209">
        <v>8.3</v>
      </c>
      <c r="L11" s="1210">
        <f t="shared" ref="L11:L18" si="5">if(K11="","-",ROUND((K11*L$9)/113+(L$8-L$7),0))</f>
        <v>8</v>
      </c>
      <c r="M11" s="1211" t="str">
        <f t="shared" ref="M11:M18" si="6">A11</f>
        <v>Jensen</v>
      </c>
      <c r="N11" s="1212">
        <f t="shared" ref="N11:N18" si="7">average(E11,G11,I11,K11)</f>
        <v>7.625</v>
      </c>
      <c r="O11" s="1213" t="s">
        <v>150</v>
      </c>
      <c r="P11" s="1214">
        <v>2.0</v>
      </c>
      <c r="Q11" s="1214">
        <v>3.0</v>
      </c>
      <c r="R11" s="1214">
        <v>4.0</v>
      </c>
      <c r="S11" s="1214">
        <v>5.0</v>
      </c>
      <c r="T11" s="1167"/>
      <c r="U11" s="1167"/>
      <c r="V11" s="1167"/>
      <c r="W11" s="1167"/>
      <c r="X11" s="1167"/>
      <c r="Y11" s="1167"/>
      <c r="Z11" s="1167"/>
      <c r="AA11" s="1167"/>
    </row>
    <row r="12">
      <c r="A12" s="1206" t="s">
        <v>151</v>
      </c>
      <c r="B12" s="1202" t="str">
        <f t="shared" si="1"/>
        <v>Irons</v>
      </c>
      <c r="C12" s="1207">
        <f>if(A12="","",vlookup(A12,'Grint Handis'!$A$2:$B$19,2,false))</f>
        <v>9.6</v>
      </c>
      <c r="D12" s="1208"/>
      <c r="E12" s="1209">
        <v>7.0</v>
      </c>
      <c r="F12" s="1210">
        <f t="shared" si="2"/>
        <v>9</v>
      </c>
      <c r="G12" s="1209">
        <v>7.0</v>
      </c>
      <c r="H12" s="1210">
        <f t="shared" si="3"/>
        <v>4</v>
      </c>
      <c r="I12" s="1209">
        <v>7.0</v>
      </c>
      <c r="J12" s="1210">
        <f t="shared" si="4"/>
        <v>4</v>
      </c>
      <c r="K12" s="1209">
        <v>8.0</v>
      </c>
      <c r="L12" s="1210">
        <f t="shared" si="5"/>
        <v>8</v>
      </c>
      <c r="M12" s="1211" t="str">
        <f t="shared" si="6"/>
        <v>CuzNick</v>
      </c>
      <c r="N12" s="1212">
        <f t="shared" si="7"/>
        <v>7.25</v>
      </c>
      <c r="O12" s="1215" t="s">
        <v>128</v>
      </c>
      <c r="P12" s="1216">
        <v>1.0</v>
      </c>
      <c r="Q12" s="1216">
        <v>1.0</v>
      </c>
      <c r="R12" s="1216">
        <v>2.0</v>
      </c>
      <c r="S12" s="1217" t="str">
        <f t="shared" ref="S12:S14" si="8">sum(P12:R12)&amp;" Points per Match - "&amp;if(P12=0,"",P12&amp;" Front, ")&amp;if(Q12=0,"",Q12&amp;" Back, ")&amp;if(R12=0,"",R12&amp;" Overall")</f>
        <v>4 Points per Match - 1 Front, 1 Back, 2 Overall</v>
      </c>
      <c r="T12" s="1167"/>
      <c r="U12" s="1167"/>
      <c r="V12" s="1167"/>
      <c r="W12" s="1167"/>
      <c r="X12" s="1167"/>
      <c r="Y12" s="1167"/>
      <c r="Z12" s="1167"/>
      <c r="AA12" s="1167"/>
    </row>
    <row r="13">
      <c r="A13" s="1206" t="s">
        <v>152</v>
      </c>
      <c r="B13" s="1202" t="str">
        <f t="shared" si="1"/>
        <v>Irons</v>
      </c>
      <c r="C13" s="1207">
        <f>if(A13="","",vlookup(A13,'Grint Handis'!$A$2:$B$19,2,false))</f>
        <v>7.3</v>
      </c>
      <c r="D13" s="1208"/>
      <c r="E13" s="1209">
        <v>7.7</v>
      </c>
      <c r="F13" s="1210">
        <f t="shared" si="2"/>
        <v>9</v>
      </c>
      <c r="G13" s="1209">
        <v>7.7</v>
      </c>
      <c r="H13" s="1210">
        <f t="shared" si="3"/>
        <v>5</v>
      </c>
      <c r="I13" s="1209">
        <v>7.7</v>
      </c>
      <c r="J13" s="1210">
        <f t="shared" si="4"/>
        <v>5</v>
      </c>
      <c r="K13" s="1209">
        <v>8.2</v>
      </c>
      <c r="L13" s="1210">
        <f t="shared" si="5"/>
        <v>8</v>
      </c>
      <c r="M13" s="1211" t="str">
        <f t="shared" si="6"/>
        <v>Andy</v>
      </c>
      <c r="N13" s="1212">
        <f t="shared" si="7"/>
        <v>7.825</v>
      </c>
      <c r="O13" s="1215" t="s">
        <v>130</v>
      </c>
      <c r="P13" s="1216">
        <v>1.0</v>
      </c>
      <c r="Q13" s="1216">
        <v>1.0</v>
      </c>
      <c r="R13" s="1216">
        <v>1.0</v>
      </c>
      <c r="S13" s="1217" t="str">
        <f t="shared" si="8"/>
        <v>3 Points per Match - 1 Front, 1 Back, 1 Overall</v>
      </c>
      <c r="T13" s="1167"/>
      <c r="U13" s="1167"/>
      <c r="V13" s="1167"/>
      <c r="W13" s="1167"/>
      <c r="X13" s="1167"/>
      <c r="Y13" s="1167"/>
      <c r="Z13" s="1167"/>
      <c r="AA13" s="1167"/>
    </row>
    <row r="14">
      <c r="A14" s="1206" t="s">
        <v>153</v>
      </c>
      <c r="B14" s="1202" t="str">
        <f t="shared" si="1"/>
        <v>Irons</v>
      </c>
      <c r="C14" s="1207">
        <f>if(A14="","",vlookup(A14,'Grint Handis'!$A$2:$B$19,2,false))</f>
        <v>10.3</v>
      </c>
      <c r="D14" s="1208"/>
      <c r="E14" s="1209">
        <v>8.6</v>
      </c>
      <c r="F14" s="1210">
        <f t="shared" si="2"/>
        <v>11</v>
      </c>
      <c r="G14" s="1209">
        <v>8.6</v>
      </c>
      <c r="H14" s="1210">
        <f t="shared" si="3"/>
        <v>6</v>
      </c>
      <c r="I14" s="1209">
        <v>8.6</v>
      </c>
      <c r="J14" s="1210">
        <f t="shared" si="4"/>
        <v>6</v>
      </c>
      <c r="K14" s="1209">
        <v>9.0</v>
      </c>
      <c r="L14" s="1210">
        <f t="shared" si="5"/>
        <v>9</v>
      </c>
      <c r="M14" s="1211" t="str">
        <f t="shared" si="6"/>
        <v>Pace</v>
      </c>
      <c r="N14" s="1212">
        <f t="shared" si="7"/>
        <v>8.7</v>
      </c>
      <c r="O14" s="1215" t="s">
        <v>154</v>
      </c>
      <c r="P14" s="1216">
        <v>1.0</v>
      </c>
      <c r="Q14" s="1216">
        <v>1.0</v>
      </c>
      <c r="R14" s="1216">
        <v>2.0</v>
      </c>
      <c r="S14" s="1217" t="str">
        <f t="shared" si="8"/>
        <v>4 Points per Match - 1 Front, 1 Back, 2 Overall</v>
      </c>
      <c r="T14" s="1167"/>
      <c r="U14" s="1167"/>
      <c r="V14" s="1167"/>
      <c r="W14" s="1167"/>
      <c r="X14" s="1167"/>
      <c r="Y14" s="1167"/>
      <c r="Z14" s="1167"/>
      <c r="AA14" s="1167"/>
    </row>
    <row r="15">
      <c r="A15" s="1206" t="s">
        <v>155</v>
      </c>
      <c r="B15" s="1202" t="str">
        <f t="shared" si="1"/>
        <v>Irons</v>
      </c>
      <c r="C15" s="1207">
        <f>if(A15="","",vlookup(A15,'Grint Handis'!$A$2:$B$19,2,false))</f>
        <v>9.3</v>
      </c>
      <c r="D15" s="1208"/>
      <c r="E15" s="1209">
        <v>9.8</v>
      </c>
      <c r="F15" s="1210">
        <f t="shared" si="2"/>
        <v>12</v>
      </c>
      <c r="G15" s="1209">
        <v>9.8</v>
      </c>
      <c r="H15" s="1210">
        <f t="shared" si="3"/>
        <v>7</v>
      </c>
      <c r="I15" s="1209">
        <v>9.8</v>
      </c>
      <c r="J15" s="1210">
        <f t="shared" si="4"/>
        <v>7</v>
      </c>
      <c r="K15" s="1209">
        <v>10.2</v>
      </c>
      <c r="L15" s="1210">
        <f t="shared" si="5"/>
        <v>10</v>
      </c>
      <c r="M15" s="1211" t="str">
        <f t="shared" si="6"/>
        <v>House</v>
      </c>
      <c r="N15" s="1212">
        <f t="shared" si="7"/>
        <v>9.9</v>
      </c>
      <c r="O15" s="1215" t="s">
        <v>133</v>
      </c>
      <c r="P15" s="1216">
        <v>1.0</v>
      </c>
      <c r="Q15" s="1216">
        <v>2.0</v>
      </c>
      <c r="R15" s="1218" t="s">
        <v>156</v>
      </c>
      <c r="S15" s="1217" t="str">
        <f>P15&amp;" Pt/Hole Front, "&amp;Q15&amp;" Pt/Hole Back"</f>
        <v>1 Pt/Hole Front, 2 Pt/Hole Back</v>
      </c>
      <c r="T15" s="1219" t="s">
        <v>157</v>
      </c>
      <c r="U15" s="1220"/>
      <c r="V15" s="1220"/>
      <c r="W15" s="1220"/>
      <c r="X15" s="1220"/>
      <c r="Y15" s="1220"/>
      <c r="Z15" s="1220"/>
      <c r="AA15" s="1220"/>
    </row>
    <row r="16">
      <c r="A16" s="1206" t="s">
        <v>158</v>
      </c>
      <c r="B16" s="1202" t="str">
        <f t="shared" si="1"/>
        <v>Irons</v>
      </c>
      <c r="C16" s="1207">
        <f>if(A16="","",vlookup(A16,'Grint Handis'!$A$2:$B$19,2,false))</f>
        <v>16.5</v>
      </c>
      <c r="D16" s="1208"/>
      <c r="E16" s="1209">
        <v>12.3</v>
      </c>
      <c r="F16" s="1210">
        <f t="shared" si="2"/>
        <v>15</v>
      </c>
      <c r="G16" s="1209">
        <v>12.3</v>
      </c>
      <c r="H16" s="1210">
        <f t="shared" si="3"/>
        <v>10</v>
      </c>
      <c r="I16" s="1209">
        <v>12.3</v>
      </c>
      <c r="J16" s="1210">
        <f t="shared" si="4"/>
        <v>10</v>
      </c>
      <c r="K16" s="1209">
        <v>11.4</v>
      </c>
      <c r="L16" s="1210">
        <f t="shared" si="5"/>
        <v>12</v>
      </c>
      <c r="M16" s="1211" t="str">
        <f t="shared" si="6"/>
        <v>DK</v>
      </c>
      <c r="N16" s="1212">
        <f t="shared" si="7"/>
        <v>12.075</v>
      </c>
      <c r="O16" s="1215" t="s">
        <v>159</v>
      </c>
      <c r="P16" s="1216">
        <v>1.0</v>
      </c>
      <c r="Q16" s="1216">
        <v>1.0</v>
      </c>
      <c r="R16" s="1216">
        <v>2.0</v>
      </c>
      <c r="S16" s="1217" t="str">
        <f t="shared" ref="S16:S19" si="9">sum(P16:R16)&amp;" Points per Match - "&amp;if(P16=0,"",P16&amp;" Front, ")&amp;if(Q16=0,"",Q16&amp;" Back, ")&amp;if(R16=0,"",R16&amp;" Overall")</f>
        <v>4 Points per Match - 1 Front, 1 Back, 2 Overall</v>
      </c>
      <c r="T16" s="1167"/>
      <c r="U16" s="1167"/>
    </row>
    <row r="17">
      <c r="A17" s="1206" t="s">
        <v>160</v>
      </c>
      <c r="B17" s="1202" t="str">
        <f t="shared" si="1"/>
        <v>Irons</v>
      </c>
      <c r="C17" s="1207">
        <f>if(A17="","",vlookup(A17,'Grint Handis'!$A$2:$B$19,2,false))</f>
        <v>18.8</v>
      </c>
      <c r="D17" s="1208"/>
      <c r="E17" s="1209">
        <v>15.8</v>
      </c>
      <c r="F17" s="1210">
        <f t="shared" si="2"/>
        <v>19</v>
      </c>
      <c r="G17" s="1209">
        <v>15.8</v>
      </c>
      <c r="H17" s="1210">
        <f t="shared" si="3"/>
        <v>14</v>
      </c>
      <c r="I17" s="1209">
        <v>15.8</v>
      </c>
      <c r="J17" s="1210">
        <f t="shared" si="4"/>
        <v>14</v>
      </c>
      <c r="K17" s="1209">
        <v>16.6</v>
      </c>
      <c r="L17" s="1210">
        <f t="shared" si="5"/>
        <v>18</v>
      </c>
      <c r="M17" s="1211" t="str">
        <f t="shared" si="6"/>
        <v>Carp</v>
      </c>
      <c r="N17" s="1212">
        <f t="shared" si="7"/>
        <v>16</v>
      </c>
      <c r="O17" s="1215" t="s">
        <v>161</v>
      </c>
      <c r="P17" s="1216">
        <v>1.0</v>
      </c>
      <c r="Q17" s="1216">
        <v>1.0</v>
      </c>
      <c r="R17" s="1216">
        <v>2.0</v>
      </c>
      <c r="S17" s="1217" t="str">
        <f t="shared" si="9"/>
        <v>4 Points per Match - 1 Front, 1 Back, 2 Overall</v>
      </c>
      <c r="T17" s="1167"/>
      <c r="U17" s="1167"/>
      <c r="V17" s="1167"/>
      <c r="W17" s="1167"/>
      <c r="X17" s="1167"/>
      <c r="Y17" s="1167"/>
      <c r="Z17" s="1167"/>
      <c r="AA17" s="1167"/>
    </row>
    <row r="18">
      <c r="A18" s="1206" t="s">
        <v>162</v>
      </c>
      <c r="B18" s="1202" t="str">
        <f t="shared" si="1"/>
        <v>Irons</v>
      </c>
      <c r="C18" s="1207">
        <f>if(A18="","",vlookup(A18,'Grint Handis'!$A$2:$B$19,2,false))</f>
        <v>25.2</v>
      </c>
      <c r="D18" s="1208"/>
      <c r="E18" s="1209">
        <v>30.0</v>
      </c>
      <c r="F18" s="1210">
        <f t="shared" si="2"/>
        <v>36</v>
      </c>
      <c r="G18" s="1209">
        <v>30.0</v>
      </c>
      <c r="H18" s="1210">
        <f t="shared" si="3"/>
        <v>30</v>
      </c>
      <c r="I18" s="1209">
        <v>30.0</v>
      </c>
      <c r="J18" s="1210">
        <f t="shared" si="4"/>
        <v>30</v>
      </c>
      <c r="K18" s="1209">
        <v>30.4</v>
      </c>
      <c r="L18" s="1210">
        <f t="shared" si="5"/>
        <v>34</v>
      </c>
      <c r="M18" s="1211" t="str">
        <f t="shared" si="6"/>
        <v>Saugy</v>
      </c>
      <c r="N18" s="1212">
        <f t="shared" si="7"/>
        <v>30.1</v>
      </c>
      <c r="O18" s="1215" t="s">
        <v>163</v>
      </c>
      <c r="P18" s="1216">
        <v>1.0</v>
      </c>
      <c r="Q18" s="1216">
        <v>1.0</v>
      </c>
      <c r="R18" s="1216">
        <v>2.0</v>
      </c>
      <c r="S18" s="1217" t="str">
        <f t="shared" si="9"/>
        <v>4 Points per Match - 1 Front, 1 Back, 2 Overall</v>
      </c>
      <c r="T18" s="1167"/>
      <c r="U18" s="1167"/>
      <c r="V18" s="1167"/>
      <c r="W18" s="1167"/>
      <c r="X18" s="1167"/>
      <c r="Y18" s="1167"/>
      <c r="Z18" s="1167"/>
      <c r="AA18" s="1167"/>
    </row>
    <row r="19">
      <c r="A19" s="1221" t="s">
        <v>164</v>
      </c>
      <c r="B19" s="1222" t="s">
        <v>142</v>
      </c>
      <c r="C19" s="1199" t="s">
        <v>143</v>
      </c>
      <c r="D19" s="1223"/>
      <c r="E19" s="1201" t="s">
        <v>144</v>
      </c>
      <c r="F19" s="1224" t="s">
        <v>145</v>
      </c>
      <c r="G19" s="1201" t="s">
        <v>144</v>
      </c>
      <c r="H19" s="1224" t="s">
        <v>145</v>
      </c>
      <c r="I19" s="1201" t="s">
        <v>144</v>
      </c>
      <c r="J19" s="1224" t="s">
        <v>145</v>
      </c>
      <c r="K19" s="1201" t="s">
        <v>144</v>
      </c>
      <c r="L19" s="1224" t="s">
        <v>145</v>
      </c>
      <c r="M19" s="1225"/>
      <c r="N19" s="1226"/>
      <c r="O19" s="1215" t="s">
        <v>131</v>
      </c>
      <c r="P19" s="1216">
        <v>0.0</v>
      </c>
      <c r="Q19" s="1216">
        <v>0.0</v>
      </c>
      <c r="R19" s="1216">
        <v>4.0</v>
      </c>
      <c r="S19" s="1217" t="str">
        <f t="shared" si="9"/>
        <v>4 Points per Match - 4 Overall</v>
      </c>
      <c r="T19" s="1167"/>
      <c r="U19" s="1167"/>
      <c r="V19" s="1167"/>
      <c r="W19" s="1167"/>
      <c r="X19" s="1167"/>
      <c r="Y19" s="1167"/>
      <c r="Z19" s="1167"/>
      <c r="AA19" s="1167"/>
    </row>
    <row r="20">
      <c r="A20" s="1206" t="s">
        <v>165</v>
      </c>
      <c r="B20" s="1202" t="str">
        <f t="shared" ref="B20:B27" si="10">$A$19</f>
        <v>Drivers</v>
      </c>
      <c r="C20" s="1207">
        <f>if(A20="","",vlookup(A20,'Grint Handis'!$A$2:$B$19,2,false))</f>
        <v>6.9</v>
      </c>
      <c r="D20" s="1208"/>
      <c r="E20" s="1209">
        <v>5.4</v>
      </c>
      <c r="F20" s="1210">
        <f t="shared" ref="F20:F27" si="11">if(E20="","-",ROUND((E20*F$9)/113+(F$8-F$7),0))</f>
        <v>7</v>
      </c>
      <c r="G20" s="1209">
        <v>5.4</v>
      </c>
      <c r="H20" s="1210">
        <f t="shared" ref="H20:H27" si="12">if(G20="","-",ROUND((G20*H$9)/113+(H$8-H$7),0))</f>
        <v>2</v>
      </c>
      <c r="I20" s="1209">
        <v>5.4</v>
      </c>
      <c r="J20" s="1210">
        <f t="shared" ref="J20:J27" si="13">if(I20="","-",ROUND((I20*J$9)/113+(J$8-J$7),0))</f>
        <v>2</v>
      </c>
      <c r="K20" s="1209">
        <v>6.2</v>
      </c>
      <c r="L20" s="1210">
        <f t="shared" ref="L20:L27" si="14">if(K20="","-",ROUND((K20*L$9)/113+(L$8-L$7),0))</f>
        <v>6</v>
      </c>
      <c r="M20" s="1211" t="str">
        <f t="shared" ref="M20:M27" si="15">A20</f>
        <v>Telly</v>
      </c>
      <c r="N20" s="1212">
        <f t="shared" ref="N20:N28" si="16">average(E20,G20,I20,K20)</f>
        <v>5.6</v>
      </c>
      <c r="O20" s="1227"/>
      <c r="P20" s="1228"/>
      <c r="Q20" s="1228"/>
      <c r="R20" s="1228"/>
      <c r="S20" s="1227"/>
      <c r="T20" s="1167"/>
      <c r="U20" s="1167"/>
      <c r="V20" s="1167"/>
      <c r="W20" s="1167"/>
      <c r="X20" s="1167"/>
      <c r="Y20" s="1167"/>
      <c r="Z20" s="1167"/>
      <c r="AA20" s="1167"/>
    </row>
    <row r="21">
      <c r="A21" s="1206" t="s">
        <v>166</v>
      </c>
      <c r="B21" s="1202" t="str">
        <f t="shared" si="10"/>
        <v>Drivers</v>
      </c>
      <c r="C21" s="1207">
        <f>if(A21="","",vlookup(A21,'Grint Handis'!$A$2:$B$19,2,false))</f>
        <v>7.8</v>
      </c>
      <c r="D21" s="1208"/>
      <c r="E21" s="1209">
        <v>8.1</v>
      </c>
      <c r="F21" s="1210">
        <f t="shared" si="11"/>
        <v>10</v>
      </c>
      <c r="G21" s="1209">
        <v>8.1</v>
      </c>
      <c r="H21" s="1210">
        <f t="shared" si="12"/>
        <v>5</v>
      </c>
      <c r="I21" s="1209">
        <v>8.1</v>
      </c>
      <c r="J21" s="1210">
        <f t="shared" si="13"/>
        <v>5</v>
      </c>
      <c r="K21" s="1209">
        <v>8.0</v>
      </c>
      <c r="L21" s="1210">
        <f t="shared" si="14"/>
        <v>8</v>
      </c>
      <c r="M21" s="1211" t="str">
        <f t="shared" si="15"/>
        <v>KJ</v>
      </c>
      <c r="N21" s="1212">
        <f t="shared" si="16"/>
        <v>8.075</v>
      </c>
      <c r="O21" s="1229"/>
      <c r="P21" s="1228"/>
      <c r="Q21" s="1228"/>
      <c r="R21" s="1228"/>
      <c r="S21" s="1227"/>
      <c r="T21" s="1167"/>
      <c r="U21" s="1167"/>
      <c r="V21" s="1167"/>
      <c r="W21" s="1167"/>
      <c r="X21" s="1167"/>
      <c r="Y21" s="1167"/>
      <c r="Z21" s="1167"/>
      <c r="AA21" s="1167"/>
    </row>
    <row r="22">
      <c r="A22" s="1206" t="s">
        <v>167</v>
      </c>
      <c r="B22" s="1202" t="str">
        <f t="shared" si="10"/>
        <v>Drivers</v>
      </c>
      <c r="C22" s="1207">
        <f>if(A22="","",vlookup(A22,'Grint Handis'!$A$2:$B$19,2,false))</f>
        <v>9</v>
      </c>
      <c r="D22" s="1208"/>
      <c r="E22" s="1209">
        <v>9.5</v>
      </c>
      <c r="F22" s="1210">
        <f t="shared" si="11"/>
        <v>12</v>
      </c>
      <c r="G22" s="1209">
        <v>9.5</v>
      </c>
      <c r="H22" s="1210">
        <f t="shared" si="12"/>
        <v>7</v>
      </c>
      <c r="I22" s="1209">
        <v>9.5</v>
      </c>
      <c r="J22" s="1210">
        <f t="shared" si="13"/>
        <v>7</v>
      </c>
      <c r="K22" s="1209">
        <v>9.5</v>
      </c>
      <c r="L22" s="1210">
        <f t="shared" si="14"/>
        <v>9</v>
      </c>
      <c r="M22" s="1230" t="str">
        <f t="shared" si="15"/>
        <v>R-Mac</v>
      </c>
      <c r="N22" s="1212">
        <f t="shared" si="16"/>
        <v>9.5</v>
      </c>
      <c r="O22" s="1231"/>
      <c r="P22" s="1228"/>
      <c r="Q22" s="1228"/>
      <c r="R22" s="1228"/>
      <c r="S22" s="1227"/>
      <c r="T22" s="1167"/>
      <c r="U22" s="1167"/>
      <c r="V22" s="1167"/>
      <c r="W22" s="1167"/>
      <c r="X22" s="1167"/>
      <c r="Y22" s="1167"/>
      <c r="Z22" s="1167"/>
      <c r="AA22" s="1167"/>
    </row>
    <row r="23">
      <c r="A23" s="1206" t="s">
        <v>168</v>
      </c>
      <c r="B23" s="1202" t="str">
        <f t="shared" si="10"/>
        <v>Drivers</v>
      </c>
      <c r="C23" s="1207">
        <f>if(A23="","",vlookup(A23,'Grint Handis'!$A$2:$B$19,2,false))</f>
        <v>12.2</v>
      </c>
      <c r="D23" s="1208"/>
      <c r="E23" s="1209">
        <v>10.9</v>
      </c>
      <c r="F23" s="1210">
        <f t="shared" si="11"/>
        <v>13</v>
      </c>
      <c r="G23" s="1209">
        <v>10.9</v>
      </c>
      <c r="H23" s="1210">
        <f t="shared" si="12"/>
        <v>9</v>
      </c>
      <c r="I23" s="1209">
        <v>10.9</v>
      </c>
      <c r="J23" s="1210">
        <f t="shared" si="13"/>
        <v>9</v>
      </c>
      <c r="K23" s="1209">
        <v>11.0</v>
      </c>
      <c r="L23" s="1210">
        <f t="shared" si="14"/>
        <v>11</v>
      </c>
      <c r="M23" s="1211" t="str">
        <f t="shared" si="15"/>
        <v>T-Mo</v>
      </c>
      <c r="N23" s="1212">
        <f t="shared" si="16"/>
        <v>10.925</v>
      </c>
      <c r="O23" s="1231"/>
      <c r="P23" s="1228"/>
      <c r="Q23" s="1228"/>
      <c r="R23" s="1228"/>
      <c r="S23" s="1227"/>
      <c r="T23" s="1167"/>
      <c r="U23" s="1167"/>
      <c r="V23" s="1167"/>
      <c r="W23" s="1167"/>
      <c r="X23" s="1167"/>
      <c r="Y23" s="1167"/>
      <c r="Z23" s="1167"/>
      <c r="AA23" s="1167"/>
    </row>
    <row r="24">
      <c r="A24" s="1206" t="s">
        <v>169</v>
      </c>
      <c r="B24" s="1202" t="str">
        <f t="shared" si="10"/>
        <v>Drivers</v>
      </c>
      <c r="C24" s="1207">
        <f>if(A24="","",vlookup(A24,'Grint Handis'!$A$2:$B$19,2,false))</f>
        <v>11.6</v>
      </c>
      <c r="D24" s="1208"/>
      <c r="E24" s="1209">
        <v>12.3</v>
      </c>
      <c r="F24" s="1210">
        <f t="shared" si="11"/>
        <v>15</v>
      </c>
      <c r="G24" s="1209">
        <v>12.3</v>
      </c>
      <c r="H24" s="1210">
        <f t="shared" si="12"/>
        <v>10</v>
      </c>
      <c r="I24" s="1209">
        <v>12.3</v>
      </c>
      <c r="J24" s="1210">
        <f t="shared" si="13"/>
        <v>10</v>
      </c>
      <c r="K24" s="1209">
        <v>12.8</v>
      </c>
      <c r="L24" s="1210">
        <f t="shared" si="14"/>
        <v>13</v>
      </c>
      <c r="M24" s="1211" t="str">
        <f t="shared" si="15"/>
        <v>TJSC</v>
      </c>
      <c r="N24" s="1212">
        <f t="shared" si="16"/>
        <v>12.425</v>
      </c>
      <c r="O24" s="1168"/>
      <c r="P24" s="1168"/>
      <c r="Q24" s="1168"/>
      <c r="R24" s="1168"/>
      <c r="S24" s="1167"/>
      <c r="T24" s="1167"/>
      <c r="U24" s="1167"/>
      <c r="V24" s="1167"/>
      <c r="W24" s="1167"/>
      <c r="X24" s="1167"/>
      <c r="Y24" s="1167"/>
      <c r="Z24" s="1167"/>
      <c r="AA24" s="1167"/>
    </row>
    <row r="25">
      <c r="A25" s="1206" t="s">
        <v>170</v>
      </c>
      <c r="B25" s="1202" t="str">
        <f t="shared" si="10"/>
        <v>Drivers</v>
      </c>
      <c r="C25" s="1207">
        <f>if(A25="","",vlookup(A25,'Grint Handis'!$A$2:$B$19,2,false))</f>
        <v>14</v>
      </c>
      <c r="D25" s="1208"/>
      <c r="E25" s="1209">
        <v>12.4</v>
      </c>
      <c r="F25" s="1210">
        <f t="shared" si="11"/>
        <v>15</v>
      </c>
      <c r="G25" s="1209">
        <v>12.4</v>
      </c>
      <c r="H25" s="1210">
        <f t="shared" si="12"/>
        <v>10</v>
      </c>
      <c r="I25" s="1209">
        <v>12.4</v>
      </c>
      <c r="J25" s="1210">
        <f t="shared" si="13"/>
        <v>10</v>
      </c>
      <c r="K25" s="1209">
        <v>13.1</v>
      </c>
      <c r="L25" s="1210">
        <f t="shared" si="14"/>
        <v>14</v>
      </c>
      <c r="M25" s="1211" t="str">
        <f t="shared" si="15"/>
        <v>Weezy</v>
      </c>
      <c r="N25" s="1212">
        <f t="shared" si="16"/>
        <v>12.575</v>
      </c>
      <c r="O25" s="1168"/>
      <c r="P25" s="1168"/>
      <c r="Q25" s="1168"/>
      <c r="R25" s="1168"/>
      <c r="S25" s="1167"/>
      <c r="T25" s="1167"/>
      <c r="U25" s="1167"/>
      <c r="V25" s="1167"/>
      <c r="W25" s="1167"/>
      <c r="X25" s="1167"/>
      <c r="Y25" s="1167"/>
      <c r="Z25" s="1167"/>
      <c r="AA25" s="1167"/>
      <c r="AB25" s="1167"/>
      <c r="AC25" s="1167"/>
      <c r="AD25" s="1167"/>
      <c r="AE25" s="1167"/>
    </row>
    <row r="26">
      <c r="A26" s="1206" t="s">
        <v>171</v>
      </c>
      <c r="B26" s="1202" t="str">
        <f t="shared" si="10"/>
        <v>Drivers</v>
      </c>
      <c r="C26" s="1207">
        <f>if(A26="","",vlookup(A26,'Grint Handis'!$A$2:$B$19,2,false))</f>
        <v>11.7</v>
      </c>
      <c r="D26" s="1208"/>
      <c r="E26" s="1209">
        <v>14.4</v>
      </c>
      <c r="F26" s="1210">
        <f t="shared" si="11"/>
        <v>17</v>
      </c>
      <c r="G26" s="1209">
        <v>14.4</v>
      </c>
      <c r="H26" s="1210">
        <f t="shared" si="12"/>
        <v>13</v>
      </c>
      <c r="I26" s="1209">
        <v>14.4</v>
      </c>
      <c r="J26" s="1210">
        <f t="shared" si="13"/>
        <v>13</v>
      </c>
      <c r="K26" s="1209">
        <v>14.2</v>
      </c>
      <c r="L26" s="1210">
        <f t="shared" si="14"/>
        <v>15</v>
      </c>
      <c r="M26" s="1211" t="str">
        <f t="shared" si="15"/>
        <v>Joe O</v>
      </c>
      <c r="N26" s="1212">
        <f t="shared" si="16"/>
        <v>14.35</v>
      </c>
      <c r="O26" s="1168"/>
      <c r="P26" s="1168"/>
      <c r="Q26" s="1168"/>
      <c r="R26" s="1168"/>
      <c r="S26" s="1167"/>
      <c r="T26" s="1167"/>
      <c r="U26" s="1167"/>
      <c r="V26" s="1167"/>
      <c r="W26" s="1167"/>
      <c r="X26" s="1167"/>
      <c r="Y26" s="1167"/>
      <c r="Z26" s="1167"/>
      <c r="AA26" s="1167"/>
      <c r="AB26" s="1167"/>
      <c r="AC26" s="1167"/>
      <c r="AD26" s="1167"/>
      <c r="AE26" s="1167"/>
    </row>
    <row r="27">
      <c r="A27" s="1206" t="s">
        <v>172</v>
      </c>
      <c r="B27" s="1202" t="str">
        <f t="shared" si="10"/>
        <v>Drivers</v>
      </c>
      <c r="C27" s="1207">
        <f>if(A27="","",vlookup(A27,'Grint Handis'!$A$2:$B$19,2,false))</f>
        <v>18.5</v>
      </c>
      <c r="D27" s="1208"/>
      <c r="E27" s="1209">
        <v>23.3</v>
      </c>
      <c r="F27" s="1210">
        <f t="shared" si="11"/>
        <v>28</v>
      </c>
      <c r="G27" s="1209">
        <v>23.3</v>
      </c>
      <c r="H27" s="1210">
        <f t="shared" si="12"/>
        <v>23</v>
      </c>
      <c r="I27" s="1209">
        <v>23.3</v>
      </c>
      <c r="J27" s="1210">
        <f t="shared" si="13"/>
        <v>23</v>
      </c>
      <c r="K27" s="1209">
        <v>23.2</v>
      </c>
      <c r="L27" s="1210">
        <f t="shared" si="14"/>
        <v>26</v>
      </c>
      <c r="M27" s="1211" t="str">
        <f t="shared" si="15"/>
        <v>Hile</v>
      </c>
      <c r="N27" s="1212">
        <f t="shared" si="16"/>
        <v>23.275</v>
      </c>
      <c r="O27" s="1168"/>
      <c r="P27" s="1168"/>
      <c r="Q27" s="1168"/>
      <c r="R27" s="1168"/>
      <c r="S27" s="1167"/>
      <c r="T27" s="1167"/>
      <c r="U27" s="1167"/>
      <c r="V27" s="1167"/>
      <c r="W27" s="1167"/>
      <c r="X27" s="1167"/>
      <c r="Y27" s="1167"/>
      <c r="Z27" s="1167"/>
      <c r="AA27" s="1167"/>
      <c r="AB27" s="1167"/>
      <c r="AC27" s="1167"/>
      <c r="AD27" s="1167"/>
      <c r="AE27" s="1167"/>
    </row>
    <row r="28">
      <c r="A28" s="1232" t="s">
        <v>150</v>
      </c>
      <c r="B28" s="1232">
        <v>2.0</v>
      </c>
      <c r="C28" s="1232">
        <v>3.0</v>
      </c>
      <c r="D28" s="1232">
        <v>4.0</v>
      </c>
      <c r="E28" s="1232">
        <v>5.0</v>
      </c>
      <c r="F28" s="1232">
        <v>6.0</v>
      </c>
      <c r="G28" s="1232">
        <v>7.0</v>
      </c>
      <c r="H28" s="1232">
        <v>8.0</v>
      </c>
      <c r="I28" s="1232">
        <v>9.0</v>
      </c>
      <c r="J28" s="1232">
        <v>10.0</v>
      </c>
      <c r="K28" s="1232">
        <v>11.0</v>
      </c>
      <c r="L28" s="1232">
        <v>12.0</v>
      </c>
      <c r="M28" s="1232">
        <v>13.0</v>
      </c>
      <c r="N28" s="1226">
        <f t="shared" si="16"/>
        <v>8</v>
      </c>
      <c r="O28" s="1167"/>
      <c r="P28" s="1167"/>
      <c r="Q28" s="1167"/>
      <c r="R28" s="1167"/>
      <c r="V28" s="1167"/>
      <c r="W28" s="1167"/>
      <c r="X28" s="1167"/>
      <c r="Y28" s="1167"/>
      <c r="Z28" s="1167"/>
      <c r="AA28" s="1167"/>
      <c r="AB28" s="1167"/>
      <c r="AC28" s="1167"/>
      <c r="AD28" s="1167"/>
      <c r="AE28" s="1167"/>
    </row>
    <row r="29">
      <c r="A29" s="1233"/>
      <c r="B29" s="1233"/>
      <c r="C29" s="1233"/>
      <c r="D29" s="1233"/>
      <c r="E29" s="1233"/>
      <c r="F29" s="1233"/>
      <c r="G29" s="1233"/>
      <c r="H29" s="1233"/>
      <c r="I29" s="1233"/>
      <c r="J29" s="1233"/>
      <c r="K29" s="1233"/>
      <c r="L29" s="1233"/>
      <c r="M29" s="1233"/>
      <c r="O29" s="1167"/>
      <c r="P29" s="1167"/>
      <c r="Q29" s="1167"/>
      <c r="R29" s="1167"/>
    </row>
    <row r="30">
      <c r="A30" s="1233"/>
      <c r="B30" s="1233"/>
      <c r="C30" s="1233"/>
      <c r="D30" s="1233"/>
      <c r="E30" s="1233"/>
      <c r="F30" s="1233"/>
      <c r="G30" s="1233"/>
      <c r="H30" s="1233"/>
      <c r="I30" s="1233"/>
      <c r="J30" s="1233"/>
      <c r="K30" s="1233"/>
      <c r="L30" s="1233"/>
      <c r="M30" s="1233"/>
      <c r="O30" s="1167"/>
      <c r="P30" s="1167"/>
      <c r="Q30" s="1167"/>
      <c r="R30" s="1167"/>
    </row>
  </sheetData>
  <mergeCells count="4">
    <mergeCell ref="E1:L1"/>
    <mergeCell ref="A7:B9"/>
    <mergeCell ref="C7:C9"/>
    <mergeCell ref="P9:R9"/>
  </mergeCells>
  <dataValidations>
    <dataValidation type="list" allowBlank="1" showErrorMessage="1" sqref="F6 H6 J6 L6">
      <formula1>'Master Input'!$O$12:$O$23</formula1>
    </dataValidation>
    <dataValidation type="list" allowBlank="1" showErrorMessage="1" sqref="E6 G6 I6 K6">
      <formula1>'Course List'!$A$3:$A$14</formula1>
    </dataValidation>
  </dataValidations>
  <drawing r:id="rId1"/>
  <tableParts count="3">
    <tablePart r:id="rId5"/>
    <tablePart r:id="rId6"/>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9.0"/>
    <col customWidth="1" min="2" max="2" width="11.71"/>
    <col customWidth="1" min="3" max="3" width="13.29"/>
    <col customWidth="1" min="4" max="4" width="13.86"/>
    <col customWidth="1" min="5" max="5" width="19.14"/>
  </cols>
  <sheetData>
    <row r="2">
      <c r="A2" s="1234" t="s">
        <v>173</v>
      </c>
      <c r="B2" s="1234" t="s">
        <v>109</v>
      </c>
      <c r="C2" s="1234" t="s">
        <v>174</v>
      </c>
      <c r="D2" s="1234" t="s">
        <v>175</v>
      </c>
      <c r="E2" s="1234" t="s">
        <v>176</v>
      </c>
    </row>
    <row r="3">
      <c r="A3" s="1235">
        <v>1.0</v>
      </c>
      <c r="B3" s="1235" t="s">
        <v>177</v>
      </c>
      <c r="C3" s="1235" t="s">
        <v>178</v>
      </c>
      <c r="D3" s="1236" t="s">
        <v>179</v>
      </c>
      <c r="E3" s="1237" t="s">
        <v>180</v>
      </c>
    </row>
    <row r="4">
      <c r="A4" s="1235">
        <v>2.0</v>
      </c>
      <c r="B4" s="1235" t="s">
        <v>181</v>
      </c>
      <c r="C4" s="1235" t="s">
        <v>178</v>
      </c>
      <c r="D4" s="1236" t="s">
        <v>182</v>
      </c>
      <c r="E4" s="1238" t="s">
        <v>183</v>
      </c>
    </row>
    <row r="5">
      <c r="A5" s="1235">
        <v>3.0</v>
      </c>
      <c r="B5" s="1235" t="s">
        <v>184</v>
      </c>
      <c r="C5" s="1235" t="s">
        <v>178</v>
      </c>
      <c r="D5" s="1235" t="s">
        <v>185</v>
      </c>
      <c r="E5" s="1239" t="s">
        <v>186</v>
      </c>
    </row>
    <row r="6">
      <c r="A6" s="1235">
        <v>4.0</v>
      </c>
      <c r="B6" s="1235" t="s">
        <v>187</v>
      </c>
      <c r="C6" s="1235" t="s">
        <v>178</v>
      </c>
      <c r="D6" s="1235" t="s">
        <v>185</v>
      </c>
      <c r="E6" s="1239" t="s">
        <v>188</v>
      </c>
      <c r="F6" s="948" t="s">
        <v>189</v>
      </c>
    </row>
    <row r="7">
      <c r="A7" s="1235">
        <v>5.0</v>
      </c>
      <c r="B7" s="1235" t="s">
        <v>190</v>
      </c>
      <c r="C7" s="1235" t="s">
        <v>178</v>
      </c>
      <c r="D7" s="1235" t="s">
        <v>185</v>
      </c>
      <c r="E7" s="1239" t="s">
        <v>191</v>
      </c>
      <c r="F7" s="948" t="s">
        <v>192</v>
      </c>
    </row>
    <row r="8">
      <c r="A8" s="1235">
        <v>6.0</v>
      </c>
      <c r="B8" s="1235" t="s">
        <v>193</v>
      </c>
      <c r="C8" s="1235" t="s">
        <v>178</v>
      </c>
      <c r="D8" s="1235" t="s">
        <v>185</v>
      </c>
      <c r="E8" s="1239" t="s">
        <v>194</v>
      </c>
    </row>
    <row r="9">
      <c r="A9" s="1235">
        <v>7.0</v>
      </c>
      <c r="B9" s="1235" t="s">
        <v>195</v>
      </c>
      <c r="C9" s="1235" t="s">
        <v>178</v>
      </c>
      <c r="D9" s="1235" t="s">
        <v>185</v>
      </c>
      <c r="E9" s="1239" t="s">
        <v>196</v>
      </c>
    </row>
    <row r="10">
      <c r="A10" s="1235">
        <v>8.0</v>
      </c>
      <c r="B10" s="1235" t="s">
        <v>197</v>
      </c>
      <c r="C10" s="1235" t="s">
        <v>178</v>
      </c>
      <c r="D10" s="1235" t="s">
        <v>185</v>
      </c>
      <c r="E10" s="1239" t="s">
        <v>198</v>
      </c>
    </row>
    <row r="11">
      <c r="A11" s="1235">
        <v>9.0</v>
      </c>
      <c r="B11" s="1033" t="s">
        <v>152</v>
      </c>
      <c r="C11" s="1235" t="s">
        <v>178</v>
      </c>
      <c r="D11" s="1236" t="s">
        <v>199</v>
      </c>
      <c r="E11" s="1238" t="s">
        <v>200</v>
      </c>
    </row>
    <row r="12">
      <c r="E12" s="1240"/>
    </row>
    <row r="13">
      <c r="A13" s="1234" t="s">
        <v>173</v>
      </c>
      <c r="B13" s="1234" t="s">
        <v>109</v>
      </c>
      <c r="C13" s="1234" t="s">
        <v>174</v>
      </c>
      <c r="D13" s="1234" t="s">
        <v>175</v>
      </c>
      <c r="E13" s="1234" t="s">
        <v>176</v>
      </c>
    </row>
    <row r="14">
      <c r="A14" s="1235">
        <v>10.0</v>
      </c>
      <c r="B14" s="1235" t="s">
        <v>201</v>
      </c>
      <c r="C14" s="1235" t="s">
        <v>202</v>
      </c>
      <c r="D14" s="1236" t="s">
        <v>203</v>
      </c>
      <c r="E14" s="1238" t="s">
        <v>204</v>
      </c>
    </row>
    <row r="15">
      <c r="A15" s="1235">
        <v>11.0</v>
      </c>
      <c r="B15" s="1235" t="s">
        <v>205</v>
      </c>
      <c r="C15" s="1235" t="s">
        <v>202</v>
      </c>
      <c r="D15" s="1235" t="s">
        <v>185</v>
      </c>
      <c r="E15" s="1239" t="s">
        <v>206</v>
      </c>
    </row>
    <row r="16">
      <c r="A16" s="1235">
        <v>12.0</v>
      </c>
      <c r="B16" s="1235" t="s">
        <v>207</v>
      </c>
      <c r="C16" s="1235" t="s">
        <v>202</v>
      </c>
      <c r="D16" s="1235" t="s">
        <v>185</v>
      </c>
      <c r="E16" s="1239" t="s">
        <v>166</v>
      </c>
    </row>
    <row r="17">
      <c r="A17" s="1235">
        <v>13.0</v>
      </c>
      <c r="B17" s="1235" t="s">
        <v>208</v>
      </c>
      <c r="C17" s="1235" t="s">
        <v>202</v>
      </c>
      <c r="D17" s="1235" t="s">
        <v>185</v>
      </c>
      <c r="E17" s="1239" t="s">
        <v>209</v>
      </c>
    </row>
    <row r="18">
      <c r="A18" s="1235">
        <v>14.0</v>
      </c>
      <c r="B18" s="1235" t="s">
        <v>210</v>
      </c>
      <c r="C18" s="1235" t="s">
        <v>202</v>
      </c>
      <c r="D18" s="1235" t="s">
        <v>185</v>
      </c>
      <c r="E18" s="1239" t="s">
        <v>169</v>
      </c>
    </row>
    <row r="19">
      <c r="A19" s="1235">
        <v>15.0</v>
      </c>
      <c r="B19" s="1235" t="s">
        <v>211</v>
      </c>
      <c r="C19" s="1235" t="s">
        <v>202</v>
      </c>
      <c r="D19" s="1235" t="s">
        <v>185</v>
      </c>
      <c r="E19" s="1239" t="s">
        <v>212</v>
      </c>
    </row>
    <row r="20">
      <c r="A20" s="1235">
        <v>16.0</v>
      </c>
      <c r="B20" s="1235" t="s">
        <v>213</v>
      </c>
      <c r="C20" s="1235" t="s">
        <v>202</v>
      </c>
      <c r="D20" s="1236" t="s">
        <v>199</v>
      </c>
      <c r="E20" s="1238" t="s">
        <v>214</v>
      </c>
    </row>
    <row r="21">
      <c r="A21" s="1235">
        <v>17.0</v>
      </c>
      <c r="B21" s="1235" t="s">
        <v>215</v>
      </c>
      <c r="C21" s="1235" t="s">
        <v>202</v>
      </c>
      <c r="D21" s="1236" t="s">
        <v>199</v>
      </c>
      <c r="E21" s="1238" t="s">
        <v>216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1" width="7.29"/>
  </cols>
  <sheetData>
    <row r="1">
      <c r="A1" s="1241"/>
      <c r="B1" s="1241"/>
      <c r="C1" s="1241"/>
      <c r="D1" s="1242" t="str">
        <f>if(B4="2-Man Scramble","IMPORTANT NOTE FOR 2-MAN SCRAMBLE: Must put lower handicap in top spot and higher handicap in bottom spot for calculations to work correctly.","-")</f>
        <v>-</v>
      </c>
      <c r="E1" s="1241"/>
      <c r="F1" s="1241"/>
      <c r="G1" s="1243"/>
      <c r="H1" s="1241"/>
      <c r="I1" s="1241"/>
      <c r="J1" s="1241"/>
      <c r="K1" s="1241"/>
      <c r="L1" s="1241"/>
      <c r="M1" s="1243"/>
      <c r="N1" s="1241"/>
      <c r="O1" s="1241"/>
      <c r="P1" s="1241"/>
      <c r="Q1" s="1241"/>
      <c r="R1" s="1241"/>
      <c r="S1" s="1243"/>
      <c r="T1" s="1241"/>
      <c r="U1" s="1241"/>
      <c r="V1" s="1241"/>
      <c r="W1" s="1241"/>
      <c r="X1" s="1241"/>
      <c r="Y1" s="1244" t="s">
        <v>217</v>
      </c>
      <c r="Z1" s="1241"/>
      <c r="AA1" s="1241"/>
      <c r="AC1" s="1245" t="s">
        <v>218</v>
      </c>
      <c r="AH1" s="1246" t="s">
        <v>219</v>
      </c>
      <c r="AM1" s="1247" t="s">
        <v>220</v>
      </c>
      <c r="AR1" s="1248" t="s">
        <v>221</v>
      </c>
      <c r="AW1" s="1162"/>
      <c r="AX1" s="1162"/>
      <c r="AY1" s="1162"/>
    </row>
    <row r="2">
      <c r="A2" s="1241"/>
      <c r="B2" s="1249" t="s">
        <v>119</v>
      </c>
      <c r="C2" s="1241"/>
      <c r="D2" s="1250" t="str">
        <f>vlookup($B4,$AB$4:$AV$15,AC$3,false)</f>
        <v>Match 1</v>
      </c>
      <c r="E2" s="1251"/>
      <c r="F2" s="1252" t="s">
        <v>222</v>
      </c>
      <c r="G2" s="1253">
        <f>'Master Input'!E$3</f>
        <v>0.5208333333</v>
      </c>
      <c r="H2" s="1251"/>
      <c r="I2" s="1241"/>
      <c r="J2" s="1250" t="str">
        <f>vlookup($B4,$AB$4:$AV$15,$AH$3,false)</f>
        <v>Match 2</v>
      </c>
      <c r="K2" s="1251"/>
      <c r="L2" s="1252" t="s">
        <v>222</v>
      </c>
      <c r="M2" s="1253">
        <f>'Master Input'!F$3</f>
        <v>0.5277777778</v>
      </c>
      <c r="N2" s="1251"/>
      <c r="O2" s="1241"/>
      <c r="P2" s="1250" t="str">
        <f>vlookup($B4,$AB$4:$AV$15,$AM$3,false)</f>
        <v>Match 3</v>
      </c>
      <c r="Q2" s="1251"/>
      <c r="R2" s="1252" t="s">
        <v>222</v>
      </c>
      <c r="S2" s="1253">
        <f>'Master Input'!E$4</f>
        <v>0.5347222222</v>
      </c>
      <c r="T2" s="1251"/>
      <c r="U2" s="1241"/>
      <c r="V2" s="1250" t="str">
        <f>vlookup($B4,$AB$4:$AV$15,$AR$3,false)</f>
        <v>Match 4</v>
      </c>
      <c r="W2" s="1251"/>
      <c r="X2" s="1252" t="s">
        <v>222</v>
      </c>
      <c r="Y2" s="1253">
        <f>'Master Input'!F$4</f>
        <v>0.04166666667</v>
      </c>
      <c r="Z2" s="1251"/>
      <c r="AA2" s="1241"/>
      <c r="AB2" s="1254" t="s">
        <v>125</v>
      </c>
      <c r="AC2" s="1255" t="s">
        <v>223</v>
      </c>
      <c r="AD2" s="1255" t="s">
        <v>224</v>
      </c>
      <c r="AE2" s="1255" t="s">
        <v>225</v>
      </c>
      <c r="AF2" s="1255" t="s">
        <v>226</v>
      </c>
      <c r="AG2" s="1255" t="s">
        <v>227</v>
      </c>
      <c r="AH2" s="1256" t="s">
        <v>223</v>
      </c>
      <c r="AI2" s="1256" t="s">
        <v>224</v>
      </c>
      <c r="AJ2" s="1256" t="s">
        <v>225</v>
      </c>
      <c r="AK2" s="1256" t="s">
        <v>228</v>
      </c>
      <c r="AL2" s="1256" t="s">
        <v>229</v>
      </c>
      <c r="AM2" s="1257" t="s">
        <v>223</v>
      </c>
      <c r="AN2" s="1257" t="s">
        <v>224</v>
      </c>
      <c r="AO2" s="1257" t="s">
        <v>225</v>
      </c>
      <c r="AP2" s="1257" t="s">
        <v>228</v>
      </c>
      <c r="AQ2" s="1257" t="s">
        <v>229</v>
      </c>
      <c r="AR2" s="1258" t="s">
        <v>223</v>
      </c>
      <c r="AS2" s="1258" t="s">
        <v>224</v>
      </c>
      <c r="AT2" s="1258" t="s">
        <v>225</v>
      </c>
      <c r="AU2" s="1258" t="s">
        <v>228</v>
      </c>
      <c r="AV2" s="1258" t="s">
        <v>229</v>
      </c>
      <c r="AW2" s="1162"/>
      <c r="AX2" s="1162"/>
      <c r="AY2" s="1162"/>
    </row>
    <row r="3">
      <c r="A3" s="1241"/>
      <c r="B3" s="1259" t="str">
        <f>'Master Input'!E6</f>
        <v>GVSU Meadows - Blue</v>
      </c>
      <c r="C3" s="1241"/>
      <c r="D3" s="1260" t="str">
        <f>vlookup($B4,$AB$4:$AV$15,$AD$3,false)</f>
        <v>Drivers</v>
      </c>
      <c r="E3" s="1260" t="s">
        <v>230</v>
      </c>
      <c r="F3" s="1261"/>
      <c r="G3" s="1260" t="str">
        <f>vlookup($B4,$AB$4:$AV$15,$AE$3,false)</f>
        <v>Irons</v>
      </c>
      <c r="H3" s="1260" t="s">
        <v>230</v>
      </c>
      <c r="I3" s="1241"/>
      <c r="J3" s="1260" t="str">
        <f>vlookup($B4,$AB$4:$AV$15,$AI$3,false)</f>
        <v>Drivers</v>
      </c>
      <c r="K3" s="1260" t="s">
        <v>230</v>
      </c>
      <c r="L3" s="1261"/>
      <c r="M3" s="1260" t="str">
        <f>vlookup($B4,$AB$4:$AV$15,$AJ$3,false)</f>
        <v>Irons</v>
      </c>
      <c r="N3" s="1260" t="s">
        <v>230</v>
      </c>
      <c r="O3" s="1241"/>
      <c r="P3" s="1260" t="str">
        <f>vlookup($B4,$AB$4:$AV$15,$AN$3,false)</f>
        <v>Drivers</v>
      </c>
      <c r="Q3" s="1260" t="s">
        <v>230</v>
      </c>
      <c r="R3" s="1261"/>
      <c r="S3" s="1260" t="str">
        <f>vlookup($B4,$AB$4:$AV$15,$AO$3,false)</f>
        <v>Irons</v>
      </c>
      <c r="T3" s="1260" t="s">
        <v>230</v>
      </c>
      <c r="U3" s="1241"/>
      <c r="V3" s="1260" t="str">
        <f>vlookup($B4,$AB$4:$AV$15,$AS$3,false)</f>
        <v>Drivers</v>
      </c>
      <c r="W3" s="1260" t="s">
        <v>230</v>
      </c>
      <c r="X3" s="1261"/>
      <c r="Y3" s="1260" t="str">
        <f>vlookup($B4,$AB$4:$AV$15,$AT$3,false)</f>
        <v>Irons</v>
      </c>
      <c r="Z3" s="1260" t="s">
        <v>230</v>
      </c>
      <c r="AA3" s="1241"/>
      <c r="AB3" s="1262" t="s">
        <v>150</v>
      </c>
      <c r="AC3" s="1262">
        <v>2.0</v>
      </c>
      <c r="AD3" s="1262">
        <v>3.0</v>
      </c>
      <c r="AE3" s="1262">
        <v>4.0</v>
      </c>
      <c r="AF3" s="1262">
        <v>5.0</v>
      </c>
      <c r="AG3" s="1262">
        <v>6.0</v>
      </c>
      <c r="AH3" s="1262">
        <v>7.0</v>
      </c>
      <c r="AI3" s="1262">
        <v>8.0</v>
      </c>
      <c r="AJ3" s="1262">
        <v>9.0</v>
      </c>
      <c r="AK3" s="1262">
        <v>10.0</v>
      </c>
      <c r="AL3" s="1262">
        <v>11.0</v>
      </c>
      <c r="AM3" s="1262">
        <v>12.0</v>
      </c>
      <c r="AN3" s="1262">
        <v>13.0</v>
      </c>
      <c r="AO3" s="1262">
        <v>14.0</v>
      </c>
      <c r="AP3" s="1262">
        <v>15.0</v>
      </c>
      <c r="AQ3" s="1262">
        <v>16.0</v>
      </c>
      <c r="AR3" s="1262">
        <v>17.0</v>
      </c>
      <c r="AS3" s="1262">
        <v>18.0</v>
      </c>
      <c r="AT3" s="1262">
        <v>19.0</v>
      </c>
      <c r="AU3" s="1262">
        <v>20.0</v>
      </c>
      <c r="AV3" s="1262">
        <v>21.0</v>
      </c>
      <c r="AW3" s="1162"/>
      <c r="AX3" s="1162"/>
      <c r="AY3" s="1162"/>
    </row>
    <row r="4">
      <c r="A4" s="1241"/>
      <c r="B4" s="1259" t="str">
        <f>'Master Input'!F6</f>
        <v>2-Man Best Ball</v>
      </c>
      <c r="C4" s="1241"/>
      <c r="D4" s="1263" t="s">
        <v>169</v>
      </c>
      <c r="E4" s="1264">
        <f>if(D4="","-", vlookup(D4,'Master Input'!$A$11:$L$27, 'Master Input'!$F$28, false))</f>
        <v>15</v>
      </c>
      <c r="F4" s="1265" t="str">
        <f>vlookup($B4,$AB$4:$AV$15,$AF$3,false)</f>
        <v>VS</v>
      </c>
      <c r="G4" s="1263" t="s">
        <v>151</v>
      </c>
      <c r="H4" s="1264">
        <f>if(G4="","-", vlookup(G4,'Master Input'!$A$11:$L$27, 'Master Input'!$F$28, false))</f>
        <v>9</v>
      </c>
      <c r="I4" s="1241"/>
      <c r="J4" s="1263" t="s">
        <v>167</v>
      </c>
      <c r="K4" s="1264">
        <f>if(J4="","-", vlookup(J4,'Master Input'!$A$11:$L$27, 'Master Input'!$F$28, false))</f>
        <v>12</v>
      </c>
      <c r="L4" s="1265" t="str">
        <f>vlookup($B4,$AB$4:$AV$15,$AK$3,false)</f>
        <v>VS</v>
      </c>
      <c r="M4" s="1263" t="s">
        <v>152</v>
      </c>
      <c r="N4" s="1264">
        <f>if(M4="","-", vlookup(M4,'Master Input'!$A$11:$L$27, 'Master Input'!$F$28, false))</f>
        <v>9</v>
      </c>
      <c r="O4" s="1241"/>
      <c r="P4" s="1263" t="s">
        <v>166</v>
      </c>
      <c r="Q4" s="1264">
        <f>if(P4="","-", vlookup(P4,'Master Input'!$A$11:$L$27, 'Master Input'!$F$28, false))</f>
        <v>10</v>
      </c>
      <c r="R4" s="1265" t="str">
        <f>vlookup($B4,$AB$4:$AV$15,$AP$3,false)</f>
        <v>VS</v>
      </c>
      <c r="S4" s="1263" t="s">
        <v>155</v>
      </c>
      <c r="T4" s="1264">
        <f>if(S4="","-", vlookup(S4,'Master Input'!$A$11:$L$27, 'Master Input'!$F$28, false))</f>
        <v>12</v>
      </c>
      <c r="U4" s="1241"/>
      <c r="V4" s="1263" t="s">
        <v>165</v>
      </c>
      <c r="W4" s="1264">
        <f>if(V4="","-", vlookup(V4,'Master Input'!$A$11:$L$27, 'Master Input'!$F$28, false))</f>
        <v>7</v>
      </c>
      <c r="X4" s="1265" t="str">
        <f>vlookup($B4,$AB$4:$AV$15,$AU$3,false)</f>
        <v>VS</v>
      </c>
      <c r="Y4" s="1263" t="s">
        <v>149</v>
      </c>
      <c r="Z4" s="1264">
        <f>if(Y4="","-", vlookup(Y4,'Master Input'!$A$11:$L$27, 'Master Input'!$F$28, false))</f>
        <v>9</v>
      </c>
      <c r="AA4" s="1241"/>
      <c r="AB4" s="1218" t="str">
        <f>'Master Input'!O12</f>
        <v>2-Man Best Ball</v>
      </c>
      <c r="AC4" s="1255" t="s">
        <v>5</v>
      </c>
      <c r="AD4" s="1266" t="str">
        <f>'Master Input'!$A$19</f>
        <v>Drivers</v>
      </c>
      <c r="AE4" s="1266" t="str">
        <f>'Master Input'!$A$10</f>
        <v>Irons</v>
      </c>
      <c r="AF4" s="1255" t="s">
        <v>231</v>
      </c>
      <c r="AG4" s="1266"/>
      <c r="AH4" s="1267" t="s">
        <v>24</v>
      </c>
      <c r="AI4" s="1268" t="str">
        <f>'Master Input'!$A$19</f>
        <v>Drivers</v>
      </c>
      <c r="AJ4" s="1268" t="str">
        <f>'Master Input'!$A$10</f>
        <v>Irons</v>
      </c>
      <c r="AK4" s="1267" t="s">
        <v>231</v>
      </c>
      <c r="AL4" s="1268"/>
      <c r="AM4" s="1269" t="s">
        <v>26</v>
      </c>
      <c r="AN4" s="1270" t="str">
        <f>'Master Input'!$A$19</f>
        <v>Drivers</v>
      </c>
      <c r="AO4" s="1270" t="str">
        <f>'Master Input'!$A$10</f>
        <v>Irons</v>
      </c>
      <c r="AP4" s="1269" t="s">
        <v>231</v>
      </c>
      <c r="AQ4" s="1270"/>
      <c r="AR4" s="1271" t="s">
        <v>28</v>
      </c>
      <c r="AS4" s="1272" t="str">
        <f>'Master Input'!$A$19</f>
        <v>Drivers</v>
      </c>
      <c r="AT4" s="1272" t="str">
        <f>'Master Input'!$A$10</f>
        <v>Irons</v>
      </c>
      <c r="AU4" s="1271" t="s">
        <v>231</v>
      </c>
      <c r="AV4" s="1272"/>
      <c r="AW4" s="1162"/>
      <c r="AX4" s="1162"/>
      <c r="AY4" s="1162"/>
    </row>
    <row r="5">
      <c r="A5" s="1241"/>
      <c r="B5" s="1273" t="str">
        <f>vlookup(B4,'Master Input'!$O$12:$S$23,'Master Input'!$S$11, false)</f>
        <v>4 Points per Match - 1 Front, 1 Back, 2 Overall</v>
      </c>
      <c r="C5" s="1241"/>
      <c r="D5" s="1263" t="s">
        <v>171</v>
      </c>
      <c r="E5" s="1264">
        <f>if(D5="","-", vlookup(D5,'Master Input'!$A$11:$L$27, 'Master Input'!$F$28, false))</f>
        <v>17</v>
      </c>
      <c r="F5" s="1274" t="str">
        <f>vlookup($B4,$AB$4:$AV$15,$AG$3,false)</f>
        <v/>
      </c>
      <c r="G5" s="1263" t="s">
        <v>162</v>
      </c>
      <c r="H5" s="1264">
        <f>if(G5="","-", vlookup(G5,'Master Input'!$A$11:$L$27, 'Master Input'!$F$28, false))</f>
        <v>36</v>
      </c>
      <c r="I5" s="1241"/>
      <c r="J5" s="1263" t="s">
        <v>168</v>
      </c>
      <c r="K5" s="1264">
        <f>if(J5="","-", vlookup(J5,'Master Input'!$A$11:$L$27, 'Master Input'!$F$28, false))</f>
        <v>13</v>
      </c>
      <c r="L5" s="1274" t="str">
        <f>vlookup($B4,$AB$4:$AV$15,$AL$3,false)</f>
        <v/>
      </c>
      <c r="M5" s="1263" t="s">
        <v>153</v>
      </c>
      <c r="N5" s="1264">
        <f>if(M5="","-", vlookup(M5,'Master Input'!$A$11:$L$27, 'Master Input'!$F$28, false))</f>
        <v>11</v>
      </c>
      <c r="O5" s="1241"/>
      <c r="P5" s="1263" t="s">
        <v>170</v>
      </c>
      <c r="Q5" s="1264">
        <f>if(P5="","-", vlookup(P5,'Master Input'!$A$11:$L$27, 'Master Input'!$F$28, false))</f>
        <v>15</v>
      </c>
      <c r="R5" s="1274" t="str">
        <f>vlookup($B4,$AB$4:$AV$15,$AQ$3,false)</f>
        <v/>
      </c>
      <c r="S5" s="1263" t="s">
        <v>160</v>
      </c>
      <c r="T5" s="1264">
        <f>if(S5="","-", vlookup(S5,'Master Input'!$A$11:$L$27, 'Master Input'!$F$28, false))</f>
        <v>19</v>
      </c>
      <c r="U5" s="1241"/>
      <c r="V5" s="1263" t="s">
        <v>172</v>
      </c>
      <c r="W5" s="1264">
        <f>if(V5="","-", vlookup(V5,'Master Input'!$A$11:$L$27, 'Master Input'!$F$28, false))</f>
        <v>28</v>
      </c>
      <c r="X5" s="1274" t="str">
        <f>vlookup($B4,$AB$4:$AV$15,$AV$3,false)</f>
        <v/>
      </c>
      <c r="Y5" s="1263" t="s">
        <v>158</v>
      </c>
      <c r="Z5" s="1264">
        <f>if(Y5="","-", vlookup(Y5,'Master Input'!$A$11:$L$27, 'Master Input'!$F$28, false))</f>
        <v>15</v>
      </c>
      <c r="AA5" s="1241"/>
      <c r="AB5" s="1218" t="str">
        <f>'Master Input'!O13</f>
        <v>Singles Matches</v>
      </c>
      <c r="AC5" s="1255" t="s">
        <v>232</v>
      </c>
      <c r="AD5" s="1266" t="str">
        <f>'Master Input'!$A$19</f>
        <v>Drivers</v>
      </c>
      <c r="AE5" s="1266" t="str">
        <f>'Master Input'!$A$10</f>
        <v>Irons</v>
      </c>
      <c r="AF5" s="1255" t="s">
        <v>231</v>
      </c>
      <c r="AG5" s="1255" t="s">
        <v>231</v>
      </c>
      <c r="AH5" s="1267" t="s">
        <v>233</v>
      </c>
      <c r="AI5" s="1268" t="str">
        <f>'Master Input'!$A$19</f>
        <v>Drivers</v>
      </c>
      <c r="AJ5" s="1268" t="str">
        <f>'Master Input'!$A$10</f>
        <v>Irons</v>
      </c>
      <c r="AK5" s="1256" t="s">
        <v>231</v>
      </c>
      <c r="AL5" s="1256" t="s">
        <v>231</v>
      </c>
      <c r="AM5" s="1269" t="s">
        <v>234</v>
      </c>
      <c r="AN5" s="1270" t="str">
        <f>'Master Input'!$A$19</f>
        <v>Drivers</v>
      </c>
      <c r="AO5" s="1270" t="str">
        <f>'Master Input'!$A$10</f>
        <v>Irons</v>
      </c>
      <c r="AP5" s="1257" t="s">
        <v>231</v>
      </c>
      <c r="AQ5" s="1257" t="s">
        <v>231</v>
      </c>
      <c r="AR5" s="1271" t="s">
        <v>235</v>
      </c>
      <c r="AS5" s="1272" t="str">
        <f>'Master Input'!$A$19</f>
        <v>Drivers</v>
      </c>
      <c r="AT5" s="1272" t="str">
        <f>'Master Input'!$A$10</f>
        <v>Irons</v>
      </c>
      <c r="AU5" s="1258" t="s">
        <v>231</v>
      </c>
      <c r="AV5" s="1258" t="s">
        <v>231</v>
      </c>
      <c r="AW5" s="1162"/>
      <c r="AX5" s="1162"/>
      <c r="AY5" s="1162"/>
    </row>
    <row r="6">
      <c r="A6" s="1241"/>
      <c r="B6" s="1241"/>
      <c r="C6" s="1241"/>
      <c r="D6" s="1242" t="str">
        <f>if(B9="2-Man Scramble","IMPORTANT NOTE FOR 2-MAN SCRAMBLE: Must put lower handicap in top spot and higher handicap in bottom spot for calculations to work correctly.","-")</f>
        <v>-</v>
      </c>
      <c r="E6" s="1243"/>
      <c r="F6" s="1243"/>
      <c r="G6" s="1243"/>
      <c r="H6" s="1243"/>
      <c r="I6" s="1241"/>
      <c r="J6" s="1243"/>
      <c r="K6" s="1243"/>
      <c r="L6" s="1243"/>
      <c r="M6" s="1243"/>
      <c r="N6" s="1243"/>
      <c r="O6" s="1241"/>
      <c r="P6" s="1243"/>
      <c r="Q6" s="1243"/>
      <c r="R6" s="1243"/>
      <c r="S6" s="1243"/>
      <c r="T6" s="1243"/>
      <c r="U6" s="1241"/>
      <c r="V6" s="1243"/>
      <c r="W6" s="1243"/>
      <c r="X6" s="1243"/>
      <c r="Y6" s="1275"/>
      <c r="Z6" s="1243"/>
      <c r="AA6" s="1241"/>
      <c r="AB6" s="1218" t="str">
        <f>'Master Input'!O14</f>
        <v>Pinehurst</v>
      </c>
      <c r="AC6" s="1255" t="s">
        <v>5</v>
      </c>
      <c r="AD6" s="1266" t="str">
        <f>'Master Input'!$A$19</f>
        <v>Drivers</v>
      </c>
      <c r="AE6" s="1266" t="str">
        <f>'Master Input'!$A$10</f>
        <v>Irons</v>
      </c>
      <c r="AF6" s="1255" t="s">
        <v>231</v>
      </c>
      <c r="AG6" s="1266"/>
      <c r="AH6" s="1267" t="s">
        <v>24</v>
      </c>
      <c r="AI6" s="1268" t="str">
        <f>'Master Input'!$A$19</f>
        <v>Drivers</v>
      </c>
      <c r="AJ6" s="1268" t="str">
        <f>'Master Input'!$A$10</f>
        <v>Irons</v>
      </c>
      <c r="AK6" s="1256" t="s">
        <v>231</v>
      </c>
      <c r="AL6" s="1268"/>
      <c r="AM6" s="1269" t="s">
        <v>26</v>
      </c>
      <c r="AN6" s="1270" t="str">
        <f>'Master Input'!$A$19</f>
        <v>Drivers</v>
      </c>
      <c r="AO6" s="1270" t="str">
        <f>'Master Input'!$A$10</f>
        <v>Irons</v>
      </c>
      <c r="AP6" s="1257" t="s">
        <v>231</v>
      </c>
      <c r="AQ6" s="1270"/>
      <c r="AR6" s="1271" t="s">
        <v>28</v>
      </c>
      <c r="AS6" s="1272" t="str">
        <f>'Master Input'!$A$19</f>
        <v>Drivers</v>
      </c>
      <c r="AT6" s="1272" t="str">
        <f>'Master Input'!$A$10</f>
        <v>Irons</v>
      </c>
      <c r="AU6" s="1258" t="s">
        <v>231</v>
      </c>
      <c r="AV6" s="1272"/>
      <c r="AW6" s="1162"/>
      <c r="AX6" s="1162"/>
      <c r="AY6" s="1162"/>
    </row>
    <row r="7">
      <c r="A7" s="1241"/>
      <c r="B7" s="1276" t="s">
        <v>121</v>
      </c>
      <c r="C7" s="1241"/>
      <c r="D7" s="1277" t="str">
        <f>vlookup($B9,$AB$4:$AV$15,AC$3,false)</f>
        <v>Matches 1 &amp; 2</v>
      </c>
      <c r="E7" s="1278"/>
      <c r="F7" s="1279" t="s">
        <v>222</v>
      </c>
      <c r="G7" s="1280">
        <f>'Master Input'!G$3</f>
        <v>0.3513888889</v>
      </c>
      <c r="H7" s="1278"/>
      <c r="I7" s="1241"/>
      <c r="J7" s="1277" t="str">
        <f>vlookup($B9,$AB$4:$AV$15,$AH$3,false)</f>
        <v>Matches 3 &amp; 4</v>
      </c>
      <c r="K7" s="1278"/>
      <c r="L7" s="1279" t="s">
        <v>222</v>
      </c>
      <c r="M7" s="1280">
        <f>'Master Input'!H$3</f>
        <v>0.3576388889</v>
      </c>
      <c r="N7" s="1278"/>
      <c r="O7" s="1241"/>
      <c r="P7" s="1277" t="str">
        <f>vlookup($B9,$AB$4:$AV$15,$AM$3,false)</f>
        <v>Matches 5 &amp; 6</v>
      </c>
      <c r="Q7" s="1278"/>
      <c r="R7" s="1279" t="s">
        <v>222</v>
      </c>
      <c r="S7" s="1280">
        <f>'Master Input'!G$4</f>
        <v>0.3638888889</v>
      </c>
      <c r="T7" s="1278"/>
      <c r="U7" s="1241"/>
      <c r="V7" s="1277" t="str">
        <f>vlookup($B9,$AB$4:$AV$15,$AR$3,false)</f>
        <v>Matches 7 &amp; 8</v>
      </c>
      <c r="W7" s="1278"/>
      <c r="X7" s="1279" t="s">
        <v>222</v>
      </c>
      <c r="Y7" s="1280">
        <f>'Master Input'!H$4</f>
        <v>0.3701388889</v>
      </c>
      <c r="Z7" s="1278"/>
      <c r="AA7" s="1241"/>
      <c r="AB7" s="1218" t="str">
        <f>'Master Input'!O15</f>
        <v>Team Best Ball</v>
      </c>
      <c r="AC7" s="1255" t="s">
        <v>54</v>
      </c>
      <c r="AD7" s="1266" t="str">
        <f>if(or(D19="",D20=""),"TBD",if(vlookup(D19,'Master Input'!$A$11:$B$27,2,false)=vlookup(D20,'Master Input'!$A$11:$B$27,2,false),vlookup(D19,'Master Input'!$A$11:$B$27,2,false),"TBD"))</f>
        <v>Irons</v>
      </c>
      <c r="AE7" s="1266" t="str">
        <f>if(or(G19="",G20=""),"TBD",if(vlookup(G19,'Master Input'!$A$11:$B$27,2,false)=vlookup(G20,'Master Input'!$A$11:$B$27,2,false),vlookup(G19,'Master Input'!$A$11:$B$27,2,false),"TBD"))</f>
        <v>Irons</v>
      </c>
      <c r="AF7" s="1266"/>
      <c r="AG7" s="1266"/>
      <c r="AH7" s="1267" t="s">
        <v>74</v>
      </c>
      <c r="AI7" s="1268" t="str">
        <f>if(or(P19="",P20=""),"TBD",if(vlookup(P19,'Master Input'!$A$11:$B$27,2,false)=vlookup(P20,'Master Input'!$A$11:$B$27,2,false),vlookup(P19,'Master Input'!$A$11:$B$27,2,false),"TBD"))</f>
        <v>Irons</v>
      </c>
      <c r="AJ7" s="1268" t="str">
        <f>if(or(S19="",S20=""),"TBD",if(vlookup(S19,'Master Input'!$A$11:$B$27,2,false)=vlookup(S20,'Master Input'!$A$11:$B$27,2,false),vlookup(S19,'Master Input'!$A$11:$B$27,2,false),"TBD"))</f>
        <v>Irons</v>
      </c>
      <c r="AK7" s="1268"/>
      <c r="AL7" s="1268"/>
      <c r="AM7" s="1269" t="s">
        <v>75</v>
      </c>
      <c r="AN7" s="1270" t="str">
        <f>if(or(J19="",J20=""),"TBD",if(vlookup(J19,'Master Input'!$A$11:$B$27,2,false)=vlookup(J20,'Master Input'!$A$11:$B$27,2,false),vlookup(J19,'Master Input'!$A$11:$B$27,2,false),"TBD"))</f>
        <v>Drivers</v>
      </c>
      <c r="AO7" s="1270" t="str">
        <f>if(or(M19="",M20=""),"TBD",if(vlookup(M19,'Master Input'!$A$11:$B$27,2,false)=vlookup(M20,'Master Input'!$A$11:$B$27,2,false),vlookup(M19,'Master Input'!$A$11:$B$27,2,false),"TBD"))</f>
        <v>Drivers</v>
      </c>
      <c r="AP7" s="1270"/>
      <c r="AQ7" s="1270"/>
      <c r="AR7" s="1271" t="s">
        <v>76</v>
      </c>
      <c r="AS7" s="1272" t="str">
        <f>if(or(V19="",V20=""),"TBD",if(vlookup(V19,'Master Input'!$A$11:$B$27,2,false)=vlookup(V20,'Master Input'!$A$11:$B$27,2,false),vlookup(V19,'Master Input'!$A$11:$B$27,2,false),"TBD"))</f>
        <v>Drivers</v>
      </c>
      <c r="AT7" s="1272" t="str">
        <f>if(or(Y19="",Y20=""),"TBD",if(vlookup(Y19,'Master Input'!$A$11:$B$27,2,false)=vlookup(Y20,'Master Input'!$A$11:$B$27,2,false),vlookup(Y19,'Master Input'!$A$11:$B$27,2,false),"TBD"))</f>
        <v>Drivers</v>
      </c>
      <c r="AU7" s="1272"/>
      <c r="AV7" s="1272"/>
      <c r="AW7" s="1162"/>
      <c r="AX7" s="1162"/>
      <c r="AY7" s="1162"/>
    </row>
    <row r="8">
      <c r="A8" s="1241"/>
      <c r="B8" s="1281" t="str">
        <f>'Master Input'!G6</f>
        <v>Ravines GC - White</v>
      </c>
      <c r="C8" s="1241"/>
      <c r="D8" s="1260" t="str">
        <f>vlookup($B9,$AB$4:$AV$15,$AD$3,false)</f>
        <v>Drivers</v>
      </c>
      <c r="E8" s="1260" t="s">
        <v>230</v>
      </c>
      <c r="F8" s="1282"/>
      <c r="G8" s="1260" t="str">
        <f>vlookup($B9,$AB$4:$AV$15,$AE$3,false)</f>
        <v>Irons</v>
      </c>
      <c r="H8" s="1260" t="s">
        <v>230</v>
      </c>
      <c r="I8" s="1241"/>
      <c r="J8" s="1260" t="str">
        <f>vlookup($B9,$AB$4:$AV$15,$AD$3,false)</f>
        <v>Drivers</v>
      </c>
      <c r="K8" s="1260" t="s">
        <v>230</v>
      </c>
      <c r="L8" s="1282"/>
      <c r="M8" s="1260" t="str">
        <f>vlookup($B9,$AB$4:$AV$15,$AE$3,false)</f>
        <v>Irons</v>
      </c>
      <c r="N8" s="1260" t="s">
        <v>230</v>
      </c>
      <c r="O8" s="1241"/>
      <c r="P8" s="1260" t="str">
        <f>vlookup($B9,$AB$4:$AV$15,$AD$3,false)</f>
        <v>Drivers</v>
      </c>
      <c r="Q8" s="1260" t="s">
        <v>230</v>
      </c>
      <c r="R8" s="1282"/>
      <c r="S8" s="1260" t="str">
        <f>vlookup($B9,$AB$4:$AV$15,$AE$3,false)</f>
        <v>Irons</v>
      </c>
      <c r="T8" s="1260" t="s">
        <v>230</v>
      </c>
      <c r="U8" s="1241"/>
      <c r="V8" s="1260" t="str">
        <f>vlookup($B9,$AB$4:$AV$15,$AD$3,false)</f>
        <v>Drivers</v>
      </c>
      <c r="W8" s="1260" t="s">
        <v>230</v>
      </c>
      <c r="X8" s="1282"/>
      <c r="Y8" s="1260" t="str">
        <f>vlookup($B9,$AB$4:$AV$15,$AE$3,false)</f>
        <v>Irons</v>
      </c>
      <c r="Z8" s="1260" t="s">
        <v>230</v>
      </c>
      <c r="AA8" s="1241"/>
      <c r="AB8" s="1218" t="str">
        <f>'Master Input'!O16</f>
        <v>2-Man Hi Lo</v>
      </c>
      <c r="AC8" s="1255" t="s">
        <v>5</v>
      </c>
      <c r="AD8" s="1266" t="str">
        <f>'Master Input'!$A$19</f>
        <v>Drivers</v>
      </c>
      <c r="AE8" s="1266" t="str">
        <f>'Master Input'!$A$10</f>
        <v>Irons</v>
      </c>
      <c r="AF8" s="1255" t="s">
        <v>231</v>
      </c>
      <c r="AG8" s="1266"/>
      <c r="AH8" s="1267" t="s">
        <v>24</v>
      </c>
      <c r="AI8" s="1268" t="str">
        <f>'Master Input'!$A$19</f>
        <v>Drivers</v>
      </c>
      <c r="AJ8" s="1268" t="str">
        <f>'Master Input'!$A$10</f>
        <v>Irons</v>
      </c>
      <c r="AK8" s="1256" t="s">
        <v>231</v>
      </c>
      <c r="AL8" s="1268"/>
      <c r="AM8" s="1269" t="s">
        <v>26</v>
      </c>
      <c r="AN8" s="1270" t="str">
        <f>'Master Input'!$A$19</f>
        <v>Drivers</v>
      </c>
      <c r="AO8" s="1270" t="str">
        <f>'Master Input'!$A$10</f>
        <v>Irons</v>
      </c>
      <c r="AP8" s="1257" t="s">
        <v>231</v>
      </c>
      <c r="AQ8" s="1270"/>
      <c r="AR8" s="1271" t="s">
        <v>28</v>
      </c>
      <c r="AS8" s="1272" t="str">
        <f>'Master Input'!$A$19</f>
        <v>Drivers</v>
      </c>
      <c r="AT8" s="1272" t="str">
        <f>'Master Input'!$A$10</f>
        <v>Irons</v>
      </c>
      <c r="AU8" s="1258" t="s">
        <v>231</v>
      </c>
      <c r="AV8" s="1272"/>
      <c r="AW8" s="1162"/>
      <c r="AX8" s="1162"/>
      <c r="AY8" s="1162"/>
    </row>
    <row r="9">
      <c r="A9" s="1241"/>
      <c r="B9" s="1281" t="str">
        <f>'Master Input'!H6</f>
        <v>Singles Matches</v>
      </c>
      <c r="C9" s="1241"/>
      <c r="D9" s="1263" t="s">
        <v>165</v>
      </c>
      <c r="E9" s="1264">
        <f>if(D9="","-", vlookup(D9,'Master Input'!$A$11:$L$27, 'Master Input'!$H$28, false))</f>
        <v>2</v>
      </c>
      <c r="F9" s="1283" t="s">
        <v>231</v>
      </c>
      <c r="G9" s="1263" t="s">
        <v>151</v>
      </c>
      <c r="H9" s="1264">
        <f>if(G9="","-", vlookup(G9,'Master Input'!$A$11:$L$27, 'Master Input'!$H$28, false))</f>
        <v>4</v>
      </c>
      <c r="I9" s="1241"/>
      <c r="J9" s="1263" t="s">
        <v>170</v>
      </c>
      <c r="K9" s="1264">
        <f>if(J9="","-", vlookup(J9,'Master Input'!$A$11:$L$27, 'Master Input'!$H$28, false))</f>
        <v>10</v>
      </c>
      <c r="L9" s="1283" t="s">
        <v>231</v>
      </c>
      <c r="M9" s="1263" t="s">
        <v>153</v>
      </c>
      <c r="N9" s="1264">
        <f>if(M9="","-", vlookup(M9,'Master Input'!$A$11:$L$27, 'Master Input'!$H$28, false))</f>
        <v>6</v>
      </c>
      <c r="O9" s="1241"/>
      <c r="P9" s="1263" t="s">
        <v>166</v>
      </c>
      <c r="Q9" s="1264">
        <f>if(P9="","-", vlookup(P9,'Master Input'!$A$11:$L$27, 'Master Input'!$H$28, false))</f>
        <v>5</v>
      </c>
      <c r="R9" s="1283" t="s">
        <v>231</v>
      </c>
      <c r="S9" s="1263" t="s">
        <v>149</v>
      </c>
      <c r="T9" s="1264">
        <f>if(S9="","-", vlookup(S9,'Master Input'!$A$11:$L$27, 'Master Input'!$H$28, false))</f>
        <v>5</v>
      </c>
      <c r="U9" s="1241"/>
      <c r="V9" s="1263" t="s">
        <v>171</v>
      </c>
      <c r="W9" s="1264">
        <f>if(V9="","-", vlookup(V9,'Master Input'!$A$11:$L$27, 'Master Input'!$H$28, false))</f>
        <v>13</v>
      </c>
      <c r="X9" s="1283" t="s">
        <v>231</v>
      </c>
      <c r="Y9" s="1263" t="s">
        <v>160</v>
      </c>
      <c r="Z9" s="1264">
        <f>if(Y9="","-", vlookup(Y9,'Master Input'!$A$11:$L$27, 'Master Input'!$H$28, false))</f>
        <v>14</v>
      </c>
      <c r="AA9" s="1241"/>
      <c r="AB9" s="1218" t="str">
        <f>'Master Input'!O17</f>
        <v>Shamble</v>
      </c>
      <c r="AC9" s="1255" t="s">
        <v>5</v>
      </c>
      <c r="AD9" s="1266" t="str">
        <f>'Master Input'!$A$19</f>
        <v>Drivers</v>
      </c>
      <c r="AE9" s="1266" t="str">
        <f>'Master Input'!$A$10</f>
        <v>Irons</v>
      </c>
      <c r="AF9" s="1255" t="s">
        <v>231</v>
      </c>
      <c r="AG9" s="1266"/>
      <c r="AH9" s="1267" t="s">
        <v>24</v>
      </c>
      <c r="AI9" s="1268" t="str">
        <f>'Master Input'!$A$19</f>
        <v>Drivers</v>
      </c>
      <c r="AJ9" s="1268" t="str">
        <f>'Master Input'!$A$10</f>
        <v>Irons</v>
      </c>
      <c r="AK9" s="1267" t="s">
        <v>231</v>
      </c>
      <c r="AL9" s="1268"/>
      <c r="AM9" s="1269" t="s">
        <v>26</v>
      </c>
      <c r="AN9" s="1270" t="str">
        <f>'Master Input'!$A$19</f>
        <v>Drivers</v>
      </c>
      <c r="AO9" s="1270" t="str">
        <f>'Master Input'!$A$10</f>
        <v>Irons</v>
      </c>
      <c r="AP9" s="1269" t="s">
        <v>231</v>
      </c>
      <c r="AQ9" s="1270"/>
      <c r="AR9" s="1271" t="s">
        <v>28</v>
      </c>
      <c r="AS9" s="1272" t="str">
        <f>'Master Input'!$A$19</f>
        <v>Drivers</v>
      </c>
      <c r="AT9" s="1272" t="str">
        <f>'Master Input'!$A$10</f>
        <v>Irons</v>
      </c>
      <c r="AU9" s="1271" t="s">
        <v>231</v>
      </c>
      <c r="AV9" s="1272"/>
      <c r="AW9" s="1162"/>
      <c r="AX9" s="1162"/>
      <c r="AY9" s="1162"/>
    </row>
    <row r="10">
      <c r="A10" s="1241"/>
      <c r="B10" s="1284" t="str">
        <f>vlookup(B9,'Master Input'!$O$12:$S$23,'Master Input'!$S$11, false)</f>
        <v>3 Points per Match - 1 Front, 1 Back, 1 Overall</v>
      </c>
      <c r="C10" s="1241"/>
      <c r="D10" s="1263" t="s">
        <v>167</v>
      </c>
      <c r="E10" s="1264">
        <f>if(D10="","-", vlookup(D10,'Master Input'!$A$11:$L$27, 'Master Input'!$H$28, false))</f>
        <v>7</v>
      </c>
      <c r="F10" s="1283" t="s">
        <v>231</v>
      </c>
      <c r="G10" s="1263" t="s">
        <v>152</v>
      </c>
      <c r="H10" s="1264">
        <f>if(G10="","-", vlookup(G10,'Master Input'!$A$11:$L$27, 'Master Input'!$H$28, false))</f>
        <v>5</v>
      </c>
      <c r="I10" s="1241"/>
      <c r="J10" s="1263" t="s">
        <v>168</v>
      </c>
      <c r="K10" s="1264">
        <f>if(J10="","-", vlookup(J10,'Master Input'!$A$11:$L$27, 'Master Input'!$H$28, false))</f>
        <v>9</v>
      </c>
      <c r="L10" s="1283" t="s">
        <v>231</v>
      </c>
      <c r="M10" s="1263" t="s">
        <v>155</v>
      </c>
      <c r="N10" s="1264">
        <f>if(M10="","-", vlookup(M10,'Master Input'!$A$11:$L$27, 'Master Input'!$H$28, false))</f>
        <v>7</v>
      </c>
      <c r="O10" s="1241"/>
      <c r="P10" s="1263" t="s">
        <v>169</v>
      </c>
      <c r="Q10" s="1264">
        <f>if(P10="","-", vlookup(P10,'Master Input'!$A$11:$L$27, 'Master Input'!$H$28, false))</f>
        <v>10</v>
      </c>
      <c r="R10" s="1283" t="s">
        <v>231</v>
      </c>
      <c r="S10" s="1263" t="s">
        <v>158</v>
      </c>
      <c r="T10" s="1264">
        <f>if(S10="","-", vlookup(S10,'Master Input'!$A$11:$L$27, 'Master Input'!$H$28, false))</f>
        <v>10</v>
      </c>
      <c r="U10" s="1241"/>
      <c r="V10" s="1263" t="s">
        <v>172</v>
      </c>
      <c r="W10" s="1264">
        <f>if(V10="","-", vlookup(V10,'Master Input'!$A$11:$L$27, 'Master Input'!$H$28, false))</f>
        <v>23</v>
      </c>
      <c r="X10" s="1283" t="s">
        <v>231</v>
      </c>
      <c r="Y10" s="1263" t="s">
        <v>162</v>
      </c>
      <c r="Z10" s="1264">
        <f>if(Y10="","-", vlookup(Y10,'Master Input'!$A$11:$L$27, 'Master Input'!$H$28, false))</f>
        <v>30</v>
      </c>
      <c r="AA10" s="1241"/>
      <c r="AB10" s="1218" t="str">
        <f>'Master Input'!O18</f>
        <v>2-Man Scramble</v>
      </c>
      <c r="AC10" s="1255" t="s">
        <v>5</v>
      </c>
      <c r="AD10" s="1266" t="str">
        <f>'Master Input'!$A$19</f>
        <v>Drivers</v>
      </c>
      <c r="AE10" s="1266" t="str">
        <f>'Master Input'!$A$10</f>
        <v>Irons</v>
      </c>
      <c r="AF10" s="1255" t="s">
        <v>231</v>
      </c>
      <c r="AG10" s="1266"/>
      <c r="AH10" s="1267" t="s">
        <v>24</v>
      </c>
      <c r="AI10" s="1268" t="str">
        <f>'Master Input'!$A$19</f>
        <v>Drivers</v>
      </c>
      <c r="AJ10" s="1268" t="str">
        <f>'Master Input'!$A$10</f>
        <v>Irons</v>
      </c>
      <c r="AK10" s="1267" t="s">
        <v>231</v>
      </c>
      <c r="AL10" s="1268"/>
      <c r="AM10" s="1269" t="s">
        <v>26</v>
      </c>
      <c r="AN10" s="1270" t="str">
        <f>'Master Input'!$A$19</f>
        <v>Drivers</v>
      </c>
      <c r="AO10" s="1270" t="str">
        <f>'Master Input'!$A$10</f>
        <v>Irons</v>
      </c>
      <c r="AP10" s="1269" t="s">
        <v>231</v>
      </c>
      <c r="AQ10" s="1270"/>
      <c r="AR10" s="1271" t="s">
        <v>28</v>
      </c>
      <c r="AS10" s="1272" t="str">
        <f>'Master Input'!$A$19</f>
        <v>Drivers</v>
      </c>
      <c r="AT10" s="1272" t="str">
        <f>'Master Input'!$A$10</f>
        <v>Irons</v>
      </c>
      <c r="AU10" s="1271" t="s">
        <v>231</v>
      </c>
      <c r="AV10" s="1272"/>
      <c r="AW10" s="1162"/>
      <c r="AX10" s="1162"/>
      <c r="AY10" s="1162"/>
    </row>
    <row r="11">
      <c r="A11" s="1241"/>
      <c r="B11" s="1241"/>
      <c r="C11" s="1241"/>
      <c r="D11" s="1242" t="str">
        <f>if(B14="2-Man Scramble","IMPORTANT NOTE FOR 2-MAN SCRAMBLE: Must put lower handicap in top spot and higher handicap in bottom spot for calculations to work correctly.","-")</f>
        <v>-</v>
      </c>
      <c r="E11" s="1243"/>
      <c r="F11" s="1243"/>
      <c r="G11" s="1243"/>
      <c r="H11" s="1243"/>
      <c r="I11" s="1241"/>
      <c r="J11" s="1243"/>
      <c r="K11" s="1243"/>
      <c r="L11" s="1243"/>
      <c r="M11" s="1243"/>
      <c r="N11" s="1243"/>
      <c r="O11" s="1241"/>
      <c r="P11" s="1243"/>
      <c r="Q11" s="1243"/>
      <c r="R11" s="1243"/>
      <c r="S11" s="1243"/>
      <c r="T11" s="1243"/>
      <c r="U11" s="1241"/>
      <c r="V11" s="1243"/>
      <c r="W11" s="1243"/>
      <c r="X11" s="1243"/>
      <c r="Y11" s="1243"/>
      <c r="Z11" s="1243"/>
      <c r="AA11" s="1241"/>
      <c r="AB11" s="1218" t="str">
        <f>'Master Input'!O19</f>
        <v>2-Man Tilt</v>
      </c>
      <c r="AC11" s="1255" t="s">
        <v>5</v>
      </c>
      <c r="AD11" s="1266" t="str">
        <f>'Master Input'!$A$19</f>
        <v>Drivers</v>
      </c>
      <c r="AE11" s="1266" t="str">
        <f>'Master Input'!$A$10</f>
        <v>Irons</v>
      </c>
      <c r="AF11" s="1266" t="s">
        <v>231</v>
      </c>
      <c r="AG11" s="1266"/>
      <c r="AH11" s="1268" t="s">
        <v>24</v>
      </c>
      <c r="AI11" s="1268" t="str">
        <f>'Master Input'!$A$19</f>
        <v>Drivers</v>
      </c>
      <c r="AJ11" s="1268" t="str">
        <f>'Master Input'!$A$10</f>
        <v>Irons</v>
      </c>
      <c r="AK11" s="1268" t="s">
        <v>231</v>
      </c>
      <c r="AL11" s="1268"/>
      <c r="AM11" s="1270" t="s">
        <v>26</v>
      </c>
      <c r="AN11" s="1270" t="str">
        <f>'Master Input'!$A$19</f>
        <v>Drivers</v>
      </c>
      <c r="AO11" s="1270" t="str">
        <f>'Master Input'!$A$10</f>
        <v>Irons</v>
      </c>
      <c r="AP11" s="1270" t="s">
        <v>231</v>
      </c>
      <c r="AQ11" s="1270"/>
      <c r="AR11" s="1272" t="s">
        <v>28</v>
      </c>
      <c r="AS11" s="1272" t="str">
        <f>'Master Input'!$A$19</f>
        <v>Drivers</v>
      </c>
      <c r="AT11" s="1272" t="str">
        <f>'Master Input'!$A$10</f>
        <v>Irons</v>
      </c>
      <c r="AU11" s="1272" t="s">
        <v>231</v>
      </c>
      <c r="AV11" s="1272"/>
      <c r="AW11" s="1162"/>
      <c r="AX11" s="1162"/>
      <c r="AY11" s="1162"/>
    </row>
    <row r="12">
      <c r="A12" s="1241"/>
      <c r="B12" s="1285" t="s">
        <v>122</v>
      </c>
      <c r="C12" s="1241"/>
      <c r="D12" s="1286" t="str">
        <f>vlookup($B14,$AB$4:$AV$15,AC$3,false)</f>
        <v>Match 1</v>
      </c>
      <c r="E12" s="1287"/>
      <c r="F12" s="1288" t="s">
        <v>222</v>
      </c>
      <c r="G12" s="1289">
        <f>'Master Input'!I$3</f>
        <v>0.0875</v>
      </c>
      <c r="H12" s="1287"/>
      <c r="I12" s="1241"/>
      <c r="J12" s="1286" t="str">
        <f>vlookup($B14,$AB$4:$AV$15,$AH$3,false)</f>
        <v>Match 2</v>
      </c>
      <c r="K12" s="1287"/>
      <c r="L12" s="1288" t="s">
        <v>222</v>
      </c>
      <c r="M12" s="1289">
        <f>'Master Input'!J$3</f>
        <v>0.09375</v>
      </c>
      <c r="N12" s="1287"/>
      <c r="O12" s="1241"/>
      <c r="P12" s="1286" t="str">
        <f>vlookup($B14,$AB$4:$AV$15,$AM$3,false)</f>
        <v>Match 3</v>
      </c>
      <c r="Q12" s="1287"/>
      <c r="R12" s="1288" t="s">
        <v>222</v>
      </c>
      <c r="S12" s="1289">
        <f>'Master Input'!I$4</f>
        <v>0.1</v>
      </c>
      <c r="T12" s="1287"/>
      <c r="U12" s="1241"/>
      <c r="V12" s="1286" t="str">
        <f>vlookup($B14,$AB$4:$AV$15,$AR$3,false)</f>
        <v>Match 4</v>
      </c>
      <c r="W12" s="1287"/>
      <c r="X12" s="1288" t="s">
        <v>222</v>
      </c>
      <c r="Y12" s="1289">
        <f>'Master Input'!J$4</f>
        <v>0.10625</v>
      </c>
      <c r="Z12" s="1287"/>
      <c r="AA12" s="1241"/>
      <c r="AB12" s="1218" t="str">
        <f>'Master Input'!O20</f>
        <v/>
      </c>
      <c r="AC12" s="1266"/>
      <c r="AD12" s="1266"/>
      <c r="AE12" s="1266"/>
      <c r="AF12" s="1266"/>
      <c r="AG12" s="1266"/>
      <c r="AH12" s="1268"/>
      <c r="AI12" s="1268"/>
      <c r="AJ12" s="1268"/>
      <c r="AK12" s="1268"/>
      <c r="AL12" s="1268"/>
      <c r="AM12" s="1270"/>
      <c r="AN12" s="1270"/>
      <c r="AO12" s="1270"/>
      <c r="AP12" s="1270"/>
      <c r="AQ12" s="1270"/>
      <c r="AR12" s="1272"/>
      <c r="AS12" s="1272"/>
      <c r="AT12" s="1272"/>
      <c r="AU12" s="1272"/>
      <c r="AV12" s="1272"/>
      <c r="AW12" s="1162"/>
      <c r="AX12" s="1162"/>
      <c r="AY12" s="1162"/>
    </row>
    <row r="13">
      <c r="A13" s="1241"/>
      <c r="B13" s="1290" t="str">
        <f>'Master Input'!I6</f>
        <v>Ravines GC - White</v>
      </c>
      <c r="C13" s="1241"/>
      <c r="D13" s="1260" t="str">
        <f>vlookup($B14,$AB$4:$AV$15,$AD$3,false)</f>
        <v>Drivers</v>
      </c>
      <c r="E13" s="1260" t="s">
        <v>230</v>
      </c>
      <c r="F13" s="1291"/>
      <c r="G13" s="1260" t="str">
        <f>vlookup($B14,$AB$4:$AV$15,$AE$3,false)</f>
        <v>Irons</v>
      </c>
      <c r="H13" s="1260" t="s">
        <v>230</v>
      </c>
      <c r="I13" s="1241"/>
      <c r="J13" s="1260" t="str">
        <f>vlookup($B14,$AB$4:$AV$15,$AD$3,false)</f>
        <v>Drivers</v>
      </c>
      <c r="K13" s="1260" t="s">
        <v>230</v>
      </c>
      <c r="L13" s="1291"/>
      <c r="M13" s="1260" t="str">
        <f>vlookup($B14,$AB$4:$AV$15,$AE$3,false)</f>
        <v>Irons</v>
      </c>
      <c r="N13" s="1260" t="s">
        <v>230</v>
      </c>
      <c r="O13" s="1241"/>
      <c r="P13" s="1260" t="str">
        <f>vlookup($B14,$AB$4:$AV$15,$AD$3,false)</f>
        <v>Drivers</v>
      </c>
      <c r="Q13" s="1260" t="s">
        <v>230</v>
      </c>
      <c r="R13" s="1291"/>
      <c r="S13" s="1260" t="str">
        <f>vlookup($B14,$AB$4:$AV$15,$AE$3,false)</f>
        <v>Irons</v>
      </c>
      <c r="T13" s="1260" t="s">
        <v>230</v>
      </c>
      <c r="U13" s="1241"/>
      <c r="V13" s="1260" t="str">
        <f>vlookup($B14,$AB$4:$AV$15,$AD$3,false)</f>
        <v>Drivers</v>
      </c>
      <c r="W13" s="1260" t="s">
        <v>230</v>
      </c>
      <c r="X13" s="1291"/>
      <c r="Y13" s="1260" t="str">
        <f>vlookup($B14,$AB$4:$AV$15,$AE$3,false)</f>
        <v>Irons</v>
      </c>
      <c r="Z13" s="1260" t="s">
        <v>230</v>
      </c>
      <c r="AA13" s="1241"/>
      <c r="AB13" s="1218" t="str">
        <f>'Master Input'!O21</f>
        <v/>
      </c>
      <c r="AC13" s="1266"/>
      <c r="AD13" s="1266"/>
      <c r="AE13" s="1266"/>
      <c r="AF13" s="1266"/>
      <c r="AG13" s="1266"/>
      <c r="AH13" s="1268"/>
      <c r="AI13" s="1268"/>
      <c r="AJ13" s="1268"/>
      <c r="AK13" s="1268"/>
      <c r="AL13" s="1268"/>
      <c r="AM13" s="1270"/>
      <c r="AN13" s="1270"/>
      <c r="AO13" s="1270"/>
      <c r="AP13" s="1270"/>
      <c r="AQ13" s="1270"/>
      <c r="AR13" s="1272"/>
      <c r="AS13" s="1272"/>
      <c r="AT13" s="1272"/>
      <c r="AU13" s="1272"/>
      <c r="AV13" s="1272"/>
      <c r="AW13" s="1162"/>
      <c r="AX13" s="1162"/>
      <c r="AY13" s="1162"/>
    </row>
    <row r="14">
      <c r="A14" s="1241"/>
      <c r="B14" s="1290" t="str">
        <f>'Master Input'!J6</f>
        <v>2-Man Tilt</v>
      </c>
      <c r="C14" s="1241"/>
      <c r="D14" s="1263" t="s">
        <v>168</v>
      </c>
      <c r="E14" s="1264">
        <f>if(D14="","-", vlookup(D14,'Master Input'!$A$11:$L$27, 'Master Input'!$J$28, false))</f>
        <v>9</v>
      </c>
      <c r="F14" s="1292" t="s">
        <v>231</v>
      </c>
      <c r="G14" s="1263" t="s">
        <v>152</v>
      </c>
      <c r="H14" s="1264">
        <f>if(G14="","-", vlookup(G14,'Master Input'!$A$11:$L$27, 'Master Input'!$J$28, false))</f>
        <v>5</v>
      </c>
      <c r="I14" s="1241"/>
      <c r="J14" s="1263" t="s">
        <v>166</v>
      </c>
      <c r="K14" s="1264">
        <f>if(J14="","-", vlookup(J14,'Master Input'!$A$11:$L$27, 'Master Input'!$J$28, false))</f>
        <v>5</v>
      </c>
      <c r="L14" s="1292" t="s">
        <v>231</v>
      </c>
      <c r="M14" s="1263" t="s">
        <v>151</v>
      </c>
      <c r="N14" s="1264">
        <f>if(M14="","-", vlookup(M14,'Master Input'!$A$11:$L$27, 'Master Input'!$J$28, false))</f>
        <v>4</v>
      </c>
      <c r="O14" s="1241"/>
      <c r="P14" s="1263" t="s">
        <v>165</v>
      </c>
      <c r="Q14" s="1264">
        <f>if(P14="","-", vlookup(P14,'Master Input'!$A$11:$L$27, 'Master Input'!$J$28, false))</f>
        <v>2</v>
      </c>
      <c r="R14" s="1292" t="s">
        <v>231</v>
      </c>
      <c r="S14" s="1263" t="s">
        <v>149</v>
      </c>
      <c r="T14" s="1264">
        <f>if(S14="","-", vlookup(S14,'Master Input'!$A$11:$L$27, 'Master Input'!$J$28, false))</f>
        <v>5</v>
      </c>
      <c r="U14" s="1241"/>
      <c r="V14" s="1263" t="s">
        <v>167</v>
      </c>
      <c r="W14" s="1264">
        <f>if(V14="","-", vlookup(V14,'Master Input'!$A$11:$L$27, 'Master Input'!$J$28, false))</f>
        <v>7</v>
      </c>
      <c r="X14" s="1292" t="s">
        <v>231</v>
      </c>
      <c r="Y14" s="1263" t="s">
        <v>153</v>
      </c>
      <c r="Z14" s="1264">
        <f>if(Y14="","-", vlookup(Y14,'Master Input'!$A$11:$L$27, 'Master Input'!$J$28, false))</f>
        <v>6</v>
      </c>
      <c r="AA14" s="1241"/>
      <c r="AB14" s="1218" t="str">
        <f>'Master Input'!O22</f>
        <v/>
      </c>
      <c r="AC14" s="1266"/>
      <c r="AD14" s="1266"/>
      <c r="AE14" s="1266"/>
      <c r="AF14" s="1266"/>
      <c r="AG14" s="1266"/>
      <c r="AH14" s="1268"/>
      <c r="AI14" s="1268"/>
      <c r="AJ14" s="1268"/>
      <c r="AK14" s="1268"/>
      <c r="AL14" s="1268"/>
      <c r="AM14" s="1270"/>
      <c r="AN14" s="1270"/>
      <c r="AO14" s="1270"/>
      <c r="AP14" s="1270"/>
      <c r="AQ14" s="1270"/>
      <c r="AR14" s="1272"/>
      <c r="AS14" s="1272"/>
      <c r="AT14" s="1272"/>
      <c r="AU14" s="1272"/>
      <c r="AV14" s="1272"/>
      <c r="AW14" s="1162"/>
      <c r="AX14" s="1162"/>
      <c r="AY14" s="1162"/>
    </row>
    <row r="15">
      <c r="A15" s="1241"/>
      <c r="B15" s="1293" t="str">
        <f>vlookup(B14,'Master Input'!$O$12:$S$23,'Master Input'!$S$11, false)</f>
        <v>4 Points per Match - 4 Overall</v>
      </c>
      <c r="C15" s="1241"/>
      <c r="D15" s="1263" t="s">
        <v>169</v>
      </c>
      <c r="E15" s="1264">
        <f>if(D15="","-", vlookup(D15,'Master Input'!$A$11:$L$27, 'Master Input'!$J$28, false))</f>
        <v>10</v>
      </c>
      <c r="F15" s="1294"/>
      <c r="G15" s="1263" t="s">
        <v>155</v>
      </c>
      <c r="H15" s="1264">
        <f>if(G15="","-", vlookup(G15,'Master Input'!$A$11:$L$27, 'Master Input'!$J$28, false))</f>
        <v>7</v>
      </c>
      <c r="I15" s="1241"/>
      <c r="J15" s="1263" t="s">
        <v>171</v>
      </c>
      <c r="K15" s="1264">
        <f>if(J15="","-", vlookup(J15,'Master Input'!$A$11:$L$27, 'Master Input'!$J$28, false))</f>
        <v>13</v>
      </c>
      <c r="L15" s="1294"/>
      <c r="M15" s="1263" t="s">
        <v>158</v>
      </c>
      <c r="N15" s="1264">
        <f>if(M15="","-", vlookup(M15,'Master Input'!$A$11:$L$27, 'Master Input'!$J$28, false))</f>
        <v>10</v>
      </c>
      <c r="O15" s="1241"/>
      <c r="P15" s="1263" t="s">
        <v>170</v>
      </c>
      <c r="Q15" s="1264">
        <f>if(P15="","-", vlookup(P15,'Master Input'!$A$11:$L$27, 'Master Input'!$J$28, false))</f>
        <v>10</v>
      </c>
      <c r="R15" s="1294"/>
      <c r="S15" s="1263" t="s">
        <v>160</v>
      </c>
      <c r="T15" s="1264">
        <f>if(S15="","-", vlookup(S15,'Master Input'!$A$11:$L$27, 'Master Input'!$J$28, false))</f>
        <v>14</v>
      </c>
      <c r="U15" s="1241"/>
      <c r="V15" s="1263" t="s">
        <v>172</v>
      </c>
      <c r="W15" s="1264">
        <f>if(V15="","-", vlookup(V15,'Master Input'!$A$11:$L$27, 'Master Input'!$J$28, false))</f>
        <v>23</v>
      </c>
      <c r="X15" s="1294"/>
      <c r="Y15" s="1263" t="s">
        <v>162</v>
      </c>
      <c r="Z15" s="1264">
        <f>if(Y15="","-", vlookup(Y15,'Master Input'!$A$11:$L$27, 'Master Input'!$J$28, false))</f>
        <v>30</v>
      </c>
      <c r="AA15" s="1241"/>
      <c r="AB15" s="1218" t="str">
        <f>'Master Input'!O23</f>
        <v/>
      </c>
      <c r="AC15" s="1266"/>
      <c r="AD15" s="1266"/>
      <c r="AE15" s="1266"/>
      <c r="AF15" s="1266"/>
      <c r="AG15" s="1266"/>
      <c r="AH15" s="1268"/>
      <c r="AI15" s="1268"/>
      <c r="AJ15" s="1268"/>
      <c r="AK15" s="1268"/>
      <c r="AL15" s="1268"/>
      <c r="AM15" s="1270"/>
      <c r="AN15" s="1270"/>
      <c r="AO15" s="1270"/>
      <c r="AP15" s="1270"/>
      <c r="AQ15" s="1270"/>
      <c r="AR15" s="1272"/>
      <c r="AS15" s="1272"/>
      <c r="AT15" s="1272"/>
      <c r="AU15" s="1272"/>
      <c r="AV15" s="1272"/>
      <c r="AW15" s="1162"/>
      <c r="AX15" s="1162"/>
      <c r="AY15" s="1162"/>
    </row>
    <row r="16">
      <c r="A16" s="1241"/>
      <c r="B16" s="1241"/>
      <c r="C16" s="1241"/>
      <c r="D16" s="1242" t="str">
        <f>if(B19="2-Man Scramble","IMPORTANT NOTE FOR 2-MAN SCRAMBLE: Must put lower handicap in top spot and higher handicap in bottom spot for calculations to work correctly.","-")</f>
        <v>-</v>
      </c>
      <c r="E16" s="1243"/>
      <c r="F16" s="1243"/>
      <c r="G16" s="1243"/>
      <c r="H16" s="1243"/>
      <c r="I16" s="1241"/>
      <c r="J16" s="1243"/>
      <c r="K16" s="1243"/>
      <c r="L16" s="1243"/>
      <c r="M16" s="1243"/>
      <c r="N16" s="1243"/>
      <c r="O16" s="1241"/>
      <c r="P16" s="1243"/>
      <c r="Q16" s="1243"/>
      <c r="R16" s="1243"/>
      <c r="S16" s="1243"/>
      <c r="T16" s="1243"/>
      <c r="U16" s="1241"/>
      <c r="V16" s="1243"/>
      <c r="W16" s="1243"/>
      <c r="X16" s="1243"/>
      <c r="Y16" s="1243"/>
      <c r="Z16" s="1243"/>
      <c r="AA16" s="1241"/>
      <c r="AB16" s="1295"/>
      <c r="AC16" s="1296"/>
      <c r="AD16" s="1296"/>
      <c r="AE16" s="1296"/>
      <c r="AF16" s="1296"/>
      <c r="AG16" s="1296"/>
      <c r="AH16" s="1296"/>
      <c r="AI16" s="1296"/>
      <c r="AJ16" s="1296"/>
      <c r="AK16" s="1296"/>
      <c r="AL16" s="1296"/>
      <c r="AM16" s="1296"/>
      <c r="AN16" s="1296"/>
      <c r="AO16" s="1296"/>
      <c r="AP16" s="1296"/>
      <c r="AQ16" s="1296"/>
      <c r="AR16" s="1296"/>
      <c r="AS16" s="1296"/>
      <c r="AT16" s="1296"/>
      <c r="AU16" s="1296"/>
      <c r="AV16" s="1296"/>
      <c r="AW16" s="1162"/>
      <c r="AX16" s="1162"/>
      <c r="AY16" s="1162"/>
    </row>
    <row r="17">
      <c r="A17" s="1241"/>
      <c r="B17" s="1297" t="s">
        <v>123</v>
      </c>
      <c r="C17" s="1241"/>
      <c r="D17" s="1298" t="str">
        <f>vlookup($B19,$AB$4:$AV$15,AC$3,false)</f>
        <v>Group 1</v>
      </c>
      <c r="E17" s="1299"/>
      <c r="F17" s="1300" t="s">
        <v>222</v>
      </c>
      <c r="G17" s="1301">
        <f>'Master Input'!K$3</f>
        <v>0.4166666667</v>
      </c>
      <c r="H17" s="1299"/>
      <c r="I17" s="1241"/>
      <c r="J17" s="1298" t="str">
        <f>vlookup($B19,$AB$4:$AV$15,$AH$3,false)</f>
        <v>Group 2</v>
      </c>
      <c r="K17" s="1299"/>
      <c r="L17" s="1300" t="s">
        <v>222</v>
      </c>
      <c r="M17" s="1301">
        <f>'Master Input'!L$3</f>
        <v>0.4236111111</v>
      </c>
      <c r="N17" s="1299"/>
      <c r="O17" s="1241"/>
      <c r="P17" s="1298" t="str">
        <f>vlookup($B19,$AB$4:$AV$15,$AM$3,false)</f>
        <v>Group 3</v>
      </c>
      <c r="Q17" s="1299"/>
      <c r="R17" s="1300" t="s">
        <v>222</v>
      </c>
      <c r="S17" s="1301">
        <f>'Master Input'!K$4</f>
        <v>0.4305555556</v>
      </c>
      <c r="T17" s="1299"/>
      <c r="U17" s="1241"/>
      <c r="V17" s="1298" t="str">
        <f>vlookup($B19,$AB$4:$AV$15,$AR$3,false)</f>
        <v>Group 4</v>
      </c>
      <c r="W17" s="1299"/>
      <c r="X17" s="1300" t="s">
        <v>222</v>
      </c>
      <c r="Y17" s="1301">
        <f>'Master Input'!L$4</f>
        <v>0.4375</v>
      </c>
      <c r="Z17" s="1299"/>
      <c r="AA17" s="1241"/>
      <c r="AB17" s="1302"/>
      <c r="AC17" s="1245" t="s">
        <v>218</v>
      </c>
      <c r="AH17" s="1246" t="s">
        <v>219</v>
      </c>
      <c r="AM17" s="1247" t="s">
        <v>220</v>
      </c>
      <c r="AR17" s="1303" t="s">
        <v>221</v>
      </c>
      <c r="AW17" s="1162"/>
      <c r="AX17" s="1162"/>
      <c r="AY17" s="1162"/>
    </row>
    <row r="18">
      <c r="A18" s="1241"/>
      <c r="B18" s="1304" t="str">
        <f>'Master Input'!K6</f>
        <v>American Dunes - Freedom/WH</v>
      </c>
      <c r="C18" s="1241"/>
      <c r="D18" s="1260" t="str">
        <f>vlookup($B19,$AB$4:$AV$15,$AD$3,false)</f>
        <v>Irons</v>
      </c>
      <c r="E18" s="1260" t="s">
        <v>230</v>
      </c>
      <c r="F18" s="1305"/>
      <c r="G18" s="1260" t="str">
        <f>vlookup($B19,$AB$4:$AV$15,$AE$3,false)</f>
        <v>Irons</v>
      </c>
      <c r="H18" s="1260" t="s">
        <v>230</v>
      </c>
      <c r="I18" s="1241"/>
      <c r="J18" s="1260" t="str">
        <f>vlookup($B19,$AB$4:$AV$15,$AN$3,false)</f>
        <v>Drivers</v>
      </c>
      <c r="K18" s="1260" t="s">
        <v>230</v>
      </c>
      <c r="L18" s="1305"/>
      <c r="M18" s="1260" t="str">
        <f>vlookup($B19,$AB$4:$AV$15,$AO$3,false)</f>
        <v>Drivers</v>
      </c>
      <c r="N18" s="1260" t="s">
        <v>230</v>
      </c>
      <c r="O18" s="1241"/>
      <c r="P18" s="1260" t="str">
        <f>vlookup($B19,$AB$4:$AV$15,$AI$3,false)</f>
        <v>Irons</v>
      </c>
      <c r="Q18" s="1260" t="s">
        <v>230</v>
      </c>
      <c r="R18" s="1305"/>
      <c r="S18" s="1260" t="str">
        <f>vlookup($B19,$AB$4:$AV$15,$AJ$3,false)</f>
        <v>Irons</v>
      </c>
      <c r="T18" s="1260" t="s">
        <v>230</v>
      </c>
      <c r="U18" s="1241"/>
      <c r="V18" s="1260" t="str">
        <f>vlookup($B19,$AB$4:$AV$15,$AS$3,false)</f>
        <v>Drivers</v>
      </c>
      <c r="W18" s="1260" t="s">
        <v>230</v>
      </c>
      <c r="X18" s="1305"/>
      <c r="Y18" s="1260" t="str">
        <f>vlookup($B19,$AB$4:$AV$15,$AT$3,false)</f>
        <v>Drivers</v>
      </c>
      <c r="Z18" s="1260" t="s">
        <v>230</v>
      </c>
      <c r="AA18" s="1241"/>
      <c r="AB18" s="1254" t="s">
        <v>236</v>
      </c>
      <c r="AC18" s="1255" t="s">
        <v>223</v>
      </c>
      <c r="AD18" s="1255" t="s">
        <v>224</v>
      </c>
      <c r="AE18" s="1255" t="s">
        <v>225</v>
      </c>
      <c r="AF18" s="1255" t="s">
        <v>226</v>
      </c>
      <c r="AG18" s="1255" t="s">
        <v>227</v>
      </c>
      <c r="AH18" s="1256" t="s">
        <v>223</v>
      </c>
      <c r="AI18" s="1256" t="s">
        <v>224</v>
      </c>
      <c r="AJ18" s="1256" t="s">
        <v>225</v>
      </c>
      <c r="AK18" s="1256" t="s">
        <v>228</v>
      </c>
      <c r="AL18" s="1256" t="s">
        <v>229</v>
      </c>
      <c r="AM18" s="1257" t="s">
        <v>223</v>
      </c>
      <c r="AN18" s="1257" t="s">
        <v>224</v>
      </c>
      <c r="AO18" s="1257" t="s">
        <v>225</v>
      </c>
      <c r="AP18" s="1257" t="s">
        <v>228</v>
      </c>
      <c r="AQ18" s="1257" t="s">
        <v>229</v>
      </c>
      <c r="AR18" s="1306" t="s">
        <v>223</v>
      </c>
      <c r="AS18" s="1306" t="s">
        <v>224</v>
      </c>
      <c r="AT18" s="1306" t="s">
        <v>225</v>
      </c>
      <c r="AU18" s="1306" t="s">
        <v>228</v>
      </c>
      <c r="AV18" s="1306" t="s">
        <v>229</v>
      </c>
      <c r="AW18" s="1162"/>
      <c r="AX18" s="1162"/>
      <c r="AY18" s="1162"/>
    </row>
    <row r="19">
      <c r="A19" s="1241"/>
      <c r="B19" s="1304" t="str">
        <f>'Master Input'!L6</f>
        <v>Team Best Ball</v>
      </c>
      <c r="C19" s="1241"/>
      <c r="D19" s="1263" t="s">
        <v>149</v>
      </c>
      <c r="E19" s="1264">
        <f>if(D19="","-", vlookup(D19,'Master Input'!$A$11:$L$27, 'Master Input'!$L$28, false))</f>
        <v>8</v>
      </c>
      <c r="F19" s="1307" t="str">
        <f>vlookup($B19,$AB$4:$AV$15,$AF$3,false)</f>
        <v/>
      </c>
      <c r="G19" s="1263" t="s">
        <v>151</v>
      </c>
      <c r="H19" s="1264">
        <f>if(G19="","-", vlookup(G19,'Master Input'!$A$11:$L$27, 'Master Input'!$L$28, false))</f>
        <v>8</v>
      </c>
      <c r="I19" s="1241"/>
      <c r="J19" s="1263" t="s">
        <v>165</v>
      </c>
      <c r="K19" s="1264">
        <f>if(J19="","-", vlookup(J19,'Master Input'!$A$11:$L$27, 'Master Input'!$L$28, false))</f>
        <v>6</v>
      </c>
      <c r="L19" s="1308" t="str">
        <f>vlookup($B19,$AB$4:$AV$15,$AP$3,false)</f>
        <v/>
      </c>
      <c r="M19" s="1263" t="s">
        <v>170</v>
      </c>
      <c r="N19" s="1264">
        <f>if(M19="","-", vlookup(M19,'Master Input'!$A$11:$L$27, 'Master Input'!$L$28, false))</f>
        <v>14</v>
      </c>
      <c r="O19" s="1241"/>
      <c r="P19" s="1263" t="s">
        <v>153</v>
      </c>
      <c r="Q19" s="1264">
        <f>if(P19="","-", vlookup(P19,'Master Input'!$A$11:$L$27, 'Master Input'!$L$28, false))</f>
        <v>9</v>
      </c>
      <c r="R19" s="1308" t="str">
        <f>vlookup($B19,$AB$4:$AV$15,$AK$3,false)</f>
        <v/>
      </c>
      <c r="S19" s="1263" t="s">
        <v>152</v>
      </c>
      <c r="T19" s="1264">
        <f>if(S19="","-", vlookup(S19,'Master Input'!$A$11:$L$27, 'Master Input'!$L$28, false))</f>
        <v>8</v>
      </c>
      <c r="U19" s="1241"/>
      <c r="V19" s="1263" t="s">
        <v>166</v>
      </c>
      <c r="W19" s="1264">
        <f>if(V19="","-", vlookup(V19,'Master Input'!$A$11:$L$27, 'Master Input'!$L$28, false))</f>
        <v>8</v>
      </c>
      <c r="X19" s="1308" t="str">
        <f>vlookup($B19,$AB$4:$AV$15,$AU$3,false)</f>
        <v/>
      </c>
      <c r="Y19" s="1263" t="s">
        <v>167</v>
      </c>
      <c r="Z19" s="1264">
        <f>if(Y19="","-", vlookup(Y19,'Master Input'!$A$11:$L$27, 'Master Input'!$L$28, false))</f>
        <v>9</v>
      </c>
      <c r="AA19" s="1241"/>
      <c r="AB19" s="1262" t="s">
        <v>150</v>
      </c>
      <c r="AC19" s="1262">
        <v>2.0</v>
      </c>
      <c r="AD19" s="1262">
        <v>3.0</v>
      </c>
      <c r="AE19" s="1262">
        <v>4.0</v>
      </c>
      <c r="AF19" s="1262">
        <v>5.0</v>
      </c>
      <c r="AG19" s="1262">
        <v>6.0</v>
      </c>
      <c r="AH19" s="1262">
        <v>7.0</v>
      </c>
      <c r="AI19" s="1262">
        <v>8.0</v>
      </c>
      <c r="AJ19" s="1262">
        <v>9.0</v>
      </c>
      <c r="AK19" s="1262">
        <v>10.0</v>
      </c>
      <c r="AL19" s="1262">
        <v>11.0</v>
      </c>
      <c r="AM19" s="1262">
        <v>12.0</v>
      </c>
      <c r="AN19" s="1262">
        <v>13.0</v>
      </c>
      <c r="AO19" s="1262">
        <v>14.0</v>
      </c>
      <c r="AP19" s="1262">
        <v>15.0</v>
      </c>
      <c r="AQ19" s="1262">
        <v>16.0</v>
      </c>
      <c r="AR19" s="1262">
        <v>17.0</v>
      </c>
      <c r="AS19" s="1262">
        <v>18.0</v>
      </c>
      <c r="AT19" s="1262">
        <v>19.0</v>
      </c>
      <c r="AU19" s="1262">
        <v>20.0</v>
      </c>
      <c r="AV19" s="1262">
        <v>21.0</v>
      </c>
      <c r="AW19" s="1162"/>
      <c r="AX19" s="1162"/>
      <c r="AY19" s="1162"/>
    </row>
    <row r="20">
      <c r="A20" s="1241"/>
      <c r="B20" s="1309" t="str">
        <f>vlookup(B19,'Master Input'!$O$12:$S$23,'Master Input'!$S$11, false)</f>
        <v>1 Pt/Hole Front, 2 Pt/Hole Back</v>
      </c>
      <c r="C20" s="1241"/>
      <c r="D20" s="1263" t="s">
        <v>155</v>
      </c>
      <c r="E20" s="1264">
        <f>if(D20="","-", vlookup(D20,'Master Input'!$A$11:$L$27, 'Master Input'!$L$28, false))</f>
        <v>10</v>
      </c>
      <c r="F20" s="1308" t="str">
        <f>vlookup($B19,$AB$4:$AV$15,$AG$3,false)</f>
        <v/>
      </c>
      <c r="G20" s="1263" t="s">
        <v>158</v>
      </c>
      <c r="H20" s="1264">
        <f>if(G20="","-", vlookup(G20,'Master Input'!$A$11:$L$27, 'Master Input'!$L$28, false))</f>
        <v>12</v>
      </c>
      <c r="I20" s="1241"/>
      <c r="J20" s="1263" t="s">
        <v>169</v>
      </c>
      <c r="K20" s="1264">
        <f>if(J20="","-", vlookup(J20,'Master Input'!$A$11:$L$27, 'Master Input'!$L$28, false))</f>
        <v>13</v>
      </c>
      <c r="L20" s="1308" t="str">
        <f>vlookup($B19,$AB$4:$AV$15,$AQ$3,false)</f>
        <v/>
      </c>
      <c r="M20" s="1263" t="s">
        <v>171</v>
      </c>
      <c r="N20" s="1264">
        <f>if(M20="","-", vlookup(M20,'Master Input'!$A$11:$L$27, 'Master Input'!$L$28, false))</f>
        <v>15</v>
      </c>
      <c r="O20" s="1241"/>
      <c r="P20" s="1263" t="s">
        <v>160</v>
      </c>
      <c r="Q20" s="1264">
        <f>if(P20="","-", vlookup(P20,'Master Input'!$A$11:$L$27, 'Master Input'!$L$28, false))</f>
        <v>18</v>
      </c>
      <c r="R20" s="1308" t="str">
        <f>vlookup($B19,$AB$4:$AV$15,$AL$3,false)</f>
        <v/>
      </c>
      <c r="S20" s="1263" t="s">
        <v>162</v>
      </c>
      <c r="T20" s="1264">
        <f>if(S20="","-", vlookup(S20,'Master Input'!$A$11:$L$27, 'Master Input'!$L$28, false))</f>
        <v>34</v>
      </c>
      <c r="U20" s="1241"/>
      <c r="V20" s="1263" t="s">
        <v>168</v>
      </c>
      <c r="W20" s="1264">
        <f>if(V20="","-", vlookup(V20,'Master Input'!$A$11:$L$27, 'Master Input'!$L$28, false))</f>
        <v>11</v>
      </c>
      <c r="X20" s="1308" t="str">
        <f>vlookup($B19,$AB$4:$AV$15,$AV$3,false)</f>
        <v/>
      </c>
      <c r="Y20" s="1263" t="s">
        <v>172</v>
      </c>
      <c r="Z20" s="1264">
        <f>if(Y20="","-", vlookup(Y20,'Master Input'!$A$11:$L$27, 'Master Input'!$L$28, false))</f>
        <v>26</v>
      </c>
      <c r="AA20" s="1241"/>
      <c r="AB20" s="1302" t="str">
        <f>B3</f>
        <v>GVSU Meadows - Blue</v>
      </c>
      <c r="AC20" s="1266" t="str">
        <f>D2</f>
        <v>Match 1</v>
      </c>
      <c r="AD20" s="1266" t="str">
        <f>D4</f>
        <v>TJSC</v>
      </c>
      <c r="AE20" s="1266" t="str">
        <f>D5</f>
        <v>Joe O</v>
      </c>
      <c r="AF20" s="1266" t="str">
        <f>G4</f>
        <v>CuzNick</v>
      </c>
      <c r="AG20" s="1266" t="str">
        <f>G5</f>
        <v>Saugy</v>
      </c>
      <c r="AH20" s="1268" t="str">
        <f>J2</f>
        <v>Match 2</v>
      </c>
      <c r="AI20" s="1268" t="str">
        <f>J4</f>
        <v>R-Mac</v>
      </c>
      <c r="AJ20" s="1268" t="str">
        <f>J5</f>
        <v>T-Mo</v>
      </c>
      <c r="AK20" s="1268" t="str">
        <f>M4</f>
        <v>Andy</v>
      </c>
      <c r="AL20" s="1268" t="str">
        <f>M5</f>
        <v>Pace</v>
      </c>
      <c r="AM20" s="1270" t="str">
        <f>P2</f>
        <v>Match 3</v>
      </c>
      <c r="AN20" s="1270" t="str">
        <f>P4</f>
        <v>KJ</v>
      </c>
      <c r="AO20" s="1270" t="str">
        <f>P5</f>
        <v>Weezy</v>
      </c>
      <c r="AP20" s="1270" t="str">
        <f>S4</f>
        <v>House</v>
      </c>
      <c r="AQ20" s="1270" t="str">
        <f>S5</f>
        <v>Carp</v>
      </c>
      <c r="AR20" s="1310" t="str">
        <f>V2</f>
        <v>Match 4</v>
      </c>
      <c r="AS20" s="1310" t="str">
        <f>V4</f>
        <v>Telly</v>
      </c>
      <c r="AT20" s="1310" t="str">
        <f>V5</f>
        <v>Hile</v>
      </c>
      <c r="AU20" s="1310" t="str">
        <f>Y4</f>
        <v>Jensen</v>
      </c>
      <c r="AV20" s="1310" t="str">
        <f>Y5</f>
        <v>DK</v>
      </c>
      <c r="AX20" s="1162"/>
      <c r="AY20" s="1162"/>
    </row>
    <row r="21">
      <c r="A21" s="1241"/>
      <c r="B21" s="1241"/>
      <c r="C21" s="1241"/>
      <c r="D21" s="1241"/>
      <c r="E21" s="1241"/>
      <c r="F21" s="1241"/>
      <c r="G21" s="1243"/>
      <c r="H21" s="1241"/>
      <c r="I21" s="1241"/>
      <c r="J21" s="1241"/>
      <c r="K21" s="1241"/>
      <c r="L21" s="1241"/>
      <c r="M21" s="1243"/>
      <c r="N21" s="1241"/>
      <c r="O21" s="1241"/>
      <c r="P21" s="1241"/>
      <c r="Q21" s="1241"/>
      <c r="R21" s="1241"/>
      <c r="S21" s="1243"/>
      <c r="T21" s="1241"/>
      <c r="U21" s="1241"/>
      <c r="V21" s="1241"/>
      <c r="W21" s="1241"/>
      <c r="X21" s="1241"/>
      <c r="Y21" s="1243"/>
      <c r="Z21" s="1241"/>
      <c r="AA21" s="1241"/>
      <c r="AB21" s="1302" t="str">
        <f>B8</f>
        <v>Ravines GC - White</v>
      </c>
      <c r="AC21" s="1266" t="str">
        <f>D7</f>
        <v>Matches 1 &amp; 2</v>
      </c>
      <c r="AD21" s="1266" t="str">
        <f>D9</f>
        <v>Telly</v>
      </c>
      <c r="AE21" s="1266" t="str">
        <f>D10</f>
        <v>R-Mac</v>
      </c>
      <c r="AF21" s="1266" t="str">
        <f>G9</f>
        <v>CuzNick</v>
      </c>
      <c r="AG21" s="1266" t="str">
        <f>G10</f>
        <v>Andy</v>
      </c>
      <c r="AH21" s="1268" t="str">
        <f>J7</f>
        <v>Matches 3 &amp; 4</v>
      </c>
      <c r="AI21" s="1268" t="str">
        <f>J9</f>
        <v>Weezy</v>
      </c>
      <c r="AJ21" s="1268" t="str">
        <f>J10</f>
        <v>T-Mo</v>
      </c>
      <c r="AK21" s="1268" t="str">
        <f>M9</f>
        <v>Pace</v>
      </c>
      <c r="AL21" s="1268" t="str">
        <f>M10</f>
        <v>House</v>
      </c>
      <c r="AM21" s="1270" t="str">
        <f>P7</f>
        <v>Matches 5 &amp; 6</v>
      </c>
      <c r="AN21" s="1270" t="str">
        <f>P9</f>
        <v>KJ</v>
      </c>
      <c r="AO21" s="1270" t="str">
        <f>P10</f>
        <v>TJSC</v>
      </c>
      <c r="AP21" s="1270" t="str">
        <f>S9</f>
        <v>Jensen</v>
      </c>
      <c r="AQ21" s="1270" t="str">
        <f>S10</f>
        <v>DK</v>
      </c>
      <c r="AR21" s="1310" t="str">
        <f>V7</f>
        <v>Matches 7 &amp; 8</v>
      </c>
      <c r="AS21" s="1310" t="str">
        <f>V9</f>
        <v>Joe O</v>
      </c>
      <c r="AT21" s="1310" t="str">
        <f>V10</f>
        <v>Hile</v>
      </c>
      <c r="AU21" s="1310" t="str">
        <f>Y9</f>
        <v>Carp</v>
      </c>
      <c r="AV21" s="1310" t="str">
        <f>Y10</f>
        <v>Saugy</v>
      </c>
      <c r="AX21" s="1162"/>
      <c r="AY21" s="1162"/>
    </row>
    <row r="22">
      <c r="A22" s="1241"/>
      <c r="B22" s="1241"/>
      <c r="C22" s="1241"/>
      <c r="D22" s="1241"/>
      <c r="E22" s="1241"/>
      <c r="F22" s="1241"/>
      <c r="G22" s="1243"/>
      <c r="H22" s="1241"/>
      <c r="I22" s="1241"/>
      <c r="J22" s="1241"/>
      <c r="K22" s="1241"/>
      <c r="L22" s="1241"/>
      <c r="M22" s="1243"/>
      <c r="N22" s="1241"/>
      <c r="O22" s="1241"/>
      <c r="P22" s="1241"/>
      <c r="Q22" s="1241"/>
      <c r="R22" s="1241"/>
      <c r="S22" s="1243"/>
      <c r="T22" s="1241"/>
      <c r="U22" s="1241"/>
      <c r="V22" s="1241"/>
      <c r="W22" s="1241"/>
      <c r="X22" s="1241"/>
      <c r="Y22" s="1243"/>
      <c r="Z22" s="1241"/>
      <c r="AA22" s="1241"/>
      <c r="AB22" s="1302" t="str">
        <f>B13</f>
        <v>Ravines GC - White</v>
      </c>
      <c r="AC22" s="1266" t="str">
        <f>D12</f>
        <v>Match 1</v>
      </c>
      <c r="AD22" s="1266" t="str">
        <f>D14</f>
        <v>T-Mo</v>
      </c>
      <c r="AE22" s="1266" t="str">
        <f>D15</f>
        <v>TJSC</v>
      </c>
      <c r="AF22" s="1266" t="str">
        <f>G14</f>
        <v>Andy</v>
      </c>
      <c r="AG22" s="1266" t="str">
        <f>G15</f>
        <v>House</v>
      </c>
      <c r="AH22" s="1268" t="str">
        <f>J12</f>
        <v>Match 2</v>
      </c>
      <c r="AI22" s="1268" t="str">
        <f>J14</f>
        <v>KJ</v>
      </c>
      <c r="AJ22" s="1268" t="str">
        <f>J15</f>
        <v>Joe O</v>
      </c>
      <c r="AK22" s="1268" t="str">
        <f>M14</f>
        <v>CuzNick</v>
      </c>
      <c r="AL22" s="1268" t="str">
        <f>M15</f>
        <v>DK</v>
      </c>
      <c r="AM22" s="1270" t="str">
        <f>P12</f>
        <v>Match 3</v>
      </c>
      <c r="AN22" s="1270" t="str">
        <f>P14</f>
        <v>Telly</v>
      </c>
      <c r="AO22" s="1270" t="str">
        <f>P15</f>
        <v>Weezy</v>
      </c>
      <c r="AP22" s="1270" t="str">
        <f>S14</f>
        <v>Jensen</v>
      </c>
      <c r="AQ22" s="1270" t="str">
        <f>S15</f>
        <v>Carp</v>
      </c>
      <c r="AR22" s="1310" t="str">
        <f>V12</f>
        <v>Match 4</v>
      </c>
      <c r="AS22" s="1310" t="str">
        <f>V14</f>
        <v>R-Mac</v>
      </c>
      <c r="AT22" s="1310" t="str">
        <f>V15</f>
        <v>Hile</v>
      </c>
      <c r="AU22" s="1310" t="str">
        <f>Y14</f>
        <v>Pace</v>
      </c>
      <c r="AV22" s="1310" t="str">
        <f>Y15</f>
        <v>Saugy</v>
      </c>
      <c r="AX22" s="1162"/>
      <c r="AY22" s="1162"/>
    </row>
    <row r="23">
      <c r="A23" s="1241"/>
      <c r="B23" s="1241"/>
      <c r="C23" s="1241"/>
      <c r="D23" s="1241"/>
      <c r="E23" s="1241"/>
      <c r="F23" s="1241"/>
      <c r="G23" s="1243"/>
      <c r="H23" s="1241"/>
      <c r="I23" s="1241"/>
      <c r="J23" s="1241"/>
      <c r="K23" s="1241"/>
      <c r="L23" s="1241"/>
      <c r="M23" s="1243"/>
      <c r="N23" s="1241"/>
      <c r="O23" s="1241"/>
      <c r="P23" s="1241"/>
      <c r="Q23" s="1241"/>
      <c r="R23" s="1241"/>
      <c r="S23" s="1243"/>
      <c r="T23" s="1241"/>
      <c r="U23" s="1241"/>
      <c r="V23" s="1241"/>
      <c r="W23" s="1241"/>
      <c r="X23" s="1241"/>
      <c r="Y23" s="1243"/>
      <c r="Z23" s="1241"/>
      <c r="AA23" s="1241"/>
      <c r="AB23" s="1302" t="str">
        <f>B18</f>
        <v>American Dunes - Freedom/WH</v>
      </c>
      <c r="AC23" s="1266" t="str">
        <f>D17</f>
        <v>Group 1</v>
      </c>
      <c r="AD23" s="1266" t="str">
        <f>D19</f>
        <v>Jensen</v>
      </c>
      <c r="AE23" s="1266" t="str">
        <f>D20</f>
        <v>House</v>
      </c>
      <c r="AF23" s="1266" t="str">
        <f>G19</f>
        <v>CuzNick</v>
      </c>
      <c r="AG23" s="1266" t="str">
        <f>G20</f>
        <v>DK</v>
      </c>
      <c r="AH23" s="1268" t="str">
        <f>P17</f>
        <v>Group 3</v>
      </c>
      <c r="AI23" s="1268" t="str">
        <f>P19</f>
        <v>Pace</v>
      </c>
      <c r="AJ23" s="1268" t="str">
        <f>P20</f>
        <v>Carp</v>
      </c>
      <c r="AK23" s="1268" t="str">
        <f>S19</f>
        <v>Andy</v>
      </c>
      <c r="AL23" s="1268" t="str">
        <f>S20</f>
        <v>Saugy</v>
      </c>
      <c r="AM23" s="1270" t="str">
        <f>J17</f>
        <v>Group 2</v>
      </c>
      <c r="AN23" s="1270" t="str">
        <f>J19</f>
        <v>Telly</v>
      </c>
      <c r="AO23" s="1270" t="str">
        <f>J20</f>
        <v>TJSC</v>
      </c>
      <c r="AP23" s="1270" t="str">
        <f>M19</f>
        <v>Weezy</v>
      </c>
      <c r="AQ23" s="1270" t="str">
        <f>M20</f>
        <v>Joe O</v>
      </c>
      <c r="AR23" s="1310" t="str">
        <f>V17</f>
        <v>Group 4</v>
      </c>
      <c r="AS23" s="1310" t="str">
        <f>V19</f>
        <v>KJ</v>
      </c>
      <c r="AT23" s="1310" t="str">
        <f>V20</f>
        <v>T-Mo</v>
      </c>
      <c r="AU23" s="1310" t="str">
        <f>Y19</f>
        <v>R-Mac</v>
      </c>
      <c r="AV23" s="1310" t="str">
        <f>Y20</f>
        <v>Hile</v>
      </c>
      <c r="AX23" s="1162"/>
      <c r="AY23" s="1162"/>
    </row>
    <row r="24">
      <c r="A24" s="1241"/>
      <c r="B24" s="1241"/>
      <c r="C24" s="1241"/>
      <c r="D24" s="1241"/>
      <c r="E24" s="1241"/>
      <c r="F24" s="1241"/>
      <c r="G24" s="1243"/>
      <c r="H24" s="1241"/>
      <c r="I24" s="1241"/>
      <c r="J24" s="1241"/>
      <c r="K24" s="1241"/>
      <c r="L24" s="1241"/>
      <c r="M24" s="1243"/>
      <c r="N24" s="1241"/>
      <c r="O24" s="1241"/>
      <c r="P24" s="1241"/>
      <c r="Q24" s="1241"/>
      <c r="R24" s="1241"/>
      <c r="S24" s="1243"/>
      <c r="T24" s="1241"/>
      <c r="U24" s="1241"/>
      <c r="V24" s="1241"/>
      <c r="W24" s="1241"/>
      <c r="X24" s="1241"/>
      <c r="Y24" s="1243"/>
      <c r="Z24" s="1241"/>
      <c r="AA24" s="1241"/>
      <c r="AB24" s="1302"/>
      <c r="AC24" s="1162"/>
      <c r="AD24" s="1162"/>
      <c r="AE24" s="1162"/>
      <c r="AF24" s="1162"/>
      <c r="AG24" s="1162"/>
      <c r="AH24" s="1162"/>
      <c r="AI24" s="1162"/>
      <c r="AJ24" s="1162"/>
      <c r="AK24" s="1162"/>
      <c r="AL24" s="1162"/>
      <c r="AM24" s="1162"/>
      <c r="AN24" s="1162"/>
      <c r="AO24" s="1162"/>
      <c r="AP24" s="1162"/>
      <c r="AQ24" s="1162"/>
      <c r="AR24" s="1162"/>
      <c r="AS24" s="1162"/>
      <c r="AT24" s="1162"/>
      <c r="AU24" s="1162"/>
      <c r="AV24" s="1162"/>
      <c r="AW24" s="1162"/>
      <c r="AX24" s="1162"/>
      <c r="AY24" s="1162"/>
    </row>
    <row r="25">
      <c r="A25" s="1241"/>
      <c r="B25" s="1241"/>
      <c r="C25" s="1241"/>
      <c r="D25" s="1241"/>
      <c r="E25" s="1241"/>
      <c r="F25" s="1241"/>
      <c r="G25" s="1243"/>
      <c r="H25" s="1241"/>
      <c r="I25" s="1241"/>
      <c r="J25" s="1241"/>
      <c r="K25" s="1241"/>
      <c r="L25" s="1241"/>
      <c r="M25" s="1243"/>
      <c r="N25" s="1241"/>
      <c r="O25" s="1241"/>
      <c r="P25" s="1241"/>
      <c r="Q25" s="1241"/>
      <c r="R25" s="1241"/>
      <c r="S25" s="1243"/>
      <c r="T25" s="1241"/>
      <c r="U25" s="1241"/>
      <c r="V25" s="1241"/>
      <c r="W25" s="1241"/>
      <c r="X25" s="1241"/>
      <c r="Y25" s="1243"/>
      <c r="Z25" s="1241"/>
      <c r="AA25" s="1241"/>
      <c r="AB25" s="1302"/>
      <c r="AC25" s="1162"/>
      <c r="AD25" s="1162"/>
      <c r="AE25" s="1162"/>
      <c r="AF25" s="1162"/>
      <c r="AG25" s="1162"/>
      <c r="AH25" s="1162"/>
      <c r="AI25" s="1162"/>
      <c r="AJ25" s="1162"/>
      <c r="AK25" s="1162"/>
      <c r="AL25" s="1162"/>
      <c r="AM25" s="1162"/>
      <c r="AN25" s="1162"/>
      <c r="AO25" s="1162"/>
      <c r="AP25" s="1162"/>
      <c r="AQ25" s="1162"/>
      <c r="AR25" s="1162"/>
      <c r="AS25" s="1162"/>
      <c r="AT25" s="1162"/>
      <c r="AU25" s="1162"/>
      <c r="AV25" s="1162"/>
      <c r="AW25" s="1162"/>
      <c r="AX25" s="1162"/>
      <c r="AY25" s="1162"/>
    </row>
    <row r="26">
      <c r="A26" s="1241"/>
      <c r="B26" s="1241"/>
      <c r="C26" s="1241"/>
      <c r="D26" s="1241"/>
      <c r="E26" s="1241"/>
      <c r="F26" s="1241"/>
      <c r="G26" s="1243"/>
      <c r="H26" s="1241"/>
      <c r="I26" s="1241"/>
      <c r="J26" s="1241"/>
      <c r="K26" s="1241"/>
      <c r="L26" s="1241"/>
      <c r="M26" s="1243"/>
      <c r="N26" s="1241"/>
      <c r="O26" s="1241"/>
      <c r="P26" s="1241"/>
      <c r="Q26" s="1241"/>
      <c r="R26" s="1241"/>
      <c r="S26" s="1243"/>
      <c r="T26" s="1241"/>
      <c r="U26" s="1241"/>
      <c r="V26" s="1241"/>
      <c r="W26" s="1241"/>
      <c r="X26" s="1241"/>
      <c r="Y26" s="1243"/>
      <c r="Z26" s="1241"/>
      <c r="AA26" s="1241"/>
      <c r="AB26" s="1302"/>
      <c r="AC26" s="1162"/>
      <c r="AD26" s="1162"/>
      <c r="AE26" s="1162"/>
      <c r="AF26" s="1162"/>
      <c r="AG26" s="1162"/>
      <c r="AH26" s="1162"/>
      <c r="AI26" s="1162"/>
      <c r="AJ26" s="1162"/>
      <c r="AK26" s="1162"/>
      <c r="AL26" s="1162"/>
      <c r="AM26" s="1162"/>
      <c r="AN26" s="1162"/>
      <c r="AO26" s="1162"/>
      <c r="AP26" s="1162"/>
      <c r="AQ26" s="1162"/>
      <c r="AR26" s="1162"/>
      <c r="AS26" s="1162"/>
      <c r="AT26" s="1162"/>
      <c r="AU26" s="1162"/>
      <c r="AV26" s="1162"/>
      <c r="AW26" s="1162"/>
      <c r="AX26" s="1162"/>
      <c r="AY26" s="1162"/>
    </row>
    <row r="27">
      <c r="G27" s="1311"/>
      <c r="M27" s="1311"/>
      <c r="S27" s="1311"/>
      <c r="Y27" s="1311"/>
      <c r="AB27" s="1302"/>
      <c r="AC27" s="1162"/>
      <c r="AD27" s="1162"/>
      <c r="AE27" s="1162"/>
      <c r="AF27" s="1162"/>
      <c r="AG27" s="1162"/>
      <c r="AH27" s="1162"/>
      <c r="AI27" s="1162"/>
      <c r="AJ27" s="1162"/>
      <c r="AK27" s="1162"/>
      <c r="AL27" s="1162"/>
      <c r="AM27" s="1162"/>
      <c r="AN27" s="1162"/>
      <c r="AO27" s="1162"/>
      <c r="AP27" s="1162"/>
      <c r="AQ27" s="1162"/>
      <c r="AR27" s="1162"/>
      <c r="AS27" s="1162"/>
      <c r="AT27" s="1162"/>
      <c r="AU27" s="1162"/>
      <c r="AV27" s="1162"/>
      <c r="AW27" s="1162"/>
      <c r="AX27" s="1162"/>
      <c r="AY27" s="1162"/>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25" priority="1" operator="equal">
      <formula>indirect("'Master Input'!A10")</formula>
    </cfRule>
  </conditionalFormatting>
  <conditionalFormatting sqref="D4 G4:H4 J4 M4:N4 P4 S4:T4 V4 Y4:Z4 D9 G9:H9 J9 M9:N9 P9 S9:T9 V9 Y9:Z9 D14 G14:H14 J14 M14:N14 P14 S14:T14 V14 Y14:Z14 D19 G19:H19 J19:K19 M19:N19 P19 S19 V19:W19 Y19:Z19">
    <cfRule type="expression" dxfId="25" priority="2">
      <formula>D3=indirect("'Master Input'!A10")</formula>
    </cfRule>
  </conditionalFormatting>
  <conditionalFormatting sqref="D5 G5:H5 J5 M5:N5 P5 S5:T5 V5 Y5:Z5 D10 G10:H10 J10 M10:N10 P10 S10:T10 V10 Y10:Z10 D15 G15:H15 J15 M15:N15 P15 S15:T15 V15 Y15:Z15 D20 G20:H20 J20:K20 M20:N20 P20 S20 V20:W20 Y20:Z20">
    <cfRule type="expression" dxfId="25" priority="3">
      <formula>D3=indirect("'Master Input'!A10")</formula>
    </cfRule>
  </conditionalFormatting>
  <conditionalFormatting sqref="E3 H3 K3 N3 Q3 T3 W3 Z3 E8 H8 K8 N8 Q8 T8 W8 Z8 E13 H13 K13 N13 Q13 T13 W13 Z13 E18 H18 K18 N18 Q18 T18 W18 Z18">
    <cfRule type="expression" dxfId="25" priority="4">
      <formula>D3=indirect("'Master Input'!A10")</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25" priority="5">
      <formula>D3=indirect("'Master Input'!A10")</formula>
    </cfRule>
  </conditionalFormatting>
  <conditionalFormatting sqref="E5 H5 K5 N5 Q5 T5 W5 Z5 E10 H10 K10 N10 Q10 T10 W10 Z10 E15 H15 K15 N15 Q15 T15 W15 Y15:Z15 E20 H20 K20 N20 Q20 T20 W20 Z20">
    <cfRule type="expression" dxfId="25" priority="6">
      <formula>D3=indirect("'Master Input'!A10")</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Input'!$A$10:$A$27</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4" width="2.29"/>
    <col customWidth="1" min="5" max="14" width="2.71"/>
    <col customWidth="1" min="15" max="17" width="2.29"/>
    <col customWidth="1" min="18" max="18" width="0.86"/>
    <col customWidth="1" min="19" max="30" width="14.43"/>
  </cols>
  <sheetData>
    <row r="1" ht="60.0" customHeight="1">
      <c r="A1" s="1312"/>
      <c r="B1" s="1313" t="s">
        <v>16</v>
      </c>
      <c r="E1" s="1313" t="s">
        <v>50</v>
      </c>
      <c r="I1" s="1314" t="s">
        <v>51</v>
      </c>
      <c r="K1" s="1315" t="s">
        <v>50</v>
      </c>
      <c r="O1" s="1315" t="s">
        <v>16</v>
      </c>
      <c r="R1" s="1312"/>
      <c r="S1" s="1312"/>
      <c r="T1" s="1316" t="s">
        <v>237</v>
      </c>
      <c r="AD1" s="1312"/>
    </row>
    <row r="2" ht="15.0" customHeight="1">
      <c r="A2" s="1317"/>
      <c r="B2" s="1318">
        <f t="shared" ref="B2:B10" si="1">if(or(F2="", L2=""),"-",if(F2&lt;L2,1, if(F2=L2, 0.5,0)))</f>
        <v>0.5</v>
      </c>
      <c r="C2" s="20"/>
      <c r="D2" s="21"/>
      <c r="E2" s="1319"/>
      <c r="F2" s="1320">
        <v>-3.0</v>
      </c>
      <c r="G2" s="21"/>
      <c r="H2" s="1321" t="str">
        <f>if(or(F2="",F2='Captains Card 1'!E37),"","X")</f>
        <v/>
      </c>
      <c r="I2" s="1322">
        <v>1.0</v>
      </c>
      <c r="J2" s="21"/>
      <c r="K2" s="1323" t="str">
        <f>if(or(L2="",L2='Captains Card 2'!E37),"","X")</f>
        <v/>
      </c>
      <c r="L2" s="1320">
        <v>-3.0</v>
      </c>
      <c r="M2" s="21"/>
      <c r="N2" s="1319"/>
      <c r="O2" s="1318">
        <f t="shared" ref="O2:O10" si="2">if(or(F2="", L2=""),"-",if(F2&gt;L2,1, if(F2=L2, 0.5,0)))</f>
        <v>0.5</v>
      </c>
      <c r="P2" s="20"/>
      <c r="Q2" s="21"/>
      <c r="R2" s="1324"/>
      <c r="S2" s="1324"/>
      <c r="AD2" s="1324"/>
    </row>
    <row r="3" ht="15.0" customHeight="1">
      <c r="A3" s="1317"/>
      <c r="B3" s="1318">
        <f t="shared" si="1"/>
        <v>0</v>
      </c>
      <c r="C3" s="20"/>
      <c r="D3" s="21"/>
      <c r="E3" s="1319"/>
      <c r="F3" s="1320">
        <v>2.0</v>
      </c>
      <c r="G3" s="21"/>
      <c r="H3" s="1321" t="str">
        <f>if(or(F3="",F3='Captains Card 1'!F37),"","X")</f>
        <v/>
      </c>
      <c r="I3" s="1322">
        <v>2.0</v>
      </c>
      <c r="J3" s="21"/>
      <c r="K3" s="1323" t="str">
        <f>if(or(L3="",L3='Captains Card 2'!F37),"","X")</f>
        <v/>
      </c>
      <c r="L3" s="1320">
        <v>0.0</v>
      </c>
      <c r="M3" s="21"/>
      <c r="N3" s="1319"/>
      <c r="O3" s="1318">
        <f t="shared" si="2"/>
        <v>1</v>
      </c>
      <c r="P3" s="20"/>
      <c r="Q3" s="21"/>
      <c r="R3" s="1324"/>
      <c r="S3" s="1324"/>
      <c r="T3" s="1312"/>
      <c r="U3" s="1312"/>
      <c r="V3" s="1312"/>
      <c r="W3" s="1324"/>
      <c r="X3" s="1324"/>
      <c r="Y3" s="1324"/>
      <c r="Z3" s="1324"/>
      <c r="AA3" s="1324"/>
      <c r="AB3" s="1324"/>
      <c r="AC3" s="1324"/>
      <c r="AD3" s="1324"/>
    </row>
    <row r="4" ht="15.0" customHeight="1">
      <c r="A4" s="1317"/>
      <c r="B4" s="1318">
        <f t="shared" si="1"/>
        <v>1</v>
      </c>
      <c r="C4" s="20"/>
      <c r="D4" s="21"/>
      <c r="E4" s="1319"/>
      <c r="F4" s="1320">
        <v>1.0</v>
      </c>
      <c r="G4" s="21"/>
      <c r="H4" s="1321" t="str">
        <f>if(or(F4="",F4='Captains Card 1'!G37),"","X")</f>
        <v/>
      </c>
      <c r="I4" s="1322">
        <v>3.0</v>
      </c>
      <c r="J4" s="21"/>
      <c r="K4" s="1323" t="str">
        <f>if(or(L4="",L4='Captains Card 2'!G37),"","X")</f>
        <v/>
      </c>
      <c r="L4" s="1320">
        <v>2.0</v>
      </c>
      <c r="M4" s="21"/>
      <c r="N4" s="1319"/>
      <c r="O4" s="1318">
        <f t="shared" si="2"/>
        <v>0</v>
      </c>
      <c r="P4" s="20"/>
      <c r="Q4" s="21"/>
      <c r="R4" s="1324"/>
      <c r="S4" s="1325"/>
      <c r="T4" s="1326" t="s">
        <v>238</v>
      </c>
      <c r="U4" s="1327"/>
      <c r="V4" s="1328"/>
      <c r="W4" s="1324"/>
      <c r="X4" s="1324"/>
      <c r="Y4" s="1329"/>
      <c r="Z4" s="1329"/>
      <c r="AA4" s="1330" t="s">
        <v>239</v>
      </c>
      <c r="AB4" s="1327"/>
      <c r="AC4" s="1328"/>
      <c r="AD4" s="1324"/>
    </row>
    <row r="5" ht="15.0" customHeight="1">
      <c r="A5" s="1317"/>
      <c r="B5" s="1318">
        <f t="shared" si="1"/>
        <v>0</v>
      </c>
      <c r="C5" s="20"/>
      <c r="D5" s="21"/>
      <c r="E5" s="1319"/>
      <c r="F5" s="1320">
        <v>1.0</v>
      </c>
      <c r="G5" s="21"/>
      <c r="H5" s="1321" t="str">
        <f>if(or(F5="",F5='Captains Card 1'!H37),"","X")</f>
        <v/>
      </c>
      <c r="I5" s="1322">
        <v>4.0</v>
      </c>
      <c r="J5" s="21"/>
      <c r="K5" s="1323" t="str">
        <f>if(or(L5="",L5='Captains Card 2'!H37),"","X")</f>
        <v/>
      </c>
      <c r="L5" s="1320">
        <v>0.0</v>
      </c>
      <c r="M5" s="21"/>
      <c r="N5" s="1319"/>
      <c r="O5" s="1318">
        <f t="shared" si="2"/>
        <v>1</v>
      </c>
      <c r="P5" s="20"/>
      <c r="Q5" s="21"/>
      <c r="R5" s="1324"/>
      <c r="S5" s="1325"/>
      <c r="T5" s="1331"/>
      <c r="V5" s="1332"/>
      <c r="W5" s="1324"/>
      <c r="X5" s="1324"/>
      <c r="Y5" s="1329"/>
      <c r="Z5" s="1329"/>
      <c r="AA5" s="1331"/>
      <c r="AC5" s="1332"/>
      <c r="AD5" s="1324"/>
    </row>
    <row r="6" ht="15.0" customHeight="1">
      <c r="A6" s="1317"/>
      <c r="B6" s="1318">
        <f t="shared" si="1"/>
        <v>0.5</v>
      </c>
      <c r="C6" s="20"/>
      <c r="D6" s="21"/>
      <c r="E6" s="1319"/>
      <c r="F6" s="1320">
        <v>-2.0</v>
      </c>
      <c r="G6" s="21"/>
      <c r="H6" s="1321" t="str">
        <f>if(or(F6="",F6='Captains Card 1'!I37),"","X")</f>
        <v/>
      </c>
      <c r="I6" s="1322">
        <v>5.0</v>
      </c>
      <c r="J6" s="21"/>
      <c r="K6" s="1323" t="str">
        <f>if(or(L6="",L6='Captains Card 2'!I37),"","X")</f>
        <v/>
      </c>
      <c r="L6" s="1320">
        <v>-2.0</v>
      </c>
      <c r="M6" s="21"/>
      <c r="N6" s="1319"/>
      <c r="O6" s="1318">
        <f t="shared" si="2"/>
        <v>0.5</v>
      </c>
      <c r="P6" s="20"/>
      <c r="Q6" s="21"/>
      <c r="R6" s="1324"/>
      <c r="S6" s="1325"/>
      <c r="T6" s="1333"/>
      <c r="U6" s="1334"/>
      <c r="V6" s="1335"/>
      <c r="W6" s="1324"/>
      <c r="X6" s="1324"/>
      <c r="Y6" s="1329"/>
      <c r="Z6" s="1329"/>
      <c r="AA6" s="1333"/>
      <c r="AB6" s="1334"/>
      <c r="AC6" s="1335"/>
      <c r="AD6" s="1324"/>
    </row>
    <row r="7" ht="15.0" customHeight="1">
      <c r="A7" s="1317"/>
      <c r="B7" s="1318">
        <f t="shared" si="1"/>
        <v>0.5</v>
      </c>
      <c r="C7" s="20"/>
      <c r="D7" s="21"/>
      <c r="E7" s="1319"/>
      <c r="F7" s="1320">
        <v>0.0</v>
      </c>
      <c r="G7" s="21"/>
      <c r="H7" s="1321" t="str">
        <f>if(or(F7="",F7='Captains Card 1'!J37),"","X")</f>
        <v/>
      </c>
      <c r="I7" s="1322">
        <v>6.0</v>
      </c>
      <c r="J7" s="21"/>
      <c r="K7" s="1323" t="str">
        <f>if(or(L7="",L7='Captains Card 2'!J37),"","X")</f>
        <v/>
      </c>
      <c r="L7" s="1320">
        <v>0.0</v>
      </c>
      <c r="M7" s="21"/>
      <c r="N7" s="1319"/>
      <c r="O7" s="1318">
        <f t="shared" si="2"/>
        <v>0.5</v>
      </c>
      <c r="P7" s="20"/>
      <c r="Q7" s="21"/>
      <c r="R7" s="1324"/>
      <c r="S7" s="1325"/>
      <c r="T7" s="1336">
        <f>SCOREBOARD!D4</f>
        <v>37</v>
      </c>
      <c r="U7" s="1327"/>
      <c r="V7" s="1328"/>
      <c r="W7" s="1324"/>
      <c r="X7" s="1324"/>
      <c r="Y7" s="1329"/>
      <c r="Z7" s="1329"/>
      <c r="AA7" s="1337">
        <f>SCOREBOARD!O4</f>
        <v>46</v>
      </c>
      <c r="AB7" s="1327"/>
      <c r="AC7" s="1328"/>
      <c r="AD7" s="1324"/>
    </row>
    <row r="8" ht="15.0" customHeight="1">
      <c r="A8" s="1317"/>
      <c r="B8" s="1318">
        <f t="shared" si="1"/>
        <v>0.5</v>
      </c>
      <c r="C8" s="20"/>
      <c r="D8" s="21"/>
      <c r="E8" s="1319"/>
      <c r="F8" s="1320">
        <v>-2.0</v>
      </c>
      <c r="G8" s="21"/>
      <c r="H8" s="1321" t="str">
        <f>if(or(F8="",F8='Captains Card 1'!K37),"","X")</f>
        <v/>
      </c>
      <c r="I8" s="1322">
        <v>7.0</v>
      </c>
      <c r="J8" s="21"/>
      <c r="K8" s="1323" t="str">
        <f>if(or(L8="",L8='Captains Card 2'!K37),"","X")</f>
        <v/>
      </c>
      <c r="L8" s="1320">
        <v>-2.0</v>
      </c>
      <c r="M8" s="21"/>
      <c r="N8" s="1319"/>
      <c r="O8" s="1318">
        <f t="shared" si="2"/>
        <v>0.5</v>
      </c>
      <c r="P8" s="20"/>
      <c r="Q8" s="21"/>
      <c r="R8" s="1324"/>
      <c r="S8" s="1325"/>
      <c r="T8" s="1331"/>
      <c r="V8" s="1332"/>
      <c r="W8" s="1324"/>
      <c r="X8" s="1324"/>
      <c r="Y8" s="1329"/>
      <c r="Z8" s="1329"/>
      <c r="AA8" s="1331"/>
      <c r="AC8" s="1332"/>
      <c r="AD8" s="1324"/>
    </row>
    <row r="9" ht="15.0" customHeight="1">
      <c r="A9" s="1317"/>
      <c r="B9" s="1318">
        <f t="shared" si="1"/>
        <v>0.5</v>
      </c>
      <c r="C9" s="20"/>
      <c r="D9" s="21"/>
      <c r="E9" s="1319"/>
      <c r="F9" s="1320">
        <v>-2.0</v>
      </c>
      <c r="G9" s="21"/>
      <c r="H9" s="1321" t="str">
        <f>if(or(F9="",F9='Captains Card 1'!L37),"","X")</f>
        <v/>
      </c>
      <c r="I9" s="1322">
        <v>8.0</v>
      </c>
      <c r="J9" s="21"/>
      <c r="K9" s="1323" t="str">
        <f>if(or(L9="",L9='Captains Card 2'!L37),"","X")</f>
        <v/>
      </c>
      <c r="L9" s="1320">
        <v>-2.0</v>
      </c>
      <c r="M9" s="21"/>
      <c r="N9" s="1319"/>
      <c r="O9" s="1318">
        <f t="shared" si="2"/>
        <v>0.5</v>
      </c>
      <c r="P9" s="20"/>
      <c r="Q9" s="21"/>
      <c r="R9" s="1324"/>
      <c r="S9" s="1325"/>
      <c r="T9" s="1331"/>
      <c r="V9" s="1332"/>
      <c r="W9" s="1324"/>
      <c r="X9" s="1324"/>
      <c r="Y9" s="1329"/>
      <c r="Z9" s="1329"/>
      <c r="AA9" s="1331"/>
      <c r="AC9" s="1332"/>
      <c r="AD9" s="1324"/>
    </row>
    <row r="10" ht="15.0" customHeight="1">
      <c r="A10" s="1317"/>
      <c r="B10" s="1318">
        <f t="shared" si="1"/>
        <v>0</v>
      </c>
      <c r="C10" s="20"/>
      <c r="D10" s="21"/>
      <c r="E10" s="1319"/>
      <c r="F10" s="1320">
        <v>-2.0</v>
      </c>
      <c r="G10" s="21"/>
      <c r="H10" s="1321" t="str">
        <f>if(or(F10="",F10='Captains Card 1'!M37),"","X")</f>
        <v/>
      </c>
      <c r="I10" s="1322">
        <v>9.0</v>
      </c>
      <c r="J10" s="21"/>
      <c r="K10" s="1323" t="str">
        <f>if(or(L10="",L10='Captains Card 2'!M37),"","X")</f>
        <v/>
      </c>
      <c r="L10" s="1320">
        <v>-4.0</v>
      </c>
      <c r="M10" s="21"/>
      <c r="N10" s="1319"/>
      <c r="O10" s="1318">
        <f t="shared" si="2"/>
        <v>1</v>
      </c>
      <c r="P10" s="20"/>
      <c r="Q10" s="21"/>
      <c r="R10" s="1324"/>
      <c r="S10" s="1325"/>
      <c r="T10" s="1331"/>
      <c r="V10" s="1332"/>
      <c r="W10" s="1324"/>
      <c r="X10" s="1324"/>
      <c r="Y10" s="1329"/>
      <c r="Z10" s="1329"/>
      <c r="AA10" s="1331"/>
      <c r="AC10" s="1332"/>
      <c r="AD10" s="1324"/>
    </row>
    <row r="11" ht="11.25" customHeight="1">
      <c r="A11" s="1317"/>
      <c r="B11" s="1319"/>
      <c r="C11" s="1319"/>
      <c r="D11" s="1319"/>
      <c r="E11" s="1319"/>
      <c r="F11" s="1319"/>
      <c r="G11" s="1319"/>
      <c r="H11" s="1321"/>
      <c r="I11" s="1338"/>
      <c r="J11" s="1338"/>
      <c r="K11" s="1321"/>
      <c r="L11" s="1319"/>
      <c r="M11" s="1319"/>
      <c r="N11" s="1319"/>
      <c r="O11" s="1319"/>
      <c r="P11" s="1319"/>
      <c r="Q11" s="1319"/>
      <c r="R11" s="1324"/>
      <c r="S11" s="1325"/>
      <c r="T11" s="1331"/>
      <c r="V11" s="1332"/>
      <c r="W11" s="1324"/>
      <c r="X11" s="1324"/>
      <c r="Y11" s="1329"/>
      <c r="Z11" s="1329"/>
      <c r="AA11" s="1331"/>
      <c r="AC11" s="1332"/>
      <c r="AD11" s="1324"/>
    </row>
    <row r="12" ht="15.0" customHeight="1">
      <c r="A12" s="1317"/>
      <c r="B12" s="1318">
        <f t="shared" ref="B12:B20" si="3">if(or(F12="", L12=""),"-",if(F12&lt;L12,2, if(F12=L12, 1,0)))</f>
        <v>0</v>
      </c>
      <c r="C12" s="20"/>
      <c r="D12" s="21"/>
      <c r="E12" s="1319"/>
      <c r="F12" s="1320">
        <v>1.0</v>
      </c>
      <c r="G12" s="21"/>
      <c r="H12" s="1321" t="str">
        <f>if(or(F12="",F12='Captains Card 1'!Q37),"","X")</f>
        <v/>
      </c>
      <c r="I12" s="1322">
        <v>10.0</v>
      </c>
      <c r="J12" s="21"/>
      <c r="K12" s="1323" t="str">
        <f>if(or(L12="",L12='Captains Card 2'!Q37),"","X")</f>
        <v/>
      </c>
      <c r="L12" s="1320">
        <v>-1.0</v>
      </c>
      <c r="M12" s="21"/>
      <c r="N12" s="1319"/>
      <c r="O12" s="1318">
        <f t="shared" ref="O12:O20" si="4">if(or(F12="", L12=""),"-",if(F12&gt;L12,2, if(F12=L12, 1,0)))</f>
        <v>2</v>
      </c>
      <c r="P12" s="20"/>
      <c r="Q12" s="21"/>
      <c r="R12" s="1324"/>
      <c r="S12" s="1325"/>
      <c r="T12" s="1331"/>
      <c r="V12" s="1332"/>
      <c r="W12" s="1324"/>
      <c r="X12" s="1324"/>
      <c r="Y12" s="1329"/>
      <c r="Z12" s="1329"/>
      <c r="AA12" s="1331"/>
      <c r="AC12" s="1332"/>
      <c r="AD12" s="1324"/>
    </row>
    <row r="13" ht="15.0" customHeight="1">
      <c r="A13" s="1317"/>
      <c r="B13" s="1318">
        <f t="shared" si="3"/>
        <v>2</v>
      </c>
      <c r="C13" s="20"/>
      <c r="D13" s="21"/>
      <c r="E13" s="1319"/>
      <c r="F13" s="1320">
        <v>-2.0</v>
      </c>
      <c r="G13" s="21"/>
      <c r="H13" s="1321" t="str">
        <f>if(or(F13="",F13='Captains Card 1'!R37),"","X")</f>
        <v/>
      </c>
      <c r="I13" s="1322">
        <v>11.0</v>
      </c>
      <c r="J13" s="21"/>
      <c r="K13" s="1323" t="str">
        <f>if(or(L13="",L13='Captains Card 2'!R37),"","X")</f>
        <v/>
      </c>
      <c r="L13" s="1320">
        <v>1.0</v>
      </c>
      <c r="M13" s="21"/>
      <c r="N13" s="1319"/>
      <c r="O13" s="1318">
        <f t="shared" si="4"/>
        <v>0</v>
      </c>
      <c r="P13" s="20"/>
      <c r="Q13" s="21"/>
      <c r="R13" s="1324"/>
      <c r="S13" s="1325"/>
      <c r="T13" s="1331"/>
      <c r="V13" s="1332"/>
      <c r="W13" s="1324"/>
      <c r="X13" s="1324"/>
      <c r="Y13" s="1329"/>
      <c r="Z13" s="1329"/>
      <c r="AA13" s="1331"/>
      <c r="AC13" s="1332"/>
      <c r="AD13" s="1324"/>
    </row>
    <row r="14" ht="15.0" customHeight="1">
      <c r="A14" s="1317"/>
      <c r="B14" s="1318">
        <f t="shared" si="3"/>
        <v>1</v>
      </c>
      <c r="C14" s="20"/>
      <c r="D14" s="21"/>
      <c r="E14" s="1319"/>
      <c r="F14" s="1320">
        <v>-1.0</v>
      </c>
      <c r="G14" s="21"/>
      <c r="H14" s="1321" t="str">
        <f>if(or(F14="",F14='Captains Card 1'!S37),"","X")</f>
        <v/>
      </c>
      <c r="I14" s="1322">
        <v>12.0</v>
      </c>
      <c r="J14" s="21"/>
      <c r="K14" s="1323" t="str">
        <f>if(or(L14="",L14='Captains Card 2'!S37),"","X")</f>
        <v/>
      </c>
      <c r="L14" s="1320">
        <v>-1.0</v>
      </c>
      <c r="M14" s="21"/>
      <c r="N14" s="1319"/>
      <c r="O14" s="1318">
        <f t="shared" si="4"/>
        <v>1</v>
      </c>
      <c r="P14" s="20"/>
      <c r="Q14" s="21"/>
      <c r="R14" s="1324"/>
      <c r="S14" s="1325"/>
      <c r="T14" s="1331"/>
      <c r="V14" s="1332"/>
      <c r="W14" s="1324"/>
      <c r="X14" s="1324"/>
      <c r="Y14" s="1329"/>
      <c r="Z14" s="1329"/>
      <c r="AA14" s="1331"/>
      <c r="AC14" s="1332"/>
      <c r="AD14" s="1324"/>
    </row>
    <row r="15" ht="15.0" customHeight="1">
      <c r="A15" s="1317"/>
      <c r="B15" s="1318">
        <f t="shared" si="3"/>
        <v>0</v>
      </c>
      <c r="C15" s="20"/>
      <c r="D15" s="21"/>
      <c r="E15" s="1319"/>
      <c r="F15" s="1320">
        <v>2.0</v>
      </c>
      <c r="G15" s="21"/>
      <c r="H15" s="1321" t="str">
        <f>if(or(F15="",F15='Captains Card 1'!T37),"","X")</f>
        <v/>
      </c>
      <c r="I15" s="1322">
        <v>13.0</v>
      </c>
      <c r="J15" s="21"/>
      <c r="K15" s="1323" t="str">
        <f>if(or(L15="",L15='Captains Card 2'!T37),"","X")</f>
        <v/>
      </c>
      <c r="L15" s="1320">
        <v>1.0</v>
      </c>
      <c r="M15" s="21"/>
      <c r="N15" s="1319"/>
      <c r="O15" s="1318">
        <f t="shared" si="4"/>
        <v>2</v>
      </c>
      <c r="P15" s="20"/>
      <c r="Q15" s="21"/>
      <c r="R15" s="1324"/>
      <c r="S15" s="1325"/>
      <c r="T15" s="1331"/>
      <c r="V15" s="1332"/>
      <c r="W15" s="1324"/>
      <c r="X15" s="1324"/>
      <c r="Y15" s="1329"/>
      <c r="Z15" s="1329"/>
      <c r="AA15" s="1331"/>
      <c r="AC15" s="1332"/>
      <c r="AD15" s="1324"/>
    </row>
    <row r="16" ht="15.0" customHeight="1">
      <c r="A16" s="1317"/>
      <c r="B16" s="1318">
        <f t="shared" si="3"/>
        <v>2</v>
      </c>
      <c r="C16" s="20"/>
      <c r="D16" s="21"/>
      <c r="E16" s="1319"/>
      <c r="F16" s="1320">
        <v>-6.0</v>
      </c>
      <c r="G16" s="21"/>
      <c r="H16" s="1321" t="str">
        <f>if(or(F16="",F16='Captains Card 1'!U37),"","X")</f>
        <v/>
      </c>
      <c r="I16" s="1322">
        <v>14.0</v>
      </c>
      <c r="J16" s="21"/>
      <c r="K16" s="1323" t="str">
        <f>if(or(L16="",L16='Captains Card 2'!U37),"","X")</f>
        <v/>
      </c>
      <c r="L16" s="1320">
        <v>-3.0</v>
      </c>
      <c r="M16" s="21"/>
      <c r="N16" s="1319"/>
      <c r="O16" s="1318">
        <f t="shared" si="4"/>
        <v>0</v>
      </c>
      <c r="P16" s="20"/>
      <c r="Q16" s="21"/>
      <c r="R16" s="1324"/>
      <c r="S16" s="1325"/>
      <c r="T16" s="1333"/>
      <c r="U16" s="1334"/>
      <c r="V16" s="1335"/>
      <c r="W16" s="1324"/>
      <c r="X16" s="1324"/>
      <c r="Y16" s="1329"/>
      <c r="Z16" s="1329"/>
      <c r="AA16" s="1333"/>
      <c r="AB16" s="1334"/>
      <c r="AC16" s="1335"/>
      <c r="AD16" s="1324"/>
    </row>
    <row r="17" ht="15.0" customHeight="1">
      <c r="A17" s="1317"/>
      <c r="B17" s="1318">
        <f t="shared" si="3"/>
        <v>2</v>
      </c>
      <c r="C17" s="20"/>
      <c r="D17" s="21"/>
      <c r="E17" s="1319"/>
      <c r="F17" s="1320">
        <v>-3.0</v>
      </c>
      <c r="G17" s="21"/>
      <c r="H17" s="1321" t="str">
        <f>if(or(F17="",F17='Captains Card 1'!V37),"","X")</f>
        <v/>
      </c>
      <c r="I17" s="1322">
        <v>15.0</v>
      </c>
      <c r="J17" s="21"/>
      <c r="K17" s="1323" t="str">
        <f>if(or(L17="",L17='Captains Card 2'!V37),"","X")</f>
        <v/>
      </c>
      <c r="L17" s="1320">
        <v>-1.0</v>
      </c>
      <c r="M17" s="21"/>
      <c r="N17" s="1319"/>
      <c r="O17" s="1318">
        <f t="shared" si="4"/>
        <v>0</v>
      </c>
      <c r="P17" s="20"/>
      <c r="Q17" s="21"/>
      <c r="R17" s="1324"/>
      <c r="S17" s="1325"/>
      <c r="T17" s="1326" t="s">
        <v>240</v>
      </c>
      <c r="U17" s="1327"/>
      <c r="V17" s="1328"/>
      <c r="W17" s="1324"/>
      <c r="X17" s="1324"/>
      <c r="Y17" s="1329"/>
      <c r="Z17" s="1329"/>
      <c r="AA17" s="1330" t="s">
        <v>241</v>
      </c>
      <c r="AB17" s="1327"/>
      <c r="AC17" s="1328"/>
      <c r="AD17" s="1324"/>
    </row>
    <row r="18" ht="15.0" customHeight="1">
      <c r="A18" s="1317"/>
      <c r="B18" s="1318">
        <f t="shared" si="3"/>
        <v>0</v>
      </c>
      <c r="C18" s="20"/>
      <c r="D18" s="21"/>
      <c r="E18" s="1319"/>
      <c r="F18" s="1320">
        <v>2.0</v>
      </c>
      <c r="G18" s="21"/>
      <c r="H18" s="1321" t="str">
        <f>if(or(F18="",F18='Captains Card 1'!W37),"","X")</f>
        <v/>
      </c>
      <c r="I18" s="1322">
        <v>16.0</v>
      </c>
      <c r="J18" s="21"/>
      <c r="K18" s="1323" t="str">
        <f>if(or(L18="",L18='Captains Card 2'!W37),"","X")</f>
        <v/>
      </c>
      <c r="L18" s="1320">
        <v>1.0</v>
      </c>
      <c r="M18" s="21"/>
      <c r="N18" s="1319"/>
      <c r="O18" s="1318">
        <f t="shared" si="4"/>
        <v>2</v>
      </c>
      <c r="P18" s="20"/>
      <c r="Q18" s="21"/>
      <c r="R18" s="1324"/>
      <c r="S18" s="1325"/>
      <c r="T18" s="1331"/>
      <c r="V18" s="1332"/>
      <c r="W18" s="1324"/>
      <c r="X18" s="1324"/>
      <c r="Y18" s="1329"/>
      <c r="Z18" s="1329"/>
      <c r="AA18" s="1331"/>
      <c r="AC18" s="1332"/>
      <c r="AD18" s="1324"/>
    </row>
    <row r="19" ht="15.0" customHeight="1">
      <c r="A19" s="1317"/>
      <c r="B19" s="1318">
        <f t="shared" si="3"/>
        <v>0</v>
      </c>
      <c r="C19" s="20"/>
      <c r="D19" s="21"/>
      <c r="E19" s="1319"/>
      <c r="F19" s="1320">
        <v>-1.0</v>
      </c>
      <c r="G19" s="21"/>
      <c r="H19" s="1321" t="str">
        <f>if(or(F19="",F19='Captains Card 1'!X37),"","X")</f>
        <v/>
      </c>
      <c r="I19" s="1322">
        <v>17.0</v>
      </c>
      <c r="J19" s="21"/>
      <c r="K19" s="1323" t="str">
        <f>if(or(L19="",L19='Captains Card 2'!X37),"","X")</f>
        <v/>
      </c>
      <c r="L19" s="1320">
        <v>-4.0</v>
      </c>
      <c r="M19" s="21"/>
      <c r="N19" s="1319"/>
      <c r="O19" s="1318">
        <f t="shared" si="4"/>
        <v>2</v>
      </c>
      <c r="P19" s="20"/>
      <c r="Q19" s="21"/>
      <c r="R19" s="1324"/>
      <c r="S19" s="1325"/>
      <c r="T19" s="1333"/>
      <c r="U19" s="1334"/>
      <c r="V19" s="1335"/>
      <c r="W19" s="1324"/>
      <c r="X19" s="1324"/>
      <c r="Y19" s="1329"/>
      <c r="Z19" s="1329"/>
      <c r="AA19" s="1333"/>
      <c r="AB19" s="1334"/>
      <c r="AC19" s="1335"/>
      <c r="AD19" s="1324"/>
    </row>
    <row r="20" ht="15.0" customHeight="1">
      <c r="A20" s="1317"/>
      <c r="B20" s="1318">
        <f t="shared" si="3"/>
        <v>0</v>
      </c>
      <c r="C20" s="20"/>
      <c r="D20" s="21"/>
      <c r="E20" s="1319"/>
      <c r="F20" s="1320">
        <v>1.0</v>
      </c>
      <c r="G20" s="21"/>
      <c r="H20" s="1321" t="str">
        <f>if(or(F20="",F20='Captains Card 1'!Y37),"","X")</f>
        <v/>
      </c>
      <c r="I20" s="1322">
        <v>18.0</v>
      </c>
      <c r="J20" s="21"/>
      <c r="K20" s="1323" t="str">
        <f>if(or(L20="",L20='Captains Card 2'!Y37),"","X")</f>
        <v/>
      </c>
      <c r="L20" s="1320">
        <v>0.0</v>
      </c>
      <c r="M20" s="21"/>
      <c r="N20" s="1319"/>
      <c r="O20" s="1318">
        <f t="shared" si="4"/>
        <v>2</v>
      </c>
      <c r="P20" s="20"/>
      <c r="Q20" s="21"/>
      <c r="R20" s="1324"/>
      <c r="S20" s="1325"/>
      <c r="T20" s="1339" t="str">
        <f>if(and(AA7&lt;42,T7&lt;42), "", if(and(T7=41.5, AA7=41.5),"TIE",if(AA7&gt;=42, "Drinkin' Time","CHAMPIONS")))</f>
        <v>Drinkin' Time</v>
      </c>
      <c r="W20" s="1329"/>
      <c r="X20" s="1340"/>
      <c r="Y20" s="1340"/>
      <c r="Z20" s="1340"/>
      <c r="AA20" s="1341" t="str">
        <f>if(and(AA7&lt;42,T7&lt;42), "", if(and(AA7=41.5, T7=41.5),"TIE",if(T7&gt;=42, "Drinkin' Time","CHAMPIONS")))</f>
        <v>CHAMPIONS</v>
      </c>
      <c r="AD20" s="1324"/>
    </row>
    <row r="21" ht="22.5" customHeight="1">
      <c r="A21" s="1317"/>
      <c r="B21" s="1313" t="s">
        <v>16</v>
      </c>
      <c r="E21" s="1313" t="s">
        <v>50</v>
      </c>
      <c r="I21" s="1314"/>
      <c r="K21" s="1315" t="s">
        <v>50</v>
      </c>
      <c r="O21" s="1315" t="s">
        <v>16</v>
      </c>
      <c r="R21" s="1324"/>
      <c r="S21" s="1325"/>
      <c r="W21" s="1340"/>
      <c r="X21" s="1340"/>
      <c r="Y21" s="1340"/>
      <c r="Z21" s="1340"/>
      <c r="AD21" s="1324"/>
    </row>
    <row r="22" ht="15.0" customHeight="1">
      <c r="A22" s="1317"/>
      <c r="B22" s="1342">
        <f>sum(B2:B20)</f>
        <v>10.5</v>
      </c>
      <c r="C22" s="20"/>
      <c r="D22" s="21"/>
      <c r="E22" s="1343"/>
      <c r="F22" s="1344">
        <f>sum(F2:G20)</f>
        <v>-14</v>
      </c>
      <c r="G22" s="21"/>
      <c r="H22" s="1345" t="s">
        <v>52</v>
      </c>
      <c r="L22" s="1344">
        <f>sum(L2:M20)</f>
        <v>-18</v>
      </c>
      <c r="M22" s="21"/>
      <c r="N22" s="1343"/>
      <c r="O22" s="1342">
        <f>sum(O2:O20)</f>
        <v>16.5</v>
      </c>
      <c r="P22" s="20"/>
      <c r="Q22" s="21"/>
      <c r="R22" s="1324"/>
      <c r="S22" s="1324"/>
      <c r="W22" s="1340" t="str">
        <f>if(and(T7+AA7&gt;83, T7&gt;AA7),"&lt;&lt;&lt;   Tie Breaker       ", if(and(T7+AA7&gt;83, T7&lt;AA7),"       Tie Breaker   &gt;&gt;&gt;","42 Points to Win"))</f>
        <v>42 Points to Win</v>
      </c>
      <c r="AD22" s="1324"/>
    </row>
    <row r="23" ht="11.25" customHeight="1">
      <c r="A23" s="1317"/>
      <c r="B23" s="1319"/>
      <c r="C23" s="1319"/>
      <c r="D23" s="1346"/>
      <c r="E23" s="1346"/>
      <c r="F23" s="1319"/>
      <c r="G23" s="1347"/>
      <c r="H23" s="1348"/>
      <c r="I23" s="1348"/>
      <c r="J23" s="1348"/>
      <c r="K23" s="1348"/>
      <c r="L23" s="1347"/>
      <c r="M23" s="1346"/>
      <c r="N23" s="1346"/>
      <c r="O23" s="1346"/>
      <c r="P23" s="1346"/>
      <c r="Q23" s="1346"/>
      <c r="R23" s="1324"/>
      <c r="S23" s="1324"/>
      <c r="AD23" s="1324"/>
    </row>
    <row r="24" ht="15.0" customHeight="1">
      <c r="A24" s="1317"/>
      <c r="B24" s="1318" t="str">
        <f>if(or(F20="",L20="",
sum(SCOREBOARD!D17,SCOREBOARD!D26,SCOREBOARD!D35,SCOREBOARD!D44,SCOREBOARD!D57,SCOREBOARD!D66,SCOREBOARD!D75,SCOREBOARD!D84,SCOREBOARD!D93,SCOREBOARD!D102,SCOREBOARD!D111,SCOREBOARD!D120,SCOREBOARD!D133,SCOREBOARD!D142,SCOREBOARD!D151,SCOREBOARD!D160,SCOREBOARD!D190)
&lt;&gt;
sum(SCOREBOARD!Q17,SCOREBOARD!Q26,SCOREBOARD!Q35,SCOREBOARD!Q44,SCOREBOARD!Q57,SCOREBOARD!Q66,SCOREBOARD!Q75,SCOREBOARD!Q84,SCOREBOARD!Q93,SCOREBOARD!Q102,SCOREBOARD!Q111,SCOREBOARD!Q120,SCOREBOARD!Q133,SCOREBOARD!Q142,SCOREBOARD!Q151,SCOREBOARD!Q160,SCOREBOARD!Q190)),"",
if(F22&lt;L22,0.5,
if(and(F22=L22,F20&lt;L20),0.5,
if(and(F22=L22,F20=L20,F19&lt;L19),0.5,
if(and(F22=L22,F20=L20,F19=L19,F18&lt;L18),0.5,0)))))</f>
        <v/>
      </c>
      <c r="C24" s="20"/>
      <c r="D24" s="21"/>
      <c r="E24" s="1319"/>
      <c r="F24" s="1348" t="s">
        <v>53</v>
      </c>
      <c r="N24" s="1319"/>
      <c r="O24" s="1318" t="str">
        <f>if(or(F20="",L20="",
sum(SCOREBOARD!D17,SCOREBOARD!D26,SCOREBOARD!D35,SCOREBOARD!D44,SCOREBOARD!D57,SCOREBOARD!D66,SCOREBOARD!D75,SCOREBOARD!D84,SCOREBOARD!D93,SCOREBOARD!D102,SCOREBOARD!D111,SCOREBOARD!D120,SCOREBOARD!D133,SCOREBOARD!D142,SCOREBOARD!D151,SCOREBOARD!D160,SCOREBOARD!D190)
&lt;&gt;
sum(SCOREBOARD!Q17,SCOREBOARD!Q26,SCOREBOARD!Q35,SCOREBOARD!Q44,SCOREBOARD!Q57,SCOREBOARD!Q66,SCOREBOARD!Q75,SCOREBOARD!Q84,SCOREBOARD!Q93,SCOREBOARD!Q102,SCOREBOARD!Q111,SCOREBOARD!Q120,SCOREBOARD!Q133,SCOREBOARD!Q142,SCOREBOARD!Q151,SCOREBOARD!Q160,SCOREBOARD!Q190)),"",if(F22&gt;L22,0.5,if(and(F22=L22,F20&gt;L20),0.5,if(and(F22=L22,F20=L20,F19&gt;L19),0.5,if(and(F22=L22,F20=L20,F19=L19,F18&gt;L18),0.5,0)))))</f>
        <v/>
      </c>
      <c r="P24" s="20"/>
      <c r="Q24" s="21"/>
      <c r="R24" s="1324"/>
      <c r="S24" s="1324"/>
      <c r="W24" s="1349" t="s">
        <v>242</v>
      </c>
      <c r="AD24" s="1324"/>
    </row>
    <row r="25" ht="25.5" customHeight="1">
      <c r="A25" s="1317"/>
      <c r="B25" s="1350"/>
      <c r="C25" s="1350"/>
      <c r="D25" s="1350"/>
      <c r="E25" s="1319"/>
      <c r="F25" s="1348"/>
      <c r="G25" s="1348"/>
      <c r="H25" s="1348"/>
      <c r="I25" s="1348"/>
      <c r="J25" s="1348"/>
      <c r="K25" s="1348"/>
      <c r="L25" s="1348"/>
      <c r="M25" s="1348"/>
      <c r="N25" s="1319"/>
      <c r="O25" s="1350"/>
      <c r="P25" s="1350"/>
      <c r="Q25" s="1350"/>
      <c r="R25" s="1324"/>
      <c r="S25" s="1324"/>
      <c r="T25" s="1351"/>
      <c r="U25" s="1351"/>
      <c r="V25" s="1351"/>
      <c r="AA25" s="1351"/>
      <c r="AB25" s="1351"/>
      <c r="AC25" s="1351"/>
      <c r="AD25" s="1324"/>
    </row>
    <row r="26" hidden="1">
      <c r="A26" s="1317"/>
      <c r="B26" s="1352"/>
      <c r="C26" s="1352"/>
      <c r="D26" s="1352"/>
      <c r="E26" s="1352"/>
      <c r="F26" s="1352"/>
      <c r="G26" s="1352"/>
      <c r="H26" s="1352"/>
      <c r="I26" s="1352"/>
      <c r="J26" s="1352"/>
      <c r="K26" s="1352"/>
      <c r="L26" s="1352"/>
      <c r="M26" s="1352"/>
      <c r="N26" s="1352"/>
      <c r="O26" s="1352"/>
      <c r="P26" s="1352"/>
      <c r="Q26" s="1352"/>
      <c r="R26" s="1353"/>
      <c r="S26" s="1353"/>
      <c r="T26" s="1354"/>
      <c r="U26" s="1354"/>
      <c r="V26" s="1354"/>
      <c r="W26" s="1353"/>
      <c r="X26" s="1353"/>
      <c r="Y26" s="1353"/>
      <c r="Z26" s="1353"/>
      <c r="AA26" s="1354"/>
      <c r="AB26" s="1354"/>
      <c r="AC26" s="1354"/>
      <c r="AD26" s="1353"/>
    </row>
    <row r="27" hidden="1">
      <c r="A27" s="1317"/>
      <c r="B27" s="1355"/>
      <c r="C27" s="1355"/>
      <c r="D27" s="1355"/>
      <c r="E27" s="1355"/>
      <c r="F27" s="1355"/>
      <c r="G27" s="1355"/>
      <c r="H27" s="1355"/>
      <c r="I27" s="1355"/>
      <c r="J27" s="1355"/>
      <c r="K27" s="1355"/>
      <c r="L27" s="1355"/>
      <c r="M27" s="1355"/>
      <c r="N27" s="1355"/>
      <c r="O27" s="1355"/>
      <c r="P27" s="1355"/>
      <c r="Q27" s="1355"/>
      <c r="R27" s="1324"/>
      <c r="S27" s="1324"/>
      <c r="T27" s="1356"/>
      <c r="U27" s="1356"/>
      <c r="V27" s="1356"/>
      <c r="W27" s="1324"/>
      <c r="X27" s="1324"/>
      <c r="Y27" s="1324"/>
      <c r="Z27" s="1324"/>
      <c r="AA27" s="1356"/>
      <c r="AB27" s="1356"/>
      <c r="AC27" s="1356"/>
      <c r="AD27" s="1324"/>
    </row>
    <row r="28" hidden="1">
      <c r="A28" s="1317"/>
      <c r="B28" s="1355"/>
      <c r="C28" s="1355"/>
      <c r="D28" s="1355"/>
      <c r="E28" s="1355"/>
      <c r="F28" s="1355"/>
      <c r="G28" s="1355"/>
      <c r="H28" s="1355"/>
      <c r="I28" s="1355"/>
      <c r="J28" s="1355"/>
      <c r="K28" s="1355"/>
      <c r="L28" s="1355"/>
      <c r="M28" s="1355"/>
      <c r="N28" s="1355"/>
      <c r="O28" s="1355"/>
      <c r="P28" s="1355"/>
      <c r="Q28" s="1355"/>
      <c r="R28" s="1324"/>
      <c r="S28" s="1324"/>
      <c r="T28" s="1356"/>
      <c r="U28" s="1356"/>
      <c r="V28" s="1356"/>
      <c r="W28" s="1324"/>
      <c r="X28" s="1324"/>
      <c r="Y28" s="1324"/>
      <c r="Z28" s="1324"/>
      <c r="AA28" s="1356"/>
      <c r="AB28" s="1356"/>
      <c r="AC28" s="1356"/>
      <c r="AD28" s="1324"/>
    </row>
    <row r="29" hidden="1">
      <c r="A29" s="1317"/>
      <c r="B29" s="1355"/>
      <c r="C29" s="1355"/>
      <c r="D29" s="1355"/>
      <c r="E29" s="1355"/>
      <c r="F29" s="1357">
        <f>'Captains Card 2'!E37</f>
        <v>-3</v>
      </c>
      <c r="G29" s="1329"/>
      <c r="H29" s="1329"/>
      <c r="I29" s="1329"/>
      <c r="J29" s="1329"/>
      <c r="K29" s="1329"/>
      <c r="L29" s="1358">
        <f>'Captains Card 1'!E37</f>
        <v>-3</v>
      </c>
      <c r="M29" s="1329"/>
      <c r="N29" s="1329"/>
      <c r="O29" s="1329"/>
      <c r="P29" s="1329"/>
      <c r="Q29" s="1329"/>
      <c r="R29" s="1329"/>
      <c r="S29" s="1329"/>
      <c r="T29" s="1329"/>
      <c r="U29" s="1329"/>
      <c r="V29" s="1329"/>
      <c r="W29" s="1329"/>
      <c r="X29" s="1329"/>
      <c r="Y29" s="1329"/>
      <c r="Z29" s="1329"/>
      <c r="AA29" s="1329"/>
      <c r="AB29" s="1329"/>
      <c r="AC29" s="1329" t="str">
        <f>'Captains Card 1'!Z31</f>
        <v/>
      </c>
      <c r="AD29" s="1329"/>
    </row>
    <row r="30" hidden="1">
      <c r="A30" s="1317"/>
      <c r="B30" s="1355"/>
      <c r="C30" s="1355"/>
      <c r="D30" s="1355"/>
      <c r="E30" s="1355"/>
      <c r="F30" s="1357">
        <f>'Captains Card 2'!F37</f>
        <v>0</v>
      </c>
      <c r="G30" s="1355"/>
      <c r="H30" s="1355"/>
      <c r="I30" s="1355"/>
      <c r="J30" s="1355"/>
      <c r="K30" s="1355"/>
      <c r="L30" s="1358">
        <f>'Captains Card 1'!F37</f>
        <v>2</v>
      </c>
      <c r="M30" s="1355"/>
      <c r="N30" s="1355"/>
      <c r="O30" s="1355"/>
      <c r="P30" s="1355"/>
      <c r="Q30" s="1355"/>
      <c r="R30" s="1324"/>
      <c r="S30" s="1324"/>
      <c r="T30" s="1356"/>
      <c r="U30" s="1356"/>
      <c r="V30" s="1356"/>
      <c r="W30" s="1324"/>
      <c r="X30" s="1324"/>
      <c r="Y30" s="1324"/>
      <c r="Z30" s="1324"/>
      <c r="AA30" s="1356"/>
      <c r="AB30" s="1356"/>
      <c r="AC30" s="1356"/>
      <c r="AD30" s="1324"/>
    </row>
    <row r="31" hidden="1">
      <c r="A31" s="1317"/>
      <c r="B31" s="1355"/>
      <c r="C31" s="1355"/>
      <c r="D31" s="1355"/>
      <c r="E31" s="1355"/>
      <c r="F31" s="1357">
        <f>'Captains Card 2'!G37</f>
        <v>2</v>
      </c>
      <c r="G31" s="1355"/>
      <c r="H31" s="1355"/>
      <c r="I31" s="1355"/>
      <c r="J31" s="1355"/>
      <c r="K31" s="1355"/>
      <c r="L31" s="1358">
        <f>'Captains Card 1'!G37</f>
        <v>1</v>
      </c>
      <c r="M31" s="1355"/>
      <c r="N31" s="1355"/>
      <c r="O31" s="1355"/>
      <c r="P31" s="1355"/>
      <c r="Q31" s="1355"/>
      <c r="R31" s="1324"/>
      <c r="S31" s="1324"/>
      <c r="T31" s="1356"/>
      <c r="U31" s="1356"/>
      <c r="V31" s="1356"/>
      <c r="W31" s="1324"/>
      <c r="X31" s="1324"/>
      <c r="Y31" s="1324"/>
      <c r="Z31" s="1324"/>
      <c r="AA31" s="1356"/>
      <c r="AB31" s="1356"/>
      <c r="AC31" s="1356"/>
      <c r="AD31" s="1324"/>
    </row>
    <row r="32" hidden="1">
      <c r="A32" s="1317"/>
      <c r="B32" s="1355"/>
      <c r="C32" s="1355"/>
      <c r="D32" s="1355"/>
      <c r="E32" s="1355"/>
      <c r="F32" s="1357">
        <f>'Captains Card 2'!H37</f>
        <v>0</v>
      </c>
      <c r="G32" s="1355"/>
      <c r="H32" s="1355"/>
      <c r="I32" s="1355"/>
      <c r="J32" s="1355"/>
      <c r="K32" s="1355"/>
      <c r="L32" s="1358">
        <f>'Captains Card 1'!H37</f>
        <v>1</v>
      </c>
      <c r="M32" s="1355"/>
      <c r="N32" s="1355"/>
      <c r="O32" s="1355"/>
      <c r="P32" s="1355"/>
      <c r="Q32" s="1355"/>
      <c r="R32" s="1324"/>
      <c r="S32" s="1324"/>
      <c r="T32" s="1356"/>
      <c r="U32" s="1356"/>
      <c r="V32" s="1356"/>
      <c r="W32" s="1324"/>
      <c r="X32" s="1324"/>
      <c r="Y32" s="1324"/>
      <c r="Z32" s="1324"/>
      <c r="AA32" s="1356"/>
      <c r="AB32" s="1356"/>
      <c r="AC32" s="1356"/>
      <c r="AD32" s="1324"/>
    </row>
    <row r="33" hidden="1">
      <c r="A33" s="1317"/>
      <c r="B33" s="1355"/>
      <c r="C33" s="1355"/>
      <c r="D33" s="1355"/>
      <c r="E33" s="1355"/>
      <c r="F33" s="1357">
        <f>'Captains Card 2'!I37</f>
        <v>-2</v>
      </c>
      <c r="G33" s="1355"/>
      <c r="H33" s="1355"/>
      <c r="I33" s="1355"/>
      <c r="J33" s="1355"/>
      <c r="K33" s="1355"/>
      <c r="L33" s="1358">
        <f>'Captains Card 1'!I37</f>
        <v>-2</v>
      </c>
      <c r="M33" s="1355"/>
      <c r="N33" s="1355"/>
      <c r="O33" s="1355"/>
      <c r="P33" s="1355"/>
      <c r="Q33" s="1355"/>
      <c r="R33" s="1324"/>
      <c r="S33" s="1324"/>
      <c r="T33" s="1356"/>
      <c r="U33" s="1356"/>
      <c r="V33" s="1356"/>
      <c r="W33" s="1324"/>
      <c r="X33" s="1324"/>
      <c r="Y33" s="1324"/>
      <c r="Z33" s="1324"/>
      <c r="AA33" s="1356"/>
      <c r="AB33" s="1356"/>
      <c r="AC33" s="1356"/>
      <c r="AD33" s="1324"/>
    </row>
    <row r="34" hidden="1">
      <c r="A34" s="1317"/>
      <c r="B34" s="1355"/>
      <c r="C34" s="1355"/>
      <c r="D34" s="1355"/>
      <c r="E34" s="1355"/>
      <c r="F34" s="1357">
        <f>'Captains Card 2'!J37</f>
        <v>0</v>
      </c>
      <c r="G34" s="1355"/>
      <c r="H34" s="1355"/>
      <c r="I34" s="1355"/>
      <c r="J34" s="1355"/>
      <c r="K34" s="1355"/>
      <c r="L34" s="1358">
        <f>'Captains Card 1'!J37</f>
        <v>0</v>
      </c>
      <c r="M34" s="1355"/>
      <c r="N34" s="1355"/>
      <c r="O34" s="1355"/>
      <c r="P34" s="1355"/>
      <c r="Q34" s="1355"/>
      <c r="R34" s="1324"/>
      <c r="S34" s="1324"/>
      <c r="T34" s="1356"/>
      <c r="U34" s="1356"/>
      <c r="V34" s="1356"/>
      <c r="W34" s="1324"/>
      <c r="X34" s="1324"/>
      <c r="Y34" s="1324"/>
      <c r="Z34" s="1324"/>
      <c r="AA34" s="1356"/>
      <c r="AB34" s="1356"/>
      <c r="AC34" s="1356"/>
      <c r="AD34" s="1324"/>
    </row>
    <row r="35" hidden="1">
      <c r="A35" s="1317"/>
      <c r="B35" s="1355"/>
      <c r="C35" s="1355"/>
      <c r="D35" s="1355"/>
      <c r="E35" s="1355"/>
      <c r="F35" s="1357">
        <f>'Captains Card 2'!K37</f>
        <v>-2</v>
      </c>
      <c r="G35" s="1355"/>
      <c r="H35" s="1355"/>
      <c r="I35" s="1355"/>
      <c r="J35" s="1355"/>
      <c r="K35" s="1355"/>
      <c r="L35" s="1358">
        <f>'Captains Card 1'!K37</f>
        <v>-2</v>
      </c>
      <c r="M35" s="1355"/>
      <c r="N35" s="1355"/>
      <c r="O35" s="1355"/>
      <c r="P35" s="1355"/>
      <c r="Q35" s="1355"/>
      <c r="R35" s="1324"/>
      <c r="S35" s="1324"/>
      <c r="T35" s="1356"/>
      <c r="U35" s="1356"/>
      <c r="V35" s="1356"/>
      <c r="W35" s="1324"/>
      <c r="X35" s="1324"/>
      <c r="Y35" s="1324"/>
      <c r="Z35" s="1324"/>
      <c r="AA35" s="1356"/>
      <c r="AB35" s="1356"/>
      <c r="AC35" s="1356"/>
      <c r="AD35" s="1324"/>
    </row>
    <row r="36" hidden="1">
      <c r="A36" s="1317"/>
      <c r="B36" s="1355"/>
      <c r="C36" s="1355"/>
      <c r="D36" s="1355"/>
      <c r="E36" s="1355"/>
      <c r="F36" s="1357">
        <f>'Captains Card 2'!L37</f>
        <v>-2</v>
      </c>
      <c r="G36" s="1355"/>
      <c r="H36" s="1355"/>
      <c r="I36" s="1355"/>
      <c r="J36" s="1355"/>
      <c r="K36" s="1355"/>
      <c r="L36" s="1358">
        <f>'Captains Card 1'!L37</f>
        <v>-2</v>
      </c>
      <c r="M36" s="1355"/>
      <c r="N36" s="1355"/>
      <c r="O36" s="1355"/>
      <c r="P36" s="1355"/>
      <c r="Q36" s="1355"/>
      <c r="R36" s="1324"/>
      <c r="S36" s="1324"/>
      <c r="T36" s="1356"/>
      <c r="U36" s="1356"/>
      <c r="V36" s="1356"/>
      <c r="W36" s="1324"/>
      <c r="X36" s="1324"/>
      <c r="Y36" s="1324"/>
      <c r="Z36" s="1324"/>
      <c r="AA36" s="1356"/>
      <c r="AB36" s="1356"/>
      <c r="AC36" s="1356"/>
      <c r="AD36" s="1324"/>
    </row>
    <row r="37" hidden="1">
      <c r="A37" s="1317"/>
      <c r="B37" s="1355"/>
      <c r="C37" s="1355"/>
      <c r="D37" s="1355"/>
      <c r="E37" s="1355"/>
      <c r="F37" s="1357">
        <f>'Captains Card 2'!M37</f>
        <v>-4</v>
      </c>
      <c r="G37" s="1355"/>
      <c r="H37" s="1355"/>
      <c r="I37" s="1355"/>
      <c r="J37" s="1355"/>
      <c r="K37" s="1355"/>
      <c r="L37" s="1358">
        <f>'Captains Card 1'!M37</f>
        <v>-2</v>
      </c>
      <c r="M37" s="1355"/>
      <c r="N37" s="1355"/>
      <c r="O37" s="1355"/>
      <c r="P37" s="1355"/>
      <c r="Q37" s="1355"/>
      <c r="R37" s="1324"/>
      <c r="S37" s="1324"/>
      <c r="T37" s="1356"/>
      <c r="U37" s="1356"/>
      <c r="V37" s="1356"/>
      <c r="W37" s="1324"/>
      <c r="X37" s="1324"/>
      <c r="Y37" s="1324"/>
      <c r="Z37" s="1324"/>
      <c r="AA37" s="1356"/>
      <c r="AB37" s="1356"/>
      <c r="AC37" s="1356"/>
      <c r="AD37" s="1324"/>
    </row>
    <row r="38" hidden="1">
      <c r="A38" s="1317"/>
      <c r="B38" s="1355"/>
      <c r="C38" s="1355"/>
      <c r="D38" s="1355"/>
      <c r="E38" s="1355"/>
      <c r="F38" s="1357">
        <f>'Captains Card 2'!Q37</f>
        <v>-1</v>
      </c>
      <c r="G38" s="1355"/>
      <c r="H38" s="1355"/>
      <c r="I38" s="1355"/>
      <c r="J38" s="1355"/>
      <c r="K38" s="1355"/>
      <c r="L38" s="1358">
        <f>'Captains Card 1'!Q37</f>
        <v>1</v>
      </c>
      <c r="M38" s="1355"/>
      <c r="N38" s="1355"/>
      <c r="O38" s="1355"/>
      <c r="P38" s="1355"/>
      <c r="Q38" s="1355"/>
      <c r="R38" s="1324"/>
      <c r="S38" s="1324"/>
      <c r="T38" s="1356"/>
      <c r="U38" s="1356"/>
      <c r="V38" s="1356"/>
      <c r="W38" s="1324"/>
      <c r="X38" s="1324"/>
      <c r="Y38" s="1324"/>
      <c r="Z38" s="1324"/>
      <c r="AA38" s="1356"/>
      <c r="AB38" s="1356"/>
      <c r="AC38" s="1356"/>
      <c r="AD38" s="1324"/>
    </row>
    <row r="39" hidden="1">
      <c r="A39" s="1317"/>
      <c r="B39" s="1355"/>
      <c r="C39" s="1355"/>
      <c r="D39" s="1355"/>
      <c r="E39" s="1355"/>
      <c r="F39" s="1357">
        <f>'Captains Card 2'!R37</f>
        <v>1</v>
      </c>
      <c r="G39" s="1355"/>
      <c r="H39" s="1355"/>
      <c r="I39" s="1355"/>
      <c r="J39" s="1355"/>
      <c r="K39" s="1355"/>
      <c r="L39" s="1358">
        <f>'Captains Card 1'!R37</f>
        <v>-2</v>
      </c>
      <c r="M39" s="1355"/>
      <c r="N39" s="1355"/>
      <c r="O39" s="1355"/>
      <c r="P39" s="1355"/>
      <c r="Q39" s="1355"/>
      <c r="R39" s="1324"/>
      <c r="S39" s="1324"/>
      <c r="T39" s="1356"/>
      <c r="U39" s="1356"/>
      <c r="V39" s="1356"/>
      <c r="W39" s="1324"/>
      <c r="X39" s="1324"/>
      <c r="Y39" s="1324"/>
      <c r="Z39" s="1324"/>
      <c r="AA39" s="1356"/>
      <c r="AB39" s="1356"/>
      <c r="AC39" s="1356"/>
      <c r="AD39" s="1324"/>
    </row>
    <row r="40" hidden="1">
      <c r="A40" s="1317"/>
      <c r="B40" s="1355"/>
      <c r="C40" s="1355"/>
      <c r="D40" s="1355"/>
      <c r="E40" s="1355"/>
      <c r="F40" s="1357">
        <f>'Captains Card 2'!S37</f>
        <v>-1</v>
      </c>
      <c r="G40" s="1355"/>
      <c r="H40" s="1355"/>
      <c r="I40" s="1355"/>
      <c r="J40" s="1355"/>
      <c r="K40" s="1355"/>
      <c r="L40" s="1358">
        <f>'Captains Card 1'!S37</f>
        <v>-1</v>
      </c>
      <c r="M40" s="1355"/>
      <c r="N40" s="1355"/>
      <c r="O40" s="1355"/>
      <c r="P40" s="1355"/>
      <c r="Q40" s="1355"/>
      <c r="R40" s="1324"/>
      <c r="S40" s="1324"/>
      <c r="T40" s="1356"/>
      <c r="U40" s="1356"/>
      <c r="V40" s="1356"/>
      <c r="W40" s="1324"/>
      <c r="X40" s="1324"/>
      <c r="Y40" s="1324"/>
      <c r="Z40" s="1324"/>
      <c r="AA40" s="1356"/>
      <c r="AB40" s="1356"/>
      <c r="AC40" s="1356"/>
      <c r="AD40" s="1324"/>
    </row>
    <row r="41" hidden="1">
      <c r="A41" s="1317"/>
      <c r="B41" s="1355"/>
      <c r="C41" s="1355"/>
      <c r="D41" s="1355"/>
      <c r="E41" s="1355"/>
      <c r="F41" s="1357">
        <f>'Captains Card 2'!T37</f>
        <v>1</v>
      </c>
      <c r="G41" s="1355"/>
      <c r="H41" s="1355"/>
      <c r="I41" s="1355"/>
      <c r="J41" s="1355"/>
      <c r="K41" s="1355"/>
      <c r="L41" s="1358">
        <f>'Captains Card 1'!T37</f>
        <v>2</v>
      </c>
      <c r="M41" s="1355"/>
      <c r="N41" s="1355"/>
      <c r="O41" s="1355"/>
      <c r="P41" s="1355"/>
      <c r="Q41" s="1355"/>
      <c r="R41" s="1324"/>
      <c r="S41" s="1324"/>
      <c r="T41" s="1356"/>
      <c r="U41" s="1356"/>
      <c r="V41" s="1356"/>
      <c r="W41" s="1324"/>
      <c r="X41" s="1324"/>
      <c r="Y41" s="1324"/>
      <c r="Z41" s="1324"/>
      <c r="AA41" s="1356"/>
      <c r="AB41" s="1356"/>
      <c r="AC41" s="1356"/>
      <c r="AD41" s="1324"/>
    </row>
    <row r="42" hidden="1">
      <c r="A42" s="1317"/>
      <c r="B42" s="1355"/>
      <c r="C42" s="1355"/>
      <c r="D42" s="1355"/>
      <c r="E42" s="1355"/>
      <c r="F42" s="1357">
        <f>'Captains Card 2'!U37</f>
        <v>-3</v>
      </c>
      <c r="G42" s="1355"/>
      <c r="H42" s="1355"/>
      <c r="I42" s="1355"/>
      <c r="J42" s="1355"/>
      <c r="K42" s="1355"/>
      <c r="L42" s="1358">
        <f>'Captains Card 1'!U37</f>
        <v>-6</v>
      </c>
      <c r="M42" s="1355"/>
      <c r="N42" s="1355"/>
      <c r="O42" s="1355"/>
      <c r="P42" s="1355"/>
      <c r="Q42" s="1355"/>
      <c r="R42" s="1324"/>
      <c r="S42" s="1324"/>
      <c r="T42" s="1356"/>
      <c r="U42" s="1356"/>
      <c r="V42" s="1356"/>
      <c r="W42" s="1324"/>
      <c r="X42" s="1324"/>
      <c r="Y42" s="1324"/>
      <c r="Z42" s="1324"/>
      <c r="AA42" s="1356"/>
      <c r="AB42" s="1356"/>
      <c r="AC42" s="1356"/>
      <c r="AD42" s="1324"/>
    </row>
    <row r="43" hidden="1">
      <c r="A43" s="1317"/>
      <c r="B43" s="1355"/>
      <c r="C43" s="1355"/>
      <c r="D43" s="1355"/>
      <c r="E43" s="1355"/>
      <c r="F43" s="1357">
        <f>'Captains Card 2'!V37</f>
        <v>-1</v>
      </c>
      <c r="G43" s="1355"/>
      <c r="H43" s="1355"/>
      <c r="I43" s="1355"/>
      <c r="J43" s="1355"/>
      <c r="K43" s="1355"/>
      <c r="L43" s="1358">
        <f>'Captains Card 1'!V37</f>
        <v>-3</v>
      </c>
      <c r="M43" s="1355"/>
      <c r="N43" s="1355"/>
      <c r="O43" s="1355"/>
      <c r="P43" s="1355"/>
      <c r="Q43" s="1355"/>
      <c r="R43" s="1324"/>
      <c r="S43" s="1324"/>
      <c r="T43" s="1356"/>
      <c r="U43" s="1356"/>
      <c r="V43" s="1356"/>
      <c r="W43" s="1324"/>
      <c r="X43" s="1324"/>
      <c r="Y43" s="1324"/>
      <c r="Z43" s="1324"/>
      <c r="AA43" s="1356"/>
      <c r="AB43" s="1356"/>
      <c r="AC43" s="1356"/>
      <c r="AD43" s="1324"/>
    </row>
    <row r="44" hidden="1">
      <c r="A44" s="1317"/>
      <c r="B44" s="1355"/>
      <c r="C44" s="1355"/>
      <c r="D44" s="1355"/>
      <c r="E44" s="1355"/>
      <c r="F44" s="1357">
        <f>'Captains Card 2'!W37</f>
        <v>1</v>
      </c>
      <c r="G44" s="1355"/>
      <c r="H44" s="1355"/>
      <c r="I44" s="1355"/>
      <c r="J44" s="1355"/>
      <c r="K44" s="1355"/>
      <c r="L44" s="1358">
        <f>'Captains Card 1'!W37</f>
        <v>2</v>
      </c>
      <c r="M44" s="1355"/>
      <c r="N44" s="1355"/>
      <c r="O44" s="1355"/>
      <c r="P44" s="1355"/>
      <c r="Q44" s="1355"/>
      <c r="R44" s="1324"/>
      <c r="S44" s="1324"/>
      <c r="T44" s="1356"/>
      <c r="U44" s="1356"/>
      <c r="V44" s="1356"/>
      <c r="W44" s="1324"/>
      <c r="X44" s="1324"/>
      <c r="Y44" s="1324"/>
      <c r="Z44" s="1324"/>
      <c r="AA44" s="1356"/>
      <c r="AB44" s="1356"/>
      <c r="AC44" s="1356"/>
      <c r="AD44" s="1324"/>
    </row>
    <row r="45" hidden="1">
      <c r="A45" s="1317"/>
      <c r="B45" s="1355"/>
      <c r="C45" s="1355"/>
      <c r="D45" s="1355"/>
      <c r="E45" s="1355"/>
      <c r="F45" s="1357">
        <f>'Captains Card 2'!X37</f>
        <v>-4</v>
      </c>
      <c r="G45" s="1355"/>
      <c r="H45" s="1355"/>
      <c r="I45" s="1355"/>
      <c r="J45" s="1355"/>
      <c r="K45" s="1355"/>
      <c r="L45" s="1358">
        <f>'Captains Card 1'!X37</f>
        <v>-1</v>
      </c>
      <c r="M45" s="1355"/>
      <c r="N45" s="1355"/>
      <c r="O45" s="1355"/>
      <c r="P45" s="1355"/>
      <c r="Q45" s="1355"/>
      <c r="R45" s="1324"/>
      <c r="S45" s="1324"/>
      <c r="T45" s="1356"/>
      <c r="U45" s="1356"/>
      <c r="V45" s="1356"/>
      <c r="W45" s="1324"/>
      <c r="X45" s="1324"/>
      <c r="Y45" s="1324"/>
      <c r="Z45" s="1324"/>
      <c r="AA45" s="1356"/>
      <c r="AB45" s="1356"/>
      <c r="AC45" s="1356"/>
      <c r="AD45" s="1324"/>
    </row>
    <row r="46" hidden="1">
      <c r="A46" s="1317"/>
      <c r="B46" s="1355"/>
      <c r="C46" s="1355"/>
      <c r="D46" s="1355"/>
      <c r="E46" s="1355"/>
      <c r="F46" s="1357">
        <f>'Captains Card 2'!Y37</f>
        <v>0</v>
      </c>
      <c r="G46" s="1355"/>
      <c r="H46" s="1355"/>
      <c r="I46" s="1355"/>
      <c r="J46" s="1355"/>
      <c r="K46" s="1355"/>
      <c r="L46" s="1358">
        <f>'Captains Card 1'!Y37</f>
        <v>1</v>
      </c>
      <c r="M46" s="1355"/>
      <c r="N46" s="1355"/>
      <c r="O46" s="1355"/>
      <c r="P46" s="1355"/>
      <c r="Q46" s="1355"/>
      <c r="R46" s="1324"/>
      <c r="S46" s="1324"/>
      <c r="T46" s="1356"/>
      <c r="U46" s="1356"/>
      <c r="V46" s="1356"/>
      <c r="W46" s="1324"/>
      <c r="X46" s="1324"/>
      <c r="Y46" s="1324"/>
      <c r="Z46" s="1324"/>
      <c r="AA46" s="1356"/>
      <c r="AB46" s="1356"/>
      <c r="AC46" s="1356"/>
      <c r="AD46" s="1324"/>
    </row>
    <row r="47" hidden="1">
      <c r="A47" s="1317"/>
      <c r="B47" s="1355"/>
      <c r="C47" s="1355"/>
      <c r="D47" s="1355"/>
      <c r="E47" s="1355"/>
      <c r="F47" s="1355"/>
      <c r="G47" s="1355"/>
      <c r="H47" s="1355"/>
      <c r="I47" s="1355"/>
      <c r="J47" s="1355"/>
      <c r="K47" s="1355"/>
      <c r="L47" s="1355"/>
      <c r="M47" s="1355"/>
      <c r="N47" s="1355"/>
      <c r="O47" s="1355"/>
      <c r="P47" s="1355"/>
      <c r="Q47" s="1355"/>
      <c r="R47" s="1324"/>
      <c r="S47" s="1324"/>
      <c r="T47" s="1356"/>
      <c r="U47" s="1356"/>
      <c r="V47" s="1356"/>
      <c r="W47" s="1324"/>
      <c r="X47" s="1324"/>
      <c r="Y47" s="1324"/>
      <c r="Z47" s="1324"/>
      <c r="AA47" s="1356"/>
      <c r="AB47" s="1356"/>
      <c r="AC47" s="1356"/>
      <c r="AD47" s="1324"/>
    </row>
  </sheetData>
  <mergeCells count="119">
    <mergeCell ref="F7:G7"/>
    <mergeCell ref="F8:G8"/>
    <mergeCell ref="B4:D4"/>
    <mergeCell ref="B5:D5"/>
    <mergeCell ref="F5:G5"/>
    <mergeCell ref="B6:D6"/>
    <mergeCell ref="F6:G6"/>
    <mergeCell ref="B7:D7"/>
    <mergeCell ref="B8:D8"/>
    <mergeCell ref="O1:Q1"/>
    <mergeCell ref="O2:Q2"/>
    <mergeCell ref="O3:Q3"/>
    <mergeCell ref="O4:Q4"/>
    <mergeCell ref="T4:V6"/>
    <mergeCell ref="AA4:AC6"/>
    <mergeCell ref="O5:Q5"/>
    <mergeCell ref="O6:Q6"/>
    <mergeCell ref="O7:Q7"/>
    <mergeCell ref="T7:V16"/>
    <mergeCell ref="AA7:AC16"/>
    <mergeCell ref="O8:Q8"/>
    <mergeCell ref="O9:Q9"/>
    <mergeCell ref="O10:Q10"/>
    <mergeCell ref="O16:Q16"/>
    <mergeCell ref="T17:V19"/>
    <mergeCell ref="T20:V24"/>
    <mergeCell ref="AA20:AC24"/>
    <mergeCell ref="W22:Z23"/>
    <mergeCell ref="W24:Z25"/>
    <mergeCell ref="O21:Q21"/>
    <mergeCell ref="O22:Q22"/>
    <mergeCell ref="O24:Q24"/>
    <mergeCell ref="O14:Q14"/>
    <mergeCell ref="O15:Q15"/>
    <mergeCell ref="O17:Q17"/>
    <mergeCell ref="AA17:AC19"/>
    <mergeCell ref="O18:Q18"/>
    <mergeCell ref="O19:Q19"/>
    <mergeCell ref="O20:Q20"/>
    <mergeCell ref="B9:D9"/>
    <mergeCell ref="F9:G9"/>
    <mergeCell ref="B10:D10"/>
    <mergeCell ref="F10:G10"/>
    <mergeCell ref="B12:D12"/>
    <mergeCell ref="F12:G12"/>
    <mergeCell ref="F13:G13"/>
    <mergeCell ref="F16:G16"/>
    <mergeCell ref="F17:G17"/>
    <mergeCell ref="L16:M16"/>
    <mergeCell ref="L17:M17"/>
    <mergeCell ref="L18:M18"/>
    <mergeCell ref="L19:M19"/>
    <mergeCell ref="L20:M20"/>
    <mergeCell ref="B13:D13"/>
    <mergeCell ref="B14:D14"/>
    <mergeCell ref="B15:D15"/>
    <mergeCell ref="B16:D16"/>
    <mergeCell ref="I16:J16"/>
    <mergeCell ref="B17:D17"/>
    <mergeCell ref="I17:J17"/>
    <mergeCell ref="I19:J19"/>
    <mergeCell ref="I20:J20"/>
    <mergeCell ref="B18:D18"/>
    <mergeCell ref="F18:G18"/>
    <mergeCell ref="I18:J18"/>
    <mergeCell ref="B19:D19"/>
    <mergeCell ref="F19:G19"/>
    <mergeCell ref="B20:D20"/>
    <mergeCell ref="F20:G20"/>
    <mergeCell ref="B22:D22"/>
    <mergeCell ref="B24:D24"/>
    <mergeCell ref="B21:D21"/>
    <mergeCell ref="E21:H21"/>
    <mergeCell ref="I21:J21"/>
    <mergeCell ref="K21:N21"/>
    <mergeCell ref="F22:G22"/>
    <mergeCell ref="H22:K22"/>
    <mergeCell ref="L22:M22"/>
    <mergeCell ref="F24:M24"/>
    <mergeCell ref="B1:D1"/>
    <mergeCell ref="E1:H1"/>
    <mergeCell ref="K1:N1"/>
    <mergeCell ref="T1:AC2"/>
    <mergeCell ref="B2:D2"/>
    <mergeCell ref="F2:G2"/>
    <mergeCell ref="L2:M2"/>
    <mergeCell ref="I1:J1"/>
    <mergeCell ref="I2:J2"/>
    <mergeCell ref="B3:D3"/>
    <mergeCell ref="F3:G3"/>
    <mergeCell ref="L3:M3"/>
    <mergeCell ref="F4:G4"/>
    <mergeCell ref="L4:M4"/>
    <mergeCell ref="I7:J7"/>
    <mergeCell ref="I8:J8"/>
    <mergeCell ref="I9:J9"/>
    <mergeCell ref="I10:J10"/>
    <mergeCell ref="I12:J12"/>
    <mergeCell ref="I13:J13"/>
    <mergeCell ref="I14:J14"/>
    <mergeCell ref="I15:J15"/>
    <mergeCell ref="L8:M8"/>
    <mergeCell ref="L9:M9"/>
    <mergeCell ref="L10:M10"/>
    <mergeCell ref="L12:M12"/>
    <mergeCell ref="L13:M13"/>
    <mergeCell ref="L14:M14"/>
    <mergeCell ref="L15:M15"/>
    <mergeCell ref="I3:J3"/>
    <mergeCell ref="I4:J4"/>
    <mergeCell ref="I5:J5"/>
    <mergeCell ref="L5:M5"/>
    <mergeCell ref="I6:J6"/>
    <mergeCell ref="L6:M6"/>
    <mergeCell ref="L7:M7"/>
    <mergeCell ref="O12:Q12"/>
    <mergeCell ref="O13:Q13"/>
    <mergeCell ref="F14:G14"/>
    <mergeCell ref="F15:G15"/>
  </mergeCells>
  <conditionalFormatting sqref="B22:D22 B24:B25">
    <cfRule type="cellIs" dxfId="0" priority="1" operator="greaterThan">
      <formula>$Q22</formula>
    </cfRule>
  </conditionalFormatting>
  <conditionalFormatting sqref="O2:Q10 O12:Q20 O22 O24:O25">
    <cfRule type="cellIs" dxfId="1" priority="2" operator="greaterThan">
      <formula>B2</formula>
    </cfRule>
  </conditionalFormatting>
  <conditionalFormatting sqref="O2:Q10 O12:Q20 O22 O24:O25">
    <cfRule type="expression" dxfId="9" priority="3">
      <formula>and(O2=B2,O2&lt;&gt;"")</formula>
    </cfRule>
  </conditionalFormatting>
  <conditionalFormatting sqref="O2:Q10 O12:Q20 O22 O24:O25">
    <cfRule type="cellIs" dxfId="13" priority="4" operator="lessThan">
      <formula>B2</formula>
    </cfRule>
  </conditionalFormatting>
  <conditionalFormatting sqref="B2:D10 B12:D20">
    <cfRule type="cellIs" dxfId="0" priority="5" operator="greaterThan">
      <formula>O2</formula>
    </cfRule>
  </conditionalFormatting>
  <conditionalFormatting sqref="B2:D10 B12:D20 B22:D22 B24:B25">
    <cfRule type="expression" dxfId="8" priority="6">
      <formula>and(O2=B2,B2&lt;&gt;"")</formula>
    </cfRule>
  </conditionalFormatting>
  <conditionalFormatting sqref="B2:D10 B12:D20 B22:D22 B24:B25">
    <cfRule type="cellIs" dxfId="14" priority="7" operator="lessThan">
      <formula>O2</formula>
    </cfRule>
  </conditionalFormatting>
  <conditionalFormatting sqref="F2:G10 F12:G20 F22:G22">
    <cfRule type="cellIs" dxfId="0" priority="8" operator="lessThan">
      <formula>L2</formula>
    </cfRule>
  </conditionalFormatting>
  <conditionalFormatting sqref="F2:G10 F12:G20 F22:G22">
    <cfRule type="expression" dxfId="8" priority="9">
      <formula>and(F2=L2,F2&lt;&gt;"")</formula>
    </cfRule>
  </conditionalFormatting>
  <conditionalFormatting sqref="F2:G10 F12:G20 F22:G22">
    <cfRule type="cellIs" dxfId="14" priority="10" operator="greaterThan">
      <formula>L2</formula>
    </cfRule>
  </conditionalFormatting>
  <conditionalFormatting sqref="L2:M10 L12:M20 L22">
    <cfRule type="expression" dxfId="9" priority="11">
      <formula>and(F2=L2,L2&lt;&gt;"")</formula>
    </cfRule>
  </conditionalFormatting>
  <conditionalFormatting sqref="L2:M10 L12:M20 L22">
    <cfRule type="cellIs" dxfId="13" priority="12" operator="greaterThan">
      <formula>F2</formula>
    </cfRule>
  </conditionalFormatting>
  <conditionalFormatting sqref="L2:M10 L12:M20 L22">
    <cfRule type="cellIs" dxfId="1" priority="13" operator="lessThan">
      <formula>F2</formula>
    </cfRule>
  </conditionalFormatting>
  <conditionalFormatting sqref="T20:V28 T30:V47">
    <cfRule type="cellIs" dxfId="28" priority="14" operator="equal">
      <formula>"CHAMPIONS"</formula>
    </cfRule>
  </conditionalFormatting>
  <conditionalFormatting sqref="AA20:AC28 AA30:AC47">
    <cfRule type="cellIs" dxfId="13" priority="15" operator="equal">
      <formula>"CHAMPIONS"</formula>
    </cfRule>
  </conditionalFormatting>
  <conditionalFormatting sqref="X20:Z22 W21:W22">
    <cfRule type="cellIs" dxfId="13" priority="16" operator="equal">
      <formula>"TIE BREAKER APPLIED"</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7.29" defaultRowHeight="15.0"/>
  <sheetData>
    <row r="1">
      <c r="A1" s="1359" t="s">
        <v>243</v>
      </c>
      <c r="B1" s="1360" t="s">
        <v>244</v>
      </c>
      <c r="C1" s="1361"/>
      <c r="D1" s="1362" t="s">
        <v>245</v>
      </c>
      <c r="E1" s="1362"/>
      <c r="F1" s="1362"/>
      <c r="G1" s="1362"/>
      <c r="H1" s="1361"/>
      <c r="I1" s="1361"/>
      <c r="J1" s="1361"/>
      <c r="K1" s="1363"/>
      <c r="L1" s="1363"/>
      <c r="M1" s="1363"/>
      <c r="N1" s="1363"/>
      <c r="O1" s="1363"/>
      <c r="P1" s="1363"/>
      <c r="Q1" s="1363"/>
      <c r="R1" s="1363"/>
      <c r="S1" s="1363"/>
      <c r="T1" s="1363"/>
    </row>
    <row r="2">
      <c r="A2" s="1362" t="str">
        <f>IFERROR(__xludf.DUMMYFUNCTION("importrange(""https://docs.google.com/spreadsheets/d/1m6mRrzcYD76qGshekJQ_sT8LAdm9xWMw9meiWP_IXoA/edit"",""Master!K3:L21"")"),"Jensen")</f>
        <v>Jensen</v>
      </c>
      <c r="B2" s="1364">
        <f>IFERROR(__xludf.DUMMYFUNCTION("""COMPUTED_VALUE"""),6.8)</f>
        <v>6.8</v>
      </c>
      <c r="C2" s="1365"/>
      <c r="D2" s="1362"/>
      <c r="E2" s="1362"/>
      <c r="F2" s="1362"/>
      <c r="G2" s="1362"/>
      <c r="H2" s="1361"/>
      <c r="I2" s="1361"/>
      <c r="J2" s="1361"/>
      <c r="K2" s="1363"/>
      <c r="L2" s="1363"/>
      <c r="M2" s="1363"/>
      <c r="N2" s="1363"/>
      <c r="O2" s="1363"/>
      <c r="P2" s="1363"/>
      <c r="Q2" s="1363"/>
      <c r="R2" s="1363"/>
      <c r="S2" s="1363"/>
      <c r="T2" s="1363"/>
    </row>
    <row r="3">
      <c r="A3" s="1362" t="str">
        <f>IFERROR(__xludf.DUMMYFUNCTION("""COMPUTED_VALUE"""),"Pace")</f>
        <v>Pace</v>
      </c>
      <c r="B3" s="1364">
        <f>IFERROR(__xludf.DUMMYFUNCTION("""COMPUTED_VALUE"""),10.3)</f>
        <v>10.3</v>
      </c>
      <c r="C3" s="1365"/>
      <c r="D3" s="1362"/>
      <c r="E3" s="1362"/>
      <c r="F3" s="1362"/>
      <c r="G3" s="1362"/>
      <c r="H3" s="1361"/>
      <c r="I3" s="1361"/>
      <c r="J3" s="1361"/>
      <c r="K3" s="1363"/>
      <c r="L3" s="1363"/>
      <c r="M3" s="1363"/>
      <c r="N3" s="1363"/>
      <c r="O3" s="1363"/>
      <c r="P3" s="1363"/>
      <c r="Q3" s="1363"/>
      <c r="R3" s="1363"/>
      <c r="S3" s="1363"/>
      <c r="T3" s="1363"/>
    </row>
    <row r="4">
      <c r="A4" s="1362" t="str">
        <f>IFERROR(__xludf.DUMMYFUNCTION("""COMPUTED_VALUE"""),"Andy")</f>
        <v>Andy</v>
      </c>
      <c r="B4" s="1364">
        <f>IFERROR(__xludf.DUMMYFUNCTION("""COMPUTED_VALUE"""),7.3)</f>
        <v>7.3</v>
      </c>
      <c r="C4" s="1365"/>
      <c r="D4" s="1362"/>
      <c r="E4" s="1362"/>
      <c r="F4" s="1362"/>
      <c r="G4" s="1362"/>
      <c r="H4" s="1361"/>
      <c r="I4" s="1361"/>
      <c r="J4" s="1361"/>
      <c r="K4" s="1363"/>
      <c r="L4" s="1363"/>
      <c r="M4" s="1363"/>
      <c r="N4" s="1363"/>
      <c r="O4" s="1363"/>
      <c r="P4" s="1363"/>
      <c r="Q4" s="1363"/>
      <c r="R4" s="1363"/>
      <c r="S4" s="1363"/>
      <c r="T4" s="1363"/>
    </row>
    <row r="5">
      <c r="A5" s="1362" t="str">
        <f>IFERROR(__xludf.DUMMYFUNCTION("""COMPUTED_VALUE"""),"Telly")</f>
        <v>Telly</v>
      </c>
      <c r="B5" s="1364">
        <f>IFERROR(__xludf.DUMMYFUNCTION("""COMPUTED_VALUE"""),6.9)</f>
        <v>6.9</v>
      </c>
      <c r="C5" s="1365"/>
      <c r="D5" s="1362"/>
      <c r="E5" s="1362"/>
      <c r="F5" s="1362"/>
      <c r="G5" s="1362"/>
      <c r="H5" s="1361"/>
      <c r="I5" s="1361"/>
      <c r="J5" s="1361"/>
      <c r="K5" s="1363"/>
      <c r="L5" s="1363"/>
      <c r="M5" s="1363"/>
      <c r="N5" s="1363"/>
      <c r="O5" s="1363"/>
      <c r="P5" s="1363"/>
      <c r="Q5" s="1363"/>
      <c r="R5" s="1363"/>
      <c r="S5" s="1363"/>
      <c r="T5" s="1363"/>
    </row>
    <row r="6">
      <c r="A6" s="1362" t="str">
        <f>IFERROR(__xludf.DUMMYFUNCTION("""COMPUTED_VALUE"""),"DK")</f>
        <v>DK</v>
      </c>
      <c r="B6" s="1364">
        <f>IFERROR(__xludf.DUMMYFUNCTION("""COMPUTED_VALUE"""),16.5)</f>
        <v>16.5</v>
      </c>
      <c r="C6" s="1365"/>
      <c r="D6" s="1362"/>
      <c r="E6" s="1362"/>
      <c r="F6" s="1362"/>
      <c r="G6" s="1362"/>
      <c r="H6" s="1361"/>
      <c r="I6" s="1361"/>
      <c r="J6" s="1361"/>
      <c r="K6" s="1363"/>
      <c r="L6" s="1363"/>
      <c r="M6" s="1363"/>
      <c r="N6" s="1363"/>
      <c r="O6" s="1363"/>
      <c r="P6" s="1363"/>
      <c r="Q6" s="1363"/>
      <c r="R6" s="1363"/>
      <c r="S6" s="1363"/>
      <c r="T6" s="1363"/>
    </row>
    <row r="7">
      <c r="A7" s="1362" t="str">
        <f>IFERROR(__xludf.DUMMYFUNCTION("""COMPUTED_VALUE"""),"Hile")</f>
        <v>Hile</v>
      </c>
      <c r="B7" s="1364">
        <f>IFERROR(__xludf.DUMMYFUNCTION("""COMPUTED_VALUE"""),18.5)</f>
        <v>18.5</v>
      </c>
      <c r="C7" s="1365"/>
      <c r="D7" s="1362"/>
      <c r="E7" s="1362"/>
      <c r="F7" s="1362"/>
      <c r="G7" s="1362"/>
      <c r="H7" s="1361"/>
      <c r="I7" s="1361"/>
      <c r="J7" s="1361"/>
      <c r="K7" s="1363"/>
      <c r="L7" s="1363"/>
      <c r="M7" s="1363"/>
      <c r="N7" s="1363"/>
      <c r="O7" s="1363"/>
      <c r="P7" s="1363"/>
      <c r="Q7" s="1363"/>
      <c r="R7" s="1363"/>
      <c r="S7" s="1363"/>
      <c r="T7" s="1363"/>
    </row>
    <row r="8">
      <c r="A8" s="1362" t="str">
        <f>IFERROR(__xludf.DUMMYFUNCTION("""COMPUTED_VALUE"""),"Joe O")</f>
        <v>Joe O</v>
      </c>
      <c r="B8" s="1364">
        <f>IFERROR(__xludf.DUMMYFUNCTION("""COMPUTED_VALUE"""),11.7)</f>
        <v>11.7</v>
      </c>
      <c r="C8" s="1365"/>
      <c r="D8" s="1362"/>
      <c r="E8" s="1362"/>
      <c r="F8" s="1362"/>
      <c r="G8" s="1362"/>
      <c r="H8" s="1361"/>
      <c r="I8" s="1361"/>
      <c r="J8" s="1361"/>
      <c r="K8" s="1363"/>
      <c r="L8" s="1363"/>
      <c r="M8" s="1363"/>
      <c r="N8" s="1363"/>
      <c r="O8" s="1363"/>
      <c r="P8" s="1363"/>
      <c r="Q8" s="1363"/>
      <c r="R8" s="1363"/>
      <c r="S8" s="1363"/>
      <c r="T8" s="1363"/>
    </row>
    <row r="9">
      <c r="A9" s="1362" t="str">
        <f>IFERROR(__xludf.DUMMYFUNCTION("""COMPUTED_VALUE"""),"KJ")</f>
        <v>KJ</v>
      </c>
      <c r="B9" s="1364">
        <f>IFERROR(__xludf.DUMMYFUNCTION("""COMPUTED_VALUE"""),7.8)</f>
        <v>7.8</v>
      </c>
      <c r="C9" s="1365"/>
      <c r="D9" s="1362"/>
      <c r="E9" s="1362"/>
      <c r="F9" s="1362"/>
      <c r="G9" s="1362"/>
      <c r="H9" s="1361"/>
      <c r="I9" s="1361"/>
      <c r="J9" s="1361"/>
      <c r="K9" s="1363"/>
      <c r="L9" s="1363"/>
      <c r="M9" s="1363"/>
      <c r="N9" s="1363"/>
      <c r="O9" s="1363"/>
      <c r="P9" s="1363"/>
      <c r="Q9" s="1363"/>
      <c r="R9" s="1363"/>
      <c r="S9" s="1363"/>
      <c r="T9" s="1363"/>
    </row>
    <row r="10">
      <c r="A10" s="1362" t="str">
        <f>IFERROR(__xludf.DUMMYFUNCTION("""COMPUTED_VALUE"""),"CuzNick")</f>
        <v>CuzNick</v>
      </c>
      <c r="B10" s="1364">
        <f>IFERROR(__xludf.DUMMYFUNCTION("""COMPUTED_VALUE"""),9.6)</f>
        <v>9.6</v>
      </c>
      <c r="C10" s="1361"/>
      <c r="D10" s="1362"/>
      <c r="E10" s="1362"/>
      <c r="F10" s="1362"/>
      <c r="G10" s="1362"/>
      <c r="H10" s="1361"/>
      <c r="I10" s="1361"/>
      <c r="J10" s="1361"/>
      <c r="K10" s="1363"/>
      <c r="L10" s="1363"/>
      <c r="M10" s="1363"/>
      <c r="N10" s="1363"/>
      <c r="O10" s="1363"/>
      <c r="P10" s="1363"/>
      <c r="Q10" s="1363"/>
      <c r="R10" s="1363"/>
      <c r="S10" s="1363"/>
      <c r="T10" s="1363"/>
    </row>
    <row r="11">
      <c r="A11" s="1362" t="str">
        <f>IFERROR(__xludf.DUMMYFUNCTION("""COMPUTED_VALUE"""),"Saugy")</f>
        <v>Saugy</v>
      </c>
      <c r="B11" s="1364">
        <f>IFERROR(__xludf.DUMMYFUNCTION("""COMPUTED_VALUE"""),25.2)</f>
        <v>25.2</v>
      </c>
      <c r="C11" s="1361"/>
      <c r="D11" s="1362"/>
      <c r="E11" s="1362"/>
      <c r="F11" s="1362"/>
      <c r="G11" s="1362"/>
      <c r="H11" s="1361"/>
      <c r="I11" s="1361"/>
      <c r="J11" s="1361"/>
      <c r="K11" s="1363"/>
      <c r="L11" s="1363"/>
      <c r="M11" s="1363"/>
      <c r="N11" s="1363"/>
      <c r="O11" s="1363"/>
      <c r="P11" s="1363"/>
      <c r="Q11" s="1363"/>
      <c r="R11" s="1363"/>
      <c r="S11" s="1363"/>
      <c r="T11" s="1363"/>
    </row>
    <row r="12">
      <c r="A12" s="1362" t="str">
        <f>IFERROR(__xludf.DUMMYFUNCTION("""COMPUTED_VALUE"""),"Weezy")</f>
        <v>Weezy</v>
      </c>
      <c r="B12" s="1364">
        <f>IFERROR(__xludf.DUMMYFUNCTION("""COMPUTED_VALUE"""),14.0)</f>
        <v>14</v>
      </c>
      <c r="C12" s="1365"/>
      <c r="D12" s="1362"/>
      <c r="E12" s="1362"/>
      <c r="F12" s="1362"/>
      <c r="G12" s="1362"/>
      <c r="H12" s="1361"/>
      <c r="I12" s="1361"/>
      <c r="J12" s="1361"/>
      <c r="K12" s="1363"/>
      <c r="L12" s="1363"/>
      <c r="M12" s="1363"/>
      <c r="N12" s="1363"/>
      <c r="O12" s="1363"/>
      <c r="P12" s="1363"/>
      <c r="Q12" s="1363"/>
      <c r="R12" s="1363"/>
      <c r="S12" s="1363"/>
      <c r="T12" s="1363"/>
    </row>
    <row r="13">
      <c r="A13" s="1362" t="str">
        <f>IFERROR(__xludf.DUMMYFUNCTION("""COMPUTED_VALUE"""),"R-Mac")</f>
        <v>R-Mac</v>
      </c>
      <c r="B13" s="1364">
        <f>IFERROR(__xludf.DUMMYFUNCTION("""COMPUTED_VALUE"""),9.0)</f>
        <v>9</v>
      </c>
      <c r="C13" s="1365"/>
      <c r="D13" s="1362"/>
      <c r="E13" s="1362"/>
      <c r="F13" s="1362"/>
      <c r="G13" s="1362"/>
      <c r="H13" s="1361"/>
      <c r="I13" s="1361"/>
      <c r="J13" s="1361"/>
      <c r="K13" s="1363"/>
      <c r="L13" s="1363"/>
      <c r="M13" s="1363"/>
      <c r="N13" s="1363"/>
      <c r="O13" s="1363"/>
      <c r="P13" s="1363"/>
      <c r="Q13" s="1363"/>
      <c r="R13" s="1363"/>
      <c r="S13" s="1363"/>
      <c r="T13" s="1363"/>
    </row>
    <row r="14">
      <c r="A14" s="1362" t="str">
        <f>IFERROR(__xludf.DUMMYFUNCTION("""COMPUTED_VALUE"""),"House")</f>
        <v>House</v>
      </c>
      <c r="B14" s="1364">
        <f>IFERROR(__xludf.DUMMYFUNCTION("""COMPUTED_VALUE"""),9.3)</f>
        <v>9.3</v>
      </c>
      <c r="C14" s="1365"/>
      <c r="D14" s="1362"/>
      <c r="E14" s="1362"/>
      <c r="F14" s="1362"/>
      <c r="G14" s="1362"/>
      <c r="H14" s="1361"/>
      <c r="I14" s="1361"/>
      <c r="J14" s="1361"/>
      <c r="K14" s="1363"/>
      <c r="L14" s="1363"/>
      <c r="M14" s="1363"/>
      <c r="N14" s="1363"/>
      <c r="O14" s="1363"/>
      <c r="P14" s="1363"/>
      <c r="Q14" s="1363"/>
      <c r="R14" s="1363"/>
      <c r="S14" s="1363"/>
      <c r="T14" s="1363"/>
    </row>
    <row r="15">
      <c r="A15" s="1362" t="str">
        <f>IFERROR(__xludf.DUMMYFUNCTION("""COMPUTED_VALUE"""),"T-Mo")</f>
        <v>T-Mo</v>
      </c>
      <c r="B15" s="1364">
        <f>IFERROR(__xludf.DUMMYFUNCTION("""COMPUTED_VALUE"""),12.2)</f>
        <v>12.2</v>
      </c>
      <c r="C15" s="1365"/>
      <c r="D15" s="1362"/>
      <c r="E15" s="1362"/>
      <c r="F15" s="1362"/>
      <c r="G15" s="1362"/>
      <c r="H15" s="1361"/>
      <c r="I15" s="1361"/>
      <c r="J15" s="1361"/>
      <c r="K15" s="1363"/>
      <c r="L15" s="1363"/>
      <c r="M15" s="1363"/>
      <c r="N15" s="1363"/>
      <c r="O15" s="1363"/>
      <c r="P15" s="1363"/>
      <c r="Q15" s="1363"/>
      <c r="R15" s="1363"/>
      <c r="S15" s="1363"/>
      <c r="T15" s="1363"/>
    </row>
    <row r="16">
      <c r="A16" s="1362" t="str">
        <f>IFERROR(__xludf.DUMMYFUNCTION("""COMPUTED_VALUE"""),"TJSC")</f>
        <v>TJSC</v>
      </c>
      <c r="B16" s="1364">
        <f>IFERROR(__xludf.DUMMYFUNCTION("""COMPUTED_VALUE"""),11.6)</f>
        <v>11.6</v>
      </c>
      <c r="C16" s="1365"/>
      <c r="D16" s="1362"/>
      <c r="E16" s="1362"/>
      <c r="F16" s="1362"/>
      <c r="G16" s="1362"/>
      <c r="H16" s="1361"/>
      <c r="I16" s="1361"/>
      <c r="J16" s="1361"/>
      <c r="K16" s="1363"/>
      <c r="L16" s="1363"/>
      <c r="M16" s="1363"/>
      <c r="N16" s="1363"/>
      <c r="O16" s="1363"/>
      <c r="P16" s="1363"/>
      <c r="Q16" s="1363"/>
      <c r="R16" s="1363"/>
      <c r="S16" s="1363"/>
      <c r="T16" s="1363"/>
    </row>
    <row r="17">
      <c r="A17" s="1362" t="str">
        <f>IFERROR(__xludf.DUMMYFUNCTION("""COMPUTED_VALUE"""),"Carp")</f>
        <v>Carp</v>
      </c>
      <c r="B17" s="1366">
        <f>IFERROR(__xludf.DUMMYFUNCTION("""COMPUTED_VALUE"""),18.8)</f>
        <v>18.8</v>
      </c>
      <c r="C17" s="1365"/>
      <c r="D17" s="1362"/>
      <c r="E17" s="1362"/>
      <c r="F17" s="1362"/>
      <c r="G17" s="1362"/>
      <c r="H17" s="1361"/>
      <c r="I17" s="1361"/>
      <c r="J17" s="1361"/>
      <c r="K17" s="1363"/>
      <c r="L17" s="1363"/>
      <c r="M17" s="1363"/>
      <c r="N17" s="1363"/>
      <c r="O17" s="1363"/>
      <c r="P17" s="1363"/>
      <c r="Q17" s="1363"/>
      <c r="R17" s="1363"/>
      <c r="S17" s="1363"/>
      <c r="T17" s="1363"/>
    </row>
    <row r="18">
      <c r="A18" s="1362" t="str">
        <f>IFERROR(__xludf.DUMMYFUNCTION("""COMPUTED_VALUE"""),"Scott R")</f>
        <v>Scott R</v>
      </c>
      <c r="B18" s="1367">
        <f>IFERROR(__xludf.DUMMYFUNCTION("""COMPUTED_VALUE"""),5.5)</f>
        <v>5.5</v>
      </c>
      <c r="C18" s="1365"/>
      <c r="D18" s="1362"/>
      <c r="E18" s="1362"/>
      <c r="F18" s="1362"/>
      <c r="G18" s="1362"/>
      <c r="H18" s="1361"/>
      <c r="I18" s="1361"/>
      <c r="J18" s="1361"/>
      <c r="K18" s="1363"/>
      <c r="L18" s="1363"/>
      <c r="M18" s="1363"/>
      <c r="N18" s="1363"/>
      <c r="O18" s="1363"/>
      <c r="P18" s="1363"/>
      <c r="Q18" s="1363"/>
      <c r="R18" s="1363"/>
      <c r="S18" s="1363"/>
      <c r="T18" s="1363"/>
    </row>
    <row r="19">
      <c r="A19" s="1362" t="str">
        <f>IFERROR(__xludf.DUMMYFUNCTION("""COMPUTED_VALUE"""),"Grant S")</f>
        <v>Grant S</v>
      </c>
      <c r="B19" s="1367">
        <f>IFERROR(__xludf.DUMMYFUNCTION("""COMPUTED_VALUE"""),6.4)</f>
        <v>6.4</v>
      </c>
      <c r="C19" s="1365"/>
      <c r="D19" s="1362"/>
      <c r="E19" s="1362"/>
      <c r="F19" s="1362"/>
      <c r="G19" s="1362"/>
      <c r="H19" s="1361"/>
      <c r="I19" s="1361"/>
      <c r="J19" s="1361"/>
      <c r="K19" s="1363"/>
      <c r="L19" s="1363"/>
      <c r="M19" s="1363"/>
      <c r="N19" s="1363"/>
      <c r="O19" s="1363"/>
      <c r="P19" s="1363"/>
      <c r="Q19" s="1363"/>
      <c r="R19" s="1363"/>
      <c r="S19" s="1363"/>
      <c r="T19" s="1363"/>
    </row>
    <row r="20">
      <c r="A20" s="1362" t="str">
        <f>IFERROR(__xludf.DUMMYFUNCTION("""COMPUTED_VALUE"""),"Kyle M")</f>
        <v>Kyle M</v>
      </c>
      <c r="B20" s="1367">
        <f>IFERROR(__xludf.DUMMYFUNCTION("""COMPUTED_VALUE"""),22.6)</f>
        <v>22.6</v>
      </c>
      <c r="C20" s="1365"/>
      <c r="D20" s="1362"/>
      <c r="E20" s="1362"/>
      <c r="F20" s="1362"/>
      <c r="G20" s="1362"/>
      <c r="H20" s="1361"/>
      <c r="I20" s="1361"/>
      <c r="J20" s="1361"/>
      <c r="K20" s="1363"/>
      <c r="L20" s="1363"/>
      <c r="M20" s="1363"/>
      <c r="N20" s="1363"/>
      <c r="O20" s="1363"/>
      <c r="P20" s="1363"/>
      <c r="Q20" s="1363"/>
      <c r="R20" s="1363"/>
      <c r="S20" s="1363"/>
      <c r="T20" s="1363"/>
    </row>
    <row r="21">
      <c r="A21" s="1368"/>
      <c r="B21" s="1368"/>
      <c r="C21" s="1361"/>
      <c r="D21" s="1362"/>
      <c r="E21" s="1362"/>
      <c r="F21" s="1362"/>
      <c r="G21" s="1362"/>
      <c r="H21" s="1361"/>
      <c r="I21" s="1361"/>
      <c r="J21" s="1361"/>
      <c r="K21" s="1361"/>
      <c r="L21" s="1363"/>
      <c r="M21" s="1363"/>
      <c r="N21" s="1363"/>
      <c r="O21" s="1363"/>
      <c r="P21" s="1363"/>
      <c r="Q21" s="1363"/>
      <c r="R21" s="1363"/>
      <c r="S21" s="1363"/>
      <c r="T21" s="1363"/>
    </row>
    <row r="22">
      <c r="A22" s="1368"/>
      <c r="B22" s="1368"/>
      <c r="C22" s="1361"/>
      <c r="D22" s="1361"/>
      <c r="E22" s="1361"/>
      <c r="F22" s="1361"/>
      <c r="G22" s="1361"/>
      <c r="H22" s="1361"/>
      <c r="I22" s="1361"/>
      <c r="J22" s="1361"/>
      <c r="K22" s="1361"/>
      <c r="L22" s="1363"/>
      <c r="M22" s="1363"/>
      <c r="N22" s="1363"/>
      <c r="O22" s="1363"/>
      <c r="P22" s="1363"/>
      <c r="Q22" s="1363"/>
      <c r="R22" s="1363"/>
      <c r="S22" s="1363"/>
      <c r="T22" s="1363"/>
    </row>
    <row r="23">
      <c r="A23" s="1368"/>
      <c r="B23" s="1368"/>
      <c r="C23" s="1361"/>
      <c r="D23" s="1361"/>
      <c r="E23" s="1361"/>
      <c r="F23" s="1361"/>
      <c r="G23" s="1361"/>
      <c r="H23" s="1361"/>
      <c r="I23" s="1361"/>
      <c r="J23" s="1361"/>
      <c r="K23" s="1361"/>
      <c r="L23" s="1363"/>
      <c r="M23" s="1363"/>
      <c r="N23" s="1363"/>
      <c r="O23" s="1363"/>
      <c r="P23" s="1363"/>
      <c r="Q23" s="1363"/>
      <c r="R23" s="1363"/>
      <c r="S23" s="1363"/>
      <c r="T23" s="1363"/>
    </row>
    <row r="24">
      <c r="A24" s="1368"/>
      <c r="B24" s="1368"/>
      <c r="C24" s="1361"/>
      <c r="D24" s="1361"/>
      <c r="E24" s="1361"/>
      <c r="F24" s="1361"/>
      <c r="G24" s="1361"/>
      <c r="H24" s="1361"/>
      <c r="I24" s="1361"/>
      <c r="J24" s="1361"/>
      <c r="K24" s="1363"/>
      <c r="L24" s="1363"/>
      <c r="M24" s="1363"/>
      <c r="N24" s="1363"/>
      <c r="O24" s="1363"/>
      <c r="P24" s="1363"/>
      <c r="Q24" s="1363"/>
      <c r="R24" s="1363"/>
      <c r="S24" s="1363"/>
      <c r="T24" s="1363"/>
    </row>
    <row r="25">
      <c r="A25" s="1368"/>
      <c r="B25" s="1368"/>
      <c r="C25" s="1361"/>
      <c r="D25" s="1361"/>
      <c r="E25" s="1361"/>
      <c r="F25" s="1361"/>
      <c r="G25" s="1361"/>
      <c r="H25" s="1361"/>
      <c r="I25" s="1361"/>
      <c r="J25" s="1361"/>
      <c r="K25" s="1363"/>
      <c r="L25" s="1363"/>
      <c r="M25" s="1363"/>
      <c r="N25" s="1363"/>
      <c r="O25" s="1363"/>
      <c r="P25" s="1363"/>
      <c r="Q25" s="1363"/>
      <c r="R25" s="1363"/>
      <c r="S25" s="1363"/>
      <c r="T25" s="1363"/>
    </row>
    <row r="26">
      <c r="A26" s="1368"/>
      <c r="B26" s="1368"/>
      <c r="C26" s="1361"/>
      <c r="D26" s="1361"/>
      <c r="E26" s="1361"/>
      <c r="F26" s="1361"/>
      <c r="G26" s="1361"/>
      <c r="H26" s="1361"/>
      <c r="I26" s="1361"/>
      <c r="J26" s="1361"/>
      <c r="K26" s="1363"/>
      <c r="L26" s="1363"/>
      <c r="M26" s="1363"/>
      <c r="N26" s="1363"/>
      <c r="O26" s="1363"/>
      <c r="P26" s="1363"/>
      <c r="Q26" s="1363"/>
      <c r="R26" s="1363"/>
      <c r="S26" s="1363"/>
      <c r="T26" s="1363"/>
    </row>
    <row r="27">
      <c r="A27" s="1368"/>
      <c r="B27" s="1368"/>
      <c r="C27" s="1361"/>
      <c r="D27" s="1361"/>
      <c r="E27" s="1361"/>
      <c r="F27" s="1361"/>
      <c r="G27" s="1361"/>
      <c r="H27" s="1361"/>
      <c r="I27" s="1361"/>
      <c r="J27" s="1361"/>
      <c r="K27" s="1363"/>
      <c r="L27" s="1363"/>
      <c r="M27" s="1363"/>
      <c r="N27" s="1363"/>
      <c r="O27" s="1363"/>
      <c r="P27" s="1363"/>
      <c r="Q27" s="1363"/>
      <c r="R27" s="1363"/>
      <c r="S27" s="1363"/>
      <c r="T27" s="1363"/>
    </row>
    <row r="28">
      <c r="A28" s="1368"/>
      <c r="B28" s="1368"/>
      <c r="C28" s="1361"/>
      <c r="D28" s="1361"/>
      <c r="E28" s="1361"/>
      <c r="F28" s="1361"/>
      <c r="G28" s="1361"/>
      <c r="H28" s="1361"/>
      <c r="I28" s="1361"/>
      <c r="J28" s="1361"/>
      <c r="K28" s="1363"/>
      <c r="L28" s="1363"/>
      <c r="M28" s="1363"/>
      <c r="N28" s="1363"/>
      <c r="O28" s="1363"/>
      <c r="P28" s="1363"/>
      <c r="Q28" s="1363"/>
      <c r="R28" s="1363"/>
      <c r="S28" s="1363"/>
      <c r="T28" s="1363"/>
    </row>
    <row r="29">
      <c r="A29" s="1368"/>
      <c r="B29" s="1368"/>
      <c r="C29" s="1361"/>
      <c r="D29" s="1361"/>
      <c r="E29" s="1361"/>
      <c r="F29" s="1361"/>
      <c r="G29" s="1361"/>
      <c r="H29" s="1361"/>
      <c r="I29" s="1361"/>
      <c r="J29" s="1361"/>
      <c r="K29" s="1363"/>
      <c r="L29" s="1363"/>
      <c r="M29" s="1363"/>
      <c r="N29" s="1363"/>
      <c r="O29" s="1363"/>
      <c r="P29" s="1363"/>
      <c r="Q29" s="1363"/>
      <c r="R29" s="1363"/>
      <c r="S29" s="1363"/>
      <c r="T29" s="1363"/>
    </row>
    <row r="30">
      <c r="A30" s="1368"/>
      <c r="B30" s="1368"/>
      <c r="C30" s="1361"/>
      <c r="D30" s="1361"/>
      <c r="E30" s="1361"/>
      <c r="F30" s="1361"/>
      <c r="G30" s="1361"/>
      <c r="H30" s="1361"/>
      <c r="I30" s="1361"/>
      <c r="J30" s="1361"/>
      <c r="K30" s="1363"/>
      <c r="L30" s="1363"/>
      <c r="M30" s="1363"/>
      <c r="N30" s="1363"/>
      <c r="O30" s="1363"/>
      <c r="P30" s="1363"/>
      <c r="Q30" s="1363"/>
      <c r="R30" s="1363"/>
      <c r="S30" s="1363"/>
      <c r="T30" s="1363"/>
    </row>
    <row r="31">
      <c r="A31" s="1368"/>
      <c r="B31" s="1368"/>
      <c r="C31" s="1361"/>
      <c r="D31" s="1361"/>
      <c r="E31" s="1361"/>
      <c r="F31" s="1361"/>
      <c r="G31" s="1361"/>
      <c r="H31" s="1361"/>
      <c r="I31" s="1361"/>
      <c r="J31" s="1361"/>
      <c r="K31" s="1363"/>
      <c r="L31" s="1363"/>
      <c r="M31" s="1363"/>
      <c r="N31" s="1363"/>
      <c r="O31" s="1363"/>
      <c r="P31" s="1363"/>
      <c r="Q31" s="1363"/>
      <c r="R31" s="1363"/>
      <c r="S31" s="1363"/>
      <c r="T31" s="1363"/>
    </row>
    <row r="32">
      <c r="A32" s="1368"/>
      <c r="B32" s="1368"/>
      <c r="C32" s="1361"/>
      <c r="D32" s="1361"/>
      <c r="E32" s="1361"/>
      <c r="F32" s="1361"/>
      <c r="G32" s="1361"/>
      <c r="H32" s="1361"/>
      <c r="I32" s="1361"/>
      <c r="J32" s="1361"/>
      <c r="K32" s="1363"/>
      <c r="L32" s="1363"/>
      <c r="M32" s="1363"/>
      <c r="N32" s="1363"/>
      <c r="O32" s="1363"/>
      <c r="P32" s="1363"/>
      <c r="Q32" s="1363"/>
      <c r="R32" s="1363"/>
      <c r="S32" s="1363"/>
      <c r="T32" s="1363"/>
    </row>
    <row r="33">
      <c r="A33" s="1368"/>
      <c r="B33" s="1368"/>
      <c r="C33" s="1361"/>
      <c r="D33" s="1361"/>
      <c r="E33" s="1361"/>
      <c r="F33" s="1361"/>
      <c r="G33" s="1361"/>
      <c r="H33" s="1361"/>
      <c r="I33" s="1361"/>
      <c r="J33" s="1361"/>
      <c r="K33" s="1363"/>
      <c r="L33" s="1363"/>
      <c r="M33" s="1363"/>
      <c r="N33" s="1363"/>
      <c r="O33" s="1363"/>
      <c r="P33" s="1363"/>
      <c r="Q33" s="1363"/>
      <c r="R33" s="1363"/>
      <c r="S33" s="1363"/>
      <c r="T33" s="1363"/>
    </row>
    <row r="34">
      <c r="A34" s="1368"/>
      <c r="B34" s="1368"/>
      <c r="C34" s="1361"/>
      <c r="D34" s="1361"/>
      <c r="E34" s="1361"/>
      <c r="F34" s="1361"/>
      <c r="G34" s="1361"/>
      <c r="H34" s="1361"/>
      <c r="I34" s="1361"/>
      <c r="J34" s="1361"/>
      <c r="K34" s="1363"/>
      <c r="L34" s="1363"/>
      <c r="M34" s="1363"/>
      <c r="N34" s="1363"/>
      <c r="O34" s="1363"/>
      <c r="P34" s="1363"/>
      <c r="Q34" s="1363"/>
      <c r="R34" s="1363"/>
      <c r="S34" s="1363"/>
      <c r="T34" s="1363"/>
    </row>
    <row r="35">
      <c r="A35" s="1368"/>
      <c r="B35" s="1368"/>
      <c r="C35" s="1361"/>
      <c r="D35" s="1361"/>
      <c r="E35" s="1361"/>
      <c r="F35" s="1361"/>
      <c r="G35" s="1361"/>
      <c r="H35" s="1361"/>
      <c r="I35" s="1361"/>
      <c r="J35" s="1361"/>
      <c r="K35" s="1363"/>
      <c r="L35" s="1363"/>
      <c r="M35" s="1363"/>
      <c r="N35" s="1363"/>
      <c r="O35" s="1363"/>
      <c r="P35" s="1363"/>
      <c r="Q35" s="1363"/>
      <c r="R35" s="1363"/>
      <c r="S35" s="1363"/>
      <c r="T35" s="1363"/>
    </row>
    <row r="36">
      <c r="A36" s="1368"/>
      <c r="B36" s="1368"/>
      <c r="C36" s="1361"/>
      <c r="D36" s="1361"/>
      <c r="E36" s="1361"/>
      <c r="F36" s="1361"/>
      <c r="G36" s="1361"/>
      <c r="H36" s="1361"/>
      <c r="I36" s="1361"/>
      <c r="J36" s="1361"/>
      <c r="K36" s="1363"/>
      <c r="L36" s="1363"/>
      <c r="M36" s="1363"/>
      <c r="N36" s="1363"/>
      <c r="O36" s="1363"/>
      <c r="P36" s="1363"/>
      <c r="Q36" s="1363"/>
      <c r="R36" s="1363"/>
      <c r="S36" s="1363"/>
      <c r="T36" s="1363"/>
    </row>
    <row r="37">
      <c r="A37" s="1368"/>
      <c r="B37" s="1368"/>
      <c r="C37" s="1361"/>
      <c r="D37" s="1361"/>
      <c r="E37" s="1361"/>
      <c r="F37" s="1361"/>
      <c r="G37" s="1361"/>
      <c r="H37" s="1361"/>
      <c r="I37" s="1361"/>
      <c r="J37" s="1361"/>
      <c r="K37" s="1363"/>
      <c r="L37" s="1363"/>
      <c r="M37" s="1363"/>
      <c r="N37" s="1363"/>
      <c r="O37" s="1363"/>
      <c r="P37" s="1363"/>
      <c r="Q37" s="1363"/>
      <c r="R37" s="1363"/>
      <c r="S37" s="1363"/>
      <c r="T37" s="1363"/>
    </row>
    <row r="38">
      <c r="A38" s="1368"/>
      <c r="B38" s="1368"/>
      <c r="C38" s="1361"/>
      <c r="D38" s="1361"/>
      <c r="E38" s="1361"/>
      <c r="F38" s="1361"/>
      <c r="G38" s="1361"/>
      <c r="H38" s="1361"/>
      <c r="I38" s="1361"/>
      <c r="J38" s="1361"/>
      <c r="K38" s="1363"/>
      <c r="L38" s="1363"/>
      <c r="M38" s="1363"/>
      <c r="N38" s="1363"/>
      <c r="O38" s="1363"/>
      <c r="P38" s="1363"/>
      <c r="Q38" s="1363"/>
      <c r="R38" s="1363"/>
      <c r="S38" s="1363"/>
      <c r="T38" s="1363"/>
    </row>
    <row r="39">
      <c r="A39" s="1368"/>
      <c r="B39" s="1368"/>
      <c r="C39" s="1361"/>
      <c r="D39" s="1361"/>
      <c r="E39" s="1361"/>
      <c r="F39" s="1361"/>
      <c r="G39" s="1361"/>
      <c r="H39" s="1361"/>
      <c r="I39" s="1361"/>
      <c r="J39" s="1361"/>
      <c r="K39" s="1363"/>
      <c r="L39" s="1363"/>
      <c r="M39" s="1363"/>
      <c r="N39" s="1363"/>
      <c r="O39" s="1363"/>
      <c r="P39" s="1363"/>
      <c r="Q39" s="1363"/>
      <c r="R39" s="1363"/>
      <c r="S39" s="1363"/>
      <c r="T39" s="1363"/>
    </row>
    <row r="40">
      <c r="A40" s="1368"/>
      <c r="B40" s="1368"/>
      <c r="C40" s="1361"/>
      <c r="D40" s="1361"/>
      <c r="E40" s="1361"/>
      <c r="F40" s="1361"/>
      <c r="G40" s="1361"/>
      <c r="H40" s="1361"/>
      <c r="I40" s="1361"/>
      <c r="J40" s="1361"/>
      <c r="K40" s="1363"/>
      <c r="L40" s="1363"/>
      <c r="M40" s="1363"/>
      <c r="N40" s="1363"/>
      <c r="O40" s="1363"/>
      <c r="P40" s="1363"/>
      <c r="Q40" s="1363"/>
      <c r="R40" s="1363"/>
      <c r="S40" s="1363"/>
      <c r="T40" s="1363"/>
    </row>
    <row r="41">
      <c r="A41" s="1368"/>
      <c r="B41" s="1368"/>
      <c r="C41" s="1361"/>
      <c r="D41" s="1361"/>
      <c r="E41" s="1361"/>
      <c r="F41" s="1361"/>
      <c r="G41" s="1361"/>
      <c r="H41" s="1361"/>
      <c r="I41" s="1361"/>
      <c r="J41" s="1361"/>
      <c r="K41" s="1363"/>
      <c r="L41" s="1363"/>
      <c r="M41" s="1363"/>
      <c r="N41" s="1363"/>
      <c r="O41" s="1363"/>
      <c r="P41" s="1363"/>
      <c r="Q41" s="1363"/>
      <c r="R41" s="1363"/>
      <c r="S41" s="1363"/>
      <c r="T41" s="1363"/>
    </row>
    <row r="42">
      <c r="A42" s="1368"/>
      <c r="B42" s="1368"/>
      <c r="C42" s="1361"/>
      <c r="D42" s="1361"/>
      <c r="E42" s="1361"/>
      <c r="F42" s="1361"/>
      <c r="G42" s="1361"/>
      <c r="H42" s="1361"/>
      <c r="I42" s="1361"/>
      <c r="J42" s="1361"/>
      <c r="K42" s="1363"/>
      <c r="L42" s="1363"/>
      <c r="M42" s="1363"/>
      <c r="N42" s="1363"/>
      <c r="O42" s="1363"/>
      <c r="P42" s="1363"/>
      <c r="Q42" s="1363"/>
      <c r="R42" s="1363"/>
      <c r="S42" s="1363"/>
      <c r="T42" s="1363"/>
    </row>
    <row r="43">
      <c r="A43" s="1368"/>
      <c r="B43" s="1368"/>
      <c r="C43" s="1361"/>
      <c r="D43" s="1361"/>
      <c r="E43" s="1361"/>
      <c r="F43" s="1361"/>
      <c r="G43" s="1361"/>
      <c r="H43" s="1361"/>
      <c r="I43" s="1361"/>
      <c r="J43" s="1361"/>
      <c r="K43" s="1363"/>
      <c r="L43" s="1363"/>
      <c r="M43" s="1363"/>
      <c r="N43" s="1363"/>
      <c r="O43" s="1363"/>
      <c r="P43" s="1363"/>
      <c r="Q43" s="1363"/>
      <c r="R43" s="1363"/>
      <c r="S43" s="1363"/>
      <c r="T43" s="1363"/>
    </row>
    <row r="44">
      <c r="A44" s="1368"/>
      <c r="B44" s="1368"/>
      <c r="C44" s="1361"/>
      <c r="D44" s="1361"/>
      <c r="E44" s="1361"/>
      <c r="F44" s="1361"/>
      <c r="G44" s="1361"/>
      <c r="H44" s="1361"/>
      <c r="I44" s="1361"/>
      <c r="J44" s="1361"/>
      <c r="K44" s="1363"/>
      <c r="L44" s="1363"/>
      <c r="M44" s="1363"/>
      <c r="N44" s="1363"/>
      <c r="O44" s="1363"/>
      <c r="P44" s="1363"/>
      <c r="Q44" s="1363"/>
      <c r="R44" s="1363"/>
      <c r="S44" s="1363"/>
      <c r="T44" s="1363"/>
    </row>
    <row r="45">
      <c r="A45" s="1368"/>
      <c r="B45" s="1368"/>
      <c r="C45" s="1361"/>
      <c r="D45" s="1361"/>
      <c r="E45" s="1361"/>
      <c r="F45" s="1361"/>
      <c r="G45" s="1361"/>
      <c r="H45" s="1361"/>
      <c r="I45" s="1361"/>
      <c r="J45" s="1361"/>
      <c r="K45" s="1363"/>
      <c r="L45" s="1363"/>
      <c r="M45" s="1363"/>
      <c r="N45" s="1363"/>
      <c r="O45" s="1363"/>
      <c r="P45" s="1363"/>
      <c r="Q45" s="1363"/>
      <c r="R45" s="1363"/>
      <c r="S45" s="1363"/>
      <c r="T45" s="1363"/>
    </row>
    <row r="46">
      <c r="A46" s="1368"/>
      <c r="B46" s="1368"/>
      <c r="C46" s="1361"/>
      <c r="D46" s="1361"/>
      <c r="E46" s="1361"/>
      <c r="F46" s="1361"/>
      <c r="G46" s="1361"/>
      <c r="H46" s="1361"/>
      <c r="I46" s="1361"/>
      <c r="J46" s="1361"/>
      <c r="K46" s="1363"/>
      <c r="L46" s="1363"/>
      <c r="M46" s="1363"/>
      <c r="N46" s="1363"/>
      <c r="O46" s="1363"/>
      <c r="P46" s="1363"/>
      <c r="Q46" s="1363"/>
      <c r="R46" s="1363"/>
      <c r="S46" s="1363"/>
      <c r="T46" s="1363"/>
    </row>
    <row r="47">
      <c r="A47" s="1368"/>
      <c r="B47" s="1368"/>
      <c r="C47" s="1361"/>
      <c r="D47" s="1361"/>
      <c r="E47" s="1361"/>
      <c r="F47" s="1361"/>
      <c r="G47" s="1361"/>
      <c r="H47" s="1361"/>
      <c r="I47" s="1361"/>
      <c r="J47" s="1361"/>
      <c r="K47" s="1363"/>
      <c r="L47" s="1363"/>
      <c r="M47" s="1363"/>
      <c r="N47" s="1363"/>
      <c r="O47" s="1363"/>
      <c r="P47" s="1363"/>
      <c r="Q47" s="1363"/>
      <c r="R47" s="1363"/>
      <c r="S47" s="1363"/>
      <c r="T47" s="1363"/>
    </row>
    <row r="48">
      <c r="A48" s="1369"/>
      <c r="B48" s="1363"/>
      <c r="C48" s="1363"/>
      <c r="D48" s="1363"/>
      <c r="E48" s="1363"/>
      <c r="F48" s="1363"/>
      <c r="G48" s="1363"/>
      <c r="H48" s="1363"/>
      <c r="I48" s="1363"/>
      <c r="J48" s="1363"/>
      <c r="K48" s="1363"/>
      <c r="L48" s="1363"/>
      <c r="M48" s="1363"/>
      <c r="N48" s="1363"/>
      <c r="O48" s="1363"/>
      <c r="P48" s="1363"/>
      <c r="Q48" s="1363"/>
      <c r="R48" s="1363"/>
      <c r="S48" s="1363"/>
      <c r="T48" s="1363"/>
    </row>
    <row r="49">
      <c r="A49" s="1369"/>
      <c r="B49" s="1363"/>
      <c r="C49" s="1363"/>
      <c r="D49" s="1363"/>
      <c r="E49" s="1363"/>
      <c r="F49" s="1363"/>
      <c r="G49" s="1363"/>
      <c r="H49" s="1363"/>
      <c r="I49" s="1363"/>
      <c r="J49" s="1363"/>
      <c r="K49" s="1363"/>
      <c r="L49" s="1363"/>
      <c r="M49" s="1363"/>
      <c r="N49" s="1363"/>
      <c r="O49" s="1363"/>
      <c r="P49" s="1363"/>
      <c r="Q49" s="1363"/>
      <c r="R49" s="1363"/>
      <c r="S49" s="1363"/>
      <c r="T49" s="1363"/>
    </row>
    <row r="50">
      <c r="A50" s="1369"/>
      <c r="B50" s="1363"/>
      <c r="C50" s="1363"/>
      <c r="D50" s="1363"/>
      <c r="E50" s="1363"/>
      <c r="F50" s="1363"/>
      <c r="G50" s="1363"/>
      <c r="H50" s="1363"/>
      <c r="I50" s="1363"/>
      <c r="J50" s="1363"/>
      <c r="K50" s="1363"/>
      <c r="L50" s="1363"/>
      <c r="M50" s="1363"/>
      <c r="N50" s="1363"/>
      <c r="O50" s="1363"/>
      <c r="P50" s="1363"/>
      <c r="Q50" s="1363"/>
      <c r="R50" s="1363"/>
      <c r="S50" s="1363"/>
      <c r="T50" s="1363"/>
    </row>
    <row r="51">
      <c r="A51" s="1369"/>
      <c r="B51" s="1363"/>
      <c r="C51" s="1363"/>
      <c r="D51" s="1363"/>
      <c r="E51" s="1363"/>
      <c r="F51" s="1363"/>
      <c r="G51" s="1363"/>
      <c r="H51" s="1363"/>
      <c r="I51" s="1363"/>
      <c r="J51" s="1363"/>
      <c r="K51" s="1363"/>
      <c r="L51" s="1363"/>
      <c r="M51" s="1363"/>
      <c r="N51" s="1363"/>
      <c r="O51" s="1363"/>
      <c r="P51" s="1363"/>
      <c r="Q51" s="1363"/>
      <c r="R51" s="1363"/>
      <c r="S51" s="1363"/>
      <c r="T51" s="1363"/>
    </row>
    <row r="52">
      <c r="A52" s="1369"/>
      <c r="B52" s="1363"/>
      <c r="C52" s="1363"/>
      <c r="D52" s="1363"/>
      <c r="E52" s="1363"/>
      <c r="F52" s="1363"/>
      <c r="G52" s="1363"/>
      <c r="H52" s="1363"/>
      <c r="I52" s="1363"/>
      <c r="J52" s="1363"/>
      <c r="K52" s="1363"/>
      <c r="L52" s="1363"/>
      <c r="M52" s="1363"/>
      <c r="N52" s="1363"/>
      <c r="O52" s="1363"/>
      <c r="P52" s="1363"/>
      <c r="Q52" s="1363"/>
      <c r="R52" s="1363"/>
      <c r="S52" s="1363"/>
      <c r="T52" s="1363"/>
    </row>
    <row r="53">
      <c r="A53" s="1369"/>
      <c r="B53" s="1363"/>
      <c r="C53" s="1363"/>
      <c r="D53" s="1363"/>
      <c r="E53" s="1363"/>
      <c r="F53" s="1363"/>
      <c r="G53" s="1363"/>
      <c r="H53" s="1363"/>
      <c r="I53" s="1363"/>
      <c r="J53" s="1363"/>
      <c r="K53" s="1363"/>
      <c r="L53" s="1363"/>
      <c r="M53" s="1363"/>
      <c r="N53" s="1363"/>
      <c r="O53" s="1363"/>
      <c r="P53" s="1363"/>
      <c r="Q53" s="1363"/>
      <c r="R53" s="1363"/>
      <c r="S53" s="1363"/>
      <c r="T53" s="1363"/>
    </row>
    <row r="54">
      <c r="A54" s="1369"/>
      <c r="B54" s="1363"/>
      <c r="C54" s="1363"/>
      <c r="D54" s="1363"/>
      <c r="E54" s="1363"/>
      <c r="F54" s="1363"/>
      <c r="G54" s="1363"/>
      <c r="H54" s="1363"/>
      <c r="I54" s="1363"/>
      <c r="J54" s="1363"/>
      <c r="K54" s="1363"/>
      <c r="L54" s="1363"/>
      <c r="M54" s="1363"/>
      <c r="N54" s="1363"/>
      <c r="O54" s="1363"/>
      <c r="P54" s="1363"/>
      <c r="Q54" s="1363"/>
      <c r="R54" s="1363"/>
      <c r="S54" s="1363"/>
      <c r="T54" s="1363"/>
    </row>
    <row r="55">
      <c r="A55" s="1369"/>
      <c r="B55" s="1363"/>
      <c r="C55" s="1363"/>
      <c r="D55" s="1363"/>
      <c r="E55" s="1363"/>
      <c r="F55" s="1363"/>
      <c r="G55" s="1363"/>
      <c r="H55" s="1363"/>
      <c r="I55" s="1363"/>
      <c r="J55" s="1363"/>
      <c r="K55" s="1363"/>
      <c r="L55" s="1363"/>
      <c r="M55" s="1363"/>
      <c r="N55" s="1363"/>
      <c r="O55" s="1363"/>
      <c r="P55" s="1363"/>
      <c r="Q55" s="1363"/>
      <c r="R55" s="1363"/>
      <c r="S55" s="1363"/>
      <c r="T55" s="1363"/>
    </row>
    <row r="56">
      <c r="A56" s="1369"/>
      <c r="B56" s="1363"/>
      <c r="C56" s="1363"/>
      <c r="D56" s="1363"/>
      <c r="E56" s="1363"/>
      <c r="F56" s="1363"/>
      <c r="G56" s="1363"/>
      <c r="H56" s="1363"/>
      <c r="I56" s="1363"/>
      <c r="J56" s="1363"/>
      <c r="K56" s="1363"/>
      <c r="L56" s="1363"/>
      <c r="M56" s="1363"/>
      <c r="N56" s="1363"/>
      <c r="O56" s="1363"/>
      <c r="P56" s="1363"/>
      <c r="Q56" s="1363"/>
      <c r="R56" s="1363"/>
      <c r="S56" s="1363"/>
      <c r="T56" s="1363"/>
    </row>
    <row r="57">
      <c r="A57" s="1369"/>
      <c r="B57" s="1369"/>
      <c r="C57" s="1363"/>
      <c r="D57" s="1363"/>
      <c r="E57" s="1363"/>
      <c r="F57" s="1363"/>
      <c r="G57" s="1363"/>
      <c r="H57" s="1363"/>
      <c r="I57" s="1363"/>
      <c r="J57" s="1363"/>
      <c r="K57" s="1363"/>
      <c r="L57" s="1363"/>
      <c r="M57" s="1363"/>
      <c r="N57" s="1363"/>
      <c r="O57" s="1363"/>
      <c r="P57" s="1363"/>
      <c r="Q57" s="1363"/>
      <c r="R57" s="1363"/>
      <c r="S57" s="1363"/>
      <c r="T57" s="1363"/>
    </row>
    <row r="58">
      <c r="A58" s="1369"/>
      <c r="B58" s="1369"/>
      <c r="C58" s="1363"/>
      <c r="D58" s="1363"/>
      <c r="E58" s="1363"/>
      <c r="F58" s="1363"/>
      <c r="G58" s="1363"/>
      <c r="H58" s="1363"/>
      <c r="I58" s="1363"/>
      <c r="J58" s="1363"/>
      <c r="K58" s="1363"/>
      <c r="L58" s="1363"/>
      <c r="M58" s="1363"/>
      <c r="N58" s="1363"/>
      <c r="O58" s="1363"/>
      <c r="P58" s="1363"/>
      <c r="Q58" s="1363"/>
      <c r="R58" s="1363"/>
      <c r="S58" s="1363"/>
      <c r="T58" s="1363"/>
    </row>
    <row r="59">
      <c r="A59" s="1369"/>
      <c r="B59" s="1369"/>
      <c r="C59" s="1363"/>
      <c r="D59" s="1363"/>
      <c r="E59" s="1363"/>
      <c r="F59" s="1363"/>
      <c r="G59" s="1363"/>
      <c r="H59" s="1363"/>
      <c r="I59" s="1363"/>
      <c r="J59" s="1363"/>
      <c r="K59" s="1363"/>
      <c r="L59" s="1363"/>
      <c r="M59" s="1363"/>
      <c r="N59" s="1363"/>
      <c r="O59" s="1363"/>
      <c r="P59" s="1363"/>
      <c r="Q59" s="1363"/>
      <c r="R59" s="1363"/>
      <c r="S59" s="1363"/>
      <c r="T59" s="1363"/>
    </row>
    <row r="60">
      <c r="A60" s="1369"/>
      <c r="B60" s="1369"/>
      <c r="C60" s="1363"/>
      <c r="D60" s="1363"/>
      <c r="E60" s="1363"/>
      <c r="F60" s="1363"/>
      <c r="G60" s="1363"/>
      <c r="H60" s="1363"/>
      <c r="I60" s="1363"/>
      <c r="J60" s="1363"/>
      <c r="K60" s="1363"/>
      <c r="L60" s="1363"/>
      <c r="M60" s="1363"/>
      <c r="N60" s="1363"/>
      <c r="O60" s="1363"/>
      <c r="P60" s="1363"/>
      <c r="Q60" s="1363"/>
      <c r="R60" s="1363"/>
      <c r="S60" s="1363"/>
      <c r="T60" s="1363"/>
    </row>
    <row r="61">
      <c r="A61" s="1369"/>
      <c r="B61" s="1369"/>
      <c r="C61" s="1363"/>
      <c r="D61" s="1363"/>
      <c r="E61" s="1363"/>
      <c r="F61" s="1363"/>
      <c r="G61" s="1363"/>
      <c r="H61" s="1363"/>
      <c r="I61" s="1363"/>
      <c r="J61" s="1363"/>
      <c r="K61" s="1363"/>
      <c r="L61" s="1363"/>
      <c r="M61" s="1363"/>
      <c r="N61" s="1363"/>
      <c r="O61" s="1363"/>
      <c r="P61" s="1363"/>
      <c r="Q61" s="1363"/>
      <c r="R61" s="1363"/>
      <c r="S61" s="1363"/>
      <c r="T61" s="1363"/>
    </row>
    <row r="62">
      <c r="A62" s="1369"/>
      <c r="B62" s="1369"/>
      <c r="C62" s="1363"/>
      <c r="D62" s="1363"/>
      <c r="E62" s="1363"/>
      <c r="F62" s="1363"/>
      <c r="G62" s="1363"/>
      <c r="H62" s="1363"/>
      <c r="I62" s="1363"/>
      <c r="J62" s="1363"/>
      <c r="K62" s="1363"/>
      <c r="L62" s="1363"/>
      <c r="M62" s="1363"/>
      <c r="N62" s="1363"/>
      <c r="O62" s="1363"/>
      <c r="P62" s="1363"/>
      <c r="Q62" s="1363"/>
      <c r="R62" s="1363"/>
      <c r="S62" s="1363"/>
      <c r="T62" s="1363"/>
    </row>
    <row r="63">
      <c r="A63" s="1369"/>
      <c r="B63" s="1369"/>
      <c r="C63" s="1363"/>
      <c r="D63" s="1363"/>
      <c r="E63" s="1363"/>
      <c r="F63" s="1363"/>
      <c r="G63" s="1363"/>
      <c r="H63" s="1363"/>
      <c r="I63" s="1363"/>
      <c r="J63" s="1363"/>
      <c r="K63" s="1363"/>
      <c r="L63" s="1363"/>
      <c r="M63" s="1363"/>
      <c r="N63" s="1363"/>
      <c r="O63" s="1363"/>
      <c r="P63" s="1363"/>
      <c r="Q63" s="1363"/>
      <c r="R63" s="1363"/>
      <c r="S63" s="1363"/>
      <c r="T63" s="1363"/>
    </row>
    <row r="64">
      <c r="A64" s="1369"/>
      <c r="B64" s="1369"/>
      <c r="C64" s="1363"/>
      <c r="D64" s="1363"/>
      <c r="E64" s="1363"/>
      <c r="F64" s="1363"/>
      <c r="G64" s="1363"/>
      <c r="H64" s="1363"/>
      <c r="I64" s="1363"/>
      <c r="J64" s="1363"/>
      <c r="K64" s="1363"/>
      <c r="L64" s="1363"/>
      <c r="M64" s="1363"/>
      <c r="N64" s="1363"/>
      <c r="O64" s="1363"/>
      <c r="P64" s="1363"/>
      <c r="Q64" s="1363"/>
      <c r="R64" s="1363"/>
      <c r="S64" s="1363"/>
      <c r="T64" s="1363"/>
    </row>
    <row r="65">
      <c r="A65" s="1369"/>
      <c r="B65" s="1369"/>
      <c r="C65" s="1363"/>
      <c r="D65" s="1363"/>
      <c r="E65" s="1363"/>
      <c r="F65" s="1363"/>
      <c r="G65" s="1363"/>
      <c r="H65" s="1363"/>
      <c r="I65" s="1363"/>
      <c r="J65" s="1363"/>
      <c r="K65" s="1363"/>
      <c r="L65" s="1363"/>
      <c r="M65" s="1363"/>
      <c r="N65" s="1363"/>
      <c r="O65" s="1363"/>
      <c r="P65" s="1363"/>
      <c r="Q65" s="1363"/>
      <c r="R65" s="1363"/>
      <c r="S65" s="1363"/>
      <c r="T65" s="1363"/>
    </row>
    <row r="66">
      <c r="A66" s="1369"/>
      <c r="B66" s="1369"/>
      <c r="C66" s="1363"/>
      <c r="D66" s="1363"/>
      <c r="E66" s="1363"/>
      <c r="F66" s="1363"/>
      <c r="G66" s="1363"/>
      <c r="H66" s="1363"/>
      <c r="I66" s="1363"/>
      <c r="J66" s="1363"/>
      <c r="K66" s="1363"/>
      <c r="L66" s="1363"/>
      <c r="M66" s="1363"/>
      <c r="N66" s="1363"/>
      <c r="O66" s="1363"/>
      <c r="P66" s="1363"/>
      <c r="Q66" s="1363"/>
      <c r="R66" s="1363"/>
      <c r="S66" s="1363"/>
      <c r="T66" s="1363"/>
    </row>
    <row r="67">
      <c r="A67" s="1369"/>
      <c r="B67" s="1369"/>
      <c r="C67" s="1363"/>
      <c r="D67" s="1363"/>
      <c r="E67" s="1363"/>
      <c r="F67" s="1363"/>
      <c r="G67" s="1363"/>
      <c r="H67" s="1363"/>
      <c r="I67" s="1363"/>
      <c r="J67" s="1363"/>
      <c r="K67" s="1363"/>
      <c r="L67" s="1363"/>
      <c r="M67" s="1363"/>
      <c r="N67" s="1363"/>
      <c r="O67" s="1363"/>
      <c r="P67" s="1363"/>
      <c r="Q67" s="1363"/>
      <c r="R67" s="1363"/>
      <c r="S67" s="1363"/>
      <c r="T67" s="1363"/>
    </row>
    <row r="68">
      <c r="A68" s="1369"/>
      <c r="B68" s="1369"/>
      <c r="C68" s="1363"/>
      <c r="D68" s="1363"/>
      <c r="E68" s="1363"/>
      <c r="F68" s="1363"/>
      <c r="G68" s="1363"/>
      <c r="H68" s="1363"/>
      <c r="I68" s="1363"/>
      <c r="J68" s="1363"/>
      <c r="K68" s="1363"/>
      <c r="L68" s="1363"/>
      <c r="M68" s="1363"/>
      <c r="N68" s="1363"/>
      <c r="O68" s="1363"/>
      <c r="P68" s="1363"/>
      <c r="Q68" s="1363"/>
      <c r="R68" s="1363"/>
      <c r="S68" s="1363"/>
      <c r="T68" s="1363"/>
    </row>
    <row r="69">
      <c r="A69" s="1369"/>
      <c r="B69" s="1369"/>
      <c r="C69" s="1363"/>
      <c r="D69" s="1363"/>
      <c r="E69" s="1363"/>
      <c r="F69" s="1363"/>
      <c r="G69" s="1363"/>
      <c r="H69" s="1363"/>
      <c r="I69" s="1363"/>
      <c r="J69" s="1363"/>
      <c r="K69" s="1363"/>
      <c r="L69" s="1363"/>
      <c r="M69" s="1363"/>
      <c r="N69" s="1363"/>
      <c r="O69" s="1363"/>
      <c r="P69" s="1363"/>
      <c r="Q69" s="1363"/>
      <c r="R69" s="1363"/>
      <c r="S69" s="1363"/>
      <c r="T69" s="1363"/>
    </row>
    <row r="70">
      <c r="A70" s="1369"/>
      <c r="B70" s="1369"/>
      <c r="C70" s="1363"/>
      <c r="D70" s="1363"/>
      <c r="E70" s="1363"/>
      <c r="F70" s="1363"/>
      <c r="G70" s="1363"/>
      <c r="H70" s="1363"/>
      <c r="I70" s="1363"/>
      <c r="J70" s="1363"/>
      <c r="K70" s="1363"/>
      <c r="L70" s="1363"/>
      <c r="M70" s="1363"/>
      <c r="N70" s="1363"/>
      <c r="O70" s="1363"/>
      <c r="P70" s="1363"/>
      <c r="Q70" s="1363"/>
      <c r="R70" s="1363"/>
      <c r="S70" s="1363"/>
      <c r="T70" s="1363"/>
    </row>
    <row r="71">
      <c r="A71" s="1369"/>
      <c r="B71" s="1369"/>
      <c r="C71" s="1363"/>
      <c r="D71" s="1363"/>
      <c r="E71" s="1363"/>
      <c r="F71" s="1363"/>
      <c r="G71" s="1363"/>
      <c r="H71" s="1363"/>
      <c r="I71" s="1363"/>
      <c r="J71" s="1363"/>
      <c r="K71" s="1363"/>
      <c r="L71" s="1363"/>
      <c r="M71" s="1363"/>
      <c r="N71" s="1363"/>
      <c r="O71" s="1363"/>
      <c r="P71" s="1363"/>
      <c r="Q71" s="1363"/>
      <c r="R71" s="1363"/>
      <c r="S71" s="1363"/>
      <c r="T71" s="1363"/>
    </row>
    <row r="72">
      <c r="A72" s="1369"/>
      <c r="B72" s="1369"/>
      <c r="C72" s="1363"/>
      <c r="D72" s="1363"/>
      <c r="E72" s="1363"/>
      <c r="F72" s="1363"/>
      <c r="G72" s="1363"/>
      <c r="H72" s="1363"/>
      <c r="I72" s="1363"/>
      <c r="J72" s="1363"/>
      <c r="K72" s="1363"/>
      <c r="L72" s="1363"/>
      <c r="M72" s="1363"/>
      <c r="N72" s="1363"/>
      <c r="O72" s="1363"/>
      <c r="P72" s="1363"/>
      <c r="Q72" s="1363"/>
      <c r="R72" s="1363"/>
      <c r="S72" s="1363"/>
      <c r="T72" s="1363"/>
    </row>
    <row r="73">
      <c r="A73" s="1369"/>
      <c r="B73" s="1369"/>
      <c r="C73" s="1363"/>
      <c r="D73" s="1363"/>
      <c r="E73" s="1363"/>
      <c r="F73" s="1363"/>
      <c r="G73" s="1363"/>
      <c r="H73" s="1363"/>
      <c r="I73" s="1363"/>
      <c r="J73" s="1363"/>
      <c r="K73" s="1363"/>
      <c r="L73" s="1363"/>
      <c r="M73" s="1363"/>
      <c r="N73" s="1363"/>
      <c r="O73" s="1363"/>
      <c r="P73" s="1363"/>
      <c r="Q73" s="1363"/>
      <c r="R73" s="1363"/>
      <c r="S73" s="1363"/>
      <c r="T73" s="1363"/>
    </row>
    <row r="74">
      <c r="A74" s="1369"/>
      <c r="B74" s="1369"/>
      <c r="C74" s="1363"/>
      <c r="D74" s="1363"/>
      <c r="E74" s="1363"/>
      <c r="F74" s="1363"/>
      <c r="G74" s="1363"/>
      <c r="H74" s="1363"/>
      <c r="I74" s="1363"/>
      <c r="J74" s="1363"/>
      <c r="K74" s="1363"/>
      <c r="L74" s="1363"/>
      <c r="M74" s="1363"/>
      <c r="N74" s="1363"/>
      <c r="O74" s="1363"/>
      <c r="P74" s="1363"/>
      <c r="Q74" s="1363"/>
      <c r="R74" s="1363"/>
      <c r="S74" s="1363"/>
      <c r="T74" s="1363"/>
    </row>
    <row r="75">
      <c r="A75" s="1369"/>
      <c r="B75" s="1369"/>
      <c r="C75" s="1363"/>
      <c r="D75" s="1363"/>
      <c r="E75" s="1363"/>
      <c r="F75" s="1363"/>
      <c r="G75" s="1363"/>
      <c r="H75" s="1363"/>
      <c r="I75" s="1363"/>
      <c r="J75" s="1363"/>
      <c r="K75" s="1363"/>
      <c r="L75" s="1363"/>
      <c r="M75" s="1363"/>
      <c r="N75" s="1363"/>
      <c r="O75" s="1363"/>
      <c r="P75" s="1363"/>
      <c r="Q75" s="1363"/>
      <c r="R75" s="1363"/>
      <c r="S75" s="1363"/>
      <c r="T75" s="1363"/>
    </row>
    <row r="76">
      <c r="A76" s="1369"/>
      <c r="B76" s="1369"/>
      <c r="C76" s="1363"/>
      <c r="D76" s="1363"/>
      <c r="E76" s="1363"/>
      <c r="F76" s="1363"/>
      <c r="G76" s="1363"/>
      <c r="H76" s="1363"/>
      <c r="I76" s="1363"/>
      <c r="J76" s="1363"/>
      <c r="K76" s="1363"/>
      <c r="L76" s="1363"/>
      <c r="M76" s="1363"/>
      <c r="N76" s="1363"/>
      <c r="O76" s="1363"/>
      <c r="P76" s="1363"/>
      <c r="Q76" s="1363"/>
      <c r="R76" s="1363"/>
      <c r="S76" s="1363"/>
      <c r="T76" s="1363"/>
    </row>
    <row r="77">
      <c r="A77" s="1369"/>
      <c r="B77" s="1369"/>
      <c r="C77" s="1363"/>
      <c r="D77" s="1363"/>
      <c r="E77" s="1363"/>
      <c r="F77" s="1363"/>
      <c r="G77" s="1363"/>
      <c r="H77" s="1363"/>
      <c r="I77" s="1363"/>
      <c r="J77" s="1363"/>
      <c r="K77" s="1363"/>
      <c r="L77" s="1363"/>
      <c r="M77" s="1363"/>
      <c r="N77" s="1363"/>
      <c r="O77" s="1363"/>
      <c r="P77" s="1363"/>
      <c r="Q77" s="1363"/>
      <c r="R77" s="1363"/>
      <c r="S77" s="1363"/>
      <c r="T77" s="1363"/>
    </row>
    <row r="78">
      <c r="A78" s="1369"/>
      <c r="B78" s="1369"/>
      <c r="C78" s="1363"/>
      <c r="D78" s="1363"/>
      <c r="E78" s="1363"/>
      <c r="F78" s="1363"/>
      <c r="G78" s="1363"/>
      <c r="H78" s="1363"/>
      <c r="I78" s="1363"/>
      <c r="J78" s="1363"/>
      <c r="K78" s="1363"/>
      <c r="L78" s="1363"/>
      <c r="M78" s="1363"/>
      <c r="N78" s="1363"/>
      <c r="O78" s="1363"/>
      <c r="P78" s="1363"/>
      <c r="Q78" s="1363"/>
      <c r="R78" s="1363"/>
      <c r="S78" s="1363"/>
      <c r="T78" s="1363"/>
    </row>
    <row r="79">
      <c r="A79" s="1369"/>
      <c r="B79" s="1369"/>
      <c r="C79" s="1363"/>
      <c r="D79" s="1363"/>
      <c r="E79" s="1363"/>
      <c r="F79" s="1363"/>
      <c r="G79" s="1363"/>
      <c r="H79" s="1363"/>
      <c r="I79" s="1363"/>
      <c r="J79" s="1363"/>
      <c r="K79" s="1363"/>
      <c r="L79" s="1363"/>
      <c r="M79" s="1363"/>
      <c r="N79" s="1363"/>
      <c r="O79" s="1363"/>
      <c r="P79" s="1363"/>
      <c r="Q79" s="1363"/>
      <c r="R79" s="1363"/>
      <c r="S79" s="1363"/>
      <c r="T79" s="1363"/>
    </row>
    <row r="80">
      <c r="A80" s="1369"/>
      <c r="B80" s="1369"/>
      <c r="C80" s="1363"/>
      <c r="D80" s="1363"/>
      <c r="E80" s="1363"/>
      <c r="F80" s="1363"/>
      <c r="G80" s="1363"/>
      <c r="H80" s="1363"/>
      <c r="I80" s="1363"/>
      <c r="J80" s="1363"/>
      <c r="K80" s="1363"/>
      <c r="L80" s="1363"/>
      <c r="M80" s="1363"/>
      <c r="N80" s="1363"/>
      <c r="O80" s="1363"/>
      <c r="P80" s="1363"/>
      <c r="Q80" s="1363"/>
      <c r="R80" s="1363"/>
      <c r="S80" s="1363"/>
      <c r="T80" s="1363"/>
    </row>
    <row r="81">
      <c r="A81" s="1369"/>
      <c r="B81" s="1369"/>
      <c r="C81" s="1363"/>
      <c r="D81" s="1363"/>
      <c r="E81" s="1363"/>
      <c r="F81" s="1363"/>
      <c r="G81" s="1363"/>
      <c r="H81" s="1363"/>
      <c r="I81" s="1363"/>
      <c r="J81" s="1363"/>
      <c r="K81" s="1363"/>
      <c r="L81" s="1363"/>
      <c r="M81" s="1363"/>
      <c r="N81" s="1363"/>
      <c r="O81" s="1363"/>
      <c r="P81" s="1363"/>
      <c r="Q81" s="1363"/>
      <c r="R81" s="1363"/>
      <c r="S81" s="1363"/>
      <c r="T81" s="1363"/>
    </row>
    <row r="82">
      <c r="A82" s="1369"/>
      <c r="B82" s="1369"/>
      <c r="C82" s="1363"/>
      <c r="D82" s="1363"/>
      <c r="E82" s="1363"/>
      <c r="F82" s="1363"/>
      <c r="G82" s="1363"/>
      <c r="H82" s="1363"/>
      <c r="I82" s="1363"/>
      <c r="J82" s="1363"/>
      <c r="K82" s="1363"/>
      <c r="L82" s="1363"/>
      <c r="M82" s="1363"/>
      <c r="N82" s="1363"/>
      <c r="O82" s="1363"/>
      <c r="P82" s="1363"/>
      <c r="Q82" s="1363"/>
      <c r="R82" s="1363"/>
      <c r="S82" s="1363"/>
      <c r="T82" s="1363"/>
    </row>
    <row r="83">
      <c r="A83" s="1369"/>
      <c r="B83" s="1369"/>
      <c r="C83" s="1363"/>
      <c r="D83" s="1363"/>
      <c r="E83" s="1363"/>
      <c r="F83" s="1363"/>
      <c r="G83" s="1363"/>
      <c r="H83" s="1363"/>
      <c r="I83" s="1363"/>
      <c r="J83" s="1363"/>
      <c r="K83" s="1363"/>
      <c r="L83" s="1363"/>
      <c r="M83" s="1363"/>
      <c r="N83" s="1363"/>
      <c r="O83" s="1363"/>
      <c r="P83" s="1363"/>
      <c r="Q83" s="1363"/>
      <c r="R83" s="1363"/>
      <c r="S83" s="1363"/>
      <c r="T83" s="1363"/>
    </row>
    <row r="84">
      <c r="A84" s="1369"/>
      <c r="B84" s="1369"/>
      <c r="C84" s="1363"/>
      <c r="D84" s="1363"/>
      <c r="E84" s="1363"/>
      <c r="F84" s="1363"/>
      <c r="G84" s="1363"/>
      <c r="H84" s="1363"/>
      <c r="I84" s="1363"/>
      <c r="J84" s="1363"/>
      <c r="K84" s="1363"/>
      <c r="L84" s="1363"/>
      <c r="M84" s="1363"/>
      <c r="N84" s="1363"/>
      <c r="O84" s="1363"/>
      <c r="P84" s="1363"/>
      <c r="Q84" s="1363"/>
      <c r="R84" s="1363"/>
      <c r="S84" s="1363"/>
      <c r="T84" s="1363"/>
    </row>
    <row r="85">
      <c r="A85" s="1369"/>
      <c r="B85" s="1369"/>
      <c r="C85" s="1363"/>
      <c r="D85" s="1363"/>
      <c r="E85" s="1363"/>
      <c r="F85" s="1363"/>
      <c r="G85" s="1363"/>
      <c r="H85" s="1363"/>
      <c r="I85" s="1363"/>
      <c r="J85" s="1363"/>
      <c r="K85" s="1363"/>
      <c r="L85" s="1363"/>
      <c r="M85" s="1363"/>
      <c r="N85" s="1363"/>
      <c r="O85" s="1363"/>
      <c r="P85" s="1363"/>
      <c r="Q85" s="1363"/>
      <c r="R85" s="1363"/>
      <c r="S85" s="1363"/>
      <c r="T85" s="1363"/>
    </row>
    <row r="86">
      <c r="A86" s="1369"/>
      <c r="B86" s="1369"/>
      <c r="C86" s="1363"/>
      <c r="D86" s="1363"/>
      <c r="E86" s="1363"/>
      <c r="F86" s="1363"/>
      <c r="G86" s="1363"/>
      <c r="H86" s="1363"/>
      <c r="I86" s="1363"/>
      <c r="J86" s="1363"/>
      <c r="K86" s="1363"/>
      <c r="L86" s="1363"/>
      <c r="M86" s="1363"/>
      <c r="N86" s="1363"/>
      <c r="O86" s="1363"/>
      <c r="P86" s="1363"/>
      <c r="Q86" s="1363"/>
      <c r="R86" s="1363"/>
      <c r="S86" s="1363"/>
      <c r="T86" s="1363"/>
    </row>
    <row r="87">
      <c r="A87" s="1369"/>
      <c r="B87" s="1369"/>
      <c r="C87" s="1363"/>
      <c r="D87" s="1363"/>
      <c r="E87" s="1363"/>
      <c r="F87" s="1363"/>
      <c r="G87" s="1363"/>
      <c r="H87" s="1363"/>
      <c r="I87" s="1363"/>
      <c r="J87" s="1363"/>
      <c r="K87" s="1363"/>
      <c r="L87" s="1363"/>
      <c r="M87" s="1363"/>
      <c r="N87" s="1363"/>
      <c r="O87" s="1363"/>
      <c r="P87" s="1363"/>
      <c r="Q87" s="1363"/>
      <c r="R87" s="1363"/>
      <c r="S87" s="1363"/>
      <c r="T87" s="1363"/>
    </row>
    <row r="88">
      <c r="A88" s="1369"/>
      <c r="B88" s="1369"/>
      <c r="C88" s="1363"/>
      <c r="D88" s="1363"/>
      <c r="E88" s="1363"/>
      <c r="F88" s="1363"/>
      <c r="G88" s="1363"/>
      <c r="H88" s="1363"/>
      <c r="I88" s="1363"/>
      <c r="J88" s="1363"/>
      <c r="K88" s="1363"/>
      <c r="L88" s="1363"/>
      <c r="M88" s="1363"/>
      <c r="N88" s="1363"/>
      <c r="O88" s="1363"/>
      <c r="P88" s="1363"/>
      <c r="Q88" s="1363"/>
      <c r="R88" s="1363"/>
      <c r="S88" s="1363"/>
      <c r="T88" s="1363"/>
    </row>
    <row r="89">
      <c r="A89" s="1369"/>
      <c r="B89" s="1369"/>
      <c r="C89" s="1363"/>
      <c r="D89" s="1363"/>
      <c r="E89" s="1363"/>
      <c r="F89" s="1363"/>
      <c r="G89" s="1363"/>
      <c r="H89" s="1363"/>
      <c r="I89" s="1363"/>
      <c r="J89" s="1363"/>
      <c r="K89" s="1363"/>
      <c r="L89" s="1363"/>
      <c r="M89" s="1363"/>
      <c r="N89" s="1363"/>
      <c r="O89" s="1363"/>
      <c r="P89" s="1363"/>
      <c r="Q89" s="1363"/>
      <c r="R89" s="1363"/>
      <c r="S89" s="1363"/>
      <c r="T89" s="1363"/>
    </row>
    <row r="90">
      <c r="A90" s="1369"/>
      <c r="B90" s="1369"/>
      <c r="C90" s="1363"/>
      <c r="D90" s="1363"/>
      <c r="E90" s="1363"/>
      <c r="F90" s="1363"/>
      <c r="G90" s="1363"/>
      <c r="H90" s="1363"/>
      <c r="I90" s="1363"/>
      <c r="J90" s="1363"/>
      <c r="K90" s="1363"/>
      <c r="L90" s="1363"/>
      <c r="M90" s="1363"/>
      <c r="N90" s="1363"/>
      <c r="O90" s="1363"/>
      <c r="P90" s="1363"/>
      <c r="Q90" s="1363"/>
      <c r="R90" s="1363"/>
      <c r="S90" s="1363"/>
      <c r="T90" s="1363"/>
    </row>
    <row r="91">
      <c r="A91" s="1369"/>
      <c r="B91" s="1369"/>
      <c r="C91" s="1363"/>
      <c r="D91" s="1363"/>
      <c r="E91" s="1363"/>
      <c r="F91" s="1363"/>
      <c r="G91" s="1363"/>
      <c r="H91" s="1363"/>
      <c r="I91" s="1363"/>
      <c r="J91" s="1363"/>
      <c r="K91" s="1363"/>
      <c r="L91" s="1363"/>
      <c r="M91" s="1363"/>
      <c r="N91" s="1363"/>
      <c r="O91" s="1363"/>
      <c r="P91" s="1363"/>
      <c r="Q91" s="1363"/>
      <c r="R91" s="1363"/>
      <c r="S91" s="1363"/>
      <c r="T91" s="1363"/>
    </row>
    <row r="92">
      <c r="A92" s="1369"/>
      <c r="B92" s="1369"/>
      <c r="C92" s="1363"/>
      <c r="D92" s="1363"/>
      <c r="E92" s="1363"/>
      <c r="F92" s="1363"/>
      <c r="G92" s="1363"/>
      <c r="H92" s="1363"/>
      <c r="I92" s="1363"/>
      <c r="J92" s="1363"/>
      <c r="K92" s="1363"/>
      <c r="L92" s="1363"/>
      <c r="M92" s="1363"/>
      <c r="N92" s="1363"/>
      <c r="O92" s="1363"/>
      <c r="P92" s="1363"/>
      <c r="Q92" s="1363"/>
      <c r="R92" s="1363"/>
      <c r="S92" s="1363"/>
      <c r="T92" s="1363"/>
    </row>
    <row r="93">
      <c r="A93" s="1369"/>
      <c r="B93" s="1369"/>
      <c r="C93" s="1363"/>
      <c r="D93" s="1363"/>
      <c r="E93" s="1363"/>
      <c r="F93" s="1363"/>
      <c r="G93" s="1363"/>
      <c r="H93" s="1363"/>
      <c r="I93" s="1363"/>
      <c r="J93" s="1363"/>
      <c r="K93" s="1363"/>
      <c r="L93" s="1363"/>
      <c r="M93" s="1363"/>
      <c r="N93" s="1363"/>
      <c r="O93" s="1363"/>
      <c r="P93" s="1363"/>
      <c r="Q93" s="1363"/>
      <c r="R93" s="1363"/>
      <c r="S93" s="1363"/>
      <c r="T93" s="1363"/>
    </row>
    <row r="94">
      <c r="A94" s="1369"/>
      <c r="B94" s="1369"/>
      <c r="C94" s="1363"/>
      <c r="D94" s="1363"/>
      <c r="E94" s="1363"/>
      <c r="F94" s="1363"/>
      <c r="G94" s="1363"/>
      <c r="H94" s="1363"/>
      <c r="I94" s="1363"/>
      <c r="J94" s="1363"/>
      <c r="K94" s="1363"/>
      <c r="L94" s="1363"/>
      <c r="M94" s="1363"/>
      <c r="N94" s="1363"/>
      <c r="O94" s="1363"/>
      <c r="P94" s="1363"/>
      <c r="Q94" s="1363"/>
      <c r="R94" s="1363"/>
      <c r="S94" s="1363"/>
      <c r="T94" s="1363"/>
    </row>
    <row r="95">
      <c r="A95" s="1369"/>
      <c r="B95" s="1369"/>
      <c r="C95" s="1363"/>
      <c r="D95" s="1363"/>
      <c r="E95" s="1363"/>
      <c r="F95" s="1363"/>
      <c r="G95" s="1363"/>
      <c r="H95" s="1363"/>
      <c r="I95" s="1363"/>
      <c r="J95" s="1363"/>
      <c r="K95" s="1363"/>
      <c r="L95" s="1363"/>
      <c r="M95" s="1363"/>
      <c r="N95" s="1363"/>
      <c r="O95" s="1363"/>
      <c r="P95" s="1363"/>
      <c r="Q95" s="1363"/>
      <c r="R95" s="1363"/>
      <c r="S95" s="1363"/>
      <c r="T95" s="1363"/>
    </row>
    <row r="96">
      <c r="A96" s="1369"/>
      <c r="B96" s="1369"/>
      <c r="C96" s="1363"/>
      <c r="D96" s="1363"/>
      <c r="E96" s="1363"/>
      <c r="F96" s="1363"/>
      <c r="G96" s="1363"/>
      <c r="H96" s="1363"/>
      <c r="I96" s="1363"/>
      <c r="J96" s="1363"/>
      <c r="K96" s="1363"/>
      <c r="L96" s="1363"/>
      <c r="M96" s="1363"/>
      <c r="N96" s="1363"/>
      <c r="O96" s="1363"/>
      <c r="P96" s="1363"/>
      <c r="Q96" s="1363"/>
      <c r="R96" s="1363"/>
      <c r="S96" s="1363"/>
      <c r="T96" s="1363"/>
    </row>
    <row r="97">
      <c r="A97" s="1369"/>
      <c r="B97" s="1369"/>
      <c r="C97" s="1363"/>
      <c r="D97" s="1363"/>
      <c r="E97" s="1363"/>
      <c r="F97" s="1363"/>
      <c r="G97" s="1363"/>
      <c r="H97" s="1363"/>
      <c r="I97" s="1363"/>
      <c r="J97" s="1363"/>
      <c r="K97" s="1363"/>
      <c r="L97" s="1363"/>
      <c r="M97" s="1363"/>
      <c r="N97" s="1363"/>
      <c r="O97" s="1363"/>
      <c r="P97" s="1363"/>
      <c r="Q97" s="1363"/>
      <c r="R97" s="1363"/>
      <c r="S97" s="1363"/>
      <c r="T97" s="1363"/>
    </row>
    <row r="98">
      <c r="A98" s="1369"/>
      <c r="B98" s="1369"/>
      <c r="C98" s="1363"/>
      <c r="D98" s="1363"/>
      <c r="E98" s="1363"/>
      <c r="F98" s="1363"/>
      <c r="G98" s="1363"/>
      <c r="H98" s="1363"/>
      <c r="I98" s="1363"/>
      <c r="J98" s="1363"/>
      <c r="K98" s="1363"/>
      <c r="L98" s="1363"/>
      <c r="M98" s="1363"/>
      <c r="N98" s="1363"/>
      <c r="O98" s="1363"/>
      <c r="P98" s="1363"/>
      <c r="Q98" s="1363"/>
      <c r="R98" s="1363"/>
      <c r="S98" s="1363"/>
      <c r="T98" s="1363"/>
    </row>
    <row r="99">
      <c r="A99" s="1369"/>
      <c r="B99" s="1369"/>
      <c r="C99" s="1363"/>
      <c r="D99" s="1363"/>
      <c r="E99" s="1363"/>
      <c r="F99" s="1363"/>
      <c r="G99" s="1363"/>
      <c r="H99" s="1363"/>
      <c r="I99" s="1363"/>
      <c r="J99" s="1363"/>
      <c r="K99" s="1363"/>
      <c r="L99" s="1363"/>
      <c r="M99" s="1363"/>
      <c r="N99" s="1363"/>
      <c r="O99" s="1363"/>
      <c r="P99" s="1363"/>
      <c r="Q99" s="1363"/>
      <c r="R99" s="1363"/>
      <c r="S99" s="1363"/>
      <c r="T99" s="1363"/>
    </row>
    <row r="100">
      <c r="A100" s="1369"/>
      <c r="B100" s="1369"/>
      <c r="C100" s="1363"/>
      <c r="D100" s="1363"/>
      <c r="E100" s="1363"/>
      <c r="F100" s="1363"/>
      <c r="G100" s="1363"/>
      <c r="H100" s="1363"/>
      <c r="I100" s="1363"/>
      <c r="J100" s="1363"/>
      <c r="K100" s="1363"/>
      <c r="L100" s="1363"/>
      <c r="M100" s="1363"/>
      <c r="N100" s="1363"/>
      <c r="O100" s="1363"/>
      <c r="P100" s="1363"/>
      <c r="Q100" s="1363"/>
      <c r="R100" s="1363"/>
      <c r="S100" s="1363"/>
      <c r="T100" s="1363"/>
    </row>
    <row r="101">
      <c r="A101" s="1369"/>
      <c r="B101" s="1369"/>
      <c r="C101" s="1363"/>
      <c r="D101" s="1363"/>
      <c r="E101" s="1363"/>
      <c r="F101" s="1363"/>
      <c r="G101" s="1363"/>
      <c r="H101" s="1363"/>
      <c r="I101" s="1363"/>
      <c r="J101" s="1363"/>
      <c r="K101" s="1363"/>
      <c r="L101" s="1363"/>
      <c r="M101" s="1363"/>
      <c r="N101" s="1363"/>
      <c r="O101" s="1363"/>
      <c r="P101" s="1363"/>
      <c r="Q101" s="1363"/>
      <c r="R101" s="1363"/>
      <c r="S101" s="1363"/>
      <c r="T101" s="1363"/>
    </row>
    <row r="102">
      <c r="A102" s="1369"/>
      <c r="B102" s="1369"/>
      <c r="C102" s="1363"/>
      <c r="D102" s="1363"/>
      <c r="E102" s="1363"/>
      <c r="F102" s="1363"/>
      <c r="G102" s="1363"/>
      <c r="H102" s="1363"/>
      <c r="I102" s="1363"/>
      <c r="J102" s="1363"/>
      <c r="K102" s="1363"/>
      <c r="L102" s="1363"/>
      <c r="M102" s="1363"/>
      <c r="N102" s="1363"/>
      <c r="O102" s="1363"/>
      <c r="P102" s="1363"/>
      <c r="Q102" s="1363"/>
      <c r="R102" s="1363"/>
      <c r="S102" s="1363"/>
      <c r="T102" s="1363"/>
    </row>
    <row r="103">
      <c r="A103" s="1369"/>
      <c r="B103" s="1369"/>
      <c r="C103" s="1363"/>
      <c r="D103" s="1363"/>
      <c r="E103" s="1363"/>
      <c r="F103" s="1363"/>
      <c r="G103" s="1363"/>
      <c r="H103" s="1363"/>
      <c r="I103" s="1363"/>
      <c r="J103" s="1363"/>
      <c r="K103" s="1363"/>
      <c r="L103" s="1363"/>
      <c r="M103" s="1363"/>
      <c r="N103" s="1363"/>
      <c r="O103" s="1363"/>
      <c r="P103" s="1363"/>
      <c r="Q103" s="1363"/>
      <c r="R103" s="1363"/>
      <c r="S103" s="1363"/>
      <c r="T103" s="1363"/>
    </row>
    <row r="104">
      <c r="A104" s="1369"/>
      <c r="B104" s="1369"/>
      <c r="C104" s="1363"/>
      <c r="D104" s="1363"/>
      <c r="E104" s="1363"/>
      <c r="F104" s="1363"/>
      <c r="G104" s="1363"/>
      <c r="H104" s="1363"/>
      <c r="I104" s="1363"/>
      <c r="J104" s="1363"/>
      <c r="K104" s="1363"/>
      <c r="L104" s="1363"/>
      <c r="M104" s="1363"/>
      <c r="N104" s="1363"/>
      <c r="O104" s="1363"/>
      <c r="P104" s="1363"/>
      <c r="Q104" s="1363"/>
      <c r="R104" s="1363"/>
      <c r="S104" s="1363"/>
      <c r="T104" s="1363"/>
    </row>
    <row r="105">
      <c r="A105" s="1369"/>
      <c r="B105" s="1369"/>
      <c r="C105" s="1363"/>
      <c r="D105" s="1363"/>
      <c r="E105" s="1363"/>
      <c r="F105" s="1363"/>
      <c r="G105" s="1363"/>
      <c r="H105" s="1363"/>
      <c r="I105" s="1363"/>
      <c r="J105" s="1363"/>
      <c r="K105" s="1363"/>
      <c r="L105" s="1363"/>
      <c r="M105" s="1363"/>
      <c r="N105" s="1363"/>
      <c r="O105" s="1363"/>
      <c r="P105" s="1363"/>
      <c r="Q105" s="1363"/>
      <c r="R105" s="1363"/>
      <c r="S105" s="1363"/>
      <c r="T105" s="1363"/>
    </row>
    <row r="106">
      <c r="A106" s="1369"/>
      <c r="B106" s="1369"/>
      <c r="C106" s="1363"/>
      <c r="D106" s="1363"/>
      <c r="E106" s="1363"/>
      <c r="F106" s="1363"/>
      <c r="G106" s="1363"/>
      <c r="H106" s="1363"/>
      <c r="I106" s="1363"/>
      <c r="J106" s="1363"/>
      <c r="K106" s="1363"/>
      <c r="L106" s="1363"/>
      <c r="M106" s="1363"/>
      <c r="N106" s="1363"/>
      <c r="O106" s="1363"/>
      <c r="P106" s="1363"/>
      <c r="Q106" s="1363"/>
      <c r="R106" s="1363"/>
      <c r="S106" s="1363"/>
      <c r="T106" s="1363"/>
    </row>
    <row r="107">
      <c r="A107" s="1369"/>
      <c r="B107" s="1369"/>
      <c r="C107" s="1363"/>
      <c r="D107" s="1363"/>
      <c r="E107" s="1363"/>
      <c r="F107" s="1363"/>
      <c r="G107" s="1363"/>
      <c r="H107" s="1363"/>
      <c r="I107" s="1363"/>
      <c r="J107" s="1363"/>
      <c r="K107" s="1363"/>
      <c r="L107" s="1363"/>
      <c r="M107" s="1363"/>
      <c r="N107" s="1363"/>
      <c r="O107" s="1363"/>
      <c r="P107" s="1363"/>
      <c r="Q107" s="1363"/>
      <c r="R107" s="1363"/>
      <c r="S107" s="1363"/>
      <c r="T107" s="1363"/>
    </row>
    <row r="108">
      <c r="A108" s="1369"/>
      <c r="B108" s="1369"/>
      <c r="C108" s="1363"/>
      <c r="D108" s="1363"/>
      <c r="E108" s="1363"/>
      <c r="F108" s="1363"/>
      <c r="G108" s="1363"/>
      <c r="H108" s="1363"/>
      <c r="I108" s="1363"/>
      <c r="J108" s="1363"/>
      <c r="K108" s="1363"/>
      <c r="L108" s="1363"/>
      <c r="M108" s="1363"/>
      <c r="N108" s="1363"/>
      <c r="O108" s="1363"/>
      <c r="P108" s="1363"/>
      <c r="Q108" s="1363"/>
      <c r="R108" s="1363"/>
      <c r="S108" s="1363"/>
      <c r="T108" s="1363"/>
    </row>
    <row r="109">
      <c r="A109" s="1369"/>
      <c r="B109" s="1369"/>
      <c r="C109" s="1363"/>
      <c r="D109" s="1363"/>
      <c r="E109" s="1363"/>
      <c r="F109" s="1363"/>
      <c r="G109" s="1363"/>
      <c r="H109" s="1363"/>
      <c r="I109" s="1363"/>
      <c r="J109" s="1363"/>
      <c r="K109" s="1363"/>
      <c r="L109" s="1363"/>
      <c r="M109" s="1363"/>
      <c r="N109" s="1363"/>
      <c r="O109" s="1363"/>
      <c r="P109" s="1363"/>
      <c r="Q109" s="1363"/>
      <c r="R109" s="1363"/>
      <c r="S109" s="1363"/>
      <c r="T109" s="1363"/>
    </row>
    <row r="110">
      <c r="A110" s="1369"/>
      <c r="B110" s="1369"/>
      <c r="C110" s="1363"/>
      <c r="D110" s="1363"/>
      <c r="E110" s="1363"/>
      <c r="F110" s="1363"/>
      <c r="G110" s="1363"/>
      <c r="H110" s="1363"/>
      <c r="I110" s="1363"/>
      <c r="J110" s="1363"/>
      <c r="K110" s="1363"/>
      <c r="L110" s="1363"/>
      <c r="M110" s="1363"/>
      <c r="N110" s="1363"/>
      <c r="O110" s="1363"/>
      <c r="P110" s="1363"/>
      <c r="Q110" s="1363"/>
      <c r="R110" s="1363"/>
      <c r="S110" s="1363"/>
      <c r="T110" s="1363"/>
    </row>
    <row r="111">
      <c r="A111" s="1369"/>
      <c r="B111" s="1369"/>
      <c r="C111" s="1363"/>
      <c r="D111" s="1363"/>
      <c r="E111" s="1363"/>
      <c r="F111" s="1363"/>
      <c r="G111" s="1363"/>
      <c r="H111" s="1363"/>
      <c r="I111" s="1363"/>
      <c r="J111" s="1363"/>
      <c r="K111" s="1363"/>
      <c r="L111" s="1363"/>
      <c r="M111" s="1363"/>
      <c r="N111" s="1363"/>
      <c r="O111" s="1363"/>
      <c r="P111" s="1363"/>
      <c r="Q111" s="1363"/>
      <c r="R111" s="1363"/>
      <c r="S111" s="1363"/>
      <c r="T111" s="1363"/>
    </row>
    <row r="112">
      <c r="A112" s="1369"/>
      <c r="B112" s="1369"/>
      <c r="C112" s="1363"/>
      <c r="D112" s="1363"/>
      <c r="E112" s="1363"/>
      <c r="F112" s="1363"/>
      <c r="G112" s="1363"/>
      <c r="H112" s="1363"/>
      <c r="I112" s="1363"/>
      <c r="J112" s="1363"/>
      <c r="K112" s="1363"/>
      <c r="L112" s="1363"/>
      <c r="M112" s="1363"/>
      <c r="N112" s="1363"/>
      <c r="O112" s="1363"/>
      <c r="P112" s="1363"/>
      <c r="Q112" s="1363"/>
      <c r="R112" s="1363"/>
      <c r="S112" s="1363"/>
      <c r="T112" s="1363"/>
    </row>
    <row r="113">
      <c r="A113" s="1369"/>
      <c r="B113" s="1369"/>
      <c r="C113" s="1363"/>
      <c r="D113" s="1363"/>
      <c r="E113" s="1363"/>
      <c r="F113" s="1363"/>
      <c r="G113" s="1363"/>
      <c r="H113" s="1363"/>
      <c r="I113" s="1363"/>
      <c r="J113" s="1363"/>
      <c r="K113" s="1363"/>
      <c r="L113" s="1363"/>
      <c r="M113" s="1363"/>
      <c r="N113" s="1363"/>
      <c r="O113" s="1363"/>
      <c r="P113" s="1363"/>
      <c r="Q113" s="1363"/>
      <c r="R113" s="1363"/>
      <c r="S113" s="1363"/>
      <c r="T113" s="1363"/>
    </row>
    <row r="114">
      <c r="A114" s="1369"/>
      <c r="B114" s="1369"/>
      <c r="C114" s="1363"/>
      <c r="D114" s="1363"/>
      <c r="E114" s="1363"/>
      <c r="F114" s="1363"/>
      <c r="G114" s="1363"/>
      <c r="H114" s="1363"/>
      <c r="I114" s="1363"/>
      <c r="J114" s="1363"/>
      <c r="K114" s="1363"/>
      <c r="L114" s="1363"/>
      <c r="M114" s="1363"/>
      <c r="N114" s="1363"/>
      <c r="O114" s="1363"/>
      <c r="P114" s="1363"/>
      <c r="Q114" s="1363"/>
      <c r="R114" s="1363"/>
      <c r="S114" s="1363"/>
      <c r="T114" s="1363"/>
    </row>
    <row r="115">
      <c r="A115" s="1369"/>
      <c r="B115" s="1369"/>
      <c r="C115" s="1363"/>
      <c r="D115" s="1363"/>
      <c r="E115" s="1363"/>
      <c r="F115" s="1363"/>
      <c r="G115" s="1363"/>
      <c r="H115" s="1363"/>
      <c r="I115" s="1363"/>
      <c r="J115" s="1363"/>
      <c r="K115" s="1363"/>
      <c r="L115" s="1363"/>
      <c r="M115" s="1363"/>
      <c r="N115" s="1363"/>
      <c r="O115" s="1363"/>
      <c r="P115" s="1363"/>
      <c r="Q115" s="1363"/>
      <c r="R115" s="1363"/>
      <c r="S115" s="1363"/>
      <c r="T115" s="1363"/>
    </row>
    <row r="116">
      <c r="A116" s="1369"/>
      <c r="B116" s="1369"/>
      <c r="C116" s="1363"/>
      <c r="D116" s="1363"/>
      <c r="E116" s="1363"/>
      <c r="F116" s="1363"/>
      <c r="G116" s="1363"/>
      <c r="H116" s="1363"/>
      <c r="I116" s="1363"/>
      <c r="J116" s="1363"/>
      <c r="K116" s="1363"/>
      <c r="L116" s="1363"/>
      <c r="M116" s="1363"/>
      <c r="N116" s="1363"/>
      <c r="O116" s="1363"/>
      <c r="P116" s="1363"/>
      <c r="Q116" s="1363"/>
      <c r="R116" s="1363"/>
      <c r="S116" s="1363"/>
      <c r="T116" s="1363"/>
    </row>
    <row r="117">
      <c r="A117" s="1369"/>
      <c r="B117" s="1369"/>
      <c r="C117" s="1363"/>
      <c r="D117" s="1363"/>
      <c r="E117" s="1363"/>
      <c r="F117" s="1363"/>
      <c r="G117" s="1363"/>
      <c r="H117" s="1363"/>
      <c r="I117" s="1363"/>
      <c r="J117" s="1363"/>
      <c r="K117" s="1363"/>
      <c r="L117" s="1363"/>
      <c r="M117" s="1363"/>
      <c r="N117" s="1363"/>
      <c r="O117" s="1363"/>
      <c r="P117" s="1363"/>
      <c r="Q117" s="1363"/>
      <c r="R117" s="1363"/>
      <c r="S117" s="1363"/>
      <c r="T117" s="1363"/>
    </row>
    <row r="118">
      <c r="A118" s="1369"/>
      <c r="B118" s="1369"/>
      <c r="C118" s="1363"/>
      <c r="D118" s="1363"/>
      <c r="E118" s="1363"/>
      <c r="F118" s="1363"/>
      <c r="G118" s="1363"/>
      <c r="H118" s="1363"/>
      <c r="I118" s="1363"/>
      <c r="J118" s="1363"/>
      <c r="K118" s="1363"/>
      <c r="L118" s="1363"/>
      <c r="M118" s="1363"/>
      <c r="N118" s="1363"/>
      <c r="O118" s="1363"/>
      <c r="P118" s="1363"/>
      <c r="Q118" s="1363"/>
      <c r="R118" s="1363"/>
      <c r="S118" s="1363"/>
      <c r="T118" s="1363"/>
    </row>
    <row r="119">
      <c r="A119" s="1369"/>
      <c r="B119" s="1369"/>
      <c r="C119" s="1363"/>
      <c r="D119" s="1363"/>
      <c r="E119" s="1363"/>
      <c r="F119" s="1363"/>
      <c r="G119" s="1363"/>
      <c r="H119" s="1363"/>
      <c r="I119" s="1363"/>
      <c r="J119" s="1363"/>
      <c r="K119" s="1363"/>
      <c r="L119" s="1363"/>
      <c r="M119" s="1363"/>
      <c r="N119" s="1363"/>
      <c r="O119" s="1363"/>
      <c r="P119" s="1363"/>
      <c r="Q119" s="1363"/>
      <c r="R119" s="1363"/>
      <c r="S119" s="1363"/>
      <c r="T119" s="1363"/>
    </row>
    <row r="120">
      <c r="A120" s="1369"/>
      <c r="B120" s="1369"/>
      <c r="C120" s="1363"/>
      <c r="D120" s="1363"/>
      <c r="E120" s="1363"/>
      <c r="F120" s="1363"/>
      <c r="G120" s="1363"/>
      <c r="H120" s="1363"/>
      <c r="I120" s="1363"/>
      <c r="J120" s="1363"/>
      <c r="K120" s="1363"/>
      <c r="L120" s="1363"/>
      <c r="M120" s="1363"/>
      <c r="N120" s="1363"/>
      <c r="O120" s="1363"/>
      <c r="P120" s="1363"/>
      <c r="Q120" s="1363"/>
      <c r="R120" s="1363"/>
      <c r="S120" s="1363"/>
      <c r="T120" s="1363"/>
    </row>
    <row r="121">
      <c r="A121" s="1369"/>
      <c r="B121" s="1369"/>
      <c r="C121" s="1363"/>
      <c r="D121" s="1363"/>
      <c r="E121" s="1363"/>
      <c r="F121" s="1363"/>
      <c r="G121" s="1363"/>
      <c r="H121" s="1363"/>
      <c r="I121" s="1363"/>
      <c r="J121" s="1363"/>
      <c r="K121" s="1363"/>
      <c r="L121" s="1363"/>
      <c r="M121" s="1363"/>
      <c r="N121" s="1363"/>
      <c r="O121" s="1363"/>
      <c r="P121" s="1363"/>
      <c r="Q121" s="1363"/>
      <c r="R121" s="1363"/>
      <c r="S121" s="1363"/>
      <c r="T121" s="1363"/>
    </row>
    <row r="122">
      <c r="A122" s="1369"/>
      <c r="B122" s="1369"/>
      <c r="C122" s="1363"/>
      <c r="D122" s="1363"/>
      <c r="E122" s="1363"/>
      <c r="F122" s="1363"/>
      <c r="G122" s="1363"/>
      <c r="H122" s="1363"/>
      <c r="I122" s="1363"/>
      <c r="J122" s="1363"/>
      <c r="K122" s="1363"/>
      <c r="L122" s="1363"/>
      <c r="M122" s="1363"/>
      <c r="N122" s="1363"/>
      <c r="O122" s="1363"/>
      <c r="P122" s="1363"/>
      <c r="Q122" s="1363"/>
      <c r="R122" s="1363"/>
      <c r="S122" s="1363"/>
      <c r="T122" s="1363"/>
    </row>
    <row r="123">
      <c r="A123" s="1369"/>
      <c r="B123" s="1369"/>
      <c r="C123" s="1363"/>
      <c r="D123" s="1363"/>
      <c r="E123" s="1363"/>
      <c r="F123" s="1363"/>
      <c r="G123" s="1363"/>
      <c r="H123" s="1363"/>
      <c r="I123" s="1363"/>
      <c r="J123" s="1363"/>
      <c r="K123" s="1363"/>
      <c r="L123" s="1363"/>
      <c r="M123" s="1363"/>
      <c r="N123" s="1363"/>
      <c r="O123" s="1363"/>
      <c r="P123" s="1363"/>
      <c r="Q123" s="1363"/>
      <c r="R123" s="1363"/>
      <c r="S123" s="1363"/>
      <c r="T123" s="1363"/>
    </row>
    <row r="124">
      <c r="A124" s="1369"/>
      <c r="B124" s="1369"/>
      <c r="C124" s="1363"/>
      <c r="D124" s="1363"/>
      <c r="E124" s="1363"/>
      <c r="F124" s="1363"/>
      <c r="G124" s="1363"/>
      <c r="H124" s="1363"/>
      <c r="I124" s="1363"/>
      <c r="J124" s="1363"/>
      <c r="K124" s="1363"/>
      <c r="L124" s="1363"/>
      <c r="M124" s="1363"/>
      <c r="N124" s="1363"/>
      <c r="O124" s="1363"/>
      <c r="P124" s="1363"/>
      <c r="Q124" s="1363"/>
      <c r="R124" s="1363"/>
      <c r="S124" s="1363"/>
      <c r="T124" s="1363"/>
    </row>
    <row r="125">
      <c r="A125" s="1369"/>
      <c r="B125" s="1369"/>
      <c r="C125" s="1363"/>
      <c r="D125" s="1363"/>
      <c r="E125" s="1363"/>
      <c r="F125" s="1363"/>
      <c r="G125" s="1363"/>
      <c r="H125" s="1363"/>
      <c r="I125" s="1363"/>
      <c r="J125" s="1363"/>
      <c r="K125" s="1363"/>
      <c r="L125" s="1363"/>
      <c r="M125" s="1363"/>
      <c r="N125" s="1363"/>
      <c r="O125" s="1363"/>
      <c r="P125" s="1363"/>
      <c r="Q125" s="1363"/>
      <c r="R125" s="1363"/>
      <c r="S125" s="1363"/>
      <c r="T125" s="1363"/>
    </row>
    <row r="126">
      <c r="A126" s="1369"/>
      <c r="B126" s="1369"/>
      <c r="C126" s="1363"/>
      <c r="D126" s="1363"/>
      <c r="E126" s="1363"/>
      <c r="F126" s="1363"/>
      <c r="G126" s="1363"/>
      <c r="H126" s="1363"/>
      <c r="I126" s="1363"/>
      <c r="J126" s="1363"/>
      <c r="K126" s="1363"/>
      <c r="L126" s="1363"/>
      <c r="M126" s="1363"/>
      <c r="N126" s="1363"/>
      <c r="O126" s="1363"/>
      <c r="P126" s="1363"/>
      <c r="Q126" s="1363"/>
      <c r="R126" s="1363"/>
      <c r="S126" s="1363"/>
      <c r="T126" s="1363"/>
    </row>
    <row r="127">
      <c r="A127" s="1369"/>
      <c r="B127" s="1369"/>
      <c r="C127" s="1363"/>
      <c r="D127" s="1363"/>
      <c r="E127" s="1363"/>
      <c r="F127" s="1363"/>
      <c r="G127" s="1363"/>
      <c r="H127" s="1363"/>
      <c r="I127" s="1363"/>
      <c r="J127" s="1363"/>
      <c r="K127" s="1363"/>
      <c r="L127" s="1363"/>
      <c r="M127" s="1363"/>
      <c r="N127" s="1363"/>
      <c r="O127" s="1363"/>
      <c r="P127" s="1363"/>
      <c r="Q127" s="1363"/>
      <c r="R127" s="1363"/>
      <c r="S127" s="1363"/>
      <c r="T127" s="1363"/>
    </row>
    <row r="128">
      <c r="A128" s="1369"/>
      <c r="B128" s="1369"/>
      <c r="C128" s="1363"/>
      <c r="D128" s="1363"/>
      <c r="E128" s="1363"/>
      <c r="F128" s="1363"/>
      <c r="G128" s="1363"/>
      <c r="H128" s="1363"/>
      <c r="I128" s="1363"/>
      <c r="J128" s="1363"/>
      <c r="K128" s="1363"/>
      <c r="L128" s="1363"/>
      <c r="M128" s="1363"/>
      <c r="N128" s="1363"/>
      <c r="O128" s="1363"/>
      <c r="P128" s="1363"/>
      <c r="Q128" s="1363"/>
      <c r="R128" s="1363"/>
      <c r="S128" s="1363"/>
      <c r="T128" s="1363"/>
    </row>
    <row r="129">
      <c r="A129" s="1369"/>
      <c r="B129" s="1369"/>
      <c r="C129" s="1363"/>
      <c r="D129" s="1363"/>
      <c r="E129" s="1363"/>
      <c r="F129" s="1363"/>
      <c r="G129" s="1363"/>
      <c r="H129" s="1363"/>
      <c r="I129" s="1363"/>
      <c r="J129" s="1363"/>
      <c r="K129" s="1363"/>
      <c r="L129" s="1363"/>
      <c r="M129" s="1363"/>
      <c r="N129" s="1363"/>
      <c r="O129" s="1363"/>
      <c r="P129" s="1363"/>
      <c r="Q129" s="1363"/>
      <c r="R129" s="1363"/>
      <c r="S129" s="1363"/>
      <c r="T129" s="1363"/>
    </row>
    <row r="130">
      <c r="A130" s="1369"/>
      <c r="B130" s="1369"/>
      <c r="C130" s="1363"/>
      <c r="D130" s="1363"/>
      <c r="E130" s="1363"/>
      <c r="F130" s="1363"/>
      <c r="G130" s="1363"/>
      <c r="H130" s="1363"/>
      <c r="I130" s="1363"/>
      <c r="J130" s="1363"/>
      <c r="K130" s="1363"/>
      <c r="L130" s="1363"/>
      <c r="M130" s="1363"/>
      <c r="N130" s="1363"/>
      <c r="O130" s="1363"/>
      <c r="P130" s="1363"/>
      <c r="Q130" s="1363"/>
      <c r="R130" s="1363"/>
      <c r="S130" s="1363"/>
      <c r="T130" s="1363"/>
    </row>
    <row r="131">
      <c r="A131" s="1369"/>
      <c r="B131" s="1369"/>
      <c r="C131" s="1363"/>
      <c r="D131" s="1363"/>
      <c r="E131" s="1363"/>
      <c r="F131" s="1363"/>
      <c r="G131" s="1363"/>
      <c r="H131" s="1363"/>
      <c r="I131" s="1363"/>
      <c r="J131" s="1363"/>
      <c r="K131" s="1363"/>
      <c r="L131" s="1363"/>
      <c r="M131" s="1363"/>
      <c r="N131" s="1363"/>
      <c r="O131" s="1363"/>
      <c r="P131" s="1363"/>
      <c r="Q131" s="1363"/>
      <c r="R131" s="1363"/>
      <c r="S131" s="1363"/>
      <c r="T131" s="1363"/>
    </row>
    <row r="132">
      <c r="A132" s="1369"/>
      <c r="B132" s="1369"/>
      <c r="C132" s="1363"/>
      <c r="D132" s="1363"/>
      <c r="E132" s="1363"/>
      <c r="F132" s="1363"/>
      <c r="G132" s="1363"/>
      <c r="H132" s="1363"/>
      <c r="I132" s="1363"/>
      <c r="J132" s="1363"/>
      <c r="K132" s="1363"/>
      <c r="L132" s="1363"/>
      <c r="M132" s="1363"/>
      <c r="N132" s="1363"/>
      <c r="O132" s="1363"/>
      <c r="P132" s="1363"/>
      <c r="Q132" s="1363"/>
      <c r="R132" s="1363"/>
      <c r="S132" s="1363"/>
      <c r="T132" s="1363"/>
    </row>
    <row r="133">
      <c r="A133" s="1369"/>
      <c r="B133" s="1369"/>
      <c r="C133" s="1363"/>
      <c r="D133" s="1363"/>
      <c r="E133" s="1363"/>
      <c r="F133" s="1363"/>
      <c r="G133" s="1363"/>
      <c r="H133" s="1363"/>
      <c r="I133" s="1363"/>
      <c r="J133" s="1363"/>
      <c r="K133" s="1363"/>
      <c r="L133" s="1363"/>
      <c r="M133" s="1363"/>
      <c r="N133" s="1363"/>
      <c r="O133" s="1363"/>
      <c r="P133" s="1363"/>
      <c r="Q133" s="1363"/>
      <c r="R133" s="1363"/>
      <c r="S133" s="1363"/>
      <c r="T133" s="1363"/>
    </row>
    <row r="134">
      <c r="A134" s="1369"/>
      <c r="B134" s="1369"/>
      <c r="C134" s="1363"/>
      <c r="D134" s="1363"/>
      <c r="E134" s="1363"/>
      <c r="F134" s="1363"/>
      <c r="G134" s="1363"/>
      <c r="H134" s="1363"/>
      <c r="I134" s="1363"/>
      <c r="J134" s="1363"/>
      <c r="K134" s="1363"/>
      <c r="L134" s="1363"/>
      <c r="M134" s="1363"/>
      <c r="N134" s="1363"/>
      <c r="O134" s="1363"/>
      <c r="P134" s="1363"/>
      <c r="Q134" s="1363"/>
      <c r="R134" s="1363"/>
      <c r="S134" s="1363"/>
      <c r="T134" s="1363"/>
    </row>
    <row r="135">
      <c r="A135" s="1369"/>
      <c r="B135" s="1369"/>
      <c r="C135" s="1363"/>
      <c r="D135" s="1363"/>
      <c r="E135" s="1363"/>
      <c r="F135" s="1363"/>
      <c r="G135" s="1363"/>
      <c r="H135" s="1363"/>
      <c r="I135" s="1363"/>
      <c r="J135" s="1363"/>
      <c r="K135" s="1363"/>
      <c r="L135" s="1363"/>
      <c r="M135" s="1363"/>
      <c r="N135" s="1363"/>
      <c r="O135" s="1363"/>
      <c r="P135" s="1363"/>
      <c r="Q135" s="1363"/>
      <c r="R135" s="1363"/>
      <c r="S135" s="1363"/>
      <c r="T135" s="1363"/>
    </row>
    <row r="136">
      <c r="A136" s="1369"/>
      <c r="B136" s="1369"/>
      <c r="C136" s="1363"/>
      <c r="D136" s="1363"/>
      <c r="E136" s="1363"/>
      <c r="F136" s="1363"/>
      <c r="G136" s="1363"/>
      <c r="H136" s="1363"/>
      <c r="I136" s="1363"/>
      <c r="J136" s="1363"/>
      <c r="K136" s="1363"/>
      <c r="L136" s="1363"/>
      <c r="M136" s="1363"/>
      <c r="N136" s="1363"/>
      <c r="O136" s="1363"/>
      <c r="P136" s="1363"/>
      <c r="Q136" s="1363"/>
      <c r="R136" s="1363"/>
      <c r="S136" s="1363"/>
      <c r="T136" s="1363"/>
    </row>
    <row r="137">
      <c r="A137" s="1369"/>
      <c r="B137" s="1369"/>
      <c r="C137" s="1363"/>
      <c r="D137" s="1363"/>
      <c r="E137" s="1363"/>
      <c r="F137" s="1363"/>
      <c r="G137" s="1363"/>
      <c r="H137" s="1363"/>
      <c r="I137" s="1363"/>
      <c r="J137" s="1363"/>
      <c r="K137" s="1363"/>
      <c r="L137" s="1363"/>
      <c r="M137" s="1363"/>
      <c r="N137" s="1363"/>
      <c r="O137" s="1363"/>
      <c r="P137" s="1363"/>
      <c r="Q137" s="1363"/>
      <c r="R137" s="1363"/>
      <c r="S137" s="1363"/>
      <c r="T137" s="1363"/>
    </row>
    <row r="138">
      <c r="A138" s="1369"/>
      <c r="B138" s="1369"/>
      <c r="C138" s="1363"/>
      <c r="D138" s="1363"/>
      <c r="E138" s="1363"/>
      <c r="F138" s="1363"/>
      <c r="G138" s="1363"/>
      <c r="H138" s="1363"/>
      <c r="I138" s="1363"/>
      <c r="J138" s="1363"/>
      <c r="K138" s="1363"/>
      <c r="L138" s="1363"/>
      <c r="M138" s="1363"/>
      <c r="N138" s="1363"/>
      <c r="O138" s="1363"/>
      <c r="P138" s="1363"/>
      <c r="Q138" s="1363"/>
      <c r="R138" s="1363"/>
      <c r="S138" s="1363"/>
      <c r="T138" s="1363"/>
    </row>
    <row r="139">
      <c r="A139" s="1369"/>
      <c r="B139" s="1369"/>
      <c r="C139" s="1363"/>
      <c r="D139" s="1363"/>
      <c r="E139" s="1363"/>
      <c r="F139" s="1363"/>
      <c r="G139" s="1363"/>
      <c r="H139" s="1363"/>
      <c r="I139" s="1363"/>
      <c r="J139" s="1363"/>
      <c r="K139" s="1363"/>
      <c r="L139" s="1363"/>
      <c r="M139" s="1363"/>
      <c r="N139" s="1363"/>
      <c r="O139" s="1363"/>
      <c r="P139" s="1363"/>
      <c r="Q139" s="1363"/>
      <c r="R139" s="1363"/>
      <c r="S139" s="1363"/>
      <c r="T139" s="1363"/>
    </row>
    <row r="140">
      <c r="A140" s="1369"/>
      <c r="B140" s="1369"/>
      <c r="C140" s="1363"/>
      <c r="D140" s="1363"/>
      <c r="E140" s="1363"/>
      <c r="F140" s="1363"/>
      <c r="G140" s="1363"/>
      <c r="H140" s="1363"/>
      <c r="I140" s="1363"/>
      <c r="J140" s="1363"/>
      <c r="K140" s="1363"/>
      <c r="L140" s="1363"/>
      <c r="M140" s="1363"/>
      <c r="N140" s="1363"/>
      <c r="O140" s="1363"/>
      <c r="P140" s="1363"/>
      <c r="Q140" s="1363"/>
      <c r="R140" s="1363"/>
      <c r="S140" s="1363"/>
      <c r="T140" s="1363"/>
    </row>
    <row r="141">
      <c r="A141" s="1369"/>
      <c r="B141" s="1369"/>
      <c r="C141" s="1363"/>
      <c r="D141" s="1363"/>
      <c r="E141" s="1363"/>
      <c r="F141" s="1363"/>
      <c r="G141" s="1363"/>
      <c r="H141" s="1363"/>
      <c r="I141" s="1363"/>
      <c r="J141" s="1363"/>
      <c r="K141" s="1363"/>
      <c r="L141" s="1363"/>
      <c r="M141" s="1363"/>
      <c r="N141" s="1363"/>
      <c r="O141" s="1363"/>
      <c r="P141" s="1363"/>
      <c r="Q141" s="1363"/>
      <c r="R141" s="1363"/>
      <c r="S141" s="1363"/>
      <c r="T141" s="1363"/>
    </row>
    <row r="142">
      <c r="A142" s="1369"/>
      <c r="B142" s="1369"/>
      <c r="C142" s="1363"/>
      <c r="D142" s="1363"/>
      <c r="E142" s="1363"/>
      <c r="F142" s="1363"/>
      <c r="G142" s="1363"/>
      <c r="H142" s="1363"/>
      <c r="I142" s="1363"/>
      <c r="J142" s="1363"/>
      <c r="K142" s="1363"/>
      <c r="L142" s="1363"/>
      <c r="M142" s="1363"/>
      <c r="N142" s="1363"/>
      <c r="O142" s="1363"/>
      <c r="P142" s="1363"/>
      <c r="Q142" s="1363"/>
      <c r="R142" s="1363"/>
      <c r="S142" s="1363"/>
      <c r="T142" s="1363"/>
    </row>
    <row r="143">
      <c r="A143" s="1369"/>
      <c r="B143" s="1369"/>
      <c r="C143" s="1363"/>
      <c r="D143" s="1363"/>
      <c r="E143" s="1363"/>
      <c r="F143" s="1363"/>
      <c r="G143" s="1363"/>
      <c r="H143" s="1363"/>
      <c r="I143" s="1363"/>
      <c r="J143" s="1363"/>
      <c r="K143" s="1363"/>
      <c r="L143" s="1363"/>
      <c r="M143" s="1363"/>
      <c r="N143" s="1363"/>
      <c r="O143" s="1363"/>
      <c r="P143" s="1363"/>
      <c r="Q143" s="1363"/>
      <c r="R143" s="1363"/>
      <c r="S143" s="1363"/>
      <c r="T143" s="1363"/>
    </row>
    <row r="144">
      <c r="A144" s="1369"/>
      <c r="B144" s="1369"/>
      <c r="C144" s="1363"/>
      <c r="D144" s="1363"/>
      <c r="E144" s="1363"/>
      <c r="F144" s="1363"/>
      <c r="G144" s="1363"/>
      <c r="H144" s="1363"/>
      <c r="I144" s="1363"/>
      <c r="J144" s="1363"/>
      <c r="K144" s="1363"/>
      <c r="L144" s="1363"/>
      <c r="M144" s="1363"/>
      <c r="N144" s="1363"/>
      <c r="O144" s="1363"/>
      <c r="P144" s="1363"/>
      <c r="Q144" s="1363"/>
      <c r="R144" s="1363"/>
      <c r="S144" s="1363"/>
      <c r="T144" s="1363"/>
    </row>
    <row r="145">
      <c r="A145" s="1369"/>
      <c r="B145" s="1369"/>
      <c r="C145" s="1363"/>
      <c r="D145" s="1363"/>
      <c r="E145" s="1363"/>
      <c r="F145" s="1363"/>
      <c r="G145" s="1363"/>
      <c r="H145" s="1363"/>
      <c r="I145" s="1363"/>
      <c r="J145" s="1363"/>
      <c r="K145" s="1363"/>
      <c r="L145" s="1363"/>
      <c r="M145" s="1363"/>
      <c r="N145" s="1363"/>
      <c r="O145" s="1363"/>
      <c r="P145" s="1363"/>
      <c r="Q145" s="1363"/>
      <c r="R145" s="1363"/>
      <c r="S145" s="1363"/>
      <c r="T145" s="1363"/>
    </row>
    <row r="146">
      <c r="A146" s="1369"/>
      <c r="B146" s="1369"/>
      <c r="C146" s="1363"/>
      <c r="D146" s="1363"/>
      <c r="E146" s="1363"/>
      <c r="F146" s="1363"/>
      <c r="G146" s="1363"/>
      <c r="H146" s="1363"/>
      <c r="I146" s="1363"/>
      <c r="J146" s="1363"/>
      <c r="K146" s="1363"/>
      <c r="L146" s="1363"/>
      <c r="M146" s="1363"/>
      <c r="N146" s="1363"/>
      <c r="O146" s="1363"/>
      <c r="P146" s="1363"/>
      <c r="Q146" s="1363"/>
      <c r="R146" s="1363"/>
      <c r="S146" s="1363"/>
      <c r="T146" s="1363"/>
    </row>
    <row r="147">
      <c r="A147" s="1369"/>
      <c r="B147" s="1369"/>
      <c r="C147" s="1363"/>
      <c r="D147" s="1363"/>
      <c r="E147" s="1363"/>
      <c r="F147" s="1363"/>
      <c r="G147" s="1363"/>
      <c r="H147" s="1363"/>
      <c r="I147" s="1363"/>
      <c r="J147" s="1363"/>
      <c r="K147" s="1363"/>
      <c r="L147" s="1363"/>
      <c r="M147" s="1363"/>
      <c r="N147" s="1363"/>
      <c r="O147" s="1363"/>
      <c r="P147" s="1363"/>
      <c r="Q147" s="1363"/>
      <c r="R147" s="1363"/>
      <c r="S147" s="1363"/>
      <c r="T147" s="1363"/>
    </row>
    <row r="148">
      <c r="A148" s="1369"/>
      <c r="B148" s="1369"/>
      <c r="C148" s="1363"/>
      <c r="D148" s="1363"/>
      <c r="E148" s="1363"/>
      <c r="F148" s="1363"/>
      <c r="G148" s="1363"/>
      <c r="H148" s="1363"/>
      <c r="I148" s="1363"/>
      <c r="J148" s="1363"/>
      <c r="K148" s="1363"/>
      <c r="L148" s="1363"/>
      <c r="M148" s="1363"/>
      <c r="N148" s="1363"/>
      <c r="O148" s="1363"/>
      <c r="P148" s="1363"/>
      <c r="Q148" s="1363"/>
      <c r="R148" s="1363"/>
      <c r="S148" s="1363"/>
      <c r="T148" s="1363"/>
    </row>
    <row r="149">
      <c r="A149" s="1369"/>
      <c r="B149" s="1369"/>
      <c r="C149" s="1363"/>
      <c r="D149" s="1363"/>
      <c r="E149" s="1363"/>
      <c r="F149" s="1363"/>
      <c r="G149" s="1363"/>
      <c r="H149" s="1363"/>
      <c r="I149" s="1363"/>
      <c r="J149" s="1363"/>
      <c r="K149" s="1363"/>
      <c r="L149" s="1363"/>
      <c r="M149" s="1363"/>
      <c r="N149" s="1363"/>
      <c r="O149" s="1363"/>
      <c r="P149" s="1363"/>
      <c r="Q149" s="1363"/>
      <c r="R149" s="1363"/>
      <c r="S149" s="1363"/>
      <c r="T149" s="1363"/>
    </row>
    <row r="150">
      <c r="A150" s="1369"/>
      <c r="B150" s="1369"/>
      <c r="C150" s="1363"/>
      <c r="D150" s="1363"/>
      <c r="E150" s="1363"/>
      <c r="F150" s="1363"/>
      <c r="G150" s="1363"/>
      <c r="H150" s="1363"/>
      <c r="I150" s="1363"/>
      <c r="J150" s="1363"/>
      <c r="K150" s="1363"/>
      <c r="L150" s="1363"/>
      <c r="M150" s="1363"/>
      <c r="N150" s="1363"/>
      <c r="O150" s="1363"/>
      <c r="P150" s="1363"/>
      <c r="Q150" s="1363"/>
      <c r="R150" s="1363"/>
      <c r="S150" s="1363"/>
      <c r="T150" s="1363"/>
    </row>
    <row r="151">
      <c r="A151" s="1369"/>
      <c r="B151" s="1369"/>
      <c r="C151" s="1363"/>
      <c r="D151" s="1363"/>
      <c r="E151" s="1363"/>
      <c r="F151" s="1363"/>
      <c r="G151" s="1363"/>
      <c r="H151" s="1363"/>
      <c r="I151" s="1363"/>
      <c r="J151" s="1363"/>
      <c r="K151" s="1363"/>
      <c r="L151" s="1363"/>
      <c r="M151" s="1363"/>
      <c r="N151" s="1363"/>
      <c r="O151" s="1363"/>
      <c r="P151" s="1363"/>
      <c r="Q151" s="1363"/>
      <c r="R151" s="1363"/>
      <c r="S151" s="1363"/>
      <c r="T151" s="1363"/>
    </row>
    <row r="152">
      <c r="A152" s="1369"/>
      <c r="B152" s="1369"/>
      <c r="C152" s="1363"/>
      <c r="D152" s="1363"/>
      <c r="E152" s="1363"/>
      <c r="F152" s="1363"/>
      <c r="G152" s="1363"/>
      <c r="H152" s="1363"/>
      <c r="I152" s="1363"/>
      <c r="J152" s="1363"/>
      <c r="K152" s="1363"/>
      <c r="L152" s="1363"/>
      <c r="M152" s="1363"/>
      <c r="N152" s="1363"/>
      <c r="O152" s="1363"/>
      <c r="P152" s="1363"/>
      <c r="Q152" s="1363"/>
      <c r="R152" s="1363"/>
      <c r="S152" s="1363"/>
      <c r="T152" s="1363"/>
    </row>
    <row r="153">
      <c r="A153" s="1369"/>
      <c r="B153" s="1369"/>
      <c r="C153" s="1363"/>
      <c r="D153" s="1363"/>
      <c r="E153" s="1363"/>
      <c r="F153" s="1363"/>
      <c r="G153" s="1363"/>
      <c r="H153" s="1363"/>
      <c r="I153" s="1363"/>
      <c r="J153" s="1363"/>
      <c r="K153" s="1363"/>
      <c r="L153" s="1363"/>
      <c r="M153" s="1363"/>
      <c r="N153" s="1363"/>
      <c r="O153" s="1363"/>
      <c r="P153" s="1363"/>
      <c r="Q153" s="1363"/>
      <c r="R153" s="1363"/>
      <c r="S153" s="1363"/>
      <c r="T153" s="1363"/>
    </row>
    <row r="154">
      <c r="A154" s="1369"/>
      <c r="B154" s="1369"/>
      <c r="C154" s="1363"/>
      <c r="D154" s="1363"/>
      <c r="E154" s="1363"/>
      <c r="F154" s="1363"/>
      <c r="G154" s="1363"/>
      <c r="H154" s="1363"/>
      <c r="I154" s="1363"/>
      <c r="J154" s="1363"/>
      <c r="K154" s="1363"/>
      <c r="L154" s="1363"/>
      <c r="M154" s="1363"/>
      <c r="N154" s="1363"/>
      <c r="O154" s="1363"/>
      <c r="P154" s="1363"/>
      <c r="Q154" s="1363"/>
      <c r="R154" s="1363"/>
      <c r="S154" s="1363"/>
      <c r="T154" s="1363"/>
    </row>
    <row r="155">
      <c r="A155" s="1369"/>
      <c r="B155" s="1369"/>
      <c r="C155" s="1363"/>
      <c r="D155" s="1363"/>
      <c r="E155" s="1363"/>
      <c r="F155" s="1363"/>
      <c r="G155" s="1363"/>
      <c r="H155" s="1363"/>
      <c r="I155" s="1363"/>
      <c r="J155" s="1363"/>
      <c r="K155" s="1363"/>
      <c r="L155" s="1363"/>
      <c r="M155" s="1363"/>
      <c r="N155" s="1363"/>
      <c r="O155" s="1363"/>
      <c r="P155" s="1363"/>
      <c r="Q155" s="1363"/>
      <c r="R155" s="1363"/>
      <c r="S155" s="1363"/>
      <c r="T155" s="1363"/>
    </row>
    <row r="156">
      <c r="A156" s="1369"/>
      <c r="B156" s="1369"/>
      <c r="C156" s="1363"/>
      <c r="D156" s="1363"/>
      <c r="E156" s="1363"/>
      <c r="F156" s="1363"/>
      <c r="G156" s="1363"/>
      <c r="H156" s="1363"/>
      <c r="I156" s="1363"/>
      <c r="J156" s="1363"/>
      <c r="K156" s="1363"/>
      <c r="L156" s="1363"/>
      <c r="M156" s="1363"/>
      <c r="N156" s="1363"/>
      <c r="O156" s="1363"/>
      <c r="P156" s="1363"/>
      <c r="Q156" s="1363"/>
      <c r="R156" s="1363"/>
      <c r="S156" s="1363"/>
      <c r="T156" s="1363"/>
    </row>
    <row r="157">
      <c r="A157" s="1369"/>
      <c r="B157" s="1369"/>
      <c r="C157" s="1363"/>
      <c r="D157" s="1363"/>
      <c r="E157" s="1363"/>
      <c r="F157" s="1363"/>
      <c r="G157" s="1363"/>
      <c r="H157" s="1363"/>
      <c r="I157" s="1363"/>
      <c r="J157" s="1363"/>
      <c r="K157" s="1363"/>
      <c r="L157" s="1363"/>
      <c r="M157" s="1363"/>
      <c r="N157" s="1363"/>
      <c r="O157" s="1363"/>
      <c r="P157" s="1363"/>
      <c r="Q157" s="1363"/>
      <c r="R157" s="1363"/>
      <c r="S157" s="1363"/>
      <c r="T157" s="1363"/>
    </row>
    <row r="158">
      <c r="A158" s="1369"/>
      <c r="B158" s="1369"/>
      <c r="C158" s="1363"/>
      <c r="D158" s="1363"/>
      <c r="E158" s="1363"/>
      <c r="F158" s="1363"/>
      <c r="G158" s="1363"/>
      <c r="H158" s="1363"/>
      <c r="I158" s="1363"/>
      <c r="J158" s="1363"/>
      <c r="K158" s="1363"/>
      <c r="L158" s="1363"/>
      <c r="M158" s="1363"/>
      <c r="N158" s="1363"/>
      <c r="O158" s="1363"/>
      <c r="P158" s="1363"/>
      <c r="Q158" s="1363"/>
      <c r="R158" s="1363"/>
      <c r="S158" s="1363"/>
      <c r="T158" s="1363"/>
    </row>
    <row r="159">
      <c r="A159" s="1369"/>
      <c r="B159" s="1369"/>
      <c r="C159" s="1363"/>
      <c r="D159" s="1363"/>
      <c r="E159" s="1363"/>
      <c r="F159" s="1363"/>
      <c r="G159" s="1363"/>
      <c r="H159" s="1363"/>
      <c r="I159" s="1363"/>
      <c r="J159" s="1363"/>
      <c r="K159" s="1363"/>
      <c r="L159" s="1363"/>
      <c r="M159" s="1363"/>
      <c r="N159" s="1363"/>
      <c r="O159" s="1363"/>
      <c r="P159" s="1363"/>
      <c r="Q159" s="1363"/>
      <c r="R159" s="1363"/>
      <c r="S159" s="1363"/>
      <c r="T159" s="1363"/>
    </row>
    <row r="160">
      <c r="A160" s="1369"/>
      <c r="B160" s="1369"/>
      <c r="C160" s="1363"/>
      <c r="D160" s="1363"/>
      <c r="E160" s="1363"/>
      <c r="F160" s="1363"/>
      <c r="G160" s="1363"/>
      <c r="H160" s="1363"/>
      <c r="I160" s="1363"/>
      <c r="J160" s="1363"/>
      <c r="K160" s="1363"/>
      <c r="L160" s="1363"/>
      <c r="M160" s="1363"/>
      <c r="N160" s="1363"/>
      <c r="O160" s="1363"/>
      <c r="P160" s="1363"/>
      <c r="Q160" s="1363"/>
      <c r="R160" s="1363"/>
      <c r="S160" s="1363"/>
      <c r="T160" s="1363"/>
    </row>
    <row r="161">
      <c r="A161" s="1369"/>
      <c r="B161" s="1369"/>
      <c r="C161" s="1363"/>
      <c r="D161" s="1363"/>
      <c r="E161" s="1363"/>
      <c r="F161" s="1363"/>
      <c r="G161" s="1363"/>
      <c r="H161" s="1363"/>
      <c r="I161" s="1363"/>
      <c r="J161" s="1363"/>
      <c r="K161" s="1363"/>
      <c r="L161" s="1363"/>
      <c r="M161" s="1363"/>
      <c r="N161" s="1363"/>
      <c r="O161" s="1363"/>
      <c r="P161" s="1363"/>
      <c r="Q161" s="1363"/>
      <c r="R161" s="1363"/>
      <c r="S161" s="1363"/>
      <c r="T161" s="1363"/>
    </row>
    <row r="162">
      <c r="A162" s="1369"/>
      <c r="B162" s="1369"/>
      <c r="C162" s="1363"/>
      <c r="D162" s="1363"/>
      <c r="E162" s="1363"/>
      <c r="F162" s="1363"/>
      <c r="G162" s="1363"/>
      <c r="H162" s="1363"/>
      <c r="I162" s="1363"/>
      <c r="J162" s="1363"/>
      <c r="K162" s="1363"/>
      <c r="L162" s="1363"/>
      <c r="M162" s="1363"/>
      <c r="N162" s="1363"/>
      <c r="O162" s="1363"/>
      <c r="P162" s="1363"/>
      <c r="Q162" s="1363"/>
      <c r="R162" s="1363"/>
      <c r="S162" s="1363"/>
      <c r="T162" s="1363"/>
    </row>
    <row r="163">
      <c r="A163" s="1369"/>
      <c r="B163" s="1369"/>
      <c r="C163" s="1363"/>
      <c r="D163" s="1363"/>
      <c r="E163" s="1363"/>
      <c r="F163" s="1363"/>
      <c r="G163" s="1363"/>
      <c r="H163" s="1363"/>
      <c r="I163" s="1363"/>
      <c r="J163" s="1363"/>
      <c r="K163" s="1363"/>
      <c r="L163" s="1363"/>
      <c r="M163" s="1363"/>
      <c r="N163" s="1363"/>
      <c r="O163" s="1363"/>
      <c r="P163" s="1363"/>
      <c r="Q163" s="1363"/>
      <c r="R163" s="1363"/>
      <c r="S163" s="1363"/>
      <c r="T163" s="1363"/>
    </row>
    <row r="164">
      <c r="A164" s="1369"/>
      <c r="B164" s="1369"/>
      <c r="C164" s="1363"/>
      <c r="D164" s="1363"/>
      <c r="E164" s="1363"/>
      <c r="F164" s="1363"/>
      <c r="G164" s="1363"/>
      <c r="H164" s="1363"/>
      <c r="I164" s="1363"/>
      <c r="J164" s="1363"/>
      <c r="K164" s="1363"/>
      <c r="L164" s="1363"/>
      <c r="M164" s="1363"/>
      <c r="N164" s="1363"/>
      <c r="O164" s="1363"/>
      <c r="P164" s="1363"/>
      <c r="Q164" s="1363"/>
      <c r="R164" s="1363"/>
      <c r="S164" s="1363"/>
      <c r="T164" s="1363"/>
    </row>
    <row r="165">
      <c r="A165" s="1369"/>
      <c r="B165" s="1369"/>
      <c r="C165" s="1363"/>
      <c r="D165" s="1363"/>
      <c r="E165" s="1363"/>
      <c r="F165" s="1363"/>
      <c r="G165" s="1363"/>
      <c r="H165" s="1363"/>
      <c r="I165" s="1363"/>
      <c r="J165" s="1363"/>
      <c r="K165" s="1363"/>
      <c r="L165" s="1363"/>
      <c r="M165" s="1363"/>
      <c r="N165" s="1363"/>
      <c r="O165" s="1363"/>
      <c r="P165" s="1363"/>
      <c r="Q165" s="1363"/>
      <c r="R165" s="1363"/>
      <c r="S165" s="1363"/>
      <c r="T165" s="1363"/>
    </row>
    <row r="166">
      <c r="A166" s="1369"/>
      <c r="B166" s="1369"/>
      <c r="C166" s="1363"/>
      <c r="D166" s="1363"/>
      <c r="E166" s="1363"/>
      <c r="F166" s="1363"/>
      <c r="G166" s="1363"/>
      <c r="H166" s="1363"/>
      <c r="I166" s="1363"/>
      <c r="J166" s="1363"/>
      <c r="K166" s="1363"/>
      <c r="L166" s="1363"/>
      <c r="M166" s="1363"/>
      <c r="N166" s="1363"/>
      <c r="O166" s="1363"/>
      <c r="P166" s="1363"/>
      <c r="Q166" s="1363"/>
      <c r="R166" s="1363"/>
      <c r="S166" s="1363"/>
      <c r="T166" s="1363"/>
    </row>
    <row r="167">
      <c r="A167" s="1369"/>
      <c r="B167" s="1369"/>
      <c r="C167" s="1363"/>
      <c r="D167" s="1363"/>
      <c r="E167" s="1363"/>
      <c r="F167" s="1363"/>
      <c r="G167" s="1363"/>
      <c r="H167" s="1363"/>
      <c r="I167" s="1363"/>
      <c r="J167" s="1363"/>
      <c r="K167" s="1363"/>
      <c r="L167" s="1363"/>
      <c r="M167" s="1363"/>
      <c r="N167" s="1363"/>
      <c r="O167" s="1363"/>
      <c r="P167" s="1363"/>
      <c r="Q167" s="1363"/>
      <c r="R167" s="1363"/>
      <c r="S167" s="1363"/>
      <c r="T167" s="1363"/>
    </row>
    <row r="168">
      <c r="A168" s="1369"/>
      <c r="B168" s="1369"/>
      <c r="C168" s="1363"/>
      <c r="D168" s="1363"/>
      <c r="E168" s="1363"/>
      <c r="F168" s="1363"/>
      <c r="G168" s="1363"/>
      <c r="H168" s="1363"/>
      <c r="I168" s="1363"/>
      <c r="J168" s="1363"/>
      <c r="K168" s="1363"/>
      <c r="L168" s="1363"/>
      <c r="M168" s="1363"/>
      <c r="N168" s="1363"/>
      <c r="O168" s="1363"/>
      <c r="P168" s="1363"/>
      <c r="Q168" s="1363"/>
      <c r="R168" s="1363"/>
      <c r="S168" s="1363"/>
      <c r="T168" s="1363"/>
    </row>
    <row r="169">
      <c r="A169" s="1369"/>
      <c r="B169" s="1369"/>
      <c r="C169" s="1363"/>
      <c r="D169" s="1363"/>
      <c r="E169" s="1363"/>
      <c r="F169" s="1363"/>
      <c r="G169" s="1363"/>
      <c r="H169" s="1363"/>
      <c r="I169" s="1363"/>
      <c r="J169" s="1363"/>
      <c r="K169" s="1363"/>
      <c r="L169" s="1363"/>
      <c r="M169" s="1363"/>
      <c r="N169" s="1363"/>
      <c r="O169" s="1363"/>
      <c r="P169" s="1363"/>
      <c r="Q169" s="1363"/>
      <c r="R169" s="1363"/>
      <c r="S169" s="1363"/>
      <c r="T169" s="1363"/>
    </row>
    <row r="170">
      <c r="A170" s="1369"/>
      <c r="B170" s="1369"/>
      <c r="C170" s="1363"/>
      <c r="D170" s="1363"/>
      <c r="E170" s="1363"/>
      <c r="F170" s="1363"/>
      <c r="G170" s="1363"/>
      <c r="H170" s="1363"/>
      <c r="I170" s="1363"/>
      <c r="J170" s="1363"/>
      <c r="K170" s="1363"/>
      <c r="L170" s="1363"/>
      <c r="M170" s="1363"/>
      <c r="N170" s="1363"/>
      <c r="O170" s="1363"/>
      <c r="P170" s="1363"/>
      <c r="Q170" s="1363"/>
      <c r="R170" s="1363"/>
      <c r="S170" s="1363"/>
      <c r="T170" s="1363"/>
    </row>
    <row r="171">
      <c r="A171" s="1369"/>
      <c r="B171" s="1369"/>
      <c r="C171" s="1363"/>
      <c r="D171" s="1363"/>
      <c r="E171" s="1363"/>
      <c r="F171" s="1363"/>
      <c r="G171" s="1363"/>
      <c r="H171" s="1363"/>
      <c r="I171" s="1363"/>
      <c r="J171" s="1363"/>
      <c r="K171" s="1363"/>
      <c r="L171" s="1363"/>
      <c r="M171" s="1363"/>
      <c r="N171" s="1363"/>
      <c r="O171" s="1363"/>
      <c r="P171" s="1363"/>
      <c r="Q171" s="1363"/>
      <c r="R171" s="1363"/>
      <c r="S171" s="1363"/>
      <c r="T171" s="1363"/>
    </row>
    <row r="172">
      <c r="A172" s="1369"/>
      <c r="B172" s="1369"/>
      <c r="C172" s="1363"/>
      <c r="D172" s="1363"/>
      <c r="E172" s="1363"/>
      <c r="F172" s="1363"/>
      <c r="G172" s="1363"/>
      <c r="H172" s="1363"/>
      <c r="I172" s="1363"/>
      <c r="J172" s="1363"/>
      <c r="K172" s="1363"/>
      <c r="L172" s="1363"/>
      <c r="M172" s="1363"/>
      <c r="N172" s="1363"/>
      <c r="O172" s="1363"/>
      <c r="P172" s="1363"/>
      <c r="Q172" s="1363"/>
      <c r="R172" s="1363"/>
      <c r="S172" s="1363"/>
      <c r="T172" s="1363"/>
    </row>
    <row r="173">
      <c r="A173" s="1369"/>
      <c r="B173" s="1369"/>
      <c r="C173" s="1363"/>
      <c r="D173" s="1363"/>
      <c r="E173" s="1363"/>
      <c r="F173" s="1363"/>
      <c r="G173" s="1363"/>
      <c r="H173" s="1363"/>
      <c r="I173" s="1363"/>
      <c r="J173" s="1363"/>
      <c r="K173" s="1363"/>
      <c r="L173" s="1363"/>
      <c r="M173" s="1363"/>
      <c r="N173" s="1363"/>
      <c r="O173" s="1363"/>
      <c r="P173" s="1363"/>
      <c r="Q173" s="1363"/>
      <c r="R173" s="1363"/>
      <c r="S173" s="1363"/>
      <c r="T173" s="1363"/>
    </row>
    <row r="174">
      <c r="A174" s="1369"/>
      <c r="B174" s="1369"/>
      <c r="C174" s="1363"/>
      <c r="D174" s="1363"/>
      <c r="E174" s="1363"/>
      <c r="F174" s="1363"/>
      <c r="G174" s="1363"/>
      <c r="H174" s="1363"/>
      <c r="I174" s="1363"/>
      <c r="J174" s="1363"/>
      <c r="K174" s="1363"/>
      <c r="L174" s="1363"/>
      <c r="M174" s="1363"/>
      <c r="N174" s="1363"/>
      <c r="O174" s="1363"/>
      <c r="P174" s="1363"/>
      <c r="Q174" s="1363"/>
      <c r="R174" s="1363"/>
      <c r="S174" s="1363"/>
      <c r="T174" s="1363"/>
    </row>
    <row r="175">
      <c r="A175" s="1369"/>
      <c r="B175" s="1369"/>
      <c r="C175" s="1363"/>
      <c r="D175" s="1363"/>
      <c r="E175" s="1363"/>
      <c r="F175" s="1363"/>
      <c r="G175" s="1363"/>
      <c r="H175" s="1363"/>
      <c r="I175" s="1363"/>
      <c r="J175" s="1363"/>
      <c r="K175" s="1363"/>
      <c r="L175" s="1363"/>
      <c r="M175" s="1363"/>
      <c r="N175" s="1363"/>
      <c r="O175" s="1363"/>
      <c r="P175" s="1363"/>
      <c r="Q175" s="1363"/>
      <c r="R175" s="1363"/>
      <c r="S175" s="1363"/>
      <c r="T175" s="1363"/>
    </row>
    <row r="176">
      <c r="A176" s="1369"/>
      <c r="B176" s="1369"/>
      <c r="C176" s="1363"/>
      <c r="D176" s="1363"/>
      <c r="E176" s="1363"/>
      <c r="F176" s="1363"/>
      <c r="G176" s="1363"/>
      <c r="H176" s="1363"/>
      <c r="I176" s="1363"/>
      <c r="J176" s="1363"/>
      <c r="K176" s="1363"/>
      <c r="L176" s="1363"/>
      <c r="M176" s="1363"/>
      <c r="N176" s="1363"/>
      <c r="O176" s="1363"/>
      <c r="P176" s="1363"/>
      <c r="Q176" s="1363"/>
      <c r="R176" s="1363"/>
      <c r="S176" s="1363"/>
      <c r="T176" s="1363"/>
    </row>
    <row r="177">
      <c r="A177" s="1369"/>
      <c r="B177" s="1369"/>
      <c r="C177" s="1363"/>
      <c r="D177" s="1363"/>
      <c r="E177" s="1363"/>
      <c r="F177" s="1363"/>
      <c r="G177" s="1363"/>
      <c r="H177" s="1363"/>
      <c r="I177" s="1363"/>
      <c r="J177" s="1363"/>
      <c r="K177" s="1363"/>
      <c r="L177" s="1363"/>
      <c r="M177" s="1363"/>
      <c r="N177" s="1363"/>
      <c r="O177" s="1363"/>
      <c r="P177" s="1363"/>
      <c r="Q177" s="1363"/>
      <c r="R177" s="1363"/>
      <c r="S177" s="1363"/>
      <c r="T177" s="1363"/>
    </row>
    <row r="178">
      <c r="A178" s="1369"/>
      <c r="B178" s="1369"/>
      <c r="C178" s="1363"/>
      <c r="D178" s="1363"/>
      <c r="E178" s="1363"/>
      <c r="F178" s="1363"/>
      <c r="G178" s="1363"/>
      <c r="H178" s="1363"/>
      <c r="I178" s="1363"/>
      <c r="J178" s="1363"/>
      <c r="K178" s="1363"/>
      <c r="L178" s="1363"/>
      <c r="M178" s="1363"/>
      <c r="N178" s="1363"/>
      <c r="O178" s="1363"/>
      <c r="P178" s="1363"/>
      <c r="Q178" s="1363"/>
      <c r="R178" s="1363"/>
      <c r="S178" s="1363"/>
      <c r="T178" s="1363"/>
    </row>
    <row r="179">
      <c r="A179" s="1369"/>
      <c r="B179" s="1369"/>
      <c r="C179" s="1363"/>
      <c r="D179" s="1363"/>
      <c r="E179" s="1363"/>
      <c r="F179" s="1363"/>
      <c r="G179" s="1363"/>
      <c r="H179" s="1363"/>
      <c r="I179" s="1363"/>
      <c r="J179" s="1363"/>
      <c r="K179" s="1363"/>
      <c r="L179" s="1363"/>
      <c r="M179" s="1363"/>
      <c r="N179" s="1363"/>
      <c r="O179" s="1363"/>
      <c r="P179" s="1363"/>
      <c r="Q179" s="1363"/>
      <c r="R179" s="1363"/>
      <c r="S179" s="1363"/>
      <c r="T179" s="1363"/>
    </row>
    <row r="180">
      <c r="A180" s="1369"/>
      <c r="B180" s="1369"/>
      <c r="C180" s="1363"/>
      <c r="D180" s="1363"/>
      <c r="E180" s="1363"/>
      <c r="F180" s="1363"/>
      <c r="G180" s="1363"/>
      <c r="H180" s="1363"/>
      <c r="I180" s="1363"/>
      <c r="J180" s="1363"/>
      <c r="K180" s="1363"/>
      <c r="L180" s="1363"/>
      <c r="M180" s="1363"/>
      <c r="N180" s="1363"/>
      <c r="O180" s="1363"/>
      <c r="P180" s="1363"/>
      <c r="Q180" s="1363"/>
      <c r="R180" s="1363"/>
      <c r="S180" s="1363"/>
      <c r="T180" s="1363"/>
    </row>
    <row r="181">
      <c r="A181" s="1369"/>
      <c r="B181" s="1369"/>
      <c r="C181" s="1363"/>
      <c r="D181" s="1363"/>
      <c r="E181" s="1363"/>
      <c r="F181" s="1363"/>
      <c r="G181" s="1363"/>
      <c r="H181" s="1363"/>
      <c r="I181" s="1363"/>
      <c r="J181" s="1363"/>
      <c r="K181" s="1363"/>
      <c r="L181" s="1363"/>
      <c r="M181" s="1363"/>
      <c r="N181" s="1363"/>
      <c r="O181" s="1363"/>
      <c r="P181" s="1363"/>
      <c r="Q181" s="1363"/>
      <c r="R181" s="1363"/>
      <c r="S181" s="1363"/>
      <c r="T181" s="1363"/>
    </row>
    <row r="182">
      <c r="A182" s="1369"/>
      <c r="B182" s="1369"/>
      <c r="C182" s="1363"/>
      <c r="D182" s="1363"/>
      <c r="E182" s="1363"/>
      <c r="F182" s="1363"/>
      <c r="G182" s="1363"/>
      <c r="H182" s="1363"/>
      <c r="I182" s="1363"/>
      <c r="J182" s="1363"/>
      <c r="K182" s="1363"/>
      <c r="L182" s="1363"/>
      <c r="M182" s="1363"/>
      <c r="N182" s="1363"/>
      <c r="O182" s="1363"/>
      <c r="P182" s="1363"/>
      <c r="Q182" s="1363"/>
      <c r="R182" s="1363"/>
      <c r="S182" s="1363"/>
      <c r="T182" s="1363"/>
    </row>
    <row r="183">
      <c r="A183" s="1369"/>
      <c r="B183" s="1369"/>
      <c r="C183" s="1363"/>
      <c r="D183" s="1363"/>
      <c r="E183" s="1363"/>
      <c r="F183" s="1363"/>
      <c r="G183" s="1363"/>
      <c r="H183" s="1363"/>
      <c r="I183" s="1363"/>
      <c r="J183" s="1363"/>
      <c r="K183" s="1363"/>
      <c r="L183" s="1363"/>
      <c r="M183" s="1363"/>
      <c r="N183" s="1363"/>
      <c r="O183" s="1363"/>
      <c r="P183" s="1363"/>
      <c r="Q183" s="1363"/>
      <c r="R183" s="1363"/>
      <c r="S183" s="1363"/>
      <c r="T183" s="1363"/>
    </row>
    <row r="184">
      <c r="A184" s="1369"/>
      <c r="B184" s="1369"/>
      <c r="C184" s="1363"/>
      <c r="D184" s="1363"/>
      <c r="E184" s="1363"/>
      <c r="F184" s="1363"/>
      <c r="G184" s="1363"/>
      <c r="H184" s="1363"/>
      <c r="I184" s="1363"/>
      <c r="J184" s="1363"/>
      <c r="K184" s="1363"/>
      <c r="L184" s="1363"/>
      <c r="M184" s="1363"/>
      <c r="N184" s="1363"/>
      <c r="O184" s="1363"/>
      <c r="P184" s="1363"/>
      <c r="Q184" s="1363"/>
      <c r="R184" s="1363"/>
      <c r="S184" s="1363"/>
      <c r="T184" s="1363"/>
    </row>
    <row r="185">
      <c r="A185" s="1369"/>
      <c r="B185" s="1369"/>
      <c r="C185" s="1363"/>
      <c r="D185" s="1363"/>
      <c r="E185" s="1363"/>
      <c r="F185" s="1363"/>
      <c r="G185" s="1363"/>
      <c r="H185" s="1363"/>
      <c r="I185" s="1363"/>
      <c r="J185" s="1363"/>
      <c r="K185" s="1363"/>
      <c r="L185" s="1363"/>
      <c r="M185" s="1363"/>
      <c r="N185" s="1363"/>
      <c r="O185" s="1363"/>
      <c r="P185" s="1363"/>
      <c r="Q185" s="1363"/>
      <c r="R185" s="1363"/>
      <c r="S185" s="1363"/>
      <c r="T185" s="1363"/>
    </row>
    <row r="186">
      <c r="A186" s="1369"/>
      <c r="B186" s="1369"/>
      <c r="C186" s="1363"/>
      <c r="D186" s="1363"/>
      <c r="E186" s="1363"/>
      <c r="F186" s="1363"/>
      <c r="G186" s="1363"/>
      <c r="H186" s="1363"/>
      <c r="I186" s="1363"/>
      <c r="J186" s="1363"/>
      <c r="K186" s="1363"/>
      <c r="L186" s="1363"/>
      <c r="M186" s="1363"/>
      <c r="N186" s="1363"/>
      <c r="O186" s="1363"/>
      <c r="P186" s="1363"/>
      <c r="Q186" s="1363"/>
      <c r="R186" s="1363"/>
      <c r="S186" s="1363"/>
      <c r="T186" s="1363"/>
    </row>
    <row r="187">
      <c r="A187" s="1369"/>
      <c r="B187" s="1369"/>
      <c r="C187" s="1363"/>
      <c r="D187" s="1363"/>
      <c r="E187" s="1363"/>
      <c r="F187" s="1363"/>
      <c r="G187" s="1363"/>
      <c r="H187" s="1363"/>
      <c r="I187" s="1363"/>
      <c r="J187" s="1363"/>
      <c r="K187" s="1363"/>
      <c r="L187" s="1363"/>
      <c r="M187" s="1363"/>
      <c r="N187" s="1363"/>
      <c r="O187" s="1363"/>
      <c r="P187" s="1363"/>
      <c r="Q187" s="1363"/>
      <c r="R187" s="1363"/>
      <c r="S187" s="1363"/>
      <c r="T187" s="1363"/>
    </row>
    <row r="188">
      <c r="A188" s="1369"/>
      <c r="B188" s="1369"/>
      <c r="C188" s="1363"/>
      <c r="D188" s="1363"/>
      <c r="E188" s="1363"/>
      <c r="F188" s="1363"/>
      <c r="G188" s="1363"/>
      <c r="H188" s="1363"/>
      <c r="I188" s="1363"/>
      <c r="J188" s="1363"/>
      <c r="K188" s="1363"/>
      <c r="L188" s="1363"/>
      <c r="M188" s="1363"/>
      <c r="N188" s="1363"/>
      <c r="O188" s="1363"/>
      <c r="P188" s="1363"/>
      <c r="Q188" s="1363"/>
      <c r="R188" s="1363"/>
      <c r="S188" s="1363"/>
      <c r="T188" s="1363"/>
    </row>
    <row r="189">
      <c r="A189" s="1369"/>
      <c r="B189" s="1369"/>
      <c r="C189" s="1363"/>
      <c r="D189" s="1363"/>
      <c r="E189" s="1363"/>
      <c r="F189" s="1363"/>
      <c r="G189" s="1363"/>
      <c r="H189" s="1363"/>
      <c r="I189" s="1363"/>
      <c r="J189" s="1363"/>
      <c r="K189" s="1363"/>
      <c r="L189" s="1363"/>
      <c r="M189" s="1363"/>
      <c r="N189" s="1363"/>
      <c r="O189" s="1363"/>
      <c r="P189" s="1363"/>
      <c r="Q189" s="1363"/>
      <c r="R189" s="1363"/>
      <c r="S189" s="1363"/>
      <c r="T189" s="1363"/>
    </row>
    <row r="190">
      <c r="A190" s="1369"/>
      <c r="B190" s="1369"/>
      <c r="C190" s="1363"/>
      <c r="D190" s="1363"/>
      <c r="E190" s="1363"/>
      <c r="F190" s="1363"/>
      <c r="G190" s="1363"/>
      <c r="H190" s="1363"/>
      <c r="I190" s="1363"/>
      <c r="J190" s="1363"/>
      <c r="K190" s="1363"/>
      <c r="L190" s="1363"/>
      <c r="M190" s="1363"/>
      <c r="N190" s="1363"/>
      <c r="O190" s="1363"/>
      <c r="P190" s="1363"/>
      <c r="Q190" s="1363"/>
      <c r="R190" s="1363"/>
      <c r="S190" s="1363"/>
      <c r="T190" s="1363"/>
    </row>
    <row r="191">
      <c r="A191" s="1369"/>
      <c r="B191" s="1369"/>
      <c r="C191" s="1363"/>
      <c r="D191" s="1363"/>
      <c r="E191" s="1363"/>
      <c r="F191" s="1363"/>
      <c r="G191" s="1363"/>
      <c r="H191" s="1363"/>
      <c r="I191" s="1363"/>
      <c r="J191" s="1363"/>
      <c r="K191" s="1363"/>
      <c r="L191" s="1363"/>
      <c r="M191" s="1363"/>
      <c r="N191" s="1363"/>
      <c r="O191" s="1363"/>
      <c r="P191" s="1363"/>
      <c r="Q191" s="1363"/>
      <c r="R191" s="1363"/>
      <c r="S191" s="1363"/>
      <c r="T191" s="1363"/>
    </row>
    <row r="192">
      <c r="A192" s="1369"/>
      <c r="B192" s="1369"/>
      <c r="C192" s="1363"/>
      <c r="D192" s="1363"/>
      <c r="E192" s="1363"/>
      <c r="F192" s="1363"/>
      <c r="G192" s="1363"/>
      <c r="H192" s="1363"/>
      <c r="I192" s="1363"/>
      <c r="J192" s="1363"/>
      <c r="K192" s="1363"/>
      <c r="L192" s="1363"/>
      <c r="M192" s="1363"/>
      <c r="N192" s="1363"/>
      <c r="O192" s="1363"/>
      <c r="P192" s="1363"/>
      <c r="Q192" s="1363"/>
      <c r="R192" s="1363"/>
      <c r="S192" s="1363"/>
      <c r="T192" s="1363"/>
    </row>
    <row r="193">
      <c r="A193" s="1369"/>
      <c r="B193" s="1369"/>
      <c r="C193" s="1363"/>
      <c r="D193" s="1363"/>
      <c r="E193" s="1363"/>
      <c r="F193" s="1363"/>
      <c r="G193" s="1363"/>
      <c r="H193" s="1363"/>
      <c r="I193" s="1363"/>
      <c r="J193" s="1363"/>
      <c r="K193" s="1363"/>
      <c r="L193" s="1363"/>
      <c r="M193" s="1363"/>
      <c r="N193" s="1363"/>
      <c r="O193" s="1363"/>
      <c r="P193" s="1363"/>
      <c r="Q193" s="1363"/>
      <c r="R193" s="1363"/>
      <c r="S193" s="1363"/>
      <c r="T193" s="1363"/>
    </row>
    <row r="194">
      <c r="A194" s="1369"/>
      <c r="B194" s="1369"/>
      <c r="C194" s="1363"/>
      <c r="D194" s="1363"/>
      <c r="E194" s="1363"/>
      <c r="F194" s="1363"/>
      <c r="G194" s="1363"/>
      <c r="H194" s="1363"/>
      <c r="I194" s="1363"/>
      <c r="J194" s="1363"/>
      <c r="K194" s="1363"/>
      <c r="L194" s="1363"/>
      <c r="M194" s="1363"/>
      <c r="N194" s="1363"/>
      <c r="O194" s="1363"/>
      <c r="P194" s="1363"/>
      <c r="Q194" s="1363"/>
      <c r="R194" s="1363"/>
      <c r="S194" s="1363"/>
      <c r="T194" s="1363"/>
    </row>
    <row r="195">
      <c r="A195" s="1369"/>
      <c r="B195" s="1369"/>
      <c r="C195" s="1363"/>
      <c r="D195" s="1363"/>
      <c r="E195" s="1363"/>
      <c r="F195" s="1363"/>
      <c r="G195" s="1363"/>
      <c r="H195" s="1363"/>
      <c r="I195" s="1363"/>
      <c r="J195" s="1363"/>
      <c r="K195" s="1363"/>
      <c r="L195" s="1363"/>
      <c r="M195" s="1363"/>
      <c r="N195" s="1363"/>
      <c r="O195" s="1363"/>
      <c r="P195" s="1363"/>
      <c r="Q195" s="1363"/>
      <c r="R195" s="1363"/>
      <c r="S195" s="1363"/>
      <c r="T195" s="1363"/>
    </row>
    <row r="196">
      <c r="A196" s="1369"/>
      <c r="B196" s="1369"/>
      <c r="C196" s="1363"/>
      <c r="D196" s="1363"/>
      <c r="E196" s="1363"/>
      <c r="F196" s="1363"/>
      <c r="G196" s="1363"/>
      <c r="H196" s="1363"/>
      <c r="I196" s="1363"/>
      <c r="J196" s="1363"/>
      <c r="K196" s="1363"/>
      <c r="L196" s="1363"/>
      <c r="M196" s="1363"/>
      <c r="N196" s="1363"/>
      <c r="O196" s="1363"/>
      <c r="P196" s="1363"/>
      <c r="Q196" s="1363"/>
      <c r="R196" s="1363"/>
      <c r="S196" s="1363"/>
      <c r="T196" s="1363"/>
    </row>
    <row r="197">
      <c r="A197" s="1369"/>
      <c r="B197" s="1369"/>
      <c r="C197" s="1363"/>
      <c r="D197" s="1363"/>
      <c r="E197" s="1363"/>
      <c r="F197" s="1363"/>
      <c r="G197" s="1363"/>
      <c r="H197" s="1363"/>
      <c r="I197" s="1363"/>
      <c r="J197" s="1363"/>
      <c r="K197" s="1363"/>
      <c r="L197" s="1363"/>
      <c r="M197" s="1363"/>
      <c r="N197" s="1363"/>
      <c r="O197" s="1363"/>
      <c r="P197" s="1363"/>
      <c r="Q197" s="1363"/>
      <c r="R197" s="1363"/>
      <c r="S197" s="1363"/>
      <c r="T197" s="1363"/>
    </row>
    <row r="198">
      <c r="A198" s="1369"/>
      <c r="B198" s="1369"/>
      <c r="C198" s="1363"/>
      <c r="D198" s="1363"/>
      <c r="E198" s="1363"/>
      <c r="F198" s="1363"/>
      <c r="G198" s="1363"/>
      <c r="H198" s="1363"/>
      <c r="I198" s="1363"/>
      <c r="J198" s="1363"/>
      <c r="K198" s="1363"/>
      <c r="L198" s="1363"/>
      <c r="M198" s="1363"/>
      <c r="N198" s="1363"/>
      <c r="O198" s="1363"/>
      <c r="P198" s="1363"/>
      <c r="Q198" s="1363"/>
      <c r="R198" s="1363"/>
      <c r="S198" s="1363"/>
      <c r="T198" s="1363"/>
    </row>
    <row r="199">
      <c r="A199" s="1369"/>
      <c r="B199" s="1369"/>
      <c r="C199" s="1363"/>
      <c r="D199" s="1363"/>
      <c r="E199" s="1363"/>
      <c r="F199" s="1363"/>
      <c r="G199" s="1363"/>
      <c r="H199" s="1363"/>
      <c r="I199" s="1363"/>
      <c r="J199" s="1363"/>
      <c r="K199" s="1363"/>
      <c r="L199" s="1363"/>
      <c r="M199" s="1363"/>
      <c r="N199" s="1363"/>
      <c r="O199" s="1363"/>
      <c r="P199" s="1363"/>
      <c r="Q199" s="1363"/>
      <c r="R199" s="1363"/>
      <c r="S199" s="1363"/>
      <c r="T199" s="1363"/>
    </row>
    <row r="200">
      <c r="A200" s="1369"/>
      <c r="B200" s="1369"/>
      <c r="C200" s="1363"/>
      <c r="D200" s="1363"/>
      <c r="E200" s="1363"/>
      <c r="F200" s="1363"/>
      <c r="G200" s="1363"/>
      <c r="H200" s="1363"/>
      <c r="I200" s="1363"/>
      <c r="J200" s="1363"/>
      <c r="K200" s="1363"/>
      <c r="L200" s="1363"/>
      <c r="M200" s="1363"/>
      <c r="N200" s="1363"/>
      <c r="O200" s="1363"/>
      <c r="P200" s="1363"/>
      <c r="Q200" s="1363"/>
      <c r="R200" s="1363"/>
      <c r="S200" s="1363"/>
      <c r="T200" s="1363"/>
    </row>
    <row r="201">
      <c r="A201" s="1369"/>
      <c r="B201" s="1369"/>
      <c r="C201" s="1363"/>
      <c r="D201" s="1363"/>
      <c r="E201" s="1363"/>
      <c r="F201" s="1363"/>
      <c r="G201" s="1363"/>
      <c r="H201" s="1363"/>
      <c r="I201" s="1363"/>
      <c r="J201" s="1363"/>
      <c r="K201" s="1363"/>
      <c r="L201" s="1363"/>
      <c r="M201" s="1363"/>
      <c r="N201" s="1363"/>
      <c r="O201" s="1363"/>
      <c r="P201" s="1363"/>
      <c r="Q201" s="1363"/>
      <c r="R201" s="1363"/>
      <c r="S201" s="1363"/>
      <c r="T201" s="1363"/>
    </row>
    <row r="202">
      <c r="A202" s="1369"/>
      <c r="B202" s="1369"/>
      <c r="C202" s="1363"/>
      <c r="D202" s="1363"/>
      <c r="E202" s="1363"/>
      <c r="F202" s="1363"/>
      <c r="G202" s="1363"/>
      <c r="H202" s="1363"/>
      <c r="I202" s="1363"/>
      <c r="J202" s="1363"/>
      <c r="K202" s="1363"/>
      <c r="L202" s="1363"/>
      <c r="M202" s="1363"/>
      <c r="N202" s="1363"/>
      <c r="O202" s="1363"/>
      <c r="P202" s="1363"/>
      <c r="Q202" s="1363"/>
      <c r="R202" s="1363"/>
      <c r="S202" s="1363"/>
      <c r="T202" s="1363"/>
    </row>
    <row r="203">
      <c r="A203" s="1369"/>
      <c r="B203" s="1369"/>
      <c r="C203" s="1363"/>
      <c r="D203" s="1363"/>
      <c r="E203" s="1363"/>
      <c r="F203" s="1363"/>
      <c r="G203" s="1363"/>
      <c r="H203" s="1363"/>
      <c r="I203" s="1363"/>
      <c r="J203" s="1363"/>
      <c r="K203" s="1363"/>
      <c r="L203" s="1363"/>
      <c r="M203" s="1363"/>
      <c r="N203" s="1363"/>
      <c r="O203" s="1363"/>
      <c r="P203" s="1363"/>
      <c r="Q203" s="1363"/>
      <c r="R203" s="1363"/>
      <c r="S203" s="1363"/>
      <c r="T203" s="1363"/>
    </row>
    <row r="204">
      <c r="A204" s="1369"/>
      <c r="B204" s="1369"/>
      <c r="C204" s="1363"/>
      <c r="D204" s="1363"/>
      <c r="E204" s="1363"/>
      <c r="F204" s="1363"/>
      <c r="G204" s="1363"/>
      <c r="H204" s="1363"/>
      <c r="I204" s="1363"/>
      <c r="J204" s="1363"/>
      <c r="K204" s="1363"/>
      <c r="L204" s="1363"/>
      <c r="M204" s="1363"/>
      <c r="N204" s="1363"/>
      <c r="O204" s="1363"/>
      <c r="P204" s="1363"/>
      <c r="Q204" s="1363"/>
      <c r="R204" s="1363"/>
      <c r="S204" s="1363"/>
      <c r="T204" s="1363"/>
    </row>
    <row r="205">
      <c r="A205" s="1363"/>
      <c r="B205" s="1363"/>
      <c r="C205" s="1363"/>
      <c r="D205" s="1363"/>
      <c r="E205" s="1363"/>
      <c r="F205" s="1363"/>
      <c r="G205" s="1363"/>
      <c r="H205" s="1363"/>
      <c r="I205" s="1363"/>
      <c r="J205" s="1363"/>
      <c r="K205" s="1363"/>
      <c r="L205" s="1363"/>
      <c r="M205" s="1363"/>
      <c r="N205" s="1363"/>
      <c r="O205" s="1363"/>
      <c r="P205" s="1363"/>
      <c r="Q205" s="1363"/>
      <c r="R205" s="1363"/>
      <c r="S205" s="1363"/>
      <c r="T205" s="1363"/>
    </row>
    <row r="206">
      <c r="A206" s="1363"/>
      <c r="B206" s="1363"/>
      <c r="C206" s="1363"/>
      <c r="D206" s="1363"/>
      <c r="E206" s="1363"/>
      <c r="F206" s="1363"/>
      <c r="G206" s="1363"/>
      <c r="H206" s="1363"/>
      <c r="I206" s="1363"/>
      <c r="J206" s="1363"/>
      <c r="K206" s="1363"/>
      <c r="L206" s="1363"/>
      <c r="M206" s="1363"/>
      <c r="N206" s="1363"/>
      <c r="O206" s="1363"/>
      <c r="P206" s="1363"/>
      <c r="Q206" s="1363"/>
      <c r="R206" s="1363"/>
      <c r="S206" s="1363"/>
      <c r="T206" s="1363"/>
    </row>
    <row r="207">
      <c r="A207" s="1363"/>
      <c r="B207" s="1363"/>
      <c r="C207" s="1363"/>
      <c r="D207" s="1363"/>
      <c r="E207" s="1363"/>
      <c r="F207" s="1363"/>
      <c r="G207" s="1363"/>
      <c r="H207" s="1363"/>
      <c r="I207" s="1363"/>
      <c r="J207" s="1363"/>
      <c r="K207" s="1363"/>
      <c r="L207" s="1363"/>
      <c r="M207" s="1363"/>
      <c r="N207" s="1363"/>
      <c r="O207" s="1363"/>
      <c r="P207" s="1363"/>
      <c r="Q207" s="1363"/>
      <c r="R207" s="1363"/>
      <c r="S207" s="1363"/>
      <c r="T207" s="1363"/>
    </row>
    <row r="208">
      <c r="A208" s="1363"/>
      <c r="B208" s="1363"/>
      <c r="C208" s="1363"/>
      <c r="D208" s="1363"/>
      <c r="E208" s="1363"/>
      <c r="F208" s="1363"/>
      <c r="G208" s="1363"/>
      <c r="H208" s="1363"/>
      <c r="I208" s="1363"/>
      <c r="J208" s="1363"/>
      <c r="K208" s="1363"/>
      <c r="L208" s="1363"/>
      <c r="M208" s="1363"/>
      <c r="N208" s="1363"/>
      <c r="O208" s="1363"/>
      <c r="P208" s="1363"/>
      <c r="Q208" s="1363"/>
      <c r="R208" s="1363"/>
      <c r="S208" s="1363"/>
      <c r="T208" s="1363"/>
    </row>
    <row r="209">
      <c r="A209" s="1363"/>
      <c r="B209" s="1363"/>
      <c r="C209" s="1363"/>
      <c r="D209" s="1363"/>
      <c r="E209" s="1363"/>
      <c r="F209" s="1363"/>
      <c r="G209" s="1363"/>
      <c r="H209" s="1363"/>
      <c r="I209" s="1363"/>
      <c r="J209" s="1363"/>
      <c r="K209" s="1363"/>
      <c r="L209" s="1363"/>
      <c r="M209" s="1363"/>
      <c r="N209" s="1363"/>
      <c r="O209" s="1363"/>
      <c r="P209" s="1363"/>
      <c r="Q209" s="1363"/>
      <c r="R209" s="1363"/>
      <c r="S209" s="1363"/>
      <c r="T209" s="136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6" width="4.43"/>
  </cols>
  <sheetData>
    <row r="1">
      <c r="A1" s="1370" t="s">
        <v>246</v>
      </c>
      <c r="B1" s="1371">
        <v>2.0</v>
      </c>
      <c r="C1" s="1370">
        <v>3.0</v>
      </c>
      <c r="D1" s="1370">
        <v>4.0</v>
      </c>
      <c r="E1" s="1370">
        <v>5.0</v>
      </c>
      <c r="F1" s="1370">
        <v>6.0</v>
      </c>
      <c r="G1" s="1370">
        <v>7.0</v>
      </c>
      <c r="H1" s="1370">
        <v>8.0</v>
      </c>
      <c r="I1" s="1370">
        <v>9.0</v>
      </c>
      <c r="J1" s="1370">
        <v>10.0</v>
      </c>
      <c r="K1" s="1370">
        <v>11.0</v>
      </c>
      <c r="L1" s="1370">
        <v>12.0</v>
      </c>
      <c r="M1" s="1370">
        <v>13.0</v>
      </c>
      <c r="N1" s="1370">
        <v>14.0</v>
      </c>
      <c r="O1" s="1370">
        <v>15.0</v>
      </c>
      <c r="P1" s="1370">
        <v>16.0</v>
      </c>
      <c r="Q1" s="1370">
        <v>17.0</v>
      </c>
      <c r="R1" s="1370">
        <v>18.0</v>
      </c>
      <c r="S1" s="1370">
        <v>19.0</v>
      </c>
      <c r="T1" s="1370">
        <v>20.0</v>
      </c>
      <c r="U1" s="1370">
        <v>21.0</v>
      </c>
      <c r="V1" s="1370">
        <v>22.0</v>
      </c>
      <c r="W1" s="1370">
        <v>23.0</v>
      </c>
      <c r="X1" s="1370">
        <v>24.0</v>
      </c>
      <c r="Y1" s="1370">
        <v>25.0</v>
      </c>
      <c r="Z1" s="1370">
        <v>26.0</v>
      </c>
      <c r="AA1" s="1370">
        <v>27.0</v>
      </c>
      <c r="AB1" s="1370">
        <v>28.0</v>
      </c>
      <c r="AC1" s="1370">
        <v>29.0</v>
      </c>
      <c r="AD1" s="1370">
        <v>30.0</v>
      </c>
      <c r="AE1" s="1370">
        <v>31.0</v>
      </c>
      <c r="AF1" s="1370">
        <v>32.0</v>
      </c>
      <c r="AG1" s="1370">
        <v>33.0</v>
      </c>
      <c r="AH1" s="1370">
        <v>34.0</v>
      </c>
      <c r="AI1" s="1370">
        <v>35.0</v>
      </c>
      <c r="AJ1" s="1370">
        <v>36.0</v>
      </c>
      <c r="AK1" s="1370">
        <v>37.0</v>
      </c>
      <c r="AL1" s="1370">
        <v>38.0</v>
      </c>
      <c r="AM1" s="1370">
        <v>39.0</v>
      </c>
      <c r="AN1" s="1370">
        <v>40.0</v>
      </c>
      <c r="AO1" s="1370">
        <v>41.0</v>
      </c>
      <c r="AP1" s="1370">
        <v>42.0</v>
      </c>
      <c r="AQ1" s="1370">
        <v>43.0</v>
      </c>
      <c r="AR1" s="1370">
        <v>44.0</v>
      </c>
      <c r="AS1" s="1370">
        <v>45.0</v>
      </c>
      <c r="AT1" s="1370">
        <v>46.0</v>
      </c>
    </row>
    <row r="2">
      <c r="A2" s="1372" t="s">
        <v>247</v>
      </c>
      <c r="B2" s="1373" t="s">
        <v>248</v>
      </c>
      <c r="C2" s="1374"/>
      <c r="D2" s="1372"/>
      <c r="E2" s="1375"/>
      <c r="F2" s="1375"/>
      <c r="G2" s="1375">
        <v>2.0</v>
      </c>
      <c r="H2" s="1375">
        <v>3.0</v>
      </c>
      <c r="I2" s="1375">
        <v>4.0</v>
      </c>
      <c r="J2" s="1375">
        <v>5.0</v>
      </c>
      <c r="K2" s="1375">
        <v>6.0</v>
      </c>
      <c r="L2" s="1375">
        <v>7.0</v>
      </c>
      <c r="M2" s="1375">
        <v>8.0</v>
      </c>
      <c r="N2" s="1375">
        <v>9.0</v>
      </c>
      <c r="O2" s="1375">
        <v>10.0</v>
      </c>
      <c r="P2" s="1375">
        <v>11.0</v>
      </c>
      <c r="Q2" s="1375">
        <v>12.0</v>
      </c>
      <c r="R2" s="1375">
        <v>13.0</v>
      </c>
      <c r="S2" s="1375">
        <v>14.0</v>
      </c>
      <c r="T2" s="1375">
        <v>15.0</v>
      </c>
      <c r="U2" s="1375">
        <v>16.0</v>
      </c>
      <c r="V2" s="1375">
        <v>17.0</v>
      </c>
      <c r="W2" s="1375">
        <v>18.0</v>
      </c>
      <c r="X2" s="1375" t="s">
        <v>249</v>
      </c>
      <c r="Y2" s="1375" t="s">
        <v>250</v>
      </c>
      <c r="Z2" s="1375" t="s">
        <v>251</v>
      </c>
      <c r="AA2" s="1375"/>
      <c r="AB2" s="1375">
        <v>1.0</v>
      </c>
      <c r="AC2" s="1375">
        <v>2.0</v>
      </c>
      <c r="AD2" s="1375">
        <v>3.0</v>
      </c>
      <c r="AE2" s="1375">
        <v>4.0</v>
      </c>
      <c r="AF2" s="1375">
        <v>5.0</v>
      </c>
      <c r="AG2" s="1375">
        <v>6.0</v>
      </c>
      <c r="AH2" s="1375">
        <v>7.0</v>
      </c>
      <c r="AI2" s="1375">
        <v>8.0</v>
      </c>
      <c r="AJ2" s="1375">
        <v>9.0</v>
      </c>
      <c r="AK2" s="1375">
        <v>10.0</v>
      </c>
      <c r="AL2" s="1375">
        <v>11.0</v>
      </c>
      <c r="AM2" s="1375">
        <v>12.0</v>
      </c>
      <c r="AN2" s="1375">
        <v>13.0</v>
      </c>
      <c r="AO2" s="1375">
        <v>14.0</v>
      </c>
      <c r="AP2" s="1375">
        <v>15.0</v>
      </c>
      <c r="AQ2" s="1375">
        <v>16.0</v>
      </c>
      <c r="AR2" s="1375">
        <v>17.0</v>
      </c>
      <c r="AS2" s="1375">
        <v>18.0</v>
      </c>
      <c r="AT2" s="1375" t="s">
        <v>91</v>
      </c>
    </row>
    <row r="3">
      <c r="A3" s="1376" t="str">
        <f>IFERROR(__xludf.DUMMYFUNCTION("importrange(""https://docs.google.com/spreadsheets/d/1OgU5QBUsNVST8Q_V3mJ68Y4DzCBMKcdY2UpHRd1GxjM/edit#gid=1898301280"",""List!A85:W95"")"),"GVSU Meadows - Blue")</f>
        <v>GVSU Meadows - Blue</v>
      </c>
      <c r="B3" s="1377">
        <f>IFERROR(__xludf.DUMMYFUNCTION("""COMPUTED_VALUE"""),71.5)</f>
        <v>71.5</v>
      </c>
      <c r="C3" s="1378">
        <f>IFERROR(__xludf.DUMMYFUNCTION("""COMPUTED_VALUE"""),132.0)</f>
        <v>132</v>
      </c>
      <c r="D3" s="1378">
        <f>IFERROR(__xludf.DUMMYFUNCTION("""COMPUTED_VALUE"""),6361.0)</f>
        <v>6361</v>
      </c>
      <c r="E3" s="1379" t="str">
        <f>IFERROR(__xludf.DUMMYFUNCTION("""COMPUTED_VALUE"""),"Handicap")</f>
        <v>Handicap</v>
      </c>
      <c r="F3" s="1380">
        <f>IFERROR(__xludf.DUMMYFUNCTION("""COMPUTED_VALUE"""),2.0)</f>
        <v>2</v>
      </c>
      <c r="G3" s="1380">
        <f>IFERROR(__xludf.DUMMYFUNCTION("""COMPUTED_VALUE"""),8.0)</f>
        <v>8</v>
      </c>
      <c r="H3" s="1380">
        <f>IFERROR(__xludf.DUMMYFUNCTION("""COMPUTED_VALUE"""),14.0)</f>
        <v>14</v>
      </c>
      <c r="I3" s="1380">
        <f>IFERROR(__xludf.DUMMYFUNCTION("""COMPUTED_VALUE"""),12.0)</f>
        <v>12</v>
      </c>
      <c r="J3" s="1380">
        <f>IFERROR(__xludf.DUMMYFUNCTION("""COMPUTED_VALUE"""),6.0)</f>
        <v>6</v>
      </c>
      <c r="K3" s="1380">
        <f>IFERROR(__xludf.DUMMYFUNCTION("""COMPUTED_VALUE"""),18.0)</f>
        <v>18</v>
      </c>
      <c r="L3" s="1380">
        <f>IFERROR(__xludf.DUMMYFUNCTION("""COMPUTED_VALUE"""),10.0)</f>
        <v>10</v>
      </c>
      <c r="M3" s="1380">
        <f>IFERROR(__xludf.DUMMYFUNCTION("""COMPUTED_VALUE"""),4.0)</f>
        <v>4</v>
      </c>
      <c r="N3" s="1380">
        <f>IFERROR(__xludf.DUMMYFUNCTION("""COMPUTED_VALUE"""),16.0)</f>
        <v>16</v>
      </c>
      <c r="O3" s="1380">
        <f>IFERROR(__xludf.DUMMYFUNCTION("""COMPUTED_VALUE"""),13.0)</f>
        <v>13</v>
      </c>
      <c r="P3" s="1380">
        <f>IFERROR(__xludf.DUMMYFUNCTION("""COMPUTED_VALUE"""),3.0)</f>
        <v>3</v>
      </c>
      <c r="Q3" s="1380">
        <f>IFERROR(__xludf.DUMMYFUNCTION("""COMPUTED_VALUE"""),9.0)</f>
        <v>9</v>
      </c>
      <c r="R3" s="1380">
        <f>IFERROR(__xludf.DUMMYFUNCTION("""COMPUTED_VALUE"""),15.0)</f>
        <v>15</v>
      </c>
      <c r="S3" s="1380">
        <f>IFERROR(__xludf.DUMMYFUNCTION("""COMPUTED_VALUE"""),11.0)</f>
        <v>11</v>
      </c>
      <c r="T3" s="1380">
        <f>IFERROR(__xludf.DUMMYFUNCTION("""COMPUTED_VALUE"""),5.0)</f>
        <v>5</v>
      </c>
      <c r="U3" s="1380">
        <f>IFERROR(__xludf.DUMMYFUNCTION("""COMPUTED_VALUE"""),7.0)</f>
        <v>7</v>
      </c>
      <c r="V3" s="1380">
        <f>IFERROR(__xludf.DUMMYFUNCTION("""COMPUTED_VALUE"""),17.0)</f>
        <v>17</v>
      </c>
      <c r="W3" s="1380">
        <f>IFERROR(__xludf.DUMMYFUNCTION("""COMPUTED_VALUE"""),1.0)</f>
        <v>1</v>
      </c>
      <c r="X3" s="1381">
        <f t="shared" ref="X3:X4" si="2">sum(F3:N3)</f>
        <v>90</v>
      </c>
      <c r="Y3" s="1381">
        <f t="shared" ref="Y3:Y4" si="3">sum(O3:W3)</f>
        <v>81</v>
      </c>
      <c r="Z3" s="1381">
        <f t="shared" ref="Z3:Z4" si="4">sum(X3:Y3)</f>
        <v>171</v>
      </c>
      <c r="AA3" s="1382" t="s">
        <v>56</v>
      </c>
      <c r="AB3" s="1383">
        <f t="shared" ref="AB3:AS3" si="1">F4</f>
        <v>4</v>
      </c>
      <c r="AC3" s="1383">
        <f t="shared" si="1"/>
        <v>4</v>
      </c>
      <c r="AD3" s="1383">
        <f t="shared" si="1"/>
        <v>3</v>
      </c>
      <c r="AE3" s="1383">
        <f t="shared" si="1"/>
        <v>5</v>
      </c>
      <c r="AF3" s="1383">
        <f t="shared" si="1"/>
        <v>4</v>
      </c>
      <c r="AG3" s="1383">
        <f t="shared" si="1"/>
        <v>4</v>
      </c>
      <c r="AH3" s="1383">
        <f t="shared" si="1"/>
        <v>3</v>
      </c>
      <c r="AI3" s="1383">
        <f t="shared" si="1"/>
        <v>4</v>
      </c>
      <c r="AJ3" s="1383">
        <f t="shared" si="1"/>
        <v>5</v>
      </c>
      <c r="AK3" s="1383">
        <f t="shared" si="1"/>
        <v>4</v>
      </c>
      <c r="AL3" s="1383">
        <f t="shared" si="1"/>
        <v>4</v>
      </c>
      <c r="AM3" s="1383">
        <f t="shared" si="1"/>
        <v>4</v>
      </c>
      <c r="AN3" s="1383">
        <f t="shared" si="1"/>
        <v>3</v>
      </c>
      <c r="AO3" s="1383">
        <f t="shared" si="1"/>
        <v>5</v>
      </c>
      <c r="AP3" s="1383">
        <f t="shared" si="1"/>
        <v>4</v>
      </c>
      <c r="AQ3" s="1383">
        <f t="shared" si="1"/>
        <v>4</v>
      </c>
      <c r="AR3" s="1383">
        <f t="shared" si="1"/>
        <v>3</v>
      </c>
      <c r="AS3" s="1383">
        <f t="shared" si="1"/>
        <v>4</v>
      </c>
      <c r="AT3" s="1383">
        <f>sum(AB3:AS3)</f>
        <v>71</v>
      </c>
    </row>
    <row r="4">
      <c r="A4" s="1384"/>
      <c r="B4" s="1377"/>
      <c r="C4" s="1378"/>
      <c r="D4" s="1378"/>
      <c r="E4" s="1379" t="str">
        <f>IFERROR(__xludf.DUMMYFUNCTION("""COMPUTED_VALUE"""),"Par")</f>
        <v>Par</v>
      </c>
      <c r="F4" s="1380">
        <f>IFERROR(__xludf.DUMMYFUNCTION("""COMPUTED_VALUE"""),4.0)</f>
        <v>4</v>
      </c>
      <c r="G4" s="1380">
        <f>IFERROR(__xludf.DUMMYFUNCTION("""COMPUTED_VALUE"""),4.0)</f>
        <v>4</v>
      </c>
      <c r="H4" s="1380">
        <f>IFERROR(__xludf.DUMMYFUNCTION("""COMPUTED_VALUE"""),3.0)</f>
        <v>3</v>
      </c>
      <c r="I4" s="1380">
        <f>IFERROR(__xludf.DUMMYFUNCTION("""COMPUTED_VALUE"""),5.0)</f>
        <v>5</v>
      </c>
      <c r="J4" s="1380">
        <f>IFERROR(__xludf.DUMMYFUNCTION("""COMPUTED_VALUE"""),4.0)</f>
        <v>4</v>
      </c>
      <c r="K4" s="1380">
        <f>IFERROR(__xludf.DUMMYFUNCTION("""COMPUTED_VALUE"""),4.0)</f>
        <v>4</v>
      </c>
      <c r="L4" s="1380">
        <f>IFERROR(__xludf.DUMMYFUNCTION("""COMPUTED_VALUE"""),3.0)</f>
        <v>3</v>
      </c>
      <c r="M4" s="1380">
        <f>IFERROR(__xludf.DUMMYFUNCTION("""COMPUTED_VALUE"""),4.0)</f>
        <v>4</v>
      </c>
      <c r="N4" s="1380">
        <f>IFERROR(__xludf.DUMMYFUNCTION("""COMPUTED_VALUE"""),5.0)</f>
        <v>5</v>
      </c>
      <c r="O4" s="1380">
        <f>IFERROR(__xludf.DUMMYFUNCTION("""COMPUTED_VALUE"""),4.0)</f>
        <v>4</v>
      </c>
      <c r="P4" s="1380">
        <f>IFERROR(__xludf.DUMMYFUNCTION("""COMPUTED_VALUE"""),4.0)</f>
        <v>4</v>
      </c>
      <c r="Q4" s="1380">
        <f>IFERROR(__xludf.DUMMYFUNCTION("""COMPUTED_VALUE"""),4.0)</f>
        <v>4</v>
      </c>
      <c r="R4" s="1380">
        <f>IFERROR(__xludf.DUMMYFUNCTION("""COMPUTED_VALUE"""),3.0)</f>
        <v>3</v>
      </c>
      <c r="S4" s="1380">
        <f>IFERROR(__xludf.DUMMYFUNCTION("""COMPUTED_VALUE"""),5.0)</f>
        <v>5</v>
      </c>
      <c r="T4" s="1380">
        <f>IFERROR(__xludf.DUMMYFUNCTION("""COMPUTED_VALUE"""),4.0)</f>
        <v>4</v>
      </c>
      <c r="U4" s="1380">
        <f>IFERROR(__xludf.DUMMYFUNCTION("""COMPUTED_VALUE"""),4.0)</f>
        <v>4</v>
      </c>
      <c r="V4" s="1380">
        <f>IFERROR(__xludf.DUMMYFUNCTION("""COMPUTED_VALUE"""),3.0)</f>
        <v>3</v>
      </c>
      <c r="W4" s="1380">
        <f>IFERROR(__xludf.DUMMYFUNCTION("""COMPUTED_VALUE"""),4.0)</f>
        <v>4</v>
      </c>
      <c r="X4" s="1383">
        <f t="shared" si="2"/>
        <v>36</v>
      </c>
      <c r="Y4" s="1383">
        <f t="shared" si="3"/>
        <v>35</v>
      </c>
      <c r="Z4" s="1383">
        <f t="shared" si="4"/>
        <v>71</v>
      </c>
      <c r="AA4" s="1380"/>
      <c r="AB4" s="1380"/>
      <c r="AC4" s="1380"/>
      <c r="AD4" s="1380"/>
      <c r="AE4" s="1380"/>
      <c r="AF4" s="1380"/>
      <c r="AG4" s="1380"/>
      <c r="AH4" s="1380"/>
      <c r="AI4" s="1380"/>
      <c r="AJ4" s="1380"/>
      <c r="AK4" s="1380"/>
      <c r="AL4" s="1380"/>
      <c r="AM4" s="1380"/>
      <c r="AN4" s="1380"/>
      <c r="AO4" s="1380"/>
      <c r="AP4" s="1380"/>
      <c r="AQ4" s="1380"/>
      <c r="AR4" s="1380"/>
      <c r="AS4" s="1380"/>
      <c r="AT4" s="1380"/>
    </row>
    <row r="5">
      <c r="A5" s="1385" t="str">
        <f>IFERROR(__xludf.DUMMYFUNCTION("""COMPUTED_VALUE"""),"Ravines GC - White")</f>
        <v>Ravines GC - White</v>
      </c>
      <c r="B5" s="1377">
        <f>IFERROR(__xludf.DUMMYFUNCTION("""COMPUTED_VALUE"""),68.1)</f>
        <v>68.1</v>
      </c>
      <c r="C5" s="1378">
        <f>IFERROR(__xludf.DUMMYFUNCTION("""COMPUTED_VALUE"""),129.0)</f>
        <v>129</v>
      </c>
      <c r="D5" s="1378">
        <f>IFERROR(__xludf.DUMMYFUNCTION("""COMPUTED_VALUE"""),5919.0)</f>
        <v>5919</v>
      </c>
      <c r="E5" s="1379" t="str">
        <f>IFERROR(__xludf.DUMMYFUNCTION("""COMPUTED_VALUE"""),"Handicap")</f>
        <v>Handicap</v>
      </c>
      <c r="F5" s="1386">
        <f>IFERROR(__xludf.DUMMYFUNCTION("""COMPUTED_VALUE"""),9.0)</f>
        <v>9</v>
      </c>
      <c r="G5" s="1386">
        <f>IFERROR(__xludf.DUMMYFUNCTION("""COMPUTED_VALUE"""),15.0)</f>
        <v>15</v>
      </c>
      <c r="H5" s="1386">
        <f>IFERROR(__xludf.DUMMYFUNCTION("""COMPUTED_VALUE"""),13.0)</f>
        <v>13</v>
      </c>
      <c r="I5" s="1386">
        <f>IFERROR(__xludf.DUMMYFUNCTION("""COMPUTED_VALUE"""),1.0)</f>
        <v>1</v>
      </c>
      <c r="J5" s="1386">
        <f>IFERROR(__xludf.DUMMYFUNCTION("""COMPUTED_VALUE"""),3.0)</f>
        <v>3</v>
      </c>
      <c r="K5" s="1386">
        <f>IFERROR(__xludf.DUMMYFUNCTION("""COMPUTED_VALUE"""),5.0)</f>
        <v>5</v>
      </c>
      <c r="L5" s="1386">
        <f>IFERROR(__xludf.DUMMYFUNCTION("""COMPUTED_VALUE"""),17.0)</f>
        <v>17</v>
      </c>
      <c r="M5" s="1386">
        <f>IFERROR(__xludf.DUMMYFUNCTION("""COMPUTED_VALUE"""),11.0)</f>
        <v>11</v>
      </c>
      <c r="N5" s="1386">
        <f>IFERROR(__xludf.DUMMYFUNCTION("""COMPUTED_VALUE"""),7.0)</f>
        <v>7</v>
      </c>
      <c r="O5" s="1386">
        <f>IFERROR(__xludf.DUMMYFUNCTION("""COMPUTED_VALUE"""),4.0)</f>
        <v>4</v>
      </c>
      <c r="P5" s="1386">
        <f>IFERROR(__xludf.DUMMYFUNCTION("""COMPUTED_VALUE"""),10.0)</f>
        <v>10</v>
      </c>
      <c r="Q5" s="1386">
        <f>IFERROR(__xludf.DUMMYFUNCTION("""COMPUTED_VALUE"""),16.0)</f>
        <v>16</v>
      </c>
      <c r="R5" s="1386">
        <f>IFERROR(__xludf.DUMMYFUNCTION("""COMPUTED_VALUE"""),14.0)</f>
        <v>14</v>
      </c>
      <c r="S5" s="1386">
        <f>IFERROR(__xludf.DUMMYFUNCTION("""COMPUTED_VALUE"""),2.0)</f>
        <v>2</v>
      </c>
      <c r="T5" s="1386">
        <f>IFERROR(__xludf.DUMMYFUNCTION("""COMPUTED_VALUE"""),8.0)</f>
        <v>8</v>
      </c>
      <c r="U5" s="1386">
        <f>IFERROR(__xludf.DUMMYFUNCTION("""COMPUTED_VALUE"""),18.0)</f>
        <v>18</v>
      </c>
      <c r="V5" s="1386">
        <f>IFERROR(__xludf.DUMMYFUNCTION("""COMPUTED_VALUE"""),12.0)</f>
        <v>12</v>
      </c>
      <c r="W5" s="1386">
        <f>IFERROR(__xludf.DUMMYFUNCTION("""COMPUTED_VALUE"""),6.0)</f>
        <v>6</v>
      </c>
      <c r="X5" s="1380"/>
      <c r="Y5" s="1380"/>
      <c r="Z5" s="1380"/>
      <c r="AA5" s="1382" t="s">
        <v>56</v>
      </c>
      <c r="AB5" s="1383">
        <f t="shared" ref="AB5:AS5" si="5">F6</f>
        <v>4</v>
      </c>
      <c r="AC5" s="1383">
        <f t="shared" si="5"/>
        <v>4</v>
      </c>
      <c r="AD5" s="1383">
        <f t="shared" si="5"/>
        <v>3</v>
      </c>
      <c r="AE5" s="1383">
        <f t="shared" si="5"/>
        <v>5</v>
      </c>
      <c r="AF5" s="1383">
        <f t="shared" si="5"/>
        <v>4</v>
      </c>
      <c r="AG5" s="1383">
        <f t="shared" si="5"/>
        <v>4</v>
      </c>
      <c r="AH5" s="1383">
        <f t="shared" si="5"/>
        <v>4</v>
      </c>
      <c r="AI5" s="1383">
        <f t="shared" si="5"/>
        <v>3</v>
      </c>
      <c r="AJ5" s="1383">
        <f t="shared" si="5"/>
        <v>5</v>
      </c>
      <c r="AK5" s="1383">
        <f t="shared" si="5"/>
        <v>4</v>
      </c>
      <c r="AL5" s="1383">
        <f t="shared" si="5"/>
        <v>4</v>
      </c>
      <c r="AM5" s="1383">
        <f t="shared" si="5"/>
        <v>3</v>
      </c>
      <c r="AN5" s="1383">
        <f t="shared" si="5"/>
        <v>4</v>
      </c>
      <c r="AO5" s="1383">
        <f t="shared" si="5"/>
        <v>5</v>
      </c>
      <c r="AP5" s="1383">
        <f t="shared" si="5"/>
        <v>4</v>
      </c>
      <c r="AQ5" s="1383">
        <f t="shared" si="5"/>
        <v>4</v>
      </c>
      <c r="AR5" s="1383">
        <f t="shared" si="5"/>
        <v>3</v>
      </c>
      <c r="AS5" s="1383">
        <f t="shared" si="5"/>
        <v>5</v>
      </c>
      <c r="AT5" s="1383">
        <f>sum(AB5:AS5)</f>
        <v>72</v>
      </c>
    </row>
    <row r="6">
      <c r="A6" s="1384"/>
      <c r="B6" s="1377"/>
      <c r="C6" s="1378"/>
      <c r="D6" s="1378"/>
      <c r="E6" s="1379" t="str">
        <f>IFERROR(__xludf.DUMMYFUNCTION("""COMPUTED_VALUE"""),"Par")</f>
        <v>Par</v>
      </c>
      <c r="F6" s="1380">
        <f>IFERROR(__xludf.DUMMYFUNCTION("""COMPUTED_VALUE"""),4.0)</f>
        <v>4</v>
      </c>
      <c r="G6" s="1386">
        <f>IFERROR(__xludf.DUMMYFUNCTION("""COMPUTED_VALUE"""),4.0)</f>
        <v>4</v>
      </c>
      <c r="H6" s="1386">
        <f>IFERROR(__xludf.DUMMYFUNCTION("""COMPUTED_VALUE"""),3.0)</f>
        <v>3</v>
      </c>
      <c r="I6" s="1386">
        <f>IFERROR(__xludf.DUMMYFUNCTION("""COMPUTED_VALUE"""),5.0)</f>
        <v>5</v>
      </c>
      <c r="J6" s="1386">
        <f>IFERROR(__xludf.DUMMYFUNCTION("""COMPUTED_VALUE"""),4.0)</f>
        <v>4</v>
      </c>
      <c r="K6" s="1386">
        <f>IFERROR(__xludf.DUMMYFUNCTION("""COMPUTED_VALUE"""),4.0)</f>
        <v>4</v>
      </c>
      <c r="L6" s="1386">
        <f>IFERROR(__xludf.DUMMYFUNCTION("""COMPUTED_VALUE"""),4.0)</f>
        <v>4</v>
      </c>
      <c r="M6" s="1386">
        <f>IFERROR(__xludf.DUMMYFUNCTION("""COMPUTED_VALUE"""),3.0)</f>
        <v>3</v>
      </c>
      <c r="N6" s="1380">
        <f>IFERROR(__xludf.DUMMYFUNCTION("""COMPUTED_VALUE"""),5.0)</f>
        <v>5</v>
      </c>
      <c r="O6" s="1386">
        <f>IFERROR(__xludf.DUMMYFUNCTION("""COMPUTED_VALUE"""),4.0)</f>
        <v>4</v>
      </c>
      <c r="P6" s="1386">
        <f>IFERROR(__xludf.DUMMYFUNCTION("""COMPUTED_VALUE"""),4.0)</f>
        <v>4</v>
      </c>
      <c r="Q6" s="1380">
        <f>IFERROR(__xludf.DUMMYFUNCTION("""COMPUTED_VALUE"""),3.0)</f>
        <v>3</v>
      </c>
      <c r="R6" s="1386">
        <f>IFERROR(__xludf.DUMMYFUNCTION("""COMPUTED_VALUE"""),4.0)</f>
        <v>4</v>
      </c>
      <c r="S6" s="1386">
        <f>IFERROR(__xludf.DUMMYFUNCTION("""COMPUTED_VALUE"""),5.0)</f>
        <v>5</v>
      </c>
      <c r="T6" s="1386">
        <f>IFERROR(__xludf.DUMMYFUNCTION("""COMPUTED_VALUE"""),4.0)</f>
        <v>4</v>
      </c>
      <c r="U6" s="1380">
        <f>IFERROR(__xludf.DUMMYFUNCTION("""COMPUTED_VALUE"""),4.0)</f>
        <v>4</v>
      </c>
      <c r="V6" s="1386">
        <f>IFERROR(__xludf.DUMMYFUNCTION("""COMPUTED_VALUE"""),3.0)</f>
        <v>3</v>
      </c>
      <c r="W6" s="1386">
        <f>IFERROR(__xludf.DUMMYFUNCTION("""COMPUTED_VALUE"""),5.0)</f>
        <v>5</v>
      </c>
      <c r="X6" s="1383">
        <f>sum(F6:N6)</f>
        <v>36</v>
      </c>
      <c r="Y6" s="1383">
        <f>sum(O6:W6)</f>
        <v>36</v>
      </c>
      <c r="Z6" s="1383">
        <f>sum(X6:Y6)</f>
        <v>72</v>
      </c>
      <c r="AA6" s="1380"/>
      <c r="AB6" s="1380"/>
      <c r="AC6" s="1380"/>
      <c r="AD6" s="1380"/>
      <c r="AE6" s="1380"/>
      <c r="AF6" s="1380"/>
      <c r="AG6" s="1380"/>
      <c r="AH6" s="1380"/>
      <c r="AI6" s="1380"/>
      <c r="AJ6" s="1380"/>
      <c r="AK6" s="1380"/>
      <c r="AL6" s="1380"/>
      <c r="AM6" s="1380"/>
      <c r="AN6" s="1380"/>
      <c r="AO6" s="1380"/>
      <c r="AP6" s="1380"/>
      <c r="AQ6" s="1380"/>
      <c r="AR6" s="1380"/>
      <c r="AS6" s="1380"/>
      <c r="AT6" s="1380"/>
    </row>
    <row r="7">
      <c r="A7" s="1384" t="str">
        <f>IFERROR(__xludf.DUMMYFUNCTION("""COMPUTED_VALUE"""),"American Dunes - Freedom/WH")</f>
        <v>American Dunes - Freedom/WH</v>
      </c>
      <c r="B7" s="1377">
        <f>IFERROR(__xludf.DUMMYFUNCTION("""COMPUTED_VALUE"""),70.3)</f>
        <v>70.3</v>
      </c>
      <c r="C7" s="1378">
        <f>IFERROR(__xludf.DUMMYFUNCTION("""COMPUTED_VALUE"""),133.0)</f>
        <v>133</v>
      </c>
      <c r="D7" s="1378">
        <f>IFERROR(__xludf.DUMMYFUNCTION("""COMPUTED_VALUE"""),6131.0)</f>
        <v>6131</v>
      </c>
      <c r="E7" s="1379" t="str">
        <f>IFERROR(__xludf.DUMMYFUNCTION("""COMPUTED_VALUE"""),"Handicap")</f>
        <v>Handicap</v>
      </c>
      <c r="F7" s="1380">
        <f>IFERROR(__xludf.DUMMYFUNCTION("""COMPUTED_VALUE"""),10.0)</f>
        <v>10</v>
      </c>
      <c r="G7" s="1380">
        <f>IFERROR(__xludf.DUMMYFUNCTION("""COMPUTED_VALUE"""),18.0)</f>
        <v>18</v>
      </c>
      <c r="H7" s="1380">
        <f>IFERROR(__xludf.DUMMYFUNCTION("""COMPUTED_VALUE"""),6.0)</f>
        <v>6</v>
      </c>
      <c r="I7" s="1380">
        <f>IFERROR(__xludf.DUMMYFUNCTION("""COMPUTED_VALUE"""),14.0)</f>
        <v>14</v>
      </c>
      <c r="J7" s="1380">
        <f>IFERROR(__xludf.DUMMYFUNCTION("""COMPUTED_VALUE"""),2.0)</f>
        <v>2</v>
      </c>
      <c r="K7" s="1380">
        <f>IFERROR(__xludf.DUMMYFUNCTION("""COMPUTED_VALUE"""),12.0)</f>
        <v>12</v>
      </c>
      <c r="L7" s="1380">
        <f>IFERROR(__xludf.DUMMYFUNCTION("""COMPUTED_VALUE"""),16.0)</f>
        <v>16</v>
      </c>
      <c r="M7" s="1380">
        <f>IFERROR(__xludf.DUMMYFUNCTION("""COMPUTED_VALUE"""),4.0)</f>
        <v>4</v>
      </c>
      <c r="N7" s="1380">
        <f>IFERROR(__xludf.DUMMYFUNCTION("""COMPUTED_VALUE"""),8.0)</f>
        <v>8</v>
      </c>
      <c r="O7" s="1380">
        <f>IFERROR(__xludf.DUMMYFUNCTION("""COMPUTED_VALUE"""),3.0)</f>
        <v>3</v>
      </c>
      <c r="P7" s="1380">
        <f>IFERROR(__xludf.DUMMYFUNCTION("""COMPUTED_VALUE"""),13.0)</f>
        <v>13</v>
      </c>
      <c r="Q7" s="1380">
        <f>IFERROR(__xludf.DUMMYFUNCTION("""COMPUTED_VALUE"""),15.0)</f>
        <v>15</v>
      </c>
      <c r="R7" s="1380">
        <f>IFERROR(__xludf.DUMMYFUNCTION("""COMPUTED_VALUE"""),11.0)</f>
        <v>11</v>
      </c>
      <c r="S7" s="1380">
        <f>IFERROR(__xludf.DUMMYFUNCTION("""COMPUTED_VALUE"""),7.0)</f>
        <v>7</v>
      </c>
      <c r="T7" s="1380">
        <f>IFERROR(__xludf.DUMMYFUNCTION("""COMPUTED_VALUE"""),9.0)</f>
        <v>9</v>
      </c>
      <c r="U7" s="1380">
        <f>IFERROR(__xludf.DUMMYFUNCTION("""COMPUTED_VALUE"""),1.0)</f>
        <v>1</v>
      </c>
      <c r="V7" s="1380">
        <f>IFERROR(__xludf.DUMMYFUNCTION("""COMPUTED_VALUE"""),5.0)</f>
        <v>5</v>
      </c>
      <c r="W7" s="1380">
        <f>IFERROR(__xludf.DUMMYFUNCTION("""COMPUTED_VALUE"""),17.0)</f>
        <v>17</v>
      </c>
      <c r="X7" s="1380"/>
      <c r="Y7" s="1380"/>
      <c r="Z7" s="1380"/>
      <c r="AA7" s="1382" t="s">
        <v>56</v>
      </c>
      <c r="AB7" s="1383">
        <f t="shared" ref="AB7:AS7" si="6">F8</f>
        <v>4</v>
      </c>
      <c r="AC7" s="1383">
        <f t="shared" si="6"/>
        <v>5</v>
      </c>
      <c r="AD7" s="1383">
        <f t="shared" si="6"/>
        <v>4</v>
      </c>
      <c r="AE7" s="1383">
        <f t="shared" si="6"/>
        <v>3</v>
      </c>
      <c r="AF7" s="1383">
        <f t="shared" si="6"/>
        <v>4</v>
      </c>
      <c r="AG7" s="1383">
        <f t="shared" si="6"/>
        <v>5</v>
      </c>
      <c r="AH7" s="1383">
        <f t="shared" si="6"/>
        <v>3</v>
      </c>
      <c r="AI7" s="1383">
        <f t="shared" si="6"/>
        <v>4</v>
      </c>
      <c r="AJ7" s="1383">
        <f t="shared" si="6"/>
        <v>4</v>
      </c>
      <c r="AK7" s="1383">
        <f t="shared" si="6"/>
        <v>4</v>
      </c>
      <c r="AL7" s="1383">
        <f t="shared" si="6"/>
        <v>4</v>
      </c>
      <c r="AM7" s="1383">
        <f t="shared" si="6"/>
        <v>3</v>
      </c>
      <c r="AN7" s="1383">
        <f t="shared" si="6"/>
        <v>5</v>
      </c>
      <c r="AO7" s="1383">
        <f t="shared" si="6"/>
        <v>4</v>
      </c>
      <c r="AP7" s="1383">
        <f t="shared" si="6"/>
        <v>3</v>
      </c>
      <c r="AQ7" s="1383">
        <f t="shared" si="6"/>
        <v>4</v>
      </c>
      <c r="AR7" s="1383">
        <f t="shared" si="6"/>
        <v>4</v>
      </c>
      <c r="AS7" s="1383">
        <f t="shared" si="6"/>
        <v>5</v>
      </c>
      <c r="AT7" s="1383">
        <f>sum(AB7:AS7)</f>
        <v>72</v>
      </c>
    </row>
    <row r="8">
      <c r="A8" s="1384"/>
      <c r="B8" s="1377"/>
      <c r="C8" s="1378"/>
      <c r="D8" s="1378"/>
      <c r="E8" s="1379" t="str">
        <f>IFERROR(__xludf.DUMMYFUNCTION("""COMPUTED_VALUE"""),"Par")</f>
        <v>Par</v>
      </c>
      <c r="F8" s="1380">
        <f>IFERROR(__xludf.DUMMYFUNCTION("""COMPUTED_VALUE"""),4.0)</f>
        <v>4</v>
      </c>
      <c r="G8" s="1380">
        <f>IFERROR(__xludf.DUMMYFUNCTION("""COMPUTED_VALUE"""),5.0)</f>
        <v>5</v>
      </c>
      <c r="H8" s="1380">
        <f>IFERROR(__xludf.DUMMYFUNCTION("""COMPUTED_VALUE"""),4.0)</f>
        <v>4</v>
      </c>
      <c r="I8" s="1380">
        <f>IFERROR(__xludf.DUMMYFUNCTION("""COMPUTED_VALUE"""),3.0)</f>
        <v>3</v>
      </c>
      <c r="J8" s="1380">
        <f>IFERROR(__xludf.DUMMYFUNCTION("""COMPUTED_VALUE"""),4.0)</f>
        <v>4</v>
      </c>
      <c r="K8" s="1380">
        <f>IFERROR(__xludf.DUMMYFUNCTION("""COMPUTED_VALUE"""),5.0)</f>
        <v>5</v>
      </c>
      <c r="L8" s="1380">
        <f>IFERROR(__xludf.DUMMYFUNCTION("""COMPUTED_VALUE"""),3.0)</f>
        <v>3</v>
      </c>
      <c r="M8" s="1380">
        <f>IFERROR(__xludf.DUMMYFUNCTION("""COMPUTED_VALUE"""),4.0)</f>
        <v>4</v>
      </c>
      <c r="N8" s="1380">
        <f>IFERROR(__xludf.DUMMYFUNCTION("""COMPUTED_VALUE"""),4.0)</f>
        <v>4</v>
      </c>
      <c r="O8" s="1380">
        <f>IFERROR(__xludf.DUMMYFUNCTION("""COMPUTED_VALUE"""),4.0)</f>
        <v>4</v>
      </c>
      <c r="P8" s="1380">
        <f>IFERROR(__xludf.DUMMYFUNCTION("""COMPUTED_VALUE"""),4.0)</f>
        <v>4</v>
      </c>
      <c r="Q8" s="1380">
        <f>IFERROR(__xludf.DUMMYFUNCTION("""COMPUTED_VALUE"""),3.0)</f>
        <v>3</v>
      </c>
      <c r="R8" s="1380">
        <f>IFERROR(__xludf.DUMMYFUNCTION("""COMPUTED_VALUE"""),5.0)</f>
        <v>5</v>
      </c>
      <c r="S8" s="1380">
        <f>IFERROR(__xludf.DUMMYFUNCTION("""COMPUTED_VALUE"""),4.0)</f>
        <v>4</v>
      </c>
      <c r="T8" s="1380">
        <f>IFERROR(__xludf.DUMMYFUNCTION("""COMPUTED_VALUE"""),3.0)</f>
        <v>3</v>
      </c>
      <c r="U8" s="1380">
        <f>IFERROR(__xludf.DUMMYFUNCTION("""COMPUTED_VALUE"""),4.0)</f>
        <v>4</v>
      </c>
      <c r="V8" s="1380">
        <f>IFERROR(__xludf.DUMMYFUNCTION("""COMPUTED_VALUE"""),4.0)</f>
        <v>4</v>
      </c>
      <c r="W8" s="1380">
        <f>IFERROR(__xludf.DUMMYFUNCTION("""COMPUTED_VALUE"""),5.0)</f>
        <v>5</v>
      </c>
      <c r="X8" s="1383">
        <f>sum(F8:N8)</f>
        <v>36</v>
      </c>
      <c r="Y8" s="1383">
        <f>sum(O8:W8)</f>
        <v>36</v>
      </c>
      <c r="Z8" s="1383">
        <f>sum(X8:Y8)</f>
        <v>72</v>
      </c>
      <c r="AA8" s="1380"/>
      <c r="AB8" s="1380"/>
      <c r="AC8" s="1380"/>
      <c r="AD8" s="1380"/>
      <c r="AE8" s="1380"/>
      <c r="AF8" s="1380"/>
      <c r="AG8" s="1380"/>
      <c r="AH8" s="1380"/>
      <c r="AI8" s="1380"/>
      <c r="AJ8" s="1380"/>
      <c r="AK8" s="1380"/>
      <c r="AL8" s="1380"/>
      <c r="AM8" s="1380"/>
      <c r="AN8" s="1380"/>
      <c r="AO8" s="1380"/>
      <c r="AP8" s="1380"/>
      <c r="AQ8" s="1380"/>
      <c r="AR8" s="1380"/>
      <c r="AS8" s="1380"/>
      <c r="AT8" s="1380"/>
    </row>
    <row r="9">
      <c r="A9" s="1384" t="str">
        <f>IFERROR(__xludf.DUMMYFUNCTION("""COMPUTED_VALUE"""),"Lake Forest - Blue")</f>
        <v>Lake Forest - Blue</v>
      </c>
      <c r="B9" s="1387">
        <f>IFERROR(__xludf.DUMMYFUNCTION("""COMPUTED_VALUE"""),70.5)</f>
        <v>70.5</v>
      </c>
      <c r="C9" s="1388">
        <f>IFERROR(__xludf.DUMMYFUNCTION("""COMPUTED_VALUE"""),127.0)</f>
        <v>127</v>
      </c>
      <c r="D9" s="1388">
        <f>IFERROR(__xludf.DUMMYFUNCTION("""COMPUTED_VALUE"""),6337.0)</f>
        <v>6337</v>
      </c>
      <c r="E9" s="1379" t="str">
        <f>IFERROR(__xludf.DUMMYFUNCTION("""COMPUTED_VALUE"""),"Handicap")</f>
        <v>Handicap</v>
      </c>
      <c r="F9" s="1380">
        <f>IFERROR(__xludf.DUMMYFUNCTION("""COMPUTED_VALUE"""),3.0)</f>
        <v>3</v>
      </c>
      <c r="G9" s="1380">
        <f>IFERROR(__xludf.DUMMYFUNCTION("""COMPUTED_VALUE"""),15.0)</f>
        <v>15</v>
      </c>
      <c r="H9" s="1380">
        <f>IFERROR(__xludf.DUMMYFUNCTION("""COMPUTED_VALUE"""),5.0)</f>
        <v>5</v>
      </c>
      <c r="I9" s="1380">
        <f>IFERROR(__xludf.DUMMYFUNCTION("""COMPUTED_VALUE"""),13.0)</f>
        <v>13</v>
      </c>
      <c r="J9" s="1380">
        <f>IFERROR(__xludf.DUMMYFUNCTION("""COMPUTED_VALUE"""),7.0)</f>
        <v>7</v>
      </c>
      <c r="K9" s="1380">
        <f>IFERROR(__xludf.DUMMYFUNCTION("""COMPUTED_VALUE"""),11.0)</f>
        <v>11</v>
      </c>
      <c r="L9" s="1380">
        <f>IFERROR(__xludf.DUMMYFUNCTION("""COMPUTED_VALUE"""),9.0)</f>
        <v>9</v>
      </c>
      <c r="M9" s="1380">
        <f>IFERROR(__xludf.DUMMYFUNCTION("""COMPUTED_VALUE"""),17.0)</f>
        <v>17</v>
      </c>
      <c r="N9" s="1380">
        <f>IFERROR(__xludf.DUMMYFUNCTION("""COMPUTED_VALUE"""),1.0)</f>
        <v>1</v>
      </c>
      <c r="O9" s="1380">
        <f>IFERROR(__xludf.DUMMYFUNCTION("""COMPUTED_VALUE"""),14.0)</f>
        <v>14</v>
      </c>
      <c r="P9" s="1380">
        <f>IFERROR(__xludf.DUMMYFUNCTION("""COMPUTED_VALUE"""),6.0)</f>
        <v>6</v>
      </c>
      <c r="Q9" s="1380">
        <f>IFERROR(__xludf.DUMMYFUNCTION("""COMPUTED_VALUE"""),8.0)</f>
        <v>8</v>
      </c>
      <c r="R9" s="1380">
        <f>IFERROR(__xludf.DUMMYFUNCTION("""COMPUTED_VALUE"""),16.0)</f>
        <v>16</v>
      </c>
      <c r="S9" s="1380">
        <f>IFERROR(__xludf.DUMMYFUNCTION("""COMPUTED_VALUE"""),18.0)</f>
        <v>18</v>
      </c>
      <c r="T9" s="1380">
        <f>IFERROR(__xludf.DUMMYFUNCTION("""COMPUTED_VALUE"""),10.0)</f>
        <v>10</v>
      </c>
      <c r="U9" s="1380">
        <f>IFERROR(__xludf.DUMMYFUNCTION("""COMPUTED_VALUE"""),4.0)</f>
        <v>4</v>
      </c>
      <c r="V9" s="1380">
        <f>IFERROR(__xludf.DUMMYFUNCTION("""COMPUTED_VALUE"""),12.0)</f>
        <v>12</v>
      </c>
      <c r="W9" s="1380">
        <f>IFERROR(__xludf.DUMMYFUNCTION("""COMPUTED_VALUE"""),2.0)</f>
        <v>2</v>
      </c>
      <c r="X9" s="1380"/>
      <c r="Y9" s="1380"/>
      <c r="Z9" s="1380"/>
      <c r="AA9" s="1382" t="s">
        <v>56</v>
      </c>
      <c r="AB9" s="1383">
        <f t="shared" ref="AB9:AS9" si="7">F10</f>
        <v>5</v>
      </c>
      <c r="AC9" s="1383">
        <f t="shared" si="7"/>
        <v>3</v>
      </c>
      <c r="AD9" s="1383">
        <f t="shared" si="7"/>
        <v>4</v>
      </c>
      <c r="AE9" s="1383">
        <f t="shared" si="7"/>
        <v>4</v>
      </c>
      <c r="AF9" s="1383">
        <f t="shared" si="7"/>
        <v>4</v>
      </c>
      <c r="AG9" s="1383">
        <f t="shared" si="7"/>
        <v>3</v>
      </c>
      <c r="AH9" s="1383">
        <f t="shared" si="7"/>
        <v>4</v>
      </c>
      <c r="AI9" s="1383">
        <f t="shared" si="7"/>
        <v>4</v>
      </c>
      <c r="AJ9" s="1383">
        <f t="shared" si="7"/>
        <v>5</v>
      </c>
      <c r="AK9" s="1383">
        <f t="shared" si="7"/>
        <v>4</v>
      </c>
      <c r="AL9" s="1383">
        <f t="shared" si="7"/>
        <v>5</v>
      </c>
      <c r="AM9" s="1383">
        <f t="shared" si="7"/>
        <v>4</v>
      </c>
      <c r="AN9" s="1383">
        <f t="shared" si="7"/>
        <v>3</v>
      </c>
      <c r="AO9" s="1383">
        <f t="shared" si="7"/>
        <v>4</v>
      </c>
      <c r="AP9" s="1383">
        <f t="shared" si="7"/>
        <v>4</v>
      </c>
      <c r="AQ9" s="1383">
        <f t="shared" si="7"/>
        <v>4</v>
      </c>
      <c r="AR9" s="1383">
        <f t="shared" si="7"/>
        <v>3</v>
      </c>
      <c r="AS9" s="1383">
        <f t="shared" si="7"/>
        <v>5</v>
      </c>
      <c r="AT9" s="1383">
        <f>sum(AB9:AS9)</f>
        <v>72</v>
      </c>
    </row>
    <row r="10">
      <c r="A10" s="1384"/>
      <c r="B10" s="1377"/>
      <c r="C10" s="1378"/>
      <c r="D10" s="1378"/>
      <c r="E10" s="1379" t="str">
        <f>IFERROR(__xludf.DUMMYFUNCTION("""COMPUTED_VALUE"""),"Par")</f>
        <v>Par</v>
      </c>
      <c r="F10" s="1380">
        <f>IFERROR(__xludf.DUMMYFUNCTION("""COMPUTED_VALUE"""),5.0)</f>
        <v>5</v>
      </c>
      <c r="G10" s="1380">
        <f>IFERROR(__xludf.DUMMYFUNCTION("""COMPUTED_VALUE"""),3.0)</f>
        <v>3</v>
      </c>
      <c r="H10" s="1380">
        <f>IFERROR(__xludf.DUMMYFUNCTION("""COMPUTED_VALUE"""),4.0)</f>
        <v>4</v>
      </c>
      <c r="I10" s="1380">
        <f>IFERROR(__xludf.DUMMYFUNCTION("""COMPUTED_VALUE"""),4.0)</f>
        <v>4</v>
      </c>
      <c r="J10" s="1380">
        <f>IFERROR(__xludf.DUMMYFUNCTION("""COMPUTED_VALUE"""),4.0)</f>
        <v>4</v>
      </c>
      <c r="K10" s="1380">
        <f>IFERROR(__xludf.DUMMYFUNCTION("""COMPUTED_VALUE"""),3.0)</f>
        <v>3</v>
      </c>
      <c r="L10" s="1380">
        <f>IFERROR(__xludf.DUMMYFUNCTION("""COMPUTED_VALUE"""),4.0)</f>
        <v>4</v>
      </c>
      <c r="M10" s="1380">
        <f>IFERROR(__xludf.DUMMYFUNCTION("""COMPUTED_VALUE"""),4.0)</f>
        <v>4</v>
      </c>
      <c r="N10" s="1380">
        <f>IFERROR(__xludf.DUMMYFUNCTION("""COMPUTED_VALUE"""),5.0)</f>
        <v>5</v>
      </c>
      <c r="O10" s="1380">
        <f>IFERROR(__xludf.DUMMYFUNCTION("""COMPUTED_VALUE"""),4.0)</f>
        <v>4</v>
      </c>
      <c r="P10" s="1380">
        <f>IFERROR(__xludf.DUMMYFUNCTION("""COMPUTED_VALUE"""),5.0)</f>
        <v>5</v>
      </c>
      <c r="Q10" s="1380">
        <f>IFERROR(__xludf.DUMMYFUNCTION("""COMPUTED_VALUE"""),4.0)</f>
        <v>4</v>
      </c>
      <c r="R10" s="1380">
        <f>IFERROR(__xludf.DUMMYFUNCTION("""COMPUTED_VALUE"""),3.0)</f>
        <v>3</v>
      </c>
      <c r="S10" s="1380">
        <f>IFERROR(__xludf.DUMMYFUNCTION("""COMPUTED_VALUE"""),4.0)</f>
        <v>4</v>
      </c>
      <c r="T10" s="1380">
        <f>IFERROR(__xludf.DUMMYFUNCTION("""COMPUTED_VALUE"""),4.0)</f>
        <v>4</v>
      </c>
      <c r="U10" s="1380">
        <f>IFERROR(__xludf.DUMMYFUNCTION("""COMPUTED_VALUE"""),4.0)</f>
        <v>4</v>
      </c>
      <c r="V10" s="1380">
        <f>IFERROR(__xludf.DUMMYFUNCTION("""COMPUTED_VALUE"""),3.0)</f>
        <v>3</v>
      </c>
      <c r="W10" s="1380">
        <f>IFERROR(__xludf.DUMMYFUNCTION("""COMPUTED_VALUE"""),5.0)</f>
        <v>5</v>
      </c>
      <c r="X10" s="1383">
        <f>sum(F10:N10)</f>
        <v>36</v>
      </c>
      <c r="Y10" s="1383">
        <f>sum(O10:W10)</f>
        <v>36</v>
      </c>
      <c r="Z10" s="1383">
        <f>sum(X10:Y10)</f>
        <v>72</v>
      </c>
      <c r="AA10" s="1380"/>
      <c r="AB10" s="1380"/>
      <c r="AC10" s="1380"/>
      <c r="AD10" s="1380"/>
      <c r="AE10" s="1380"/>
      <c r="AF10" s="1380"/>
      <c r="AG10" s="1380"/>
      <c r="AH10" s="1380"/>
      <c r="AI10" s="1380"/>
      <c r="AJ10" s="1380"/>
      <c r="AK10" s="1380"/>
      <c r="AL10" s="1380"/>
      <c r="AM10" s="1380"/>
      <c r="AN10" s="1380"/>
      <c r="AO10" s="1380"/>
      <c r="AP10" s="1380"/>
      <c r="AQ10" s="1380"/>
      <c r="AR10" s="1380"/>
      <c r="AS10" s="1380"/>
      <c r="AT10" s="1380"/>
    </row>
    <row r="11">
      <c r="A11" s="1384" t="str">
        <f>IFERROR(__xludf.DUMMYFUNCTION("""COMPUTED_VALUE"""),"Sundance - White")</f>
        <v>Sundance - White</v>
      </c>
      <c r="B11" s="1377">
        <f>IFERROR(__xludf.DUMMYFUNCTION("""COMPUTED_VALUE"""),69.9)</f>
        <v>69.9</v>
      </c>
      <c r="C11" s="1378">
        <f>IFERROR(__xludf.DUMMYFUNCTION("""COMPUTED_VALUE"""),129.0)</f>
        <v>129</v>
      </c>
      <c r="D11" s="1378">
        <f>IFERROR(__xludf.DUMMYFUNCTION("""COMPUTED_VALUE"""),6136.0)</f>
        <v>6136</v>
      </c>
      <c r="E11" s="1379" t="str">
        <f>IFERROR(__xludf.DUMMYFUNCTION("""COMPUTED_VALUE"""),"Handicap")</f>
        <v>Handicap</v>
      </c>
      <c r="F11" s="1380">
        <f>IFERROR(__xludf.DUMMYFUNCTION("""COMPUTED_VALUE"""),14.0)</f>
        <v>14</v>
      </c>
      <c r="G11" s="1380">
        <f>IFERROR(__xludf.DUMMYFUNCTION("""COMPUTED_VALUE"""),16.0)</f>
        <v>16</v>
      </c>
      <c r="H11" s="1380">
        <f>IFERROR(__xludf.DUMMYFUNCTION("""COMPUTED_VALUE"""),11.0)</f>
        <v>11</v>
      </c>
      <c r="I11" s="1380">
        <f>IFERROR(__xludf.DUMMYFUNCTION("""COMPUTED_VALUE"""),12.0)</f>
        <v>12</v>
      </c>
      <c r="J11" s="1380">
        <f>IFERROR(__xludf.DUMMYFUNCTION("""COMPUTED_VALUE"""),6.0)</f>
        <v>6</v>
      </c>
      <c r="K11" s="1380">
        <f>IFERROR(__xludf.DUMMYFUNCTION("""COMPUTED_VALUE"""),8.0)</f>
        <v>8</v>
      </c>
      <c r="L11" s="1380">
        <f>IFERROR(__xludf.DUMMYFUNCTION("""COMPUTED_VALUE"""),17.0)</f>
        <v>17</v>
      </c>
      <c r="M11" s="1380">
        <f>IFERROR(__xludf.DUMMYFUNCTION("""COMPUTED_VALUE"""),5.0)</f>
        <v>5</v>
      </c>
      <c r="N11" s="1380">
        <f>IFERROR(__xludf.DUMMYFUNCTION("""COMPUTED_VALUE"""),2.0)</f>
        <v>2</v>
      </c>
      <c r="O11" s="1380">
        <f>IFERROR(__xludf.DUMMYFUNCTION("""COMPUTED_VALUE"""),9.0)</f>
        <v>9</v>
      </c>
      <c r="P11" s="1380">
        <f>IFERROR(__xludf.DUMMYFUNCTION("""COMPUTED_VALUE"""),13.0)</f>
        <v>13</v>
      </c>
      <c r="Q11" s="1380">
        <f>IFERROR(__xludf.DUMMYFUNCTION("""COMPUTED_VALUE"""),4.0)</f>
        <v>4</v>
      </c>
      <c r="R11" s="1380">
        <f>IFERROR(__xludf.DUMMYFUNCTION("""COMPUTED_VALUE"""),18.0)</f>
        <v>18</v>
      </c>
      <c r="S11" s="1380">
        <f>IFERROR(__xludf.DUMMYFUNCTION("""COMPUTED_VALUE"""),7.0)</f>
        <v>7</v>
      </c>
      <c r="T11" s="1380">
        <f>IFERROR(__xludf.DUMMYFUNCTION("""COMPUTED_VALUE"""),3.0)</f>
        <v>3</v>
      </c>
      <c r="U11" s="1380">
        <f>IFERROR(__xludf.DUMMYFUNCTION("""COMPUTED_VALUE"""),10.0)</f>
        <v>10</v>
      </c>
      <c r="V11" s="1380">
        <f>IFERROR(__xludf.DUMMYFUNCTION("""COMPUTED_VALUE"""),15.0)</f>
        <v>15</v>
      </c>
      <c r="W11" s="1380">
        <f>IFERROR(__xludf.DUMMYFUNCTION("""COMPUTED_VALUE"""),1.0)</f>
        <v>1</v>
      </c>
      <c r="X11" s="1380"/>
      <c r="Y11" s="1380"/>
      <c r="Z11" s="1380"/>
      <c r="AA11" s="1382" t="s">
        <v>56</v>
      </c>
      <c r="AB11" s="1383">
        <f t="shared" ref="AB11:AS11" si="8">F12</f>
        <v>4</v>
      </c>
      <c r="AC11" s="1383">
        <f t="shared" si="8"/>
        <v>4</v>
      </c>
      <c r="AD11" s="1383">
        <f t="shared" si="8"/>
        <v>3</v>
      </c>
      <c r="AE11" s="1383">
        <f t="shared" si="8"/>
        <v>4</v>
      </c>
      <c r="AF11" s="1383">
        <f t="shared" si="8"/>
        <v>4</v>
      </c>
      <c r="AG11" s="1383">
        <f t="shared" si="8"/>
        <v>5</v>
      </c>
      <c r="AH11" s="1383">
        <f t="shared" si="8"/>
        <v>4</v>
      </c>
      <c r="AI11" s="1383">
        <f t="shared" si="8"/>
        <v>3</v>
      </c>
      <c r="AJ11" s="1383">
        <f t="shared" si="8"/>
        <v>5</v>
      </c>
      <c r="AK11" s="1383">
        <f t="shared" si="8"/>
        <v>4</v>
      </c>
      <c r="AL11" s="1383">
        <f t="shared" si="8"/>
        <v>4</v>
      </c>
      <c r="AM11" s="1383">
        <f t="shared" si="8"/>
        <v>4</v>
      </c>
      <c r="AN11" s="1383">
        <f t="shared" si="8"/>
        <v>3</v>
      </c>
      <c r="AO11" s="1383">
        <f t="shared" si="8"/>
        <v>5</v>
      </c>
      <c r="AP11" s="1383">
        <f t="shared" si="8"/>
        <v>4</v>
      </c>
      <c r="AQ11" s="1383">
        <f t="shared" si="8"/>
        <v>5</v>
      </c>
      <c r="AR11" s="1383">
        <f t="shared" si="8"/>
        <v>3</v>
      </c>
      <c r="AS11" s="1383">
        <f t="shared" si="8"/>
        <v>4</v>
      </c>
      <c r="AT11" s="1383">
        <f>sum(AB11:AS11)</f>
        <v>72</v>
      </c>
    </row>
    <row r="12">
      <c r="A12" s="1384"/>
      <c r="B12" s="1377"/>
      <c r="C12" s="1378"/>
      <c r="D12" s="1378"/>
      <c r="E12" s="1379" t="str">
        <f>IFERROR(__xludf.DUMMYFUNCTION("""COMPUTED_VALUE"""),"Par")</f>
        <v>Par</v>
      </c>
      <c r="F12" s="1380">
        <f>IFERROR(__xludf.DUMMYFUNCTION("""COMPUTED_VALUE"""),4.0)</f>
        <v>4</v>
      </c>
      <c r="G12" s="1380">
        <f>IFERROR(__xludf.DUMMYFUNCTION("""COMPUTED_VALUE"""),4.0)</f>
        <v>4</v>
      </c>
      <c r="H12" s="1380">
        <f>IFERROR(__xludf.DUMMYFUNCTION("""COMPUTED_VALUE"""),3.0)</f>
        <v>3</v>
      </c>
      <c r="I12" s="1380">
        <f>IFERROR(__xludf.DUMMYFUNCTION("""COMPUTED_VALUE"""),4.0)</f>
        <v>4</v>
      </c>
      <c r="J12" s="1380">
        <f>IFERROR(__xludf.DUMMYFUNCTION("""COMPUTED_VALUE"""),4.0)</f>
        <v>4</v>
      </c>
      <c r="K12" s="1380">
        <f>IFERROR(__xludf.DUMMYFUNCTION("""COMPUTED_VALUE"""),5.0)</f>
        <v>5</v>
      </c>
      <c r="L12" s="1380">
        <f>IFERROR(__xludf.DUMMYFUNCTION("""COMPUTED_VALUE"""),4.0)</f>
        <v>4</v>
      </c>
      <c r="M12" s="1380">
        <f>IFERROR(__xludf.DUMMYFUNCTION("""COMPUTED_VALUE"""),3.0)</f>
        <v>3</v>
      </c>
      <c r="N12" s="1380">
        <f>IFERROR(__xludf.DUMMYFUNCTION("""COMPUTED_VALUE"""),5.0)</f>
        <v>5</v>
      </c>
      <c r="O12" s="1380">
        <f>IFERROR(__xludf.DUMMYFUNCTION("""COMPUTED_VALUE"""),4.0)</f>
        <v>4</v>
      </c>
      <c r="P12" s="1380">
        <f>IFERROR(__xludf.DUMMYFUNCTION("""COMPUTED_VALUE"""),4.0)</f>
        <v>4</v>
      </c>
      <c r="Q12" s="1380">
        <f>IFERROR(__xludf.DUMMYFUNCTION("""COMPUTED_VALUE"""),4.0)</f>
        <v>4</v>
      </c>
      <c r="R12" s="1380">
        <f>IFERROR(__xludf.DUMMYFUNCTION("""COMPUTED_VALUE"""),3.0)</f>
        <v>3</v>
      </c>
      <c r="S12" s="1380">
        <f>IFERROR(__xludf.DUMMYFUNCTION("""COMPUTED_VALUE"""),5.0)</f>
        <v>5</v>
      </c>
      <c r="T12" s="1380">
        <f>IFERROR(__xludf.DUMMYFUNCTION("""COMPUTED_VALUE"""),4.0)</f>
        <v>4</v>
      </c>
      <c r="U12" s="1380">
        <f>IFERROR(__xludf.DUMMYFUNCTION("""COMPUTED_VALUE"""),5.0)</f>
        <v>5</v>
      </c>
      <c r="V12" s="1380">
        <f>IFERROR(__xludf.DUMMYFUNCTION("""COMPUTED_VALUE"""),3.0)</f>
        <v>3</v>
      </c>
      <c r="W12" s="1380">
        <f>IFERROR(__xludf.DUMMYFUNCTION("""COMPUTED_VALUE"""),4.0)</f>
        <v>4</v>
      </c>
      <c r="X12" s="1383">
        <f>sum(F12:N12)</f>
        <v>36</v>
      </c>
      <c r="Y12" s="1383">
        <f>sum(O12:W12)</f>
        <v>36</v>
      </c>
      <c r="Z12" s="1383">
        <f>sum(X12:Y12)</f>
        <v>72</v>
      </c>
      <c r="AA12" s="1380"/>
      <c r="AB12" s="1380"/>
      <c r="AC12" s="1380"/>
      <c r="AD12" s="1380"/>
      <c r="AE12" s="1380"/>
      <c r="AF12" s="1380"/>
      <c r="AG12" s="1380"/>
      <c r="AH12" s="1380"/>
      <c r="AI12" s="1380"/>
      <c r="AJ12" s="1380"/>
      <c r="AK12" s="1380"/>
      <c r="AL12" s="1380"/>
      <c r="AM12" s="1380"/>
      <c r="AN12" s="1380"/>
      <c r="AO12" s="1380"/>
      <c r="AP12" s="1380"/>
      <c r="AQ12" s="1380"/>
      <c r="AR12" s="1380"/>
      <c r="AS12" s="1380"/>
      <c r="AT12" s="1380"/>
    </row>
    <row r="13">
      <c r="A13" s="1384" t="str">
        <f>IFERROR(__xludf.DUMMYFUNCTION("""COMPUTED_VALUE"""),"Sundance - Blue")</f>
        <v>Sundance - Blue</v>
      </c>
      <c r="B13" s="1377">
        <f>IFERROR(__xludf.DUMMYFUNCTION("""COMPUTED_VALUE"""),71.4)</f>
        <v>71.4</v>
      </c>
      <c r="C13" s="1378">
        <f>IFERROR(__xludf.DUMMYFUNCTION("""COMPUTED_VALUE"""),131.0)</f>
        <v>131</v>
      </c>
      <c r="D13" s="1378">
        <f>IFERROR(__xludf.DUMMYFUNCTION("""COMPUTED_VALUE"""),6481.0)</f>
        <v>6481</v>
      </c>
      <c r="E13" s="1379" t="str">
        <f>IFERROR(__xludf.DUMMYFUNCTION("""COMPUTED_VALUE"""),"Handicap")</f>
        <v>Handicap</v>
      </c>
      <c r="F13" s="1380">
        <f>IFERROR(__xludf.DUMMYFUNCTION("""COMPUTED_VALUE"""),14.0)</f>
        <v>14</v>
      </c>
      <c r="G13" s="1380">
        <f>IFERROR(__xludf.DUMMYFUNCTION("""COMPUTED_VALUE"""),16.0)</f>
        <v>16</v>
      </c>
      <c r="H13" s="1380">
        <f>IFERROR(__xludf.DUMMYFUNCTION("""COMPUTED_VALUE"""),11.0)</f>
        <v>11</v>
      </c>
      <c r="I13" s="1380">
        <f>IFERROR(__xludf.DUMMYFUNCTION("""COMPUTED_VALUE"""),12.0)</f>
        <v>12</v>
      </c>
      <c r="J13" s="1380">
        <f>IFERROR(__xludf.DUMMYFUNCTION("""COMPUTED_VALUE"""),6.0)</f>
        <v>6</v>
      </c>
      <c r="K13" s="1380">
        <f>IFERROR(__xludf.DUMMYFUNCTION("""COMPUTED_VALUE"""),8.0)</f>
        <v>8</v>
      </c>
      <c r="L13" s="1380">
        <f>IFERROR(__xludf.DUMMYFUNCTION("""COMPUTED_VALUE"""),17.0)</f>
        <v>17</v>
      </c>
      <c r="M13" s="1380">
        <f>IFERROR(__xludf.DUMMYFUNCTION("""COMPUTED_VALUE"""),5.0)</f>
        <v>5</v>
      </c>
      <c r="N13" s="1380">
        <f>IFERROR(__xludf.DUMMYFUNCTION("""COMPUTED_VALUE"""),2.0)</f>
        <v>2</v>
      </c>
      <c r="O13" s="1380">
        <f>IFERROR(__xludf.DUMMYFUNCTION("""COMPUTED_VALUE"""),9.0)</f>
        <v>9</v>
      </c>
      <c r="P13" s="1380">
        <f>IFERROR(__xludf.DUMMYFUNCTION("""COMPUTED_VALUE"""),13.0)</f>
        <v>13</v>
      </c>
      <c r="Q13" s="1380">
        <f>IFERROR(__xludf.DUMMYFUNCTION("""COMPUTED_VALUE"""),4.0)</f>
        <v>4</v>
      </c>
      <c r="R13" s="1380">
        <f>IFERROR(__xludf.DUMMYFUNCTION("""COMPUTED_VALUE"""),18.0)</f>
        <v>18</v>
      </c>
      <c r="S13" s="1380">
        <f>IFERROR(__xludf.DUMMYFUNCTION("""COMPUTED_VALUE"""),7.0)</f>
        <v>7</v>
      </c>
      <c r="T13" s="1380">
        <f>IFERROR(__xludf.DUMMYFUNCTION("""COMPUTED_VALUE"""),3.0)</f>
        <v>3</v>
      </c>
      <c r="U13" s="1380">
        <f>IFERROR(__xludf.DUMMYFUNCTION("""COMPUTED_VALUE"""),10.0)</f>
        <v>10</v>
      </c>
      <c r="V13" s="1380">
        <f>IFERROR(__xludf.DUMMYFUNCTION("""COMPUTED_VALUE"""),15.0)</f>
        <v>15</v>
      </c>
      <c r="W13" s="1380">
        <f>IFERROR(__xludf.DUMMYFUNCTION("""COMPUTED_VALUE"""),1.0)</f>
        <v>1</v>
      </c>
      <c r="X13" s="1380"/>
      <c r="Y13" s="1380"/>
      <c r="Z13" s="1380"/>
      <c r="AA13" s="1382" t="s">
        <v>56</v>
      </c>
      <c r="AB13" s="1383" t="str">
        <f t="shared" ref="AB13:AS13" si="9">F14</f>
        <v/>
      </c>
      <c r="AC13" s="1383" t="str">
        <f t="shared" si="9"/>
        <v/>
      </c>
      <c r="AD13" s="1383" t="str">
        <f t="shared" si="9"/>
        <v/>
      </c>
      <c r="AE13" s="1383" t="str">
        <f t="shared" si="9"/>
        <v/>
      </c>
      <c r="AF13" s="1383" t="str">
        <f t="shared" si="9"/>
        <v/>
      </c>
      <c r="AG13" s="1383" t="str">
        <f t="shared" si="9"/>
        <v/>
      </c>
      <c r="AH13" s="1383" t="str">
        <f t="shared" si="9"/>
        <v/>
      </c>
      <c r="AI13" s="1383" t="str">
        <f t="shared" si="9"/>
        <v/>
      </c>
      <c r="AJ13" s="1383" t="str">
        <f t="shared" si="9"/>
        <v/>
      </c>
      <c r="AK13" s="1383" t="str">
        <f t="shared" si="9"/>
        <v/>
      </c>
      <c r="AL13" s="1383" t="str">
        <f t="shared" si="9"/>
        <v/>
      </c>
      <c r="AM13" s="1383" t="str">
        <f t="shared" si="9"/>
        <v/>
      </c>
      <c r="AN13" s="1383" t="str">
        <f t="shared" si="9"/>
        <v/>
      </c>
      <c r="AO13" s="1383" t="str">
        <f t="shared" si="9"/>
        <v/>
      </c>
      <c r="AP13" s="1383" t="str">
        <f t="shared" si="9"/>
        <v/>
      </c>
      <c r="AQ13" s="1383" t="str">
        <f t="shared" si="9"/>
        <v/>
      </c>
      <c r="AR13" s="1383" t="str">
        <f t="shared" si="9"/>
        <v/>
      </c>
      <c r="AS13" s="1383" t="str">
        <f t="shared" si="9"/>
        <v/>
      </c>
      <c r="AT13" s="1383">
        <f>sum(AB13:AS13)</f>
        <v>0</v>
      </c>
    </row>
    <row r="14">
      <c r="A14" s="1384"/>
      <c r="B14" s="1377"/>
      <c r="C14" s="1378"/>
      <c r="D14" s="1378"/>
      <c r="E14" s="1379"/>
      <c r="F14" s="1380"/>
      <c r="G14" s="1380"/>
      <c r="H14" s="1380"/>
      <c r="I14" s="1380"/>
      <c r="J14" s="1380"/>
      <c r="K14" s="1380"/>
      <c r="L14" s="1380"/>
      <c r="M14" s="1380"/>
      <c r="N14" s="1380"/>
      <c r="O14" s="1380"/>
      <c r="P14" s="1380"/>
      <c r="Q14" s="1380"/>
      <c r="R14" s="1380"/>
      <c r="S14" s="1380"/>
      <c r="T14" s="1380"/>
      <c r="U14" s="1380"/>
      <c r="V14" s="1380"/>
      <c r="W14" s="1380"/>
      <c r="X14" s="1383">
        <f>sum(F14:N14)</f>
        <v>0</v>
      </c>
      <c r="Y14" s="1383">
        <f>sum(O14:W14)</f>
        <v>0</v>
      </c>
      <c r="Z14" s="1383">
        <f>sum(X14:Y14)</f>
        <v>0</v>
      </c>
      <c r="AA14" s="1380"/>
      <c r="AB14" s="1380"/>
      <c r="AC14" s="1380"/>
      <c r="AD14" s="1380"/>
      <c r="AE14" s="1380"/>
      <c r="AF14" s="1380"/>
      <c r="AG14" s="1380"/>
      <c r="AH14" s="1380"/>
      <c r="AI14" s="1380"/>
      <c r="AJ14" s="1380"/>
      <c r="AK14" s="1380"/>
      <c r="AL14" s="1380"/>
      <c r="AM14" s="1380"/>
      <c r="AN14" s="1380"/>
      <c r="AO14" s="1380"/>
      <c r="AP14" s="1380"/>
      <c r="AQ14" s="1380"/>
      <c r="AR14" s="1380"/>
      <c r="AS14" s="1380"/>
      <c r="AT14" s="1380"/>
    </row>
  </sheetData>
  <drawing r:id="rId1"/>
  <tableParts count="2">
    <tablePart r:id="rId4"/>
    <tablePart r:id="rId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62" width="7.29"/>
  </cols>
  <sheetData>
    <row r="1" ht="14.25" customHeight="1">
      <c r="A1" s="1389" t="s">
        <v>119</v>
      </c>
      <c r="B1" s="1390"/>
      <c r="C1" s="1390"/>
      <c r="D1" s="1389" t="str">
        <f>'Master Input'!$E$6</f>
        <v>GVSU Meadows - Blue</v>
      </c>
      <c r="E1" s="1391"/>
      <c r="F1" s="1391"/>
      <c r="G1" s="1391"/>
      <c r="H1" s="1391"/>
      <c r="I1" s="1391"/>
      <c r="J1" s="1391"/>
      <c r="K1" s="1391"/>
      <c r="L1" s="1391"/>
      <c r="M1" s="1391"/>
      <c r="N1" s="1391"/>
      <c r="O1" s="1391"/>
      <c r="P1" s="1391"/>
      <c r="Q1" s="1391"/>
      <c r="R1" s="1391"/>
      <c r="S1" s="1391"/>
      <c r="T1" s="1391"/>
      <c r="U1" s="1391"/>
      <c r="V1" s="1391"/>
      <c r="W1" s="1391"/>
      <c r="X1" s="1392"/>
      <c r="Y1" s="1393">
        <f>vlookup($D1, 'Course List'!$A$3:$C$14,2, false)</f>
        <v>71.5</v>
      </c>
      <c r="Z1" s="1394">
        <f>vlookup($D1, 'Course List'!$A$3:$C$14,3, false)</f>
        <v>132</v>
      </c>
      <c r="AA1" s="1394"/>
      <c r="AB1" s="1395"/>
      <c r="AC1" s="1389" t="s">
        <v>119</v>
      </c>
      <c r="AD1" s="1390"/>
      <c r="AE1" s="1390"/>
      <c r="AF1" s="1389" t="str">
        <f>D1</f>
        <v>GVSU Meadows - Blue</v>
      </c>
      <c r="AG1" s="1391"/>
      <c r="AH1" s="1391"/>
      <c r="AI1" s="1391"/>
      <c r="AJ1" s="1391"/>
      <c r="AK1" s="1391"/>
      <c r="AL1" s="1391"/>
      <c r="AM1" s="1391"/>
      <c r="AN1" s="1391"/>
      <c r="AO1" s="1391"/>
      <c r="AP1" s="1391"/>
      <c r="AQ1" s="1391"/>
      <c r="AR1" s="1391"/>
      <c r="AS1" s="1391"/>
      <c r="AT1" s="1391"/>
      <c r="AU1" s="1391"/>
      <c r="AV1" s="1391"/>
      <c r="AW1" s="1391"/>
      <c r="AX1" s="1391"/>
      <c r="AY1" s="1391"/>
      <c r="AZ1" s="1392"/>
      <c r="BA1" s="1393">
        <f t="shared" ref="BA1:BB1" si="1">Y1</f>
        <v>71.5</v>
      </c>
      <c r="BB1" s="1394">
        <f t="shared" si="1"/>
        <v>132</v>
      </c>
      <c r="BC1" s="1396"/>
      <c r="BD1" s="1397"/>
      <c r="BE1" s="1397"/>
      <c r="BF1" s="1397"/>
      <c r="BG1" s="1397"/>
      <c r="BH1" s="1397"/>
      <c r="BI1" s="1397"/>
      <c r="BJ1" s="1397"/>
    </row>
    <row r="2" ht="14.25" customHeight="1">
      <c r="A2" s="1398" t="s">
        <v>252</v>
      </c>
      <c r="B2" s="1399"/>
      <c r="C2" s="1400"/>
      <c r="D2" s="1401" t="s">
        <v>51</v>
      </c>
      <c r="E2" s="1402">
        <v>1.0</v>
      </c>
      <c r="F2" s="1403">
        <v>2.0</v>
      </c>
      <c r="G2" s="1403">
        <v>3.0</v>
      </c>
      <c r="H2" s="1403">
        <v>4.0</v>
      </c>
      <c r="I2" s="1403">
        <v>5.0</v>
      </c>
      <c r="J2" s="1403">
        <v>6.0</v>
      </c>
      <c r="K2" s="1403">
        <v>7.0</v>
      </c>
      <c r="L2" s="1403">
        <v>8.0</v>
      </c>
      <c r="M2" s="1403">
        <v>9.0</v>
      </c>
      <c r="N2" s="1404">
        <v>10.0</v>
      </c>
      <c r="O2" s="1404">
        <v>11.0</v>
      </c>
      <c r="P2" s="1404">
        <v>12.0</v>
      </c>
      <c r="Q2" s="1404">
        <v>13.0</v>
      </c>
      <c r="R2" s="1404">
        <v>14.0</v>
      </c>
      <c r="S2" s="1404">
        <v>15.0</v>
      </c>
      <c r="T2" s="1404">
        <v>16.0</v>
      </c>
      <c r="U2" s="1404">
        <v>17.0</v>
      </c>
      <c r="V2" s="1404">
        <v>18.0</v>
      </c>
      <c r="W2" s="1405" t="s">
        <v>60</v>
      </c>
      <c r="X2" s="1405" t="s">
        <v>61</v>
      </c>
      <c r="Y2" s="1405" t="s">
        <v>52</v>
      </c>
      <c r="Z2" s="1405" t="s">
        <v>112</v>
      </c>
      <c r="AA2" s="1405" t="s">
        <v>253</v>
      </c>
      <c r="AB2" s="1399"/>
      <c r="AC2" s="1406" t="s">
        <v>112</v>
      </c>
      <c r="AD2" s="1399"/>
      <c r="AE2" s="1400"/>
      <c r="AF2" s="1401" t="s">
        <v>51</v>
      </c>
      <c r="AG2" s="1402">
        <v>1.0</v>
      </c>
      <c r="AH2" s="1403">
        <v>2.0</v>
      </c>
      <c r="AI2" s="1403">
        <v>3.0</v>
      </c>
      <c r="AJ2" s="1403">
        <v>4.0</v>
      </c>
      <c r="AK2" s="1403">
        <v>5.0</v>
      </c>
      <c r="AL2" s="1403">
        <v>6.0</v>
      </c>
      <c r="AM2" s="1403">
        <v>7.0</v>
      </c>
      <c r="AN2" s="1403">
        <v>8.0</v>
      </c>
      <c r="AO2" s="1403">
        <v>9.0</v>
      </c>
      <c r="AP2" s="1404">
        <v>10.0</v>
      </c>
      <c r="AQ2" s="1404">
        <v>11.0</v>
      </c>
      <c r="AR2" s="1404">
        <v>12.0</v>
      </c>
      <c r="AS2" s="1404">
        <v>13.0</v>
      </c>
      <c r="AT2" s="1404">
        <v>14.0</v>
      </c>
      <c r="AU2" s="1404">
        <v>15.0</v>
      </c>
      <c r="AV2" s="1404">
        <v>16.0</v>
      </c>
      <c r="AW2" s="1404">
        <v>17.0</v>
      </c>
      <c r="AX2" s="1404">
        <v>18.0</v>
      </c>
      <c r="AY2" s="1405" t="s">
        <v>60</v>
      </c>
      <c r="AZ2" s="1405" t="s">
        <v>61</v>
      </c>
      <c r="BA2" s="1405" t="s">
        <v>52</v>
      </c>
      <c r="BB2" s="1407" t="s">
        <v>254</v>
      </c>
      <c r="BC2" s="1399"/>
      <c r="BD2" s="1399"/>
      <c r="BE2" s="1399"/>
      <c r="BF2" s="1399"/>
      <c r="BG2" s="1399"/>
      <c r="BH2" s="1399"/>
      <c r="BI2" s="1399"/>
      <c r="BJ2" s="1399"/>
    </row>
    <row r="3" ht="14.25" customHeight="1">
      <c r="A3" s="1408"/>
      <c r="B3" s="1399"/>
      <c r="C3" s="1409">
        <v>5.0</v>
      </c>
      <c r="D3" s="1410" t="s">
        <v>146</v>
      </c>
      <c r="E3" s="1411">
        <f>vlookup($D1, 'Course List'!$A$3:$AS$14,5+E2, false)</f>
        <v>2</v>
      </c>
      <c r="F3" s="1411">
        <f>vlookup($D1, 'Course List'!$A$3:$AS$14,5+F2, false)</f>
        <v>8</v>
      </c>
      <c r="G3" s="1411">
        <f>vlookup($D1, 'Course List'!$A$3:$AS$14,5+G2, false)</f>
        <v>14</v>
      </c>
      <c r="H3" s="1411">
        <f>vlookup($D1, 'Course List'!$A$3:$AS$14,5+H2, false)</f>
        <v>12</v>
      </c>
      <c r="I3" s="1411">
        <f>vlookup($D1, 'Course List'!$A$3:$AS$14,5+I2, false)</f>
        <v>6</v>
      </c>
      <c r="J3" s="1411">
        <f>vlookup($D1, 'Course List'!$A$3:$AS$14,5+J2, false)</f>
        <v>18</v>
      </c>
      <c r="K3" s="1411">
        <f>vlookup($D1, 'Course List'!$A$3:$AS$14,5+K2, false)</f>
        <v>10</v>
      </c>
      <c r="L3" s="1411">
        <f>vlookup($D1, 'Course List'!$A$3:$AS$14,5+L2, false)</f>
        <v>4</v>
      </c>
      <c r="M3" s="1411">
        <f>vlookup($D1, 'Course List'!$A$3:$AS$14,5+M2, false)</f>
        <v>16</v>
      </c>
      <c r="N3" s="1412">
        <f>vlookup($D1, 'Course List'!$A$3:$AS$14,5+N2, false)</f>
        <v>13</v>
      </c>
      <c r="O3" s="1412">
        <f>vlookup($D1, 'Course List'!$A$3:$AS$14,5+O2, false)</f>
        <v>3</v>
      </c>
      <c r="P3" s="1412">
        <f>vlookup($D1, 'Course List'!$A$3:$AS$14,5+P2, false)</f>
        <v>9</v>
      </c>
      <c r="Q3" s="1412">
        <f>vlookup($D1, 'Course List'!$A$3:$AS$14,5+Q2, false)</f>
        <v>15</v>
      </c>
      <c r="R3" s="1412">
        <f>vlookup($D1, 'Course List'!$A$3:$AS$14,5+R2, false)</f>
        <v>11</v>
      </c>
      <c r="S3" s="1412">
        <f>vlookup($D1, 'Course List'!$A$3:$AS$14,5+S2, false)</f>
        <v>5</v>
      </c>
      <c r="T3" s="1412">
        <f>vlookup($D1, 'Course List'!$A$3:$AS$14,5+T2, false)</f>
        <v>7</v>
      </c>
      <c r="U3" s="1412">
        <f>vlookup($D1, 'Course List'!$A$3:$AS$14,5+U2, false)</f>
        <v>17</v>
      </c>
      <c r="V3" s="1412">
        <f>vlookup($D1, 'Course List'!$A$3:$AS$14,5+V2, false)</f>
        <v>1</v>
      </c>
      <c r="W3" s="1413"/>
      <c r="X3" s="1413"/>
      <c r="Y3" s="1413"/>
      <c r="Z3" s="1413"/>
      <c r="AA3" s="1413"/>
      <c r="AB3" s="1414"/>
      <c r="AC3" s="1408"/>
      <c r="AD3" s="1399"/>
      <c r="AE3" s="1409">
        <v>5.0</v>
      </c>
      <c r="AF3" s="1410" t="s">
        <v>146</v>
      </c>
      <c r="AG3" s="1411">
        <f t="shared" ref="AG3:AX3" si="2">E3</f>
        <v>2</v>
      </c>
      <c r="AH3" s="1411">
        <f t="shared" si="2"/>
        <v>8</v>
      </c>
      <c r="AI3" s="1411">
        <f t="shared" si="2"/>
        <v>14</v>
      </c>
      <c r="AJ3" s="1411">
        <f t="shared" si="2"/>
        <v>12</v>
      </c>
      <c r="AK3" s="1411">
        <f t="shared" si="2"/>
        <v>6</v>
      </c>
      <c r="AL3" s="1411">
        <f t="shared" si="2"/>
        <v>18</v>
      </c>
      <c r="AM3" s="1411">
        <f t="shared" si="2"/>
        <v>10</v>
      </c>
      <c r="AN3" s="1411">
        <f t="shared" si="2"/>
        <v>4</v>
      </c>
      <c r="AO3" s="1411">
        <f t="shared" si="2"/>
        <v>16</v>
      </c>
      <c r="AP3" s="1412">
        <f t="shared" si="2"/>
        <v>13</v>
      </c>
      <c r="AQ3" s="1412">
        <f t="shared" si="2"/>
        <v>3</v>
      </c>
      <c r="AR3" s="1412">
        <f t="shared" si="2"/>
        <v>9</v>
      </c>
      <c r="AS3" s="1412">
        <f t="shared" si="2"/>
        <v>15</v>
      </c>
      <c r="AT3" s="1412">
        <f t="shared" si="2"/>
        <v>11</v>
      </c>
      <c r="AU3" s="1412">
        <f t="shared" si="2"/>
        <v>5</v>
      </c>
      <c r="AV3" s="1412">
        <f t="shared" si="2"/>
        <v>7</v>
      </c>
      <c r="AW3" s="1412">
        <f t="shared" si="2"/>
        <v>17</v>
      </c>
      <c r="AX3" s="1412">
        <f t="shared" si="2"/>
        <v>1</v>
      </c>
      <c r="AY3" s="1413"/>
      <c r="AZ3" s="1413"/>
      <c r="BA3" s="1413"/>
      <c r="BB3" s="1414"/>
      <c r="BC3" s="1413"/>
      <c r="BD3" s="1415" t="s">
        <v>255</v>
      </c>
      <c r="BE3" s="1416" t="s">
        <v>70</v>
      </c>
      <c r="BF3" s="1417"/>
      <c r="BG3" s="1417"/>
      <c r="BH3" s="1417"/>
      <c r="BI3" s="1417"/>
      <c r="BJ3" s="1417"/>
    </row>
    <row r="4" ht="14.25" customHeight="1">
      <c r="A4" s="1418" t="s">
        <v>109</v>
      </c>
      <c r="B4" s="1419" t="s">
        <v>256</v>
      </c>
      <c r="C4" s="1420" t="s">
        <v>257</v>
      </c>
      <c r="D4" s="1401" t="s">
        <v>91</v>
      </c>
      <c r="E4" s="1411">
        <f>vlookup($D1, 'Course List'!$A$3:$AS$14,27+E2, false)</f>
        <v>4</v>
      </c>
      <c r="F4" s="1411">
        <f>vlookup($D1, 'Course List'!$A$3:$AS$14,27+F2, false)</f>
        <v>4</v>
      </c>
      <c r="G4" s="1411">
        <f>vlookup($D1, 'Course List'!$A$3:$AS$14,27+G2, false)</f>
        <v>3</v>
      </c>
      <c r="H4" s="1411">
        <f>vlookup($D1, 'Course List'!$A$3:$AS$14,27+H2, false)</f>
        <v>5</v>
      </c>
      <c r="I4" s="1411">
        <f>vlookup($D1, 'Course List'!$A$3:$AS$14,27+I2, false)</f>
        <v>4</v>
      </c>
      <c r="J4" s="1411">
        <f>vlookup($D1, 'Course List'!$A$3:$AS$14,27+J2, false)</f>
        <v>4</v>
      </c>
      <c r="K4" s="1411">
        <f>vlookup($D1, 'Course List'!$A$3:$AS$14,27+K2, false)</f>
        <v>3</v>
      </c>
      <c r="L4" s="1411">
        <f>vlookup($D1, 'Course List'!$A$3:$AS$14,27+L2, false)</f>
        <v>4</v>
      </c>
      <c r="M4" s="1411">
        <f>vlookup($D1, 'Course List'!$A$3:$AS$14,27+M2, false)</f>
        <v>5</v>
      </c>
      <c r="N4" s="1412">
        <f>vlookup($D1, 'Course List'!$A$3:$AS$14,27+N2, false)</f>
        <v>4</v>
      </c>
      <c r="O4" s="1412">
        <f>vlookup($D1, 'Course List'!$A$3:$AS$14,27+O2, false)</f>
        <v>4</v>
      </c>
      <c r="P4" s="1412">
        <f>vlookup($D1, 'Course List'!$A$3:$AS$14,27+P2, false)</f>
        <v>4</v>
      </c>
      <c r="Q4" s="1412">
        <f>vlookup($D1, 'Course List'!$A$3:$AS$14,27+Q2, false)</f>
        <v>3</v>
      </c>
      <c r="R4" s="1412">
        <f>vlookup($D1, 'Course List'!$A$3:$AS$14,27+R2, false)</f>
        <v>5</v>
      </c>
      <c r="S4" s="1412">
        <f>vlookup($D1, 'Course List'!$A$3:$AS$14,27+S2, false)</f>
        <v>4</v>
      </c>
      <c r="T4" s="1412">
        <f>vlookup($D1, 'Course List'!$A$3:$AS$14,27+T2, false)</f>
        <v>4</v>
      </c>
      <c r="U4" s="1412">
        <f>vlookup($D1, 'Course List'!$A$3:$AS$14,27+U2, false)</f>
        <v>3</v>
      </c>
      <c r="V4" s="1412">
        <f>vlookup($D1, 'Course List'!$A$3:$AS$14,27+V2, false)</f>
        <v>4</v>
      </c>
      <c r="W4" s="1405">
        <f t="shared" ref="W4:W20" si="4">SUM(E4:M4)</f>
        <v>36</v>
      </c>
      <c r="X4" s="1405">
        <f t="shared" ref="X4:X20" si="5">SUM(N4:V4)</f>
        <v>35</v>
      </c>
      <c r="Y4" s="1405">
        <f>W4+X4</f>
        <v>71</v>
      </c>
      <c r="Z4" s="1405"/>
      <c r="AA4" s="1405"/>
      <c r="AB4" s="1421"/>
      <c r="AC4" s="1418" t="s">
        <v>109</v>
      </c>
      <c r="AD4" s="1419" t="s">
        <v>256</v>
      </c>
      <c r="AE4" s="1420" t="s">
        <v>258</v>
      </c>
      <c r="AF4" s="1401" t="s">
        <v>91</v>
      </c>
      <c r="AG4" s="1411">
        <f t="shared" ref="AG4:AX4" si="3">E4</f>
        <v>4</v>
      </c>
      <c r="AH4" s="1411">
        <f t="shared" si="3"/>
        <v>4</v>
      </c>
      <c r="AI4" s="1411">
        <f t="shared" si="3"/>
        <v>3</v>
      </c>
      <c r="AJ4" s="1411">
        <f t="shared" si="3"/>
        <v>5</v>
      </c>
      <c r="AK4" s="1411">
        <f t="shared" si="3"/>
        <v>4</v>
      </c>
      <c r="AL4" s="1411">
        <f t="shared" si="3"/>
        <v>4</v>
      </c>
      <c r="AM4" s="1411">
        <f t="shared" si="3"/>
        <v>3</v>
      </c>
      <c r="AN4" s="1411">
        <f t="shared" si="3"/>
        <v>4</v>
      </c>
      <c r="AO4" s="1411">
        <f t="shared" si="3"/>
        <v>5</v>
      </c>
      <c r="AP4" s="1412">
        <f t="shared" si="3"/>
        <v>4</v>
      </c>
      <c r="AQ4" s="1412">
        <f t="shared" si="3"/>
        <v>4</v>
      </c>
      <c r="AR4" s="1412">
        <f t="shared" si="3"/>
        <v>4</v>
      </c>
      <c r="AS4" s="1412">
        <f t="shared" si="3"/>
        <v>3</v>
      </c>
      <c r="AT4" s="1412">
        <f t="shared" si="3"/>
        <v>5</v>
      </c>
      <c r="AU4" s="1412">
        <f t="shared" si="3"/>
        <v>4</v>
      </c>
      <c r="AV4" s="1412">
        <f t="shared" si="3"/>
        <v>4</v>
      </c>
      <c r="AW4" s="1412">
        <f t="shared" si="3"/>
        <v>3</v>
      </c>
      <c r="AX4" s="1412">
        <f t="shared" si="3"/>
        <v>4</v>
      </c>
      <c r="AY4" s="1405">
        <f t="shared" ref="AY4:AY20" si="7">SUM(AG4:AO4)</f>
        <v>36</v>
      </c>
      <c r="AZ4" s="1405">
        <f t="shared" ref="AZ4:AZ20" si="8">SUM(AP4:AX4)</f>
        <v>35</v>
      </c>
      <c r="BA4" s="1405">
        <f>AY4+AZ4</f>
        <v>71</v>
      </c>
      <c r="BB4" s="1405"/>
      <c r="BC4" s="1399"/>
      <c r="BD4" s="1422" t="s">
        <v>259</v>
      </c>
      <c r="BE4" s="1422" t="s">
        <v>260</v>
      </c>
      <c r="BF4" s="1397" t="s">
        <v>261</v>
      </c>
      <c r="BG4" s="1397" t="s">
        <v>262</v>
      </c>
      <c r="BH4" s="1397" t="s">
        <v>263</v>
      </c>
      <c r="BI4" s="1397" t="s">
        <v>264</v>
      </c>
      <c r="BJ4" s="1397" t="s">
        <v>265</v>
      </c>
    </row>
    <row r="5" ht="14.25" customHeight="1">
      <c r="A5" s="1423" t="str">
        <f>'Master Input'!$A$11</f>
        <v>Jensen</v>
      </c>
      <c r="B5" s="1424">
        <f>VLOOKUP(A5,'Master Input'!$A$11:$L$27,6,false)</f>
        <v>9</v>
      </c>
      <c r="C5" s="1423"/>
      <c r="D5" s="1425"/>
      <c r="E5" s="1426">
        <f>if(countif('R1_G1'!$A$8:$A$17,$A5)=1,vlookup($A5,'R1_G1'!$A$8:$Y$17, E$2+4,false),
if(countif('R1_G2'!$A$8:$A$17,$A5)=1,vlookup($A5,'R1_G2'!$A$8:$Y$17, E$2+4,false),
if(countif('R1_G3'!$A$8:$A$17,$A5)=1,vlookup($A5,'R1_G3'!$A$8:$Y$17, E$2+4,false),
if(countif('R1_G4'!$A$8:$A$17,$A5)=1,vlookup($A5,'R1_G4'!$A$8:$Y$17, E$2+4,false),""))))</f>
        <v>4</v>
      </c>
      <c r="F5" s="1426">
        <f>if(countif('R1_G1'!$A$8:$A$17,$A5)=1,vlookup($A5,'R1_G1'!$A$8:$Y$17, F$2+4,false),
if(countif('R1_G2'!$A$8:$A$17,$A5)=1,vlookup($A5,'R1_G2'!$A$8:$Y$17, F$2+4,false),
if(countif('R1_G3'!$A$8:$A$17,$A5)=1,vlookup($A5,'R1_G3'!$A$8:$Y$17, F$2+4,false),
if(countif('R1_G4'!$A$8:$A$17,$A5)=1,vlookup($A5,'R1_G4'!$A$8:$Y$17, F$2+4,false),""))))</f>
        <v>4</v>
      </c>
      <c r="G5" s="1426">
        <f>if(countif('R1_G1'!$A$8:$A$17,$A5)=1,vlookup($A5,'R1_G1'!$A$8:$Y$17, G$2+4,false),
if(countif('R1_G2'!$A$8:$A$17,$A5)=1,vlookup($A5,'R1_G2'!$A$8:$Y$17, G$2+4,false),
if(countif('R1_G3'!$A$8:$A$17,$A5)=1,vlookup($A5,'R1_G3'!$A$8:$Y$17, G$2+4,false),
if(countif('R1_G4'!$A$8:$A$17,$A5)=1,vlookup($A5,'R1_G4'!$A$8:$Y$17, G$2+4,false),""))))</f>
        <v>4</v>
      </c>
      <c r="H5" s="1426">
        <f>if(countif('R1_G1'!$A$8:$A$17,$A5)=1,vlookup($A5,'R1_G1'!$A$8:$Y$17, H$2+4,false),
if(countif('R1_G2'!$A$8:$A$17,$A5)=1,vlookup($A5,'R1_G2'!$A$8:$Y$17, H$2+4,false),
if(countif('R1_G3'!$A$8:$A$17,$A5)=1,vlookup($A5,'R1_G3'!$A$8:$Y$17, H$2+4,false),
if(countif('R1_G4'!$A$8:$A$17,$A5)=1,vlookup($A5,'R1_G4'!$A$8:$Y$17, H$2+4,false),""))))</f>
        <v>8</v>
      </c>
      <c r="I5" s="1426">
        <f>if(countif('R1_G1'!$A$8:$A$17,$A5)=1,vlookup($A5,'R1_G1'!$A$8:$Y$17, I$2+4,false),
if(countif('R1_G2'!$A$8:$A$17,$A5)=1,vlookup($A5,'R1_G2'!$A$8:$Y$17, I$2+4,false),
if(countif('R1_G3'!$A$8:$A$17,$A5)=1,vlookup($A5,'R1_G3'!$A$8:$Y$17, I$2+4,false),
if(countif('R1_G4'!$A$8:$A$17,$A5)=1,vlookup($A5,'R1_G4'!$A$8:$Y$17, I$2+4,false),""))))</f>
        <v>3</v>
      </c>
      <c r="J5" s="1426">
        <f>if(countif('R1_G1'!$A$8:$A$17,$A5)=1,vlookup($A5,'R1_G1'!$A$8:$Y$17, J$2+4,false),
if(countif('R1_G2'!$A$8:$A$17,$A5)=1,vlookup($A5,'R1_G2'!$A$8:$Y$17, J$2+4,false),
if(countif('R1_G3'!$A$8:$A$17,$A5)=1,vlookup($A5,'R1_G3'!$A$8:$Y$17, J$2+4,false),
if(countif('R1_G4'!$A$8:$A$17,$A5)=1,vlookup($A5,'R1_G4'!$A$8:$Y$17, J$2+4,false),""))))</f>
        <v>5</v>
      </c>
      <c r="K5" s="1426">
        <f>if(countif('R1_G1'!$A$8:$A$17,$A5)=1,vlookup($A5,'R1_G1'!$A$8:$Y$17, K$2+4,false),
if(countif('R1_G2'!$A$8:$A$17,$A5)=1,vlookup($A5,'R1_G2'!$A$8:$Y$17, K$2+4,false),
if(countif('R1_G3'!$A$8:$A$17,$A5)=1,vlookup($A5,'R1_G3'!$A$8:$Y$17, K$2+4,false),
if(countif('R1_G4'!$A$8:$A$17,$A5)=1,vlookup($A5,'R1_G4'!$A$8:$Y$17, K$2+4,false),""))))</f>
        <v>4</v>
      </c>
      <c r="L5" s="1426">
        <f>if(countif('R1_G1'!$A$8:$A$17,$A5)=1,vlookup($A5,'R1_G1'!$A$8:$Y$17, L$2+4,false),
if(countif('R1_G2'!$A$8:$A$17,$A5)=1,vlookup($A5,'R1_G2'!$A$8:$Y$17, L$2+4,false),
if(countif('R1_G3'!$A$8:$A$17,$A5)=1,vlookup($A5,'R1_G3'!$A$8:$Y$17, L$2+4,false),
if(countif('R1_G4'!$A$8:$A$17,$A5)=1,vlookup($A5,'R1_G4'!$A$8:$Y$17, L$2+4,false),""))))</f>
        <v>3</v>
      </c>
      <c r="M5" s="1426">
        <f>if(countif('R1_G1'!$A$8:$A$17,$A5)=1,vlookup($A5,'R1_G1'!$A$8:$Y$17, M$2+4,false),
if(countif('R1_G2'!$A$8:$A$17,$A5)=1,vlookup($A5,'R1_G2'!$A$8:$Y$17, M$2+4,false),
if(countif('R1_G3'!$A$8:$A$17,$A5)=1,vlookup($A5,'R1_G3'!$A$8:$Y$17, M$2+4,false),
if(countif('R1_G4'!$A$8:$A$17,$A5)=1,vlookup($A5,'R1_G4'!$A$8:$Y$17, M$2+4,false),""))))</f>
        <v>6</v>
      </c>
      <c r="N5" s="1427">
        <f>if(countif('R1_G1'!$A$8:$A$17,$A5)=1,vlookup($A5,'R1_G1'!$A$8:$Y$17, N$2+7,false),
if(countif('R1_G2'!$A$8:$A$17,$A5)=1,vlookup($A5,'R1_G2'!$A$8:$Y$17, N$2+7,false),
if(countif('R1_G3'!$A$8:$A$17,$A5)=1,vlookup($A5,'R1_G3'!$A$8:$Y$17, N$2+7,false),
if(countif('R1_G4'!$A$8:$A$17,$A5)=1,vlookup($A5,'R1_G4'!$A$8:$Y$17, N$2+7,false),""))))</f>
        <v>4</v>
      </c>
      <c r="O5" s="1427">
        <f>if(countif('R1_G1'!$A$8:$A$17,$A5)=1,vlookup($A5,'R1_G1'!$A$8:$Y$17, O$2+7,false),
if(countif('R1_G2'!$A$8:$A$17,$A5)=1,vlookup($A5,'R1_G2'!$A$8:$Y$17, O$2+7,false),
if(countif('R1_G3'!$A$8:$A$17,$A5)=1,vlookup($A5,'R1_G3'!$A$8:$Y$17, O$2+7,false),
if(countif('R1_G4'!$A$8:$A$17,$A5)=1,vlookup($A5,'R1_G4'!$A$8:$Y$17, O$2+7,false),""))))</f>
        <v>6</v>
      </c>
      <c r="P5" s="1427">
        <f>if(countif('R1_G1'!$A$8:$A$17,$A5)=1,vlookup($A5,'R1_G1'!$A$8:$Y$17, P$2+7,false),
if(countif('R1_G2'!$A$8:$A$17,$A5)=1,vlookup($A5,'R1_G2'!$A$8:$Y$17, P$2+7,false),
if(countif('R1_G3'!$A$8:$A$17,$A5)=1,vlookup($A5,'R1_G3'!$A$8:$Y$17, P$2+7,false),
if(countif('R1_G4'!$A$8:$A$17,$A5)=1,vlookup($A5,'R1_G4'!$A$8:$Y$17, P$2+7,false),""))))</f>
        <v>5</v>
      </c>
      <c r="Q5" s="1427">
        <f>if(countif('R1_G1'!$A$8:$A$17,$A5)=1,vlookup($A5,'R1_G1'!$A$8:$Y$17, Q$2+7,false),
if(countif('R1_G2'!$A$8:$A$17,$A5)=1,vlookup($A5,'R1_G2'!$A$8:$Y$17, Q$2+7,false),
if(countif('R1_G3'!$A$8:$A$17,$A5)=1,vlookup($A5,'R1_G3'!$A$8:$Y$17, Q$2+7,false),
if(countif('R1_G4'!$A$8:$A$17,$A5)=1,vlookup($A5,'R1_G4'!$A$8:$Y$17, Q$2+7,false),""))))</f>
        <v>3</v>
      </c>
      <c r="R5" s="1427">
        <f>if(countif('R1_G1'!$A$8:$A$17,$A5)=1,vlookup($A5,'R1_G1'!$A$8:$Y$17, R$2+7,false),
if(countif('R1_G2'!$A$8:$A$17,$A5)=1,vlookup($A5,'R1_G2'!$A$8:$Y$17, R$2+7,false),
if(countif('R1_G3'!$A$8:$A$17,$A5)=1,vlookup($A5,'R1_G3'!$A$8:$Y$17, R$2+7,false),
if(countif('R1_G4'!$A$8:$A$17,$A5)=1,vlookup($A5,'R1_G4'!$A$8:$Y$17, R$2+7,false),""))))</f>
        <v>8</v>
      </c>
      <c r="S5" s="1427">
        <f>if(countif('R1_G1'!$A$8:$A$17,$A5)=1,vlookup($A5,'R1_G1'!$A$8:$Y$17, S$2+7,false),
if(countif('R1_G2'!$A$8:$A$17,$A5)=1,vlookup($A5,'R1_G2'!$A$8:$Y$17, S$2+7,false),
if(countif('R1_G3'!$A$8:$A$17,$A5)=1,vlookup($A5,'R1_G3'!$A$8:$Y$17, S$2+7,false),
if(countif('R1_G4'!$A$8:$A$17,$A5)=1,vlookup($A5,'R1_G4'!$A$8:$Y$17, S$2+7,false),""))))</f>
        <v>4</v>
      </c>
      <c r="T5" s="1427">
        <f>if(countif('R1_G1'!$A$8:$A$17,$A5)=1,vlookup($A5,'R1_G1'!$A$8:$Y$17, T$2+7,false),
if(countif('R1_G2'!$A$8:$A$17,$A5)=1,vlookup($A5,'R1_G2'!$A$8:$Y$17, T$2+7,false),
if(countif('R1_G3'!$A$8:$A$17,$A5)=1,vlookup($A5,'R1_G3'!$A$8:$Y$17, T$2+7,false),
if(countif('R1_G4'!$A$8:$A$17,$A5)=1,vlookup($A5,'R1_G4'!$A$8:$Y$17, T$2+7,false),""))))</f>
        <v>6</v>
      </c>
      <c r="U5" s="1427">
        <f>if(countif('R1_G1'!$A$8:$A$17,$A5)=1,vlookup($A5,'R1_G1'!$A$8:$Y$17, U$2+7,false),
if(countif('R1_G2'!$A$8:$A$17,$A5)=1,vlookup($A5,'R1_G2'!$A$8:$Y$17, U$2+7,false),
if(countif('R1_G3'!$A$8:$A$17,$A5)=1,vlookup($A5,'R1_G3'!$A$8:$Y$17, U$2+7,false),
if(countif('R1_G4'!$A$8:$A$17,$A5)=1,vlookup($A5,'R1_G4'!$A$8:$Y$17, U$2+7,false),""))))</f>
        <v>3</v>
      </c>
      <c r="V5" s="1427">
        <f>if(countif('R1_G1'!$A$8:$A$17,$A5)=1,vlookup($A5,'R1_G1'!$A$8:$Y$17, V$2+7,false),
if(countif('R1_G2'!$A$8:$A$17,$A5)=1,vlookup($A5,'R1_G2'!$A$8:$Y$17, V$2+7,false),
if(countif('R1_G3'!$A$8:$A$17,$A5)=1,vlookup($A5,'R1_G3'!$A$8:$Y$17, V$2+7,false),
if(countif('R1_G4'!$A$8:$A$17,$A5)=1,vlookup($A5,'R1_G4'!$A$8:$Y$17, V$2+7,false),""))))</f>
        <v>5</v>
      </c>
      <c r="W5" s="1428">
        <f t="shared" si="4"/>
        <v>41</v>
      </c>
      <c r="X5" s="1428">
        <f t="shared" si="5"/>
        <v>44</v>
      </c>
      <c r="Y5" s="1428">
        <f t="shared" ref="Y5:Y20" si="9">if(count(E5:V5)=18,W5+X5,"")</f>
        <v>85</v>
      </c>
      <c r="Z5" s="1424">
        <f t="shared" ref="Z5:Z20" si="10">if(Y5="","",if(V5="","",Y5-B5))</f>
        <v>76</v>
      </c>
      <c r="AA5" s="1424">
        <f t="shared" ref="AA5:AA20" si="11">Y5</f>
        <v>85</v>
      </c>
      <c r="AB5" s="1421"/>
      <c r="AC5" s="1423" t="str">
        <f>'Master Input'!$A$11</f>
        <v>Jensen</v>
      </c>
      <c r="AD5" s="1424">
        <f>VLOOKUP(AC5,'Master Input'!$A$11:$L$27,6,false)</f>
        <v>9</v>
      </c>
      <c r="AE5" s="1423" t="s">
        <v>266</v>
      </c>
      <c r="AF5" s="1425"/>
      <c r="AG5" s="1428">
        <f t="shared" ref="AG5:AX5" si="6">if(E5="","",E5-IF($B5&gt;0,FLOOR($B5/18,1),0)-IF(AND(MOD($B5,18)&gt;=E$3,$B5&gt;0),1,0)+IF(E$3-18&gt;$B5,1,0))</f>
        <v>3</v>
      </c>
      <c r="AH5" s="1428">
        <f t="shared" si="6"/>
        <v>3</v>
      </c>
      <c r="AI5" s="1428">
        <f t="shared" si="6"/>
        <v>4</v>
      </c>
      <c r="AJ5" s="1428">
        <f t="shared" si="6"/>
        <v>8</v>
      </c>
      <c r="AK5" s="1428">
        <f t="shared" si="6"/>
        <v>2</v>
      </c>
      <c r="AL5" s="1428">
        <f t="shared" si="6"/>
        <v>5</v>
      </c>
      <c r="AM5" s="1428">
        <f t="shared" si="6"/>
        <v>4</v>
      </c>
      <c r="AN5" s="1428">
        <f t="shared" si="6"/>
        <v>2</v>
      </c>
      <c r="AO5" s="1428">
        <f t="shared" si="6"/>
        <v>6</v>
      </c>
      <c r="AP5" s="1429">
        <f t="shared" si="6"/>
        <v>4</v>
      </c>
      <c r="AQ5" s="1429">
        <f t="shared" si="6"/>
        <v>5</v>
      </c>
      <c r="AR5" s="1429">
        <f t="shared" si="6"/>
        <v>4</v>
      </c>
      <c r="AS5" s="1429">
        <f t="shared" si="6"/>
        <v>3</v>
      </c>
      <c r="AT5" s="1429">
        <f t="shared" si="6"/>
        <v>8</v>
      </c>
      <c r="AU5" s="1429">
        <f t="shared" si="6"/>
        <v>3</v>
      </c>
      <c r="AV5" s="1429">
        <f t="shared" si="6"/>
        <v>5</v>
      </c>
      <c r="AW5" s="1429">
        <f t="shared" si="6"/>
        <v>3</v>
      </c>
      <c r="AX5" s="1429">
        <f t="shared" si="6"/>
        <v>4</v>
      </c>
      <c r="AY5" s="1428">
        <f t="shared" si="7"/>
        <v>37</v>
      </c>
      <c r="AZ5" s="1428">
        <f t="shared" si="8"/>
        <v>39</v>
      </c>
      <c r="BA5" s="1428">
        <f t="shared" ref="BA5:BA20" si="13">if(count(AG5:AX5)=18,AY5+AZ5,"")</f>
        <v>76</v>
      </c>
      <c r="BB5" s="1430" t="str">
        <f>if(countif('R1_G1'!$A$8:$A$17,$A5)=1, if(and(BA5=Z5,BA5=vlookup($A5,'R1_G1'!$A$8:$AB$17, 28,false)),"yes","no"),
if(countif('R1_G2'!$A$8:$A$17,$A5)=1, if(and(BA5=Z5,BA5=vlookup($A5,'R1_G2'!$A$8:$AB$17, 28,false)),"yes","no"),
if(countif('R1_G3'!$A$8:$A$17,$A5)=1, if(and(BA5=Z5,BA5=vlookup($A5,'R1_G3'!$A$8:$AB$17, 28,false)),"yes","no"),
if(countif('R1_G4'!$A$8:$A$17,$A5)=1, if(and(BA5=Z5,BA5=vlookup($A5,'R1_G4'!$A$8:$AB$17, 28,false)),"yes","no"),
"?"))))
</f>
        <v>yes</v>
      </c>
      <c r="BC5" s="1421"/>
      <c r="BD5" s="1431">
        <f t="shared" ref="BD5:BD20" si="14">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7.5</v>
      </c>
      <c r="BE5" s="1432">
        <f t="shared" ref="BE5:BE20" si="15">(rank(AG5,$AG$5:$AG$20,0)-1)/15+(countif($AG$5:$AG$20,AG5)-1)/30+
(rank(AH5,$AH$5:$AH$20,0)-1)/15+(countif($AH$5:$AH$20,AH5)-1)/30+
(rank(AI5,$AI$5:$AI$20,0)-1)/15+(countif($AI$5:$AI$20,AI5)-1)/30+
(rank(AJ5,$AJ$5:$AJ$20,0)-1)/15+(countif($AJ$5:$AJ$20,AJ5)-1)/30+
(rank(AK5,$AK$5:$AK$20,0)-1)/15+(countif($AK$5:$AK$20,AK5)-1)/30+
(rank(AL5,$AL$5:$AL$20,0)-1)/15+(countif($AL$5:$AL$20,AL5)-1)/30+
(rank(AM5,$AM$5:$AM$20,0)-1)/15+(countif($AM$5:$AM$20,AM5)-1)/30+
(rank(AN5,$AN$5:$AN$20,0)-1)/15+(countif($AN$5:$AN$20,AN5)-1)/30+
(rank(AO5,$AO$5:$AO$20,0)-1)/15+(countif($AO$5:$AO$20,AO5)-1)/30+
(rank(AP5,$AP$5:$AP$20,0)-1)/15+(countif($AP$5:$AP$20,AP5)-1)/30+
(rank(AQ5,$AQ$5:$AQ$20,0)-1)/15+(countif($AQ$5:$AQ$20,AQ5)-1)/30+
(rank(AR5,$AR$5:$AR$20,0)-1)/15+(countif($AR$5:$AR$20,AR5)-1)/30+
(rank(AS5,$AS$5:$AS$20,0)-1)/15+(countif($AS$5:$AS$20,AS5)-1)/30+
(rank(AT5,$AT$5:$AT$20,0)-1)/15+(countif($AT$5:$AT$20,AT5)-1)/30+
(rank(AU5,$AU$5:$AU$20,0)-1)/15+(countif($AU$5:$AU$20,AU5)-1)/30+
(rank(AV5,$AV$5:$AV$20,0)-1)/15+(countif($AV$5:$AV$20,AV5)-1)/30+
(rank(AW5,$AW$5:$AW$20,0)-1)/15+(countif($AW$5:$AW$20,AW5)-1)/30+
(rank(AX5,$AX$5:$AX$20,0)-1)/15+(countif($AX$5:$AX$20,AX5)-1)/30</f>
        <v>9.466666667</v>
      </c>
      <c r="BF5" s="1433">
        <f>countifs($AG4:$AX4,3,$AG5:$AX5,"&lt;=1")
+countifs($AG4:$AX4,4,$AG5:$AX5,"&lt;=2")
+countifs($AG4:$AX4,5,$AG5:$AX5,"&lt;=3")</f>
        <v>2</v>
      </c>
      <c r="BG5" s="1433">
        <f>countifs($AG4:$AX4,3,$AG5:$AX5,2)
+countifs($AG4:$AX4,4,$AG5:$AX5,3)
+countifs($AG4:$AX4,5,$AG5:$AX5,4)</f>
        <v>3</v>
      </c>
      <c r="BH5" s="1433">
        <f>countifs($AG4:$AX4,3,$AG5:$AX5,3)
+countifs($AG4:$AX4,4,$AG5:$AX5,4)
+countifs($AG4:$AX4,5,$AG5:$AX5,5)</f>
        <v>5</v>
      </c>
      <c r="BI5" s="1433">
        <f>countifs($AG4:$AX4,3,$AG5:$AX5,4)
+countifs($AG4:$AX4,4,$AG5:$AX5,5)
+countifs($AG4:$AX4,5,$AG5:$AX5,6)</f>
        <v>6</v>
      </c>
      <c r="BJ5" s="1433">
        <f>countifs($AG4:$AX4,3,$AG5:$AX5,"&gt;=5")
+countifs($AG4:$AX4,4,$AG5:$AX5,"&gt;=6")
+countifs($AG4:$AX4,5,$AG5:$AX5,"&gt;=7")</f>
        <v>2</v>
      </c>
    </row>
    <row r="6" ht="14.25" customHeight="1">
      <c r="A6" s="1434" t="str">
        <f>'Master Input'!$A$12</f>
        <v>CuzNick</v>
      </c>
      <c r="B6" s="1435">
        <f>VLOOKUP(A6,'Master Input'!$A$11:$L$27,6,false)</f>
        <v>9</v>
      </c>
      <c r="C6" s="1436"/>
      <c r="D6" s="1401"/>
      <c r="E6" s="1437">
        <f>if(countif('R1_G1'!$A$8:$A$17,$A6)=1,vlookup($A6,'R1_G1'!$A$8:$Y$17, E$2+4,false),
if(countif('R1_G2'!$A$8:$A$17,$A6)=1,vlookup($A6,'R1_G2'!$A$8:$Y$17, E$2+4,false),
if(countif('R1_G3'!$A$8:$A$17,$A6)=1,vlookup($A6,'R1_G3'!$A$8:$Y$17, E$2+4,false),
if(countif('R1_G4'!$A$8:$A$17,$A6)=1,vlookup($A6,'R1_G4'!$A$8:$Y$17, E$2+4,false),""))))</f>
        <v>5</v>
      </c>
      <c r="F6" s="1437">
        <f>if(countif('R1_G1'!$A$8:$A$17,$A6)=1,vlookup($A6,'R1_G1'!$A$8:$Y$17, F$2+4,false),
if(countif('R1_G2'!$A$8:$A$17,$A6)=1,vlookup($A6,'R1_G2'!$A$8:$Y$17, F$2+4,false),
if(countif('R1_G3'!$A$8:$A$17,$A6)=1,vlookup($A6,'R1_G3'!$A$8:$Y$17, F$2+4,false),
if(countif('R1_G4'!$A$8:$A$17,$A6)=1,vlookup($A6,'R1_G4'!$A$8:$Y$17, F$2+4,false),""))))</f>
        <v>5</v>
      </c>
      <c r="G6" s="1437">
        <f>if(countif('R1_G1'!$A$8:$A$17,$A6)=1,vlookup($A6,'R1_G1'!$A$8:$Y$17, G$2+4,false),
if(countif('R1_G2'!$A$8:$A$17,$A6)=1,vlookup($A6,'R1_G2'!$A$8:$Y$17, G$2+4,false),
if(countif('R1_G3'!$A$8:$A$17,$A6)=1,vlookup($A6,'R1_G3'!$A$8:$Y$17, G$2+4,false),
if(countif('R1_G4'!$A$8:$A$17,$A6)=1,vlookup($A6,'R1_G4'!$A$8:$Y$17, G$2+4,false),""))))</f>
        <v>3</v>
      </c>
      <c r="H6" s="1437">
        <f>if(countif('R1_G1'!$A$8:$A$17,$A6)=1,vlookup($A6,'R1_G1'!$A$8:$Y$17, H$2+4,false),
if(countif('R1_G2'!$A$8:$A$17,$A6)=1,vlookup($A6,'R1_G2'!$A$8:$Y$17, H$2+4,false),
if(countif('R1_G3'!$A$8:$A$17,$A6)=1,vlookup($A6,'R1_G3'!$A$8:$Y$17, H$2+4,false),
if(countif('R1_G4'!$A$8:$A$17,$A6)=1,vlookup($A6,'R1_G4'!$A$8:$Y$17, H$2+4,false),""))))</f>
        <v>4</v>
      </c>
      <c r="I6" s="1437">
        <f>if(countif('R1_G1'!$A$8:$A$17,$A6)=1,vlookup($A6,'R1_G1'!$A$8:$Y$17, I$2+4,false),
if(countif('R1_G2'!$A$8:$A$17,$A6)=1,vlookup($A6,'R1_G2'!$A$8:$Y$17, I$2+4,false),
if(countif('R1_G3'!$A$8:$A$17,$A6)=1,vlookup($A6,'R1_G3'!$A$8:$Y$17, I$2+4,false),
if(countif('R1_G4'!$A$8:$A$17,$A6)=1,vlookup($A6,'R1_G4'!$A$8:$Y$17, I$2+4,false),""))))</f>
        <v>4</v>
      </c>
      <c r="J6" s="1437">
        <f>if(countif('R1_G1'!$A$8:$A$17,$A6)=1,vlookup($A6,'R1_G1'!$A$8:$Y$17, J$2+4,false),
if(countif('R1_G2'!$A$8:$A$17,$A6)=1,vlookup($A6,'R1_G2'!$A$8:$Y$17, J$2+4,false),
if(countif('R1_G3'!$A$8:$A$17,$A6)=1,vlookup($A6,'R1_G3'!$A$8:$Y$17, J$2+4,false),
if(countif('R1_G4'!$A$8:$A$17,$A6)=1,vlookup($A6,'R1_G4'!$A$8:$Y$17, J$2+4,false),""))))</f>
        <v>5</v>
      </c>
      <c r="K6" s="1437">
        <f>if(countif('R1_G1'!$A$8:$A$17,$A6)=1,vlookup($A6,'R1_G1'!$A$8:$Y$17, K$2+4,false),
if(countif('R1_G2'!$A$8:$A$17,$A6)=1,vlookup($A6,'R1_G2'!$A$8:$Y$17, K$2+4,false),
if(countif('R1_G3'!$A$8:$A$17,$A6)=1,vlookup($A6,'R1_G3'!$A$8:$Y$17, K$2+4,false),
if(countif('R1_G4'!$A$8:$A$17,$A6)=1,vlookup($A6,'R1_G4'!$A$8:$Y$17, K$2+4,false),""))))</f>
        <v>4</v>
      </c>
      <c r="L6" s="1437">
        <f>if(countif('R1_G1'!$A$8:$A$17,$A6)=1,vlookup($A6,'R1_G1'!$A$8:$Y$17, L$2+4,false),
if(countif('R1_G2'!$A$8:$A$17,$A6)=1,vlookup($A6,'R1_G2'!$A$8:$Y$17, L$2+4,false),
if(countif('R1_G3'!$A$8:$A$17,$A6)=1,vlookup($A6,'R1_G3'!$A$8:$Y$17, L$2+4,false),
if(countif('R1_G4'!$A$8:$A$17,$A6)=1,vlookup($A6,'R1_G4'!$A$8:$Y$17, L$2+4,false),""))))</f>
        <v>3</v>
      </c>
      <c r="M6" s="1437">
        <f>if(countif('R1_G1'!$A$8:$A$17,$A6)=1,vlookup($A6,'R1_G1'!$A$8:$Y$17, M$2+4,false),
if(countif('R1_G2'!$A$8:$A$17,$A6)=1,vlookup($A6,'R1_G2'!$A$8:$Y$17, M$2+4,false),
if(countif('R1_G3'!$A$8:$A$17,$A6)=1,vlookup($A6,'R1_G3'!$A$8:$Y$17, M$2+4,false),
if(countif('R1_G4'!$A$8:$A$17,$A6)=1,vlookup($A6,'R1_G4'!$A$8:$Y$17, M$2+4,false),""))))</f>
        <v>5</v>
      </c>
      <c r="N6" s="1426">
        <f>if(countif('R1_G1'!$A$8:$A$17,$A6)=1,vlookup($A6,'R1_G1'!$A$8:$Y$17, N$2+7,false),
if(countif('R1_G2'!$A$8:$A$17,$A6)=1,vlookup($A6,'R1_G2'!$A$8:$Y$17, N$2+7,false),
if(countif('R1_G3'!$A$8:$A$17,$A6)=1,vlookup($A6,'R1_G3'!$A$8:$Y$17, N$2+7,false),
if(countif('R1_G4'!$A$8:$A$17,$A6)=1,vlookup($A6,'R1_G4'!$A$8:$Y$17, N$2+7,false),""))))</f>
        <v>4</v>
      </c>
      <c r="O6" s="1426">
        <f>if(countif('R1_G1'!$A$8:$A$17,$A6)=1,vlookup($A6,'R1_G1'!$A$8:$Y$17, O$2+7,false),
if(countif('R1_G2'!$A$8:$A$17,$A6)=1,vlookup($A6,'R1_G2'!$A$8:$Y$17, O$2+7,false),
if(countif('R1_G3'!$A$8:$A$17,$A6)=1,vlookup($A6,'R1_G3'!$A$8:$Y$17, O$2+7,false),
if(countif('R1_G4'!$A$8:$A$17,$A6)=1,vlookup($A6,'R1_G4'!$A$8:$Y$17, O$2+7,false),""))))</f>
        <v>6</v>
      </c>
      <c r="P6" s="1426">
        <f>if(countif('R1_G1'!$A$8:$A$17,$A6)=1,vlookup($A6,'R1_G1'!$A$8:$Y$17, P$2+7,false),
if(countif('R1_G2'!$A$8:$A$17,$A6)=1,vlookup($A6,'R1_G2'!$A$8:$Y$17, P$2+7,false),
if(countif('R1_G3'!$A$8:$A$17,$A6)=1,vlookup($A6,'R1_G3'!$A$8:$Y$17, P$2+7,false),
if(countif('R1_G4'!$A$8:$A$17,$A6)=1,vlookup($A6,'R1_G4'!$A$8:$Y$17, P$2+7,false),""))))</f>
        <v>4</v>
      </c>
      <c r="Q6" s="1426">
        <f>if(countif('R1_G1'!$A$8:$A$17,$A6)=1,vlookup($A6,'R1_G1'!$A$8:$Y$17, Q$2+7,false),
if(countif('R1_G2'!$A$8:$A$17,$A6)=1,vlookup($A6,'R1_G2'!$A$8:$Y$17, Q$2+7,false),
if(countif('R1_G3'!$A$8:$A$17,$A6)=1,vlookup($A6,'R1_G3'!$A$8:$Y$17, Q$2+7,false),
if(countif('R1_G4'!$A$8:$A$17,$A6)=1,vlookup($A6,'R1_G4'!$A$8:$Y$17, Q$2+7,false),""))))</f>
        <v>3</v>
      </c>
      <c r="R6" s="1426">
        <f>if(countif('R1_G1'!$A$8:$A$17,$A6)=1,vlookup($A6,'R1_G1'!$A$8:$Y$17, R$2+7,false),
if(countif('R1_G2'!$A$8:$A$17,$A6)=1,vlookup($A6,'R1_G2'!$A$8:$Y$17, R$2+7,false),
if(countif('R1_G3'!$A$8:$A$17,$A6)=1,vlookup($A6,'R1_G3'!$A$8:$Y$17, R$2+7,false),
if(countif('R1_G4'!$A$8:$A$17,$A6)=1,vlookup($A6,'R1_G4'!$A$8:$Y$17, R$2+7,false),""))))</f>
        <v>5</v>
      </c>
      <c r="S6" s="1426">
        <f>if(countif('R1_G1'!$A$8:$A$17,$A6)=1,vlookup($A6,'R1_G1'!$A$8:$Y$17, S$2+7,false),
if(countif('R1_G2'!$A$8:$A$17,$A6)=1,vlookup($A6,'R1_G2'!$A$8:$Y$17, S$2+7,false),
if(countif('R1_G3'!$A$8:$A$17,$A6)=1,vlookup($A6,'R1_G3'!$A$8:$Y$17, S$2+7,false),
if(countif('R1_G4'!$A$8:$A$17,$A6)=1,vlookup($A6,'R1_G4'!$A$8:$Y$17, S$2+7,false),""))))</f>
        <v>5</v>
      </c>
      <c r="T6" s="1426">
        <f>if(countif('R1_G1'!$A$8:$A$17,$A6)=1,vlookup($A6,'R1_G1'!$A$8:$Y$17, T$2+7,false),
if(countif('R1_G2'!$A$8:$A$17,$A6)=1,vlookup($A6,'R1_G2'!$A$8:$Y$17, T$2+7,false),
if(countif('R1_G3'!$A$8:$A$17,$A6)=1,vlookup($A6,'R1_G3'!$A$8:$Y$17, T$2+7,false),
if(countif('R1_G4'!$A$8:$A$17,$A6)=1,vlookup($A6,'R1_G4'!$A$8:$Y$17, T$2+7,false),""))))</f>
        <v>4</v>
      </c>
      <c r="U6" s="1426">
        <f>if(countif('R1_G1'!$A$8:$A$17,$A6)=1,vlookup($A6,'R1_G1'!$A$8:$Y$17, U$2+7,false),
if(countif('R1_G2'!$A$8:$A$17,$A6)=1,vlookup($A6,'R1_G2'!$A$8:$Y$17, U$2+7,false),
if(countif('R1_G3'!$A$8:$A$17,$A6)=1,vlookup($A6,'R1_G3'!$A$8:$Y$17, U$2+7,false),
if(countif('R1_G4'!$A$8:$A$17,$A6)=1,vlookup($A6,'R1_G4'!$A$8:$Y$17, U$2+7,false),""))))</f>
        <v>4</v>
      </c>
      <c r="V6" s="1426">
        <f>if(countif('R1_G1'!$A$8:$A$17,$A6)=1,vlookup($A6,'R1_G1'!$A$8:$Y$17, V$2+7,false),
if(countif('R1_G2'!$A$8:$A$17,$A6)=1,vlookup($A6,'R1_G2'!$A$8:$Y$17, V$2+7,false),
if(countif('R1_G3'!$A$8:$A$17,$A6)=1,vlookup($A6,'R1_G3'!$A$8:$Y$17, V$2+7,false),
if(countif('R1_G4'!$A$8:$A$17,$A6)=1,vlookup($A6,'R1_G4'!$A$8:$Y$17, V$2+7,false),""))))</f>
        <v>5</v>
      </c>
      <c r="W6" s="1438">
        <f t="shared" si="4"/>
        <v>38</v>
      </c>
      <c r="X6" s="1438">
        <f t="shared" si="5"/>
        <v>40</v>
      </c>
      <c r="Y6" s="1438">
        <f t="shared" si="9"/>
        <v>78</v>
      </c>
      <c r="Z6" s="1435">
        <f t="shared" si="10"/>
        <v>69</v>
      </c>
      <c r="AA6" s="1435">
        <f t="shared" si="11"/>
        <v>78</v>
      </c>
      <c r="AB6" s="1421"/>
      <c r="AC6" s="1434" t="str">
        <f>'Master Input'!$A$12</f>
        <v>CuzNick</v>
      </c>
      <c r="AD6" s="1435">
        <f>VLOOKUP(AC6,'Master Input'!$A$11:$L$27,6,false)</f>
        <v>9</v>
      </c>
      <c r="AE6" s="1434" t="s">
        <v>266</v>
      </c>
      <c r="AF6" s="1401"/>
      <c r="AG6" s="1438">
        <f t="shared" ref="AG6:AX6" si="12">if(E6="","",E6-IF($B6&gt;0,FLOOR($B6/18,1),0)-IF(AND(MOD($B6,18)&gt;=E$3,$B6&gt;0),1,0)+IF(E$3-18&gt;$B6,1,0))</f>
        <v>4</v>
      </c>
      <c r="AH6" s="1438">
        <f t="shared" si="12"/>
        <v>4</v>
      </c>
      <c r="AI6" s="1438">
        <f t="shared" si="12"/>
        <v>3</v>
      </c>
      <c r="AJ6" s="1438">
        <f t="shared" si="12"/>
        <v>4</v>
      </c>
      <c r="AK6" s="1438">
        <f t="shared" si="12"/>
        <v>3</v>
      </c>
      <c r="AL6" s="1438">
        <f t="shared" si="12"/>
        <v>5</v>
      </c>
      <c r="AM6" s="1438">
        <f t="shared" si="12"/>
        <v>4</v>
      </c>
      <c r="AN6" s="1438">
        <f t="shared" si="12"/>
        <v>2</v>
      </c>
      <c r="AO6" s="1438">
        <f t="shared" si="12"/>
        <v>5</v>
      </c>
      <c r="AP6" s="1426">
        <f t="shared" si="12"/>
        <v>4</v>
      </c>
      <c r="AQ6" s="1426">
        <f t="shared" si="12"/>
        <v>5</v>
      </c>
      <c r="AR6" s="1426">
        <f t="shared" si="12"/>
        <v>3</v>
      </c>
      <c r="AS6" s="1426">
        <f t="shared" si="12"/>
        <v>3</v>
      </c>
      <c r="AT6" s="1426">
        <f t="shared" si="12"/>
        <v>5</v>
      </c>
      <c r="AU6" s="1426">
        <f t="shared" si="12"/>
        <v>4</v>
      </c>
      <c r="AV6" s="1426">
        <f t="shared" si="12"/>
        <v>3</v>
      </c>
      <c r="AW6" s="1426">
        <f t="shared" si="12"/>
        <v>4</v>
      </c>
      <c r="AX6" s="1426">
        <f t="shared" si="12"/>
        <v>4</v>
      </c>
      <c r="AY6" s="1438">
        <f t="shared" si="7"/>
        <v>34</v>
      </c>
      <c r="AZ6" s="1438">
        <f t="shared" si="8"/>
        <v>35</v>
      </c>
      <c r="BA6" s="1438">
        <f t="shared" si="13"/>
        <v>69</v>
      </c>
      <c r="BB6" s="1436" t="str">
        <f>if(countif('R1_G1'!$A$8:$A$17,$A6)=1, if(and(BA6=Z6,BA6=vlookup($A6,'R1_G1'!$A$8:$AB$17, 28,false)),"yes","no"),
if(countif('R1_G2'!$A$8:$A$17,$A6)=1, if(and(BA6=Z6,BA6=vlookup($A6,'R1_G2'!$A$8:$AB$17, 28,false)),"yes","no"),
if(countif('R1_G3'!$A$8:$A$17,$A6)=1, if(and(BA6=Z6,BA6=vlookup($A6,'R1_G3'!$A$8:$AB$17, 28,false)),"yes","no"),
if(countif('R1_G4'!$A$8:$A$17,$A6)=1, if(and(BA6=Z6,BA6=vlookup($A6,'R1_G4'!$A$8:$AB$17, 28,false)),"yes","no"),
"?"))))
</f>
        <v>yes</v>
      </c>
      <c r="BC6" s="1421"/>
      <c r="BD6" s="1439">
        <f t="shared" si="14"/>
        <v>9.5</v>
      </c>
      <c r="BE6" s="1440">
        <f t="shared" si="15"/>
        <v>11.1</v>
      </c>
      <c r="BF6" s="1440">
        <f t="shared" ref="BF6:BF20" si="17">countifs($AG$4:$AX$4,3,$AG6:$AX6,"&lt;=1")
+countifs($AG$4:$AX$4,4,$AG6:$AX6,"&lt;=2")
+countifs($AG$4:$AX$4,5,$AG6:$AX6,"&lt;=3")</f>
        <v>1</v>
      </c>
      <c r="BG6" s="1440">
        <f t="shared" ref="BG6:BG20" si="18">countifs($AG$4:$AX$4,3,$AG6:$AX6,2)
+countifs($AG$4:$AX$4,4,$AG6:$AX6,3)
+countifs($AG$4:$AX$4,5,$AG6:$AX6,4)</f>
        <v>4</v>
      </c>
      <c r="BH6" s="1440">
        <f t="shared" ref="BH6:BH20" si="19">countifs($AG$4:$AX$4,3,$AG6:$AX6,3)
+countifs($AG$4:$AX$4,4,$AG6:$AX6,4)
+countifs($AG$4:$AX$4,5,$AG6:$AX6,5)</f>
        <v>9</v>
      </c>
      <c r="BI6" s="1440">
        <f t="shared" ref="BI6:BI20" si="20">countifs($AG$4:$AX$4,3,$AG6:$AX6,4)
+countifs($AG$4:$AX$4,4,$AG6:$AX6,5)
+countifs($AG$4:$AX$4,5,$AG6:$AX6,6)</f>
        <v>4</v>
      </c>
      <c r="BJ6" s="1440">
        <f t="shared" ref="BJ6:BJ20" si="21">countifs($AG$4:$AX$4,3,$AG6:$AX6,"&gt;=5")
+countifs($AG$4:$AX$4,4,$AG6:$AX6,"&gt;=6")
+countifs($AG$4:$AX$4,5,$AG6:$AX6,"&gt;=7")</f>
        <v>0</v>
      </c>
    </row>
    <row r="7" ht="14.25" customHeight="1">
      <c r="A7" s="1423" t="str">
        <f>'Master Input'!$A$13</f>
        <v>Andy</v>
      </c>
      <c r="B7" s="1424">
        <f>VLOOKUP(A7,'Master Input'!$A$11:$L$27,6,false)</f>
        <v>9</v>
      </c>
      <c r="C7" s="1423"/>
      <c r="D7" s="1401"/>
      <c r="E7" s="1426">
        <f>if(countif('R1_G1'!$A$8:$A$17,$A7)=1,vlookup($A7,'R1_G1'!$A$8:$Y$17, E$2+4,false),
if(countif('R1_G2'!$A$8:$A$17,$A7)=1,vlookup($A7,'R1_G2'!$A$8:$Y$17, E$2+4,false),
if(countif('R1_G3'!$A$8:$A$17,$A7)=1,vlookup($A7,'R1_G3'!$A$8:$Y$17, E$2+4,false),
if(countif('R1_G4'!$A$8:$A$17,$A7)=1,vlookup($A7,'R1_G4'!$A$8:$Y$17, E$2+4,false),""))))</f>
        <v>6</v>
      </c>
      <c r="F7" s="1426">
        <f>if(countif('R1_G1'!$A$8:$A$17,$A7)=1,vlookup($A7,'R1_G1'!$A$8:$Y$17, F$2+4,false),
if(countif('R1_G2'!$A$8:$A$17,$A7)=1,vlookup($A7,'R1_G2'!$A$8:$Y$17, F$2+4,false),
if(countif('R1_G3'!$A$8:$A$17,$A7)=1,vlookup($A7,'R1_G3'!$A$8:$Y$17, F$2+4,false),
if(countif('R1_G4'!$A$8:$A$17,$A7)=1,vlookup($A7,'R1_G4'!$A$8:$Y$17, F$2+4,false),""))))</f>
        <v>5</v>
      </c>
      <c r="G7" s="1426">
        <f>if(countif('R1_G1'!$A$8:$A$17,$A7)=1,vlookup($A7,'R1_G1'!$A$8:$Y$17, G$2+4,false),
if(countif('R1_G2'!$A$8:$A$17,$A7)=1,vlookup($A7,'R1_G2'!$A$8:$Y$17, G$2+4,false),
if(countif('R1_G3'!$A$8:$A$17,$A7)=1,vlookup($A7,'R1_G3'!$A$8:$Y$17, G$2+4,false),
if(countif('R1_G4'!$A$8:$A$17,$A7)=1,vlookup($A7,'R1_G4'!$A$8:$Y$17, G$2+4,false),""))))</f>
        <v>4</v>
      </c>
      <c r="H7" s="1426">
        <f>if(countif('R1_G1'!$A$8:$A$17,$A7)=1,vlookup($A7,'R1_G1'!$A$8:$Y$17, H$2+4,false),
if(countif('R1_G2'!$A$8:$A$17,$A7)=1,vlookup($A7,'R1_G2'!$A$8:$Y$17, H$2+4,false),
if(countif('R1_G3'!$A$8:$A$17,$A7)=1,vlookup($A7,'R1_G3'!$A$8:$Y$17, H$2+4,false),
if(countif('R1_G4'!$A$8:$A$17,$A7)=1,vlookup($A7,'R1_G4'!$A$8:$Y$17, H$2+4,false),""))))</f>
        <v>6</v>
      </c>
      <c r="I7" s="1426">
        <f>if(countif('R1_G1'!$A$8:$A$17,$A7)=1,vlookup($A7,'R1_G1'!$A$8:$Y$17, I$2+4,false),
if(countif('R1_G2'!$A$8:$A$17,$A7)=1,vlookup($A7,'R1_G2'!$A$8:$Y$17, I$2+4,false),
if(countif('R1_G3'!$A$8:$A$17,$A7)=1,vlookup($A7,'R1_G3'!$A$8:$Y$17, I$2+4,false),
if(countif('R1_G4'!$A$8:$A$17,$A7)=1,vlookup($A7,'R1_G4'!$A$8:$Y$17, I$2+4,false),""))))</f>
        <v>5</v>
      </c>
      <c r="J7" s="1426">
        <f>if(countif('R1_G1'!$A$8:$A$17,$A7)=1,vlookup($A7,'R1_G1'!$A$8:$Y$17, J$2+4,false),
if(countif('R1_G2'!$A$8:$A$17,$A7)=1,vlookup($A7,'R1_G2'!$A$8:$Y$17, J$2+4,false),
if(countif('R1_G3'!$A$8:$A$17,$A7)=1,vlookup($A7,'R1_G3'!$A$8:$Y$17, J$2+4,false),
if(countif('R1_G4'!$A$8:$A$17,$A7)=1,vlookup($A7,'R1_G4'!$A$8:$Y$17, J$2+4,false),""))))</f>
        <v>4</v>
      </c>
      <c r="K7" s="1426">
        <f>if(countif('R1_G1'!$A$8:$A$17,$A7)=1,vlookup($A7,'R1_G1'!$A$8:$Y$17, K$2+4,false),
if(countif('R1_G2'!$A$8:$A$17,$A7)=1,vlookup($A7,'R1_G2'!$A$8:$Y$17, K$2+4,false),
if(countif('R1_G3'!$A$8:$A$17,$A7)=1,vlookup($A7,'R1_G3'!$A$8:$Y$17, K$2+4,false),
if(countif('R1_G4'!$A$8:$A$17,$A7)=1,vlookup($A7,'R1_G4'!$A$8:$Y$17, K$2+4,false),""))))</f>
        <v>4</v>
      </c>
      <c r="L7" s="1426">
        <f>if(countif('R1_G1'!$A$8:$A$17,$A7)=1,vlookup($A7,'R1_G1'!$A$8:$Y$17, L$2+4,false),
if(countif('R1_G2'!$A$8:$A$17,$A7)=1,vlookup($A7,'R1_G2'!$A$8:$Y$17, L$2+4,false),
if(countif('R1_G3'!$A$8:$A$17,$A7)=1,vlookup($A7,'R1_G3'!$A$8:$Y$17, L$2+4,false),
if(countif('R1_G4'!$A$8:$A$17,$A7)=1,vlookup($A7,'R1_G4'!$A$8:$Y$17, L$2+4,false),""))))</f>
        <v>6</v>
      </c>
      <c r="M7" s="1426">
        <f>if(countif('R1_G1'!$A$8:$A$17,$A7)=1,vlookup($A7,'R1_G1'!$A$8:$Y$17, M$2+4,false),
if(countif('R1_G2'!$A$8:$A$17,$A7)=1,vlookup($A7,'R1_G2'!$A$8:$Y$17, M$2+4,false),
if(countif('R1_G3'!$A$8:$A$17,$A7)=1,vlookup($A7,'R1_G3'!$A$8:$Y$17, M$2+4,false),
if(countif('R1_G4'!$A$8:$A$17,$A7)=1,vlookup($A7,'R1_G4'!$A$8:$Y$17, M$2+4,false),""))))</f>
        <v>8</v>
      </c>
      <c r="N7" s="1427">
        <f>if(countif('R1_G1'!$A$8:$A$17,$A7)=1,vlookup($A7,'R1_G1'!$A$8:$Y$17, N$2+7,false),
if(countif('R1_G2'!$A$8:$A$17,$A7)=1,vlookup($A7,'R1_G2'!$A$8:$Y$17, N$2+7,false),
if(countif('R1_G3'!$A$8:$A$17,$A7)=1,vlookup($A7,'R1_G3'!$A$8:$Y$17, N$2+7,false),
if(countif('R1_G4'!$A$8:$A$17,$A7)=1,vlookup($A7,'R1_G4'!$A$8:$Y$17, N$2+7,false),""))))</f>
        <v>4</v>
      </c>
      <c r="O7" s="1427">
        <f>if(countif('R1_G1'!$A$8:$A$17,$A7)=1,vlookup($A7,'R1_G1'!$A$8:$Y$17, O$2+7,false),
if(countif('R1_G2'!$A$8:$A$17,$A7)=1,vlookup($A7,'R1_G2'!$A$8:$Y$17, O$2+7,false),
if(countif('R1_G3'!$A$8:$A$17,$A7)=1,vlookup($A7,'R1_G3'!$A$8:$Y$17, O$2+7,false),
if(countif('R1_G4'!$A$8:$A$17,$A7)=1,vlookup($A7,'R1_G4'!$A$8:$Y$17, O$2+7,false),""))))</f>
        <v>5</v>
      </c>
      <c r="P7" s="1427">
        <f>if(countif('R1_G1'!$A$8:$A$17,$A7)=1,vlookup($A7,'R1_G1'!$A$8:$Y$17, P$2+7,false),
if(countif('R1_G2'!$A$8:$A$17,$A7)=1,vlookup($A7,'R1_G2'!$A$8:$Y$17, P$2+7,false),
if(countif('R1_G3'!$A$8:$A$17,$A7)=1,vlookup($A7,'R1_G3'!$A$8:$Y$17, P$2+7,false),
if(countif('R1_G4'!$A$8:$A$17,$A7)=1,vlookup($A7,'R1_G4'!$A$8:$Y$17, P$2+7,false),""))))</f>
        <v>5</v>
      </c>
      <c r="Q7" s="1427">
        <f>if(countif('R1_G1'!$A$8:$A$17,$A7)=1,vlookup($A7,'R1_G1'!$A$8:$Y$17, Q$2+7,false),
if(countif('R1_G2'!$A$8:$A$17,$A7)=1,vlookup($A7,'R1_G2'!$A$8:$Y$17, Q$2+7,false),
if(countif('R1_G3'!$A$8:$A$17,$A7)=1,vlookup($A7,'R1_G3'!$A$8:$Y$17, Q$2+7,false),
if(countif('R1_G4'!$A$8:$A$17,$A7)=1,vlookup($A7,'R1_G4'!$A$8:$Y$17, Q$2+7,false),""))))</f>
        <v>3</v>
      </c>
      <c r="R7" s="1427">
        <f>if(countif('R1_G1'!$A$8:$A$17,$A7)=1,vlookup($A7,'R1_G1'!$A$8:$Y$17, R$2+7,false),
if(countif('R1_G2'!$A$8:$A$17,$A7)=1,vlookup($A7,'R1_G2'!$A$8:$Y$17, R$2+7,false),
if(countif('R1_G3'!$A$8:$A$17,$A7)=1,vlookup($A7,'R1_G3'!$A$8:$Y$17, R$2+7,false),
if(countif('R1_G4'!$A$8:$A$17,$A7)=1,vlookup($A7,'R1_G4'!$A$8:$Y$17, R$2+7,false),""))))</f>
        <v>5</v>
      </c>
      <c r="S7" s="1427">
        <f>if(countif('R1_G1'!$A$8:$A$17,$A7)=1,vlookup($A7,'R1_G1'!$A$8:$Y$17, S$2+7,false),
if(countif('R1_G2'!$A$8:$A$17,$A7)=1,vlookup($A7,'R1_G2'!$A$8:$Y$17, S$2+7,false),
if(countif('R1_G3'!$A$8:$A$17,$A7)=1,vlookup($A7,'R1_G3'!$A$8:$Y$17, S$2+7,false),
if(countif('R1_G4'!$A$8:$A$17,$A7)=1,vlookup($A7,'R1_G4'!$A$8:$Y$17, S$2+7,false),""))))</f>
        <v>4</v>
      </c>
      <c r="T7" s="1427">
        <f>if(countif('R1_G1'!$A$8:$A$17,$A7)=1,vlookup($A7,'R1_G1'!$A$8:$Y$17, T$2+7,false),
if(countif('R1_G2'!$A$8:$A$17,$A7)=1,vlookup($A7,'R1_G2'!$A$8:$Y$17, T$2+7,false),
if(countif('R1_G3'!$A$8:$A$17,$A7)=1,vlookup($A7,'R1_G3'!$A$8:$Y$17, T$2+7,false),
if(countif('R1_G4'!$A$8:$A$17,$A7)=1,vlookup($A7,'R1_G4'!$A$8:$Y$17, T$2+7,false),""))))</f>
        <v>6</v>
      </c>
      <c r="U7" s="1427">
        <f>if(countif('R1_G1'!$A$8:$A$17,$A7)=1,vlookup($A7,'R1_G1'!$A$8:$Y$17, U$2+7,false),
if(countif('R1_G2'!$A$8:$A$17,$A7)=1,vlookup($A7,'R1_G2'!$A$8:$Y$17, U$2+7,false),
if(countif('R1_G3'!$A$8:$A$17,$A7)=1,vlookup($A7,'R1_G3'!$A$8:$Y$17, U$2+7,false),
if(countif('R1_G4'!$A$8:$A$17,$A7)=1,vlookup($A7,'R1_G4'!$A$8:$Y$17, U$2+7,false),""))))</f>
        <v>3</v>
      </c>
      <c r="V7" s="1427">
        <f>if(countif('R1_G1'!$A$8:$A$17,$A7)=1,vlookup($A7,'R1_G1'!$A$8:$Y$17, V$2+7,false),
if(countif('R1_G2'!$A$8:$A$17,$A7)=1,vlookup($A7,'R1_G2'!$A$8:$Y$17, V$2+7,false),
if(countif('R1_G3'!$A$8:$A$17,$A7)=1,vlookup($A7,'R1_G3'!$A$8:$Y$17, V$2+7,false),
if(countif('R1_G4'!$A$8:$A$17,$A7)=1,vlookup($A7,'R1_G4'!$A$8:$Y$17, V$2+7,false),""))))</f>
        <v>4</v>
      </c>
      <c r="W7" s="1428">
        <f t="shared" si="4"/>
        <v>48</v>
      </c>
      <c r="X7" s="1428">
        <f t="shared" si="5"/>
        <v>39</v>
      </c>
      <c r="Y7" s="1428">
        <f t="shared" si="9"/>
        <v>87</v>
      </c>
      <c r="Z7" s="1424">
        <f t="shared" si="10"/>
        <v>78</v>
      </c>
      <c r="AA7" s="1424">
        <f t="shared" si="11"/>
        <v>87</v>
      </c>
      <c r="AB7" s="1421"/>
      <c r="AC7" s="1423" t="str">
        <f>'Master Input'!$A$13</f>
        <v>Andy</v>
      </c>
      <c r="AD7" s="1424">
        <f>VLOOKUP(AC7,'Master Input'!$A$11:$L$27,6,false)</f>
        <v>9</v>
      </c>
      <c r="AE7" s="1423" t="s">
        <v>266</v>
      </c>
      <c r="AF7" s="1401"/>
      <c r="AG7" s="1428">
        <f t="shared" ref="AG7:AX7" si="16">if(E7="","",E7-IF($B7&gt;0,FLOOR($B7/18,1),0)-IF(AND(MOD($B7,18)&gt;=E$3,$B7&gt;0),1,0)+IF(E$3-18&gt;$B7,1,0))</f>
        <v>5</v>
      </c>
      <c r="AH7" s="1428">
        <f t="shared" si="16"/>
        <v>4</v>
      </c>
      <c r="AI7" s="1428">
        <f t="shared" si="16"/>
        <v>4</v>
      </c>
      <c r="AJ7" s="1428">
        <f t="shared" si="16"/>
        <v>6</v>
      </c>
      <c r="AK7" s="1428">
        <f t="shared" si="16"/>
        <v>4</v>
      </c>
      <c r="AL7" s="1428">
        <f t="shared" si="16"/>
        <v>4</v>
      </c>
      <c r="AM7" s="1428">
        <f t="shared" si="16"/>
        <v>4</v>
      </c>
      <c r="AN7" s="1428">
        <f t="shared" si="16"/>
        <v>5</v>
      </c>
      <c r="AO7" s="1428">
        <f t="shared" si="16"/>
        <v>8</v>
      </c>
      <c r="AP7" s="1429">
        <f t="shared" si="16"/>
        <v>4</v>
      </c>
      <c r="AQ7" s="1429">
        <f t="shared" si="16"/>
        <v>4</v>
      </c>
      <c r="AR7" s="1429">
        <f t="shared" si="16"/>
        <v>4</v>
      </c>
      <c r="AS7" s="1429">
        <f t="shared" si="16"/>
        <v>3</v>
      </c>
      <c r="AT7" s="1429">
        <f t="shared" si="16"/>
        <v>5</v>
      </c>
      <c r="AU7" s="1429">
        <f t="shared" si="16"/>
        <v>3</v>
      </c>
      <c r="AV7" s="1429">
        <f t="shared" si="16"/>
        <v>5</v>
      </c>
      <c r="AW7" s="1429">
        <f t="shared" si="16"/>
        <v>3</v>
      </c>
      <c r="AX7" s="1429">
        <f t="shared" si="16"/>
        <v>3</v>
      </c>
      <c r="AY7" s="1428">
        <f t="shared" si="7"/>
        <v>44</v>
      </c>
      <c r="AZ7" s="1428">
        <f t="shared" si="8"/>
        <v>34</v>
      </c>
      <c r="BA7" s="1428">
        <f t="shared" si="13"/>
        <v>78</v>
      </c>
      <c r="BB7" s="1430" t="str">
        <f>if(countif('R1_G1'!$A$8:$A$17,$A7)=1, if(and(BA7=Z7,BA7=vlookup($A7,'R1_G1'!$A$8:$AB$17, 28,false)),"yes","no"),
if(countif('R1_G2'!$A$8:$A$17,$A7)=1, if(and(BA7=Z7,BA7=vlookup($A7,'R1_G2'!$A$8:$AB$17, 28,false)),"yes","no"),
if(countif('R1_G3'!$A$8:$A$17,$A7)=1, if(and(BA7=Z7,BA7=vlookup($A7,'R1_G3'!$A$8:$AB$17, 28,false)),"yes","no"),
if(countif('R1_G4'!$A$8:$A$17,$A7)=1, if(and(BA7=Z7,BA7=vlookup($A7,'R1_G4'!$A$8:$AB$17, 28,false)),"yes","no"),
"?"))))
</f>
        <v>yes</v>
      </c>
      <c r="BC7" s="1421"/>
      <c r="BD7" s="1441">
        <f t="shared" si="14"/>
        <v>6.5</v>
      </c>
      <c r="BE7" s="1442">
        <f t="shared" si="15"/>
        <v>9.033333333</v>
      </c>
      <c r="BF7" s="1442">
        <f t="shared" si="17"/>
        <v>0</v>
      </c>
      <c r="BG7" s="1442">
        <f t="shared" si="18"/>
        <v>2</v>
      </c>
      <c r="BH7" s="1442">
        <f t="shared" si="19"/>
        <v>9</v>
      </c>
      <c r="BI7" s="1442">
        <f t="shared" si="20"/>
        <v>6</v>
      </c>
      <c r="BJ7" s="1442">
        <f t="shared" si="21"/>
        <v>1</v>
      </c>
    </row>
    <row r="8" ht="14.25" customHeight="1">
      <c r="A8" s="1434" t="str">
        <f>'Master Input'!$A$14</f>
        <v>Pace</v>
      </c>
      <c r="B8" s="1435">
        <f>VLOOKUP(A8,'Master Input'!$A$11:$L$27,6,false)</f>
        <v>11</v>
      </c>
      <c r="C8" s="1434"/>
      <c r="D8" s="1401"/>
      <c r="E8" s="1437">
        <f>if(countif('R1_G1'!$A$8:$A$17,$A8)=1,vlookup($A8,'R1_G1'!$A$8:$Y$17, E$2+4,false),
if(countif('R1_G2'!$A$8:$A$17,$A8)=1,vlookup($A8,'R1_G2'!$A$8:$Y$17, E$2+4,false),
if(countif('R1_G3'!$A$8:$A$17,$A8)=1,vlookup($A8,'R1_G3'!$A$8:$Y$17, E$2+4,false),
if(countif('R1_G4'!$A$8:$A$17,$A8)=1,vlookup($A8,'R1_G4'!$A$8:$Y$17, E$2+4,false),""))))</f>
        <v>4</v>
      </c>
      <c r="F8" s="1437">
        <f>if(countif('R1_G1'!$A$8:$A$17,$A8)=1,vlookup($A8,'R1_G1'!$A$8:$Y$17, F$2+4,false),
if(countif('R1_G2'!$A$8:$A$17,$A8)=1,vlookup($A8,'R1_G2'!$A$8:$Y$17, F$2+4,false),
if(countif('R1_G3'!$A$8:$A$17,$A8)=1,vlookup($A8,'R1_G3'!$A$8:$Y$17, F$2+4,false),
if(countif('R1_G4'!$A$8:$A$17,$A8)=1,vlookup($A8,'R1_G4'!$A$8:$Y$17, F$2+4,false),""))))</f>
        <v>5</v>
      </c>
      <c r="G8" s="1437">
        <f>if(countif('R1_G1'!$A$8:$A$17,$A8)=1,vlookup($A8,'R1_G1'!$A$8:$Y$17, G$2+4,false),
if(countif('R1_G2'!$A$8:$A$17,$A8)=1,vlookup($A8,'R1_G2'!$A$8:$Y$17, G$2+4,false),
if(countif('R1_G3'!$A$8:$A$17,$A8)=1,vlookup($A8,'R1_G3'!$A$8:$Y$17, G$2+4,false),
if(countif('R1_G4'!$A$8:$A$17,$A8)=1,vlookup($A8,'R1_G4'!$A$8:$Y$17, G$2+4,false),""))))</f>
        <v>3</v>
      </c>
      <c r="H8" s="1437">
        <f>if(countif('R1_G1'!$A$8:$A$17,$A8)=1,vlookup($A8,'R1_G1'!$A$8:$Y$17, H$2+4,false),
if(countif('R1_G2'!$A$8:$A$17,$A8)=1,vlookup($A8,'R1_G2'!$A$8:$Y$17, H$2+4,false),
if(countif('R1_G3'!$A$8:$A$17,$A8)=1,vlookup($A8,'R1_G3'!$A$8:$Y$17, H$2+4,false),
if(countif('R1_G4'!$A$8:$A$17,$A8)=1,vlookup($A8,'R1_G4'!$A$8:$Y$17, H$2+4,false),""))))</f>
        <v>6</v>
      </c>
      <c r="I8" s="1437">
        <f>if(countif('R1_G1'!$A$8:$A$17,$A8)=1,vlookup($A8,'R1_G1'!$A$8:$Y$17, I$2+4,false),
if(countif('R1_G2'!$A$8:$A$17,$A8)=1,vlookup($A8,'R1_G2'!$A$8:$Y$17, I$2+4,false),
if(countif('R1_G3'!$A$8:$A$17,$A8)=1,vlookup($A8,'R1_G3'!$A$8:$Y$17, I$2+4,false),
if(countif('R1_G4'!$A$8:$A$17,$A8)=1,vlookup($A8,'R1_G4'!$A$8:$Y$17, I$2+4,false),""))))</f>
        <v>8</v>
      </c>
      <c r="J8" s="1437">
        <f>if(countif('R1_G1'!$A$8:$A$17,$A8)=1,vlookup($A8,'R1_G1'!$A$8:$Y$17, J$2+4,false),
if(countif('R1_G2'!$A$8:$A$17,$A8)=1,vlookup($A8,'R1_G2'!$A$8:$Y$17, J$2+4,false),
if(countif('R1_G3'!$A$8:$A$17,$A8)=1,vlookup($A8,'R1_G3'!$A$8:$Y$17, J$2+4,false),
if(countif('R1_G4'!$A$8:$A$17,$A8)=1,vlookup($A8,'R1_G4'!$A$8:$Y$17, J$2+4,false),""))))</f>
        <v>4</v>
      </c>
      <c r="K8" s="1437">
        <f>if(countif('R1_G1'!$A$8:$A$17,$A8)=1,vlookup($A8,'R1_G1'!$A$8:$Y$17, K$2+4,false),
if(countif('R1_G2'!$A$8:$A$17,$A8)=1,vlookup($A8,'R1_G2'!$A$8:$Y$17, K$2+4,false),
if(countif('R1_G3'!$A$8:$A$17,$A8)=1,vlookup($A8,'R1_G3'!$A$8:$Y$17, K$2+4,false),
if(countif('R1_G4'!$A$8:$A$17,$A8)=1,vlookup($A8,'R1_G4'!$A$8:$Y$17, K$2+4,false),""))))</f>
        <v>3</v>
      </c>
      <c r="L8" s="1437">
        <f>if(countif('R1_G1'!$A$8:$A$17,$A8)=1,vlookup($A8,'R1_G1'!$A$8:$Y$17, L$2+4,false),
if(countif('R1_G2'!$A$8:$A$17,$A8)=1,vlookup($A8,'R1_G2'!$A$8:$Y$17, L$2+4,false),
if(countif('R1_G3'!$A$8:$A$17,$A8)=1,vlookup($A8,'R1_G3'!$A$8:$Y$17, L$2+4,false),
if(countif('R1_G4'!$A$8:$A$17,$A8)=1,vlookup($A8,'R1_G4'!$A$8:$Y$17, L$2+4,false),""))))</f>
        <v>6</v>
      </c>
      <c r="M8" s="1437">
        <f>if(countif('R1_G1'!$A$8:$A$17,$A8)=1,vlookup($A8,'R1_G1'!$A$8:$Y$17, M$2+4,false),
if(countif('R1_G2'!$A$8:$A$17,$A8)=1,vlookup($A8,'R1_G2'!$A$8:$Y$17, M$2+4,false),
if(countif('R1_G3'!$A$8:$A$17,$A8)=1,vlookup($A8,'R1_G3'!$A$8:$Y$17, M$2+4,false),
if(countif('R1_G4'!$A$8:$A$17,$A8)=1,vlookup($A8,'R1_G4'!$A$8:$Y$17, M$2+4,false),""))))</f>
        <v>4</v>
      </c>
      <c r="N8" s="1426">
        <f>if(countif('R1_G1'!$A$8:$A$17,$A8)=1,vlookup($A8,'R1_G1'!$A$8:$Y$17, N$2+7,false),
if(countif('R1_G2'!$A$8:$A$17,$A8)=1,vlookup($A8,'R1_G2'!$A$8:$Y$17, N$2+7,false),
if(countif('R1_G3'!$A$8:$A$17,$A8)=1,vlookup($A8,'R1_G3'!$A$8:$Y$17, N$2+7,false),
if(countif('R1_G4'!$A$8:$A$17,$A8)=1,vlookup($A8,'R1_G4'!$A$8:$Y$17, N$2+7,false),""))))</f>
        <v>4</v>
      </c>
      <c r="O8" s="1426">
        <f>if(countif('R1_G1'!$A$8:$A$17,$A8)=1,vlookup($A8,'R1_G1'!$A$8:$Y$17, O$2+7,false),
if(countif('R1_G2'!$A$8:$A$17,$A8)=1,vlookup($A8,'R1_G2'!$A$8:$Y$17, O$2+7,false),
if(countif('R1_G3'!$A$8:$A$17,$A8)=1,vlookup($A8,'R1_G3'!$A$8:$Y$17, O$2+7,false),
if(countif('R1_G4'!$A$8:$A$17,$A8)=1,vlookup($A8,'R1_G4'!$A$8:$Y$17, O$2+7,false),""))))</f>
        <v>4</v>
      </c>
      <c r="P8" s="1426">
        <f>if(countif('R1_G1'!$A$8:$A$17,$A8)=1,vlookup($A8,'R1_G1'!$A$8:$Y$17, P$2+7,false),
if(countif('R1_G2'!$A$8:$A$17,$A8)=1,vlookup($A8,'R1_G2'!$A$8:$Y$17, P$2+7,false),
if(countif('R1_G3'!$A$8:$A$17,$A8)=1,vlookup($A8,'R1_G3'!$A$8:$Y$17, P$2+7,false),
if(countif('R1_G4'!$A$8:$A$17,$A8)=1,vlookup($A8,'R1_G4'!$A$8:$Y$17, P$2+7,false),""))))</f>
        <v>5</v>
      </c>
      <c r="Q8" s="1426">
        <f>if(countif('R1_G1'!$A$8:$A$17,$A8)=1,vlookup($A8,'R1_G1'!$A$8:$Y$17, Q$2+7,false),
if(countif('R1_G2'!$A$8:$A$17,$A8)=1,vlookup($A8,'R1_G2'!$A$8:$Y$17, Q$2+7,false),
if(countif('R1_G3'!$A$8:$A$17,$A8)=1,vlookup($A8,'R1_G3'!$A$8:$Y$17, Q$2+7,false),
if(countif('R1_G4'!$A$8:$A$17,$A8)=1,vlookup($A8,'R1_G4'!$A$8:$Y$17, Q$2+7,false),""))))</f>
        <v>4</v>
      </c>
      <c r="R8" s="1426">
        <f>if(countif('R1_G1'!$A$8:$A$17,$A8)=1,vlookup($A8,'R1_G1'!$A$8:$Y$17, R$2+7,false),
if(countif('R1_G2'!$A$8:$A$17,$A8)=1,vlookup($A8,'R1_G2'!$A$8:$Y$17, R$2+7,false),
if(countif('R1_G3'!$A$8:$A$17,$A8)=1,vlookup($A8,'R1_G3'!$A$8:$Y$17, R$2+7,false),
if(countif('R1_G4'!$A$8:$A$17,$A8)=1,vlookup($A8,'R1_G4'!$A$8:$Y$17, R$2+7,false),""))))</f>
        <v>5</v>
      </c>
      <c r="S8" s="1426">
        <f>if(countif('R1_G1'!$A$8:$A$17,$A8)=1,vlookup($A8,'R1_G1'!$A$8:$Y$17, S$2+7,false),
if(countif('R1_G2'!$A$8:$A$17,$A8)=1,vlookup($A8,'R1_G2'!$A$8:$Y$17, S$2+7,false),
if(countif('R1_G3'!$A$8:$A$17,$A8)=1,vlookup($A8,'R1_G3'!$A$8:$Y$17, S$2+7,false),
if(countif('R1_G4'!$A$8:$A$17,$A8)=1,vlookup($A8,'R1_G4'!$A$8:$Y$17, S$2+7,false),""))))</f>
        <v>4</v>
      </c>
      <c r="T8" s="1426">
        <f>if(countif('R1_G1'!$A$8:$A$17,$A8)=1,vlookup($A8,'R1_G1'!$A$8:$Y$17, T$2+7,false),
if(countif('R1_G2'!$A$8:$A$17,$A8)=1,vlookup($A8,'R1_G2'!$A$8:$Y$17, T$2+7,false),
if(countif('R1_G3'!$A$8:$A$17,$A8)=1,vlookup($A8,'R1_G3'!$A$8:$Y$17, T$2+7,false),
if(countif('R1_G4'!$A$8:$A$17,$A8)=1,vlookup($A8,'R1_G4'!$A$8:$Y$17, T$2+7,false),""))))</f>
        <v>6</v>
      </c>
      <c r="U8" s="1426">
        <f>if(countif('R1_G1'!$A$8:$A$17,$A8)=1,vlookup($A8,'R1_G1'!$A$8:$Y$17, U$2+7,false),
if(countif('R1_G2'!$A$8:$A$17,$A8)=1,vlookup($A8,'R1_G2'!$A$8:$Y$17, U$2+7,false),
if(countif('R1_G3'!$A$8:$A$17,$A8)=1,vlookup($A8,'R1_G3'!$A$8:$Y$17, U$2+7,false),
if(countif('R1_G4'!$A$8:$A$17,$A8)=1,vlookup($A8,'R1_G4'!$A$8:$Y$17, U$2+7,false),""))))</f>
        <v>4</v>
      </c>
      <c r="V8" s="1426">
        <f>if(countif('R1_G1'!$A$8:$A$17,$A8)=1,vlookup($A8,'R1_G1'!$A$8:$Y$17, V$2+7,false),
if(countif('R1_G2'!$A$8:$A$17,$A8)=1,vlookup($A8,'R1_G2'!$A$8:$Y$17, V$2+7,false),
if(countif('R1_G3'!$A$8:$A$17,$A8)=1,vlookup($A8,'R1_G3'!$A$8:$Y$17, V$2+7,false),
if(countif('R1_G4'!$A$8:$A$17,$A8)=1,vlookup($A8,'R1_G4'!$A$8:$Y$17, V$2+7,false),""))))</f>
        <v>5</v>
      </c>
      <c r="W8" s="1438">
        <f t="shared" si="4"/>
        <v>43</v>
      </c>
      <c r="X8" s="1438">
        <f t="shared" si="5"/>
        <v>41</v>
      </c>
      <c r="Y8" s="1438">
        <f t="shared" si="9"/>
        <v>84</v>
      </c>
      <c r="Z8" s="1435">
        <f t="shared" si="10"/>
        <v>73</v>
      </c>
      <c r="AA8" s="1435">
        <f t="shared" si="11"/>
        <v>84</v>
      </c>
      <c r="AB8" s="1421"/>
      <c r="AC8" s="1434" t="str">
        <f>'Master Input'!$A$14</f>
        <v>Pace</v>
      </c>
      <c r="AD8" s="1435">
        <f>VLOOKUP(AC8,'Master Input'!$A$11:$L$27,6,false)</f>
        <v>11</v>
      </c>
      <c r="AE8" s="1434" t="s">
        <v>266</v>
      </c>
      <c r="AF8" s="1401"/>
      <c r="AG8" s="1438">
        <f t="shared" ref="AG8:AX8" si="22">if(E8="","",E8-IF($B8&gt;0,FLOOR($B8/18,1),0)-IF(AND(MOD($B8,18)&gt;=E$3,$B8&gt;0),1,0)+IF(E$3-18&gt;$B8,1,0))</f>
        <v>3</v>
      </c>
      <c r="AH8" s="1438">
        <f t="shared" si="22"/>
        <v>4</v>
      </c>
      <c r="AI8" s="1438">
        <f t="shared" si="22"/>
        <v>3</v>
      </c>
      <c r="AJ8" s="1438">
        <f t="shared" si="22"/>
        <v>6</v>
      </c>
      <c r="AK8" s="1438">
        <f t="shared" si="22"/>
        <v>7</v>
      </c>
      <c r="AL8" s="1438">
        <f t="shared" si="22"/>
        <v>4</v>
      </c>
      <c r="AM8" s="1438">
        <f t="shared" si="22"/>
        <v>2</v>
      </c>
      <c r="AN8" s="1438">
        <f t="shared" si="22"/>
        <v>5</v>
      </c>
      <c r="AO8" s="1438">
        <f t="shared" si="22"/>
        <v>4</v>
      </c>
      <c r="AP8" s="1426">
        <f t="shared" si="22"/>
        <v>4</v>
      </c>
      <c r="AQ8" s="1426">
        <f t="shared" si="22"/>
        <v>3</v>
      </c>
      <c r="AR8" s="1426">
        <f t="shared" si="22"/>
        <v>4</v>
      </c>
      <c r="AS8" s="1426">
        <f t="shared" si="22"/>
        <v>4</v>
      </c>
      <c r="AT8" s="1426">
        <f t="shared" si="22"/>
        <v>4</v>
      </c>
      <c r="AU8" s="1426">
        <f t="shared" si="22"/>
        <v>3</v>
      </c>
      <c r="AV8" s="1426">
        <f t="shared" si="22"/>
        <v>5</v>
      </c>
      <c r="AW8" s="1426">
        <f t="shared" si="22"/>
        <v>4</v>
      </c>
      <c r="AX8" s="1426">
        <f t="shared" si="22"/>
        <v>4</v>
      </c>
      <c r="AY8" s="1438">
        <f t="shared" si="7"/>
        <v>38</v>
      </c>
      <c r="AZ8" s="1438">
        <f t="shared" si="8"/>
        <v>35</v>
      </c>
      <c r="BA8" s="1438">
        <f t="shared" si="13"/>
        <v>73</v>
      </c>
      <c r="BB8" s="1436" t="str">
        <f>if(countif('R1_G1'!$A$8:$A$17,$A8)=1, if(and(BA8=Z8,BA8=vlookup($A8,'R1_G1'!$A$8:$AB$17, 28,false)),"yes","no"),
if(countif('R1_G2'!$A$8:$A$17,$A8)=1, if(and(BA8=Z8,BA8=vlookup($A8,'R1_G2'!$A$8:$AB$17, 28,false)),"yes","no"),
if(countif('R1_G3'!$A$8:$A$17,$A8)=1, if(and(BA8=Z8,BA8=vlookup($A8,'R1_G3'!$A$8:$AB$17, 28,false)),"yes","no"),
if(countif('R1_G4'!$A$8:$A$17,$A8)=1, if(and(BA8=Z8,BA8=vlookup($A8,'R1_G4'!$A$8:$AB$17, 28,false)),"yes","no"),
"?"))))
</f>
        <v>yes</v>
      </c>
      <c r="BC8" s="1421"/>
      <c r="BD8" s="1439">
        <f t="shared" si="14"/>
        <v>9</v>
      </c>
      <c r="BE8" s="1440">
        <f t="shared" si="15"/>
        <v>10.56666667</v>
      </c>
      <c r="BF8" s="1440">
        <f t="shared" si="17"/>
        <v>0</v>
      </c>
      <c r="BG8" s="1440">
        <f t="shared" si="18"/>
        <v>6</v>
      </c>
      <c r="BH8" s="1440">
        <f t="shared" si="19"/>
        <v>6</v>
      </c>
      <c r="BI8" s="1440">
        <f t="shared" si="20"/>
        <v>5</v>
      </c>
      <c r="BJ8" s="1440">
        <f t="shared" si="21"/>
        <v>1</v>
      </c>
    </row>
    <row r="9" ht="14.25" customHeight="1">
      <c r="A9" s="1423" t="str">
        <f>'Master Input'!$A$15</f>
        <v>House</v>
      </c>
      <c r="B9" s="1424">
        <f>VLOOKUP(A9,'Master Input'!$A$11:$L$27,6,false)</f>
        <v>12</v>
      </c>
      <c r="C9" s="1430"/>
      <c r="D9" s="1401"/>
      <c r="E9" s="1426">
        <f>if(countif('R1_G1'!$A$8:$A$17,$A9)=1,vlookup($A9,'R1_G1'!$A$8:$Y$17, E$2+4,false),
if(countif('R1_G2'!$A$8:$A$17,$A9)=1,vlookup($A9,'R1_G2'!$A$8:$Y$17, E$2+4,false),
if(countif('R1_G3'!$A$8:$A$17,$A9)=1,vlookup($A9,'R1_G3'!$A$8:$Y$17, E$2+4,false),
if(countif('R1_G4'!$A$8:$A$17,$A9)=1,vlookup($A9,'R1_G4'!$A$8:$Y$17, E$2+4,false),""))))</f>
        <v>4</v>
      </c>
      <c r="F9" s="1426">
        <f>if(countif('R1_G1'!$A$8:$A$17,$A9)=1,vlookup($A9,'R1_G1'!$A$8:$Y$17, F$2+4,false),
if(countif('R1_G2'!$A$8:$A$17,$A9)=1,vlookup($A9,'R1_G2'!$A$8:$Y$17, F$2+4,false),
if(countif('R1_G3'!$A$8:$A$17,$A9)=1,vlookup($A9,'R1_G3'!$A$8:$Y$17, F$2+4,false),
if(countif('R1_G4'!$A$8:$A$17,$A9)=1,vlookup($A9,'R1_G4'!$A$8:$Y$17, F$2+4,false),""))))</f>
        <v>5</v>
      </c>
      <c r="G9" s="1426">
        <f>if(countif('R1_G1'!$A$8:$A$17,$A9)=1,vlookup($A9,'R1_G1'!$A$8:$Y$17, G$2+4,false),
if(countif('R1_G2'!$A$8:$A$17,$A9)=1,vlookup($A9,'R1_G2'!$A$8:$Y$17, G$2+4,false),
if(countif('R1_G3'!$A$8:$A$17,$A9)=1,vlookup($A9,'R1_G3'!$A$8:$Y$17, G$2+4,false),
if(countif('R1_G4'!$A$8:$A$17,$A9)=1,vlookup($A9,'R1_G4'!$A$8:$Y$17, G$2+4,false),""))))</f>
        <v>3</v>
      </c>
      <c r="H9" s="1426">
        <f>if(countif('R1_G1'!$A$8:$A$17,$A9)=1,vlookup($A9,'R1_G1'!$A$8:$Y$17, H$2+4,false),
if(countif('R1_G2'!$A$8:$A$17,$A9)=1,vlookup($A9,'R1_G2'!$A$8:$Y$17, H$2+4,false),
if(countif('R1_G3'!$A$8:$A$17,$A9)=1,vlookup($A9,'R1_G3'!$A$8:$Y$17, H$2+4,false),
if(countif('R1_G4'!$A$8:$A$17,$A9)=1,vlookup($A9,'R1_G4'!$A$8:$Y$17, H$2+4,false),""))))</f>
        <v>6</v>
      </c>
      <c r="I9" s="1426">
        <f>if(countif('R1_G1'!$A$8:$A$17,$A9)=1,vlookup($A9,'R1_G1'!$A$8:$Y$17, I$2+4,false),
if(countif('R1_G2'!$A$8:$A$17,$A9)=1,vlookup($A9,'R1_G2'!$A$8:$Y$17, I$2+4,false),
if(countif('R1_G3'!$A$8:$A$17,$A9)=1,vlookup($A9,'R1_G3'!$A$8:$Y$17, I$2+4,false),
if(countif('R1_G4'!$A$8:$A$17,$A9)=1,vlookup($A9,'R1_G4'!$A$8:$Y$17, I$2+4,false),""))))</f>
        <v>6</v>
      </c>
      <c r="J9" s="1426">
        <f>if(countif('R1_G1'!$A$8:$A$17,$A9)=1,vlookup($A9,'R1_G1'!$A$8:$Y$17, J$2+4,false),
if(countif('R1_G2'!$A$8:$A$17,$A9)=1,vlookup($A9,'R1_G2'!$A$8:$Y$17, J$2+4,false),
if(countif('R1_G3'!$A$8:$A$17,$A9)=1,vlookup($A9,'R1_G3'!$A$8:$Y$17, J$2+4,false),
if(countif('R1_G4'!$A$8:$A$17,$A9)=1,vlookup($A9,'R1_G4'!$A$8:$Y$17, J$2+4,false),""))))</f>
        <v>4</v>
      </c>
      <c r="K9" s="1426">
        <f>if(countif('R1_G1'!$A$8:$A$17,$A9)=1,vlookup($A9,'R1_G1'!$A$8:$Y$17, K$2+4,false),
if(countif('R1_G2'!$A$8:$A$17,$A9)=1,vlookup($A9,'R1_G2'!$A$8:$Y$17, K$2+4,false),
if(countif('R1_G3'!$A$8:$A$17,$A9)=1,vlookup($A9,'R1_G3'!$A$8:$Y$17, K$2+4,false),
if(countif('R1_G4'!$A$8:$A$17,$A9)=1,vlookup($A9,'R1_G4'!$A$8:$Y$17, K$2+4,false),""))))</f>
        <v>4</v>
      </c>
      <c r="L9" s="1426">
        <f>if(countif('R1_G1'!$A$8:$A$17,$A9)=1,vlookup($A9,'R1_G1'!$A$8:$Y$17, L$2+4,false),
if(countif('R1_G2'!$A$8:$A$17,$A9)=1,vlookup($A9,'R1_G2'!$A$8:$Y$17, L$2+4,false),
if(countif('R1_G3'!$A$8:$A$17,$A9)=1,vlookup($A9,'R1_G3'!$A$8:$Y$17, L$2+4,false),
if(countif('R1_G4'!$A$8:$A$17,$A9)=1,vlookup($A9,'R1_G4'!$A$8:$Y$17, L$2+4,false),""))))</f>
        <v>4</v>
      </c>
      <c r="M9" s="1426">
        <f>if(countif('R1_G1'!$A$8:$A$17,$A9)=1,vlookup($A9,'R1_G1'!$A$8:$Y$17, M$2+4,false),
if(countif('R1_G2'!$A$8:$A$17,$A9)=1,vlookup($A9,'R1_G2'!$A$8:$Y$17, M$2+4,false),
if(countif('R1_G3'!$A$8:$A$17,$A9)=1,vlookup($A9,'R1_G3'!$A$8:$Y$17, M$2+4,false),
if(countif('R1_G4'!$A$8:$A$17,$A9)=1,vlookup($A9,'R1_G4'!$A$8:$Y$17, M$2+4,false),""))))</f>
        <v>5</v>
      </c>
      <c r="N9" s="1427">
        <f>if(countif('R1_G1'!$A$8:$A$17,$A9)=1,vlookup($A9,'R1_G1'!$A$8:$Y$17, N$2+7,false),
if(countif('R1_G2'!$A$8:$A$17,$A9)=1,vlookup($A9,'R1_G2'!$A$8:$Y$17, N$2+7,false),
if(countif('R1_G3'!$A$8:$A$17,$A9)=1,vlookup($A9,'R1_G3'!$A$8:$Y$17, N$2+7,false),
if(countif('R1_G4'!$A$8:$A$17,$A9)=1,vlookup($A9,'R1_G4'!$A$8:$Y$17, N$2+7,false),""))))</f>
        <v>5</v>
      </c>
      <c r="O9" s="1427">
        <f>if(countif('R1_G1'!$A$8:$A$17,$A9)=1,vlookup($A9,'R1_G1'!$A$8:$Y$17, O$2+7,false),
if(countif('R1_G2'!$A$8:$A$17,$A9)=1,vlookup($A9,'R1_G2'!$A$8:$Y$17, O$2+7,false),
if(countif('R1_G3'!$A$8:$A$17,$A9)=1,vlookup($A9,'R1_G3'!$A$8:$Y$17, O$2+7,false),
if(countif('R1_G4'!$A$8:$A$17,$A9)=1,vlookup($A9,'R1_G4'!$A$8:$Y$17, O$2+7,false),""))))</f>
        <v>6</v>
      </c>
      <c r="P9" s="1427">
        <f>if(countif('R1_G1'!$A$8:$A$17,$A9)=1,vlookup($A9,'R1_G1'!$A$8:$Y$17, P$2+7,false),
if(countif('R1_G2'!$A$8:$A$17,$A9)=1,vlookup($A9,'R1_G2'!$A$8:$Y$17, P$2+7,false),
if(countif('R1_G3'!$A$8:$A$17,$A9)=1,vlookup($A9,'R1_G3'!$A$8:$Y$17, P$2+7,false),
if(countif('R1_G4'!$A$8:$A$17,$A9)=1,vlookup($A9,'R1_G4'!$A$8:$Y$17, P$2+7,false),""))))</f>
        <v>4</v>
      </c>
      <c r="Q9" s="1427">
        <f>if(countif('R1_G1'!$A$8:$A$17,$A9)=1,vlookup($A9,'R1_G1'!$A$8:$Y$17, Q$2+7,false),
if(countif('R1_G2'!$A$8:$A$17,$A9)=1,vlookup($A9,'R1_G2'!$A$8:$Y$17, Q$2+7,false),
if(countif('R1_G3'!$A$8:$A$17,$A9)=1,vlookup($A9,'R1_G3'!$A$8:$Y$17, Q$2+7,false),
if(countif('R1_G4'!$A$8:$A$17,$A9)=1,vlookup($A9,'R1_G4'!$A$8:$Y$17, Q$2+7,false),""))))</f>
        <v>4</v>
      </c>
      <c r="R9" s="1427">
        <f>if(countif('R1_G1'!$A$8:$A$17,$A9)=1,vlookup($A9,'R1_G1'!$A$8:$Y$17, R$2+7,false),
if(countif('R1_G2'!$A$8:$A$17,$A9)=1,vlookup($A9,'R1_G2'!$A$8:$Y$17, R$2+7,false),
if(countif('R1_G3'!$A$8:$A$17,$A9)=1,vlookup($A9,'R1_G3'!$A$8:$Y$17, R$2+7,false),
if(countif('R1_G4'!$A$8:$A$17,$A9)=1,vlookup($A9,'R1_G4'!$A$8:$Y$17, R$2+7,false),""))))</f>
        <v>6</v>
      </c>
      <c r="S9" s="1427">
        <f>if(countif('R1_G1'!$A$8:$A$17,$A9)=1,vlookup($A9,'R1_G1'!$A$8:$Y$17, S$2+7,false),
if(countif('R1_G2'!$A$8:$A$17,$A9)=1,vlookup($A9,'R1_G2'!$A$8:$Y$17, S$2+7,false),
if(countif('R1_G3'!$A$8:$A$17,$A9)=1,vlookup($A9,'R1_G3'!$A$8:$Y$17, S$2+7,false),
if(countif('R1_G4'!$A$8:$A$17,$A9)=1,vlookup($A9,'R1_G4'!$A$8:$Y$17, S$2+7,false),""))))</f>
        <v>6</v>
      </c>
      <c r="T9" s="1427">
        <f>if(countif('R1_G1'!$A$8:$A$17,$A9)=1,vlookup($A9,'R1_G1'!$A$8:$Y$17, T$2+7,false),
if(countif('R1_G2'!$A$8:$A$17,$A9)=1,vlookup($A9,'R1_G2'!$A$8:$Y$17, T$2+7,false),
if(countif('R1_G3'!$A$8:$A$17,$A9)=1,vlookup($A9,'R1_G3'!$A$8:$Y$17, T$2+7,false),
if(countif('R1_G4'!$A$8:$A$17,$A9)=1,vlookup($A9,'R1_G4'!$A$8:$Y$17, T$2+7,false),""))))</f>
        <v>5</v>
      </c>
      <c r="U9" s="1427">
        <f>if(countif('R1_G1'!$A$8:$A$17,$A9)=1,vlookup($A9,'R1_G1'!$A$8:$Y$17, U$2+7,false),
if(countif('R1_G2'!$A$8:$A$17,$A9)=1,vlookup($A9,'R1_G2'!$A$8:$Y$17, U$2+7,false),
if(countif('R1_G3'!$A$8:$A$17,$A9)=1,vlookup($A9,'R1_G3'!$A$8:$Y$17, U$2+7,false),
if(countif('R1_G4'!$A$8:$A$17,$A9)=1,vlookup($A9,'R1_G4'!$A$8:$Y$17, U$2+7,false),""))))</f>
        <v>4</v>
      </c>
      <c r="V9" s="1427">
        <f>if(countif('R1_G1'!$A$8:$A$17,$A9)=1,vlookup($A9,'R1_G1'!$A$8:$Y$17, V$2+7,false),
if(countif('R1_G2'!$A$8:$A$17,$A9)=1,vlookup($A9,'R1_G2'!$A$8:$Y$17, V$2+7,false),
if(countif('R1_G3'!$A$8:$A$17,$A9)=1,vlookup($A9,'R1_G3'!$A$8:$Y$17, V$2+7,false),
if(countif('R1_G4'!$A$8:$A$17,$A9)=1,vlookup($A9,'R1_G4'!$A$8:$Y$17, V$2+7,false),""))))</f>
        <v>5</v>
      </c>
      <c r="W9" s="1428">
        <f t="shared" si="4"/>
        <v>41</v>
      </c>
      <c r="X9" s="1428">
        <f t="shared" si="5"/>
        <v>45</v>
      </c>
      <c r="Y9" s="1428">
        <f t="shared" si="9"/>
        <v>86</v>
      </c>
      <c r="Z9" s="1424">
        <f t="shared" si="10"/>
        <v>74</v>
      </c>
      <c r="AA9" s="1424">
        <f t="shared" si="11"/>
        <v>86</v>
      </c>
      <c r="AB9" s="1421"/>
      <c r="AC9" s="1423" t="str">
        <f>'Master Input'!$A$15</f>
        <v>House</v>
      </c>
      <c r="AD9" s="1424">
        <f>VLOOKUP(AC9,'Master Input'!$A$11:$L$27,6,false)</f>
        <v>12</v>
      </c>
      <c r="AE9" s="1423" t="s">
        <v>266</v>
      </c>
      <c r="AF9" s="1401"/>
      <c r="AG9" s="1428">
        <f t="shared" ref="AG9:AX9" si="23">if(E9="","",E9-IF($B9&gt;0,FLOOR($B9/18,1),0)-IF(AND(MOD($B9,18)&gt;=E$3,$B9&gt;0),1,0)+IF(E$3-18&gt;$B9,1,0))</f>
        <v>3</v>
      </c>
      <c r="AH9" s="1428">
        <f t="shared" si="23"/>
        <v>4</v>
      </c>
      <c r="AI9" s="1428">
        <f t="shared" si="23"/>
        <v>3</v>
      </c>
      <c r="AJ9" s="1428">
        <f t="shared" si="23"/>
        <v>5</v>
      </c>
      <c r="AK9" s="1428">
        <f t="shared" si="23"/>
        <v>5</v>
      </c>
      <c r="AL9" s="1428">
        <f t="shared" si="23"/>
        <v>4</v>
      </c>
      <c r="AM9" s="1428">
        <f t="shared" si="23"/>
        <v>3</v>
      </c>
      <c r="AN9" s="1428">
        <f t="shared" si="23"/>
        <v>3</v>
      </c>
      <c r="AO9" s="1428">
        <f t="shared" si="23"/>
        <v>5</v>
      </c>
      <c r="AP9" s="1429">
        <f t="shared" si="23"/>
        <v>5</v>
      </c>
      <c r="AQ9" s="1429">
        <f t="shared" si="23"/>
        <v>5</v>
      </c>
      <c r="AR9" s="1429">
        <f t="shared" si="23"/>
        <v>3</v>
      </c>
      <c r="AS9" s="1429">
        <f t="shared" si="23"/>
        <v>4</v>
      </c>
      <c r="AT9" s="1429">
        <f t="shared" si="23"/>
        <v>5</v>
      </c>
      <c r="AU9" s="1429">
        <f t="shared" si="23"/>
        <v>5</v>
      </c>
      <c r="AV9" s="1429">
        <f t="shared" si="23"/>
        <v>4</v>
      </c>
      <c r="AW9" s="1429">
        <f t="shared" si="23"/>
        <v>4</v>
      </c>
      <c r="AX9" s="1429">
        <f t="shared" si="23"/>
        <v>4</v>
      </c>
      <c r="AY9" s="1428">
        <f t="shared" si="7"/>
        <v>35</v>
      </c>
      <c r="AZ9" s="1428">
        <f t="shared" si="8"/>
        <v>39</v>
      </c>
      <c r="BA9" s="1428">
        <f t="shared" si="13"/>
        <v>74</v>
      </c>
      <c r="BB9" s="1430" t="str">
        <f>if(countif('R1_G1'!$A$8:$A$17,$A9)=1, if(and(BA9=Z9,BA9=vlookup($A9,'R1_G1'!$A$8:$AB$17, 28,false)),"yes","no"),
if(countif('R1_G2'!$A$8:$A$17,$A9)=1, if(and(BA9=Z9,BA9=vlookup($A9,'R1_G2'!$A$8:$AB$17, 28,false)),"yes","no"),
if(countif('R1_G3'!$A$8:$A$17,$A9)=1, if(and(BA9=Z9,BA9=vlookup($A9,'R1_G3'!$A$8:$AB$17, 28,false)),"yes","no"),
if(countif('R1_G4'!$A$8:$A$17,$A9)=1, if(and(BA9=Z9,BA9=vlookup($A9,'R1_G4'!$A$8:$AB$17, 28,false)),"yes","no"),
"?"))))
</f>
        <v>yes</v>
      </c>
      <c r="BC9" s="1421"/>
      <c r="BD9" s="1441">
        <f t="shared" si="14"/>
        <v>7.5</v>
      </c>
      <c r="BE9" s="1442">
        <f t="shared" si="15"/>
        <v>9.833333333</v>
      </c>
      <c r="BF9" s="1442">
        <f t="shared" si="17"/>
        <v>0</v>
      </c>
      <c r="BG9" s="1442">
        <f t="shared" si="18"/>
        <v>3</v>
      </c>
      <c r="BH9" s="1442">
        <f t="shared" si="19"/>
        <v>9</v>
      </c>
      <c r="BI9" s="1442">
        <f t="shared" si="20"/>
        <v>6</v>
      </c>
      <c r="BJ9" s="1442">
        <f t="shared" si="21"/>
        <v>0</v>
      </c>
    </row>
    <row r="10" ht="14.25" customHeight="1">
      <c r="A10" s="1434" t="str">
        <f>'Master Input'!$A$16</f>
        <v>DK</v>
      </c>
      <c r="B10" s="1435">
        <f>VLOOKUP(A10,'Master Input'!$A$11:$L$27,6,false)</f>
        <v>15</v>
      </c>
      <c r="C10" s="1436"/>
      <c r="D10" s="1401"/>
      <c r="E10" s="1437">
        <f>if(countif('R1_G1'!$A$8:$A$17,$A10)=1,vlookup($A10,'R1_G1'!$A$8:$Y$17, E$2+4,false),
if(countif('R1_G2'!$A$8:$A$17,$A10)=1,vlookup($A10,'R1_G2'!$A$8:$Y$17, E$2+4,false),
if(countif('R1_G3'!$A$8:$A$17,$A10)=1,vlookup($A10,'R1_G3'!$A$8:$Y$17, E$2+4,false),
if(countif('R1_G4'!$A$8:$A$17,$A10)=1,vlookup($A10,'R1_G4'!$A$8:$Y$17, E$2+4,false),""))))</f>
        <v>4</v>
      </c>
      <c r="F10" s="1437">
        <f>if(countif('R1_G1'!$A$8:$A$17,$A10)=1,vlookup($A10,'R1_G1'!$A$8:$Y$17, F$2+4,false),
if(countif('R1_G2'!$A$8:$A$17,$A10)=1,vlookup($A10,'R1_G2'!$A$8:$Y$17, F$2+4,false),
if(countif('R1_G3'!$A$8:$A$17,$A10)=1,vlookup($A10,'R1_G3'!$A$8:$Y$17, F$2+4,false),
if(countif('R1_G4'!$A$8:$A$17,$A10)=1,vlookup($A10,'R1_G4'!$A$8:$Y$17, F$2+4,false),""))))</f>
        <v>5</v>
      </c>
      <c r="G10" s="1437">
        <f>if(countif('R1_G1'!$A$8:$A$17,$A10)=1,vlookup($A10,'R1_G1'!$A$8:$Y$17, G$2+4,false),
if(countif('R1_G2'!$A$8:$A$17,$A10)=1,vlookup($A10,'R1_G2'!$A$8:$Y$17, G$2+4,false),
if(countif('R1_G3'!$A$8:$A$17,$A10)=1,vlookup($A10,'R1_G3'!$A$8:$Y$17, G$2+4,false),
if(countif('R1_G4'!$A$8:$A$17,$A10)=1,vlookup($A10,'R1_G4'!$A$8:$Y$17, G$2+4,false),""))))</f>
        <v>3</v>
      </c>
      <c r="H10" s="1437">
        <f>if(countif('R1_G1'!$A$8:$A$17,$A10)=1,vlookup($A10,'R1_G1'!$A$8:$Y$17, H$2+4,false),
if(countif('R1_G2'!$A$8:$A$17,$A10)=1,vlookup($A10,'R1_G2'!$A$8:$Y$17, H$2+4,false),
if(countif('R1_G3'!$A$8:$A$17,$A10)=1,vlookup($A10,'R1_G3'!$A$8:$Y$17, H$2+4,false),
if(countif('R1_G4'!$A$8:$A$17,$A10)=1,vlookup($A10,'R1_G4'!$A$8:$Y$17, H$2+4,false),""))))</f>
        <v>5</v>
      </c>
      <c r="I10" s="1437">
        <f>if(countif('R1_G1'!$A$8:$A$17,$A10)=1,vlookup($A10,'R1_G1'!$A$8:$Y$17, I$2+4,false),
if(countif('R1_G2'!$A$8:$A$17,$A10)=1,vlookup($A10,'R1_G2'!$A$8:$Y$17, I$2+4,false),
if(countif('R1_G3'!$A$8:$A$17,$A10)=1,vlookup($A10,'R1_G3'!$A$8:$Y$17, I$2+4,false),
if(countif('R1_G4'!$A$8:$A$17,$A10)=1,vlookup($A10,'R1_G4'!$A$8:$Y$17, I$2+4,false),""))))</f>
        <v>4</v>
      </c>
      <c r="J10" s="1437">
        <f>if(countif('R1_G1'!$A$8:$A$17,$A10)=1,vlookup($A10,'R1_G1'!$A$8:$Y$17, J$2+4,false),
if(countif('R1_G2'!$A$8:$A$17,$A10)=1,vlookup($A10,'R1_G2'!$A$8:$Y$17, J$2+4,false),
if(countif('R1_G3'!$A$8:$A$17,$A10)=1,vlookup($A10,'R1_G3'!$A$8:$Y$17, J$2+4,false),
if(countif('R1_G4'!$A$8:$A$17,$A10)=1,vlookup($A10,'R1_G4'!$A$8:$Y$17, J$2+4,false),""))))</f>
        <v>4</v>
      </c>
      <c r="K10" s="1437">
        <f>if(countif('R1_G1'!$A$8:$A$17,$A10)=1,vlookup($A10,'R1_G1'!$A$8:$Y$17, K$2+4,false),
if(countif('R1_G2'!$A$8:$A$17,$A10)=1,vlookup($A10,'R1_G2'!$A$8:$Y$17, K$2+4,false),
if(countif('R1_G3'!$A$8:$A$17,$A10)=1,vlookup($A10,'R1_G3'!$A$8:$Y$17, K$2+4,false),
if(countif('R1_G4'!$A$8:$A$17,$A10)=1,vlookup($A10,'R1_G4'!$A$8:$Y$17, K$2+4,false),""))))</f>
        <v>3</v>
      </c>
      <c r="L10" s="1437">
        <f>if(countif('R1_G1'!$A$8:$A$17,$A10)=1,vlookup($A10,'R1_G1'!$A$8:$Y$17, L$2+4,false),
if(countif('R1_G2'!$A$8:$A$17,$A10)=1,vlookup($A10,'R1_G2'!$A$8:$Y$17, L$2+4,false),
if(countif('R1_G3'!$A$8:$A$17,$A10)=1,vlookup($A10,'R1_G3'!$A$8:$Y$17, L$2+4,false),
if(countif('R1_G4'!$A$8:$A$17,$A10)=1,vlookup($A10,'R1_G4'!$A$8:$Y$17, L$2+4,false),""))))</f>
        <v>6</v>
      </c>
      <c r="M10" s="1437">
        <f>if(countif('R1_G1'!$A$8:$A$17,$A10)=1,vlookup($A10,'R1_G1'!$A$8:$Y$17, M$2+4,false),
if(countif('R1_G2'!$A$8:$A$17,$A10)=1,vlookup($A10,'R1_G2'!$A$8:$Y$17, M$2+4,false),
if(countif('R1_G3'!$A$8:$A$17,$A10)=1,vlookup($A10,'R1_G3'!$A$8:$Y$17, M$2+4,false),
if(countif('R1_G4'!$A$8:$A$17,$A10)=1,vlookup($A10,'R1_G4'!$A$8:$Y$17, M$2+4,false),""))))</f>
        <v>5</v>
      </c>
      <c r="N10" s="1426">
        <f>if(countif('R1_G1'!$A$8:$A$17,$A10)=1,vlookup($A10,'R1_G1'!$A$8:$Y$17, N$2+7,false),
if(countif('R1_G2'!$A$8:$A$17,$A10)=1,vlookup($A10,'R1_G2'!$A$8:$Y$17, N$2+7,false),
if(countif('R1_G3'!$A$8:$A$17,$A10)=1,vlookup($A10,'R1_G3'!$A$8:$Y$17, N$2+7,false),
if(countif('R1_G4'!$A$8:$A$17,$A10)=1,vlookup($A10,'R1_G4'!$A$8:$Y$17, N$2+7,false),""))))</f>
        <v>6</v>
      </c>
      <c r="O10" s="1426">
        <f>if(countif('R1_G1'!$A$8:$A$17,$A10)=1,vlookup($A10,'R1_G1'!$A$8:$Y$17, O$2+7,false),
if(countif('R1_G2'!$A$8:$A$17,$A10)=1,vlookup($A10,'R1_G2'!$A$8:$Y$17, O$2+7,false),
if(countif('R1_G3'!$A$8:$A$17,$A10)=1,vlookup($A10,'R1_G3'!$A$8:$Y$17, O$2+7,false),
if(countif('R1_G4'!$A$8:$A$17,$A10)=1,vlookup($A10,'R1_G4'!$A$8:$Y$17, O$2+7,false),""))))</f>
        <v>6</v>
      </c>
      <c r="P10" s="1426">
        <f>if(countif('R1_G1'!$A$8:$A$17,$A10)=1,vlookup($A10,'R1_G1'!$A$8:$Y$17, P$2+7,false),
if(countif('R1_G2'!$A$8:$A$17,$A10)=1,vlookup($A10,'R1_G2'!$A$8:$Y$17, P$2+7,false),
if(countif('R1_G3'!$A$8:$A$17,$A10)=1,vlookup($A10,'R1_G3'!$A$8:$Y$17, P$2+7,false),
if(countif('R1_G4'!$A$8:$A$17,$A10)=1,vlookup($A10,'R1_G4'!$A$8:$Y$17, P$2+7,false),""))))</f>
        <v>7</v>
      </c>
      <c r="Q10" s="1426">
        <f>if(countif('R1_G1'!$A$8:$A$17,$A10)=1,vlookup($A10,'R1_G1'!$A$8:$Y$17, Q$2+7,false),
if(countif('R1_G2'!$A$8:$A$17,$A10)=1,vlookup($A10,'R1_G2'!$A$8:$Y$17, Q$2+7,false),
if(countif('R1_G3'!$A$8:$A$17,$A10)=1,vlookup($A10,'R1_G3'!$A$8:$Y$17, Q$2+7,false),
if(countif('R1_G4'!$A$8:$A$17,$A10)=1,vlookup($A10,'R1_G4'!$A$8:$Y$17, Q$2+7,false),""))))</f>
        <v>3</v>
      </c>
      <c r="R10" s="1426">
        <f>if(countif('R1_G1'!$A$8:$A$17,$A10)=1,vlookup($A10,'R1_G1'!$A$8:$Y$17, R$2+7,false),
if(countif('R1_G2'!$A$8:$A$17,$A10)=1,vlookup($A10,'R1_G2'!$A$8:$Y$17, R$2+7,false),
if(countif('R1_G3'!$A$8:$A$17,$A10)=1,vlookup($A10,'R1_G3'!$A$8:$Y$17, R$2+7,false),
if(countif('R1_G4'!$A$8:$A$17,$A10)=1,vlookup($A10,'R1_G4'!$A$8:$Y$17, R$2+7,false),""))))</f>
        <v>5</v>
      </c>
      <c r="S10" s="1426">
        <f>if(countif('R1_G1'!$A$8:$A$17,$A10)=1,vlookup($A10,'R1_G1'!$A$8:$Y$17, S$2+7,false),
if(countif('R1_G2'!$A$8:$A$17,$A10)=1,vlookup($A10,'R1_G2'!$A$8:$Y$17, S$2+7,false),
if(countif('R1_G3'!$A$8:$A$17,$A10)=1,vlookup($A10,'R1_G3'!$A$8:$Y$17, S$2+7,false),
if(countif('R1_G4'!$A$8:$A$17,$A10)=1,vlookup($A10,'R1_G4'!$A$8:$Y$17, S$2+7,false),""))))</f>
        <v>7</v>
      </c>
      <c r="T10" s="1426">
        <f>if(countif('R1_G1'!$A$8:$A$17,$A10)=1,vlookup($A10,'R1_G1'!$A$8:$Y$17, T$2+7,false),
if(countif('R1_G2'!$A$8:$A$17,$A10)=1,vlookup($A10,'R1_G2'!$A$8:$Y$17, T$2+7,false),
if(countif('R1_G3'!$A$8:$A$17,$A10)=1,vlookup($A10,'R1_G3'!$A$8:$Y$17, T$2+7,false),
if(countif('R1_G4'!$A$8:$A$17,$A10)=1,vlookup($A10,'R1_G4'!$A$8:$Y$17, T$2+7,false),""))))</f>
        <v>6</v>
      </c>
      <c r="U10" s="1426">
        <f>if(countif('R1_G1'!$A$8:$A$17,$A10)=1,vlookup($A10,'R1_G1'!$A$8:$Y$17, U$2+7,false),
if(countif('R1_G2'!$A$8:$A$17,$A10)=1,vlookup($A10,'R1_G2'!$A$8:$Y$17, U$2+7,false),
if(countif('R1_G3'!$A$8:$A$17,$A10)=1,vlookup($A10,'R1_G3'!$A$8:$Y$17, U$2+7,false),
if(countif('R1_G4'!$A$8:$A$17,$A10)=1,vlookup($A10,'R1_G4'!$A$8:$Y$17, U$2+7,false),""))))</f>
        <v>6</v>
      </c>
      <c r="V10" s="1426">
        <f>if(countif('R1_G1'!$A$8:$A$17,$A10)=1,vlookup($A10,'R1_G1'!$A$8:$Y$17, V$2+7,false),
if(countif('R1_G2'!$A$8:$A$17,$A10)=1,vlookup($A10,'R1_G2'!$A$8:$Y$17, V$2+7,false),
if(countif('R1_G3'!$A$8:$A$17,$A10)=1,vlookup($A10,'R1_G3'!$A$8:$Y$17, V$2+7,false),
if(countif('R1_G4'!$A$8:$A$17,$A10)=1,vlookup($A10,'R1_G4'!$A$8:$Y$17, V$2+7,false),""))))</f>
        <v>7</v>
      </c>
      <c r="W10" s="1438">
        <f t="shared" si="4"/>
        <v>39</v>
      </c>
      <c r="X10" s="1438">
        <f t="shared" si="5"/>
        <v>53</v>
      </c>
      <c r="Y10" s="1438">
        <f t="shared" si="9"/>
        <v>92</v>
      </c>
      <c r="Z10" s="1435">
        <f t="shared" si="10"/>
        <v>77</v>
      </c>
      <c r="AA10" s="1435">
        <f t="shared" si="11"/>
        <v>92</v>
      </c>
      <c r="AB10" s="1421"/>
      <c r="AC10" s="1434" t="str">
        <f>'Master Input'!$A$16</f>
        <v>DK</v>
      </c>
      <c r="AD10" s="1435">
        <f>VLOOKUP(AC10,'Master Input'!$A$11:$L$27,6,false)</f>
        <v>15</v>
      </c>
      <c r="AE10" s="1434" t="s">
        <v>266</v>
      </c>
      <c r="AF10" s="1401"/>
      <c r="AG10" s="1438">
        <f t="shared" ref="AG10:AX10" si="24">if(E10="","",E10-IF($B10&gt;0,FLOOR($B10/18,1),0)-IF(AND(MOD($B10,18)&gt;=E$3,$B10&gt;0),1,0)+IF(E$3-18&gt;$B10,1,0))</f>
        <v>3</v>
      </c>
      <c r="AH10" s="1438">
        <f t="shared" si="24"/>
        <v>4</v>
      </c>
      <c r="AI10" s="1438">
        <f t="shared" si="24"/>
        <v>2</v>
      </c>
      <c r="AJ10" s="1438">
        <f t="shared" si="24"/>
        <v>4</v>
      </c>
      <c r="AK10" s="1438">
        <f t="shared" si="24"/>
        <v>3</v>
      </c>
      <c r="AL10" s="1438">
        <f t="shared" si="24"/>
        <v>4</v>
      </c>
      <c r="AM10" s="1438">
        <f t="shared" si="24"/>
        <v>2</v>
      </c>
      <c r="AN10" s="1438">
        <f t="shared" si="24"/>
        <v>5</v>
      </c>
      <c r="AO10" s="1438">
        <f t="shared" si="24"/>
        <v>5</v>
      </c>
      <c r="AP10" s="1426">
        <f t="shared" si="24"/>
        <v>5</v>
      </c>
      <c r="AQ10" s="1426">
        <f t="shared" si="24"/>
        <v>5</v>
      </c>
      <c r="AR10" s="1426">
        <f t="shared" si="24"/>
        <v>6</v>
      </c>
      <c r="AS10" s="1426">
        <f t="shared" si="24"/>
        <v>2</v>
      </c>
      <c r="AT10" s="1426">
        <f t="shared" si="24"/>
        <v>4</v>
      </c>
      <c r="AU10" s="1426">
        <f t="shared" si="24"/>
        <v>6</v>
      </c>
      <c r="AV10" s="1426">
        <f t="shared" si="24"/>
        <v>5</v>
      </c>
      <c r="AW10" s="1426">
        <f t="shared" si="24"/>
        <v>6</v>
      </c>
      <c r="AX10" s="1426">
        <f t="shared" si="24"/>
        <v>6</v>
      </c>
      <c r="AY10" s="1438">
        <f t="shared" si="7"/>
        <v>32</v>
      </c>
      <c r="AZ10" s="1438">
        <f t="shared" si="8"/>
        <v>45</v>
      </c>
      <c r="BA10" s="1438">
        <f t="shared" si="13"/>
        <v>77</v>
      </c>
      <c r="BB10" s="1436" t="str">
        <f>if(countif('R1_G1'!$A$8:$A$17,$A10)=1, if(and(BA10=Z10,BA10=vlookup($A10,'R1_G1'!$A$8:$AB$17, 28,false)),"yes","no"),
if(countif('R1_G2'!$A$8:$A$17,$A10)=1, if(and(BA10=Z10,BA10=vlookup($A10,'R1_G2'!$A$8:$AB$17, 28,false)),"yes","no"),
if(countif('R1_G3'!$A$8:$A$17,$A10)=1, if(and(BA10=Z10,BA10=vlookup($A10,'R1_G3'!$A$8:$AB$17, 28,false)),"yes","no"),
if(countif('R1_G4'!$A$8:$A$17,$A10)=1, if(and(BA10=Z10,BA10=vlookup($A10,'R1_G4'!$A$8:$AB$17, 28,false)),"yes","no"),
"?"))))
</f>
        <v>yes</v>
      </c>
      <c r="BC10" s="1421"/>
      <c r="BD10" s="1439">
        <f t="shared" si="14"/>
        <v>8.5</v>
      </c>
      <c r="BE10" s="1440">
        <f t="shared" si="15"/>
        <v>9.5</v>
      </c>
      <c r="BF10" s="1440">
        <f t="shared" si="17"/>
        <v>0</v>
      </c>
      <c r="BG10" s="1440">
        <f t="shared" si="18"/>
        <v>7</v>
      </c>
      <c r="BH10" s="1440">
        <f t="shared" si="19"/>
        <v>3</v>
      </c>
      <c r="BI10" s="1440">
        <f t="shared" si="20"/>
        <v>4</v>
      </c>
      <c r="BJ10" s="1440">
        <f t="shared" si="21"/>
        <v>4</v>
      </c>
    </row>
    <row r="11" ht="14.25" customHeight="1">
      <c r="A11" s="1423" t="str">
        <f>'Master Input'!$A$17</f>
        <v>Carp</v>
      </c>
      <c r="B11" s="1424">
        <f>VLOOKUP(A11,'Master Input'!$A$11:$L$27,6,false)</f>
        <v>19</v>
      </c>
      <c r="C11" s="1430"/>
      <c r="D11" s="1401"/>
      <c r="E11" s="1426">
        <f>if(countif('R1_G1'!$A$8:$A$17,$A11)=1,vlookup($A11,'R1_G1'!$A$8:$Y$17, E$2+4,false),
if(countif('R1_G2'!$A$8:$A$17,$A11)=1,vlookup($A11,'R1_G2'!$A$8:$Y$17, E$2+4,false),
if(countif('R1_G3'!$A$8:$A$17,$A11)=1,vlookup($A11,'R1_G3'!$A$8:$Y$17, E$2+4,false),
if(countif('R1_G4'!$A$8:$A$17,$A11)=1,vlookup($A11,'R1_G4'!$A$8:$Y$17, E$2+4,false),""))))</f>
        <v>4</v>
      </c>
      <c r="F11" s="1426">
        <f>if(countif('R1_G1'!$A$8:$A$17,$A11)=1,vlookup($A11,'R1_G1'!$A$8:$Y$17, F$2+4,false),
if(countif('R1_G2'!$A$8:$A$17,$A11)=1,vlookup($A11,'R1_G2'!$A$8:$Y$17, F$2+4,false),
if(countif('R1_G3'!$A$8:$A$17,$A11)=1,vlookup($A11,'R1_G3'!$A$8:$Y$17, F$2+4,false),
if(countif('R1_G4'!$A$8:$A$17,$A11)=1,vlookup($A11,'R1_G4'!$A$8:$Y$17, F$2+4,false),""))))</f>
        <v>9</v>
      </c>
      <c r="G11" s="1426">
        <f>if(countif('R1_G1'!$A$8:$A$17,$A11)=1,vlookup($A11,'R1_G1'!$A$8:$Y$17, G$2+4,false),
if(countif('R1_G2'!$A$8:$A$17,$A11)=1,vlookup($A11,'R1_G2'!$A$8:$Y$17, G$2+4,false),
if(countif('R1_G3'!$A$8:$A$17,$A11)=1,vlookup($A11,'R1_G3'!$A$8:$Y$17, G$2+4,false),
if(countif('R1_G4'!$A$8:$A$17,$A11)=1,vlookup($A11,'R1_G4'!$A$8:$Y$17, G$2+4,false),""))))</f>
        <v>5</v>
      </c>
      <c r="H11" s="1426">
        <f>if(countif('R1_G1'!$A$8:$A$17,$A11)=1,vlookup($A11,'R1_G1'!$A$8:$Y$17, H$2+4,false),
if(countif('R1_G2'!$A$8:$A$17,$A11)=1,vlookup($A11,'R1_G2'!$A$8:$Y$17, H$2+4,false),
if(countif('R1_G3'!$A$8:$A$17,$A11)=1,vlookup($A11,'R1_G3'!$A$8:$Y$17, H$2+4,false),
if(countif('R1_G4'!$A$8:$A$17,$A11)=1,vlookup($A11,'R1_G4'!$A$8:$Y$17, H$2+4,false),""))))</f>
        <v>10</v>
      </c>
      <c r="I11" s="1426">
        <f>if(countif('R1_G1'!$A$8:$A$17,$A11)=1,vlookup($A11,'R1_G1'!$A$8:$Y$17, I$2+4,false),
if(countif('R1_G2'!$A$8:$A$17,$A11)=1,vlookup($A11,'R1_G2'!$A$8:$Y$17, I$2+4,false),
if(countif('R1_G3'!$A$8:$A$17,$A11)=1,vlookup($A11,'R1_G3'!$A$8:$Y$17, I$2+4,false),
if(countif('R1_G4'!$A$8:$A$17,$A11)=1,vlookup($A11,'R1_G4'!$A$8:$Y$17, I$2+4,false),""))))</f>
        <v>6</v>
      </c>
      <c r="J11" s="1426">
        <f>if(countif('R1_G1'!$A$8:$A$17,$A11)=1,vlookup($A11,'R1_G1'!$A$8:$Y$17, J$2+4,false),
if(countif('R1_G2'!$A$8:$A$17,$A11)=1,vlookup($A11,'R1_G2'!$A$8:$Y$17, J$2+4,false),
if(countif('R1_G3'!$A$8:$A$17,$A11)=1,vlookup($A11,'R1_G3'!$A$8:$Y$17, J$2+4,false),
if(countif('R1_G4'!$A$8:$A$17,$A11)=1,vlookup($A11,'R1_G4'!$A$8:$Y$17, J$2+4,false),""))))</f>
        <v>5</v>
      </c>
      <c r="K11" s="1426">
        <f>if(countif('R1_G1'!$A$8:$A$17,$A11)=1,vlookup($A11,'R1_G1'!$A$8:$Y$17, K$2+4,false),
if(countif('R1_G2'!$A$8:$A$17,$A11)=1,vlookup($A11,'R1_G2'!$A$8:$Y$17, K$2+4,false),
if(countif('R1_G3'!$A$8:$A$17,$A11)=1,vlookup($A11,'R1_G3'!$A$8:$Y$17, K$2+4,false),
if(countif('R1_G4'!$A$8:$A$17,$A11)=1,vlookup($A11,'R1_G4'!$A$8:$Y$17, K$2+4,false),""))))</f>
        <v>5</v>
      </c>
      <c r="L11" s="1426">
        <f>if(countif('R1_G1'!$A$8:$A$17,$A11)=1,vlookup($A11,'R1_G1'!$A$8:$Y$17, L$2+4,false),
if(countif('R1_G2'!$A$8:$A$17,$A11)=1,vlookup($A11,'R1_G2'!$A$8:$Y$17, L$2+4,false),
if(countif('R1_G3'!$A$8:$A$17,$A11)=1,vlookup($A11,'R1_G3'!$A$8:$Y$17, L$2+4,false),
if(countif('R1_G4'!$A$8:$A$17,$A11)=1,vlookup($A11,'R1_G4'!$A$8:$Y$17, L$2+4,false),""))))</f>
        <v>8</v>
      </c>
      <c r="M11" s="1426">
        <f>if(countif('R1_G1'!$A$8:$A$17,$A11)=1,vlookup($A11,'R1_G1'!$A$8:$Y$17, M$2+4,false),
if(countif('R1_G2'!$A$8:$A$17,$A11)=1,vlookup($A11,'R1_G2'!$A$8:$Y$17, M$2+4,false),
if(countif('R1_G3'!$A$8:$A$17,$A11)=1,vlookup($A11,'R1_G3'!$A$8:$Y$17, M$2+4,false),
if(countif('R1_G4'!$A$8:$A$17,$A11)=1,vlookup($A11,'R1_G4'!$A$8:$Y$17, M$2+4,false),""))))</f>
        <v>7</v>
      </c>
      <c r="N11" s="1427">
        <f>if(countif('R1_G1'!$A$8:$A$17,$A11)=1,vlookup($A11,'R1_G1'!$A$8:$Y$17, N$2+7,false),
if(countif('R1_G2'!$A$8:$A$17,$A11)=1,vlookup($A11,'R1_G2'!$A$8:$Y$17, N$2+7,false),
if(countif('R1_G3'!$A$8:$A$17,$A11)=1,vlookup($A11,'R1_G3'!$A$8:$Y$17, N$2+7,false),
if(countif('R1_G4'!$A$8:$A$17,$A11)=1,vlookup($A11,'R1_G4'!$A$8:$Y$17, N$2+7,false),""))))</f>
        <v>6</v>
      </c>
      <c r="O11" s="1427">
        <f>if(countif('R1_G1'!$A$8:$A$17,$A11)=1,vlookup($A11,'R1_G1'!$A$8:$Y$17, O$2+7,false),
if(countif('R1_G2'!$A$8:$A$17,$A11)=1,vlookup($A11,'R1_G2'!$A$8:$Y$17, O$2+7,false),
if(countif('R1_G3'!$A$8:$A$17,$A11)=1,vlookup($A11,'R1_G3'!$A$8:$Y$17, O$2+7,false),
if(countif('R1_G4'!$A$8:$A$17,$A11)=1,vlookup($A11,'R1_G4'!$A$8:$Y$17, O$2+7,false),""))))</f>
        <v>6</v>
      </c>
      <c r="P11" s="1427">
        <f>if(countif('R1_G1'!$A$8:$A$17,$A11)=1,vlookup($A11,'R1_G1'!$A$8:$Y$17, P$2+7,false),
if(countif('R1_G2'!$A$8:$A$17,$A11)=1,vlookup($A11,'R1_G2'!$A$8:$Y$17, P$2+7,false),
if(countif('R1_G3'!$A$8:$A$17,$A11)=1,vlookup($A11,'R1_G3'!$A$8:$Y$17, P$2+7,false),
if(countif('R1_G4'!$A$8:$A$17,$A11)=1,vlookup($A11,'R1_G4'!$A$8:$Y$17, P$2+7,false),""))))</f>
        <v>7</v>
      </c>
      <c r="Q11" s="1427">
        <f>if(countif('R1_G1'!$A$8:$A$17,$A11)=1,vlookup($A11,'R1_G1'!$A$8:$Y$17, Q$2+7,false),
if(countif('R1_G2'!$A$8:$A$17,$A11)=1,vlookup($A11,'R1_G2'!$A$8:$Y$17, Q$2+7,false),
if(countif('R1_G3'!$A$8:$A$17,$A11)=1,vlookup($A11,'R1_G3'!$A$8:$Y$17, Q$2+7,false),
if(countif('R1_G4'!$A$8:$A$17,$A11)=1,vlookup($A11,'R1_G4'!$A$8:$Y$17, Q$2+7,false),""))))</f>
        <v>7</v>
      </c>
      <c r="R11" s="1427">
        <f>if(countif('R1_G1'!$A$8:$A$17,$A11)=1,vlookup($A11,'R1_G1'!$A$8:$Y$17, R$2+7,false),
if(countif('R1_G2'!$A$8:$A$17,$A11)=1,vlookup($A11,'R1_G2'!$A$8:$Y$17, R$2+7,false),
if(countif('R1_G3'!$A$8:$A$17,$A11)=1,vlookup($A11,'R1_G3'!$A$8:$Y$17, R$2+7,false),
if(countif('R1_G4'!$A$8:$A$17,$A11)=1,vlookup($A11,'R1_G4'!$A$8:$Y$17, R$2+7,false),""))))</f>
        <v>6</v>
      </c>
      <c r="S11" s="1427">
        <f>if(countif('R1_G1'!$A$8:$A$17,$A11)=1,vlookup($A11,'R1_G1'!$A$8:$Y$17, S$2+7,false),
if(countif('R1_G2'!$A$8:$A$17,$A11)=1,vlookup($A11,'R1_G2'!$A$8:$Y$17, S$2+7,false),
if(countif('R1_G3'!$A$8:$A$17,$A11)=1,vlookup($A11,'R1_G3'!$A$8:$Y$17, S$2+7,false),
if(countif('R1_G4'!$A$8:$A$17,$A11)=1,vlookup($A11,'R1_G4'!$A$8:$Y$17, S$2+7,false),""))))</f>
        <v>5</v>
      </c>
      <c r="T11" s="1427">
        <f>if(countif('R1_G1'!$A$8:$A$17,$A11)=1,vlookup($A11,'R1_G1'!$A$8:$Y$17, T$2+7,false),
if(countif('R1_G2'!$A$8:$A$17,$A11)=1,vlookup($A11,'R1_G2'!$A$8:$Y$17, T$2+7,false),
if(countif('R1_G3'!$A$8:$A$17,$A11)=1,vlookup($A11,'R1_G3'!$A$8:$Y$17, T$2+7,false),
if(countif('R1_G4'!$A$8:$A$17,$A11)=1,vlookup($A11,'R1_G4'!$A$8:$Y$17, T$2+7,false),""))))</f>
        <v>7</v>
      </c>
      <c r="U11" s="1427">
        <f>if(countif('R1_G1'!$A$8:$A$17,$A11)=1,vlookup($A11,'R1_G1'!$A$8:$Y$17, U$2+7,false),
if(countif('R1_G2'!$A$8:$A$17,$A11)=1,vlookup($A11,'R1_G2'!$A$8:$Y$17, U$2+7,false),
if(countif('R1_G3'!$A$8:$A$17,$A11)=1,vlookup($A11,'R1_G3'!$A$8:$Y$17, U$2+7,false),
if(countif('R1_G4'!$A$8:$A$17,$A11)=1,vlookup($A11,'R1_G4'!$A$8:$Y$17, U$2+7,false),""))))</f>
        <v>4</v>
      </c>
      <c r="V11" s="1427">
        <f>if(countif('R1_G1'!$A$8:$A$17,$A11)=1,vlookup($A11,'R1_G1'!$A$8:$Y$17, V$2+7,false),
if(countif('R1_G2'!$A$8:$A$17,$A11)=1,vlookup($A11,'R1_G2'!$A$8:$Y$17, V$2+7,false),
if(countif('R1_G3'!$A$8:$A$17,$A11)=1,vlookup($A11,'R1_G3'!$A$8:$Y$17, V$2+7,false),
if(countif('R1_G4'!$A$8:$A$17,$A11)=1,vlookup($A11,'R1_G4'!$A$8:$Y$17, V$2+7,false),""))))</f>
        <v>4</v>
      </c>
      <c r="W11" s="1428">
        <f t="shared" si="4"/>
        <v>59</v>
      </c>
      <c r="X11" s="1428">
        <f t="shared" si="5"/>
        <v>52</v>
      </c>
      <c r="Y11" s="1428">
        <f t="shared" si="9"/>
        <v>111</v>
      </c>
      <c r="Z11" s="1424">
        <f t="shared" si="10"/>
        <v>92</v>
      </c>
      <c r="AA11" s="1424">
        <f t="shared" si="11"/>
        <v>111</v>
      </c>
      <c r="AB11" s="1421"/>
      <c r="AC11" s="1423" t="str">
        <f>'Master Input'!$A$17</f>
        <v>Carp</v>
      </c>
      <c r="AD11" s="1424">
        <f>VLOOKUP(AC11,'Master Input'!$A$11:$L$27,6,false)</f>
        <v>19</v>
      </c>
      <c r="AE11" s="1423" t="s">
        <v>266</v>
      </c>
      <c r="AF11" s="1401"/>
      <c r="AG11" s="1428">
        <f t="shared" ref="AG11:AX11" si="25">if(E11="","",E11-IF($B11&gt;0,FLOOR($B11/18,1),0)-IF(AND(MOD($B11,18)&gt;=E$3,$B11&gt;0),1,0)+IF(E$3-18&gt;$B11,1,0))</f>
        <v>3</v>
      </c>
      <c r="AH11" s="1428">
        <f t="shared" si="25"/>
        <v>8</v>
      </c>
      <c r="AI11" s="1428">
        <f t="shared" si="25"/>
        <v>4</v>
      </c>
      <c r="AJ11" s="1428">
        <f t="shared" si="25"/>
        <v>9</v>
      </c>
      <c r="AK11" s="1428">
        <f t="shared" si="25"/>
        <v>5</v>
      </c>
      <c r="AL11" s="1428">
        <f t="shared" si="25"/>
        <v>4</v>
      </c>
      <c r="AM11" s="1428">
        <f t="shared" si="25"/>
        <v>4</v>
      </c>
      <c r="AN11" s="1428">
        <f t="shared" si="25"/>
        <v>7</v>
      </c>
      <c r="AO11" s="1428">
        <f t="shared" si="25"/>
        <v>6</v>
      </c>
      <c r="AP11" s="1429">
        <f t="shared" si="25"/>
        <v>5</v>
      </c>
      <c r="AQ11" s="1429">
        <f t="shared" si="25"/>
        <v>5</v>
      </c>
      <c r="AR11" s="1429">
        <f t="shared" si="25"/>
        <v>6</v>
      </c>
      <c r="AS11" s="1429">
        <f t="shared" si="25"/>
        <v>6</v>
      </c>
      <c r="AT11" s="1429">
        <f t="shared" si="25"/>
        <v>5</v>
      </c>
      <c r="AU11" s="1429">
        <f t="shared" si="25"/>
        <v>4</v>
      </c>
      <c r="AV11" s="1429">
        <f t="shared" si="25"/>
        <v>6</v>
      </c>
      <c r="AW11" s="1429">
        <f t="shared" si="25"/>
        <v>3</v>
      </c>
      <c r="AX11" s="1429">
        <f t="shared" si="25"/>
        <v>2</v>
      </c>
      <c r="AY11" s="1428">
        <f t="shared" si="7"/>
        <v>50</v>
      </c>
      <c r="AZ11" s="1428">
        <f t="shared" si="8"/>
        <v>42</v>
      </c>
      <c r="BA11" s="1428">
        <f t="shared" si="13"/>
        <v>92</v>
      </c>
      <c r="BB11" s="1430" t="str">
        <f>if(countif('R1_G1'!$A$8:$A$17,$A11)=1, if(and(BA11=Z11,BA11=vlookup($A11,'R1_G1'!$A$8:$AB$17, 28,false)),"yes","no"),
if(countif('R1_G2'!$A$8:$A$17,$A11)=1, if(and(BA11=Z11,BA11=vlookup($A11,'R1_G2'!$A$8:$AB$17, 28,false)),"yes","no"),
if(countif('R1_G3'!$A$8:$A$17,$A11)=1, if(and(BA11=Z11,BA11=vlookup($A11,'R1_G3'!$A$8:$AB$17, 28,false)),"yes","no"),
if(countif('R1_G4'!$A$8:$A$17,$A11)=1, if(and(BA11=Z11,BA11=vlookup($A11,'R1_G4'!$A$8:$AB$17, 28,false)),"yes","no"),
"?"))))
</f>
        <v>yes</v>
      </c>
      <c r="BC11" s="1421"/>
      <c r="BD11" s="1441">
        <f t="shared" si="14"/>
        <v>4</v>
      </c>
      <c r="BE11" s="1442">
        <f t="shared" si="15"/>
        <v>6.066666667</v>
      </c>
      <c r="BF11" s="1442">
        <f t="shared" si="17"/>
        <v>1</v>
      </c>
      <c r="BG11" s="1442">
        <f t="shared" si="18"/>
        <v>1</v>
      </c>
      <c r="BH11" s="1442">
        <f t="shared" si="19"/>
        <v>4</v>
      </c>
      <c r="BI11" s="1442">
        <f t="shared" si="20"/>
        <v>6</v>
      </c>
      <c r="BJ11" s="1442">
        <f t="shared" si="21"/>
        <v>6</v>
      </c>
    </row>
    <row r="12" ht="14.25" customHeight="1">
      <c r="A12" s="1434" t="str">
        <f>'Master Input'!$A$18</f>
        <v>Saugy</v>
      </c>
      <c r="B12" s="1435">
        <f>VLOOKUP(A12,'Master Input'!$A$11:$L$27,6,false)</f>
        <v>36</v>
      </c>
      <c r="C12" s="1436"/>
      <c r="D12" s="1401"/>
      <c r="E12" s="1437">
        <f>if(countif('R1_G1'!$A$8:$A$17,$A12)=1,vlookup($A12,'R1_G1'!$A$8:$Y$17, E$2+4,false),
if(countif('R1_G2'!$A$8:$A$17,$A12)=1,vlookup($A12,'R1_G2'!$A$8:$Y$17, E$2+4,false),
if(countif('R1_G3'!$A$8:$A$17,$A12)=1,vlookup($A12,'R1_G3'!$A$8:$Y$17, E$2+4,false),
if(countif('R1_G4'!$A$8:$A$17,$A12)=1,vlookup($A12,'R1_G4'!$A$8:$Y$17, E$2+4,false),""))))</f>
        <v>7</v>
      </c>
      <c r="F12" s="1437">
        <f>if(countif('R1_G1'!$A$8:$A$17,$A12)=1,vlookup($A12,'R1_G1'!$A$8:$Y$17, F$2+4,false),
if(countif('R1_G2'!$A$8:$A$17,$A12)=1,vlookup($A12,'R1_G2'!$A$8:$Y$17, F$2+4,false),
if(countif('R1_G3'!$A$8:$A$17,$A12)=1,vlookup($A12,'R1_G3'!$A$8:$Y$17, F$2+4,false),
if(countif('R1_G4'!$A$8:$A$17,$A12)=1,vlookup($A12,'R1_G4'!$A$8:$Y$17, F$2+4,false),""))))</f>
        <v>6</v>
      </c>
      <c r="G12" s="1437">
        <f>if(countif('R1_G1'!$A$8:$A$17,$A12)=1,vlookup($A12,'R1_G1'!$A$8:$Y$17, G$2+4,false),
if(countif('R1_G2'!$A$8:$A$17,$A12)=1,vlookup($A12,'R1_G2'!$A$8:$Y$17, G$2+4,false),
if(countif('R1_G3'!$A$8:$A$17,$A12)=1,vlookup($A12,'R1_G3'!$A$8:$Y$17, G$2+4,false),
if(countif('R1_G4'!$A$8:$A$17,$A12)=1,vlookup($A12,'R1_G4'!$A$8:$Y$17, G$2+4,false),""))))</f>
        <v>3</v>
      </c>
      <c r="H12" s="1437">
        <f>if(countif('R1_G1'!$A$8:$A$17,$A12)=1,vlookup($A12,'R1_G1'!$A$8:$Y$17, H$2+4,false),
if(countif('R1_G2'!$A$8:$A$17,$A12)=1,vlookup($A12,'R1_G2'!$A$8:$Y$17, H$2+4,false),
if(countif('R1_G3'!$A$8:$A$17,$A12)=1,vlookup($A12,'R1_G3'!$A$8:$Y$17, H$2+4,false),
if(countif('R1_G4'!$A$8:$A$17,$A12)=1,vlookup($A12,'R1_G4'!$A$8:$Y$17, H$2+4,false),""))))</f>
        <v>10</v>
      </c>
      <c r="I12" s="1437">
        <f>if(countif('R1_G1'!$A$8:$A$17,$A12)=1,vlookup($A12,'R1_G1'!$A$8:$Y$17, I$2+4,false),
if(countif('R1_G2'!$A$8:$A$17,$A12)=1,vlookup($A12,'R1_G2'!$A$8:$Y$17, I$2+4,false),
if(countif('R1_G3'!$A$8:$A$17,$A12)=1,vlookup($A12,'R1_G3'!$A$8:$Y$17, I$2+4,false),
if(countif('R1_G4'!$A$8:$A$17,$A12)=1,vlookup($A12,'R1_G4'!$A$8:$Y$17, I$2+4,false),""))))</f>
        <v>7</v>
      </c>
      <c r="J12" s="1437">
        <f>if(countif('R1_G1'!$A$8:$A$17,$A12)=1,vlookup($A12,'R1_G1'!$A$8:$Y$17, J$2+4,false),
if(countif('R1_G2'!$A$8:$A$17,$A12)=1,vlookup($A12,'R1_G2'!$A$8:$Y$17, J$2+4,false),
if(countif('R1_G3'!$A$8:$A$17,$A12)=1,vlookup($A12,'R1_G3'!$A$8:$Y$17, J$2+4,false),
if(countif('R1_G4'!$A$8:$A$17,$A12)=1,vlookup($A12,'R1_G4'!$A$8:$Y$17, J$2+4,false),""))))</f>
        <v>5</v>
      </c>
      <c r="K12" s="1437">
        <f>if(countif('R1_G1'!$A$8:$A$17,$A12)=1,vlookup($A12,'R1_G1'!$A$8:$Y$17, K$2+4,false),
if(countif('R1_G2'!$A$8:$A$17,$A12)=1,vlookup($A12,'R1_G2'!$A$8:$Y$17, K$2+4,false),
if(countif('R1_G3'!$A$8:$A$17,$A12)=1,vlookup($A12,'R1_G3'!$A$8:$Y$17, K$2+4,false),
if(countif('R1_G4'!$A$8:$A$17,$A12)=1,vlookup($A12,'R1_G4'!$A$8:$Y$17, K$2+4,false),""))))</f>
        <v>4</v>
      </c>
      <c r="L12" s="1437">
        <f>if(countif('R1_G1'!$A$8:$A$17,$A12)=1,vlookup($A12,'R1_G1'!$A$8:$Y$17, L$2+4,false),
if(countif('R1_G2'!$A$8:$A$17,$A12)=1,vlookup($A12,'R1_G2'!$A$8:$Y$17, L$2+4,false),
if(countif('R1_G3'!$A$8:$A$17,$A12)=1,vlookup($A12,'R1_G3'!$A$8:$Y$17, L$2+4,false),
if(countif('R1_G4'!$A$8:$A$17,$A12)=1,vlookup($A12,'R1_G4'!$A$8:$Y$17, L$2+4,false),""))))</f>
        <v>6</v>
      </c>
      <c r="M12" s="1437">
        <f>if(countif('R1_G1'!$A$8:$A$17,$A12)=1,vlookup($A12,'R1_G1'!$A$8:$Y$17, M$2+4,false),
if(countif('R1_G2'!$A$8:$A$17,$A12)=1,vlookup($A12,'R1_G2'!$A$8:$Y$17, M$2+4,false),
if(countif('R1_G3'!$A$8:$A$17,$A12)=1,vlookup($A12,'R1_G3'!$A$8:$Y$17, M$2+4,false),
if(countif('R1_G4'!$A$8:$A$17,$A12)=1,vlookup($A12,'R1_G4'!$A$8:$Y$17, M$2+4,false),""))))</f>
        <v>6</v>
      </c>
      <c r="N12" s="1426">
        <f>if(countif('R1_G1'!$A$8:$A$17,$A12)=1,vlookup($A12,'R1_G1'!$A$8:$Y$17, N$2+7,false),
if(countif('R1_G2'!$A$8:$A$17,$A12)=1,vlookup($A12,'R1_G2'!$A$8:$Y$17, N$2+7,false),
if(countif('R1_G3'!$A$8:$A$17,$A12)=1,vlookup($A12,'R1_G3'!$A$8:$Y$17, N$2+7,false),
if(countif('R1_G4'!$A$8:$A$17,$A12)=1,vlookup($A12,'R1_G4'!$A$8:$Y$17, N$2+7,false),""))))</f>
        <v>5</v>
      </c>
      <c r="O12" s="1426">
        <f>if(countif('R1_G1'!$A$8:$A$17,$A12)=1,vlookup($A12,'R1_G1'!$A$8:$Y$17, O$2+7,false),
if(countif('R1_G2'!$A$8:$A$17,$A12)=1,vlookup($A12,'R1_G2'!$A$8:$Y$17, O$2+7,false),
if(countif('R1_G3'!$A$8:$A$17,$A12)=1,vlookup($A12,'R1_G3'!$A$8:$Y$17, O$2+7,false),
if(countif('R1_G4'!$A$8:$A$17,$A12)=1,vlookup($A12,'R1_G4'!$A$8:$Y$17, O$2+7,false),""))))</f>
        <v>6</v>
      </c>
      <c r="P12" s="1426">
        <f>if(countif('R1_G1'!$A$8:$A$17,$A12)=1,vlookup($A12,'R1_G1'!$A$8:$Y$17, P$2+7,false),
if(countif('R1_G2'!$A$8:$A$17,$A12)=1,vlookup($A12,'R1_G2'!$A$8:$Y$17, P$2+7,false),
if(countif('R1_G3'!$A$8:$A$17,$A12)=1,vlookup($A12,'R1_G3'!$A$8:$Y$17, P$2+7,false),
if(countif('R1_G4'!$A$8:$A$17,$A12)=1,vlookup($A12,'R1_G4'!$A$8:$Y$17, P$2+7,false),""))))</f>
        <v>6</v>
      </c>
      <c r="Q12" s="1426">
        <f>if(countif('R1_G1'!$A$8:$A$17,$A12)=1,vlookup($A12,'R1_G1'!$A$8:$Y$17, Q$2+7,false),
if(countif('R1_G2'!$A$8:$A$17,$A12)=1,vlookup($A12,'R1_G2'!$A$8:$Y$17, Q$2+7,false),
if(countif('R1_G3'!$A$8:$A$17,$A12)=1,vlookup($A12,'R1_G3'!$A$8:$Y$17, Q$2+7,false),
if(countif('R1_G4'!$A$8:$A$17,$A12)=1,vlookup($A12,'R1_G4'!$A$8:$Y$17, Q$2+7,false),""))))</f>
        <v>4</v>
      </c>
      <c r="R12" s="1426">
        <f>if(countif('R1_G1'!$A$8:$A$17,$A12)=1,vlookup($A12,'R1_G1'!$A$8:$Y$17, R$2+7,false),
if(countif('R1_G2'!$A$8:$A$17,$A12)=1,vlookup($A12,'R1_G2'!$A$8:$Y$17, R$2+7,false),
if(countif('R1_G3'!$A$8:$A$17,$A12)=1,vlookup($A12,'R1_G3'!$A$8:$Y$17, R$2+7,false),
if(countif('R1_G4'!$A$8:$A$17,$A12)=1,vlookup($A12,'R1_G4'!$A$8:$Y$17, R$2+7,false),""))))</f>
        <v>6</v>
      </c>
      <c r="S12" s="1426">
        <f>if(countif('R1_G1'!$A$8:$A$17,$A12)=1,vlookup($A12,'R1_G1'!$A$8:$Y$17, S$2+7,false),
if(countif('R1_G2'!$A$8:$A$17,$A12)=1,vlookup($A12,'R1_G2'!$A$8:$Y$17, S$2+7,false),
if(countif('R1_G3'!$A$8:$A$17,$A12)=1,vlookup($A12,'R1_G3'!$A$8:$Y$17, S$2+7,false),
if(countif('R1_G4'!$A$8:$A$17,$A12)=1,vlookup($A12,'R1_G4'!$A$8:$Y$17, S$2+7,false),""))))</f>
        <v>9</v>
      </c>
      <c r="T12" s="1426">
        <f>if(countif('R1_G1'!$A$8:$A$17,$A12)=1,vlookup($A12,'R1_G1'!$A$8:$Y$17, T$2+7,false),
if(countif('R1_G2'!$A$8:$A$17,$A12)=1,vlookup($A12,'R1_G2'!$A$8:$Y$17, T$2+7,false),
if(countif('R1_G3'!$A$8:$A$17,$A12)=1,vlookup($A12,'R1_G3'!$A$8:$Y$17, T$2+7,false),
if(countif('R1_G4'!$A$8:$A$17,$A12)=1,vlookup($A12,'R1_G4'!$A$8:$Y$17, T$2+7,false),""))))</f>
        <v>9</v>
      </c>
      <c r="U12" s="1426">
        <f>if(countif('R1_G1'!$A$8:$A$17,$A12)=1,vlookup($A12,'R1_G1'!$A$8:$Y$17, U$2+7,false),
if(countif('R1_G2'!$A$8:$A$17,$A12)=1,vlookup($A12,'R1_G2'!$A$8:$Y$17, U$2+7,false),
if(countif('R1_G3'!$A$8:$A$17,$A12)=1,vlookup($A12,'R1_G3'!$A$8:$Y$17, U$2+7,false),
if(countif('R1_G4'!$A$8:$A$17,$A12)=1,vlookup($A12,'R1_G4'!$A$8:$Y$17, U$2+7,false),""))))</f>
        <v>3</v>
      </c>
      <c r="V12" s="1426">
        <f>if(countif('R1_G1'!$A$8:$A$17,$A12)=1,vlookup($A12,'R1_G1'!$A$8:$Y$17, V$2+7,false),
if(countif('R1_G2'!$A$8:$A$17,$A12)=1,vlookup($A12,'R1_G2'!$A$8:$Y$17, V$2+7,false),
if(countif('R1_G3'!$A$8:$A$17,$A12)=1,vlookup($A12,'R1_G3'!$A$8:$Y$17, V$2+7,false),
if(countif('R1_G4'!$A$8:$A$17,$A12)=1,vlookup($A12,'R1_G4'!$A$8:$Y$17, V$2+7,false),""))))</f>
        <v>9</v>
      </c>
      <c r="W12" s="1438">
        <f t="shared" si="4"/>
        <v>54</v>
      </c>
      <c r="X12" s="1438">
        <f t="shared" si="5"/>
        <v>57</v>
      </c>
      <c r="Y12" s="1438">
        <f t="shared" si="9"/>
        <v>111</v>
      </c>
      <c r="Z12" s="1435">
        <f t="shared" si="10"/>
        <v>75</v>
      </c>
      <c r="AA12" s="1435">
        <f t="shared" si="11"/>
        <v>111</v>
      </c>
      <c r="AB12" s="1421"/>
      <c r="AC12" s="1434" t="str">
        <f>'Master Input'!$A$18</f>
        <v>Saugy</v>
      </c>
      <c r="AD12" s="1435">
        <f>VLOOKUP(AC12,'Master Input'!$A$11:$L$27,6,false)</f>
        <v>36</v>
      </c>
      <c r="AE12" s="1434" t="s">
        <v>266</v>
      </c>
      <c r="AF12" s="1401"/>
      <c r="AG12" s="1438">
        <f t="shared" ref="AG12:AX12" si="26">if(E12="","",E12-IF($B12&gt;0,FLOOR($B12/18,1),0)-IF(AND(MOD($B12,18)&gt;=E$3,$B12&gt;0),1,0)+IF(E$3-18&gt;$B12,1,0))</f>
        <v>5</v>
      </c>
      <c r="AH12" s="1438">
        <f t="shared" si="26"/>
        <v>4</v>
      </c>
      <c r="AI12" s="1438">
        <f t="shared" si="26"/>
        <v>1</v>
      </c>
      <c r="AJ12" s="1438">
        <f t="shared" si="26"/>
        <v>8</v>
      </c>
      <c r="AK12" s="1438">
        <f t="shared" si="26"/>
        <v>5</v>
      </c>
      <c r="AL12" s="1438">
        <f t="shared" si="26"/>
        <v>3</v>
      </c>
      <c r="AM12" s="1438">
        <f t="shared" si="26"/>
        <v>2</v>
      </c>
      <c r="AN12" s="1438">
        <f t="shared" si="26"/>
        <v>4</v>
      </c>
      <c r="AO12" s="1438">
        <f t="shared" si="26"/>
        <v>4</v>
      </c>
      <c r="AP12" s="1426">
        <f t="shared" si="26"/>
        <v>3</v>
      </c>
      <c r="AQ12" s="1426">
        <f t="shared" si="26"/>
        <v>4</v>
      </c>
      <c r="AR12" s="1426">
        <f t="shared" si="26"/>
        <v>4</v>
      </c>
      <c r="AS12" s="1426">
        <f t="shared" si="26"/>
        <v>2</v>
      </c>
      <c r="AT12" s="1426">
        <f t="shared" si="26"/>
        <v>4</v>
      </c>
      <c r="AU12" s="1426">
        <f t="shared" si="26"/>
        <v>7</v>
      </c>
      <c r="AV12" s="1426">
        <f t="shared" si="26"/>
        <v>7</v>
      </c>
      <c r="AW12" s="1426">
        <f t="shared" si="26"/>
        <v>1</v>
      </c>
      <c r="AX12" s="1426">
        <f t="shared" si="26"/>
        <v>7</v>
      </c>
      <c r="AY12" s="1438">
        <f t="shared" si="7"/>
        <v>36</v>
      </c>
      <c r="AZ12" s="1438">
        <f t="shared" si="8"/>
        <v>39</v>
      </c>
      <c r="BA12" s="1438">
        <f t="shared" si="13"/>
        <v>75</v>
      </c>
      <c r="BB12" s="1436" t="str">
        <f>if(countif('R1_G1'!$A$8:$A$17,$A12)=1, if(and(BA12=Z12,BA12=vlookup($A12,'R1_G1'!$A$8:$AB$17, 28,false)),"yes","no"),
if(countif('R1_G2'!$A$8:$A$17,$A12)=1, if(and(BA12=Z12,BA12=vlookup($A12,'R1_G2'!$A$8:$AB$17, 28,false)),"yes","no"),
if(countif('R1_G3'!$A$8:$A$17,$A12)=1, if(and(BA12=Z12,BA12=vlookup($A12,'R1_G3'!$A$8:$AB$17, 28,false)),"yes","no"),
if(countif('R1_G4'!$A$8:$A$17,$A12)=1, if(and(BA12=Z12,BA12=vlookup($A12,'R1_G4'!$A$8:$AB$17, 28,false)),"yes","no"),
"?"))))
</f>
        <v>yes</v>
      </c>
      <c r="BC12" s="1421"/>
      <c r="BD12" s="1439">
        <f t="shared" si="14"/>
        <v>10</v>
      </c>
      <c r="BE12" s="1440">
        <f t="shared" si="15"/>
        <v>10.46666667</v>
      </c>
      <c r="BF12" s="1440">
        <f t="shared" si="17"/>
        <v>2</v>
      </c>
      <c r="BG12" s="1440">
        <f t="shared" si="18"/>
        <v>6</v>
      </c>
      <c r="BH12" s="1440">
        <f t="shared" si="19"/>
        <v>4</v>
      </c>
      <c r="BI12" s="1440">
        <f t="shared" si="20"/>
        <v>2</v>
      </c>
      <c r="BJ12" s="1440">
        <f t="shared" si="21"/>
        <v>4</v>
      </c>
    </row>
    <row r="13" ht="14.25" customHeight="1">
      <c r="A13" s="1423" t="str">
        <f>'Master Input'!$A$20</f>
        <v>Telly</v>
      </c>
      <c r="B13" s="1424">
        <f>VLOOKUP(A13,'Master Input'!$A$11:$L$27,6,false)</f>
        <v>7</v>
      </c>
      <c r="C13" s="1430"/>
      <c r="D13" s="1401"/>
      <c r="E13" s="1426">
        <f>if(countif('R1_G1'!$A$8:$A$17,$A13)=1,vlookup($A13,'R1_G1'!$A$8:$Y$17, E$2+4,false),
if(countif('R1_G2'!$A$8:$A$17,$A13)=1,vlookup($A13,'R1_G2'!$A$8:$Y$17, E$2+4,false),
if(countif('R1_G3'!$A$8:$A$17,$A13)=1,vlookup($A13,'R1_G3'!$A$8:$Y$17, E$2+4,false),
if(countif('R1_G4'!$A$8:$A$17,$A13)=1,vlookup($A13,'R1_G4'!$A$8:$Y$17, E$2+4,false),""))))</f>
        <v>7</v>
      </c>
      <c r="F13" s="1426">
        <f>if(countif('R1_G1'!$A$8:$A$17,$A13)=1,vlookup($A13,'R1_G1'!$A$8:$Y$17, F$2+4,false),
if(countif('R1_G2'!$A$8:$A$17,$A13)=1,vlookup($A13,'R1_G2'!$A$8:$Y$17, F$2+4,false),
if(countif('R1_G3'!$A$8:$A$17,$A13)=1,vlookup($A13,'R1_G3'!$A$8:$Y$17, F$2+4,false),
if(countif('R1_G4'!$A$8:$A$17,$A13)=1,vlookup($A13,'R1_G4'!$A$8:$Y$17, F$2+4,false),""))))</f>
        <v>4</v>
      </c>
      <c r="G13" s="1426">
        <f>if(countif('R1_G1'!$A$8:$A$17,$A13)=1,vlookup($A13,'R1_G1'!$A$8:$Y$17, G$2+4,false),
if(countif('R1_G2'!$A$8:$A$17,$A13)=1,vlookup($A13,'R1_G2'!$A$8:$Y$17, G$2+4,false),
if(countif('R1_G3'!$A$8:$A$17,$A13)=1,vlookup($A13,'R1_G3'!$A$8:$Y$17, G$2+4,false),
if(countif('R1_G4'!$A$8:$A$17,$A13)=1,vlookup($A13,'R1_G4'!$A$8:$Y$17, G$2+4,false),""))))</f>
        <v>4</v>
      </c>
      <c r="H13" s="1426">
        <f>if(countif('R1_G1'!$A$8:$A$17,$A13)=1,vlookup($A13,'R1_G1'!$A$8:$Y$17, H$2+4,false),
if(countif('R1_G2'!$A$8:$A$17,$A13)=1,vlookup($A13,'R1_G2'!$A$8:$Y$17, H$2+4,false),
if(countif('R1_G3'!$A$8:$A$17,$A13)=1,vlookup($A13,'R1_G3'!$A$8:$Y$17, H$2+4,false),
if(countif('R1_G4'!$A$8:$A$17,$A13)=1,vlookup($A13,'R1_G4'!$A$8:$Y$17, H$2+4,false),""))))</f>
        <v>5</v>
      </c>
      <c r="I13" s="1426">
        <f>if(countif('R1_G1'!$A$8:$A$17,$A13)=1,vlookup($A13,'R1_G1'!$A$8:$Y$17, I$2+4,false),
if(countif('R1_G2'!$A$8:$A$17,$A13)=1,vlookup($A13,'R1_G2'!$A$8:$Y$17, I$2+4,false),
if(countif('R1_G3'!$A$8:$A$17,$A13)=1,vlookup($A13,'R1_G3'!$A$8:$Y$17, I$2+4,false),
if(countif('R1_G4'!$A$8:$A$17,$A13)=1,vlookup($A13,'R1_G4'!$A$8:$Y$17, I$2+4,false),""))))</f>
        <v>4</v>
      </c>
      <c r="J13" s="1426">
        <f>if(countif('R1_G1'!$A$8:$A$17,$A13)=1,vlookup($A13,'R1_G1'!$A$8:$Y$17, J$2+4,false),
if(countif('R1_G2'!$A$8:$A$17,$A13)=1,vlookup($A13,'R1_G2'!$A$8:$Y$17, J$2+4,false),
if(countif('R1_G3'!$A$8:$A$17,$A13)=1,vlookup($A13,'R1_G3'!$A$8:$Y$17, J$2+4,false),
if(countif('R1_G4'!$A$8:$A$17,$A13)=1,vlookup($A13,'R1_G4'!$A$8:$Y$17, J$2+4,false),""))))</f>
        <v>4</v>
      </c>
      <c r="K13" s="1426">
        <f>if(countif('R1_G1'!$A$8:$A$17,$A13)=1,vlookup($A13,'R1_G1'!$A$8:$Y$17, K$2+4,false),
if(countif('R1_G2'!$A$8:$A$17,$A13)=1,vlookup($A13,'R1_G2'!$A$8:$Y$17, K$2+4,false),
if(countif('R1_G3'!$A$8:$A$17,$A13)=1,vlookup($A13,'R1_G3'!$A$8:$Y$17, K$2+4,false),
if(countif('R1_G4'!$A$8:$A$17,$A13)=1,vlookup($A13,'R1_G4'!$A$8:$Y$17, K$2+4,false),""))))</f>
        <v>5</v>
      </c>
      <c r="L13" s="1426">
        <f>if(countif('R1_G1'!$A$8:$A$17,$A13)=1,vlookup($A13,'R1_G1'!$A$8:$Y$17, L$2+4,false),
if(countif('R1_G2'!$A$8:$A$17,$A13)=1,vlookup($A13,'R1_G2'!$A$8:$Y$17, L$2+4,false),
if(countif('R1_G3'!$A$8:$A$17,$A13)=1,vlookup($A13,'R1_G3'!$A$8:$Y$17, L$2+4,false),
if(countif('R1_G4'!$A$8:$A$17,$A13)=1,vlookup($A13,'R1_G4'!$A$8:$Y$17, L$2+4,false),""))))</f>
        <v>4</v>
      </c>
      <c r="M13" s="1426">
        <f>if(countif('R1_G1'!$A$8:$A$17,$A13)=1,vlookup($A13,'R1_G1'!$A$8:$Y$17, M$2+4,false),
if(countif('R1_G2'!$A$8:$A$17,$A13)=1,vlookup($A13,'R1_G2'!$A$8:$Y$17, M$2+4,false),
if(countif('R1_G3'!$A$8:$A$17,$A13)=1,vlookup($A13,'R1_G3'!$A$8:$Y$17, M$2+4,false),
if(countif('R1_G4'!$A$8:$A$17,$A13)=1,vlookup($A13,'R1_G4'!$A$8:$Y$17, M$2+4,false),""))))</f>
        <v>6</v>
      </c>
      <c r="N13" s="1427">
        <f>if(countif('R1_G1'!$A$8:$A$17,$A13)=1,vlookup($A13,'R1_G1'!$A$8:$Y$17, N$2+7,false),
if(countif('R1_G2'!$A$8:$A$17,$A13)=1,vlookup($A13,'R1_G2'!$A$8:$Y$17, N$2+7,false),
if(countif('R1_G3'!$A$8:$A$17,$A13)=1,vlookup($A13,'R1_G3'!$A$8:$Y$17, N$2+7,false),
if(countif('R1_G4'!$A$8:$A$17,$A13)=1,vlookup($A13,'R1_G4'!$A$8:$Y$17, N$2+7,false),""))))</f>
        <v>3</v>
      </c>
      <c r="O13" s="1427">
        <f>if(countif('R1_G1'!$A$8:$A$17,$A13)=1,vlookup($A13,'R1_G1'!$A$8:$Y$17, O$2+7,false),
if(countif('R1_G2'!$A$8:$A$17,$A13)=1,vlookup($A13,'R1_G2'!$A$8:$Y$17, O$2+7,false),
if(countif('R1_G3'!$A$8:$A$17,$A13)=1,vlookup($A13,'R1_G3'!$A$8:$Y$17, O$2+7,false),
if(countif('R1_G4'!$A$8:$A$17,$A13)=1,vlookup($A13,'R1_G4'!$A$8:$Y$17, O$2+7,false),""))))</f>
        <v>5</v>
      </c>
      <c r="P13" s="1427">
        <f>if(countif('R1_G1'!$A$8:$A$17,$A13)=1,vlookup($A13,'R1_G1'!$A$8:$Y$17, P$2+7,false),
if(countif('R1_G2'!$A$8:$A$17,$A13)=1,vlookup($A13,'R1_G2'!$A$8:$Y$17, P$2+7,false),
if(countif('R1_G3'!$A$8:$A$17,$A13)=1,vlookup($A13,'R1_G3'!$A$8:$Y$17, P$2+7,false),
if(countif('R1_G4'!$A$8:$A$17,$A13)=1,vlookup($A13,'R1_G4'!$A$8:$Y$17, P$2+7,false),""))))</f>
        <v>7</v>
      </c>
      <c r="Q13" s="1427">
        <f>if(countif('R1_G1'!$A$8:$A$17,$A13)=1,vlookup($A13,'R1_G1'!$A$8:$Y$17, Q$2+7,false),
if(countif('R1_G2'!$A$8:$A$17,$A13)=1,vlookup($A13,'R1_G2'!$A$8:$Y$17, Q$2+7,false),
if(countif('R1_G3'!$A$8:$A$17,$A13)=1,vlookup($A13,'R1_G3'!$A$8:$Y$17, Q$2+7,false),
if(countif('R1_G4'!$A$8:$A$17,$A13)=1,vlookup($A13,'R1_G4'!$A$8:$Y$17, Q$2+7,false),""))))</f>
        <v>4</v>
      </c>
      <c r="R13" s="1427">
        <f>if(countif('R1_G1'!$A$8:$A$17,$A13)=1,vlookup($A13,'R1_G1'!$A$8:$Y$17, R$2+7,false),
if(countif('R1_G2'!$A$8:$A$17,$A13)=1,vlookup($A13,'R1_G2'!$A$8:$Y$17, R$2+7,false),
if(countif('R1_G3'!$A$8:$A$17,$A13)=1,vlookup($A13,'R1_G3'!$A$8:$Y$17, R$2+7,false),
if(countif('R1_G4'!$A$8:$A$17,$A13)=1,vlookup($A13,'R1_G4'!$A$8:$Y$17, R$2+7,false),""))))</f>
        <v>6</v>
      </c>
      <c r="S13" s="1427">
        <f>if(countif('R1_G1'!$A$8:$A$17,$A13)=1,vlookup($A13,'R1_G1'!$A$8:$Y$17, S$2+7,false),
if(countif('R1_G2'!$A$8:$A$17,$A13)=1,vlookup($A13,'R1_G2'!$A$8:$Y$17, S$2+7,false),
if(countif('R1_G3'!$A$8:$A$17,$A13)=1,vlookup($A13,'R1_G3'!$A$8:$Y$17, S$2+7,false),
if(countif('R1_G4'!$A$8:$A$17,$A13)=1,vlookup($A13,'R1_G4'!$A$8:$Y$17, S$2+7,false),""))))</f>
        <v>5</v>
      </c>
      <c r="T13" s="1427">
        <f>if(countif('R1_G1'!$A$8:$A$17,$A13)=1,vlookup($A13,'R1_G1'!$A$8:$Y$17, T$2+7,false),
if(countif('R1_G2'!$A$8:$A$17,$A13)=1,vlookup($A13,'R1_G2'!$A$8:$Y$17, T$2+7,false),
if(countif('R1_G3'!$A$8:$A$17,$A13)=1,vlookup($A13,'R1_G3'!$A$8:$Y$17, T$2+7,false),
if(countif('R1_G4'!$A$8:$A$17,$A13)=1,vlookup($A13,'R1_G4'!$A$8:$Y$17, T$2+7,false),""))))</f>
        <v>4</v>
      </c>
      <c r="U13" s="1427">
        <f>if(countif('R1_G1'!$A$8:$A$17,$A13)=1,vlookup($A13,'R1_G1'!$A$8:$Y$17, U$2+7,false),
if(countif('R1_G2'!$A$8:$A$17,$A13)=1,vlookup($A13,'R1_G2'!$A$8:$Y$17, U$2+7,false),
if(countif('R1_G3'!$A$8:$A$17,$A13)=1,vlookup($A13,'R1_G3'!$A$8:$Y$17, U$2+7,false),
if(countif('R1_G4'!$A$8:$A$17,$A13)=1,vlookup($A13,'R1_G4'!$A$8:$Y$17, U$2+7,false),""))))</f>
        <v>5</v>
      </c>
      <c r="V13" s="1427">
        <f>if(countif('R1_G1'!$A$8:$A$17,$A13)=1,vlookup($A13,'R1_G1'!$A$8:$Y$17, V$2+7,false),
if(countif('R1_G2'!$A$8:$A$17,$A13)=1,vlookup($A13,'R1_G2'!$A$8:$Y$17, V$2+7,false),
if(countif('R1_G3'!$A$8:$A$17,$A13)=1,vlookup($A13,'R1_G3'!$A$8:$Y$17, V$2+7,false),
if(countif('R1_G4'!$A$8:$A$17,$A13)=1,vlookup($A13,'R1_G4'!$A$8:$Y$17, V$2+7,false),""))))</f>
        <v>5</v>
      </c>
      <c r="W13" s="1428">
        <f t="shared" si="4"/>
        <v>43</v>
      </c>
      <c r="X13" s="1428">
        <f t="shared" si="5"/>
        <v>44</v>
      </c>
      <c r="Y13" s="1428">
        <f t="shared" si="9"/>
        <v>87</v>
      </c>
      <c r="Z13" s="1424">
        <f t="shared" si="10"/>
        <v>80</v>
      </c>
      <c r="AA13" s="1424">
        <f t="shared" si="11"/>
        <v>87</v>
      </c>
      <c r="AB13" s="1421"/>
      <c r="AC13" s="1423" t="str">
        <f>'Master Input'!$A$20</f>
        <v>Telly</v>
      </c>
      <c r="AD13" s="1424">
        <f>VLOOKUP(AC13,'Master Input'!$A$11:$L$27,6,false)</f>
        <v>7</v>
      </c>
      <c r="AE13" s="1423" t="s">
        <v>266</v>
      </c>
      <c r="AF13" s="1401"/>
      <c r="AG13" s="1428">
        <f t="shared" ref="AG13:AX13" si="27">if(E13="","",E13-IF($B13&gt;0,FLOOR($B13/18,1),0)-IF(AND(MOD($B13,18)&gt;=E$3,$B13&gt;0),1,0)+IF(E$3-18&gt;$B13,1,0))</f>
        <v>6</v>
      </c>
      <c r="AH13" s="1428">
        <f t="shared" si="27"/>
        <v>4</v>
      </c>
      <c r="AI13" s="1428">
        <f t="shared" si="27"/>
        <v>4</v>
      </c>
      <c r="AJ13" s="1428">
        <f t="shared" si="27"/>
        <v>5</v>
      </c>
      <c r="AK13" s="1428">
        <f t="shared" si="27"/>
        <v>3</v>
      </c>
      <c r="AL13" s="1428">
        <f t="shared" si="27"/>
        <v>4</v>
      </c>
      <c r="AM13" s="1428">
        <f t="shared" si="27"/>
        <v>5</v>
      </c>
      <c r="AN13" s="1428">
        <f t="shared" si="27"/>
        <v>3</v>
      </c>
      <c r="AO13" s="1428">
        <f t="shared" si="27"/>
        <v>6</v>
      </c>
      <c r="AP13" s="1429">
        <f t="shared" si="27"/>
        <v>3</v>
      </c>
      <c r="AQ13" s="1429">
        <f t="shared" si="27"/>
        <v>4</v>
      </c>
      <c r="AR13" s="1429">
        <f t="shared" si="27"/>
        <v>7</v>
      </c>
      <c r="AS13" s="1429">
        <f t="shared" si="27"/>
        <v>4</v>
      </c>
      <c r="AT13" s="1429">
        <f t="shared" si="27"/>
        <v>6</v>
      </c>
      <c r="AU13" s="1429">
        <f t="shared" si="27"/>
        <v>4</v>
      </c>
      <c r="AV13" s="1429">
        <f t="shared" si="27"/>
        <v>3</v>
      </c>
      <c r="AW13" s="1429">
        <f t="shared" si="27"/>
        <v>5</v>
      </c>
      <c r="AX13" s="1429">
        <f t="shared" si="27"/>
        <v>4</v>
      </c>
      <c r="AY13" s="1428">
        <f t="shared" si="7"/>
        <v>40</v>
      </c>
      <c r="AZ13" s="1428">
        <f t="shared" si="8"/>
        <v>40</v>
      </c>
      <c r="BA13" s="1428">
        <f t="shared" si="13"/>
        <v>80</v>
      </c>
      <c r="BB13" s="1430" t="str">
        <f>if(countif('R1_G1'!$A$8:$A$17,$A13)=1, if(and(BA13=Z13,BA13=vlookup($A13,'R1_G1'!$A$8:$AB$17, 28,false)),"yes","no"),
if(countif('R1_G2'!$A$8:$A$17,$A13)=1, if(and(BA13=Z13,BA13=vlookup($A13,'R1_G2'!$A$8:$AB$17, 28,false)),"yes","no"),
if(countif('R1_G3'!$A$8:$A$17,$A13)=1, if(and(BA13=Z13,BA13=vlookup($A13,'R1_G3'!$A$8:$AB$17, 28,false)),"yes","no"),
if(countif('R1_G4'!$A$8:$A$17,$A13)=1, if(and(BA13=Z13,BA13=vlookup($A13,'R1_G4'!$A$8:$AB$17, 28,false)),"yes","no"),
"?"))))
</f>
        <v>yes</v>
      </c>
      <c r="BC13" s="1421"/>
      <c r="BD13" s="1441">
        <f t="shared" si="14"/>
        <v>7</v>
      </c>
      <c r="BE13" s="1442">
        <f t="shared" si="15"/>
        <v>8.5</v>
      </c>
      <c r="BF13" s="1442">
        <f t="shared" si="17"/>
        <v>0</v>
      </c>
      <c r="BG13" s="1442">
        <f t="shared" si="18"/>
        <v>4</v>
      </c>
      <c r="BH13" s="1442">
        <f t="shared" si="19"/>
        <v>6</v>
      </c>
      <c r="BI13" s="1442">
        <f t="shared" si="20"/>
        <v>4</v>
      </c>
      <c r="BJ13" s="1442">
        <f t="shared" si="21"/>
        <v>4</v>
      </c>
    </row>
    <row r="14" ht="14.25" customHeight="1">
      <c r="A14" s="1434" t="str">
        <f>'Master Input'!$A$21</f>
        <v>KJ</v>
      </c>
      <c r="B14" s="1435">
        <f>VLOOKUP(A14,'Master Input'!$A$11:$L$27,6,false)</f>
        <v>10</v>
      </c>
      <c r="C14" s="1436"/>
      <c r="D14" s="1401"/>
      <c r="E14" s="1437">
        <f>if(countif('R1_G1'!$A$8:$A$17,$A14)=1,vlookup($A14,'R1_G1'!$A$8:$Y$17, E$2+4,false),
if(countif('R1_G2'!$A$8:$A$17,$A14)=1,vlookup($A14,'R1_G2'!$A$8:$Y$17, E$2+4,false),
if(countif('R1_G3'!$A$8:$A$17,$A14)=1,vlookup($A14,'R1_G3'!$A$8:$Y$17, E$2+4,false),
if(countif('R1_G4'!$A$8:$A$17,$A14)=1,vlookup($A14,'R1_G4'!$A$8:$Y$17, E$2+4,false),""))))</f>
        <v>4</v>
      </c>
      <c r="F14" s="1437">
        <f>if(countif('R1_G1'!$A$8:$A$17,$A14)=1,vlookup($A14,'R1_G1'!$A$8:$Y$17, F$2+4,false),
if(countif('R1_G2'!$A$8:$A$17,$A14)=1,vlookup($A14,'R1_G2'!$A$8:$Y$17, F$2+4,false),
if(countif('R1_G3'!$A$8:$A$17,$A14)=1,vlookup($A14,'R1_G3'!$A$8:$Y$17, F$2+4,false),
if(countif('R1_G4'!$A$8:$A$17,$A14)=1,vlookup($A14,'R1_G4'!$A$8:$Y$17, F$2+4,false),""))))</f>
        <v>5</v>
      </c>
      <c r="G14" s="1437">
        <f>if(countif('R1_G1'!$A$8:$A$17,$A14)=1,vlookup($A14,'R1_G1'!$A$8:$Y$17, G$2+4,false),
if(countif('R1_G2'!$A$8:$A$17,$A14)=1,vlookup($A14,'R1_G2'!$A$8:$Y$17, G$2+4,false),
if(countif('R1_G3'!$A$8:$A$17,$A14)=1,vlookup($A14,'R1_G3'!$A$8:$Y$17, G$2+4,false),
if(countif('R1_G4'!$A$8:$A$17,$A14)=1,vlookup($A14,'R1_G4'!$A$8:$Y$17, G$2+4,false),""))))</f>
        <v>3</v>
      </c>
      <c r="H14" s="1437">
        <f>if(countif('R1_G1'!$A$8:$A$17,$A14)=1,vlookup($A14,'R1_G1'!$A$8:$Y$17, H$2+4,false),
if(countif('R1_G2'!$A$8:$A$17,$A14)=1,vlookup($A14,'R1_G2'!$A$8:$Y$17, H$2+4,false),
if(countif('R1_G3'!$A$8:$A$17,$A14)=1,vlookup($A14,'R1_G3'!$A$8:$Y$17, H$2+4,false),
if(countif('R1_G4'!$A$8:$A$17,$A14)=1,vlookup($A14,'R1_G4'!$A$8:$Y$17, H$2+4,false),""))))</f>
        <v>7</v>
      </c>
      <c r="I14" s="1437">
        <f>if(countif('R1_G1'!$A$8:$A$17,$A14)=1,vlookup($A14,'R1_G1'!$A$8:$Y$17, I$2+4,false),
if(countif('R1_G2'!$A$8:$A$17,$A14)=1,vlookup($A14,'R1_G2'!$A$8:$Y$17, I$2+4,false),
if(countif('R1_G3'!$A$8:$A$17,$A14)=1,vlookup($A14,'R1_G3'!$A$8:$Y$17, I$2+4,false),
if(countif('R1_G4'!$A$8:$A$17,$A14)=1,vlookup($A14,'R1_G4'!$A$8:$Y$17, I$2+4,false),""))))</f>
        <v>5</v>
      </c>
      <c r="J14" s="1437">
        <f>if(countif('R1_G1'!$A$8:$A$17,$A14)=1,vlookup($A14,'R1_G1'!$A$8:$Y$17, J$2+4,false),
if(countif('R1_G2'!$A$8:$A$17,$A14)=1,vlookup($A14,'R1_G2'!$A$8:$Y$17, J$2+4,false),
if(countif('R1_G3'!$A$8:$A$17,$A14)=1,vlookup($A14,'R1_G3'!$A$8:$Y$17, J$2+4,false),
if(countif('R1_G4'!$A$8:$A$17,$A14)=1,vlookup($A14,'R1_G4'!$A$8:$Y$17, J$2+4,false),""))))</f>
        <v>4</v>
      </c>
      <c r="K14" s="1437">
        <f>if(countif('R1_G1'!$A$8:$A$17,$A14)=1,vlookup($A14,'R1_G1'!$A$8:$Y$17, K$2+4,false),
if(countif('R1_G2'!$A$8:$A$17,$A14)=1,vlookup($A14,'R1_G2'!$A$8:$Y$17, K$2+4,false),
if(countif('R1_G3'!$A$8:$A$17,$A14)=1,vlookup($A14,'R1_G3'!$A$8:$Y$17, K$2+4,false),
if(countif('R1_G4'!$A$8:$A$17,$A14)=1,vlookup($A14,'R1_G4'!$A$8:$Y$17, K$2+4,false),""))))</f>
        <v>4</v>
      </c>
      <c r="L14" s="1437">
        <f>if(countif('R1_G1'!$A$8:$A$17,$A14)=1,vlookup($A14,'R1_G1'!$A$8:$Y$17, L$2+4,false),
if(countif('R1_G2'!$A$8:$A$17,$A14)=1,vlookup($A14,'R1_G2'!$A$8:$Y$17, L$2+4,false),
if(countif('R1_G3'!$A$8:$A$17,$A14)=1,vlookup($A14,'R1_G3'!$A$8:$Y$17, L$2+4,false),
if(countif('R1_G4'!$A$8:$A$17,$A14)=1,vlookup($A14,'R1_G4'!$A$8:$Y$17, L$2+4,false),""))))</f>
        <v>5</v>
      </c>
      <c r="M14" s="1437">
        <f>if(countif('R1_G1'!$A$8:$A$17,$A14)=1,vlookup($A14,'R1_G1'!$A$8:$Y$17, M$2+4,false),
if(countif('R1_G2'!$A$8:$A$17,$A14)=1,vlookup($A14,'R1_G2'!$A$8:$Y$17, M$2+4,false),
if(countif('R1_G3'!$A$8:$A$17,$A14)=1,vlookup($A14,'R1_G3'!$A$8:$Y$17, M$2+4,false),
if(countif('R1_G4'!$A$8:$A$17,$A14)=1,vlookup($A14,'R1_G4'!$A$8:$Y$17, M$2+4,false),""))))</f>
        <v>8</v>
      </c>
      <c r="N14" s="1426">
        <f>if(countif('R1_G1'!$A$8:$A$17,$A14)=1,vlookup($A14,'R1_G1'!$A$8:$Y$17, N$2+7,false),
if(countif('R1_G2'!$A$8:$A$17,$A14)=1,vlookup($A14,'R1_G2'!$A$8:$Y$17, N$2+7,false),
if(countif('R1_G3'!$A$8:$A$17,$A14)=1,vlookup($A14,'R1_G3'!$A$8:$Y$17, N$2+7,false),
if(countif('R1_G4'!$A$8:$A$17,$A14)=1,vlookup($A14,'R1_G4'!$A$8:$Y$17, N$2+7,false),""))))</f>
        <v>4</v>
      </c>
      <c r="O14" s="1426">
        <f>if(countif('R1_G1'!$A$8:$A$17,$A14)=1,vlookup($A14,'R1_G1'!$A$8:$Y$17, O$2+7,false),
if(countif('R1_G2'!$A$8:$A$17,$A14)=1,vlookup($A14,'R1_G2'!$A$8:$Y$17, O$2+7,false),
if(countif('R1_G3'!$A$8:$A$17,$A14)=1,vlookup($A14,'R1_G3'!$A$8:$Y$17, O$2+7,false),
if(countif('R1_G4'!$A$8:$A$17,$A14)=1,vlookup($A14,'R1_G4'!$A$8:$Y$17, O$2+7,false),""))))</f>
        <v>4</v>
      </c>
      <c r="P14" s="1426">
        <f>if(countif('R1_G1'!$A$8:$A$17,$A14)=1,vlookup($A14,'R1_G1'!$A$8:$Y$17, P$2+7,false),
if(countif('R1_G2'!$A$8:$A$17,$A14)=1,vlookup($A14,'R1_G2'!$A$8:$Y$17, P$2+7,false),
if(countif('R1_G3'!$A$8:$A$17,$A14)=1,vlookup($A14,'R1_G3'!$A$8:$Y$17, P$2+7,false),
if(countif('R1_G4'!$A$8:$A$17,$A14)=1,vlookup($A14,'R1_G4'!$A$8:$Y$17, P$2+7,false),""))))</f>
        <v>5</v>
      </c>
      <c r="Q14" s="1426">
        <f>if(countif('R1_G1'!$A$8:$A$17,$A14)=1,vlookup($A14,'R1_G1'!$A$8:$Y$17, Q$2+7,false),
if(countif('R1_G2'!$A$8:$A$17,$A14)=1,vlookup($A14,'R1_G2'!$A$8:$Y$17, Q$2+7,false),
if(countif('R1_G3'!$A$8:$A$17,$A14)=1,vlookup($A14,'R1_G3'!$A$8:$Y$17, Q$2+7,false),
if(countif('R1_G4'!$A$8:$A$17,$A14)=1,vlookup($A14,'R1_G4'!$A$8:$Y$17, Q$2+7,false),""))))</f>
        <v>4</v>
      </c>
      <c r="R14" s="1426">
        <f>if(countif('R1_G1'!$A$8:$A$17,$A14)=1,vlookup($A14,'R1_G1'!$A$8:$Y$17, R$2+7,false),
if(countif('R1_G2'!$A$8:$A$17,$A14)=1,vlookup($A14,'R1_G2'!$A$8:$Y$17, R$2+7,false),
if(countif('R1_G3'!$A$8:$A$17,$A14)=1,vlookup($A14,'R1_G3'!$A$8:$Y$17, R$2+7,false),
if(countif('R1_G4'!$A$8:$A$17,$A14)=1,vlookup($A14,'R1_G4'!$A$8:$Y$17, R$2+7,false),""))))</f>
        <v>6</v>
      </c>
      <c r="S14" s="1426">
        <f>if(countif('R1_G1'!$A$8:$A$17,$A14)=1,vlookup($A14,'R1_G1'!$A$8:$Y$17, S$2+7,false),
if(countif('R1_G2'!$A$8:$A$17,$A14)=1,vlookup($A14,'R1_G2'!$A$8:$Y$17, S$2+7,false),
if(countif('R1_G3'!$A$8:$A$17,$A14)=1,vlookup($A14,'R1_G3'!$A$8:$Y$17, S$2+7,false),
if(countif('R1_G4'!$A$8:$A$17,$A14)=1,vlookup($A14,'R1_G4'!$A$8:$Y$17, S$2+7,false),""))))</f>
        <v>3</v>
      </c>
      <c r="T14" s="1426">
        <f>if(countif('R1_G1'!$A$8:$A$17,$A14)=1,vlookup($A14,'R1_G1'!$A$8:$Y$17, T$2+7,false),
if(countif('R1_G2'!$A$8:$A$17,$A14)=1,vlookup($A14,'R1_G2'!$A$8:$Y$17, T$2+7,false),
if(countif('R1_G3'!$A$8:$A$17,$A14)=1,vlookup($A14,'R1_G3'!$A$8:$Y$17, T$2+7,false),
if(countif('R1_G4'!$A$8:$A$17,$A14)=1,vlookup($A14,'R1_G4'!$A$8:$Y$17, T$2+7,false),""))))</f>
        <v>5</v>
      </c>
      <c r="U14" s="1426">
        <f>if(countif('R1_G1'!$A$8:$A$17,$A14)=1,vlookup($A14,'R1_G1'!$A$8:$Y$17, U$2+7,false),
if(countif('R1_G2'!$A$8:$A$17,$A14)=1,vlookup($A14,'R1_G2'!$A$8:$Y$17, U$2+7,false),
if(countif('R1_G3'!$A$8:$A$17,$A14)=1,vlookup($A14,'R1_G3'!$A$8:$Y$17, U$2+7,false),
if(countif('R1_G4'!$A$8:$A$17,$A14)=1,vlookup($A14,'R1_G4'!$A$8:$Y$17, U$2+7,false),""))))</f>
        <v>3</v>
      </c>
      <c r="V14" s="1426">
        <f>if(countif('R1_G1'!$A$8:$A$17,$A14)=1,vlookup($A14,'R1_G1'!$A$8:$Y$17, V$2+7,false),
if(countif('R1_G2'!$A$8:$A$17,$A14)=1,vlookup($A14,'R1_G2'!$A$8:$Y$17, V$2+7,false),
if(countif('R1_G3'!$A$8:$A$17,$A14)=1,vlookup($A14,'R1_G3'!$A$8:$Y$17, V$2+7,false),
if(countif('R1_G4'!$A$8:$A$17,$A14)=1,vlookup($A14,'R1_G4'!$A$8:$Y$17, V$2+7,false),""))))</f>
        <v>6</v>
      </c>
      <c r="W14" s="1438">
        <f t="shared" si="4"/>
        <v>45</v>
      </c>
      <c r="X14" s="1438">
        <f t="shared" si="5"/>
        <v>40</v>
      </c>
      <c r="Y14" s="1438">
        <f t="shared" si="9"/>
        <v>85</v>
      </c>
      <c r="Z14" s="1435">
        <f t="shared" si="10"/>
        <v>75</v>
      </c>
      <c r="AA14" s="1435">
        <f t="shared" si="11"/>
        <v>85</v>
      </c>
      <c r="AB14" s="1421"/>
      <c r="AC14" s="1434" t="str">
        <f>'Master Input'!$A$21</f>
        <v>KJ</v>
      </c>
      <c r="AD14" s="1435">
        <f>VLOOKUP(AC14,'Master Input'!$A$11:$L$27,6,false)</f>
        <v>10</v>
      </c>
      <c r="AE14" s="1434" t="s">
        <v>266</v>
      </c>
      <c r="AF14" s="1401"/>
      <c r="AG14" s="1438">
        <f t="shared" ref="AG14:AX14" si="28">if(E14="","",E14-IF($B14&gt;0,FLOOR($B14/18,1),0)-IF(AND(MOD($B14,18)&gt;=E$3,$B14&gt;0),1,0)+IF(E$3-18&gt;$B14,1,0))</f>
        <v>3</v>
      </c>
      <c r="AH14" s="1438">
        <f t="shared" si="28"/>
        <v>4</v>
      </c>
      <c r="AI14" s="1438">
        <f t="shared" si="28"/>
        <v>3</v>
      </c>
      <c r="AJ14" s="1438">
        <f t="shared" si="28"/>
        <v>7</v>
      </c>
      <c r="AK14" s="1438">
        <f t="shared" si="28"/>
        <v>4</v>
      </c>
      <c r="AL14" s="1438">
        <f t="shared" si="28"/>
        <v>4</v>
      </c>
      <c r="AM14" s="1438">
        <f t="shared" si="28"/>
        <v>3</v>
      </c>
      <c r="AN14" s="1438">
        <f t="shared" si="28"/>
        <v>4</v>
      </c>
      <c r="AO14" s="1438">
        <f t="shared" si="28"/>
        <v>8</v>
      </c>
      <c r="AP14" s="1426">
        <f t="shared" si="28"/>
        <v>4</v>
      </c>
      <c r="AQ14" s="1426">
        <f t="shared" si="28"/>
        <v>3</v>
      </c>
      <c r="AR14" s="1426">
        <f t="shared" si="28"/>
        <v>4</v>
      </c>
      <c r="AS14" s="1426">
        <f t="shared" si="28"/>
        <v>4</v>
      </c>
      <c r="AT14" s="1426">
        <f t="shared" si="28"/>
        <v>6</v>
      </c>
      <c r="AU14" s="1426">
        <f t="shared" si="28"/>
        <v>2</v>
      </c>
      <c r="AV14" s="1426">
        <f t="shared" si="28"/>
        <v>4</v>
      </c>
      <c r="AW14" s="1426">
        <f t="shared" si="28"/>
        <v>3</v>
      </c>
      <c r="AX14" s="1426">
        <f t="shared" si="28"/>
        <v>5</v>
      </c>
      <c r="AY14" s="1438">
        <f t="shared" si="7"/>
        <v>40</v>
      </c>
      <c r="AZ14" s="1438">
        <f t="shared" si="8"/>
        <v>35</v>
      </c>
      <c r="BA14" s="1438">
        <f t="shared" si="13"/>
        <v>75</v>
      </c>
      <c r="BB14" s="1436" t="str">
        <f>if(countif('R1_G1'!$A$8:$A$17,$A14)=1, if(and(BA14=Z14,BA14=vlookup($A14,'R1_G1'!$A$8:$AB$17, 28,false)),"yes","no"),
if(countif('R1_G2'!$A$8:$A$17,$A14)=1, if(and(BA14=Z14,BA14=vlookup($A14,'R1_G2'!$A$8:$AB$17, 28,false)),"yes","no"),
if(countif('R1_G3'!$A$8:$A$17,$A14)=1, if(and(BA14=Z14,BA14=vlookup($A14,'R1_G3'!$A$8:$AB$17, 28,false)),"yes","no"),
if(countif('R1_G4'!$A$8:$A$17,$A14)=1, if(and(BA14=Z14,BA14=vlookup($A14,'R1_G4'!$A$8:$AB$17, 28,false)),"yes","no"),
"?"))))
</f>
        <v>yes</v>
      </c>
      <c r="BC14" s="1421"/>
      <c r="BD14" s="1439">
        <f t="shared" si="14"/>
        <v>8</v>
      </c>
      <c r="BE14" s="1440">
        <f t="shared" si="15"/>
        <v>9.766666667</v>
      </c>
      <c r="BF14" s="1440">
        <f t="shared" si="17"/>
        <v>1</v>
      </c>
      <c r="BG14" s="1440">
        <f t="shared" si="18"/>
        <v>2</v>
      </c>
      <c r="BH14" s="1440">
        <f t="shared" si="19"/>
        <v>10</v>
      </c>
      <c r="BI14" s="1440">
        <f t="shared" si="20"/>
        <v>3</v>
      </c>
      <c r="BJ14" s="1440">
        <f t="shared" si="21"/>
        <v>2</v>
      </c>
    </row>
    <row r="15" ht="14.25" customHeight="1">
      <c r="A15" s="1423" t="str">
        <f>'Master Input'!$A$22</f>
        <v>R-Mac</v>
      </c>
      <c r="B15" s="1424">
        <f>VLOOKUP(A15,'Master Input'!$A$11:$L$27,6,false)</f>
        <v>12</v>
      </c>
      <c r="C15" s="1430"/>
      <c r="D15" s="1401"/>
      <c r="E15" s="1426">
        <f>if(countif('R1_G1'!$A$8:$A$17,$A15)=1,vlookup($A15,'R1_G1'!$A$8:$Y$17, E$2+4,false),
if(countif('R1_G2'!$A$8:$A$17,$A15)=1,vlookup($A15,'R1_G2'!$A$8:$Y$17, E$2+4,false),
if(countif('R1_G3'!$A$8:$A$17,$A15)=1,vlookup($A15,'R1_G3'!$A$8:$Y$17, E$2+4,false),
if(countif('R1_G4'!$A$8:$A$17,$A15)=1,vlookup($A15,'R1_G4'!$A$8:$Y$17, E$2+4,false),""))))</f>
        <v>5</v>
      </c>
      <c r="F15" s="1426">
        <f>if(countif('R1_G1'!$A$8:$A$17,$A15)=1,vlookup($A15,'R1_G1'!$A$8:$Y$17, F$2+4,false),
if(countif('R1_G2'!$A$8:$A$17,$A15)=1,vlookup($A15,'R1_G2'!$A$8:$Y$17, F$2+4,false),
if(countif('R1_G3'!$A$8:$A$17,$A15)=1,vlookup($A15,'R1_G3'!$A$8:$Y$17, F$2+4,false),
if(countif('R1_G4'!$A$8:$A$17,$A15)=1,vlookup($A15,'R1_G4'!$A$8:$Y$17, F$2+4,false),""))))</f>
        <v>5</v>
      </c>
      <c r="G15" s="1426">
        <f>if(countif('R1_G1'!$A$8:$A$17,$A15)=1,vlookup($A15,'R1_G1'!$A$8:$Y$17, G$2+4,false),
if(countif('R1_G2'!$A$8:$A$17,$A15)=1,vlookup($A15,'R1_G2'!$A$8:$Y$17, G$2+4,false),
if(countif('R1_G3'!$A$8:$A$17,$A15)=1,vlookup($A15,'R1_G3'!$A$8:$Y$17, G$2+4,false),
if(countif('R1_G4'!$A$8:$A$17,$A15)=1,vlookup($A15,'R1_G4'!$A$8:$Y$17, G$2+4,false),""))))</f>
        <v>4</v>
      </c>
      <c r="H15" s="1426">
        <f>if(countif('R1_G1'!$A$8:$A$17,$A15)=1,vlookup($A15,'R1_G1'!$A$8:$Y$17, H$2+4,false),
if(countif('R1_G2'!$A$8:$A$17,$A15)=1,vlookup($A15,'R1_G2'!$A$8:$Y$17, H$2+4,false),
if(countif('R1_G3'!$A$8:$A$17,$A15)=1,vlookup($A15,'R1_G3'!$A$8:$Y$17, H$2+4,false),
if(countif('R1_G4'!$A$8:$A$17,$A15)=1,vlookup($A15,'R1_G4'!$A$8:$Y$17, H$2+4,false),""))))</f>
        <v>7</v>
      </c>
      <c r="I15" s="1426">
        <f>if(countif('R1_G1'!$A$8:$A$17,$A15)=1,vlookup($A15,'R1_G1'!$A$8:$Y$17, I$2+4,false),
if(countif('R1_G2'!$A$8:$A$17,$A15)=1,vlookup($A15,'R1_G2'!$A$8:$Y$17, I$2+4,false),
if(countif('R1_G3'!$A$8:$A$17,$A15)=1,vlookup($A15,'R1_G3'!$A$8:$Y$17, I$2+4,false),
if(countif('R1_G4'!$A$8:$A$17,$A15)=1,vlookup($A15,'R1_G4'!$A$8:$Y$17, I$2+4,false),""))))</f>
        <v>5</v>
      </c>
      <c r="J15" s="1426">
        <f>if(countif('R1_G1'!$A$8:$A$17,$A15)=1,vlookup($A15,'R1_G1'!$A$8:$Y$17, J$2+4,false),
if(countif('R1_G2'!$A$8:$A$17,$A15)=1,vlookup($A15,'R1_G2'!$A$8:$Y$17, J$2+4,false),
if(countif('R1_G3'!$A$8:$A$17,$A15)=1,vlookup($A15,'R1_G3'!$A$8:$Y$17, J$2+4,false),
if(countif('R1_G4'!$A$8:$A$17,$A15)=1,vlookup($A15,'R1_G4'!$A$8:$Y$17, J$2+4,false),""))))</f>
        <v>4</v>
      </c>
      <c r="K15" s="1426">
        <f>if(countif('R1_G1'!$A$8:$A$17,$A15)=1,vlookup($A15,'R1_G1'!$A$8:$Y$17, K$2+4,false),
if(countif('R1_G2'!$A$8:$A$17,$A15)=1,vlookup($A15,'R1_G2'!$A$8:$Y$17, K$2+4,false),
if(countif('R1_G3'!$A$8:$A$17,$A15)=1,vlookup($A15,'R1_G3'!$A$8:$Y$17, K$2+4,false),
if(countif('R1_G4'!$A$8:$A$17,$A15)=1,vlookup($A15,'R1_G4'!$A$8:$Y$17, K$2+4,false),""))))</f>
        <v>5</v>
      </c>
      <c r="L15" s="1426">
        <f>if(countif('R1_G1'!$A$8:$A$17,$A15)=1,vlookup($A15,'R1_G1'!$A$8:$Y$17, L$2+4,false),
if(countif('R1_G2'!$A$8:$A$17,$A15)=1,vlookup($A15,'R1_G2'!$A$8:$Y$17, L$2+4,false),
if(countif('R1_G3'!$A$8:$A$17,$A15)=1,vlookup($A15,'R1_G3'!$A$8:$Y$17, L$2+4,false),
if(countif('R1_G4'!$A$8:$A$17,$A15)=1,vlookup($A15,'R1_G4'!$A$8:$Y$17, L$2+4,false),""))))</f>
        <v>4</v>
      </c>
      <c r="M15" s="1426">
        <f>if(countif('R1_G1'!$A$8:$A$17,$A15)=1,vlookup($A15,'R1_G1'!$A$8:$Y$17, M$2+4,false),
if(countif('R1_G2'!$A$8:$A$17,$A15)=1,vlookup($A15,'R1_G2'!$A$8:$Y$17, M$2+4,false),
if(countif('R1_G3'!$A$8:$A$17,$A15)=1,vlookup($A15,'R1_G3'!$A$8:$Y$17, M$2+4,false),
if(countif('R1_G4'!$A$8:$A$17,$A15)=1,vlookup($A15,'R1_G4'!$A$8:$Y$17, M$2+4,false),""))))</f>
        <v>6</v>
      </c>
      <c r="N15" s="1427">
        <f>if(countif('R1_G1'!$A$8:$A$17,$A15)=1,vlookup($A15,'R1_G1'!$A$8:$Y$17, N$2+7,false),
if(countif('R1_G2'!$A$8:$A$17,$A15)=1,vlookup($A15,'R1_G2'!$A$8:$Y$17, N$2+7,false),
if(countif('R1_G3'!$A$8:$A$17,$A15)=1,vlookup($A15,'R1_G3'!$A$8:$Y$17, N$2+7,false),
if(countif('R1_G4'!$A$8:$A$17,$A15)=1,vlookup($A15,'R1_G4'!$A$8:$Y$17, N$2+7,false),""))))</f>
        <v>5</v>
      </c>
      <c r="O15" s="1427">
        <f>if(countif('R1_G1'!$A$8:$A$17,$A15)=1,vlookup($A15,'R1_G1'!$A$8:$Y$17, O$2+7,false),
if(countif('R1_G2'!$A$8:$A$17,$A15)=1,vlookup($A15,'R1_G2'!$A$8:$Y$17, O$2+7,false),
if(countif('R1_G3'!$A$8:$A$17,$A15)=1,vlookup($A15,'R1_G3'!$A$8:$Y$17, O$2+7,false),
if(countif('R1_G4'!$A$8:$A$17,$A15)=1,vlookup($A15,'R1_G4'!$A$8:$Y$17, O$2+7,false),""))))</f>
        <v>5</v>
      </c>
      <c r="P15" s="1427">
        <f>if(countif('R1_G1'!$A$8:$A$17,$A15)=1,vlookup($A15,'R1_G1'!$A$8:$Y$17, P$2+7,false),
if(countif('R1_G2'!$A$8:$A$17,$A15)=1,vlookup($A15,'R1_G2'!$A$8:$Y$17, P$2+7,false),
if(countif('R1_G3'!$A$8:$A$17,$A15)=1,vlookup($A15,'R1_G3'!$A$8:$Y$17, P$2+7,false),
if(countif('R1_G4'!$A$8:$A$17,$A15)=1,vlookup($A15,'R1_G4'!$A$8:$Y$17, P$2+7,false),""))))</f>
        <v>4</v>
      </c>
      <c r="Q15" s="1427">
        <f>if(countif('R1_G1'!$A$8:$A$17,$A15)=1,vlookup($A15,'R1_G1'!$A$8:$Y$17, Q$2+7,false),
if(countif('R1_G2'!$A$8:$A$17,$A15)=1,vlookup($A15,'R1_G2'!$A$8:$Y$17, Q$2+7,false),
if(countif('R1_G3'!$A$8:$A$17,$A15)=1,vlookup($A15,'R1_G3'!$A$8:$Y$17, Q$2+7,false),
if(countif('R1_G4'!$A$8:$A$17,$A15)=1,vlookup($A15,'R1_G4'!$A$8:$Y$17, Q$2+7,false),""))))</f>
        <v>4</v>
      </c>
      <c r="R15" s="1427">
        <f>if(countif('R1_G1'!$A$8:$A$17,$A15)=1,vlookup($A15,'R1_G1'!$A$8:$Y$17, R$2+7,false),
if(countif('R1_G2'!$A$8:$A$17,$A15)=1,vlookup($A15,'R1_G2'!$A$8:$Y$17, R$2+7,false),
if(countif('R1_G3'!$A$8:$A$17,$A15)=1,vlookup($A15,'R1_G3'!$A$8:$Y$17, R$2+7,false),
if(countif('R1_G4'!$A$8:$A$17,$A15)=1,vlookup($A15,'R1_G4'!$A$8:$Y$17, R$2+7,false),""))))</f>
        <v>9</v>
      </c>
      <c r="S15" s="1427">
        <f>if(countif('R1_G1'!$A$8:$A$17,$A15)=1,vlookup($A15,'R1_G1'!$A$8:$Y$17, S$2+7,false),
if(countif('R1_G2'!$A$8:$A$17,$A15)=1,vlookup($A15,'R1_G2'!$A$8:$Y$17, S$2+7,false),
if(countif('R1_G3'!$A$8:$A$17,$A15)=1,vlookup($A15,'R1_G3'!$A$8:$Y$17, S$2+7,false),
if(countif('R1_G4'!$A$8:$A$17,$A15)=1,vlookup($A15,'R1_G4'!$A$8:$Y$17, S$2+7,false),""))))</f>
        <v>6</v>
      </c>
      <c r="T15" s="1427">
        <f>if(countif('R1_G1'!$A$8:$A$17,$A15)=1,vlookup($A15,'R1_G1'!$A$8:$Y$17, T$2+7,false),
if(countif('R1_G2'!$A$8:$A$17,$A15)=1,vlookup($A15,'R1_G2'!$A$8:$Y$17, T$2+7,false),
if(countif('R1_G3'!$A$8:$A$17,$A15)=1,vlookup($A15,'R1_G3'!$A$8:$Y$17, T$2+7,false),
if(countif('R1_G4'!$A$8:$A$17,$A15)=1,vlookup($A15,'R1_G4'!$A$8:$Y$17, T$2+7,false),""))))</f>
        <v>4</v>
      </c>
      <c r="U15" s="1427">
        <f>if(countif('R1_G1'!$A$8:$A$17,$A15)=1,vlookup($A15,'R1_G1'!$A$8:$Y$17, U$2+7,false),
if(countif('R1_G2'!$A$8:$A$17,$A15)=1,vlookup($A15,'R1_G2'!$A$8:$Y$17, U$2+7,false),
if(countif('R1_G3'!$A$8:$A$17,$A15)=1,vlookup($A15,'R1_G3'!$A$8:$Y$17, U$2+7,false),
if(countif('R1_G4'!$A$8:$A$17,$A15)=1,vlookup($A15,'R1_G4'!$A$8:$Y$17, U$2+7,false),""))))</f>
        <v>6</v>
      </c>
      <c r="V15" s="1427">
        <f>if(countif('R1_G1'!$A$8:$A$17,$A15)=1,vlookup($A15,'R1_G1'!$A$8:$Y$17, V$2+7,false),
if(countif('R1_G2'!$A$8:$A$17,$A15)=1,vlookup($A15,'R1_G2'!$A$8:$Y$17, V$2+7,false),
if(countif('R1_G3'!$A$8:$A$17,$A15)=1,vlookup($A15,'R1_G3'!$A$8:$Y$17, V$2+7,false),
if(countif('R1_G4'!$A$8:$A$17,$A15)=1,vlookup($A15,'R1_G4'!$A$8:$Y$17, V$2+7,false),""))))</f>
        <v>6</v>
      </c>
      <c r="W15" s="1428">
        <f t="shared" si="4"/>
        <v>45</v>
      </c>
      <c r="X15" s="1428">
        <f t="shared" si="5"/>
        <v>49</v>
      </c>
      <c r="Y15" s="1428">
        <f t="shared" si="9"/>
        <v>94</v>
      </c>
      <c r="Z15" s="1424">
        <f t="shared" si="10"/>
        <v>82</v>
      </c>
      <c r="AA15" s="1424">
        <f t="shared" si="11"/>
        <v>94</v>
      </c>
      <c r="AB15" s="1421"/>
      <c r="AC15" s="1423" t="str">
        <f>'Master Input'!$A$22</f>
        <v>R-Mac</v>
      </c>
      <c r="AD15" s="1424">
        <f>VLOOKUP(AC15,'Master Input'!$A$11:$L$27,6,false)</f>
        <v>12</v>
      </c>
      <c r="AE15" s="1423" t="s">
        <v>266</v>
      </c>
      <c r="AF15" s="1401"/>
      <c r="AG15" s="1428">
        <f t="shared" ref="AG15:AX15" si="29">if(E15="","",E15-IF($B15&gt;0,FLOOR($B15/18,1),0)-IF(AND(MOD($B15,18)&gt;=E$3,$B15&gt;0),1,0)+IF(E$3-18&gt;$B15,1,0))</f>
        <v>4</v>
      </c>
      <c r="AH15" s="1428">
        <f t="shared" si="29"/>
        <v>4</v>
      </c>
      <c r="AI15" s="1428">
        <f t="shared" si="29"/>
        <v>4</v>
      </c>
      <c r="AJ15" s="1428">
        <f t="shared" si="29"/>
        <v>6</v>
      </c>
      <c r="AK15" s="1428">
        <f t="shared" si="29"/>
        <v>4</v>
      </c>
      <c r="AL15" s="1428">
        <f t="shared" si="29"/>
        <v>4</v>
      </c>
      <c r="AM15" s="1428">
        <f t="shared" si="29"/>
        <v>4</v>
      </c>
      <c r="AN15" s="1428">
        <f t="shared" si="29"/>
        <v>3</v>
      </c>
      <c r="AO15" s="1428">
        <f t="shared" si="29"/>
        <v>6</v>
      </c>
      <c r="AP15" s="1429">
        <f t="shared" si="29"/>
        <v>5</v>
      </c>
      <c r="AQ15" s="1429">
        <f t="shared" si="29"/>
        <v>4</v>
      </c>
      <c r="AR15" s="1429">
        <f t="shared" si="29"/>
        <v>3</v>
      </c>
      <c r="AS15" s="1429">
        <f t="shared" si="29"/>
        <v>4</v>
      </c>
      <c r="AT15" s="1429">
        <f t="shared" si="29"/>
        <v>8</v>
      </c>
      <c r="AU15" s="1429">
        <f t="shared" si="29"/>
        <v>5</v>
      </c>
      <c r="AV15" s="1429">
        <f t="shared" si="29"/>
        <v>3</v>
      </c>
      <c r="AW15" s="1429">
        <f t="shared" si="29"/>
        <v>6</v>
      </c>
      <c r="AX15" s="1429">
        <f t="shared" si="29"/>
        <v>5</v>
      </c>
      <c r="AY15" s="1428">
        <f t="shared" si="7"/>
        <v>39</v>
      </c>
      <c r="AZ15" s="1428">
        <f t="shared" si="8"/>
        <v>43</v>
      </c>
      <c r="BA15" s="1428">
        <f t="shared" si="13"/>
        <v>82</v>
      </c>
      <c r="BB15" s="1430" t="str">
        <f>if(countif('R1_G1'!$A$8:$A$17,$A15)=1, if(and(BA15=Z15,BA15=vlookup($A15,'R1_G1'!$A$8:$AB$17, 28,false)),"yes","no"),
if(countif('R1_G2'!$A$8:$A$17,$A15)=1, if(and(BA15=Z15,BA15=vlookup($A15,'R1_G2'!$A$8:$AB$17, 28,false)),"yes","no"),
if(countif('R1_G3'!$A$8:$A$17,$A15)=1, if(and(BA15=Z15,BA15=vlookup($A15,'R1_G3'!$A$8:$AB$17, 28,false)),"yes","no"),
if(countif('R1_G4'!$A$8:$A$17,$A15)=1, if(and(BA15=Z15,BA15=vlookup($A15,'R1_G4'!$A$8:$AB$17, 28,false)),"yes","no"),
"?"))))
</f>
        <v>yes</v>
      </c>
      <c r="BC15" s="1421"/>
      <c r="BD15" s="1441">
        <f t="shared" si="14"/>
        <v>5.5</v>
      </c>
      <c r="BE15" s="1442">
        <f t="shared" si="15"/>
        <v>7.7</v>
      </c>
      <c r="BF15" s="1442">
        <f t="shared" si="17"/>
        <v>0</v>
      </c>
      <c r="BG15" s="1442">
        <f t="shared" si="18"/>
        <v>3</v>
      </c>
      <c r="BH15" s="1442">
        <f t="shared" si="19"/>
        <v>5</v>
      </c>
      <c r="BI15" s="1442">
        <f t="shared" si="20"/>
        <v>8</v>
      </c>
      <c r="BJ15" s="1442">
        <f t="shared" si="21"/>
        <v>2</v>
      </c>
    </row>
    <row r="16" ht="14.25" customHeight="1">
      <c r="A16" s="1434" t="str">
        <f>'Master Input'!$A$23</f>
        <v>T-Mo</v>
      </c>
      <c r="B16" s="1435">
        <f>VLOOKUP(A16,'Master Input'!$A$11:$L$27,6,false)</f>
        <v>13</v>
      </c>
      <c r="C16" s="1436"/>
      <c r="D16" s="1401"/>
      <c r="E16" s="1437">
        <f>if(countif('R1_G1'!$A$8:$A$17,$A16)=1,vlookup($A16,'R1_G1'!$A$8:$Y$17, E$2+4,false),
if(countif('R1_G2'!$A$8:$A$17,$A16)=1,vlookup($A16,'R1_G2'!$A$8:$Y$17, E$2+4,false),
if(countif('R1_G3'!$A$8:$A$17,$A16)=1,vlookup($A16,'R1_G3'!$A$8:$Y$17, E$2+4,false),
if(countif('R1_G4'!$A$8:$A$17,$A16)=1,vlookup($A16,'R1_G4'!$A$8:$Y$17, E$2+4,false),""))))</f>
        <v>6</v>
      </c>
      <c r="F16" s="1437">
        <f>if(countif('R1_G1'!$A$8:$A$17,$A16)=1,vlookup($A16,'R1_G1'!$A$8:$Y$17, F$2+4,false),
if(countif('R1_G2'!$A$8:$A$17,$A16)=1,vlookup($A16,'R1_G2'!$A$8:$Y$17, F$2+4,false),
if(countif('R1_G3'!$A$8:$A$17,$A16)=1,vlookup($A16,'R1_G3'!$A$8:$Y$17, F$2+4,false),
if(countif('R1_G4'!$A$8:$A$17,$A16)=1,vlookup($A16,'R1_G4'!$A$8:$Y$17, F$2+4,false),""))))</f>
        <v>6</v>
      </c>
      <c r="G16" s="1437">
        <f>if(countif('R1_G1'!$A$8:$A$17,$A16)=1,vlookup($A16,'R1_G1'!$A$8:$Y$17, G$2+4,false),
if(countif('R1_G2'!$A$8:$A$17,$A16)=1,vlookup($A16,'R1_G2'!$A$8:$Y$17, G$2+4,false),
if(countif('R1_G3'!$A$8:$A$17,$A16)=1,vlookup($A16,'R1_G3'!$A$8:$Y$17, G$2+4,false),
if(countif('R1_G4'!$A$8:$A$17,$A16)=1,vlookup($A16,'R1_G4'!$A$8:$Y$17, G$2+4,false),""))))</f>
        <v>5</v>
      </c>
      <c r="H16" s="1437">
        <f>if(countif('R1_G1'!$A$8:$A$17,$A16)=1,vlookup($A16,'R1_G1'!$A$8:$Y$17, H$2+4,false),
if(countif('R1_G2'!$A$8:$A$17,$A16)=1,vlookup($A16,'R1_G2'!$A$8:$Y$17, H$2+4,false),
if(countif('R1_G3'!$A$8:$A$17,$A16)=1,vlookup($A16,'R1_G3'!$A$8:$Y$17, H$2+4,false),
if(countif('R1_G4'!$A$8:$A$17,$A16)=1,vlookup($A16,'R1_G4'!$A$8:$Y$17, H$2+4,false),""))))</f>
        <v>7</v>
      </c>
      <c r="I16" s="1437">
        <f>if(countif('R1_G1'!$A$8:$A$17,$A16)=1,vlookup($A16,'R1_G1'!$A$8:$Y$17, I$2+4,false),
if(countif('R1_G2'!$A$8:$A$17,$A16)=1,vlookup($A16,'R1_G2'!$A$8:$Y$17, I$2+4,false),
if(countif('R1_G3'!$A$8:$A$17,$A16)=1,vlookup($A16,'R1_G3'!$A$8:$Y$17, I$2+4,false),
if(countif('R1_G4'!$A$8:$A$17,$A16)=1,vlookup($A16,'R1_G4'!$A$8:$Y$17, I$2+4,false),""))))</f>
        <v>5</v>
      </c>
      <c r="J16" s="1437">
        <f>if(countif('R1_G1'!$A$8:$A$17,$A16)=1,vlookup($A16,'R1_G1'!$A$8:$Y$17, J$2+4,false),
if(countif('R1_G2'!$A$8:$A$17,$A16)=1,vlookup($A16,'R1_G2'!$A$8:$Y$17, J$2+4,false),
if(countif('R1_G3'!$A$8:$A$17,$A16)=1,vlookup($A16,'R1_G3'!$A$8:$Y$17, J$2+4,false),
if(countif('R1_G4'!$A$8:$A$17,$A16)=1,vlookup($A16,'R1_G4'!$A$8:$Y$17, J$2+4,false),""))))</f>
        <v>4</v>
      </c>
      <c r="K16" s="1437">
        <f>if(countif('R1_G1'!$A$8:$A$17,$A16)=1,vlookup($A16,'R1_G1'!$A$8:$Y$17, K$2+4,false),
if(countif('R1_G2'!$A$8:$A$17,$A16)=1,vlookup($A16,'R1_G2'!$A$8:$Y$17, K$2+4,false),
if(countif('R1_G3'!$A$8:$A$17,$A16)=1,vlookup($A16,'R1_G3'!$A$8:$Y$17, K$2+4,false),
if(countif('R1_G4'!$A$8:$A$17,$A16)=1,vlookup($A16,'R1_G4'!$A$8:$Y$17, K$2+4,false),""))))</f>
        <v>3</v>
      </c>
      <c r="L16" s="1437">
        <f>if(countif('R1_G1'!$A$8:$A$17,$A16)=1,vlookup($A16,'R1_G1'!$A$8:$Y$17, L$2+4,false),
if(countif('R1_G2'!$A$8:$A$17,$A16)=1,vlookup($A16,'R1_G2'!$A$8:$Y$17, L$2+4,false),
if(countif('R1_G3'!$A$8:$A$17,$A16)=1,vlookup($A16,'R1_G3'!$A$8:$Y$17, L$2+4,false),
if(countif('R1_G4'!$A$8:$A$17,$A16)=1,vlookup($A16,'R1_G4'!$A$8:$Y$17, L$2+4,false),""))))</f>
        <v>4</v>
      </c>
      <c r="M16" s="1437">
        <f>if(countif('R1_G1'!$A$8:$A$17,$A16)=1,vlookup($A16,'R1_G1'!$A$8:$Y$17, M$2+4,false),
if(countif('R1_G2'!$A$8:$A$17,$A16)=1,vlookup($A16,'R1_G2'!$A$8:$Y$17, M$2+4,false),
if(countif('R1_G3'!$A$8:$A$17,$A16)=1,vlookup($A16,'R1_G3'!$A$8:$Y$17, M$2+4,false),
if(countif('R1_G4'!$A$8:$A$17,$A16)=1,vlookup($A16,'R1_G4'!$A$8:$Y$17, M$2+4,false),""))))</f>
        <v>5</v>
      </c>
      <c r="N16" s="1426">
        <f>if(countif('R1_G1'!$A$8:$A$17,$A16)=1,vlookup($A16,'R1_G1'!$A$8:$Y$17, N$2+7,false),
if(countif('R1_G2'!$A$8:$A$17,$A16)=1,vlookup($A16,'R1_G2'!$A$8:$Y$17, N$2+7,false),
if(countif('R1_G3'!$A$8:$A$17,$A16)=1,vlookup($A16,'R1_G3'!$A$8:$Y$17, N$2+7,false),
if(countif('R1_G4'!$A$8:$A$17,$A16)=1,vlookup($A16,'R1_G4'!$A$8:$Y$17, N$2+7,false),""))))</f>
        <v>5</v>
      </c>
      <c r="O16" s="1426">
        <f>if(countif('R1_G1'!$A$8:$A$17,$A16)=1,vlookup($A16,'R1_G1'!$A$8:$Y$17, O$2+7,false),
if(countif('R1_G2'!$A$8:$A$17,$A16)=1,vlookup($A16,'R1_G2'!$A$8:$Y$17, O$2+7,false),
if(countif('R1_G3'!$A$8:$A$17,$A16)=1,vlookup($A16,'R1_G3'!$A$8:$Y$17, O$2+7,false),
if(countif('R1_G4'!$A$8:$A$17,$A16)=1,vlookup($A16,'R1_G4'!$A$8:$Y$17, O$2+7,false),""))))</f>
        <v>6</v>
      </c>
      <c r="P16" s="1426">
        <f>if(countif('R1_G1'!$A$8:$A$17,$A16)=1,vlookup($A16,'R1_G1'!$A$8:$Y$17, P$2+7,false),
if(countif('R1_G2'!$A$8:$A$17,$A16)=1,vlookup($A16,'R1_G2'!$A$8:$Y$17, P$2+7,false),
if(countif('R1_G3'!$A$8:$A$17,$A16)=1,vlookup($A16,'R1_G3'!$A$8:$Y$17, P$2+7,false),
if(countif('R1_G4'!$A$8:$A$17,$A16)=1,vlookup($A16,'R1_G4'!$A$8:$Y$17, P$2+7,false),""))))</f>
        <v>5</v>
      </c>
      <c r="Q16" s="1426">
        <f>if(countif('R1_G1'!$A$8:$A$17,$A16)=1,vlookup($A16,'R1_G1'!$A$8:$Y$17, Q$2+7,false),
if(countif('R1_G2'!$A$8:$A$17,$A16)=1,vlookup($A16,'R1_G2'!$A$8:$Y$17, Q$2+7,false),
if(countif('R1_G3'!$A$8:$A$17,$A16)=1,vlookup($A16,'R1_G3'!$A$8:$Y$17, Q$2+7,false),
if(countif('R1_G4'!$A$8:$A$17,$A16)=1,vlookup($A16,'R1_G4'!$A$8:$Y$17, Q$2+7,false),""))))</f>
        <v>3</v>
      </c>
      <c r="R16" s="1426">
        <f>if(countif('R1_G1'!$A$8:$A$17,$A16)=1,vlookup($A16,'R1_G1'!$A$8:$Y$17, R$2+7,false),
if(countif('R1_G2'!$A$8:$A$17,$A16)=1,vlookup($A16,'R1_G2'!$A$8:$Y$17, R$2+7,false),
if(countif('R1_G3'!$A$8:$A$17,$A16)=1,vlookup($A16,'R1_G3'!$A$8:$Y$17, R$2+7,false),
if(countif('R1_G4'!$A$8:$A$17,$A16)=1,vlookup($A16,'R1_G4'!$A$8:$Y$17, R$2+7,false),""))))</f>
        <v>6</v>
      </c>
      <c r="S16" s="1426">
        <f>if(countif('R1_G1'!$A$8:$A$17,$A16)=1,vlookup($A16,'R1_G1'!$A$8:$Y$17, S$2+7,false),
if(countif('R1_G2'!$A$8:$A$17,$A16)=1,vlookup($A16,'R1_G2'!$A$8:$Y$17, S$2+7,false),
if(countif('R1_G3'!$A$8:$A$17,$A16)=1,vlookup($A16,'R1_G3'!$A$8:$Y$17, S$2+7,false),
if(countif('R1_G4'!$A$8:$A$17,$A16)=1,vlookup($A16,'R1_G4'!$A$8:$Y$17, S$2+7,false),""))))</f>
        <v>6</v>
      </c>
      <c r="T16" s="1426">
        <f>if(countif('R1_G1'!$A$8:$A$17,$A16)=1,vlookup($A16,'R1_G1'!$A$8:$Y$17, T$2+7,false),
if(countif('R1_G2'!$A$8:$A$17,$A16)=1,vlookup($A16,'R1_G2'!$A$8:$Y$17, T$2+7,false),
if(countif('R1_G3'!$A$8:$A$17,$A16)=1,vlookup($A16,'R1_G3'!$A$8:$Y$17, T$2+7,false),
if(countif('R1_G4'!$A$8:$A$17,$A16)=1,vlookup($A16,'R1_G4'!$A$8:$Y$17, T$2+7,false),""))))</f>
        <v>5</v>
      </c>
      <c r="U16" s="1426">
        <f>if(countif('R1_G1'!$A$8:$A$17,$A16)=1,vlookup($A16,'R1_G1'!$A$8:$Y$17, U$2+7,false),
if(countif('R1_G2'!$A$8:$A$17,$A16)=1,vlookup($A16,'R1_G2'!$A$8:$Y$17, U$2+7,false),
if(countif('R1_G3'!$A$8:$A$17,$A16)=1,vlookup($A16,'R1_G3'!$A$8:$Y$17, U$2+7,false),
if(countif('R1_G4'!$A$8:$A$17,$A16)=1,vlookup($A16,'R1_G4'!$A$8:$Y$17, U$2+7,false),""))))</f>
        <v>3</v>
      </c>
      <c r="V16" s="1426">
        <f>if(countif('R1_G1'!$A$8:$A$17,$A16)=1,vlookup($A16,'R1_G1'!$A$8:$Y$17, V$2+7,false),
if(countif('R1_G2'!$A$8:$A$17,$A16)=1,vlookup($A16,'R1_G2'!$A$8:$Y$17, V$2+7,false),
if(countif('R1_G3'!$A$8:$A$17,$A16)=1,vlookup($A16,'R1_G3'!$A$8:$Y$17, V$2+7,false),
if(countif('R1_G4'!$A$8:$A$17,$A16)=1,vlookup($A16,'R1_G4'!$A$8:$Y$17, V$2+7,false),""))))</f>
        <v>6</v>
      </c>
      <c r="W16" s="1438">
        <f t="shared" si="4"/>
        <v>45</v>
      </c>
      <c r="X16" s="1438">
        <f t="shared" si="5"/>
        <v>45</v>
      </c>
      <c r="Y16" s="1438">
        <f t="shared" si="9"/>
        <v>90</v>
      </c>
      <c r="Z16" s="1435">
        <f t="shared" si="10"/>
        <v>77</v>
      </c>
      <c r="AA16" s="1435">
        <f t="shared" si="11"/>
        <v>90</v>
      </c>
      <c r="AB16" s="1421"/>
      <c r="AC16" s="1434" t="str">
        <f>'Master Input'!$A$23</f>
        <v>T-Mo</v>
      </c>
      <c r="AD16" s="1435">
        <f>VLOOKUP(AC16,'Master Input'!$A$11:$L$27,6,false)</f>
        <v>13</v>
      </c>
      <c r="AE16" s="1434" t="s">
        <v>266</v>
      </c>
      <c r="AF16" s="1401"/>
      <c r="AG16" s="1438">
        <f t="shared" ref="AG16:AX16" si="30">if(E16="","",E16-IF($B16&gt;0,FLOOR($B16/18,1),0)-IF(AND(MOD($B16,18)&gt;=E$3,$B16&gt;0),1,0)+IF(E$3-18&gt;$B16,1,0))</f>
        <v>5</v>
      </c>
      <c r="AH16" s="1438">
        <f t="shared" si="30"/>
        <v>5</v>
      </c>
      <c r="AI16" s="1438">
        <f t="shared" si="30"/>
        <v>5</v>
      </c>
      <c r="AJ16" s="1438">
        <f t="shared" si="30"/>
        <v>6</v>
      </c>
      <c r="AK16" s="1438">
        <f t="shared" si="30"/>
        <v>4</v>
      </c>
      <c r="AL16" s="1438">
        <f t="shared" si="30"/>
        <v>4</v>
      </c>
      <c r="AM16" s="1438">
        <f t="shared" si="30"/>
        <v>2</v>
      </c>
      <c r="AN16" s="1438">
        <f t="shared" si="30"/>
        <v>3</v>
      </c>
      <c r="AO16" s="1438">
        <f t="shared" si="30"/>
        <v>5</v>
      </c>
      <c r="AP16" s="1426">
        <f t="shared" si="30"/>
        <v>4</v>
      </c>
      <c r="AQ16" s="1426">
        <f t="shared" si="30"/>
        <v>5</v>
      </c>
      <c r="AR16" s="1426">
        <f t="shared" si="30"/>
        <v>4</v>
      </c>
      <c r="AS16" s="1426">
        <f t="shared" si="30"/>
        <v>3</v>
      </c>
      <c r="AT16" s="1426">
        <f t="shared" si="30"/>
        <v>5</v>
      </c>
      <c r="AU16" s="1426">
        <f t="shared" si="30"/>
        <v>5</v>
      </c>
      <c r="AV16" s="1426">
        <f t="shared" si="30"/>
        <v>4</v>
      </c>
      <c r="AW16" s="1426">
        <f t="shared" si="30"/>
        <v>3</v>
      </c>
      <c r="AX16" s="1426">
        <f t="shared" si="30"/>
        <v>5</v>
      </c>
      <c r="AY16" s="1438">
        <f t="shared" si="7"/>
        <v>39</v>
      </c>
      <c r="AZ16" s="1438">
        <f t="shared" si="8"/>
        <v>38</v>
      </c>
      <c r="BA16" s="1438">
        <f t="shared" si="13"/>
        <v>77</v>
      </c>
      <c r="BB16" s="1436" t="str">
        <f>if(countif('R1_G1'!$A$8:$A$17,$A16)=1, if(and(BA16=Z16,BA16=vlookup($A16,'R1_G1'!$A$8:$AB$17, 28,false)),"yes","no"),
if(countif('R1_G2'!$A$8:$A$17,$A16)=1, if(and(BA16=Z16,BA16=vlookup($A16,'R1_G2'!$A$8:$AB$17, 28,false)),"yes","no"),
if(countif('R1_G3'!$A$8:$A$17,$A16)=1, if(and(BA16=Z16,BA16=vlookup($A16,'R1_G3'!$A$8:$AB$17, 28,false)),"yes","no"),
if(countif('R1_G4'!$A$8:$A$17,$A16)=1, if(and(BA16=Z16,BA16=vlookup($A16,'R1_G4'!$A$8:$AB$17, 28,false)),"yes","no"),
"?"))))
</f>
        <v>yes</v>
      </c>
      <c r="BC16" s="1421"/>
      <c r="BD16" s="1439">
        <f t="shared" si="14"/>
        <v>6.5</v>
      </c>
      <c r="BE16" s="1440">
        <f t="shared" si="15"/>
        <v>8.9</v>
      </c>
      <c r="BF16" s="1440">
        <f t="shared" si="17"/>
        <v>0</v>
      </c>
      <c r="BG16" s="1440">
        <f t="shared" si="18"/>
        <v>2</v>
      </c>
      <c r="BH16" s="1440">
        <f t="shared" si="19"/>
        <v>9</v>
      </c>
      <c r="BI16" s="1440">
        <f t="shared" si="20"/>
        <v>6</v>
      </c>
      <c r="BJ16" s="1440">
        <f t="shared" si="21"/>
        <v>1</v>
      </c>
    </row>
    <row r="17" ht="14.25" customHeight="1">
      <c r="A17" s="1423" t="str">
        <f>'Master Input'!$A$24</f>
        <v>TJSC</v>
      </c>
      <c r="B17" s="1424">
        <f>VLOOKUP(A17,'Master Input'!$A$11:$L$27,6,false)</f>
        <v>15</v>
      </c>
      <c r="C17" s="1430"/>
      <c r="D17" s="1401"/>
      <c r="E17" s="1426">
        <f>if(countif('R1_G1'!$A$8:$A$17,$A17)=1,vlookup($A17,'R1_G1'!$A$8:$Y$17, E$2+4,false),
if(countif('R1_G2'!$A$8:$A$17,$A17)=1,vlookup($A17,'R1_G2'!$A$8:$Y$17, E$2+4,false),
if(countif('R1_G3'!$A$8:$A$17,$A17)=1,vlookup($A17,'R1_G3'!$A$8:$Y$17, E$2+4,false),
if(countif('R1_G4'!$A$8:$A$17,$A17)=1,vlookup($A17,'R1_G4'!$A$8:$Y$17, E$2+4,false),""))))</f>
        <v>7</v>
      </c>
      <c r="F17" s="1426">
        <f>if(countif('R1_G1'!$A$8:$A$17,$A17)=1,vlookup($A17,'R1_G1'!$A$8:$Y$17, F$2+4,false),
if(countif('R1_G2'!$A$8:$A$17,$A17)=1,vlookup($A17,'R1_G2'!$A$8:$Y$17, F$2+4,false),
if(countif('R1_G3'!$A$8:$A$17,$A17)=1,vlookup($A17,'R1_G3'!$A$8:$Y$17, F$2+4,false),
if(countif('R1_G4'!$A$8:$A$17,$A17)=1,vlookup($A17,'R1_G4'!$A$8:$Y$17, F$2+4,false),""))))</f>
        <v>5</v>
      </c>
      <c r="G17" s="1426">
        <f>if(countif('R1_G1'!$A$8:$A$17,$A17)=1,vlookup($A17,'R1_G1'!$A$8:$Y$17, G$2+4,false),
if(countif('R1_G2'!$A$8:$A$17,$A17)=1,vlookup($A17,'R1_G2'!$A$8:$Y$17, G$2+4,false),
if(countif('R1_G3'!$A$8:$A$17,$A17)=1,vlookup($A17,'R1_G3'!$A$8:$Y$17, G$2+4,false),
if(countif('R1_G4'!$A$8:$A$17,$A17)=1,vlookup($A17,'R1_G4'!$A$8:$Y$17, G$2+4,false),""))))</f>
        <v>4</v>
      </c>
      <c r="H17" s="1426">
        <f>if(countif('R1_G1'!$A$8:$A$17,$A17)=1,vlookup($A17,'R1_G1'!$A$8:$Y$17, H$2+4,false),
if(countif('R1_G2'!$A$8:$A$17,$A17)=1,vlookup($A17,'R1_G2'!$A$8:$Y$17, H$2+4,false),
if(countif('R1_G3'!$A$8:$A$17,$A17)=1,vlookup($A17,'R1_G3'!$A$8:$Y$17, H$2+4,false),
if(countif('R1_G4'!$A$8:$A$17,$A17)=1,vlookup($A17,'R1_G4'!$A$8:$Y$17, H$2+4,false),""))))</f>
        <v>6</v>
      </c>
      <c r="I17" s="1426">
        <f>if(countif('R1_G1'!$A$8:$A$17,$A17)=1,vlookup($A17,'R1_G1'!$A$8:$Y$17, I$2+4,false),
if(countif('R1_G2'!$A$8:$A$17,$A17)=1,vlookup($A17,'R1_G2'!$A$8:$Y$17, I$2+4,false),
if(countif('R1_G3'!$A$8:$A$17,$A17)=1,vlookup($A17,'R1_G3'!$A$8:$Y$17, I$2+4,false),
if(countif('R1_G4'!$A$8:$A$17,$A17)=1,vlookup($A17,'R1_G4'!$A$8:$Y$17, I$2+4,false),""))))</f>
        <v>4</v>
      </c>
      <c r="J17" s="1426">
        <f>if(countif('R1_G1'!$A$8:$A$17,$A17)=1,vlookup($A17,'R1_G1'!$A$8:$Y$17, J$2+4,false),
if(countif('R1_G2'!$A$8:$A$17,$A17)=1,vlookup($A17,'R1_G2'!$A$8:$Y$17, J$2+4,false),
if(countif('R1_G3'!$A$8:$A$17,$A17)=1,vlookup($A17,'R1_G3'!$A$8:$Y$17, J$2+4,false),
if(countif('R1_G4'!$A$8:$A$17,$A17)=1,vlookup($A17,'R1_G4'!$A$8:$Y$17, J$2+4,false),""))))</f>
        <v>5</v>
      </c>
      <c r="K17" s="1426">
        <f>if(countif('R1_G1'!$A$8:$A$17,$A17)=1,vlookup($A17,'R1_G1'!$A$8:$Y$17, K$2+4,false),
if(countif('R1_G2'!$A$8:$A$17,$A17)=1,vlookup($A17,'R1_G2'!$A$8:$Y$17, K$2+4,false),
if(countif('R1_G3'!$A$8:$A$17,$A17)=1,vlookup($A17,'R1_G3'!$A$8:$Y$17, K$2+4,false),
if(countif('R1_G4'!$A$8:$A$17,$A17)=1,vlookup($A17,'R1_G4'!$A$8:$Y$17, K$2+4,false),""))))</f>
        <v>4</v>
      </c>
      <c r="L17" s="1426">
        <f>if(countif('R1_G1'!$A$8:$A$17,$A17)=1,vlookup($A17,'R1_G1'!$A$8:$Y$17, L$2+4,false),
if(countif('R1_G2'!$A$8:$A$17,$A17)=1,vlookup($A17,'R1_G2'!$A$8:$Y$17, L$2+4,false),
if(countif('R1_G3'!$A$8:$A$17,$A17)=1,vlookup($A17,'R1_G3'!$A$8:$Y$17, L$2+4,false),
if(countif('R1_G4'!$A$8:$A$17,$A17)=1,vlookup($A17,'R1_G4'!$A$8:$Y$17, L$2+4,false),""))))</f>
        <v>6</v>
      </c>
      <c r="M17" s="1426">
        <f>if(countif('R1_G1'!$A$8:$A$17,$A17)=1,vlookup($A17,'R1_G1'!$A$8:$Y$17, M$2+4,false),
if(countif('R1_G2'!$A$8:$A$17,$A17)=1,vlookup($A17,'R1_G2'!$A$8:$Y$17, M$2+4,false),
if(countif('R1_G3'!$A$8:$A$17,$A17)=1,vlookup($A17,'R1_G3'!$A$8:$Y$17, M$2+4,false),
if(countif('R1_G4'!$A$8:$A$17,$A17)=1,vlookup($A17,'R1_G4'!$A$8:$Y$17, M$2+4,false),""))))</f>
        <v>7</v>
      </c>
      <c r="N17" s="1427">
        <f>if(countif('R1_G1'!$A$8:$A$17,$A17)=1,vlookup($A17,'R1_G1'!$A$8:$Y$17, N$2+7,false),
if(countif('R1_G2'!$A$8:$A$17,$A17)=1,vlookup($A17,'R1_G2'!$A$8:$Y$17, N$2+7,false),
if(countif('R1_G3'!$A$8:$A$17,$A17)=1,vlookup($A17,'R1_G3'!$A$8:$Y$17, N$2+7,false),
if(countif('R1_G4'!$A$8:$A$17,$A17)=1,vlookup($A17,'R1_G4'!$A$8:$Y$17, N$2+7,false),""))))</f>
        <v>4</v>
      </c>
      <c r="O17" s="1427">
        <f>if(countif('R1_G1'!$A$8:$A$17,$A17)=1,vlookup($A17,'R1_G1'!$A$8:$Y$17, O$2+7,false),
if(countif('R1_G2'!$A$8:$A$17,$A17)=1,vlookup($A17,'R1_G2'!$A$8:$Y$17, O$2+7,false),
if(countif('R1_G3'!$A$8:$A$17,$A17)=1,vlookup($A17,'R1_G3'!$A$8:$Y$17, O$2+7,false),
if(countif('R1_G4'!$A$8:$A$17,$A17)=1,vlookup($A17,'R1_G4'!$A$8:$Y$17, O$2+7,false),""))))</f>
        <v>5</v>
      </c>
      <c r="P17" s="1427">
        <f>if(countif('R1_G1'!$A$8:$A$17,$A17)=1,vlookup($A17,'R1_G1'!$A$8:$Y$17, P$2+7,false),
if(countif('R1_G2'!$A$8:$A$17,$A17)=1,vlookup($A17,'R1_G2'!$A$8:$Y$17, P$2+7,false),
if(countif('R1_G3'!$A$8:$A$17,$A17)=1,vlookup($A17,'R1_G3'!$A$8:$Y$17, P$2+7,false),
if(countif('R1_G4'!$A$8:$A$17,$A17)=1,vlookup($A17,'R1_G4'!$A$8:$Y$17, P$2+7,false),""))))</f>
        <v>4</v>
      </c>
      <c r="Q17" s="1427">
        <f>if(countif('R1_G1'!$A$8:$A$17,$A17)=1,vlookup($A17,'R1_G1'!$A$8:$Y$17, Q$2+7,false),
if(countif('R1_G2'!$A$8:$A$17,$A17)=1,vlookup($A17,'R1_G2'!$A$8:$Y$17, Q$2+7,false),
if(countif('R1_G3'!$A$8:$A$17,$A17)=1,vlookup($A17,'R1_G3'!$A$8:$Y$17, Q$2+7,false),
if(countif('R1_G4'!$A$8:$A$17,$A17)=1,vlookup($A17,'R1_G4'!$A$8:$Y$17, Q$2+7,false),""))))</f>
        <v>5</v>
      </c>
      <c r="R17" s="1427">
        <f>if(countif('R1_G1'!$A$8:$A$17,$A17)=1,vlookup($A17,'R1_G1'!$A$8:$Y$17, R$2+7,false),
if(countif('R1_G2'!$A$8:$A$17,$A17)=1,vlookup($A17,'R1_G2'!$A$8:$Y$17, R$2+7,false),
if(countif('R1_G3'!$A$8:$A$17,$A17)=1,vlookup($A17,'R1_G3'!$A$8:$Y$17, R$2+7,false),
if(countif('R1_G4'!$A$8:$A$17,$A17)=1,vlookup($A17,'R1_G4'!$A$8:$Y$17, R$2+7,false),""))))</f>
        <v>7</v>
      </c>
      <c r="S17" s="1427">
        <f>if(countif('R1_G1'!$A$8:$A$17,$A17)=1,vlookup($A17,'R1_G1'!$A$8:$Y$17, S$2+7,false),
if(countif('R1_G2'!$A$8:$A$17,$A17)=1,vlookup($A17,'R1_G2'!$A$8:$Y$17, S$2+7,false),
if(countif('R1_G3'!$A$8:$A$17,$A17)=1,vlookup($A17,'R1_G3'!$A$8:$Y$17, S$2+7,false),
if(countif('R1_G4'!$A$8:$A$17,$A17)=1,vlookup($A17,'R1_G4'!$A$8:$Y$17, S$2+7,false),""))))</f>
        <v>5</v>
      </c>
      <c r="T17" s="1427">
        <f>if(countif('R1_G1'!$A$8:$A$17,$A17)=1,vlookup($A17,'R1_G1'!$A$8:$Y$17, T$2+7,false),
if(countif('R1_G2'!$A$8:$A$17,$A17)=1,vlookup($A17,'R1_G2'!$A$8:$Y$17, T$2+7,false),
if(countif('R1_G3'!$A$8:$A$17,$A17)=1,vlookup($A17,'R1_G3'!$A$8:$Y$17, T$2+7,false),
if(countif('R1_G4'!$A$8:$A$17,$A17)=1,vlookup($A17,'R1_G4'!$A$8:$Y$17, T$2+7,false),""))))</f>
        <v>5</v>
      </c>
      <c r="U17" s="1427">
        <f>if(countif('R1_G1'!$A$8:$A$17,$A17)=1,vlookup($A17,'R1_G1'!$A$8:$Y$17, U$2+7,false),
if(countif('R1_G2'!$A$8:$A$17,$A17)=1,vlookup($A17,'R1_G2'!$A$8:$Y$17, U$2+7,false),
if(countif('R1_G3'!$A$8:$A$17,$A17)=1,vlookup($A17,'R1_G3'!$A$8:$Y$17, U$2+7,false),
if(countif('R1_G4'!$A$8:$A$17,$A17)=1,vlookup($A17,'R1_G4'!$A$8:$Y$17, U$2+7,false),""))))</f>
        <v>4</v>
      </c>
      <c r="V17" s="1427">
        <f>if(countif('R1_G1'!$A$8:$A$17,$A17)=1,vlookup($A17,'R1_G1'!$A$8:$Y$17, V$2+7,false),
if(countif('R1_G2'!$A$8:$A$17,$A17)=1,vlookup($A17,'R1_G2'!$A$8:$Y$17, V$2+7,false),
if(countif('R1_G3'!$A$8:$A$17,$A17)=1,vlookup($A17,'R1_G3'!$A$8:$Y$17, V$2+7,false),
if(countif('R1_G4'!$A$8:$A$17,$A17)=1,vlookup($A17,'R1_G4'!$A$8:$Y$17, V$2+7,false),""))))</f>
        <v>4</v>
      </c>
      <c r="W17" s="1428">
        <f t="shared" si="4"/>
        <v>48</v>
      </c>
      <c r="X17" s="1428">
        <f t="shared" si="5"/>
        <v>43</v>
      </c>
      <c r="Y17" s="1428">
        <f t="shared" si="9"/>
        <v>91</v>
      </c>
      <c r="Z17" s="1424">
        <f t="shared" si="10"/>
        <v>76</v>
      </c>
      <c r="AA17" s="1424">
        <f t="shared" si="11"/>
        <v>91</v>
      </c>
      <c r="AB17" s="1421"/>
      <c r="AC17" s="1423" t="str">
        <f>'Master Input'!$A$24</f>
        <v>TJSC</v>
      </c>
      <c r="AD17" s="1424">
        <f>VLOOKUP(AC17,'Master Input'!$A$11:$L$27,6,false)</f>
        <v>15</v>
      </c>
      <c r="AE17" s="1423" t="s">
        <v>266</v>
      </c>
      <c r="AF17" s="1401"/>
      <c r="AG17" s="1428">
        <f t="shared" ref="AG17:AX17" si="31">if(E17="","",E17-IF($B17&gt;0,FLOOR($B17/18,1),0)-IF(AND(MOD($B17,18)&gt;=E$3,$B17&gt;0),1,0)+IF(E$3-18&gt;$B17,1,0))</f>
        <v>6</v>
      </c>
      <c r="AH17" s="1428">
        <f t="shared" si="31"/>
        <v>4</v>
      </c>
      <c r="AI17" s="1428">
        <f t="shared" si="31"/>
        <v>3</v>
      </c>
      <c r="AJ17" s="1428">
        <f t="shared" si="31"/>
        <v>5</v>
      </c>
      <c r="AK17" s="1428">
        <f t="shared" si="31"/>
        <v>3</v>
      </c>
      <c r="AL17" s="1428">
        <f t="shared" si="31"/>
        <v>5</v>
      </c>
      <c r="AM17" s="1428">
        <f t="shared" si="31"/>
        <v>3</v>
      </c>
      <c r="AN17" s="1428">
        <f t="shared" si="31"/>
        <v>5</v>
      </c>
      <c r="AO17" s="1428">
        <f t="shared" si="31"/>
        <v>7</v>
      </c>
      <c r="AP17" s="1429">
        <f t="shared" si="31"/>
        <v>3</v>
      </c>
      <c r="AQ17" s="1429">
        <f t="shared" si="31"/>
        <v>4</v>
      </c>
      <c r="AR17" s="1429">
        <f t="shared" si="31"/>
        <v>3</v>
      </c>
      <c r="AS17" s="1429">
        <f t="shared" si="31"/>
        <v>4</v>
      </c>
      <c r="AT17" s="1429">
        <f t="shared" si="31"/>
        <v>6</v>
      </c>
      <c r="AU17" s="1429">
        <f t="shared" si="31"/>
        <v>4</v>
      </c>
      <c r="AV17" s="1429">
        <f t="shared" si="31"/>
        <v>4</v>
      </c>
      <c r="AW17" s="1429">
        <f t="shared" si="31"/>
        <v>4</v>
      </c>
      <c r="AX17" s="1429">
        <f t="shared" si="31"/>
        <v>3</v>
      </c>
      <c r="AY17" s="1428">
        <f t="shared" si="7"/>
        <v>41</v>
      </c>
      <c r="AZ17" s="1428">
        <f t="shared" si="8"/>
        <v>35</v>
      </c>
      <c r="BA17" s="1428">
        <f t="shared" si="13"/>
        <v>76</v>
      </c>
      <c r="BB17" s="1430" t="str">
        <f>if(countif('R1_G1'!$A$8:$A$17,$A17)=1, if(and(BA17=Z17,BA17=vlookup($A17,'R1_G1'!$A$8:$AB$17, 28,false)),"yes","no"),
if(countif('R1_G2'!$A$8:$A$17,$A17)=1, if(and(BA17=Z17,BA17=vlookup($A17,'R1_G2'!$A$8:$AB$17, 28,false)),"yes","no"),
if(countif('R1_G3'!$A$8:$A$17,$A17)=1, if(and(BA17=Z17,BA17=vlookup($A17,'R1_G3'!$A$8:$AB$17, 28,false)),"yes","no"),
if(countif('R1_G4'!$A$8:$A$17,$A17)=1, if(and(BA17=Z17,BA17=vlookup($A17,'R1_G4'!$A$8:$AB$17, 28,false)),"yes","no"),
"?"))))
</f>
        <v>yes</v>
      </c>
      <c r="BC17" s="1421"/>
      <c r="BD17" s="1441">
        <f t="shared" si="14"/>
        <v>7.5</v>
      </c>
      <c r="BE17" s="1442">
        <f t="shared" si="15"/>
        <v>9.566666667</v>
      </c>
      <c r="BF17" s="1442">
        <f t="shared" si="17"/>
        <v>0</v>
      </c>
      <c r="BG17" s="1442">
        <f t="shared" si="18"/>
        <v>4</v>
      </c>
      <c r="BH17" s="1442">
        <f t="shared" si="19"/>
        <v>7</v>
      </c>
      <c r="BI17" s="1442">
        <f t="shared" si="20"/>
        <v>5</v>
      </c>
      <c r="BJ17" s="1442">
        <f t="shared" si="21"/>
        <v>2</v>
      </c>
    </row>
    <row r="18" ht="14.25" customHeight="1">
      <c r="A18" s="1434" t="str">
        <f>'Master Input'!$A$25</f>
        <v>Weezy</v>
      </c>
      <c r="B18" s="1435">
        <f>VLOOKUP(A18,'Master Input'!$A$11:$L$27,6,false)</f>
        <v>15</v>
      </c>
      <c r="C18" s="1436"/>
      <c r="D18" s="1401"/>
      <c r="E18" s="1437">
        <f>if(countif('R1_G1'!$A$8:$A$17,$A18)=1,vlookup($A18,'R1_G1'!$A$8:$Y$17, E$2+4,false),
if(countif('R1_G2'!$A$8:$A$17,$A18)=1,vlookup($A18,'R1_G2'!$A$8:$Y$17, E$2+4,false),
if(countif('R1_G3'!$A$8:$A$17,$A18)=1,vlookup($A18,'R1_G3'!$A$8:$Y$17, E$2+4,false),
if(countif('R1_G4'!$A$8:$A$17,$A18)=1,vlookup($A18,'R1_G4'!$A$8:$Y$17, E$2+4,false),""))))</f>
        <v>6</v>
      </c>
      <c r="F18" s="1437">
        <f>if(countif('R1_G1'!$A$8:$A$17,$A18)=1,vlookup($A18,'R1_G1'!$A$8:$Y$17, F$2+4,false),
if(countif('R1_G2'!$A$8:$A$17,$A18)=1,vlookup($A18,'R1_G2'!$A$8:$Y$17, F$2+4,false),
if(countif('R1_G3'!$A$8:$A$17,$A18)=1,vlookup($A18,'R1_G3'!$A$8:$Y$17, F$2+4,false),
if(countif('R1_G4'!$A$8:$A$17,$A18)=1,vlookup($A18,'R1_G4'!$A$8:$Y$17, F$2+4,false),""))))</f>
        <v>4</v>
      </c>
      <c r="G18" s="1437">
        <f>if(countif('R1_G1'!$A$8:$A$17,$A18)=1,vlookup($A18,'R1_G1'!$A$8:$Y$17, G$2+4,false),
if(countif('R1_G2'!$A$8:$A$17,$A18)=1,vlookup($A18,'R1_G2'!$A$8:$Y$17, G$2+4,false),
if(countif('R1_G3'!$A$8:$A$17,$A18)=1,vlookup($A18,'R1_G3'!$A$8:$Y$17, G$2+4,false),
if(countif('R1_G4'!$A$8:$A$17,$A18)=1,vlookup($A18,'R1_G4'!$A$8:$Y$17, G$2+4,false),""))))</f>
        <v>4</v>
      </c>
      <c r="H18" s="1437">
        <f>if(countif('R1_G1'!$A$8:$A$17,$A18)=1,vlookup($A18,'R1_G1'!$A$8:$Y$17, H$2+4,false),
if(countif('R1_G2'!$A$8:$A$17,$A18)=1,vlookup($A18,'R1_G2'!$A$8:$Y$17, H$2+4,false),
if(countif('R1_G3'!$A$8:$A$17,$A18)=1,vlookup($A18,'R1_G3'!$A$8:$Y$17, H$2+4,false),
if(countif('R1_G4'!$A$8:$A$17,$A18)=1,vlookup($A18,'R1_G4'!$A$8:$Y$17, H$2+4,false),""))))</f>
        <v>7</v>
      </c>
      <c r="I18" s="1437">
        <f>if(countif('R1_G1'!$A$8:$A$17,$A18)=1,vlookup($A18,'R1_G1'!$A$8:$Y$17, I$2+4,false),
if(countif('R1_G2'!$A$8:$A$17,$A18)=1,vlookup($A18,'R1_G2'!$A$8:$Y$17, I$2+4,false),
if(countif('R1_G3'!$A$8:$A$17,$A18)=1,vlookup($A18,'R1_G3'!$A$8:$Y$17, I$2+4,false),
if(countif('R1_G4'!$A$8:$A$17,$A18)=1,vlookup($A18,'R1_G4'!$A$8:$Y$17, I$2+4,false),""))))</f>
        <v>4</v>
      </c>
      <c r="J18" s="1437">
        <f>if(countif('R1_G1'!$A$8:$A$17,$A18)=1,vlookup($A18,'R1_G1'!$A$8:$Y$17, J$2+4,false),
if(countif('R1_G2'!$A$8:$A$17,$A18)=1,vlookup($A18,'R1_G2'!$A$8:$Y$17, J$2+4,false),
if(countif('R1_G3'!$A$8:$A$17,$A18)=1,vlookup($A18,'R1_G3'!$A$8:$Y$17, J$2+4,false),
if(countif('R1_G4'!$A$8:$A$17,$A18)=1,vlookup($A18,'R1_G4'!$A$8:$Y$17, J$2+4,false),""))))</f>
        <v>6</v>
      </c>
      <c r="K18" s="1437">
        <f>if(countif('R1_G1'!$A$8:$A$17,$A18)=1,vlookup($A18,'R1_G1'!$A$8:$Y$17, K$2+4,false),
if(countif('R1_G2'!$A$8:$A$17,$A18)=1,vlookup($A18,'R1_G2'!$A$8:$Y$17, K$2+4,false),
if(countif('R1_G3'!$A$8:$A$17,$A18)=1,vlookup($A18,'R1_G3'!$A$8:$Y$17, K$2+4,false),
if(countif('R1_G4'!$A$8:$A$17,$A18)=1,vlookup($A18,'R1_G4'!$A$8:$Y$17, K$2+4,false),""))))</f>
        <v>3</v>
      </c>
      <c r="L18" s="1437">
        <f>if(countif('R1_G1'!$A$8:$A$17,$A18)=1,vlookup($A18,'R1_G1'!$A$8:$Y$17, L$2+4,false),
if(countif('R1_G2'!$A$8:$A$17,$A18)=1,vlookup($A18,'R1_G2'!$A$8:$Y$17, L$2+4,false),
if(countif('R1_G3'!$A$8:$A$17,$A18)=1,vlookup($A18,'R1_G3'!$A$8:$Y$17, L$2+4,false),
if(countif('R1_G4'!$A$8:$A$17,$A18)=1,vlookup($A18,'R1_G4'!$A$8:$Y$17, L$2+4,false),""))))</f>
        <v>5</v>
      </c>
      <c r="M18" s="1437">
        <f>if(countif('R1_G1'!$A$8:$A$17,$A18)=1,vlookup($A18,'R1_G1'!$A$8:$Y$17, M$2+4,false),
if(countif('R1_G2'!$A$8:$A$17,$A18)=1,vlookup($A18,'R1_G2'!$A$8:$Y$17, M$2+4,false),
if(countif('R1_G3'!$A$8:$A$17,$A18)=1,vlookup($A18,'R1_G3'!$A$8:$Y$17, M$2+4,false),
if(countif('R1_G4'!$A$8:$A$17,$A18)=1,vlookup($A18,'R1_G4'!$A$8:$Y$17, M$2+4,false),""))))</f>
        <v>5</v>
      </c>
      <c r="N18" s="1426">
        <f>if(countif('R1_G1'!$A$8:$A$17,$A18)=1,vlookup($A18,'R1_G1'!$A$8:$Y$17, N$2+7,false),
if(countif('R1_G2'!$A$8:$A$17,$A18)=1,vlookup($A18,'R1_G2'!$A$8:$Y$17, N$2+7,false),
if(countif('R1_G3'!$A$8:$A$17,$A18)=1,vlookup($A18,'R1_G3'!$A$8:$Y$17, N$2+7,false),
if(countif('R1_G4'!$A$8:$A$17,$A18)=1,vlookup($A18,'R1_G4'!$A$8:$Y$17, N$2+7,false),""))))</f>
        <v>5</v>
      </c>
      <c r="O18" s="1426">
        <f>if(countif('R1_G1'!$A$8:$A$17,$A18)=1,vlookup($A18,'R1_G1'!$A$8:$Y$17, O$2+7,false),
if(countif('R1_G2'!$A$8:$A$17,$A18)=1,vlookup($A18,'R1_G2'!$A$8:$Y$17, O$2+7,false),
if(countif('R1_G3'!$A$8:$A$17,$A18)=1,vlookup($A18,'R1_G3'!$A$8:$Y$17, O$2+7,false),
if(countif('R1_G4'!$A$8:$A$17,$A18)=1,vlookup($A18,'R1_G4'!$A$8:$Y$17, O$2+7,false),""))))</f>
        <v>4</v>
      </c>
      <c r="P18" s="1426">
        <f>if(countif('R1_G1'!$A$8:$A$17,$A18)=1,vlookup($A18,'R1_G1'!$A$8:$Y$17, P$2+7,false),
if(countif('R1_G2'!$A$8:$A$17,$A18)=1,vlookup($A18,'R1_G2'!$A$8:$Y$17, P$2+7,false),
if(countif('R1_G3'!$A$8:$A$17,$A18)=1,vlookup($A18,'R1_G3'!$A$8:$Y$17, P$2+7,false),
if(countif('R1_G4'!$A$8:$A$17,$A18)=1,vlookup($A18,'R1_G4'!$A$8:$Y$17, P$2+7,false),""))))</f>
        <v>4</v>
      </c>
      <c r="Q18" s="1426">
        <f>if(countif('R1_G1'!$A$8:$A$17,$A18)=1,vlookup($A18,'R1_G1'!$A$8:$Y$17, Q$2+7,false),
if(countif('R1_G2'!$A$8:$A$17,$A18)=1,vlookup($A18,'R1_G2'!$A$8:$Y$17, Q$2+7,false),
if(countif('R1_G3'!$A$8:$A$17,$A18)=1,vlookup($A18,'R1_G3'!$A$8:$Y$17, Q$2+7,false),
if(countif('R1_G4'!$A$8:$A$17,$A18)=1,vlookup($A18,'R1_G4'!$A$8:$Y$17, Q$2+7,false),""))))</f>
        <v>6</v>
      </c>
      <c r="R18" s="1426">
        <f>if(countif('R1_G1'!$A$8:$A$17,$A18)=1,vlookup($A18,'R1_G1'!$A$8:$Y$17, R$2+7,false),
if(countif('R1_G2'!$A$8:$A$17,$A18)=1,vlookup($A18,'R1_G2'!$A$8:$Y$17, R$2+7,false),
if(countif('R1_G3'!$A$8:$A$17,$A18)=1,vlookup($A18,'R1_G3'!$A$8:$Y$17, R$2+7,false),
if(countif('R1_G4'!$A$8:$A$17,$A18)=1,vlookup($A18,'R1_G4'!$A$8:$Y$17, R$2+7,false),""))))</f>
        <v>7</v>
      </c>
      <c r="S18" s="1426">
        <f>if(countif('R1_G1'!$A$8:$A$17,$A18)=1,vlookup($A18,'R1_G1'!$A$8:$Y$17, S$2+7,false),
if(countif('R1_G2'!$A$8:$A$17,$A18)=1,vlookup($A18,'R1_G2'!$A$8:$Y$17, S$2+7,false),
if(countif('R1_G3'!$A$8:$A$17,$A18)=1,vlookup($A18,'R1_G3'!$A$8:$Y$17, S$2+7,false),
if(countif('R1_G4'!$A$8:$A$17,$A18)=1,vlookup($A18,'R1_G4'!$A$8:$Y$17, S$2+7,false),""))))</f>
        <v>4</v>
      </c>
      <c r="T18" s="1426">
        <f>if(countif('R1_G1'!$A$8:$A$17,$A18)=1,vlookup($A18,'R1_G1'!$A$8:$Y$17, T$2+7,false),
if(countif('R1_G2'!$A$8:$A$17,$A18)=1,vlookup($A18,'R1_G2'!$A$8:$Y$17, T$2+7,false),
if(countif('R1_G3'!$A$8:$A$17,$A18)=1,vlookup($A18,'R1_G3'!$A$8:$Y$17, T$2+7,false),
if(countif('R1_G4'!$A$8:$A$17,$A18)=1,vlookup($A18,'R1_G4'!$A$8:$Y$17, T$2+7,false),""))))</f>
        <v>6</v>
      </c>
      <c r="U18" s="1426">
        <f>if(countif('R1_G1'!$A$8:$A$17,$A18)=1,vlookup($A18,'R1_G1'!$A$8:$Y$17, U$2+7,false),
if(countif('R1_G2'!$A$8:$A$17,$A18)=1,vlookup($A18,'R1_G2'!$A$8:$Y$17, U$2+7,false),
if(countif('R1_G3'!$A$8:$A$17,$A18)=1,vlookup($A18,'R1_G3'!$A$8:$Y$17, U$2+7,false),
if(countif('R1_G4'!$A$8:$A$17,$A18)=1,vlookup($A18,'R1_G4'!$A$8:$Y$17, U$2+7,false),""))))</f>
        <v>5</v>
      </c>
      <c r="V18" s="1426">
        <f>if(countif('R1_G1'!$A$8:$A$17,$A18)=1,vlookup($A18,'R1_G1'!$A$8:$Y$17, V$2+7,false),
if(countif('R1_G2'!$A$8:$A$17,$A18)=1,vlookup($A18,'R1_G2'!$A$8:$Y$17, V$2+7,false),
if(countif('R1_G3'!$A$8:$A$17,$A18)=1,vlookup($A18,'R1_G3'!$A$8:$Y$17, V$2+7,false),
if(countif('R1_G4'!$A$8:$A$17,$A18)=1,vlookup($A18,'R1_G4'!$A$8:$Y$17, V$2+7,false),""))))</f>
        <v>5</v>
      </c>
      <c r="W18" s="1438">
        <f t="shared" si="4"/>
        <v>44</v>
      </c>
      <c r="X18" s="1438">
        <f t="shared" si="5"/>
        <v>46</v>
      </c>
      <c r="Y18" s="1438">
        <f t="shared" si="9"/>
        <v>90</v>
      </c>
      <c r="Z18" s="1435">
        <f t="shared" si="10"/>
        <v>75</v>
      </c>
      <c r="AA18" s="1435">
        <f t="shared" si="11"/>
        <v>90</v>
      </c>
      <c r="AB18" s="1421"/>
      <c r="AC18" s="1434" t="str">
        <f>'Master Input'!$A$25</f>
        <v>Weezy</v>
      </c>
      <c r="AD18" s="1435">
        <f>VLOOKUP(AC18,'Master Input'!$A$11:$L$27,6,false)</f>
        <v>15</v>
      </c>
      <c r="AE18" s="1434" t="s">
        <v>266</v>
      </c>
      <c r="AF18" s="1401"/>
      <c r="AG18" s="1438">
        <f t="shared" ref="AG18:AX18" si="32">if(E18="","",E18-IF($B18&gt;0,FLOOR($B18/18,1),0)-IF(AND(MOD($B18,18)&gt;=E$3,$B18&gt;0),1,0)+IF(E$3-18&gt;$B18,1,0))</f>
        <v>5</v>
      </c>
      <c r="AH18" s="1438">
        <f t="shared" si="32"/>
        <v>3</v>
      </c>
      <c r="AI18" s="1438">
        <f t="shared" si="32"/>
        <v>3</v>
      </c>
      <c r="AJ18" s="1438">
        <f t="shared" si="32"/>
        <v>6</v>
      </c>
      <c r="AK18" s="1438">
        <f t="shared" si="32"/>
        <v>3</v>
      </c>
      <c r="AL18" s="1438">
        <f t="shared" si="32"/>
        <v>6</v>
      </c>
      <c r="AM18" s="1438">
        <f t="shared" si="32"/>
        <v>2</v>
      </c>
      <c r="AN18" s="1438">
        <f t="shared" si="32"/>
        <v>4</v>
      </c>
      <c r="AO18" s="1438">
        <f t="shared" si="32"/>
        <v>5</v>
      </c>
      <c r="AP18" s="1426">
        <f t="shared" si="32"/>
        <v>4</v>
      </c>
      <c r="AQ18" s="1426">
        <f t="shared" si="32"/>
        <v>3</v>
      </c>
      <c r="AR18" s="1426">
        <f t="shared" si="32"/>
        <v>3</v>
      </c>
      <c r="AS18" s="1426">
        <f t="shared" si="32"/>
        <v>5</v>
      </c>
      <c r="AT18" s="1426">
        <f t="shared" si="32"/>
        <v>6</v>
      </c>
      <c r="AU18" s="1426">
        <f t="shared" si="32"/>
        <v>3</v>
      </c>
      <c r="AV18" s="1426">
        <f t="shared" si="32"/>
        <v>5</v>
      </c>
      <c r="AW18" s="1426">
        <f t="shared" si="32"/>
        <v>5</v>
      </c>
      <c r="AX18" s="1426">
        <f t="shared" si="32"/>
        <v>4</v>
      </c>
      <c r="AY18" s="1438">
        <f t="shared" si="7"/>
        <v>37</v>
      </c>
      <c r="AZ18" s="1438">
        <f t="shared" si="8"/>
        <v>38</v>
      </c>
      <c r="BA18" s="1438">
        <f t="shared" si="13"/>
        <v>75</v>
      </c>
      <c r="BB18" s="1436" t="str">
        <f>if(countif('R1_G1'!$A$8:$A$17,$A18)=1, if(and(BA18=Z18,BA18=vlookup($A18,'R1_G1'!$A$8:$AB$17, 28,false)),"yes","no"),
if(countif('R1_G2'!$A$8:$A$17,$A18)=1, if(and(BA18=Z18,BA18=vlookup($A18,'R1_G2'!$A$8:$AB$17, 28,false)),"yes","no"),
if(countif('R1_G3'!$A$8:$A$17,$A18)=1, if(and(BA18=Z18,BA18=vlookup($A18,'R1_G3'!$A$8:$AB$17, 28,false)),"yes","no"),
if(countif('R1_G4'!$A$8:$A$17,$A18)=1, if(and(BA18=Z18,BA18=vlookup($A18,'R1_G4'!$A$8:$AB$17, 28,false)),"yes","no"),
"?"))))
</f>
        <v>yes</v>
      </c>
      <c r="BC18" s="1421"/>
      <c r="BD18" s="1439">
        <f t="shared" si="14"/>
        <v>8.5</v>
      </c>
      <c r="BE18" s="1440">
        <f t="shared" si="15"/>
        <v>9.9</v>
      </c>
      <c r="BF18" s="1440">
        <f t="shared" si="17"/>
        <v>0</v>
      </c>
      <c r="BG18" s="1440">
        <f t="shared" si="18"/>
        <v>6</v>
      </c>
      <c r="BH18" s="1440">
        <f t="shared" si="19"/>
        <v>5</v>
      </c>
      <c r="BI18" s="1440">
        <f t="shared" si="20"/>
        <v>4</v>
      </c>
      <c r="BJ18" s="1440">
        <f t="shared" si="21"/>
        <v>3</v>
      </c>
    </row>
    <row r="19" ht="14.25" customHeight="1">
      <c r="A19" s="1423" t="str">
        <f>'Master Input'!$A$26</f>
        <v>Joe O</v>
      </c>
      <c r="B19" s="1424">
        <f>VLOOKUP(A19,'Master Input'!$A$11:$L$27,6,false)</f>
        <v>17</v>
      </c>
      <c r="C19" s="1430"/>
      <c r="D19" s="1401"/>
      <c r="E19" s="1426">
        <f>if(countif('R1_G1'!$A$8:$A$17,$A19)=1,vlookup($A19,'R1_G1'!$A$8:$Y$17, E$2+4,false),
if(countif('R1_G2'!$A$8:$A$17,$A19)=1,vlookup($A19,'R1_G2'!$A$8:$Y$17, E$2+4,false),
if(countif('R1_G3'!$A$8:$A$17,$A19)=1,vlookup($A19,'R1_G3'!$A$8:$Y$17, E$2+4,false),
if(countif('R1_G4'!$A$8:$A$17,$A19)=1,vlookup($A19,'R1_G4'!$A$8:$Y$17, E$2+4,false),""))))</f>
        <v>7</v>
      </c>
      <c r="F19" s="1426">
        <f>if(countif('R1_G1'!$A$8:$A$17,$A19)=1,vlookup($A19,'R1_G1'!$A$8:$Y$17, F$2+4,false),
if(countif('R1_G2'!$A$8:$A$17,$A19)=1,vlookup($A19,'R1_G2'!$A$8:$Y$17, F$2+4,false),
if(countif('R1_G3'!$A$8:$A$17,$A19)=1,vlookup($A19,'R1_G3'!$A$8:$Y$17, F$2+4,false),
if(countif('R1_G4'!$A$8:$A$17,$A19)=1,vlookup($A19,'R1_G4'!$A$8:$Y$17, F$2+4,false),""))))</f>
        <v>6</v>
      </c>
      <c r="G19" s="1426">
        <f>if(countif('R1_G1'!$A$8:$A$17,$A19)=1,vlookup($A19,'R1_G1'!$A$8:$Y$17, G$2+4,false),
if(countif('R1_G2'!$A$8:$A$17,$A19)=1,vlookup($A19,'R1_G2'!$A$8:$Y$17, G$2+4,false),
if(countif('R1_G3'!$A$8:$A$17,$A19)=1,vlookup($A19,'R1_G3'!$A$8:$Y$17, G$2+4,false),
if(countif('R1_G4'!$A$8:$A$17,$A19)=1,vlookup($A19,'R1_G4'!$A$8:$Y$17, G$2+4,false),""))))</f>
        <v>4</v>
      </c>
      <c r="H19" s="1426">
        <f>if(countif('R1_G1'!$A$8:$A$17,$A19)=1,vlookup($A19,'R1_G1'!$A$8:$Y$17, H$2+4,false),
if(countif('R1_G2'!$A$8:$A$17,$A19)=1,vlookup($A19,'R1_G2'!$A$8:$Y$17, H$2+4,false),
if(countif('R1_G3'!$A$8:$A$17,$A19)=1,vlookup($A19,'R1_G3'!$A$8:$Y$17, H$2+4,false),
if(countif('R1_G4'!$A$8:$A$17,$A19)=1,vlookup($A19,'R1_G4'!$A$8:$Y$17, H$2+4,false),""))))</f>
        <v>6</v>
      </c>
      <c r="I19" s="1426">
        <f>if(countif('R1_G1'!$A$8:$A$17,$A19)=1,vlookup($A19,'R1_G1'!$A$8:$Y$17, I$2+4,false),
if(countif('R1_G2'!$A$8:$A$17,$A19)=1,vlookup($A19,'R1_G2'!$A$8:$Y$17, I$2+4,false),
if(countif('R1_G3'!$A$8:$A$17,$A19)=1,vlookup($A19,'R1_G3'!$A$8:$Y$17, I$2+4,false),
if(countif('R1_G4'!$A$8:$A$17,$A19)=1,vlookup($A19,'R1_G4'!$A$8:$Y$17, I$2+4,false),""))))</f>
        <v>7</v>
      </c>
      <c r="J19" s="1426">
        <f>if(countif('R1_G1'!$A$8:$A$17,$A19)=1,vlookup($A19,'R1_G1'!$A$8:$Y$17, J$2+4,false),
if(countif('R1_G2'!$A$8:$A$17,$A19)=1,vlookup($A19,'R1_G2'!$A$8:$Y$17, J$2+4,false),
if(countif('R1_G3'!$A$8:$A$17,$A19)=1,vlookup($A19,'R1_G3'!$A$8:$Y$17, J$2+4,false),
if(countif('R1_G4'!$A$8:$A$17,$A19)=1,vlookup($A19,'R1_G4'!$A$8:$Y$17, J$2+4,false),""))))</f>
        <v>7</v>
      </c>
      <c r="K19" s="1426">
        <f>if(countif('R1_G1'!$A$8:$A$17,$A19)=1,vlookup($A19,'R1_G1'!$A$8:$Y$17, K$2+4,false),
if(countif('R1_G2'!$A$8:$A$17,$A19)=1,vlookup($A19,'R1_G2'!$A$8:$Y$17, K$2+4,false),
if(countif('R1_G3'!$A$8:$A$17,$A19)=1,vlookup($A19,'R1_G3'!$A$8:$Y$17, K$2+4,false),
if(countif('R1_G4'!$A$8:$A$17,$A19)=1,vlookup($A19,'R1_G4'!$A$8:$Y$17, K$2+4,false),""))))</f>
        <v>5</v>
      </c>
      <c r="L19" s="1426">
        <f>if(countif('R1_G1'!$A$8:$A$17,$A19)=1,vlookup($A19,'R1_G1'!$A$8:$Y$17, L$2+4,false),
if(countif('R1_G2'!$A$8:$A$17,$A19)=1,vlookup($A19,'R1_G2'!$A$8:$Y$17, L$2+4,false),
if(countif('R1_G3'!$A$8:$A$17,$A19)=1,vlookup($A19,'R1_G3'!$A$8:$Y$17, L$2+4,false),
if(countif('R1_G4'!$A$8:$A$17,$A19)=1,vlookup($A19,'R1_G4'!$A$8:$Y$17, L$2+4,false),""))))</f>
        <v>6</v>
      </c>
      <c r="M19" s="1426">
        <f>if(countif('R1_G1'!$A$8:$A$17,$A19)=1,vlookup($A19,'R1_G1'!$A$8:$Y$17, M$2+4,false),
if(countif('R1_G2'!$A$8:$A$17,$A19)=1,vlookup($A19,'R1_G2'!$A$8:$Y$17, M$2+4,false),
if(countif('R1_G3'!$A$8:$A$17,$A19)=1,vlookup($A19,'R1_G3'!$A$8:$Y$17, M$2+4,false),
if(countif('R1_G4'!$A$8:$A$17,$A19)=1,vlookup($A19,'R1_G4'!$A$8:$Y$17, M$2+4,false),""))))</f>
        <v>6</v>
      </c>
      <c r="N19" s="1427">
        <f>if(countif('R1_G1'!$A$8:$A$17,$A19)=1,vlookup($A19,'R1_G1'!$A$8:$Y$17, N$2+7,false),
if(countif('R1_G2'!$A$8:$A$17,$A19)=1,vlookup($A19,'R1_G2'!$A$8:$Y$17, N$2+7,false),
if(countif('R1_G3'!$A$8:$A$17,$A19)=1,vlookup($A19,'R1_G3'!$A$8:$Y$17, N$2+7,false),
if(countif('R1_G4'!$A$8:$A$17,$A19)=1,vlookup($A19,'R1_G4'!$A$8:$Y$17, N$2+7,false),""))))</f>
        <v>5</v>
      </c>
      <c r="O19" s="1427">
        <f>if(countif('R1_G1'!$A$8:$A$17,$A19)=1,vlookup($A19,'R1_G1'!$A$8:$Y$17, O$2+7,false),
if(countif('R1_G2'!$A$8:$A$17,$A19)=1,vlookup($A19,'R1_G2'!$A$8:$Y$17, O$2+7,false),
if(countif('R1_G3'!$A$8:$A$17,$A19)=1,vlookup($A19,'R1_G3'!$A$8:$Y$17, O$2+7,false),
if(countif('R1_G4'!$A$8:$A$17,$A19)=1,vlookup($A19,'R1_G4'!$A$8:$Y$17, O$2+7,false),""))))</f>
        <v>6</v>
      </c>
      <c r="P19" s="1427">
        <f>if(countif('R1_G1'!$A$8:$A$17,$A19)=1,vlookup($A19,'R1_G1'!$A$8:$Y$17, P$2+7,false),
if(countif('R1_G2'!$A$8:$A$17,$A19)=1,vlookup($A19,'R1_G2'!$A$8:$Y$17, P$2+7,false),
if(countif('R1_G3'!$A$8:$A$17,$A19)=1,vlookup($A19,'R1_G3'!$A$8:$Y$17, P$2+7,false),
if(countif('R1_G4'!$A$8:$A$17,$A19)=1,vlookup($A19,'R1_G4'!$A$8:$Y$17, P$2+7,false),""))))</f>
        <v>5</v>
      </c>
      <c r="Q19" s="1427">
        <f>if(countif('R1_G1'!$A$8:$A$17,$A19)=1,vlookup($A19,'R1_G1'!$A$8:$Y$17, Q$2+7,false),
if(countif('R1_G2'!$A$8:$A$17,$A19)=1,vlookup($A19,'R1_G2'!$A$8:$Y$17, Q$2+7,false),
if(countif('R1_G3'!$A$8:$A$17,$A19)=1,vlookup($A19,'R1_G3'!$A$8:$Y$17, Q$2+7,false),
if(countif('R1_G4'!$A$8:$A$17,$A19)=1,vlookup($A19,'R1_G4'!$A$8:$Y$17, Q$2+7,false),""))))</f>
        <v>5</v>
      </c>
      <c r="R19" s="1427">
        <f>if(countif('R1_G1'!$A$8:$A$17,$A19)=1,vlookup($A19,'R1_G1'!$A$8:$Y$17, R$2+7,false),
if(countif('R1_G2'!$A$8:$A$17,$A19)=1,vlookup($A19,'R1_G2'!$A$8:$Y$17, R$2+7,false),
if(countif('R1_G3'!$A$8:$A$17,$A19)=1,vlookup($A19,'R1_G3'!$A$8:$Y$17, R$2+7,false),
if(countif('R1_G4'!$A$8:$A$17,$A19)=1,vlookup($A19,'R1_G4'!$A$8:$Y$17, R$2+7,false),""))))</f>
        <v>5</v>
      </c>
      <c r="S19" s="1427">
        <f>if(countif('R1_G1'!$A$8:$A$17,$A19)=1,vlookup($A19,'R1_G1'!$A$8:$Y$17, S$2+7,false),
if(countif('R1_G2'!$A$8:$A$17,$A19)=1,vlookup($A19,'R1_G2'!$A$8:$Y$17, S$2+7,false),
if(countif('R1_G3'!$A$8:$A$17,$A19)=1,vlookup($A19,'R1_G3'!$A$8:$Y$17, S$2+7,false),
if(countif('R1_G4'!$A$8:$A$17,$A19)=1,vlookup($A19,'R1_G4'!$A$8:$Y$17, S$2+7,false),""))))</f>
        <v>4</v>
      </c>
      <c r="T19" s="1427">
        <f>if(countif('R1_G1'!$A$8:$A$17,$A19)=1,vlookup($A19,'R1_G1'!$A$8:$Y$17, T$2+7,false),
if(countif('R1_G2'!$A$8:$A$17,$A19)=1,vlookup($A19,'R1_G2'!$A$8:$Y$17, T$2+7,false),
if(countif('R1_G3'!$A$8:$A$17,$A19)=1,vlookup($A19,'R1_G3'!$A$8:$Y$17, T$2+7,false),
if(countif('R1_G4'!$A$8:$A$17,$A19)=1,vlookup($A19,'R1_G4'!$A$8:$Y$17, T$2+7,false),""))))</f>
        <v>11</v>
      </c>
      <c r="U19" s="1427">
        <f>if(countif('R1_G1'!$A$8:$A$17,$A19)=1,vlookup($A19,'R1_G1'!$A$8:$Y$17, U$2+7,false),
if(countif('R1_G2'!$A$8:$A$17,$A19)=1,vlookup($A19,'R1_G2'!$A$8:$Y$17, U$2+7,false),
if(countif('R1_G3'!$A$8:$A$17,$A19)=1,vlookup($A19,'R1_G3'!$A$8:$Y$17, U$2+7,false),
if(countif('R1_G4'!$A$8:$A$17,$A19)=1,vlookup($A19,'R1_G4'!$A$8:$Y$17, U$2+7,false),""))))</f>
        <v>5</v>
      </c>
      <c r="V19" s="1427">
        <f>if(countif('R1_G1'!$A$8:$A$17,$A19)=1,vlookup($A19,'R1_G1'!$A$8:$Y$17, V$2+7,false),
if(countif('R1_G2'!$A$8:$A$17,$A19)=1,vlookup($A19,'R1_G2'!$A$8:$Y$17, V$2+7,false),
if(countif('R1_G3'!$A$8:$A$17,$A19)=1,vlookup($A19,'R1_G3'!$A$8:$Y$17, V$2+7,false),
if(countif('R1_G4'!$A$8:$A$17,$A19)=1,vlookup($A19,'R1_G4'!$A$8:$Y$17, V$2+7,false),""))))</f>
        <v>8</v>
      </c>
      <c r="W19" s="1428">
        <f t="shared" si="4"/>
        <v>54</v>
      </c>
      <c r="X19" s="1428">
        <f t="shared" si="5"/>
        <v>54</v>
      </c>
      <c r="Y19" s="1428">
        <f t="shared" si="9"/>
        <v>108</v>
      </c>
      <c r="Z19" s="1424">
        <f t="shared" si="10"/>
        <v>91</v>
      </c>
      <c r="AA19" s="1424">
        <f t="shared" si="11"/>
        <v>108</v>
      </c>
      <c r="AB19" s="1421"/>
      <c r="AC19" s="1423" t="str">
        <f>'Master Input'!$A$26</f>
        <v>Joe O</v>
      </c>
      <c r="AD19" s="1424">
        <f>VLOOKUP(AC19,'Master Input'!$A$11:$L$27,6,false)</f>
        <v>17</v>
      </c>
      <c r="AE19" s="1423" t="s">
        <v>266</v>
      </c>
      <c r="AF19" s="1401"/>
      <c r="AG19" s="1428">
        <f t="shared" ref="AG19:AX19" si="33">if(E19="","",E19-IF($B19&gt;0,FLOOR($B19/18,1),0)-IF(AND(MOD($B19,18)&gt;=E$3,$B19&gt;0),1,0)+IF(E$3-18&gt;$B19,1,0))</f>
        <v>6</v>
      </c>
      <c r="AH19" s="1428">
        <f t="shared" si="33"/>
        <v>5</v>
      </c>
      <c r="AI19" s="1428">
        <f t="shared" si="33"/>
        <v>3</v>
      </c>
      <c r="AJ19" s="1428">
        <f t="shared" si="33"/>
        <v>5</v>
      </c>
      <c r="AK19" s="1428">
        <f t="shared" si="33"/>
        <v>6</v>
      </c>
      <c r="AL19" s="1428">
        <f t="shared" si="33"/>
        <v>7</v>
      </c>
      <c r="AM19" s="1428">
        <f t="shared" si="33"/>
        <v>4</v>
      </c>
      <c r="AN19" s="1428">
        <f t="shared" si="33"/>
        <v>5</v>
      </c>
      <c r="AO19" s="1428">
        <f t="shared" si="33"/>
        <v>5</v>
      </c>
      <c r="AP19" s="1429">
        <f t="shared" si="33"/>
        <v>4</v>
      </c>
      <c r="AQ19" s="1429">
        <f t="shared" si="33"/>
        <v>5</v>
      </c>
      <c r="AR19" s="1429">
        <f t="shared" si="33"/>
        <v>4</v>
      </c>
      <c r="AS19" s="1429">
        <f t="shared" si="33"/>
        <v>4</v>
      </c>
      <c r="AT19" s="1429">
        <f t="shared" si="33"/>
        <v>4</v>
      </c>
      <c r="AU19" s="1429">
        <f t="shared" si="33"/>
        <v>3</v>
      </c>
      <c r="AV19" s="1429">
        <f t="shared" si="33"/>
        <v>10</v>
      </c>
      <c r="AW19" s="1429">
        <f t="shared" si="33"/>
        <v>4</v>
      </c>
      <c r="AX19" s="1429">
        <f t="shared" si="33"/>
        <v>7</v>
      </c>
      <c r="AY19" s="1428">
        <f t="shared" si="7"/>
        <v>46</v>
      </c>
      <c r="AZ19" s="1428">
        <f t="shared" si="8"/>
        <v>45</v>
      </c>
      <c r="BA19" s="1428">
        <f t="shared" si="13"/>
        <v>91</v>
      </c>
      <c r="BB19" s="1430" t="str">
        <f>if(countif('R1_G1'!$A$8:$A$17,$A19)=1, if(and(BA19=Z19,BA19=vlookup($A19,'R1_G1'!$A$8:$AB$17, 28,false)),"yes","no"),
if(countif('R1_G2'!$A$8:$A$17,$A19)=1, if(and(BA19=Z19,BA19=vlookup($A19,'R1_G2'!$A$8:$AB$17, 28,false)),"yes","no"),
if(countif('R1_G3'!$A$8:$A$17,$A19)=1, if(and(BA19=Z19,BA19=vlookup($A19,'R1_G3'!$A$8:$AB$17, 28,false)),"yes","no"),
if(countif('R1_G4'!$A$8:$A$17,$A19)=1, if(and(BA19=Z19,BA19=vlookup($A19,'R1_G4'!$A$8:$AB$17, 28,false)),"yes","no"),
"?"))))
</f>
        <v>yes</v>
      </c>
      <c r="BC19" s="1421"/>
      <c r="BD19" s="1441">
        <f t="shared" si="14"/>
        <v>4.5</v>
      </c>
      <c r="BE19" s="1442">
        <f t="shared" si="15"/>
        <v>6.566666667</v>
      </c>
      <c r="BF19" s="1442">
        <f t="shared" si="17"/>
        <v>0</v>
      </c>
      <c r="BG19" s="1442">
        <f t="shared" si="18"/>
        <v>2</v>
      </c>
      <c r="BH19" s="1442">
        <f t="shared" si="19"/>
        <v>5</v>
      </c>
      <c r="BI19" s="1442">
        <f t="shared" si="20"/>
        <v>6</v>
      </c>
      <c r="BJ19" s="1442">
        <f t="shared" si="21"/>
        <v>5</v>
      </c>
    </row>
    <row r="20" ht="14.25" customHeight="1">
      <c r="A20" s="1434" t="str">
        <f>'Master Input'!$A$27</f>
        <v>Hile</v>
      </c>
      <c r="B20" s="1435">
        <f>VLOOKUP(A20,'Master Input'!$A$11:$L$27,6,false)</f>
        <v>28</v>
      </c>
      <c r="C20" s="1436"/>
      <c r="D20" s="1401"/>
      <c r="E20" s="1437">
        <f>if(countif('R1_G1'!$A$8:$A$17,$A20)=1,vlookup($A20,'R1_G1'!$A$8:$Y$17, E$2+4,false),
if(countif('R1_G2'!$A$8:$A$17,$A20)=1,vlookup($A20,'R1_G2'!$A$8:$Y$17, E$2+4,false),
if(countif('R1_G3'!$A$8:$A$17,$A20)=1,vlookup($A20,'R1_G3'!$A$8:$Y$17, E$2+4,false),
if(countif('R1_G4'!$A$8:$A$17,$A20)=1,vlookup($A20,'R1_G4'!$A$8:$Y$17, E$2+4,false),""))))</f>
        <v>7</v>
      </c>
      <c r="F20" s="1437">
        <f>if(countif('R1_G1'!$A$8:$A$17,$A20)=1,vlookup($A20,'R1_G1'!$A$8:$Y$17, F$2+4,false),
if(countif('R1_G2'!$A$8:$A$17,$A20)=1,vlookup($A20,'R1_G2'!$A$8:$Y$17, F$2+4,false),
if(countif('R1_G3'!$A$8:$A$17,$A20)=1,vlookup($A20,'R1_G3'!$A$8:$Y$17, F$2+4,false),
if(countif('R1_G4'!$A$8:$A$17,$A20)=1,vlookup($A20,'R1_G4'!$A$8:$Y$17, F$2+4,false),""))))</f>
        <v>8</v>
      </c>
      <c r="G20" s="1437">
        <f>if(countif('R1_G1'!$A$8:$A$17,$A20)=1,vlookup($A20,'R1_G1'!$A$8:$Y$17, G$2+4,false),
if(countif('R1_G2'!$A$8:$A$17,$A20)=1,vlookup($A20,'R1_G2'!$A$8:$Y$17, G$2+4,false),
if(countif('R1_G3'!$A$8:$A$17,$A20)=1,vlookup($A20,'R1_G3'!$A$8:$Y$17, G$2+4,false),
if(countif('R1_G4'!$A$8:$A$17,$A20)=1,vlookup($A20,'R1_G4'!$A$8:$Y$17, G$2+4,false),""))))</f>
        <v>4</v>
      </c>
      <c r="H20" s="1437">
        <f>if(countif('R1_G1'!$A$8:$A$17,$A20)=1,vlookup($A20,'R1_G1'!$A$8:$Y$17, H$2+4,false),
if(countif('R1_G2'!$A$8:$A$17,$A20)=1,vlookup($A20,'R1_G2'!$A$8:$Y$17, H$2+4,false),
if(countif('R1_G3'!$A$8:$A$17,$A20)=1,vlookup($A20,'R1_G3'!$A$8:$Y$17, H$2+4,false),
if(countif('R1_G4'!$A$8:$A$17,$A20)=1,vlookup($A20,'R1_G4'!$A$8:$Y$17, H$2+4,false),""))))</f>
        <v>8</v>
      </c>
      <c r="I20" s="1437">
        <f>if(countif('R1_G1'!$A$8:$A$17,$A20)=1,vlookup($A20,'R1_G1'!$A$8:$Y$17, I$2+4,false),
if(countif('R1_G2'!$A$8:$A$17,$A20)=1,vlookup($A20,'R1_G2'!$A$8:$Y$17, I$2+4,false),
if(countif('R1_G3'!$A$8:$A$17,$A20)=1,vlookup($A20,'R1_G3'!$A$8:$Y$17, I$2+4,false),
if(countif('R1_G4'!$A$8:$A$17,$A20)=1,vlookup($A20,'R1_G4'!$A$8:$Y$17, I$2+4,false),""))))</f>
        <v>5</v>
      </c>
      <c r="J20" s="1437">
        <f>if(countif('R1_G1'!$A$8:$A$17,$A20)=1,vlookup($A20,'R1_G1'!$A$8:$Y$17, J$2+4,false),
if(countif('R1_G2'!$A$8:$A$17,$A20)=1,vlookup($A20,'R1_G2'!$A$8:$Y$17, J$2+4,false),
if(countif('R1_G3'!$A$8:$A$17,$A20)=1,vlookup($A20,'R1_G3'!$A$8:$Y$17, J$2+4,false),
if(countif('R1_G4'!$A$8:$A$17,$A20)=1,vlookup($A20,'R1_G4'!$A$8:$Y$17, J$2+4,false),""))))</f>
        <v>6</v>
      </c>
      <c r="K20" s="1437">
        <f>if(countif('R1_G1'!$A$8:$A$17,$A20)=1,vlookup($A20,'R1_G1'!$A$8:$Y$17, K$2+4,false),
if(countif('R1_G2'!$A$8:$A$17,$A20)=1,vlookup($A20,'R1_G2'!$A$8:$Y$17, K$2+4,false),
if(countif('R1_G3'!$A$8:$A$17,$A20)=1,vlookup($A20,'R1_G3'!$A$8:$Y$17, K$2+4,false),
if(countif('R1_G4'!$A$8:$A$17,$A20)=1,vlookup($A20,'R1_G4'!$A$8:$Y$17, K$2+4,false),""))))</f>
        <v>6</v>
      </c>
      <c r="L20" s="1437">
        <f>if(countif('R1_G1'!$A$8:$A$17,$A20)=1,vlookup($A20,'R1_G1'!$A$8:$Y$17, L$2+4,false),
if(countif('R1_G2'!$A$8:$A$17,$A20)=1,vlookup($A20,'R1_G2'!$A$8:$Y$17, L$2+4,false),
if(countif('R1_G3'!$A$8:$A$17,$A20)=1,vlookup($A20,'R1_G3'!$A$8:$Y$17, L$2+4,false),
if(countif('R1_G4'!$A$8:$A$17,$A20)=1,vlookup($A20,'R1_G4'!$A$8:$Y$17, L$2+4,false),""))))</f>
        <v>5</v>
      </c>
      <c r="M20" s="1437">
        <f>if(countif('R1_G1'!$A$8:$A$17,$A20)=1,vlookup($A20,'R1_G1'!$A$8:$Y$17, M$2+4,false),
if(countif('R1_G2'!$A$8:$A$17,$A20)=1,vlookup($A20,'R1_G2'!$A$8:$Y$17, M$2+4,false),
if(countif('R1_G3'!$A$8:$A$17,$A20)=1,vlookup($A20,'R1_G3'!$A$8:$Y$17, M$2+4,false),
if(countif('R1_G4'!$A$8:$A$17,$A20)=1,vlookup($A20,'R1_G4'!$A$8:$Y$17, M$2+4,false),""))))</f>
        <v>6</v>
      </c>
      <c r="N20" s="1426">
        <f>if(countif('R1_G1'!$A$8:$A$17,$A20)=1,vlookup($A20,'R1_G1'!$A$8:$Y$17, N$2+7,false),
if(countif('R1_G2'!$A$8:$A$17,$A20)=1,vlookup($A20,'R1_G2'!$A$8:$Y$17, N$2+7,false),
if(countif('R1_G3'!$A$8:$A$17,$A20)=1,vlookup($A20,'R1_G3'!$A$8:$Y$17, N$2+7,false),
if(countif('R1_G4'!$A$8:$A$17,$A20)=1,vlookup($A20,'R1_G4'!$A$8:$Y$17, N$2+7,false),""))))</f>
        <v>7</v>
      </c>
      <c r="O20" s="1426">
        <f>if(countif('R1_G1'!$A$8:$A$17,$A20)=1,vlookup($A20,'R1_G1'!$A$8:$Y$17, O$2+7,false),
if(countif('R1_G2'!$A$8:$A$17,$A20)=1,vlookup($A20,'R1_G2'!$A$8:$Y$17, O$2+7,false),
if(countif('R1_G3'!$A$8:$A$17,$A20)=1,vlookup($A20,'R1_G3'!$A$8:$Y$17, O$2+7,false),
if(countif('R1_G4'!$A$8:$A$17,$A20)=1,vlookup($A20,'R1_G4'!$A$8:$Y$17, O$2+7,false),""))))</f>
        <v>8</v>
      </c>
      <c r="P20" s="1426">
        <f>if(countif('R1_G1'!$A$8:$A$17,$A20)=1,vlookup($A20,'R1_G1'!$A$8:$Y$17, P$2+7,false),
if(countif('R1_G2'!$A$8:$A$17,$A20)=1,vlookup($A20,'R1_G2'!$A$8:$Y$17, P$2+7,false),
if(countif('R1_G3'!$A$8:$A$17,$A20)=1,vlookup($A20,'R1_G3'!$A$8:$Y$17, P$2+7,false),
if(countif('R1_G4'!$A$8:$A$17,$A20)=1,vlookup($A20,'R1_G4'!$A$8:$Y$17, P$2+7,false),""))))</f>
        <v>5</v>
      </c>
      <c r="Q20" s="1426">
        <f>if(countif('R1_G1'!$A$8:$A$17,$A20)=1,vlookup($A20,'R1_G1'!$A$8:$Y$17, Q$2+7,false),
if(countif('R1_G2'!$A$8:$A$17,$A20)=1,vlookup($A20,'R1_G2'!$A$8:$Y$17, Q$2+7,false),
if(countif('R1_G3'!$A$8:$A$17,$A20)=1,vlookup($A20,'R1_G3'!$A$8:$Y$17, Q$2+7,false),
if(countif('R1_G4'!$A$8:$A$17,$A20)=1,vlookup($A20,'R1_G4'!$A$8:$Y$17, Q$2+7,false),""))))</f>
        <v>4</v>
      </c>
      <c r="R20" s="1426">
        <f>if(countif('R1_G1'!$A$8:$A$17,$A20)=1,vlookup($A20,'R1_G1'!$A$8:$Y$17, R$2+7,false),
if(countif('R1_G2'!$A$8:$A$17,$A20)=1,vlookup($A20,'R1_G2'!$A$8:$Y$17, R$2+7,false),
if(countif('R1_G3'!$A$8:$A$17,$A20)=1,vlookup($A20,'R1_G3'!$A$8:$Y$17, R$2+7,false),
if(countif('R1_G4'!$A$8:$A$17,$A20)=1,vlookup($A20,'R1_G4'!$A$8:$Y$17, R$2+7,false),""))))</f>
        <v>8</v>
      </c>
      <c r="S20" s="1426">
        <f>if(countif('R1_G1'!$A$8:$A$17,$A20)=1,vlookup($A20,'R1_G1'!$A$8:$Y$17, S$2+7,false),
if(countif('R1_G2'!$A$8:$A$17,$A20)=1,vlookup($A20,'R1_G2'!$A$8:$Y$17, S$2+7,false),
if(countif('R1_G3'!$A$8:$A$17,$A20)=1,vlookup($A20,'R1_G3'!$A$8:$Y$17, S$2+7,false),
if(countif('R1_G4'!$A$8:$A$17,$A20)=1,vlookup($A20,'R1_G4'!$A$8:$Y$17, S$2+7,false),""))))</f>
        <v>7</v>
      </c>
      <c r="T20" s="1426">
        <f>if(countif('R1_G1'!$A$8:$A$17,$A20)=1,vlookup($A20,'R1_G1'!$A$8:$Y$17, T$2+7,false),
if(countif('R1_G2'!$A$8:$A$17,$A20)=1,vlookup($A20,'R1_G2'!$A$8:$Y$17, T$2+7,false),
if(countif('R1_G3'!$A$8:$A$17,$A20)=1,vlookup($A20,'R1_G3'!$A$8:$Y$17, T$2+7,false),
if(countif('R1_G4'!$A$8:$A$17,$A20)=1,vlookup($A20,'R1_G4'!$A$8:$Y$17, T$2+7,false),""))))</f>
        <v>8</v>
      </c>
      <c r="U20" s="1426">
        <f>if(countif('R1_G1'!$A$8:$A$17,$A20)=1,vlookup($A20,'R1_G1'!$A$8:$Y$17, U$2+7,false),
if(countif('R1_G2'!$A$8:$A$17,$A20)=1,vlookup($A20,'R1_G2'!$A$8:$Y$17, U$2+7,false),
if(countif('R1_G3'!$A$8:$A$17,$A20)=1,vlookup($A20,'R1_G3'!$A$8:$Y$17, U$2+7,false),
if(countif('R1_G4'!$A$8:$A$17,$A20)=1,vlookup($A20,'R1_G4'!$A$8:$Y$17, U$2+7,false),""))))</f>
        <v>5</v>
      </c>
      <c r="V20" s="1426">
        <f>if(countif('R1_G1'!$A$8:$A$17,$A20)=1,vlookup($A20,'R1_G1'!$A$8:$Y$17, V$2+7,false),
if(countif('R1_G2'!$A$8:$A$17,$A20)=1,vlookup($A20,'R1_G2'!$A$8:$Y$17, V$2+7,false),
if(countif('R1_G3'!$A$8:$A$17,$A20)=1,vlookup($A20,'R1_G3'!$A$8:$Y$17, V$2+7,false),
if(countif('R1_G4'!$A$8:$A$17,$A20)=1,vlookup($A20,'R1_G4'!$A$8:$Y$17, V$2+7,false),""))))</f>
        <v>6</v>
      </c>
      <c r="W20" s="1438">
        <f t="shared" si="4"/>
        <v>55</v>
      </c>
      <c r="X20" s="1438">
        <f t="shared" si="5"/>
        <v>58</v>
      </c>
      <c r="Y20" s="1438">
        <f t="shared" si="9"/>
        <v>113</v>
      </c>
      <c r="Z20" s="1435">
        <f t="shared" si="10"/>
        <v>85</v>
      </c>
      <c r="AA20" s="1435">
        <f t="shared" si="11"/>
        <v>113</v>
      </c>
      <c r="AB20" s="1421"/>
      <c r="AC20" s="1434" t="str">
        <f>'Master Input'!$A$27</f>
        <v>Hile</v>
      </c>
      <c r="AD20" s="1435">
        <f>VLOOKUP(AC20,'Master Input'!$A$11:$L$27,6,false)</f>
        <v>28</v>
      </c>
      <c r="AE20" s="1434" t="s">
        <v>266</v>
      </c>
      <c r="AF20" s="1401"/>
      <c r="AG20" s="1438">
        <f t="shared" ref="AG20:AX20" si="34">if(E20="","",E20-IF($B20&gt;0,FLOOR($B20/18,1),0)-IF(AND(MOD($B20,18)&gt;=E$3,$B20&gt;0),1,0)+IF(E$3-18&gt;$B20,1,0))</f>
        <v>5</v>
      </c>
      <c r="AH20" s="1438">
        <f t="shared" si="34"/>
        <v>6</v>
      </c>
      <c r="AI20" s="1438">
        <f t="shared" si="34"/>
        <v>3</v>
      </c>
      <c r="AJ20" s="1438">
        <f t="shared" si="34"/>
        <v>7</v>
      </c>
      <c r="AK20" s="1438">
        <f t="shared" si="34"/>
        <v>3</v>
      </c>
      <c r="AL20" s="1438">
        <f t="shared" si="34"/>
        <v>5</v>
      </c>
      <c r="AM20" s="1438">
        <f t="shared" si="34"/>
        <v>4</v>
      </c>
      <c r="AN20" s="1438">
        <f t="shared" si="34"/>
        <v>3</v>
      </c>
      <c r="AO20" s="1438">
        <f t="shared" si="34"/>
        <v>5</v>
      </c>
      <c r="AP20" s="1426">
        <f t="shared" si="34"/>
        <v>6</v>
      </c>
      <c r="AQ20" s="1426">
        <f t="shared" si="34"/>
        <v>6</v>
      </c>
      <c r="AR20" s="1426">
        <f t="shared" si="34"/>
        <v>3</v>
      </c>
      <c r="AS20" s="1426">
        <f t="shared" si="34"/>
        <v>3</v>
      </c>
      <c r="AT20" s="1426">
        <f t="shared" si="34"/>
        <v>7</v>
      </c>
      <c r="AU20" s="1426">
        <f t="shared" si="34"/>
        <v>5</v>
      </c>
      <c r="AV20" s="1426">
        <f t="shared" si="34"/>
        <v>6</v>
      </c>
      <c r="AW20" s="1426">
        <f t="shared" si="34"/>
        <v>4</v>
      </c>
      <c r="AX20" s="1426">
        <f t="shared" si="34"/>
        <v>4</v>
      </c>
      <c r="AY20" s="1438">
        <f t="shared" si="7"/>
        <v>41</v>
      </c>
      <c r="AZ20" s="1438">
        <f t="shared" si="8"/>
        <v>44</v>
      </c>
      <c r="BA20" s="1438">
        <f t="shared" si="13"/>
        <v>85</v>
      </c>
      <c r="BB20" s="1436" t="str">
        <f>if(countif('R1_G1'!$A$8:$A$17,$A20)=1, if(and(BA20=Z20,BA20=vlookup($A20,'R1_G1'!$A$8:$AB$17, 28,false)),"yes","no"),
if(countif('R1_G2'!$A$8:$A$17,$A20)=1, if(and(BA20=Z20,BA20=vlookup($A20,'R1_G2'!$A$8:$AB$17, 28,false)),"yes","no"),
if(countif('R1_G3'!$A$8:$A$17,$A20)=1, if(and(BA20=Z20,BA20=vlookup($A20,'R1_G3'!$A$8:$AB$17, 28,false)),"yes","no"),
if(countif('R1_G4'!$A$8:$A$17,$A20)=1, if(and(BA20=Z20,BA20=vlookup($A20,'R1_G4'!$A$8:$AB$17, 28,false)),"yes","no"),
"?"))))
</f>
        <v>yes</v>
      </c>
      <c r="BC20" s="1421"/>
      <c r="BD20" s="1439">
        <f t="shared" si="14"/>
        <v>5</v>
      </c>
      <c r="BE20" s="1440">
        <f t="shared" si="15"/>
        <v>7.066666667</v>
      </c>
      <c r="BF20" s="1440">
        <f t="shared" si="17"/>
        <v>0</v>
      </c>
      <c r="BG20" s="1440">
        <f t="shared" si="18"/>
        <v>3</v>
      </c>
      <c r="BH20" s="1440">
        <f t="shared" si="19"/>
        <v>4</v>
      </c>
      <c r="BI20" s="1440">
        <f t="shared" si="20"/>
        <v>5</v>
      </c>
      <c r="BJ20" s="1440">
        <f t="shared" si="21"/>
        <v>6</v>
      </c>
    </row>
    <row r="21" ht="14.25" customHeight="1">
      <c r="A21" s="1443"/>
      <c r="B21" s="1444"/>
      <c r="C21" s="1445">
        <f>COUNTIF(C5:C20, "Y")*C3</f>
        <v>0</v>
      </c>
      <c r="D21" s="1446" t="s">
        <v>267</v>
      </c>
      <c r="E21" s="1447" t="str">
        <f t="array" ref="E21">IF(OR(SUM(IF(IF('Locked Bets Setup'!$I$5:$I$20="Y", E5:E20, 10)=MIN(IF('Locked Bets Setup'!$I$5:$I$20="Y", E5:E20, 10)), 1, 0)) &gt; 1, MIN(IF('Locked Bets Setup'!$I$5:$I$20="Y", E5:E20, 10)) &gt; E4), "", INDEX('Locked Bets Setup'!$A$5:$A$20,MATCH(MIN(IF('Locked Bets Setup'!$I$5:$I$20="Y",E5:E20,10)),IF('Locked Bets Setup'!$I$5:$I$20="Y",E5:E20,10),0)))</f>
        <v/>
      </c>
      <c r="F21" s="1447" t="str">
        <f t="array" ref="F21">IF(OR(SUM(IF(IF('Locked Bets Setup'!$I$5:$I$20="Y", F5:F20, 10)=MIN(IF('Locked Bets Setup'!$I$5:$I$20="Y", F5:F20, 10)), 1, 0)) &gt; 1, MIN(IF('Locked Bets Setup'!$I$5:$I$20="Y", F5:F20, 10)) &gt; F4), "", INDEX('Locked Bets Setup'!$A$5:$A$20,MATCH(MIN(IF('Locked Bets Setup'!$I$5:$I$20="Y",F5:F20,10)),IF('Locked Bets Setup'!$I$5:$I$20="Y",F5:F20,10),0)))</f>
        <v/>
      </c>
      <c r="G21" s="1447" t="str">
        <f t="array" ref="G21">IF(OR(SUM(IF(IF('Locked Bets Setup'!$I$5:$I$20="Y", G5:G20, 10)=MIN(IF('Locked Bets Setup'!$I$5:$I$20="Y", G5:G20, 10)), 1, 0)) &gt; 1, MIN(IF('Locked Bets Setup'!$I$5:$I$20="Y", G5:G20, 10)) &gt; G4), "", INDEX('Locked Bets Setup'!$A$5:$A$20,MATCH(MIN(IF('Locked Bets Setup'!$I$5:$I$20="Y",G5:G20,10)),IF('Locked Bets Setup'!$I$5:$I$20="Y",G5:G20,10),0)))</f>
        <v/>
      </c>
      <c r="H21" s="1447" t="str">
        <f t="array" ref="H21">IF(OR(SUM(IF(IF('Locked Bets Setup'!$I$5:$I$20="Y", H5:H20, 10)=MIN(IF('Locked Bets Setup'!$I$5:$I$20="Y", H5:H20, 10)), 1, 0)) &gt; 1, MIN(IF('Locked Bets Setup'!$I$5:$I$20="Y", H5:H20, 10)) &gt; H4), "", INDEX('Locked Bets Setup'!$A$5:$A$20,MATCH(MIN(IF('Locked Bets Setup'!$I$5:$I$20="Y",H5:H20,10)),IF('Locked Bets Setup'!$I$5:$I$20="Y",H5:H20,10),0)))</f>
        <v>CuzNick</v>
      </c>
      <c r="I21" s="1447" t="str">
        <f t="array" ref="I21">IF(OR(SUM(IF(IF('Locked Bets Setup'!$I$5:$I$20="Y", I5:I20, 10)=MIN(IF('Locked Bets Setup'!$I$5:$I$20="Y", I5:I20, 10)), 1, 0)) &gt; 1, MIN(IF('Locked Bets Setup'!$I$5:$I$20="Y", I5:I20, 10)) &gt; I4), "", INDEX('Locked Bets Setup'!$A$5:$A$20,MATCH(MIN(IF('Locked Bets Setup'!$I$5:$I$20="Y",I5:I20,10)),IF('Locked Bets Setup'!$I$5:$I$20="Y",I5:I20,10),0)))</f>
        <v>Jensen</v>
      </c>
      <c r="J21" s="1447" t="str">
        <f t="array" ref="J21">IF(OR(SUM(IF(IF('Locked Bets Setup'!$I$5:$I$20="Y", J5:J20, 10)=MIN(IF('Locked Bets Setup'!$I$5:$I$20="Y", J5:J20, 10)), 1, 0)) &gt; 1, MIN(IF('Locked Bets Setup'!$I$5:$I$20="Y", J5:J20, 10)) &gt; J4), "", INDEX('Locked Bets Setup'!$A$5:$A$20,MATCH(MIN(IF('Locked Bets Setup'!$I$5:$I$20="Y",J5:J20,10)),IF('Locked Bets Setup'!$I$5:$I$20="Y",J5:J20,10),0)))</f>
        <v/>
      </c>
      <c r="K21" s="1447" t="str">
        <f t="array" ref="K21">IF(OR(SUM(IF(IF('Locked Bets Setup'!$I$5:$I$20="Y", K5:K20, 10)=MIN(IF('Locked Bets Setup'!$I$5:$I$20="Y", K5:K20, 10)), 1, 0)) &gt; 1, MIN(IF('Locked Bets Setup'!$I$5:$I$20="Y", K5:K20, 10)) &gt; K4), "", INDEX('Locked Bets Setup'!$A$5:$A$20,MATCH(MIN(IF('Locked Bets Setup'!$I$5:$I$20="Y",K5:K20,10)),IF('Locked Bets Setup'!$I$5:$I$20="Y",K5:K20,10),0)))</f>
        <v/>
      </c>
      <c r="L21" s="1447" t="str">
        <f t="array" ref="L21">IF(OR(SUM(IF(IF('Locked Bets Setup'!$I$5:$I$20="Y", L5:L20, 10)=MIN(IF('Locked Bets Setup'!$I$5:$I$20="Y", L5:L20, 10)), 1, 0)) &gt; 1, MIN(IF('Locked Bets Setup'!$I$5:$I$20="Y", L5:L20, 10)) &gt; L4), "", INDEX('Locked Bets Setup'!$A$5:$A$20,MATCH(MIN(IF('Locked Bets Setup'!$I$5:$I$20="Y",L5:L20,10)),IF('Locked Bets Setup'!$I$5:$I$20="Y",L5:L20,10),0)))</f>
        <v/>
      </c>
      <c r="M21" s="1447" t="str">
        <f t="array" ref="M21">IF(OR(SUM(IF(IF('Locked Bets Setup'!$I$5:$I$20="Y", M5:M20, 10)=MIN(IF('Locked Bets Setup'!$I$5:$I$20="Y", M5:M20, 10)), 1, 0)) &gt; 1, MIN(IF('Locked Bets Setup'!$I$5:$I$20="Y", M5:M20, 10)) &gt; M4), "", INDEX('Locked Bets Setup'!$A$5:$A$20,MATCH(MIN(IF('Locked Bets Setup'!$I$5:$I$20="Y",M5:M20,10)),IF('Locked Bets Setup'!$I$5:$I$20="Y",M5:M20,10),0)))</f>
        <v>Pace</v>
      </c>
      <c r="N21" s="1447" t="str">
        <f t="array" ref="N21">IF(OR(SUM(IF(IF('Locked Bets Setup'!$I$5:$I$20="Y", N5:N20, 10)=MIN(IF('Locked Bets Setup'!$I$5:$I$20="Y", N5:N20, 10)), 1, 0)) &gt; 1, MIN(IF('Locked Bets Setup'!$I$5:$I$20="Y", N5:N20, 10)) &gt; N4), "", INDEX('Locked Bets Setup'!$A$5:$A$20,MATCH(MIN(IF('Locked Bets Setup'!$I$5:$I$20="Y",N5:N20,10)),IF('Locked Bets Setup'!$I$5:$I$20="Y",N5:N20,10),0)))</f>
        <v>Telly</v>
      </c>
      <c r="O21" s="1447" t="str">
        <f t="array" ref="O21">IF(OR(SUM(IF(IF('Locked Bets Setup'!$I$5:$I$20="Y", O5:O20, 10)=MIN(IF('Locked Bets Setup'!$I$5:$I$20="Y", O5:O20, 10)), 1, 0)) &gt; 1, MIN(IF('Locked Bets Setup'!$I$5:$I$20="Y", O5:O20, 10)) &gt; O4), "", INDEX('Locked Bets Setup'!$A$5:$A$20,MATCH(MIN(IF('Locked Bets Setup'!$I$5:$I$20="Y",O5:O20,10)),IF('Locked Bets Setup'!$I$5:$I$20="Y",O5:O20,10),0)))</f>
        <v/>
      </c>
      <c r="P21" s="1447" t="str">
        <f t="array" ref="P21">IF(OR(SUM(IF(IF('Locked Bets Setup'!$I$5:$I$20="Y", P5:P20, 10)=MIN(IF('Locked Bets Setup'!$I$5:$I$20="Y", P5:P20, 10)), 1, 0)) &gt; 1, MIN(IF('Locked Bets Setup'!$I$5:$I$20="Y", P5:P20, 10)) &gt; P4), "", INDEX('Locked Bets Setup'!$A$5:$A$20,MATCH(MIN(IF('Locked Bets Setup'!$I$5:$I$20="Y",P5:P20,10)),IF('Locked Bets Setup'!$I$5:$I$20="Y",P5:P20,10),0)))</f>
        <v/>
      </c>
      <c r="Q21" s="1447" t="str">
        <f t="array" ref="Q21">IF(OR(SUM(IF(IF('Locked Bets Setup'!$I$5:$I$20="Y", Q5:Q20, 10)=MIN(IF('Locked Bets Setup'!$I$5:$I$20="Y", Q5:Q20, 10)), 1, 0)) &gt; 1, MIN(IF('Locked Bets Setup'!$I$5:$I$20="Y", Q5:Q20, 10)) &gt; Q4), "", INDEX('Locked Bets Setup'!$A$5:$A$20,MATCH(MIN(IF('Locked Bets Setup'!$I$5:$I$20="Y",Q5:Q20,10)),IF('Locked Bets Setup'!$I$5:$I$20="Y",Q5:Q20,10),0)))</f>
        <v/>
      </c>
      <c r="R21" s="1447" t="str">
        <f t="array" ref="R21">IF(OR(SUM(IF(IF('Locked Bets Setup'!$I$5:$I$20="Y", R5:R20, 10)=MIN(IF('Locked Bets Setup'!$I$5:$I$20="Y", R5:R20, 10)), 1, 0)) &gt; 1, MIN(IF('Locked Bets Setup'!$I$5:$I$20="Y", R5:R20, 10)) &gt; R4), "", INDEX('Locked Bets Setup'!$A$5:$A$20,MATCH(MIN(IF('Locked Bets Setup'!$I$5:$I$20="Y",R5:R20,10)),IF('Locked Bets Setup'!$I$5:$I$20="Y",R5:R20,10),0)))</f>
        <v/>
      </c>
      <c r="S21" s="1447" t="str">
        <f t="array" ref="S21">IF(OR(SUM(IF(IF('Locked Bets Setup'!$I$5:$I$20="Y", S5:S20, 10)=MIN(IF('Locked Bets Setup'!$I$5:$I$20="Y", S5:S20, 10)), 1, 0)) &gt; 1, MIN(IF('Locked Bets Setup'!$I$5:$I$20="Y", S5:S20, 10)) &gt; S4), "", INDEX('Locked Bets Setup'!$A$5:$A$20,MATCH(MIN(IF('Locked Bets Setup'!$I$5:$I$20="Y",S5:S20,10)),IF('Locked Bets Setup'!$I$5:$I$20="Y",S5:S20,10),0)))</f>
        <v>KJ</v>
      </c>
      <c r="T21" s="1447" t="str">
        <f t="array" ref="T21">IF(OR(SUM(IF(IF('Locked Bets Setup'!$I$5:$I$20="Y", T5:T20, 10)=MIN(IF('Locked Bets Setup'!$I$5:$I$20="Y", T5:T20, 10)), 1, 0)) &gt; 1, MIN(IF('Locked Bets Setup'!$I$5:$I$20="Y", T5:T20, 10)) &gt; T4), "", INDEX('Locked Bets Setup'!$A$5:$A$20,MATCH(MIN(IF('Locked Bets Setup'!$I$5:$I$20="Y",T5:T20,10)),IF('Locked Bets Setup'!$I$5:$I$20="Y",T5:T20,10),0)))</f>
        <v/>
      </c>
      <c r="U21" s="1447" t="str">
        <f t="array" ref="U21">IF(OR(SUM(IF(IF('Locked Bets Setup'!$I$5:$I$20="Y", U5:U20, 10)=MIN(IF('Locked Bets Setup'!$I$5:$I$20="Y", U5:U20, 10)), 1, 0)) &gt; 1, MIN(IF('Locked Bets Setup'!$I$5:$I$20="Y", U5:U20, 10)) &gt; U4), "", INDEX('Locked Bets Setup'!$A$5:$A$20,MATCH(MIN(IF('Locked Bets Setup'!$I$5:$I$20="Y",U5:U20,10)),IF('Locked Bets Setup'!$I$5:$I$20="Y",U5:U20,10),0)))</f>
        <v/>
      </c>
      <c r="V21" s="1447" t="str">
        <f t="array" ref="V21">IF(OR(SUM(IF(IF('Locked Bets Setup'!$I$5:$I$20="Y", V5:V20, 10)=MIN(IF('Locked Bets Setup'!$I$5:$I$20="Y", V5:V20, 10)), 1, 0)) &gt; 1, MIN(IF('Locked Bets Setup'!$I$5:$I$20="Y", V5:V20, 10)) &gt; V4), "", INDEX('Locked Bets Setup'!$A$5:$A$20,MATCH(MIN(IF('Locked Bets Setup'!$I$5:$I$20="Y",V5:V20,10)),IF('Locked Bets Setup'!$I$5:$I$20="Y",V5:V20,10),0)))</f>
        <v/>
      </c>
      <c r="W21" s="1448"/>
      <c r="X21" s="1448"/>
      <c r="Y21" s="1449">
        <f>18-COUNTBLANK(E21:V21)</f>
        <v>5</v>
      </c>
      <c r="Z21" s="1450"/>
      <c r="AA21" s="1451"/>
      <c r="AB21" s="1452"/>
      <c r="AC21" s="1443"/>
      <c r="AD21" s="1444"/>
      <c r="AE21" s="1445">
        <f>COUNTIF(AE5:AE20, "Y")*AE3</f>
        <v>80</v>
      </c>
      <c r="AF21" s="1446" t="s">
        <v>267</v>
      </c>
      <c r="AG21" s="1447" t="str">
        <f t="array" ref="AG21">IF(OR(SUM(IF(IF('Locked Bets Setup'!$I$5:$I$20="Y", AG5:AG20, 10)=MIN(IF('Locked Bets Setup'!$I$5:$I$20="Y", AG5:AG20, 10)), 1, 0)) &gt; 1, MIN(IF('Locked Bets Setup'!$I$5:$I$20="Y", AG5:AG20, 10)) &gt; AG4), "", INDEX('Locked Bets Setup'!$A$5:$A$20,MATCH(MIN(IF('Locked Bets Setup'!$I$5:$I$20="Y",AG5:AG20,10)),IF('Locked Bets Setup'!$I$5:$I$20="Y",AG5:AG20,10),0)))</f>
        <v/>
      </c>
      <c r="AH21" s="1447" t="str">
        <f t="array" ref="AH21">IF(OR(SUM(IF(IF('Locked Bets Setup'!$I$5:$I$20="Y", AH5:AH20, 10)=MIN(IF('Locked Bets Setup'!$I$5:$I$20="Y", AH5:AH20, 10)), 1, 0)) &gt; 1, MIN(IF('Locked Bets Setup'!$I$5:$I$20="Y", AH5:AH20, 10)) &gt; AH4), "", INDEX('Locked Bets Setup'!$A$5:$A$20,MATCH(MIN(IF('Locked Bets Setup'!$I$5:$I$20="Y",AH5:AH20,10)),IF('Locked Bets Setup'!$I$5:$I$20="Y",AH5:AH20,10),0)))</f>
        <v/>
      </c>
      <c r="AI21" s="1447" t="str">
        <f t="array" ref="AI21">IF(OR(SUM(IF(IF('Locked Bets Setup'!$I$5:$I$20="Y", AI5:AI20, 10)=MIN(IF('Locked Bets Setup'!$I$5:$I$20="Y", AI5:AI20, 10)), 1, 0)) &gt; 1, MIN(IF('Locked Bets Setup'!$I$5:$I$20="Y", AI5:AI20, 10)) &gt; AI4), "", INDEX('Locked Bets Setup'!$A$5:$A$20,MATCH(MIN(IF('Locked Bets Setup'!$I$5:$I$20="Y",AI5:AI20,10)),IF('Locked Bets Setup'!$I$5:$I$20="Y",AI5:AI20,10),0)))</f>
        <v>Saugy</v>
      </c>
      <c r="AJ21" s="1447" t="str">
        <f t="array" ref="AJ21">IF(OR(SUM(IF(IF('Locked Bets Setup'!$I$5:$I$20="Y", AJ5:AJ20, 10)=MIN(IF('Locked Bets Setup'!$I$5:$I$20="Y", AJ5:AJ20, 10)), 1, 0)) &gt; 1, MIN(IF('Locked Bets Setup'!$I$5:$I$20="Y", AJ5:AJ20, 10)) &gt; AJ4), "", INDEX('Locked Bets Setup'!$A$5:$A$20,MATCH(MIN(IF('Locked Bets Setup'!$I$5:$I$20="Y",AJ5:AJ20,10)),IF('Locked Bets Setup'!$I$5:$I$20="Y",AJ5:AJ20,10),0)))</f>
        <v/>
      </c>
      <c r="AK21" s="1447" t="str">
        <f t="array" ref="AK21">IF(OR(SUM(IF(IF('Locked Bets Setup'!$I$5:$I$20="Y", AK5:AK20, 10)=MIN(IF('Locked Bets Setup'!$I$5:$I$20="Y", AK5:AK20, 10)), 1, 0)) &gt; 1, MIN(IF('Locked Bets Setup'!$I$5:$I$20="Y", AK5:AK20, 10)) &gt; AK4), "", INDEX('Locked Bets Setup'!$A$5:$A$20,MATCH(MIN(IF('Locked Bets Setup'!$I$5:$I$20="Y",AK5:AK20,10)),IF('Locked Bets Setup'!$I$5:$I$20="Y",AK5:AK20,10),0)))</f>
        <v>Jensen</v>
      </c>
      <c r="AL21" s="1447" t="str">
        <f t="array" ref="AL21">IF(OR(SUM(IF(IF('Locked Bets Setup'!$I$5:$I$20="Y", AL5:AL20, 10)=MIN(IF('Locked Bets Setup'!$I$5:$I$20="Y", AL5:AL20, 10)), 1, 0)) &gt; 1, MIN(IF('Locked Bets Setup'!$I$5:$I$20="Y", AL5:AL20, 10)) &gt; AL4), "", INDEX('Locked Bets Setup'!$A$5:$A$20,MATCH(MIN(IF('Locked Bets Setup'!$I$5:$I$20="Y",AL5:AL20,10)),IF('Locked Bets Setup'!$I$5:$I$20="Y",AL5:AL20,10),0)))</f>
        <v>Saugy</v>
      </c>
      <c r="AM21" s="1447" t="str">
        <f t="array" ref="AM21">IF(OR(SUM(IF(IF('Locked Bets Setup'!$I$5:$I$20="Y", AM5:AM20, 10)=MIN(IF('Locked Bets Setup'!$I$5:$I$20="Y", AM5:AM20, 10)), 1, 0)) &gt; 1, MIN(IF('Locked Bets Setup'!$I$5:$I$20="Y", AM5:AM20, 10)) &gt; AM4), "", INDEX('Locked Bets Setup'!$A$5:$A$20,MATCH(MIN(IF('Locked Bets Setup'!$I$5:$I$20="Y",AM5:AM20,10)),IF('Locked Bets Setup'!$I$5:$I$20="Y",AM5:AM20,10),0)))</f>
        <v/>
      </c>
      <c r="AN21" s="1447" t="str">
        <f t="array" ref="AN21">IF(OR(SUM(IF(IF('Locked Bets Setup'!$I$5:$I$20="Y", AN5:AN20, 10)=MIN(IF('Locked Bets Setup'!$I$5:$I$20="Y", AN5:AN20, 10)), 1, 0)) &gt; 1, MIN(IF('Locked Bets Setup'!$I$5:$I$20="Y", AN5:AN20, 10)) &gt; AN4), "", INDEX('Locked Bets Setup'!$A$5:$A$20,MATCH(MIN(IF('Locked Bets Setup'!$I$5:$I$20="Y",AN5:AN20,10)),IF('Locked Bets Setup'!$I$5:$I$20="Y",AN5:AN20,10),0)))</f>
        <v/>
      </c>
      <c r="AO21" s="1447" t="str">
        <f t="array" ref="AO21">IF(OR(SUM(IF(IF('Locked Bets Setup'!$I$5:$I$20="Y", AO5:AO20, 10)=MIN(IF('Locked Bets Setup'!$I$5:$I$20="Y", AO5:AO20, 10)), 1, 0)) &gt; 1, MIN(IF('Locked Bets Setup'!$I$5:$I$20="Y", AO5:AO20, 10)) &gt; AO4), "", INDEX('Locked Bets Setup'!$A$5:$A$20,MATCH(MIN(IF('Locked Bets Setup'!$I$5:$I$20="Y",AO5:AO20,10)),IF('Locked Bets Setup'!$I$5:$I$20="Y",AO5:AO20,10),0)))</f>
        <v/>
      </c>
      <c r="AP21" s="1447" t="str">
        <f t="array" ref="AP21">IF(OR(SUM(IF(IF('Locked Bets Setup'!$I$5:$I$20="Y", AP5:AP20, 10)=MIN(IF('Locked Bets Setup'!$I$5:$I$20="Y", AP5:AP20, 10)), 1, 0)) &gt; 1, MIN(IF('Locked Bets Setup'!$I$5:$I$20="Y", AP5:AP20, 10)) &gt; AP4), "", INDEX('Locked Bets Setup'!$A$5:$A$20,MATCH(MIN(IF('Locked Bets Setup'!$I$5:$I$20="Y",AP5:AP20,10)),IF('Locked Bets Setup'!$I$5:$I$20="Y",AP5:AP20,10),0)))</f>
        <v/>
      </c>
      <c r="AQ21" s="1447" t="str">
        <f t="array" ref="AQ21">IF(OR(SUM(IF(IF('Locked Bets Setup'!$I$5:$I$20="Y", AQ5:AQ20, 10)=MIN(IF('Locked Bets Setup'!$I$5:$I$20="Y", AQ5:AQ20, 10)), 1, 0)) &gt; 1, MIN(IF('Locked Bets Setup'!$I$5:$I$20="Y", AQ5:AQ20, 10)) &gt; AQ4), "", INDEX('Locked Bets Setup'!$A$5:$A$20,MATCH(MIN(IF('Locked Bets Setup'!$I$5:$I$20="Y",AQ5:AQ20,10)),IF('Locked Bets Setup'!$I$5:$I$20="Y",AQ5:AQ20,10),0)))</f>
        <v/>
      </c>
      <c r="AR21" s="1447" t="str">
        <f t="array" ref="AR21">IF(OR(SUM(IF(IF('Locked Bets Setup'!$I$5:$I$20="Y", AR5:AR20, 10)=MIN(IF('Locked Bets Setup'!$I$5:$I$20="Y", AR5:AR20, 10)), 1, 0)) &gt; 1, MIN(IF('Locked Bets Setup'!$I$5:$I$20="Y", AR5:AR20, 10)) &gt; AR4), "", INDEX('Locked Bets Setup'!$A$5:$A$20,MATCH(MIN(IF('Locked Bets Setup'!$I$5:$I$20="Y",AR5:AR20,10)),IF('Locked Bets Setup'!$I$5:$I$20="Y",AR5:AR20,10),0)))</f>
        <v/>
      </c>
      <c r="AS21" s="1447" t="str">
        <f t="array" ref="AS21">IF(OR(SUM(IF(IF('Locked Bets Setup'!$I$5:$I$20="Y", AS5:AS20, 10)=MIN(IF('Locked Bets Setup'!$I$5:$I$20="Y", AS5:AS20, 10)), 1, 0)) &gt; 1, MIN(IF('Locked Bets Setup'!$I$5:$I$20="Y", AS5:AS20, 10)) &gt; AS4), "", INDEX('Locked Bets Setup'!$A$5:$A$20,MATCH(MIN(IF('Locked Bets Setup'!$I$5:$I$20="Y",AS5:AS20,10)),IF('Locked Bets Setup'!$I$5:$I$20="Y",AS5:AS20,10),0)))</f>
        <v/>
      </c>
      <c r="AT21" s="1447" t="str">
        <f t="array" ref="AT21">IF(OR(SUM(IF(IF('Locked Bets Setup'!$I$5:$I$20="Y", AT5:AT20, 10)=MIN(IF('Locked Bets Setup'!$I$5:$I$20="Y", AT5:AT20, 10)), 1, 0)) &gt; 1, MIN(IF('Locked Bets Setup'!$I$5:$I$20="Y", AT5:AT20, 10)) &gt; AT4), "", INDEX('Locked Bets Setup'!$A$5:$A$20,MATCH(MIN(IF('Locked Bets Setup'!$I$5:$I$20="Y",AT5:AT20,10)),IF('Locked Bets Setup'!$I$5:$I$20="Y",AT5:AT20,10),0)))</f>
        <v/>
      </c>
      <c r="AU21" s="1447" t="str">
        <f t="array" ref="AU21">IF(OR(SUM(IF(IF('Locked Bets Setup'!$I$5:$I$20="Y", AU5:AU20, 10)=MIN(IF('Locked Bets Setup'!$I$5:$I$20="Y", AU5:AU20, 10)), 1, 0)) &gt; 1, MIN(IF('Locked Bets Setup'!$I$5:$I$20="Y", AU5:AU20, 10)) &gt; AU4), "", INDEX('Locked Bets Setup'!$A$5:$A$20,MATCH(MIN(IF('Locked Bets Setup'!$I$5:$I$20="Y",AU5:AU20,10)),IF('Locked Bets Setup'!$I$5:$I$20="Y",AU5:AU20,10),0)))</f>
        <v>KJ</v>
      </c>
      <c r="AV21" s="1447" t="str">
        <f t="array" ref="AV21">IF(OR(SUM(IF(IF('Locked Bets Setup'!$I$5:$I$20="Y", AV5:AV20, 10)=MIN(IF('Locked Bets Setup'!$I$5:$I$20="Y", AV5:AV20, 10)), 1, 0)) &gt; 1, MIN(IF('Locked Bets Setup'!$I$5:$I$20="Y", AV5:AV20, 10)) &gt; AV4), "", INDEX('Locked Bets Setup'!$A$5:$A$20,MATCH(MIN(IF('Locked Bets Setup'!$I$5:$I$20="Y",AV5:AV20,10)),IF('Locked Bets Setup'!$I$5:$I$20="Y",AV5:AV20,10),0)))</f>
        <v/>
      </c>
      <c r="AW21" s="1447" t="str">
        <f t="array" ref="AW21">IF(OR(SUM(IF(IF('Locked Bets Setup'!$I$5:$I$20="Y", AW5:AW20, 10)=MIN(IF('Locked Bets Setup'!$I$5:$I$20="Y", AW5:AW20, 10)), 1, 0)) &gt; 1, MIN(IF('Locked Bets Setup'!$I$5:$I$20="Y", AW5:AW20, 10)) &gt; AW4), "", INDEX('Locked Bets Setup'!$A$5:$A$20,MATCH(MIN(IF('Locked Bets Setup'!$I$5:$I$20="Y",AW5:AW20,10)),IF('Locked Bets Setup'!$I$5:$I$20="Y",AW5:AW20,10),0)))</f>
        <v>Saugy</v>
      </c>
      <c r="AX21" s="1447" t="str">
        <f t="array" ref="AX21">IF(OR(SUM(IF(IF('Locked Bets Setup'!$I$5:$I$20="Y", AX5:AX20, 10)=MIN(IF('Locked Bets Setup'!$I$5:$I$20="Y", AX5:AX20, 10)), 1, 0)) &gt; 1, MIN(IF('Locked Bets Setup'!$I$5:$I$20="Y", AX5:AX20, 10)) &gt; AX4), "", INDEX('Locked Bets Setup'!$A$5:$A$20,MATCH(MIN(IF('Locked Bets Setup'!$I$5:$I$20="Y",AX5:AX20,10)),IF('Locked Bets Setup'!$I$5:$I$20="Y",AX5:AX20,10),0)))</f>
        <v>Carp</v>
      </c>
      <c r="AY21" s="1447"/>
      <c r="AZ21" s="1447"/>
      <c r="BA21" s="1447">
        <f>18-COUNTBLANK(AG21:AX21)</f>
        <v>6</v>
      </c>
      <c r="BB21" s="1451"/>
      <c r="BC21" s="1453"/>
      <c r="BD21" s="1454"/>
      <c r="BE21" s="1455">
        <f>sum(BE5:BE20)</f>
        <v>144</v>
      </c>
      <c r="BF21" s="1456">
        <f>sum(BF5:BJ20)</f>
        <v>288</v>
      </c>
      <c r="BG21" s="1455"/>
      <c r="BH21" s="1455"/>
      <c r="BI21" s="1455"/>
      <c r="BJ21" s="1455"/>
    </row>
    <row r="22" ht="14.25" customHeight="1">
      <c r="A22" s="1408"/>
      <c r="B22" s="1399"/>
      <c r="C22" s="1444"/>
      <c r="D22" s="1457" t="s">
        <v>268</v>
      </c>
      <c r="E22" s="1458"/>
      <c r="F22" s="1458"/>
      <c r="G22" s="1459" t="s">
        <v>162</v>
      </c>
      <c r="H22" s="1458"/>
      <c r="I22" s="1458"/>
      <c r="J22" s="1458"/>
      <c r="K22" s="1459" t="s">
        <v>155</v>
      </c>
      <c r="L22" s="1458"/>
      <c r="M22" s="1458"/>
      <c r="N22" s="1458"/>
      <c r="O22" s="1458"/>
      <c r="P22" s="1458"/>
      <c r="Q22" s="1459" t="s">
        <v>152</v>
      </c>
      <c r="R22" s="1458"/>
      <c r="S22" s="1458"/>
      <c r="T22" s="1458"/>
      <c r="U22" s="1459" t="s">
        <v>152</v>
      </c>
      <c r="V22" s="1460"/>
      <c r="W22" s="1447"/>
      <c r="X22" s="1447"/>
      <c r="Y22" s="1461">
        <f t="shared" ref="Y22:Y23" si="35">counta(E22:V22)</f>
        <v>4</v>
      </c>
      <c r="Z22" s="1408"/>
      <c r="AA22" s="1421"/>
      <c r="AB22" s="1452"/>
      <c r="AC22" s="1408"/>
      <c r="AD22" s="1399"/>
      <c r="AE22" s="1444"/>
      <c r="AF22" s="1399"/>
      <c r="AG22" s="1399"/>
      <c r="AH22" s="1399"/>
      <c r="AI22" s="1399"/>
      <c r="AJ22" s="1399"/>
      <c r="AK22" s="1399"/>
      <c r="AL22" s="1399"/>
      <c r="AM22" s="1399"/>
      <c r="AN22" s="1399"/>
      <c r="AO22" s="1399"/>
      <c r="AP22" s="1399"/>
      <c r="AQ22" s="1399"/>
      <c r="AR22" s="1399"/>
      <c r="AS22" s="1399"/>
      <c r="AT22" s="1399"/>
      <c r="AU22" s="1399"/>
      <c r="AV22" s="1399"/>
      <c r="AW22" s="1399"/>
      <c r="AX22" s="1399"/>
      <c r="AY22" s="1399"/>
      <c r="AZ22" s="1399"/>
      <c r="BA22" s="1399"/>
      <c r="BB22" s="1421"/>
      <c r="BC22" s="1453"/>
      <c r="BD22" s="1454"/>
      <c r="BE22" s="1454"/>
      <c r="BF22" s="1454"/>
      <c r="BG22" s="1454"/>
      <c r="BH22" s="1454"/>
      <c r="BI22" s="1454"/>
      <c r="BJ22" s="1454"/>
    </row>
    <row r="23" ht="14.25" customHeight="1">
      <c r="A23" s="1408"/>
      <c r="B23" s="1399"/>
      <c r="C23" s="1399"/>
      <c r="D23" s="1462" t="s">
        <v>269</v>
      </c>
      <c r="E23" s="1458"/>
      <c r="F23" s="1458"/>
      <c r="G23" s="1458"/>
      <c r="H23" s="1459" t="s">
        <v>151</v>
      </c>
      <c r="I23" s="1458"/>
      <c r="J23" s="1458"/>
      <c r="K23" s="1458"/>
      <c r="L23" s="1458"/>
      <c r="M23" s="1459" t="s">
        <v>153</v>
      </c>
      <c r="N23" s="1458"/>
      <c r="O23" s="1458"/>
      <c r="P23" s="1458"/>
      <c r="Q23" s="1458"/>
      <c r="R23" s="1459" t="s">
        <v>167</v>
      </c>
      <c r="S23" s="1458"/>
      <c r="T23" s="1458"/>
      <c r="U23" s="1458"/>
      <c r="V23" s="1460"/>
      <c r="W23" s="1447"/>
      <c r="X23" s="1447"/>
      <c r="Y23" s="1461">
        <f t="shared" si="35"/>
        <v>3</v>
      </c>
      <c r="Z23" s="1463"/>
      <c r="AA23" s="1464"/>
      <c r="AB23" s="1452"/>
      <c r="AC23" s="1463"/>
      <c r="AD23" s="1465"/>
      <c r="AE23" s="1465"/>
      <c r="AF23" s="1465"/>
      <c r="AG23" s="1465"/>
      <c r="AH23" s="1465"/>
      <c r="AI23" s="1465"/>
      <c r="AJ23" s="1465"/>
      <c r="AK23" s="1465"/>
      <c r="AL23" s="1465"/>
      <c r="AM23" s="1465"/>
      <c r="AN23" s="1465"/>
      <c r="AO23" s="1465"/>
      <c r="AP23" s="1465"/>
      <c r="AQ23" s="1465"/>
      <c r="AR23" s="1465"/>
      <c r="AS23" s="1465"/>
      <c r="AT23" s="1465"/>
      <c r="AU23" s="1465"/>
      <c r="AV23" s="1465"/>
      <c r="AW23" s="1465"/>
      <c r="AX23" s="1465"/>
      <c r="AY23" s="1465"/>
      <c r="AZ23" s="1465"/>
      <c r="BA23" s="1465"/>
      <c r="BB23" s="1464"/>
      <c r="BC23" s="1453"/>
      <c r="BD23" s="1454"/>
      <c r="BE23" s="1454"/>
      <c r="BF23" s="1454"/>
      <c r="BG23" s="1454"/>
      <c r="BH23" s="1454"/>
      <c r="BI23" s="1454"/>
      <c r="BJ23" s="1454"/>
    </row>
    <row r="24" ht="14.25" customHeight="1">
      <c r="A24" s="1466"/>
      <c r="B24" s="1467"/>
      <c r="C24" s="1467"/>
      <c r="D24" s="1468"/>
      <c r="E24" s="1469"/>
      <c r="F24" s="1469"/>
      <c r="G24" s="1469"/>
      <c r="H24" s="1469"/>
      <c r="I24" s="1469"/>
      <c r="J24" s="1469"/>
      <c r="K24" s="1469"/>
      <c r="L24" s="1469"/>
      <c r="M24" s="1469"/>
      <c r="N24" s="1469"/>
      <c r="O24" s="1469"/>
      <c r="P24" s="1469"/>
      <c r="Q24" s="1469"/>
      <c r="R24" s="1469"/>
      <c r="S24" s="1469"/>
      <c r="T24" s="1469"/>
      <c r="U24" s="1469"/>
      <c r="V24" s="1469"/>
      <c r="W24" s="1470"/>
      <c r="X24" s="1470"/>
      <c r="Y24" s="1467"/>
      <c r="Z24" s="1471"/>
      <c r="AA24" s="1470"/>
      <c r="AB24" s="1472"/>
      <c r="AC24" s="1467"/>
      <c r="AD24" s="1467"/>
      <c r="AE24" s="1467"/>
      <c r="AF24" s="1468"/>
      <c r="AG24" s="1469"/>
      <c r="AH24" s="1469"/>
      <c r="AI24" s="1469"/>
      <c r="AJ24" s="1469"/>
      <c r="AK24" s="1469"/>
      <c r="AL24" s="1469"/>
      <c r="AM24" s="1469"/>
      <c r="AN24" s="1469"/>
      <c r="AO24" s="1469"/>
      <c r="AP24" s="1469"/>
      <c r="AQ24" s="1469"/>
      <c r="AR24" s="1469"/>
      <c r="AS24" s="1469"/>
      <c r="AT24" s="1469"/>
      <c r="AU24" s="1469"/>
      <c r="AV24" s="1469"/>
      <c r="AW24" s="1469"/>
      <c r="AX24" s="1469"/>
      <c r="AY24" s="1467"/>
      <c r="AZ24" s="1467"/>
      <c r="BA24" s="1467"/>
      <c r="BB24" s="1472"/>
      <c r="BC24" s="1471"/>
      <c r="BD24" s="1473"/>
      <c r="BE24" s="1473"/>
      <c r="BF24" s="1473"/>
      <c r="BG24" s="1473"/>
      <c r="BH24" s="1473"/>
      <c r="BI24" s="1473"/>
      <c r="BJ24" s="1473"/>
    </row>
    <row r="25" ht="14.25" customHeight="1">
      <c r="A25" s="1474" t="s">
        <v>121</v>
      </c>
      <c r="B25" s="1475"/>
      <c r="C25" s="1475"/>
      <c r="D25" s="1474" t="str">
        <f>'Master Input'!$G$6</f>
        <v>Ravines GC - White</v>
      </c>
      <c r="X25" s="1476"/>
      <c r="Y25" s="1477">
        <f>vlookup($D25, 'Course List'!$A$3:$C$14,2, false)</f>
        <v>68.1</v>
      </c>
      <c r="Z25" s="1478">
        <f>vlookup($D25, 'Course List'!$A$3:$C$14,3, false)</f>
        <v>129</v>
      </c>
      <c r="AA25" s="1478"/>
      <c r="AB25" s="1479"/>
      <c r="AC25" s="1480" t="s">
        <v>121</v>
      </c>
      <c r="AD25" s="1481"/>
      <c r="AE25" s="1481"/>
      <c r="AF25" s="1480" t="str">
        <f>D25</f>
        <v>Ravines GC - White</v>
      </c>
      <c r="AG25" s="1391"/>
      <c r="AH25" s="1391"/>
      <c r="AI25" s="1391"/>
      <c r="AJ25" s="1391"/>
      <c r="AK25" s="1391"/>
      <c r="AL25" s="1391"/>
      <c r="AM25" s="1391"/>
      <c r="AN25" s="1391"/>
      <c r="AO25" s="1391"/>
      <c r="AP25" s="1391"/>
      <c r="AQ25" s="1391"/>
      <c r="AR25" s="1391"/>
      <c r="AS25" s="1391"/>
      <c r="AT25" s="1391"/>
      <c r="AU25" s="1391"/>
      <c r="AV25" s="1391"/>
      <c r="AW25" s="1391"/>
      <c r="AX25" s="1391"/>
      <c r="AY25" s="1391"/>
      <c r="AZ25" s="1392"/>
      <c r="BA25" s="1482">
        <f t="shared" ref="BA25:BB25" si="36">Y25</f>
        <v>68.1</v>
      </c>
      <c r="BB25" s="1483">
        <f t="shared" si="36"/>
        <v>129</v>
      </c>
      <c r="BC25" s="1484"/>
      <c r="BD25" s="1485"/>
      <c r="BE25" s="1485"/>
      <c r="BF25" s="1485"/>
      <c r="BG25" s="1485"/>
      <c r="BH25" s="1485"/>
      <c r="BI25" s="1485"/>
      <c r="BJ25" s="1485"/>
    </row>
    <row r="26" ht="14.25" customHeight="1">
      <c r="A26" s="1474" t="s">
        <v>252</v>
      </c>
      <c r="B26" s="1475"/>
      <c r="C26" s="1475"/>
      <c r="D26" s="1401" t="s">
        <v>51</v>
      </c>
      <c r="E26" s="1402">
        <v>1.0</v>
      </c>
      <c r="F26" s="1403">
        <v>2.0</v>
      </c>
      <c r="G26" s="1403">
        <v>3.0</v>
      </c>
      <c r="H26" s="1403">
        <v>4.0</v>
      </c>
      <c r="I26" s="1403">
        <v>5.0</v>
      </c>
      <c r="J26" s="1403">
        <v>6.0</v>
      </c>
      <c r="K26" s="1403">
        <v>7.0</v>
      </c>
      <c r="L26" s="1403">
        <v>8.0</v>
      </c>
      <c r="M26" s="1403">
        <v>9.0</v>
      </c>
      <c r="N26" s="1404">
        <v>10.0</v>
      </c>
      <c r="O26" s="1404">
        <v>11.0</v>
      </c>
      <c r="P26" s="1404">
        <v>12.0</v>
      </c>
      <c r="Q26" s="1404">
        <v>13.0</v>
      </c>
      <c r="R26" s="1404">
        <v>14.0</v>
      </c>
      <c r="S26" s="1404">
        <v>15.0</v>
      </c>
      <c r="T26" s="1404">
        <v>16.0</v>
      </c>
      <c r="U26" s="1404">
        <v>17.0</v>
      </c>
      <c r="V26" s="1404">
        <v>18.0</v>
      </c>
      <c r="W26" s="1405" t="s">
        <v>60</v>
      </c>
      <c r="X26" s="1405" t="s">
        <v>61</v>
      </c>
      <c r="Y26" s="1486" t="s">
        <v>52</v>
      </c>
      <c r="Z26" s="1405" t="s">
        <v>112</v>
      </c>
      <c r="AA26" s="1405" t="s">
        <v>253</v>
      </c>
      <c r="AB26" s="1487"/>
      <c r="AC26" s="1474" t="s">
        <v>112</v>
      </c>
      <c r="AD26" s="1475"/>
      <c r="AE26" s="1475"/>
      <c r="AF26" s="1401" t="s">
        <v>51</v>
      </c>
      <c r="AG26" s="1402">
        <v>1.0</v>
      </c>
      <c r="AH26" s="1403">
        <v>2.0</v>
      </c>
      <c r="AI26" s="1403">
        <v>3.0</v>
      </c>
      <c r="AJ26" s="1403">
        <v>4.0</v>
      </c>
      <c r="AK26" s="1403">
        <v>5.0</v>
      </c>
      <c r="AL26" s="1403">
        <v>6.0</v>
      </c>
      <c r="AM26" s="1403">
        <v>7.0</v>
      </c>
      <c r="AN26" s="1403">
        <v>8.0</v>
      </c>
      <c r="AO26" s="1403">
        <v>9.0</v>
      </c>
      <c r="AP26" s="1404">
        <v>10.0</v>
      </c>
      <c r="AQ26" s="1404">
        <v>11.0</v>
      </c>
      <c r="AR26" s="1404">
        <v>12.0</v>
      </c>
      <c r="AS26" s="1404">
        <v>13.0</v>
      </c>
      <c r="AT26" s="1404">
        <v>14.0</v>
      </c>
      <c r="AU26" s="1404">
        <v>15.0</v>
      </c>
      <c r="AV26" s="1404">
        <v>16.0</v>
      </c>
      <c r="AW26" s="1404">
        <v>17.0</v>
      </c>
      <c r="AX26" s="1404">
        <v>18.0</v>
      </c>
      <c r="AY26" s="1405" t="s">
        <v>60</v>
      </c>
      <c r="AZ26" s="1405" t="s">
        <v>61</v>
      </c>
      <c r="BA26" s="1486" t="s">
        <v>52</v>
      </c>
      <c r="BB26" s="1407" t="s">
        <v>254</v>
      </c>
      <c r="BC26" s="1488"/>
      <c r="BD26" s="1489"/>
      <c r="BE26" s="1489"/>
      <c r="BF26" s="1489"/>
      <c r="BG26" s="1489"/>
      <c r="BH26" s="1489"/>
      <c r="BI26" s="1489"/>
      <c r="BJ26" s="1489"/>
    </row>
    <row r="27" ht="14.25" customHeight="1">
      <c r="A27" s="1490"/>
      <c r="B27" s="1475"/>
      <c r="C27" s="1409">
        <v>5.0</v>
      </c>
      <c r="D27" s="1410" t="s">
        <v>146</v>
      </c>
      <c r="E27" s="1411">
        <f>vlookup($D25, 'Course List'!$A$3:$AS$14,5+E26, false)</f>
        <v>9</v>
      </c>
      <c r="F27" s="1411">
        <f>vlookup($D25, 'Course List'!$A$3:$AS$14,5+F26, false)</f>
        <v>15</v>
      </c>
      <c r="G27" s="1411">
        <f>vlookup($D25, 'Course List'!$A$3:$AS$14,5+G26, false)</f>
        <v>13</v>
      </c>
      <c r="H27" s="1411">
        <f>vlookup($D25, 'Course List'!$A$3:$AS$14,5+H26, false)</f>
        <v>1</v>
      </c>
      <c r="I27" s="1411">
        <f>vlookup($D25, 'Course List'!$A$3:$AS$14,5+I26, false)</f>
        <v>3</v>
      </c>
      <c r="J27" s="1411">
        <f>vlookup($D25, 'Course List'!$A$3:$AS$14,5+J26, false)</f>
        <v>5</v>
      </c>
      <c r="K27" s="1411">
        <f>vlookup($D25, 'Course List'!$A$3:$AS$14,5+K26, false)</f>
        <v>17</v>
      </c>
      <c r="L27" s="1411">
        <f>vlookup($D25, 'Course List'!$A$3:$AS$14,5+L26, false)</f>
        <v>11</v>
      </c>
      <c r="M27" s="1411">
        <f>vlookup($D25, 'Course List'!$A$3:$AS$14,5+M26, false)</f>
        <v>7</v>
      </c>
      <c r="N27" s="1412">
        <f>vlookup($D25, 'Course List'!$A$3:$AS$14,5+N26, false)</f>
        <v>4</v>
      </c>
      <c r="O27" s="1412">
        <f>vlookup($D25, 'Course List'!$A$3:$AS$14,5+O26, false)</f>
        <v>10</v>
      </c>
      <c r="P27" s="1412">
        <f>vlookup($D25, 'Course List'!$A$3:$AS$14,5+P26, false)</f>
        <v>16</v>
      </c>
      <c r="Q27" s="1412">
        <f>vlookup($D25, 'Course List'!$A$3:$AS$14,5+Q26, false)</f>
        <v>14</v>
      </c>
      <c r="R27" s="1412">
        <f>vlookup($D25, 'Course List'!$A$3:$AS$14,5+R26, false)</f>
        <v>2</v>
      </c>
      <c r="S27" s="1412">
        <f>vlookup($D25, 'Course List'!$A$3:$AS$14,5+S26, false)</f>
        <v>8</v>
      </c>
      <c r="T27" s="1412">
        <f>vlookup($D25, 'Course List'!$A$3:$AS$14,5+T26, false)</f>
        <v>18</v>
      </c>
      <c r="U27" s="1412">
        <f>vlookup($D25, 'Course List'!$A$3:$AS$14,5+U26, false)</f>
        <v>12</v>
      </c>
      <c r="V27" s="1412">
        <f>vlookup($D25, 'Course List'!$A$3:$AS$14,5+V26, false)</f>
        <v>6</v>
      </c>
      <c r="W27" s="1491"/>
      <c r="X27" s="1491"/>
      <c r="Y27" s="1491"/>
      <c r="Z27" s="1491"/>
      <c r="AA27" s="1491"/>
      <c r="AB27" s="1492"/>
      <c r="AC27" s="1490"/>
      <c r="AD27" s="1475"/>
      <c r="AE27" s="1409">
        <v>5.0</v>
      </c>
      <c r="AF27" s="1410" t="s">
        <v>146</v>
      </c>
      <c r="AG27" s="1411">
        <f t="shared" ref="AG27:AX27" si="37">E27</f>
        <v>9</v>
      </c>
      <c r="AH27" s="1411">
        <f t="shared" si="37"/>
        <v>15</v>
      </c>
      <c r="AI27" s="1411">
        <f t="shared" si="37"/>
        <v>13</v>
      </c>
      <c r="AJ27" s="1411">
        <f t="shared" si="37"/>
        <v>1</v>
      </c>
      <c r="AK27" s="1411">
        <f t="shared" si="37"/>
        <v>3</v>
      </c>
      <c r="AL27" s="1411">
        <f t="shared" si="37"/>
        <v>5</v>
      </c>
      <c r="AM27" s="1411">
        <f t="shared" si="37"/>
        <v>17</v>
      </c>
      <c r="AN27" s="1411">
        <f t="shared" si="37"/>
        <v>11</v>
      </c>
      <c r="AO27" s="1411">
        <f t="shared" si="37"/>
        <v>7</v>
      </c>
      <c r="AP27" s="1412">
        <f t="shared" si="37"/>
        <v>4</v>
      </c>
      <c r="AQ27" s="1412">
        <f t="shared" si="37"/>
        <v>10</v>
      </c>
      <c r="AR27" s="1412">
        <f t="shared" si="37"/>
        <v>16</v>
      </c>
      <c r="AS27" s="1412">
        <f t="shared" si="37"/>
        <v>14</v>
      </c>
      <c r="AT27" s="1412">
        <f t="shared" si="37"/>
        <v>2</v>
      </c>
      <c r="AU27" s="1412">
        <f t="shared" si="37"/>
        <v>8</v>
      </c>
      <c r="AV27" s="1412">
        <f t="shared" si="37"/>
        <v>18</v>
      </c>
      <c r="AW27" s="1412">
        <f t="shared" si="37"/>
        <v>12</v>
      </c>
      <c r="AX27" s="1412">
        <f t="shared" si="37"/>
        <v>6</v>
      </c>
      <c r="AY27" s="1491"/>
      <c r="AZ27" s="1491"/>
      <c r="BA27" s="1491"/>
      <c r="BB27" s="1492"/>
      <c r="BC27" s="1491"/>
      <c r="BD27" s="1493" t="s">
        <v>255</v>
      </c>
      <c r="BE27" s="1494" t="s">
        <v>70</v>
      </c>
      <c r="BF27" s="1495"/>
      <c r="BG27" s="1495"/>
      <c r="BH27" s="1495"/>
      <c r="BI27" s="1495"/>
      <c r="BJ27" s="1495"/>
    </row>
    <row r="28" ht="14.25" customHeight="1">
      <c r="A28" s="1418" t="s">
        <v>109</v>
      </c>
      <c r="B28" s="1419" t="s">
        <v>256</v>
      </c>
      <c r="C28" s="1420" t="s">
        <v>257</v>
      </c>
      <c r="D28" s="1401" t="s">
        <v>91</v>
      </c>
      <c r="E28" s="1411">
        <f>vlookup($D25, 'Course List'!$A$3:$AS$14,27+E26, false)</f>
        <v>4</v>
      </c>
      <c r="F28" s="1411">
        <f>vlookup($D25, 'Course List'!$A$3:$AS$14,27+F26, false)</f>
        <v>4</v>
      </c>
      <c r="G28" s="1411">
        <f>vlookup($D25, 'Course List'!$A$3:$AS$14,27+G26, false)</f>
        <v>3</v>
      </c>
      <c r="H28" s="1411">
        <f>vlookup($D25, 'Course List'!$A$3:$AS$14,27+H26, false)</f>
        <v>5</v>
      </c>
      <c r="I28" s="1411">
        <f>vlookup($D25, 'Course List'!$A$3:$AS$14,27+I26, false)</f>
        <v>4</v>
      </c>
      <c r="J28" s="1411">
        <f>vlookup($D25, 'Course List'!$A$3:$AS$14,27+J26, false)</f>
        <v>4</v>
      </c>
      <c r="K28" s="1411">
        <f>vlookup($D25, 'Course List'!$A$3:$AS$14,27+K26, false)</f>
        <v>4</v>
      </c>
      <c r="L28" s="1411">
        <f>vlookup($D25, 'Course List'!$A$3:$AS$14,27+L26, false)</f>
        <v>3</v>
      </c>
      <c r="M28" s="1411">
        <f>vlookup($D25, 'Course List'!$A$3:$AS$14,27+M26, false)</f>
        <v>5</v>
      </c>
      <c r="N28" s="1412">
        <f>vlookup($D25, 'Course List'!$A$3:$AS$14,27+N26, false)</f>
        <v>4</v>
      </c>
      <c r="O28" s="1412">
        <f>vlookup($D25, 'Course List'!$A$3:$AS$14,27+O26, false)</f>
        <v>4</v>
      </c>
      <c r="P28" s="1412">
        <f>vlookup($D25, 'Course List'!$A$3:$AS$14,27+P26, false)</f>
        <v>3</v>
      </c>
      <c r="Q28" s="1412">
        <f>vlookup($D25, 'Course List'!$A$3:$AS$14,27+Q26, false)</f>
        <v>4</v>
      </c>
      <c r="R28" s="1412">
        <f>vlookup($D25, 'Course List'!$A$3:$AS$14,27+R26, false)</f>
        <v>5</v>
      </c>
      <c r="S28" s="1412">
        <f>vlookup($D25, 'Course List'!$A$3:$AS$14,27+S26, false)</f>
        <v>4</v>
      </c>
      <c r="T28" s="1412">
        <f>vlookup($D25, 'Course List'!$A$3:$AS$14,27+T26, false)</f>
        <v>4</v>
      </c>
      <c r="U28" s="1412">
        <f>vlookup($D25, 'Course List'!$A$3:$AS$14,27+U26, false)</f>
        <v>3</v>
      </c>
      <c r="V28" s="1412">
        <f>vlookup($D25, 'Course List'!$A$3:$AS$14,27+V26, false)</f>
        <v>5</v>
      </c>
      <c r="W28" s="1405">
        <f t="shared" ref="W28:W44" si="39">SUM(E28:M28)</f>
        <v>36</v>
      </c>
      <c r="X28" s="1405">
        <f t="shared" ref="X28:X44" si="40">SUM(N28:V28)</f>
        <v>36</v>
      </c>
      <c r="Y28" s="1405">
        <f>W28+X28</f>
        <v>72</v>
      </c>
      <c r="Z28" s="1405"/>
      <c r="AA28" s="1405"/>
      <c r="AB28" s="1487"/>
      <c r="AC28" s="1418" t="s">
        <v>109</v>
      </c>
      <c r="AD28" s="1419" t="s">
        <v>256</v>
      </c>
      <c r="AE28" s="1420" t="s">
        <v>258</v>
      </c>
      <c r="AF28" s="1401" t="s">
        <v>91</v>
      </c>
      <c r="AG28" s="1411">
        <f t="shared" ref="AG28:AX28" si="38">E28</f>
        <v>4</v>
      </c>
      <c r="AH28" s="1411">
        <f t="shared" si="38"/>
        <v>4</v>
      </c>
      <c r="AI28" s="1411">
        <f t="shared" si="38"/>
        <v>3</v>
      </c>
      <c r="AJ28" s="1411">
        <f t="shared" si="38"/>
        <v>5</v>
      </c>
      <c r="AK28" s="1411">
        <f t="shared" si="38"/>
        <v>4</v>
      </c>
      <c r="AL28" s="1411">
        <f t="shared" si="38"/>
        <v>4</v>
      </c>
      <c r="AM28" s="1411">
        <f t="shared" si="38"/>
        <v>4</v>
      </c>
      <c r="AN28" s="1411">
        <f t="shared" si="38"/>
        <v>3</v>
      </c>
      <c r="AO28" s="1411">
        <f t="shared" si="38"/>
        <v>5</v>
      </c>
      <c r="AP28" s="1412">
        <f t="shared" si="38"/>
        <v>4</v>
      </c>
      <c r="AQ28" s="1412">
        <f t="shared" si="38"/>
        <v>4</v>
      </c>
      <c r="AR28" s="1412">
        <f t="shared" si="38"/>
        <v>3</v>
      </c>
      <c r="AS28" s="1412">
        <f t="shared" si="38"/>
        <v>4</v>
      </c>
      <c r="AT28" s="1412">
        <f t="shared" si="38"/>
        <v>5</v>
      </c>
      <c r="AU28" s="1412">
        <f t="shared" si="38"/>
        <v>4</v>
      </c>
      <c r="AV28" s="1412">
        <f t="shared" si="38"/>
        <v>4</v>
      </c>
      <c r="AW28" s="1412">
        <f t="shared" si="38"/>
        <v>3</v>
      </c>
      <c r="AX28" s="1412">
        <f t="shared" si="38"/>
        <v>5</v>
      </c>
      <c r="AY28" s="1405">
        <f t="shared" ref="AY28:AY44" si="42">SUM(AG28:AO28)</f>
        <v>36</v>
      </c>
      <c r="AZ28" s="1405">
        <f t="shared" ref="AZ28:AZ44" si="43">SUM(AP28:AX28)</f>
        <v>36</v>
      </c>
      <c r="BA28" s="1405">
        <f>AY28+AZ28</f>
        <v>72</v>
      </c>
      <c r="BB28" s="1405"/>
      <c r="BC28" s="1488"/>
      <c r="BD28" s="1496" t="s">
        <v>259</v>
      </c>
      <c r="BE28" s="1496" t="s">
        <v>260</v>
      </c>
      <c r="BF28" s="1497" t="s">
        <v>261</v>
      </c>
      <c r="BG28" s="1498" t="s">
        <v>262</v>
      </c>
      <c r="BH28" s="1498" t="s">
        <v>263</v>
      </c>
      <c r="BI28" s="1498" t="s">
        <v>264</v>
      </c>
      <c r="BJ28" s="1498" t="s">
        <v>265</v>
      </c>
    </row>
    <row r="29" ht="14.25" customHeight="1">
      <c r="A29" s="1423" t="str">
        <f t="shared" ref="A29:A44" si="44">A5</f>
        <v>Jensen</v>
      </c>
      <c r="B29" s="1424">
        <f>VLOOKUP(A29,'Master Input'!$A$11:$L$27,8,false)</f>
        <v>5</v>
      </c>
      <c r="C29" s="1423"/>
      <c r="D29" s="1425"/>
      <c r="E29" s="1426">
        <f>if(countif('R2_G1'!$A$8:$A$18,$A29)=1,vlookup($A29,'R2_G1'!$A$8:$Y$18, E$2+4,false),
if(countif('R2_G2'!$A$8:$A$18,$A29)=1,vlookup($A29,'R2_G2'!$A$8:$Y$18, E$2+4,false),
if(countif('R2_G3'!$A$8:$A$18,$A29)=1,vlookup($A29,'R2_G3'!$A$8:$Y$18, E$2+4,false),
if(countif('R2_G4'!$A$8:$A$18,$A29)=1,vlookup($A29,'R2_G4'!$A$8:$Y$18, E$2+4,false),""))))</f>
        <v>4</v>
      </c>
      <c r="F29" s="1426">
        <f>if(countif('R2_G1'!$A$8:$A$18,$A29)=1,vlookup($A29,'R2_G1'!$A$8:$Y$18, F$2+4,false),if(countif('R2_G2'!$A$8:$A$18,$A29)=1,vlookup($A29,'R2_G2'!$A$8:$Y$18, F$2+4,false),if(countif('R2_G3'!$A$8:$A$18,$A29)=1,vlookup($A29,'R2_G3'!$A$8:$Y$18, F$2+4,false),if(countif('R2_G4'!$A$8:$A$18,$A29)=1,vlookup($A29,'R2_G4'!$A$8:$Y$18, F$2+4,false),""))))</f>
        <v>5</v>
      </c>
      <c r="G29" s="1426">
        <f>if(countif('R2_G1'!$A$8:$A$18,$A29)=1,vlookup($A29,'R2_G1'!$A$8:$Y$18, G$2+4,false),if(countif('R2_G2'!$A$8:$A$18,$A29)=1,vlookup($A29,'R2_G2'!$A$8:$Y$18, G$2+4,false),if(countif('R2_G3'!$A$8:$A$18,$A29)=1,vlookup($A29,'R2_G3'!$A$8:$Y$18, G$2+4,false),if(countif('R2_G4'!$A$8:$A$18,$A29)=1,vlookup($A29,'R2_G4'!$A$8:$Y$18, G$2+4,false),""))))</f>
        <v>3</v>
      </c>
      <c r="H29" s="1426">
        <f>if(countif('R2_G1'!$A$8:$A$18,$A29)=1,vlookup($A29,'R2_G1'!$A$8:$Y$18, H$2+4,false),if(countif('R2_G2'!$A$8:$A$18,$A29)=1,vlookup($A29,'R2_G2'!$A$8:$Y$18, H$2+4,false),if(countif('R2_G3'!$A$8:$A$18,$A29)=1,vlookup($A29,'R2_G3'!$A$8:$Y$18, H$2+4,false),if(countif('R2_G4'!$A$8:$A$18,$A29)=1,vlookup($A29,'R2_G4'!$A$8:$Y$18, H$2+4,false),""))))</f>
        <v>6</v>
      </c>
      <c r="I29" s="1426">
        <f>if(countif('R2_G1'!$A$8:$A$18,$A29)=1,vlookup($A29,'R2_G1'!$A$8:$Y$18, I$2+4,false),if(countif('R2_G2'!$A$8:$A$18,$A29)=1,vlookup($A29,'R2_G2'!$A$8:$Y$18, I$2+4,false),if(countif('R2_G3'!$A$8:$A$18,$A29)=1,vlookup($A29,'R2_G3'!$A$8:$Y$18, I$2+4,false),if(countif('R2_G4'!$A$8:$A$18,$A29)=1,vlookup($A29,'R2_G4'!$A$8:$Y$18, I$2+4,false),""))))</f>
        <v>4</v>
      </c>
      <c r="J29" s="1426">
        <f>if(countif('R2_G1'!$A$8:$A$18,$A29)=1,vlookup($A29,'R2_G1'!$A$8:$Y$18, J$2+4,false),if(countif('R2_G2'!$A$8:$A$18,$A29)=1,vlookup($A29,'R2_G2'!$A$8:$Y$18, J$2+4,false),if(countif('R2_G3'!$A$8:$A$18,$A29)=1,vlookup($A29,'R2_G3'!$A$8:$Y$18, J$2+4,false),if(countif('R2_G4'!$A$8:$A$18,$A29)=1,vlookup($A29,'R2_G4'!$A$8:$Y$18, J$2+4,false),""))))</f>
        <v>5</v>
      </c>
      <c r="K29" s="1426">
        <f>if(countif('R2_G1'!$A$8:$A$18,$A29)=1,vlookup($A29,'R2_G1'!$A$8:$Y$18, K$2+4,false),if(countif('R2_G2'!$A$8:$A$18,$A29)=1,vlookup($A29,'R2_G2'!$A$8:$Y$18, K$2+4,false),if(countif('R2_G3'!$A$8:$A$18,$A29)=1,vlookup($A29,'R2_G3'!$A$8:$Y$18, K$2+4,false),if(countif('R2_G4'!$A$8:$A$18,$A29)=1,vlookup($A29,'R2_G4'!$A$8:$Y$18, K$2+4,false),""))))</f>
        <v>4</v>
      </c>
      <c r="L29" s="1426">
        <f>if(countif('R2_G1'!$A$8:$A$18,$A29)=1,vlookup($A29,'R2_G1'!$A$8:$Y$18, L$2+4,false),if(countif('R2_G2'!$A$8:$A$18,$A29)=1,vlookup($A29,'R2_G2'!$A$8:$Y$18, L$2+4,false),if(countif('R2_G3'!$A$8:$A$18,$A29)=1,vlookup($A29,'R2_G3'!$A$8:$Y$18, L$2+4,false),if(countif('R2_G4'!$A$8:$A$18,$A29)=1,vlookup($A29,'R2_G4'!$A$8:$Y$18, L$2+4,false),""))))</f>
        <v>3</v>
      </c>
      <c r="M29" s="1426">
        <f>if(countif('R2_G1'!$A$8:$A$18,$A29)=1,vlookup($A29,'R2_G1'!$A$8:$Y$18, M$2+4,false),if(countif('R2_G2'!$A$8:$A$18,$A29)=1,vlookup($A29,'R2_G2'!$A$8:$Y$18, M$2+4,false),if(countif('R2_G3'!$A$8:$A$18,$A29)=1,vlookup($A29,'R2_G3'!$A$8:$Y$18, M$2+4,false),if(countif('R2_G4'!$A$8:$A$18,$A29)=1,vlookup($A29,'R2_G4'!$A$8:$Y$18, M$2+4,false),""))))</f>
        <v>4</v>
      </c>
      <c r="N29" s="1427">
        <f>if(countif('R2_G1'!$A$8:$A$18,$A29)=1,vlookup($A29,'R2_G1'!$A$8:$Y$18, N$2+7,false),if(countif('R2_G2'!$A$8:$A$18,$A29)=1,vlookup($A29,'R2_G2'!$A$8:$Y$18, N$2+7,false),if(countif('R2_G3'!$A$8:$A$18,$A29)=1,vlookup($A29,'R2_G3'!$A$8:$Y$18, N$2+7,false),if(countif('R2_G4'!$A$8:$A$18,$A29)=1,vlookup($A29,'R2_G4'!$A$8:$Y$18, N$2+7,false),""))))</f>
        <v>4</v>
      </c>
      <c r="O29" s="1427">
        <f>if(countif('R2_G1'!$A$8:$A$18,$A29)=1,vlookup($A29,'R2_G1'!$A$8:$Y$18, O$2+7,false),if(countif('R2_G2'!$A$8:$A$18,$A29)=1,vlookup($A29,'R2_G2'!$A$8:$Y$18, O$2+7,false),if(countif('R2_G3'!$A$8:$A$18,$A29)=1,vlookup($A29,'R2_G3'!$A$8:$Y$18, O$2+7,false),if(countif('R2_G4'!$A$8:$A$18,$A29)=1,vlookup($A29,'R2_G4'!$A$8:$Y$18, O$2+7,false),""))))</f>
        <v>5</v>
      </c>
      <c r="P29" s="1427">
        <f>if(countif('R2_G1'!$A$8:$A$18,$A29)=1,vlookup($A29,'R2_G1'!$A$8:$Y$18, P$2+7,false),if(countif('R2_G2'!$A$8:$A$18,$A29)=1,vlookup($A29,'R2_G2'!$A$8:$Y$18, P$2+7,false),if(countif('R2_G3'!$A$8:$A$18,$A29)=1,vlookup($A29,'R2_G3'!$A$8:$Y$18, P$2+7,false),if(countif('R2_G4'!$A$8:$A$18,$A29)=1,vlookup($A29,'R2_G4'!$A$8:$Y$18, P$2+7,false),""))))</f>
        <v>3</v>
      </c>
      <c r="Q29" s="1427">
        <f>if(countif('R2_G1'!$A$8:$A$18,$A29)=1,vlookup($A29,'R2_G1'!$A$8:$Y$18, Q$2+7,false),if(countif('R2_G2'!$A$8:$A$18,$A29)=1,vlookup($A29,'R2_G2'!$A$8:$Y$18, Q$2+7,false),if(countif('R2_G3'!$A$8:$A$18,$A29)=1,vlookup($A29,'R2_G3'!$A$8:$Y$18, Q$2+7,false),if(countif('R2_G4'!$A$8:$A$18,$A29)=1,vlookup($A29,'R2_G4'!$A$8:$Y$18, Q$2+7,false),""))))</f>
        <v>5</v>
      </c>
      <c r="R29" s="1427">
        <f>if(countif('R2_G1'!$A$8:$A$18,$A29)=1,vlookup($A29,'R2_G1'!$A$8:$Y$18, R$2+7,false),if(countif('R2_G2'!$A$8:$A$18,$A29)=1,vlookup($A29,'R2_G2'!$A$8:$Y$18, R$2+7,false),if(countif('R2_G3'!$A$8:$A$18,$A29)=1,vlookup($A29,'R2_G3'!$A$8:$Y$18, R$2+7,false),if(countif('R2_G4'!$A$8:$A$18,$A29)=1,vlookup($A29,'R2_G4'!$A$8:$Y$18, R$2+7,false),""))))</f>
        <v>7</v>
      </c>
      <c r="S29" s="1427">
        <f>if(countif('R2_G1'!$A$8:$A$18,$A29)=1,vlookup($A29,'R2_G1'!$A$8:$Y$18, S$2+7,false),if(countif('R2_G2'!$A$8:$A$18,$A29)=1,vlookup($A29,'R2_G2'!$A$8:$Y$18, S$2+7,false),if(countif('R2_G3'!$A$8:$A$18,$A29)=1,vlookup($A29,'R2_G3'!$A$8:$Y$18, S$2+7,false),if(countif('R2_G4'!$A$8:$A$18,$A29)=1,vlookup($A29,'R2_G4'!$A$8:$Y$18, S$2+7,false),""))))</f>
        <v>4</v>
      </c>
      <c r="T29" s="1427">
        <f>if(countif('R2_G1'!$A$8:$A$18,$A29)=1,vlookup($A29,'R2_G1'!$A$8:$Y$18, T$2+7,false),if(countif('R2_G2'!$A$8:$A$18,$A29)=1,vlookup($A29,'R2_G2'!$A$8:$Y$18, T$2+7,false),if(countif('R2_G3'!$A$8:$A$18,$A29)=1,vlookup($A29,'R2_G3'!$A$8:$Y$18, T$2+7,false),if(countif('R2_G4'!$A$8:$A$18,$A29)=1,vlookup($A29,'R2_G4'!$A$8:$Y$18, T$2+7,false),""))))</f>
        <v>5</v>
      </c>
      <c r="U29" s="1427">
        <f>if(countif('R2_G1'!$A$8:$A$18,$A29)=1,vlookup($A29,'R2_G1'!$A$8:$Y$18, U$2+7,false),if(countif('R2_G2'!$A$8:$A$18,$A29)=1,vlookup($A29,'R2_G2'!$A$8:$Y$18, U$2+7,false),if(countif('R2_G3'!$A$8:$A$18,$A29)=1,vlookup($A29,'R2_G3'!$A$8:$Y$18, U$2+7,false),if(countif('R2_G4'!$A$8:$A$18,$A29)=1,vlookup($A29,'R2_G4'!$A$8:$Y$18, U$2+7,false),""))))</f>
        <v>3</v>
      </c>
      <c r="V29" s="1427">
        <f>if(countif('R2_G1'!$A$8:$A$18,$A29)=1,vlookup($A29,'R2_G1'!$A$8:$Y$18, V$2+7,false),if(countif('R2_G2'!$A$8:$A$18,$A29)=1,vlookup($A29,'R2_G2'!$A$8:$Y$18, V$2+7,false),if(countif('R2_G3'!$A$8:$A$18,$A29)=1,vlookup($A29,'R2_G3'!$A$8:$Y$18, V$2+7,false),if(countif('R2_G4'!$A$8:$A$18,$A29)=1,vlookup($A29,'R2_G4'!$A$8:$Y$18, V$2+7,false),""))))</f>
        <v>5</v>
      </c>
      <c r="W29" s="1428">
        <f t="shared" si="39"/>
        <v>38</v>
      </c>
      <c r="X29" s="1428">
        <f t="shared" si="40"/>
        <v>41</v>
      </c>
      <c r="Y29" s="1428">
        <f t="shared" ref="Y29:Y44" si="45">if(count(E29:V29)=18,W29+X29,"")</f>
        <v>79</v>
      </c>
      <c r="Z29" s="1428">
        <f t="shared" ref="Z29:Z44" si="46">if(Y29="","",if(V29="","",Y29-B29))</f>
        <v>74</v>
      </c>
      <c r="AA29" s="1428">
        <f t="shared" ref="AA29:AA44" si="47">Y29</f>
        <v>79</v>
      </c>
      <c r="AB29" s="1487"/>
      <c r="AC29" s="1423" t="str">
        <f t="shared" ref="AC29:AC44" si="48">A29</f>
        <v>Jensen</v>
      </c>
      <c r="AD29" s="1424">
        <f>VLOOKUP(AC29,'Master Input'!$A$11:$L$27,8,false)</f>
        <v>5</v>
      </c>
      <c r="AE29" s="1423" t="s">
        <v>266</v>
      </c>
      <c r="AF29" s="1425"/>
      <c r="AG29" s="1428">
        <f t="shared" ref="AG29:AX29" si="41">if(E29="","",E29-IF($B29&gt;0,FLOOR($B29/18,1),0)-IF(AND(MOD($B29,18)&gt;=E$27,$B29&gt;0),1,0)+IF(E$27-18&gt;$B29,1,0))</f>
        <v>4</v>
      </c>
      <c r="AH29" s="1428">
        <f t="shared" si="41"/>
        <v>5</v>
      </c>
      <c r="AI29" s="1428">
        <f t="shared" si="41"/>
        <v>3</v>
      </c>
      <c r="AJ29" s="1428">
        <f t="shared" si="41"/>
        <v>5</v>
      </c>
      <c r="AK29" s="1428">
        <f t="shared" si="41"/>
        <v>3</v>
      </c>
      <c r="AL29" s="1428">
        <f t="shared" si="41"/>
        <v>4</v>
      </c>
      <c r="AM29" s="1428">
        <f t="shared" si="41"/>
        <v>4</v>
      </c>
      <c r="AN29" s="1428">
        <f t="shared" si="41"/>
        <v>3</v>
      </c>
      <c r="AO29" s="1428">
        <f t="shared" si="41"/>
        <v>4</v>
      </c>
      <c r="AP29" s="1429">
        <f t="shared" si="41"/>
        <v>3</v>
      </c>
      <c r="AQ29" s="1429">
        <f t="shared" si="41"/>
        <v>5</v>
      </c>
      <c r="AR29" s="1429">
        <f t="shared" si="41"/>
        <v>3</v>
      </c>
      <c r="AS29" s="1429">
        <f t="shared" si="41"/>
        <v>5</v>
      </c>
      <c r="AT29" s="1429">
        <f t="shared" si="41"/>
        <v>6</v>
      </c>
      <c r="AU29" s="1429">
        <f t="shared" si="41"/>
        <v>4</v>
      </c>
      <c r="AV29" s="1429">
        <f t="shared" si="41"/>
        <v>5</v>
      </c>
      <c r="AW29" s="1429">
        <f t="shared" si="41"/>
        <v>3</v>
      </c>
      <c r="AX29" s="1429">
        <f t="shared" si="41"/>
        <v>5</v>
      </c>
      <c r="AY29" s="1428">
        <f t="shared" si="42"/>
        <v>35</v>
      </c>
      <c r="AZ29" s="1428">
        <f t="shared" si="43"/>
        <v>39</v>
      </c>
      <c r="BA29" s="1428">
        <f t="shared" ref="BA29:BA44" si="50">if(count(AG29:AX29)=18,AY29+AZ29,"")</f>
        <v>74</v>
      </c>
      <c r="BB29" s="1430" t="str">
        <f>if(countif('R2_G1'!$A$8:$A$18,$A29)=1, if(and(BA29=Z29,BA29=vlookup($A29,'R2_G1'!$A$8:$AB$18, 28,false)),"yes","no"),
if(countif('R2_G2'!$A$8:$A$18,$A29)=1, if(and(BA29=Z29,BA29=vlookup($A29,'R2_G2'!$A$8:$AB$18, 28,false)),"yes","no"),
if(countif('R2_G3'!$A$8:$A$18,$A29)=1, if(and(BA29=Z29,BA29=vlookup($A29,'R2_G3'!$A$8:$AB$18, 28,false)),"yes","no"),
if(countif('R2_G4'!$A$8:$A$18,$A29)=1, if(and(BA29=Z29,BA29=vlookup($A29,'R2_G4'!$A$8:$AB$18, 28,false)),"yes","no"),
"?"))))
</f>
        <v>yes</v>
      </c>
      <c r="BC29" s="1487"/>
      <c r="BD29" s="1499">
        <f t="shared" ref="BD29:BD44" si="51">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8</v>
      </c>
      <c r="BE29" s="1432">
        <f t="shared" ref="BE29:BE44" si="52">(rank(AG29,$AG$29:$AG$44,0)-1)/15+(countif($AG$29:$AG$44,AG29)-1)/30+
(rank(AH29,$AH$29:$AH$44,0)-1)/15+(countif($AH$29:$AH$44,AH29)-1)/30+
(rank(AI29,$AI$29:$AI$44,0)-1)/15+(countif($AI$29:$AI$44,AI29)-1)/30+
(rank(AJ29,$AJ$29:$AJ$44,0)-1)/15+(countif($AJ$29:$AJ$44,AJ29)-1)/30+
(rank(AK29,$AK$29:$AK$44,0)-1)/15+(countif($AK$29:$AK$44,AK29)-1)/30+
(rank(AL29,$AL$29:$AL$44,0)-1)/15+(countif($AL$29:$AL$44,AL29)-1)/30+
(rank(AM29,$AM$29:$AM$44,0)-1)/15+(countif($AM$29:$AM$44,AM29)-1)/30+
(rank(AN29,$AN$29:$AN$44,0)-1)/15+(countif($AN$29:$AN$44,AN29)-1)/30+
(rank(AO29,$AO$29:$AO$44,0)-1)/15+(countif($AO$29:$AO$44,AO29)-1)/30+
(rank(AP29,$AP$29:$AP$44,0)-1)/15+(countif($AP$29:$AP$44,AP29)-1)/30+
(rank(AQ29,$AQ$29:$AQ$44,0)-1)/15+(countif($AQ$29:$AQ$44,AQ29)-1)/30+
(rank(AR29,$AR$29:$AR$44,0)-1)/15+(countif($AR$29:$AR$44,AR29)-1)/30+
(rank(AS29,$AS$29:$AS$44,0)-1)/15+(countif($AS$29:$AS$44,AS29)-1)/30+
(rank(AT29,$AT$29:$AT$44,0)-1)/15+(countif($AT$29:$AT$44,AT29)-1)/30+
(rank(AU29,$AU$29:$AU$44,0)-1)/15+(countif($AU$29:$AU$44,AU29)-1)/30+
(rank(AV29,$AV$29:$AV$44,0)-1)/15+(countif($AV$29:$AV$44,AV29)-1)/30+
(rank(AW29,$AW$29:$AW$44,0)-1)/15+(countif($AW$29:$AW$44,AW29)-1)/30+
(rank(AX29,$AX$29:$AX$44,0)-1)/15+(countif($AX$29:$AX$44,AX29)-1)/30</f>
        <v>10.46666667</v>
      </c>
      <c r="BF29" s="1442">
        <f t="shared" ref="BF29:BF44" si="53">countifs($AG$28:$AX$28,3,$AG29:$AX29,"&lt;=1")
+countifs($AG$28:$AX$28,4,$AG29:$AX29,"&lt;=2")
+countifs($AG$28:$AX$28,5,$AG29:$AX29,"&lt;=3")</f>
        <v>0</v>
      </c>
      <c r="BG29" s="1442">
        <f t="shared" ref="BG29:BG44" si="54">countifs($AG$28:$AX$28,3,$AG29:$AX29,2)
+countifs($AG$28:$AX$28,4,$AG29:$AX29,3)
+countifs($AG$28:$AX$28,5,$AG29:$AX29,4)</f>
        <v>3</v>
      </c>
      <c r="BH29" s="1442">
        <f t="shared" ref="BH29:BH44" si="55">countifs($AG$28:$AX$28,3,$AG29:$AX29,3)
+countifs($AG$28:$AX$28,4,$AG29:$AX29,4)
+countifs($AG$28:$AX$28,5,$AG29:$AX29,5)</f>
        <v>10</v>
      </c>
      <c r="BI29" s="1442">
        <f t="shared" ref="BI29:BI44" si="56">countifs($AG$28:$AX$28,3,$AG29:$AX29,4)
+countifs($AG$28:$AX$28,4,$AG29:$AX29,5)
+countifs($AG$28:$AX$28,5,$AG29:$AX29,6)</f>
        <v>5</v>
      </c>
      <c r="BJ29" s="1442">
        <f t="shared" ref="BJ29:BJ44" si="57">countifs($AG$28:$AX$28,3,$AG29:$AX29,"&gt;=5")
+countifs($AG$28:$AX$28,4,$AG29:$AX29,"&gt;=6")
+countifs($AG$28:$AX$28,5,$AG29:$AX29,"&gt;=7")</f>
        <v>0</v>
      </c>
    </row>
    <row r="30" ht="14.25" customHeight="1">
      <c r="A30" s="1434" t="str">
        <f t="shared" si="44"/>
        <v>CuzNick</v>
      </c>
      <c r="B30" s="1435">
        <f>VLOOKUP(A30,'Master Input'!$A$11:$L$27,8,false)</f>
        <v>4</v>
      </c>
      <c r="C30" s="1436"/>
      <c r="D30" s="1401"/>
      <c r="E30" s="1437">
        <f>if(countif('R2_G1'!$A$8:$A$18,$A30)=1,vlookup($A30,'R2_G1'!$A$8:$Y$18, E$2+4,false),if(countif('R2_G2'!$A$8:$A$18,$A30)=1,vlookup($A30,'R2_G2'!$A$8:$Y$18, E$2+4,false),if(countif('R2_G3'!$A$8:$A$18,$A30)=1,vlookup($A30,'R2_G3'!$A$8:$Y$18, E$2+4,false),if(countif('R2_G4'!$A$8:$A$18,$A30)=1,vlookup($A30,'R2_G4'!$A$8:$Y$18, E$2+4,false),""))))</f>
        <v>5</v>
      </c>
      <c r="F30" s="1437">
        <f>if(countif('R2_G1'!$A$8:$A$18,$A30)=1,vlookup($A30,'R2_G1'!$A$8:$Y$18, F$2+4,false),if(countif('R2_G2'!$A$8:$A$18,$A30)=1,vlookup($A30,'R2_G2'!$A$8:$Y$18, F$2+4,false),if(countif('R2_G3'!$A$8:$A$18,$A30)=1,vlookup($A30,'R2_G3'!$A$8:$Y$18, F$2+4,false),if(countif('R2_G4'!$A$8:$A$18,$A30)=1,vlookup($A30,'R2_G4'!$A$8:$Y$18, F$2+4,false),""))))</f>
        <v>5</v>
      </c>
      <c r="G30" s="1437">
        <f>if(countif('R2_G1'!$A$8:$A$18,$A30)=1,vlookup($A30,'R2_G1'!$A$8:$Y$18, G$2+4,false),if(countif('R2_G2'!$A$8:$A$18,$A30)=1,vlookup($A30,'R2_G2'!$A$8:$Y$18, G$2+4,false),if(countif('R2_G3'!$A$8:$A$18,$A30)=1,vlookup($A30,'R2_G3'!$A$8:$Y$18, G$2+4,false),if(countif('R2_G4'!$A$8:$A$18,$A30)=1,vlookup($A30,'R2_G4'!$A$8:$Y$18, G$2+4,false),""))))</f>
        <v>4</v>
      </c>
      <c r="H30" s="1437">
        <f>if(countif('R2_G1'!$A$8:$A$18,$A30)=1,vlookup($A30,'R2_G1'!$A$8:$Y$18, H$2+4,false),if(countif('R2_G2'!$A$8:$A$18,$A30)=1,vlookup($A30,'R2_G2'!$A$8:$Y$18, H$2+4,false),if(countif('R2_G3'!$A$8:$A$18,$A30)=1,vlookup($A30,'R2_G3'!$A$8:$Y$18, H$2+4,false),if(countif('R2_G4'!$A$8:$A$18,$A30)=1,vlookup($A30,'R2_G4'!$A$8:$Y$18, H$2+4,false),""))))</f>
        <v>6</v>
      </c>
      <c r="I30" s="1437">
        <f>if(countif('R2_G1'!$A$8:$A$18,$A30)=1,vlookup($A30,'R2_G1'!$A$8:$Y$18, I$2+4,false),if(countif('R2_G2'!$A$8:$A$18,$A30)=1,vlookup($A30,'R2_G2'!$A$8:$Y$18, I$2+4,false),if(countif('R2_G3'!$A$8:$A$18,$A30)=1,vlookup($A30,'R2_G3'!$A$8:$Y$18, I$2+4,false),if(countif('R2_G4'!$A$8:$A$18,$A30)=1,vlookup($A30,'R2_G4'!$A$8:$Y$18, I$2+4,false),""))))</f>
        <v>4</v>
      </c>
      <c r="J30" s="1437">
        <f>if(countif('R2_G1'!$A$8:$A$18,$A30)=1,vlookup($A30,'R2_G1'!$A$8:$Y$18, J$2+4,false),if(countif('R2_G2'!$A$8:$A$18,$A30)=1,vlookup($A30,'R2_G2'!$A$8:$Y$18, J$2+4,false),if(countif('R2_G3'!$A$8:$A$18,$A30)=1,vlookup($A30,'R2_G3'!$A$8:$Y$18, J$2+4,false),if(countif('R2_G4'!$A$8:$A$18,$A30)=1,vlookup($A30,'R2_G4'!$A$8:$Y$18, J$2+4,false),""))))</f>
        <v>4</v>
      </c>
      <c r="K30" s="1437">
        <f>if(countif('R2_G1'!$A$8:$A$18,$A30)=1,vlookup($A30,'R2_G1'!$A$8:$Y$18, K$2+4,false),if(countif('R2_G2'!$A$8:$A$18,$A30)=1,vlookup($A30,'R2_G2'!$A$8:$Y$18, K$2+4,false),if(countif('R2_G3'!$A$8:$A$18,$A30)=1,vlookup($A30,'R2_G3'!$A$8:$Y$18, K$2+4,false),if(countif('R2_G4'!$A$8:$A$18,$A30)=1,vlookup($A30,'R2_G4'!$A$8:$Y$18, K$2+4,false),""))))</f>
        <v>5</v>
      </c>
      <c r="L30" s="1437">
        <f>if(countif('R2_G1'!$A$8:$A$18,$A30)=1,vlookup($A30,'R2_G1'!$A$8:$Y$18, L$2+4,false),if(countif('R2_G2'!$A$8:$A$18,$A30)=1,vlookup($A30,'R2_G2'!$A$8:$Y$18, L$2+4,false),if(countif('R2_G3'!$A$8:$A$18,$A30)=1,vlookup($A30,'R2_G3'!$A$8:$Y$18, L$2+4,false),if(countif('R2_G4'!$A$8:$A$18,$A30)=1,vlookup($A30,'R2_G4'!$A$8:$Y$18, L$2+4,false),""))))</f>
        <v>4</v>
      </c>
      <c r="M30" s="1437">
        <f>if(countif('R2_G1'!$A$8:$A$18,$A30)=1,vlookup($A30,'R2_G1'!$A$8:$Y$18, M$2+4,false),if(countif('R2_G2'!$A$8:$A$18,$A30)=1,vlookup($A30,'R2_G2'!$A$8:$Y$18, M$2+4,false),if(countif('R2_G3'!$A$8:$A$18,$A30)=1,vlookup($A30,'R2_G3'!$A$8:$Y$18, M$2+4,false),if(countif('R2_G4'!$A$8:$A$18,$A30)=1,vlookup($A30,'R2_G4'!$A$8:$Y$18, M$2+4,false),""))))</f>
        <v>5</v>
      </c>
      <c r="N30" s="1426">
        <f>if(countif('R2_G1'!$A$8:$A$18,$A30)=1,vlookup($A30,'R2_G1'!$A$8:$Y$18, N$2+7,false),if(countif('R2_G2'!$A$8:$A$18,$A30)=1,vlookup($A30,'R2_G2'!$A$8:$Y$18, N$2+7,false),if(countif('R2_G3'!$A$8:$A$18,$A30)=1,vlookup($A30,'R2_G3'!$A$8:$Y$18, N$2+7,false),if(countif('R2_G4'!$A$8:$A$18,$A30)=1,vlookup($A30,'R2_G4'!$A$8:$Y$18, N$2+7,false),""))))</f>
        <v>5</v>
      </c>
      <c r="O30" s="1426">
        <f>if(countif('R2_G1'!$A$8:$A$18,$A30)=1,vlookup($A30,'R2_G1'!$A$8:$Y$18, O$2+7,false),if(countif('R2_G2'!$A$8:$A$18,$A30)=1,vlookup($A30,'R2_G2'!$A$8:$Y$18, O$2+7,false),if(countif('R2_G3'!$A$8:$A$18,$A30)=1,vlookup($A30,'R2_G3'!$A$8:$Y$18, O$2+7,false),if(countif('R2_G4'!$A$8:$A$18,$A30)=1,vlookup($A30,'R2_G4'!$A$8:$Y$18, O$2+7,false),""))))</f>
        <v>5</v>
      </c>
      <c r="P30" s="1426">
        <f>if(countif('R2_G1'!$A$8:$A$18,$A30)=1,vlookup($A30,'R2_G1'!$A$8:$Y$18, P$2+7,false),if(countif('R2_G2'!$A$8:$A$18,$A30)=1,vlookup($A30,'R2_G2'!$A$8:$Y$18, P$2+7,false),if(countif('R2_G3'!$A$8:$A$18,$A30)=1,vlookup($A30,'R2_G3'!$A$8:$Y$18, P$2+7,false),if(countif('R2_G4'!$A$8:$A$18,$A30)=1,vlookup($A30,'R2_G4'!$A$8:$Y$18, P$2+7,false),""))))</f>
        <v>3</v>
      </c>
      <c r="Q30" s="1426">
        <f>if(countif('R2_G1'!$A$8:$A$18,$A30)=1,vlookup($A30,'R2_G1'!$A$8:$Y$18, Q$2+7,false),if(countif('R2_G2'!$A$8:$A$18,$A30)=1,vlookup($A30,'R2_G2'!$A$8:$Y$18, Q$2+7,false),if(countif('R2_G3'!$A$8:$A$18,$A30)=1,vlookup($A30,'R2_G3'!$A$8:$Y$18, Q$2+7,false),if(countif('R2_G4'!$A$8:$A$18,$A30)=1,vlookup($A30,'R2_G4'!$A$8:$Y$18, Q$2+7,false),""))))</f>
        <v>5</v>
      </c>
      <c r="R30" s="1426">
        <f>if(countif('R2_G1'!$A$8:$A$18,$A30)=1,vlookup($A30,'R2_G1'!$A$8:$Y$18, R$2+7,false),if(countif('R2_G2'!$A$8:$A$18,$A30)=1,vlookup($A30,'R2_G2'!$A$8:$Y$18, R$2+7,false),if(countif('R2_G3'!$A$8:$A$18,$A30)=1,vlookup($A30,'R2_G3'!$A$8:$Y$18, R$2+7,false),if(countif('R2_G4'!$A$8:$A$18,$A30)=1,vlookup($A30,'R2_G4'!$A$8:$Y$18, R$2+7,false),""))))</f>
        <v>6</v>
      </c>
      <c r="S30" s="1426">
        <f>if(countif('R2_G1'!$A$8:$A$18,$A30)=1,vlookup($A30,'R2_G1'!$A$8:$Y$18, S$2+7,false),if(countif('R2_G2'!$A$8:$A$18,$A30)=1,vlookup($A30,'R2_G2'!$A$8:$Y$18, S$2+7,false),if(countif('R2_G3'!$A$8:$A$18,$A30)=1,vlookup($A30,'R2_G3'!$A$8:$Y$18, S$2+7,false),if(countif('R2_G4'!$A$8:$A$18,$A30)=1,vlookup($A30,'R2_G4'!$A$8:$Y$18, S$2+7,false),""))))</f>
        <v>4</v>
      </c>
      <c r="T30" s="1426">
        <f>if(countif('R2_G1'!$A$8:$A$18,$A30)=1,vlookup($A30,'R2_G1'!$A$8:$Y$18, T$2+7,false),if(countif('R2_G2'!$A$8:$A$18,$A30)=1,vlookup($A30,'R2_G2'!$A$8:$Y$18, T$2+7,false),if(countif('R2_G3'!$A$8:$A$18,$A30)=1,vlookup($A30,'R2_G3'!$A$8:$Y$18, T$2+7,false),if(countif('R2_G4'!$A$8:$A$18,$A30)=1,vlookup($A30,'R2_G4'!$A$8:$Y$18, T$2+7,false),""))))</f>
        <v>5</v>
      </c>
      <c r="U30" s="1426">
        <f>if(countif('R2_G1'!$A$8:$A$18,$A30)=1,vlookup($A30,'R2_G1'!$A$8:$Y$18, U$2+7,false),if(countif('R2_G2'!$A$8:$A$18,$A30)=1,vlookup($A30,'R2_G2'!$A$8:$Y$18, U$2+7,false),if(countif('R2_G3'!$A$8:$A$18,$A30)=1,vlookup($A30,'R2_G3'!$A$8:$Y$18, U$2+7,false),if(countif('R2_G4'!$A$8:$A$18,$A30)=1,vlookup($A30,'R2_G4'!$A$8:$Y$18, U$2+7,false),""))))</f>
        <v>4</v>
      </c>
      <c r="V30" s="1426">
        <f>if(countif('R2_G1'!$A$8:$A$18,$A30)=1,vlookup($A30,'R2_G1'!$A$8:$Y$18, V$2+7,false),if(countif('R2_G2'!$A$8:$A$18,$A30)=1,vlookup($A30,'R2_G2'!$A$8:$Y$18, V$2+7,false),if(countif('R2_G3'!$A$8:$A$18,$A30)=1,vlookup($A30,'R2_G3'!$A$8:$Y$18, V$2+7,false),if(countif('R2_G4'!$A$8:$A$18,$A30)=1,vlookup($A30,'R2_G4'!$A$8:$Y$18, V$2+7,false),""))))</f>
        <v>5</v>
      </c>
      <c r="W30" s="1438">
        <f t="shared" si="39"/>
        <v>42</v>
      </c>
      <c r="X30" s="1438">
        <f t="shared" si="40"/>
        <v>42</v>
      </c>
      <c r="Y30" s="1438">
        <f t="shared" si="45"/>
        <v>84</v>
      </c>
      <c r="Z30" s="1438">
        <f t="shared" si="46"/>
        <v>80</v>
      </c>
      <c r="AA30" s="1438">
        <f t="shared" si="47"/>
        <v>84</v>
      </c>
      <c r="AB30" s="1487"/>
      <c r="AC30" s="1423" t="str">
        <f t="shared" si="48"/>
        <v>CuzNick</v>
      </c>
      <c r="AD30" s="1435">
        <f>VLOOKUP(AC30,'Master Input'!$A$11:$L$27,8,false)</f>
        <v>4</v>
      </c>
      <c r="AE30" s="1434" t="s">
        <v>266</v>
      </c>
      <c r="AF30" s="1401"/>
      <c r="AG30" s="1438">
        <f t="shared" ref="AG30:AX30" si="49">if(E30="","",E30-IF($B30&gt;0,FLOOR($B30/18,1),0)-IF(AND(MOD($B30,18)&gt;=E$27,$B30&gt;0),1,0)+IF(E$27-18&gt;$B30,1,0))</f>
        <v>5</v>
      </c>
      <c r="AH30" s="1438">
        <f t="shared" si="49"/>
        <v>5</v>
      </c>
      <c r="AI30" s="1438">
        <f t="shared" si="49"/>
        <v>4</v>
      </c>
      <c r="AJ30" s="1438">
        <f t="shared" si="49"/>
        <v>5</v>
      </c>
      <c r="AK30" s="1438">
        <f t="shared" si="49"/>
        <v>3</v>
      </c>
      <c r="AL30" s="1438">
        <f t="shared" si="49"/>
        <v>4</v>
      </c>
      <c r="AM30" s="1438">
        <f t="shared" si="49"/>
        <v>5</v>
      </c>
      <c r="AN30" s="1438">
        <f t="shared" si="49"/>
        <v>4</v>
      </c>
      <c r="AO30" s="1438">
        <f t="shared" si="49"/>
        <v>5</v>
      </c>
      <c r="AP30" s="1426">
        <f t="shared" si="49"/>
        <v>4</v>
      </c>
      <c r="AQ30" s="1426">
        <f t="shared" si="49"/>
        <v>5</v>
      </c>
      <c r="AR30" s="1426">
        <f t="shared" si="49"/>
        <v>3</v>
      </c>
      <c r="AS30" s="1426">
        <f t="shared" si="49"/>
        <v>5</v>
      </c>
      <c r="AT30" s="1426">
        <f t="shared" si="49"/>
        <v>5</v>
      </c>
      <c r="AU30" s="1426">
        <f t="shared" si="49"/>
        <v>4</v>
      </c>
      <c r="AV30" s="1426">
        <f t="shared" si="49"/>
        <v>5</v>
      </c>
      <c r="AW30" s="1426">
        <f t="shared" si="49"/>
        <v>4</v>
      </c>
      <c r="AX30" s="1426">
        <f t="shared" si="49"/>
        <v>5</v>
      </c>
      <c r="AY30" s="1438">
        <f t="shared" si="42"/>
        <v>40</v>
      </c>
      <c r="AZ30" s="1438">
        <f t="shared" si="43"/>
        <v>40</v>
      </c>
      <c r="BA30" s="1438">
        <f t="shared" si="50"/>
        <v>80</v>
      </c>
      <c r="BB30" s="1436" t="str">
        <f>if(countif('R2_G1'!$A$8:$A$18,$A30)=1, if(and(BA30=Z30,BA30=vlookup($A30,'R2_G1'!$A$8:$AB$18, 28,false)),"yes","no"),
if(countif('R2_G2'!$A$8:$A$18,$A30)=1, if(and(BA30=Z30,BA30=vlookup($A30,'R2_G2'!$A$8:$AB$18, 28,false)),"yes","no"),
if(countif('R2_G3'!$A$8:$A$18,$A30)=1, if(and(BA30=Z30,BA30=vlookup($A30,'R2_G3'!$A$8:$AB$18, 28,false)),"yes","no"),
if(countif('R2_G4'!$A$8:$A$18,$A30)=1, if(and(BA30=Z30,BA30=vlookup($A30,'R2_G4'!$A$8:$AB$18, 28,false)),"yes","no"),
"?"))))
</f>
        <v>yes</v>
      </c>
      <c r="BC30" s="1487"/>
      <c r="BD30" s="1439">
        <f t="shared" si="51"/>
        <v>5</v>
      </c>
      <c r="BE30" s="1440">
        <f t="shared" si="52"/>
        <v>8.1</v>
      </c>
      <c r="BF30" s="1440">
        <f t="shared" si="53"/>
        <v>0</v>
      </c>
      <c r="BG30" s="1440">
        <f t="shared" si="54"/>
        <v>1</v>
      </c>
      <c r="BH30" s="1440">
        <f t="shared" si="55"/>
        <v>8</v>
      </c>
      <c r="BI30" s="1440">
        <f t="shared" si="56"/>
        <v>9</v>
      </c>
      <c r="BJ30" s="1440">
        <f t="shared" si="57"/>
        <v>0</v>
      </c>
    </row>
    <row r="31" ht="14.25" customHeight="1">
      <c r="A31" s="1423" t="str">
        <f t="shared" si="44"/>
        <v>Andy</v>
      </c>
      <c r="B31" s="1424">
        <f>VLOOKUP(A31,'Master Input'!$A$11:$L$27,8,false)</f>
        <v>5</v>
      </c>
      <c r="C31" s="1423"/>
      <c r="D31" s="1401"/>
      <c r="E31" s="1426">
        <f>if(countif('R2_G1'!$A$8:$A$18,$A31)=1,vlookup($A31,'R2_G1'!$A$8:$Y$18, E$2+4,false),if(countif('R2_G2'!$A$8:$A$18,$A31)=1,vlookup($A31,'R2_G2'!$A$8:$Y$18, E$2+4,false),if(countif('R2_G3'!$A$8:$A$18,$A31)=1,vlookup($A31,'R2_G3'!$A$8:$Y$18, E$2+4,false),if(countif('R2_G4'!$A$8:$A$18,$A31)=1,vlookup($A31,'R2_G4'!$A$8:$Y$18, E$2+4,false),""))))</f>
        <v>4</v>
      </c>
      <c r="F31" s="1426">
        <f>if(countif('R2_G1'!$A$8:$A$18,$A31)=1,vlookup($A31,'R2_G1'!$A$8:$Y$18, F$2+4,false),if(countif('R2_G2'!$A$8:$A$18,$A31)=1,vlookup($A31,'R2_G2'!$A$8:$Y$18, F$2+4,false),if(countif('R2_G3'!$A$8:$A$18,$A31)=1,vlookup($A31,'R2_G3'!$A$8:$Y$18, F$2+4,false),if(countif('R2_G4'!$A$8:$A$18,$A31)=1,vlookup($A31,'R2_G4'!$A$8:$Y$18, F$2+4,false),""))))</f>
        <v>4</v>
      </c>
      <c r="G31" s="1426">
        <f>if(countif('R2_G1'!$A$8:$A$18,$A31)=1,vlookup($A31,'R2_G1'!$A$8:$Y$18, G$2+4,false),if(countif('R2_G2'!$A$8:$A$18,$A31)=1,vlookup($A31,'R2_G2'!$A$8:$Y$18, G$2+4,false),if(countif('R2_G3'!$A$8:$A$18,$A31)=1,vlookup($A31,'R2_G3'!$A$8:$Y$18, G$2+4,false),if(countif('R2_G4'!$A$8:$A$18,$A31)=1,vlookup($A31,'R2_G4'!$A$8:$Y$18, G$2+4,false),""))))</f>
        <v>3</v>
      </c>
      <c r="H31" s="1426">
        <f>if(countif('R2_G1'!$A$8:$A$18,$A31)=1,vlookup($A31,'R2_G1'!$A$8:$Y$18, H$2+4,false),if(countif('R2_G2'!$A$8:$A$18,$A31)=1,vlookup($A31,'R2_G2'!$A$8:$Y$18, H$2+4,false),if(countif('R2_G3'!$A$8:$A$18,$A31)=1,vlookup($A31,'R2_G3'!$A$8:$Y$18, H$2+4,false),if(countif('R2_G4'!$A$8:$A$18,$A31)=1,vlookup($A31,'R2_G4'!$A$8:$Y$18, H$2+4,false),""))))</f>
        <v>6</v>
      </c>
      <c r="I31" s="1426">
        <f>if(countif('R2_G1'!$A$8:$A$18,$A31)=1,vlookup($A31,'R2_G1'!$A$8:$Y$18, I$2+4,false),if(countif('R2_G2'!$A$8:$A$18,$A31)=1,vlookup($A31,'R2_G2'!$A$8:$Y$18, I$2+4,false),if(countif('R2_G3'!$A$8:$A$18,$A31)=1,vlookup($A31,'R2_G3'!$A$8:$Y$18, I$2+4,false),if(countif('R2_G4'!$A$8:$A$18,$A31)=1,vlookup($A31,'R2_G4'!$A$8:$Y$18, I$2+4,false),""))))</f>
        <v>5</v>
      </c>
      <c r="J31" s="1426">
        <f>if(countif('R2_G1'!$A$8:$A$18,$A31)=1,vlookup($A31,'R2_G1'!$A$8:$Y$18, J$2+4,false),if(countif('R2_G2'!$A$8:$A$18,$A31)=1,vlookup($A31,'R2_G2'!$A$8:$Y$18, J$2+4,false),if(countif('R2_G3'!$A$8:$A$18,$A31)=1,vlookup($A31,'R2_G3'!$A$8:$Y$18, J$2+4,false),if(countif('R2_G4'!$A$8:$A$18,$A31)=1,vlookup($A31,'R2_G4'!$A$8:$Y$18, J$2+4,false),""))))</f>
        <v>4</v>
      </c>
      <c r="K31" s="1426">
        <f>if(countif('R2_G1'!$A$8:$A$18,$A31)=1,vlookup($A31,'R2_G1'!$A$8:$Y$18, K$2+4,false),if(countif('R2_G2'!$A$8:$A$18,$A31)=1,vlookup($A31,'R2_G2'!$A$8:$Y$18, K$2+4,false),if(countif('R2_G3'!$A$8:$A$18,$A31)=1,vlookup($A31,'R2_G3'!$A$8:$Y$18, K$2+4,false),if(countif('R2_G4'!$A$8:$A$18,$A31)=1,vlookup($A31,'R2_G4'!$A$8:$Y$18, K$2+4,false),""))))</f>
        <v>5</v>
      </c>
      <c r="L31" s="1426">
        <f>if(countif('R2_G1'!$A$8:$A$18,$A31)=1,vlookup($A31,'R2_G1'!$A$8:$Y$18, L$2+4,false),if(countif('R2_G2'!$A$8:$A$18,$A31)=1,vlookup($A31,'R2_G2'!$A$8:$Y$18, L$2+4,false),if(countif('R2_G3'!$A$8:$A$18,$A31)=1,vlookup($A31,'R2_G3'!$A$8:$Y$18, L$2+4,false),if(countif('R2_G4'!$A$8:$A$18,$A31)=1,vlookup($A31,'R2_G4'!$A$8:$Y$18, L$2+4,false),""))))</f>
        <v>5</v>
      </c>
      <c r="M31" s="1426">
        <f>if(countif('R2_G1'!$A$8:$A$18,$A31)=1,vlookup($A31,'R2_G1'!$A$8:$Y$18, M$2+4,false),if(countif('R2_G2'!$A$8:$A$18,$A31)=1,vlookup($A31,'R2_G2'!$A$8:$Y$18, M$2+4,false),if(countif('R2_G3'!$A$8:$A$18,$A31)=1,vlookup($A31,'R2_G3'!$A$8:$Y$18, M$2+4,false),if(countif('R2_G4'!$A$8:$A$18,$A31)=1,vlookup($A31,'R2_G4'!$A$8:$Y$18, M$2+4,false),""))))</f>
        <v>6</v>
      </c>
      <c r="N31" s="1427">
        <f>if(countif('R2_G1'!$A$8:$A$18,$A31)=1,vlookup($A31,'R2_G1'!$A$8:$Y$18, N$2+7,false),if(countif('R2_G2'!$A$8:$A$18,$A31)=1,vlookup($A31,'R2_G2'!$A$8:$Y$18, N$2+7,false),if(countif('R2_G3'!$A$8:$A$18,$A31)=1,vlookup($A31,'R2_G3'!$A$8:$Y$18, N$2+7,false),if(countif('R2_G4'!$A$8:$A$18,$A31)=1,vlookup($A31,'R2_G4'!$A$8:$Y$18, N$2+7,false),""))))</f>
        <v>4</v>
      </c>
      <c r="O31" s="1427">
        <f>if(countif('R2_G1'!$A$8:$A$18,$A31)=1,vlookup($A31,'R2_G1'!$A$8:$Y$18, O$2+7,false),if(countif('R2_G2'!$A$8:$A$18,$A31)=1,vlookup($A31,'R2_G2'!$A$8:$Y$18, O$2+7,false),if(countif('R2_G3'!$A$8:$A$18,$A31)=1,vlookup($A31,'R2_G3'!$A$8:$Y$18, O$2+7,false),if(countif('R2_G4'!$A$8:$A$18,$A31)=1,vlookup($A31,'R2_G4'!$A$8:$Y$18, O$2+7,false),""))))</f>
        <v>5</v>
      </c>
      <c r="P31" s="1427">
        <f>if(countif('R2_G1'!$A$8:$A$18,$A31)=1,vlookup($A31,'R2_G1'!$A$8:$Y$18, P$2+7,false),if(countif('R2_G2'!$A$8:$A$18,$A31)=1,vlookup($A31,'R2_G2'!$A$8:$Y$18, P$2+7,false),if(countif('R2_G3'!$A$8:$A$18,$A31)=1,vlookup($A31,'R2_G3'!$A$8:$Y$18, P$2+7,false),if(countif('R2_G4'!$A$8:$A$18,$A31)=1,vlookup($A31,'R2_G4'!$A$8:$Y$18, P$2+7,false),""))))</f>
        <v>5</v>
      </c>
      <c r="Q31" s="1427">
        <f>if(countif('R2_G1'!$A$8:$A$18,$A31)=1,vlookup($A31,'R2_G1'!$A$8:$Y$18, Q$2+7,false),if(countif('R2_G2'!$A$8:$A$18,$A31)=1,vlookup($A31,'R2_G2'!$A$8:$Y$18, Q$2+7,false),if(countif('R2_G3'!$A$8:$A$18,$A31)=1,vlookup($A31,'R2_G3'!$A$8:$Y$18, Q$2+7,false),if(countif('R2_G4'!$A$8:$A$18,$A31)=1,vlookup($A31,'R2_G4'!$A$8:$Y$18, Q$2+7,false),""))))</f>
        <v>4</v>
      </c>
      <c r="R31" s="1427">
        <f>if(countif('R2_G1'!$A$8:$A$18,$A31)=1,vlookup($A31,'R2_G1'!$A$8:$Y$18, R$2+7,false),if(countif('R2_G2'!$A$8:$A$18,$A31)=1,vlookup($A31,'R2_G2'!$A$8:$Y$18, R$2+7,false),if(countif('R2_G3'!$A$8:$A$18,$A31)=1,vlookup($A31,'R2_G3'!$A$8:$Y$18, R$2+7,false),if(countif('R2_G4'!$A$8:$A$18,$A31)=1,vlookup($A31,'R2_G4'!$A$8:$Y$18, R$2+7,false),""))))</f>
        <v>8</v>
      </c>
      <c r="S31" s="1427">
        <f>if(countif('R2_G1'!$A$8:$A$18,$A31)=1,vlookup($A31,'R2_G1'!$A$8:$Y$18, S$2+7,false),if(countif('R2_G2'!$A$8:$A$18,$A31)=1,vlookup($A31,'R2_G2'!$A$8:$Y$18, S$2+7,false),if(countif('R2_G3'!$A$8:$A$18,$A31)=1,vlookup($A31,'R2_G3'!$A$8:$Y$18, S$2+7,false),if(countif('R2_G4'!$A$8:$A$18,$A31)=1,vlookup($A31,'R2_G4'!$A$8:$Y$18, S$2+7,false),""))))</f>
        <v>4</v>
      </c>
      <c r="T31" s="1427">
        <f>if(countif('R2_G1'!$A$8:$A$18,$A31)=1,vlookup($A31,'R2_G1'!$A$8:$Y$18, T$2+7,false),if(countif('R2_G2'!$A$8:$A$18,$A31)=1,vlookup($A31,'R2_G2'!$A$8:$Y$18, T$2+7,false),if(countif('R2_G3'!$A$8:$A$18,$A31)=1,vlookup($A31,'R2_G3'!$A$8:$Y$18, T$2+7,false),if(countif('R2_G4'!$A$8:$A$18,$A31)=1,vlookup($A31,'R2_G4'!$A$8:$Y$18, T$2+7,false),""))))</f>
        <v>4</v>
      </c>
      <c r="U31" s="1427">
        <f>if(countif('R2_G1'!$A$8:$A$18,$A31)=1,vlookup($A31,'R2_G1'!$A$8:$Y$18, U$2+7,false),if(countif('R2_G2'!$A$8:$A$18,$A31)=1,vlookup($A31,'R2_G2'!$A$8:$Y$18, U$2+7,false),if(countif('R2_G3'!$A$8:$A$18,$A31)=1,vlookup($A31,'R2_G3'!$A$8:$Y$18, U$2+7,false),if(countif('R2_G4'!$A$8:$A$18,$A31)=1,vlookup($A31,'R2_G4'!$A$8:$Y$18, U$2+7,false),""))))</f>
        <v>3</v>
      </c>
      <c r="V31" s="1427">
        <f>if(countif('R2_G1'!$A$8:$A$18,$A31)=1,vlookup($A31,'R2_G1'!$A$8:$Y$18, V$2+7,false),if(countif('R2_G2'!$A$8:$A$18,$A31)=1,vlookup($A31,'R2_G2'!$A$8:$Y$18, V$2+7,false),if(countif('R2_G3'!$A$8:$A$18,$A31)=1,vlookup($A31,'R2_G3'!$A$8:$Y$18, V$2+7,false),if(countif('R2_G4'!$A$8:$A$18,$A31)=1,vlookup($A31,'R2_G4'!$A$8:$Y$18, V$2+7,false),""))))</f>
        <v>8</v>
      </c>
      <c r="W31" s="1428">
        <f t="shared" si="39"/>
        <v>42</v>
      </c>
      <c r="X31" s="1428">
        <f t="shared" si="40"/>
        <v>45</v>
      </c>
      <c r="Y31" s="1428">
        <f t="shared" si="45"/>
        <v>87</v>
      </c>
      <c r="Z31" s="1428">
        <f t="shared" si="46"/>
        <v>82</v>
      </c>
      <c r="AA31" s="1428">
        <f t="shared" si="47"/>
        <v>87</v>
      </c>
      <c r="AB31" s="1487"/>
      <c r="AC31" s="1423" t="str">
        <f t="shared" si="48"/>
        <v>Andy</v>
      </c>
      <c r="AD31" s="1424">
        <f>VLOOKUP(AC31,'Master Input'!$A$11:$L$27,8,false)</f>
        <v>5</v>
      </c>
      <c r="AE31" s="1423" t="s">
        <v>266</v>
      </c>
      <c r="AF31" s="1401"/>
      <c r="AG31" s="1428">
        <f t="shared" ref="AG31:AX31" si="58">if(E31="","",E31-IF($B31&gt;0,FLOOR($B31/18,1),0)-IF(AND(MOD($B31,18)&gt;=E$27,$B31&gt;0),1,0)+IF(E$27-18&gt;$B31,1,0))</f>
        <v>4</v>
      </c>
      <c r="AH31" s="1428">
        <f t="shared" si="58"/>
        <v>4</v>
      </c>
      <c r="AI31" s="1428">
        <f t="shared" si="58"/>
        <v>3</v>
      </c>
      <c r="AJ31" s="1428">
        <f t="shared" si="58"/>
        <v>5</v>
      </c>
      <c r="AK31" s="1428">
        <f t="shared" si="58"/>
        <v>4</v>
      </c>
      <c r="AL31" s="1428">
        <f t="shared" si="58"/>
        <v>3</v>
      </c>
      <c r="AM31" s="1428">
        <f t="shared" si="58"/>
        <v>5</v>
      </c>
      <c r="AN31" s="1428">
        <f t="shared" si="58"/>
        <v>5</v>
      </c>
      <c r="AO31" s="1428">
        <f t="shared" si="58"/>
        <v>6</v>
      </c>
      <c r="AP31" s="1429">
        <f t="shared" si="58"/>
        <v>3</v>
      </c>
      <c r="AQ31" s="1429">
        <f t="shared" si="58"/>
        <v>5</v>
      </c>
      <c r="AR31" s="1429">
        <f t="shared" si="58"/>
        <v>5</v>
      </c>
      <c r="AS31" s="1429">
        <f t="shared" si="58"/>
        <v>4</v>
      </c>
      <c r="AT31" s="1429">
        <f t="shared" si="58"/>
        <v>7</v>
      </c>
      <c r="AU31" s="1429">
        <f t="shared" si="58"/>
        <v>4</v>
      </c>
      <c r="AV31" s="1429">
        <f t="shared" si="58"/>
        <v>4</v>
      </c>
      <c r="AW31" s="1429">
        <f t="shared" si="58"/>
        <v>3</v>
      </c>
      <c r="AX31" s="1429">
        <f t="shared" si="58"/>
        <v>8</v>
      </c>
      <c r="AY31" s="1428">
        <f t="shared" si="42"/>
        <v>39</v>
      </c>
      <c r="AZ31" s="1428">
        <f t="shared" si="43"/>
        <v>43</v>
      </c>
      <c r="BA31" s="1428">
        <f t="shared" si="50"/>
        <v>82</v>
      </c>
      <c r="BB31" s="1430" t="str">
        <f>if(countif('R2_G1'!$A$8:$A$18,$A31)=1, if(and(BA31=Z31,BA31=vlookup($A31,'R2_G1'!$A$8:$AB$18, 28,false)),"yes","no"),
if(countif('R2_G2'!$A$8:$A$18,$A31)=1, if(and(BA31=Z31,BA31=vlookup($A31,'R2_G2'!$A$8:$AB$18, 28,false)),"yes","no"),
if(countif('R2_G3'!$A$8:$A$18,$A31)=1, if(and(BA31=Z31,BA31=vlookup($A31,'R2_G3'!$A$8:$AB$18, 28,false)),"yes","no"),
if(countif('R2_G4'!$A$8:$A$18,$A31)=1, if(and(BA31=Z31,BA31=vlookup($A31,'R2_G4'!$A$8:$AB$18, 28,false)),"yes","no"),
"?"))))
</f>
        <v>yes</v>
      </c>
      <c r="BC31" s="1487"/>
      <c r="BD31" s="1441">
        <f t="shared" si="51"/>
        <v>6.5</v>
      </c>
      <c r="BE31" s="1442">
        <f t="shared" si="52"/>
        <v>8.933333333</v>
      </c>
      <c r="BF31" s="1442">
        <f t="shared" si="53"/>
        <v>0</v>
      </c>
      <c r="BG31" s="1442">
        <f t="shared" si="54"/>
        <v>2</v>
      </c>
      <c r="BH31" s="1442">
        <f t="shared" si="55"/>
        <v>9</v>
      </c>
      <c r="BI31" s="1442">
        <f t="shared" si="56"/>
        <v>3</v>
      </c>
      <c r="BJ31" s="1442">
        <f t="shared" si="57"/>
        <v>4</v>
      </c>
    </row>
    <row r="32" ht="14.25" customHeight="1">
      <c r="A32" s="1434" t="str">
        <f t="shared" si="44"/>
        <v>Pace</v>
      </c>
      <c r="B32" s="1435">
        <f>VLOOKUP(A32,'Master Input'!$A$11:$L$27,8,false)</f>
        <v>6</v>
      </c>
      <c r="C32" s="1434"/>
      <c r="D32" s="1401"/>
      <c r="E32" s="1437">
        <f>if(countif('R2_G1'!$A$8:$A$18,$A32)=1,vlookup($A32,'R2_G1'!$A$8:$Y$18, E$2+4,false),if(countif('R2_G2'!$A$8:$A$18,$A32)=1,vlookup($A32,'R2_G2'!$A$8:$Y$18, E$2+4,false),if(countif('R2_G3'!$A$8:$A$18,$A32)=1,vlookup($A32,'R2_G3'!$A$8:$Y$18, E$2+4,false),if(countif('R2_G4'!$A$8:$A$18,$A32)=1,vlookup($A32,'R2_G4'!$A$8:$Y$18, E$2+4,false),""))))</f>
        <v>5</v>
      </c>
      <c r="F32" s="1437">
        <f>if(countif('R2_G1'!$A$8:$A$18,$A32)=1,vlookup($A32,'R2_G1'!$A$8:$Y$18, F$2+4,false),if(countif('R2_G2'!$A$8:$A$18,$A32)=1,vlookup($A32,'R2_G2'!$A$8:$Y$18, F$2+4,false),if(countif('R2_G3'!$A$8:$A$18,$A32)=1,vlookup($A32,'R2_G3'!$A$8:$Y$18, F$2+4,false),if(countif('R2_G4'!$A$8:$A$18,$A32)=1,vlookup($A32,'R2_G4'!$A$8:$Y$18, F$2+4,false),""))))</f>
        <v>4</v>
      </c>
      <c r="G32" s="1437">
        <f>if(countif('R2_G1'!$A$8:$A$18,$A32)=1,vlookup($A32,'R2_G1'!$A$8:$Y$18, G$2+4,false),if(countif('R2_G2'!$A$8:$A$18,$A32)=1,vlookup($A32,'R2_G2'!$A$8:$Y$18, G$2+4,false),if(countif('R2_G3'!$A$8:$A$18,$A32)=1,vlookup($A32,'R2_G3'!$A$8:$Y$18, G$2+4,false),if(countif('R2_G4'!$A$8:$A$18,$A32)=1,vlookup($A32,'R2_G4'!$A$8:$Y$18, G$2+4,false),""))))</f>
        <v>4</v>
      </c>
      <c r="H32" s="1437">
        <f>if(countif('R2_G1'!$A$8:$A$18,$A32)=1,vlookup($A32,'R2_G1'!$A$8:$Y$18, H$2+4,false),if(countif('R2_G2'!$A$8:$A$18,$A32)=1,vlookup($A32,'R2_G2'!$A$8:$Y$18, H$2+4,false),if(countif('R2_G3'!$A$8:$A$18,$A32)=1,vlookup($A32,'R2_G3'!$A$8:$Y$18, H$2+4,false),if(countif('R2_G4'!$A$8:$A$18,$A32)=1,vlookup($A32,'R2_G4'!$A$8:$Y$18, H$2+4,false),""))))</f>
        <v>7</v>
      </c>
      <c r="I32" s="1437">
        <f>if(countif('R2_G1'!$A$8:$A$18,$A32)=1,vlookup($A32,'R2_G1'!$A$8:$Y$18, I$2+4,false),if(countif('R2_G2'!$A$8:$A$18,$A32)=1,vlookup($A32,'R2_G2'!$A$8:$Y$18, I$2+4,false),if(countif('R2_G3'!$A$8:$A$18,$A32)=1,vlookup($A32,'R2_G3'!$A$8:$Y$18, I$2+4,false),if(countif('R2_G4'!$A$8:$A$18,$A32)=1,vlookup($A32,'R2_G4'!$A$8:$Y$18, I$2+4,false),""))))</f>
        <v>8</v>
      </c>
      <c r="J32" s="1437">
        <f>if(countif('R2_G1'!$A$8:$A$18,$A32)=1,vlookup($A32,'R2_G1'!$A$8:$Y$18, J$2+4,false),if(countif('R2_G2'!$A$8:$A$18,$A32)=1,vlookup($A32,'R2_G2'!$A$8:$Y$18, J$2+4,false),if(countif('R2_G3'!$A$8:$A$18,$A32)=1,vlookup($A32,'R2_G3'!$A$8:$Y$18, J$2+4,false),if(countif('R2_G4'!$A$8:$A$18,$A32)=1,vlookup($A32,'R2_G4'!$A$8:$Y$18, J$2+4,false),""))))</f>
        <v>4</v>
      </c>
      <c r="K32" s="1437">
        <f>if(countif('R2_G1'!$A$8:$A$18,$A32)=1,vlookup($A32,'R2_G1'!$A$8:$Y$18, K$2+4,false),if(countif('R2_G2'!$A$8:$A$18,$A32)=1,vlookup($A32,'R2_G2'!$A$8:$Y$18, K$2+4,false),if(countif('R2_G3'!$A$8:$A$18,$A32)=1,vlookup($A32,'R2_G3'!$A$8:$Y$18, K$2+4,false),if(countif('R2_G4'!$A$8:$A$18,$A32)=1,vlookup($A32,'R2_G4'!$A$8:$Y$18, K$2+4,false),""))))</f>
        <v>5</v>
      </c>
      <c r="L32" s="1437">
        <f>if(countif('R2_G1'!$A$8:$A$18,$A32)=1,vlookup($A32,'R2_G1'!$A$8:$Y$18, L$2+4,false),if(countif('R2_G2'!$A$8:$A$18,$A32)=1,vlookup($A32,'R2_G2'!$A$8:$Y$18, L$2+4,false),if(countif('R2_G3'!$A$8:$A$18,$A32)=1,vlookup($A32,'R2_G3'!$A$8:$Y$18, L$2+4,false),if(countif('R2_G4'!$A$8:$A$18,$A32)=1,vlookup($A32,'R2_G4'!$A$8:$Y$18, L$2+4,false),""))))</f>
        <v>3</v>
      </c>
      <c r="M32" s="1437">
        <f>if(countif('R2_G1'!$A$8:$A$18,$A32)=1,vlookup($A32,'R2_G1'!$A$8:$Y$18, M$2+4,false),if(countif('R2_G2'!$A$8:$A$18,$A32)=1,vlookup($A32,'R2_G2'!$A$8:$Y$18, M$2+4,false),if(countif('R2_G3'!$A$8:$A$18,$A32)=1,vlookup($A32,'R2_G3'!$A$8:$Y$18, M$2+4,false),if(countif('R2_G4'!$A$8:$A$18,$A32)=1,vlookup($A32,'R2_G4'!$A$8:$Y$18, M$2+4,false),""))))</f>
        <v>5</v>
      </c>
      <c r="N32" s="1426">
        <f>if(countif('R2_G1'!$A$8:$A$18,$A32)=1,vlookup($A32,'R2_G1'!$A$8:$Y$18, N$2+7,false),if(countif('R2_G2'!$A$8:$A$18,$A32)=1,vlookup($A32,'R2_G2'!$A$8:$Y$18, N$2+7,false),if(countif('R2_G3'!$A$8:$A$18,$A32)=1,vlookup($A32,'R2_G3'!$A$8:$Y$18, N$2+7,false),if(countif('R2_G4'!$A$8:$A$18,$A32)=1,vlookup($A32,'R2_G4'!$A$8:$Y$18, N$2+7,false),""))))</f>
        <v>4</v>
      </c>
      <c r="O32" s="1426">
        <f>if(countif('R2_G1'!$A$8:$A$18,$A32)=1,vlookup($A32,'R2_G1'!$A$8:$Y$18, O$2+7,false),if(countif('R2_G2'!$A$8:$A$18,$A32)=1,vlookup($A32,'R2_G2'!$A$8:$Y$18, O$2+7,false),if(countif('R2_G3'!$A$8:$A$18,$A32)=1,vlookup($A32,'R2_G3'!$A$8:$Y$18, O$2+7,false),if(countif('R2_G4'!$A$8:$A$18,$A32)=1,vlookup($A32,'R2_G4'!$A$8:$Y$18, O$2+7,false),""))))</f>
        <v>7</v>
      </c>
      <c r="P32" s="1426">
        <f>if(countif('R2_G1'!$A$8:$A$18,$A32)=1,vlookup($A32,'R2_G1'!$A$8:$Y$18, P$2+7,false),if(countif('R2_G2'!$A$8:$A$18,$A32)=1,vlookup($A32,'R2_G2'!$A$8:$Y$18, P$2+7,false),if(countif('R2_G3'!$A$8:$A$18,$A32)=1,vlookup($A32,'R2_G3'!$A$8:$Y$18, P$2+7,false),if(countif('R2_G4'!$A$8:$A$18,$A32)=1,vlookup($A32,'R2_G4'!$A$8:$Y$18, P$2+7,false),""))))</f>
        <v>4</v>
      </c>
      <c r="Q32" s="1426">
        <f>if(countif('R2_G1'!$A$8:$A$18,$A32)=1,vlookup($A32,'R2_G1'!$A$8:$Y$18, Q$2+7,false),if(countif('R2_G2'!$A$8:$A$18,$A32)=1,vlookup($A32,'R2_G2'!$A$8:$Y$18, Q$2+7,false),if(countif('R2_G3'!$A$8:$A$18,$A32)=1,vlookup($A32,'R2_G3'!$A$8:$Y$18, Q$2+7,false),if(countif('R2_G4'!$A$8:$A$18,$A32)=1,vlookup($A32,'R2_G4'!$A$8:$Y$18, Q$2+7,false),""))))</f>
        <v>4</v>
      </c>
      <c r="R32" s="1426">
        <f>if(countif('R2_G1'!$A$8:$A$18,$A32)=1,vlookup($A32,'R2_G1'!$A$8:$Y$18, R$2+7,false),if(countif('R2_G2'!$A$8:$A$18,$A32)=1,vlookup($A32,'R2_G2'!$A$8:$Y$18, R$2+7,false),if(countif('R2_G3'!$A$8:$A$18,$A32)=1,vlookup($A32,'R2_G3'!$A$8:$Y$18, R$2+7,false),if(countif('R2_G4'!$A$8:$A$18,$A32)=1,vlookup($A32,'R2_G4'!$A$8:$Y$18, R$2+7,false),""))))</f>
        <v>5</v>
      </c>
      <c r="S32" s="1426">
        <f>if(countif('R2_G1'!$A$8:$A$18,$A32)=1,vlookup($A32,'R2_G1'!$A$8:$Y$18, S$2+7,false),if(countif('R2_G2'!$A$8:$A$18,$A32)=1,vlookup($A32,'R2_G2'!$A$8:$Y$18, S$2+7,false),if(countif('R2_G3'!$A$8:$A$18,$A32)=1,vlookup($A32,'R2_G3'!$A$8:$Y$18, S$2+7,false),if(countif('R2_G4'!$A$8:$A$18,$A32)=1,vlookup($A32,'R2_G4'!$A$8:$Y$18, S$2+7,false),""))))</f>
        <v>5</v>
      </c>
      <c r="T32" s="1426">
        <f>if(countif('R2_G1'!$A$8:$A$18,$A32)=1,vlookup($A32,'R2_G1'!$A$8:$Y$18, T$2+7,false),if(countif('R2_G2'!$A$8:$A$18,$A32)=1,vlookup($A32,'R2_G2'!$A$8:$Y$18, T$2+7,false),if(countif('R2_G3'!$A$8:$A$18,$A32)=1,vlookup($A32,'R2_G3'!$A$8:$Y$18, T$2+7,false),if(countif('R2_G4'!$A$8:$A$18,$A32)=1,vlookup($A32,'R2_G4'!$A$8:$Y$18, T$2+7,false),""))))</f>
        <v>6</v>
      </c>
      <c r="U32" s="1426">
        <f>if(countif('R2_G1'!$A$8:$A$18,$A32)=1,vlookup($A32,'R2_G1'!$A$8:$Y$18, U$2+7,false),if(countif('R2_G2'!$A$8:$A$18,$A32)=1,vlookup($A32,'R2_G2'!$A$8:$Y$18, U$2+7,false),if(countif('R2_G3'!$A$8:$A$18,$A32)=1,vlookup($A32,'R2_G3'!$A$8:$Y$18, U$2+7,false),if(countif('R2_G4'!$A$8:$A$18,$A32)=1,vlookup($A32,'R2_G4'!$A$8:$Y$18, U$2+7,false),""))))</f>
        <v>5</v>
      </c>
      <c r="V32" s="1426">
        <f>if(countif('R2_G1'!$A$8:$A$18,$A32)=1,vlookup($A32,'R2_G1'!$A$8:$Y$18, V$2+7,false),if(countif('R2_G2'!$A$8:$A$18,$A32)=1,vlookup($A32,'R2_G2'!$A$8:$Y$18, V$2+7,false),if(countif('R2_G3'!$A$8:$A$18,$A32)=1,vlookup($A32,'R2_G3'!$A$8:$Y$18, V$2+7,false),if(countif('R2_G4'!$A$8:$A$18,$A32)=1,vlookup($A32,'R2_G4'!$A$8:$Y$18, V$2+7,false),""))))</f>
        <v>6</v>
      </c>
      <c r="W32" s="1438">
        <f t="shared" si="39"/>
        <v>45</v>
      </c>
      <c r="X32" s="1438">
        <f t="shared" si="40"/>
        <v>46</v>
      </c>
      <c r="Y32" s="1438">
        <f t="shared" si="45"/>
        <v>91</v>
      </c>
      <c r="Z32" s="1438">
        <f t="shared" si="46"/>
        <v>85</v>
      </c>
      <c r="AA32" s="1438">
        <f t="shared" si="47"/>
        <v>91</v>
      </c>
      <c r="AB32" s="1487"/>
      <c r="AC32" s="1423" t="str">
        <f t="shared" si="48"/>
        <v>Pace</v>
      </c>
      <c r="AD32" s="1435">
        <f>VLOOKUP(AC32,'Master Input'!$A$11:$L$27,8,false)</f>
        <v>6</v>
      </c>
      <c r="AE32" s="1434" t="s">
        <v>266</v>
      </c>
      <c r="AF32" s="1401"/>
      <c r="AG32" s="1438">
        <f t="shared" ref="AG32:AX32" si="59">if(E32="","",E32-IF($B32&gt;0,FLOOR($B32/18,1),0)-IF(AND(MOD($B32,18)&gt;=E$27,$B32&gt;0),1,0)+IF(E$27-18&gt;$B32,1,0))</f>
        <v>5</v>
      </c>
      <c r="AH32" s="1438">
        <f t="shared" si="59"/>
        <v>4</v>
      </c>
      <c r="AI32" s="1438">
        <f t="shared" si="59"/>
        <v>4</v>
      </c>
      <c r="AJ32" s="1438">
        <f t="shared" si="59"/>
        <v>6</v>
      </c>
      <c r="AK32" s="1438">
        <f t="shared" si="59"/>
        <v>7</v>
      </c>
      <c r="AL32" s="1438">
        <f t="shared" si="59"/>
        <v>3</v>
      </c>
      <c r="AM32" s="1438">
        <f t="shared" si="59"/>
        <v>5</v>
      </c>
      <c r="AN32" s="1438">
        <f t="shared" si="59"/>
        <v>3</v>
      </c>
      <c r="AO32" s="1438">
        <f t="shared" si="59"/>
        <v>5</v>
      </c>
      <c r="AP32" s="1426">
        <f t="shared" si="59"/>
        <v>3</v>
      </c>
      <c r="AQ32" s="1426">
        <f t="shared" si="59"/>
        <v>7</v>
      </c>
      <c r="AR32" s="1426">
        <f t="shared" si="59"/>
        <v>4</v>
      </c>
      <c r="AS32" s="1426">
        <f t="shared" si="59"/>
        <v>4</v>
      </c>
      <c r="AT32" s="1426">
        <f t="shared" si="59"/>
        <v>4</v>
      </c>
      <c r="AU32" s="1426">
        <f t="shared" si="59"/>
        <v>5</v>
      </c>
      <c r="AV32" s="1426">
        <f t="shared" si="59"/>
        <v>6</v>
      </c>
      <c r="AW32" s="1426">
        <f t="shared" si="59"/>
        <v>5</v>
      </c>
      <c r="AX32" s="1426">
        <f t="shared" si="59"/>
        <v>5</v>
      </c>
      <c r="AY32" s="1438">
        <f t="shared" si="42"/>
        <v>42</v>
      </c>
      <c r="AZ32" s="1438">
        <f t="shared" si="43"/>
        <v>43</v>
      </c>
      <c r="BA32" s="1438">
        <f t="shared" si="50"/>
        <v>85</v>
      </c>
      <c r="BB32" s="1436" t="str">
        <f>if(countif('R2_G1'!$A$8:$A$18,$A32)=1, if(and(BA32=Z32,BA32=vlookup($A32,'R2_G1'!$A$8:$AB$18, 28,false)),"yes","no"),
if(countif('R2_G2'!$A$8:$A$18,$A32)=1, if(and(BA32=Z32,BA32=vlookup($A32,'R2_G2'!$A$8:$AB$18, 28,false)),"yes","no"),
if(countif('R2_G3'!$A$8:$A$18,$A32)=1, if(and(BA32=Z32,BA32=vlookup($A32,'R2_G3'!$A$8:$AB$18, 28,false)),"yes","no"),
if(countif('R2_G4'!$A$8:$A$18,$A32)=1, if(and(BA32=Z32,BA32=vlookup($A32,'R2_G4'!$A$8:$AB$18, 28,false)),"yes","no"),
"?"))))
</f>
        <v>yes</v>
      </c>
      <c r="BC32" s="1487"/>
      <c r="BD32" s="1439">
        <f t="shared" si="51"/>
        <v>5.5</v>
      </c>
      <c r="BE32" s="1440">
        <f t="shared" si="52"/>
        <v>7.433333333</v>
      </c>
      <c r="BF32" s="1440">
        <f t="shared" si="53"/>
        <v>0</v>
      </c>
      <c r="BG32" s="1440">
        <f t="shared" si="54"/>
        <v>3</v>
      </c>
      <c r="BH32" s="1440">
        <f t="shared" si="55"/>
        <v>5</v>
      </c>
      <c r="BI32" s="1440">
        <f t="shared" si="56"/>
        <v>6</v>
      </c>
      <c r="BJ32" s="1440">
        <f t="shared" si="57"/>
        <v>4</v>
      </c>
    </row>
    <row r="33" ht="14.25" customHeight="1">
      <c r="A33" s="1423" t="str">
        <f t="shared" si="44"/>
        <v>House</v>
      </c>
      <c r="B33" s="1424">
        <f>VLOOKUP(A33,'Master Input'!$A$11:$L$27,8,false)</f>
        <v>7</v>
      </c>
      <c r="C33" s="1430"/>
      <c r="D33" s="1401"/>
      <c r="E33" s="1426">
        <f>if(countif('R2_G1'!$A$8:$A$18,$A33)=1,vlookup($A33,'R2_G1'!$A$8:$Y$18, E$2+4,false),if(countif('R2_G2'!$A$8:$A$18,$A33)=1,vlookup($A33,'R2_G2'!$A$8:$Y$18, E$2+4,false),if(countif('R2_G3'!$A$8:$A$18,$A33)=1,vlookup($A33,'R2_G3'!$A$8:$Y$18, E$2+4,false),if(countif('R2_G4'!$A$8:$A$18,$A33)=1,vlookup($A33,'R2_G4'!$A$8:$Y$18, E$2+4,false),""))))</f>
        <v>5</v>
      </c>
      <c r="F33" s="1426">
        <f>if(countif('R2_G1'!$A$8:$A$18,$A33)=1,vlookup($A33,'R2_G1'!$A$8:$Y$18, F$2+4,false),if(countif('R2_G2'!$A$8:$A$18,$A33)=1,vlookup($A33,'R2_G2'!$A$8:$Y$18, F$2+4,false),if(countif('R2_G3'!$A$8:$A$18,$A33)=1,vlookup($A33,'R2_G3'!$A$8:$Y$18, F$2+4,false),if(countif('R2_G4'!$A$8:$A$18,$A33)=1,vlookup($A33,'R2_G4'!$A$8:$Y$18, F$2+4,false),""))))</f>
        <v>5</v>
      </c>
      <c r="G33" s="1426">
        <f>if(countif('R2_G1'!$A$8:$A$18,$A33)=1,vlookup($A33,'R2_G1'!$A$8:$Y$18, G$2+4,false),if(countif('R2_G2'!$A$8:$A$18,$A33)=1,vlookup($A33,'R2_G2'!$A$8:$Y$18, G$2+4,false),if(countif('R2_G3'!$A$8:$A$18,$A33)=1,vlookup($A33,'R2_G3'!$A$8:$Y$18, G$2+4,false),if(countif('R2_G4'!$A$8:$A$18,$A33)=1,vlookup($A33,'R2_G4'!$A$8:$Y$18, G$2+4,false),""))))</f>
        <v>3</v>
      </c>
      <c r="H33" s="1426">
        <f>if(countif('R2_G1'!$A$8:$A$18,$A33)=1,vlookup($A33,'R2_G1'!$A$8:$Y$18, H$2+4,false),if(countif('R2_G2'!$A$8:$A$18,$A33)=1,vlookup($A33,'R2_G2'!$A$8:$Y$18, H$2+4,false),if(countif('R2_G3'!$A$8:$A$18,$A33)=1,vlookup($A33,'R2_G3'!$A$8:$Y$18, H$2+4,false),if(countif('R2_G4'!$A$8:$A$18,$A33)=1,vlookup($A33,'R2_G4'!$A$8:$Y$18, H$2+4,false),""))))</f>
        <v>5</v>
      </c>
      <c r="I33" s="1426">
        <f>if(countif('R2_G1'!$A$8:$A$18,$A33)=1,vlookup($A33,'R2_G1'!$A$8:$Y$18, I$2+4,false),if(countif('R2_G2'!$A$8:$A$18,$A33)=1,vlookup($A33,'R2_G2'!$A$8:$Y$18, I$2+4,false),if(countif('R2_G3'!$A$8:$A$18,$A33)=1,vlookup($A33,'R2_G3'!$A$8:$Y$18, I$2+4,false),if(countif('R2_G4'!$A$8:$A$18,$A33)=1,vlookup($A33,'R2_G4'!$A$8:$Y$18, I$2+4,false),""))))</f>
        <v>5</v>
      </c>
      <c r="J33" s="1426">
        <f>if(countif('R2_G1'!$A$8:$A$18,$A33)=1,vlookup($A33,'R2_G1'!$A$8:$Y$18, J$2+4,false),if(countif('R2_G2'!$A$8:$A$18,$A33)=1,vlookup($A33,'R2_G2'!$A$8:$Y$18, J$2+4,false),if(countif('R2_G3'!$A$8:$A$18,$A33)=1,vlookup($A33,'R2_G3'!$A$8:$Y$18, J$2+4,false),if(countif('R2_G4'!$A$8:$A$18,$A33)=1,vlookup($A33,'R2_G4'!$A$8:$Y$18, J$2+4,false),""))))</f>
        <v>5</v>
      </c>
      <c r="K33" s="1426">
        <f>if(countif('R2_G1'!$A$8:$A$18,$A33)=1,vlookup($A33,'R2_G1'!$A$8:$Y$18, K$2+4,false),if(countif('R2_G2'!$A$8:$A$18,$A33)=1,vlookup($A33,'R2_G2'!$A$8:$Y$18, K$2+4,false),if(countif('R2_G3'!$A$8:$A$18,$A33)=1,vlookup($A33,'R2_G3'!$A$8:$Y$18, K$2+4,false),if(countif('R2_G4'!$A$8:$A$18,$A33)=1,vlookup($A33,'R2_G4'!$A$8:$Y$18, K$2+4,false),""))))</f>
        <v>4</v>
      </c>
      <c r="L33" s="1426">
        <f>if(countif('R2_G1'!$A$8:$A$18,$A33)=1,vlookup($A33,'R2_G1'!$A$8:$Y$18, L$2+4,false),if(countif('R2_G2'!$A$8:$A$18,$A33)=1,vlookup($A33,'R2_G2'!$A$8:$Y$18, L$2+4,false),if(countif('R2_G3'!$A$8:$A$18,$A33)=1,vlookup($A33,'R2_G3'!$A$8:$Y$18, L$2+4,false),if(countif('R2_G4'!$A$8:$A$18,$A33)=1,vlookup($A33,'R2_G4'!$A$8:$Y$18, L$2+4,false),""))))</f>
        <v>4</v>
      </c>
      <c r="M33" s="1426">
        <f>if(countif('R2_G1'!$A$8:$A$18,$A33)=1,vlookup($A33,'R2_G1'!$A$8:$Y$18, M$2+4,false),if(countif('R2_G2'!$A$8:$A$18,$A33)=1,vlookup($A33,'R2_G2'!$A$8:$Y$18, M$2+4,false),if(countif('R2_G3'!$A$8:$A$18,$A33)=1,vlookup($A33,'R2_G3'!$A$8:$Y$18, M$2+4,false),if(countif('R2_G4'!$A$8:$A$18,$A33)=1,vlookup($A33,'R2_G4'!$A$8:$Y$18, M$2+4,false),""))))</f>
        <v>7</v>
      </c>
      <c r="N33" s="1427">
        <f>if(countif('R2_G1'!$A$8:$A$18,$A33)=1,vlookup($A33,'R2_G1'!$A$8:$Y$18, N$2+7,false),if(countif('R2_G2'!$A$8:$A$18,$A33)=1,vlookup($A33,'R2_G2'!$A$8:$Y$18, N$2+7,false),if(countif('R2_G3'!$A$8:$A$18,$A33)=1,vlookup($A33,'R2_G3'!$A$8:$Y$18, N$2+7,false),if(countif('R2_G4'!$A$8:$A$18,$A33)=1,vlookup($A33,'R2_G4'!$A$8:$Y$18, N$2+7,false),""))))</f>
        <v>6</v>
      </c>
      <c r="O33" s="1427">
        <f>if(countif('R2_G1'!$A$8:$A$18,$A33)=1,vlookup($A33,'R2_G1'!$A$8:$Y$18, O$2+7,false),if(countif('R2_G2'!$A$8:$A$18,$A33)=1,vlookup($A33,'R2_G2'!$A$8:$Y$18, O$2+7,false),if(countif('R2_G3'!$A$8:$A$18,$A33)=1,vlookup($A33,'R2_G3'!$A$8:$Y$18, O$2+7,false),if(countif('R2_G4'!$A$8:$A$18,$A33)=1,vlookup($A33,'R2_G4'!$A$8:$Y$18, O$2+7,false),""))))</f>
        <v>5</v>
      </c>
      <c r="P33" s="1427">
        <f>if(countif('R2_G1'!$A$8:$A$18,$A33)=1,vlookup($A33,'R2_G1'!$A$8:$Y$18, P$2+7,false),if(countif('R2_G2'!$A$8:$A$18,$A33)=1,vlookup($A33,'R2_G2'!$A$8:$Y$18, P$2+7,false),if(countif('R2_G3'!$A$8:$A$18,$A33)=1,vlookup($A33,'R2_G3'!$A$8:$Y$18, P$2+7,false),if(countif('R2_G4'!$A$8:$A$18,$A33)=1,vlookup($A33,'R2_G4'!$A$8:$Y$18, P$2+7,false),""))))</f>
        <v>4</v>
      </c>
      <c r="Q33" s="1427">
        <f>if(countif('R2_G1'!$A$8:$A$18,$A33)=1,vlookup($A33,'R2_G1'!$A$8:$Y$18, Q$2+7,false),if(countif('R2_G2'!$A$8:$A$18,$A33)=1,vlookup($A33,'R2_G2'!$A$8:$Y$18, Q$2+7,false),if(countif('R2_G3'!$A$8:$A$18,$A33)=1,vlookup($A33,'R2_G3'!$A$8:$Y$18, Q$2+7,false),if(countif('R2_G4'!$A$8:$A$18,$A33)=1,vlookup($A33,'R2_G4'!$A$8:$Y$18, Q$2+7,false),""))))</f>
        <v>5</v>
      </c>
      <c r="R33" s="1427">
        <f>if(countif('R2_G1'!$A$8:$A$18,$A33)=1,vlookup($A33,'R2_G1'!$A$8:$Y$18, R$2+7,false),if(countif('R2_G2'!$A$8:$A$18,$A33)=1,vlookup($A33,'R2_G2'!$A$8:$Y$18, R$2+7,false),if(countif('R2_G3'!$A$8:$A$18,$A33)=1,vlookup($A33,'R2_G3'!$A$8:$Y$18, R$2+7,false),if(countif('R2_G4'!$A$8:$A$18,$A33)=1,vlookup($A33,'R2_G4'!$A$8:$Y$18, R$2+7,false),""))))</f>
        <v>7</v>
      </c>
      <c r="S33" s="1427">
        <f>if(countif('R2_G1'!$A$8:$A$18,$A33)=1,vlookup($A33,'R2_G1'!$A$8:$Y$18, S$2+7,false),if(countif('R2_G2'!$A$8:$A$18,$A33)=1,vlookup($A33,'R2_G2'!$A$8:$Y$18, S$2+7,false),if(countif('R2_G3'!$A$8:$A$18,$A33)=1,vlookup($A33,'R2_G3'!$A$8:$Y$18, S$2+7,false),if(countif('R2_G4'!$A$8:$A$18,$A33)=1,vlookup($A33,'R2_G4'!$A$8:$Y$18, S$2+7,false),""))))</f>
        <v>4</v>
      </c>
      <c r="T33" s="1427">
        <f>if(countif('R2_G1'!$A$8:$A$18,$A33)=1,vlookup($A33,'R2_G1'!$A$8:$Y$18, T$2+7,false),if(countif('R2_G2'!$A$8:$A$18,$A33)=1,vlookup($A33,'R2_G2'!$A$8:$Y$18, T$2+7,false),if(countif('R2_G3'!$A$8:$A$18,$A33)=1,vlookup($A33,'R2_G3'!$A$8:$Y$18, T$2+7,false),if(countif('R2_G4'!$A$8:$A$18,$A33)=1,vlookup($A33,'R2_G4'!$A$8:$Y$18, T$2+7,false),""))))</f>
        <v>6</v>
      </c>
      <c r="U33" s="1427">
        <f>if(countif('R2_G1'!$A$8:$A$18,$A33)=1,vlookup($A33,'R2_G1'!$A$8:$Y$18, U$2+7,false),if(countif('R2_G2'!$A$8:$A$18,$A33)=1,vlookup($A33,'R2_G2'!$A$8:$Y$18, U$2+7,false),if(countif('R2_G3'!$A$8:$A$18,$A33)=1,vlookup($A33,'R2_G3'!$A$8:$Y$18, U$2+7,false),if(countif('R2_G4'!$A$8:$A$18,$A33)=1,vlookup($A33,'R2_G4'!$A$8:$Y$18, U$2+7,false),""))))</f>
        <v>4</v>
      </c>
      <c r="V33" s="1427">
        <f>if(countif('R2_G1'!$A$8:$A$18,$A33)=1,vlookup($A33,'R2_G1'!$A$8:$Y$18, V$2+7,false),if(countif('R2_G2'!$A$8:$A$18,$A33)=1,vlookup($A33,'R2_G2'!$A$8:$Y$18, V$2+7,false),if(countif('R2_G3'!$A$8:$A$18,$A33)=1,vlookup($A33,'R2_G3'!$A$8:$Y$18, V$2+7,false),if(countif('R2_G4'!$A$8:$A$18,$A33)=1,vlookup($A33,'R2_G4'!$A$8:$Y$18, V$2+7,false),""))))</f>
        <v>5</v>
      </c>
      <c r="W33" s="1428">
        <f t="shared" si="39"/>
        <v>43</v>
      </c>
      <c r="X33" s="1428">
        <f t="shared" si="40"/>
        <v>46</v>
      </c>
      <c r="Y33" s="1428">
        <f t="shared" si="45"/>
        <v>89</v>
      </c>
      <c r="Z33" s="1428">
        <f t="shared" si="46"/>
        <v>82</v>
      </c>
      <c r="AA33" s="1428">
        <f t="shared" si="47"/>
        <v>89</v>
      </c>
      <c r="AB33" s="1487"/>
      <c r="AC33" s="1423" t="str">
        <f t="shared" si="48"/>
        <v>House</v>
      </c>
      <c r="AD33" s="1424">
        <f>VLOOKUP(AC33,'Master Input'!$A$11:$L$27,8,false)</f>
        <v>7</v>
      </c>
      <c r="AE33" s="1423" t="s">
        <v>266</v>
      </c>
      <c r="AF33" s="1401"/>
      <c r="AG33" s="1428">
        <f t="shared" ref="AG33:AX33" si="60">if(E33="","",E33-IF($B33&gt;0,FLOOR($B33/18,1),0)-IF(AND(MOD($B33,18)&gt;=E$27,$B33&gt;0),1,0)+IF(E$27-18&gt;$B33,1,0))</f>
        <v>5</v>
      </c>
      <c r="AH33" s="1428">
        <f t="shared" si="60"/>
        <v>5</v>
      </c>
      <c r="AI33" s="1428">
        <f t="shared" si="60"/>
        <v>3</v>
      </c>
      <c r="AJ33" s="1428">
        <f t="shared" si="60"/>
        <v>4</v>
      </c>
      <c r="AK33" s="1428">
        <f t="shared" si="60"/>
        <v>4</v>
      </c>
      <c r="AL33" s="1428">
        <f t="shared" si="60"/>
        <v>4</v>
      </c>
      <c r="AM33" s="1428">
        <f t="shared" si="60"/>
        <v>4</v>
      </c>
      <c r="AN33" s="1428">
        <f t="shared" si="60"/>
        <v>4</v>
      </c>
      <c r="AO33" s="1428">
        <f t="shared" si="60"/>
        <v>6</v>
      </c>
      <c r="AP33" s="1429">
        <f t="shared" si="60"/>
        <v>5</v>
      </c>
      <c r="AQ33" s="1429">
        <f t="shared" si="60"/>
        <v>5</v>
      </c>
      <c r="AR33" s="1429">
        <f t="shared" si="60"/>
        <v>4</v>
      </c>
      <c r="AS33" s="1429">
        <f t="shared" si="60"/>
        <v>5</v>
      </c>
      <c r="AT33" s="1429">
        <f t="shared" si="60"/>
        <v>6</v>
      </c>
      <c r="AU33" s="1429">
        <f t="shared" si="60"/>
        <v>4</v>
      </c>
      <c r="AV33" s="1429">
        <f t="shared" si="60"/>
        <v>6</v>
      </c>
      <c r="AW33" s="1429">
        <f t="shared" si="60"/>
        <v>4</v>
      </c>
      <c r="AX33" s="1429">
        <f t="shared" si="60"/>
        <v>4</v>
      </c>
      <c r="AY33" s="1428">
        <f t="shared" si="42"/>
        <v>39</v>
      </c>
      <c r="AZ33" s="1428">
        <f t="shared" si="43"/>
        <v>43</v>
      </c>
      <c r="BA33" s="1428">
        <f t="shared" si="50"/>
        <v>82</v>
      </c>
      <c r="BB33" s="1430" t="str">
        <f>if(countif('R2_G1'!$A$8:$A$18,$A33)=1, if(and(BA33=Z33,BA33=vlookup($A33,'R2_G1'!$A$8:$AB$18, 28,false)),"yes","no"),
if(countif('R2_G2'!$A$8:$A$18,$A33)=1, if(and(BA33=Z33,BA33=vlookup($A33,'R2_G2'!$A$8:$AB$18, 28,false)),"yes","no"),
if(countif('R2_G3'!$A$8:$A$18,$A33)=1, if(and(BA33=Z33,BA33=vlookup($A33,'R2_G3'!$A$8:$AB$18, 28,false)),"yes","no"),
if(countif('R2_G4'!$A$8:$A$18,$A33)=1, if(and(BA33=Z33,BA33=vlookup($A33,'R2_G4'!$A$8:$AB$18, 28,false)),"yes","no"),
"?"))))
</f>
        <v>yes</v>
      </c>
      <c r="BC33" s="1487"/>
      <c r="BD33" s="1441">
        <f t="shared" si="51"/>
        <v>4.5</v>
      </c>
      <c r="BE33" s="1442">
        <f t="shared" si="52"/>
        <v>7.766666667</v>
      </c>
      <c r="BF33" s="1442">
        <f t="shared" si="53"/>
        <v>0</v>
      </c>
      <c r="BG33" s="1442">
        <f t="shared" si="54"/>
        <v>2</v>
      </c>
      <c r="BH33" s="1442">
        <f t="shared" si="55"/>
        <v>5</v>
      </c>
      <c r="BI33" s="1442">
        <f t="shared" si="56"/>
        <v>10</v>
      </c>
      <c r="BJ33" s="1442">
        <f t="shared" si="57"/>
        <v>1</v>
      </c>
    </row>
    <row r="34" ht="14.25" customHeight="1">
      <c r="A34" s="1434" t="str">
        <f t="shared" si="44"/>
        <v>DK</v>
      </c>
      <c r="B34" s="1435">
        <f>VLOOKUP(A34,'Master Input'!$A$11:$L$27,8,false)</f>
        <v>10</v>
      </c>
      <c r="C34" s="1436"/>
      <c r="D34" s="1401"/>
      <c r="E34" s="1437">
        <f>if(countif('R2_G1'!$A$8:$A$18,$A34)=1,vlookup($A34,'R2_G1'!$A$8:$Y$18, E$2+4,false),if(countif('R2_G2'!$A$8:$A$18,$A34)=1,vlookup($A34,'R2_G2'!$A$8:$Y$18, E$2+4,false),if(countif('R2_G3'!$A$8:$A$18,$A34)=1,vlookup($A34,'R2_G3'!$A$8:$Y$18, E$2+4,false),if(countif('R2_G4'!$A$8:$A$18,$A34)=1,vlookup($A34,'R2_G4'!$A$8:$Y$18, E$2+4,false),""))))</f>
        <v>4</v>
      </c>
      <c r="F34" s="1437">
        <f>if(countif('R2_G1'!$A$8:$A$18,$A34)=1,vlookup($A34,'R2_G1'!$A$8:$Y$18, F$2+4,false),if(countif('R2_G2'!$A$8:$A$18,$A34)=1,vlookup($A34,'R2_G2'!$A$8:$Y$18, F$2+4,false),if(countif('R2_G3'!$A$8:$A$18,$A34)=1,vlookup($A34,'R2_G3'!$A$8:$Y$18, F$2+4,false),if(countif('R2_G4'!$A$8:$A$18,$A34)=1,vlookup($A34,'R2_G4'!$A$8:$Y$18, F$2+4,false),""))))</f>
        <v>6</v>
      </c>
      <c r="G34" s="1437">
        <f>if(countif('R2_G1'!$A$8:$A$18,$A34)=1,vlookup($A34,'R2_G1'!$A$8:$Y$18, G$2+4,false),if(countif('R2_G2'!$A$8:$A$18,$A34)=1,vlookup($A34,'R2_G2'!$A$8:$Y$18, G$2+4,false),if(countif('R2_G3'!$A$8:$A$18,$A34)=1,vlookup($A34,'R2_G3'!$A$8:$Y$18, G$2+4,false),if(countif('R2_G4'!$A$8:$A$18,$A34)=1,vlookup($A34,'R2_G4'!$A$8:$Y$18, G$2+4,false),""))))</f>
        <v>3</v>
      </c>
      <c r="H34" s="1437">
        <f>if(countif('R2_G1'!$A$8:$A$18,$A34)=1,vlookup($A34,'R2_G1'!$A$8:$Y$18, H$2+4,false),if(countif('R2_G2'!$A$8:$A$18,$A34)=1,vlookup($A34,'R2_G2'!$A$8:$Y$18, H$2+4,false),if(countif('R2_G3'!$A$8:$A$18,$A34)=1,vlookup($A34,'R2_G3'!$A$8:$Y$18, H$2+4,false),if(countif('R2_G4'!$A$8:$A$18,$A34)=1,vlookup($A34,'R2_G4'!$A$8:$Y$18, H$2+4,false),""))))</f>
        <v>7</v>
      </c>
      <c r="I34" s="1437">
        <f>if(countif('R2_G1'!$A$8:$A$18,$A34)=1,vlookup($A34,'R2_G1'!$A$8:$Y$18, I$2+4,false),if(countif('R2_G2'!$A$8:$A$18,$A34)=1,vlookup($A34,'R2_G2'!$A$8:$Y$18, I$2+4,false),if(countif('R2_G3'!$A$8:$A$18,$A34)=1,vlookup($A34,'R2_G3'!$A$8:$Y$18, I$2+4,false),if(countif('R2_G4'!$A$8:$A$18,$A34)=1,vlookup($A34,'R2_G4'!$A$8:$Y$18, I$2+4,false),""))))</f>
        <v>6</v>
      </c>
      <c r="J34" s="1437">
        <f>if(countif('R2_G1'!$A$8:$A$18,$A34)=1,vlookup($A34,'R2_G1'!$A$8:$Y$18, J$2+4,false),if(countif('R2_G2'!$A$8:$A$18,$A34)=1,vlookup($A34,'R2_G2'!$A$8:$Y$18, J$2+4,false),if(countif('R2_G3'!$A$8:$A$18,$A34)=1,vlookup($A34,'R2_G3'!$A$8:$Y$18, J$2+4,false),if(countif('R2_G4'!$A$8:$A$18,$A34)=1,vlookup($A34,'R2_G4'!$A$8:$Y$18, J$2+4,false),""))))</f>
        <v>5</v>
      </c>
      <c r="K34" s="1437">
        <f>if(countif('R2_G1'!$A$8:$A$18,$A34)=1,vlookup($A34,'R2_G1'!$A$8:$Y$18, K$2+4,false),if(countif('R2_G2'!$A$8:$A$18,$A34)=1,vlookup($A34,'R2_G2'!$A$8:$Y$18, K$2+4,false),if(countif('R2_G3'!$A$8:$A$18,$A34)=1,vlookup($A34,'R2_G3'!$A$8:$Y$18, K$2+4,false),if(countif('R2_G4'!$A$8:$A$18,$A34)=1,vlookup($A34,'R2_G4'!$A$8:$Y$18, K$2+4,false),""))))</f>
        <v>6</v>
      </c>
      <c r="L34" s="1437">
        <f>if(countif('R2_G1'!$A$8:$A$18,$A34)=1,vlookup($A34,'R2_G1'!$A$8:$Y$18, L$2+4,false),if(countif('R2_G2'!$A$8:$A$18,$A34)=1,vlookup($A34,'R2_G2'!$A$8:$Y$18, L$2+4,false),if(countif('R2_G3'!$A$8:$A$18,$A34)=1,vlookup($A34,'R2_G3'!$A$8:$Y$18, L$2+4,false),if(countif('R2_G4'!$A$8:$A$18,$A34)=1,vlookup($A34,'R2_G4'!$A$8:$Y$18, L$2+4,false),""))))</f>
        <v>3</v>
      </c>
      <c r="M34" s="1437">
        <f>if(countif('R2_G1'!$A$8:$A$18,$A34)=1,vlookup($A34,'R2_G1'!$A$8:$Y$18, M$2+4,false),if(countif('R2_G2'!$A$8:$A$18,$A34)=1,vlookup($A34,'R2_G2'!$A$8:$Y$18, M$2+4,false),if(countif('R2_G3'!$A$8:$A$18,$A34)=1,vlookup($A34,'R2_G3'!$A$8:$Y$18, M$2+4,false),if(countif('R2_G4'!$A$8:$A$18,$A34)=1,vlookup($A34,'R2_G4'!$A$8:$Y$18, M$2+4,false),""))))</f>
        <v>6</v>
      </c>
      <c r="N34" s="1426">
        <f>if(countif('R2_G1'!$A$8:$A$18,$A34)=1,vlookup($A34,'R2_G1'!$A$8:$Y$18, N$2+7,false),if(countif('R2_G2'!$A$8:$A$18,$A34)=1,vlookup($A34,'R2_G2'!$A$8:$Y$18, N$2+7,false),if(countif('R2_G3'!$A$8:$A$18,$A34)=1,vlookup($A34,'R2_G3'!$A$8:$Y$18, N$2+7,false),if(countif('R2_G4'!$A$8:$A$18,$A34)=1,vlookup($A34,'R2_G4'!$A$8:$Y$18, N$2+7,false),""))))</f>
        <v>6</v>
      </c>
      <c r="O34" s="1426">
        <f>if(countif('R2_G1'!$A$8:$A$18,$A34)=1,vlookup($A34,'R2_G1'!$A$8:$Y$18, O$2+7,false),if(countif('R2_G2'!$A$8:$A$18,$A34)=1,vlookup($A34,'R2_G2'!$A$8:$Y$18, O$2+7,false),if(countif('R2_G3'!$A$8:$A$18,$A34)=1,vlookup($A34,'R2_G3'!$A$8:$Y$18, O$2+7,false),if(countif('R2_G4'!$A$8:$A$18,$A34)=1,vlookup($A34,'R2_G4'!$A$8:$Y$18, O$2+7,false),""))))</f>
        <v>4</v>
      </c>
      <c r="P34" s="1426">
        <f>if(countif('R2_G1'!$A$8:$A$18,$A34)=1,vlookup($A34,'R2_G1'!$A$8:$Y$18, P$2+7,false),if(countif('R2_G2'!$A$8:$A$18,$A34)=1,vlookup($A34,'R2_G2'!$A$8:$Y$18, P$2+7,false),if(countif('R2_G3'!$A$8:$A$18,$A34)=1,vlookup($A34,'R2_G3'!$A$8:$Y$18, P$2+7,false),if(countif('R2_G4'!$A$8:$A$18,$A34)=1,vlookup($A34,'R2_G4'!$A$8:$Y$18, P$2+7,false),""))))</f>
        <v>2</v>
      </c>
      <c r="Q34" s="1426">
        <f>if(countif('R2_G1'!$A$8:$A$18,$A34)=1,vlookup($A34,'R2_G1'!$A$8:$Y$18, Q$2+7,false),if(countif('R2_G2'!$A$8:$A$18,$A34)=1,vlookup($A34,'R2_G2'!$A$8:$Y$18, Q$2+7,false),if(countif('R2_G3'!$A$8:$A$18,$A34)=1,vlookup($A34,'R2_G3'!$A$8:$Y$18, Q$2+7,false),if(countif('R2_G4'!$A$8:$A$18,$A34)=1,vlookup($A34,'R2_G4'!$A$8:$Y$18, Q$2+7,false),""))))</f>
        <v>4</v>
      </c>
      <c r="R34" s="1426">
        <f>if(countif('R2_G1'!$A$8:$A$18,$A34)=1,vlookup($A34,'R2_G1'!$A$8:$Y$18, R$2+7,false),if(countif('R2_G2'!$A$8:$A$18,$A34)=1,vlookup($A34,'R2_G2'!$A$8:$Y$18, R$2+7,false),if(countif('R2_G3'!$A$8:$A$18,$A34)=1,vlookup($A34,'R2_G3'!$A$8:$Y$18, R$2+7,false),if(countif('R2_G4'!$A$8:$A$18,$A34)=1,vlookup($A34,'R2_G4'!$A$8:$Y$18, R$2+7,false),""))))</f>
        <v>6</v>
      </c>
      <c r="S34" s="1426">
        <f>if(countif('R2_G1'!$A$8:$A$18,$A34)=1,vlookup($A34,'R2_G1'!$A$8:$Y$18, S$2+7,false),if(countif('R2_G2'!$A$8:$A$18,$A34)=1,vlookup($A34,'R2_G2'!$A$8:$Y$18, S$2+7,false),if(countif('R2_G3'!$A$8:$A$18,$A34)=1,vlookup($A34,'R2_G3'!$A$8:$Y$18, S$2+7,false),if(countif('R2_G4'!$A$8:$A$18,$A34)=1,vlookup($A34,'R2_G4'!$A$8:$Y$18, S$2+7,false),""))))</f>
        <v>6</v>
      </c>
      <c r="T34" s="1426">
        <f>if(countif('R2_G1'!$A$8:$A$18,$A34)=1,vlookup($A34,'R2_G1'!$A$8:$Y$18, T$2+7,false),if(countif('R2_G2'!$A$8:$A$18,$A34)=1,vlookup($A34,'R2_G2'!$A$8:$Y$18, T$2+7,false),if(countif('R2_G3'!$A$8:$A$18,$A34)=1,vlookup($A34,'R2_G3'!$A$8:$Y$18, T$2+7,false),if(countif('R2_G4'!$A$8:$A$18,$A34)=1,vlookup($A34,'R2_G4'!$A$8:$Y$18, T$2+7,false),""))))</f>
        <v>5</v>
      </c>
      <c r="U34" s="1426">
        <f>if(countif('R2_G1'!$A$8:$A$18,$A34)=1,vlookup($A34,'R2_G1'!$A$8:$Y$18, U$2+7,false),if(countif('R2_G2'!$A$8:$A$18,$A34)=1,vlookup($A34,'R2_G2'!$A$8:$Y$18, U$2+7,false),if(countif('R2_G3'!$A$8:$A$18,$A34)=1,vlookup($A34,'R2_G3'!$A$8:$Y$18, U$2+7,false),if(countif('R2_G4'!$A$8:$A$18,$A34)=1,vlookup($A34,'R2_G4'!$A$8:$Y$18, U$2+7,false),""))))</f>
        <v>3</v>
      </c>
      <c r="V34" s="1426">
        <f>if(countif('R2_G1'!$A$8:$A$18,$A34)=1,vlookup($A34,'R2_G1'!$A$8:$Y$18, V$2+7,false),if(countif('R2_G2'!$A$8:$A$18,$A34)=1,vlookup($A34,'R2_G2'!$A$8:$Y$18, V$2+7,false),if(countif('R2_G3'!$A$8:$A$18,$A34)=1,vlookup($A34,'R2_G3'!$A$8:$Y$18, V$2+7,false),if(countif('R2_G4'!$A$8:$A$18,$A34)=1,vlookup($A34,'R2_G4'!$A$8:$Y$18, V$2+7,false),""))))</f>
        <v>6</v>
      </c>
      <c r="W34" s="1438">
        <f t="shared" si="39"/>
        <v>46</v>
      </c>
      <c r="X34" s="1438">
        <f t="shared" si="40"/>
        <v>42</v>
      </c>
      <c r="Y34" s="1438">
        <f t="shared" si="45"/>
        <v>88</v>
      </c>
      <c r="Z34" s="1438">
        <f t="shared" si="46"/>
        <v>78</v>
      </c>
      <c r="AA34" s="1438">
        <f t="shared" si="47"/>
        <v>88</v>
      </c>
      <c r="AB34" s="1487"/>
      <c r="AC34" s="1423" t="str">
        <f t="shared" si="48"/>
        <v>DK</v>
      </c>
      <c r="AD34" s="1435">
        <f>VLOOKUP(AC34,'Master Input'!$A$11:$L$27,8,false)</f>
        <v>10</v>
      </c>
      <c r="AE34" s="1434" t="s">
        <v>266</v>
      </c>
      <c r="AF34" s="1401"/>
      <c r="AG34" s="1438">
        <f t="shared" ref="AG34:AX34" si="61">if(E34="","",E34-IF($B34&gt;0,FLOOR($B34/18,1),0)-IF(AND(MOD($B34,18)&gt;=E$27,$B34&gt;0),1,0)+IF(E$27-18&gt;$B34,1,0))</f>
        <v>3</v>
      </c>
      <c r="AH34" s="1438">
        <f t="shared" si="61"/>
        <v>6</v>
      </c>
      <c r="AI34" s="1438">
        <f t="shared" si="61"/>
        <v>3</v>
      </c>
      <c r="AJ34" s="1438">
        <f t="shared" si="61"/>
        <v>6</v>
      </c>
      <c r="AK34" s="1438">
        <f t="shared" si="61"/>
        <v>5</v>
      </c>
      <c r="AL34" s="1438">
        <f t="shared" si="61"/>
        <v>4</v>
      </c>
      <c r="AM34" s="1438">
        <f t="shared" si="61"/>
        <v>6</v>
      </c>
      <c r="AN34" s="1438">
        <f t="shared" si="61"/>
        <v>3</v>
      </c>
      <c r="AO34" s="1438">
        <f t="shared" si="61"/>
        <v>5</v>
      </c>
      <c r="AP34" s="1426">
        <f t="shared" si="61"/>
        <v>5</v>
      </c>
      <c r="AQ34" s="1426">
        <f t="shared" si="61"/>
        <v>3</v>
      </c>
      <c r="AR34" s="1426">
        <f t="shared" si="61"/>
        <v>2</v>
      </c>
      <c r="AS34" s="1426">
        <f t="shared" si="61"/>
        <v>4</v>
      </c>
      <c r="AT34" s="1426">
        <f t="shared" si="61"/>
        <v>5</v>
      </c>
      <c r="AU34" s="1426">
        <f t="shared" si="61"/>
        <v>5</v>
      </c>
      <c r="AV34" s="1426">
        <f t="shared" si="61"/>
        <v>5</v>
      </c>
      <c r="AW34" s="1426">
        <f t="shared" si="61"/>
        <v>3</v>
      </c>
      <c r="AX34" s="1426">
        <f t="shared" si="61"/>
        <v>5</v>
      </c>
      <c r="AY34" s="1438">
        <f t="shared" si="42"/>
        <v>41</v>
      </c>
      <c r="AZ34" s="1438">
        <f t="shared" si="43"/>
        <v>37</v>
      </c>
      <c r="BA34" s="1438">
        <f t="shared" si="50"/>
        <v>78</v>
      </c>
      <c r="BB34" s="1436" t="str">
        <f>if(countif('R2_G1'!$A$8:$A$18,$A34)=1, if(and(BA34=Z34,BA34=vlookup($A34,'R2_G1'!$A$8:$AB$18, 28,false)),"yes","no"),
if(countif('R2_G2'!$A$8:$A$18,$A34)=1, if(and(BA34=Z34,BA34=vlookup($A34,'R2_G2'!$A$8:$AB$18, 28,false)),"yes","no"),
if(countif('R2_G3'!$A$8:$A$18,$A34)=1, if(and(BA34=Z34,BA34=vlookup($A34,'R2_G3'!$A$8:$AB$18, 28,false)),"yes","no"),
if(countif('R2_G4'!$A$8:$A$18,$A34)=1, if(and(BA34=Z34,BA34=vlookup($A34,'R2_G4'!$A$8:$AB$18, 28,false)),"yes","no"),
"?"))))
</f>
        <v>yes</v>
      </c>
      <c r="BC34" s="1487"/>
      <c r="BD34" s="1439">
        <f t="shared" si="51"/>
        <v>7</v>
      </c>
      <c r="BE34" s="1440">
        <f t="shared" si="52"/>
        <v>9.033333333</v>
      </c>
      <c r="BF34" s="1440">
        <f t="shared" si="53"/>
        <v>0</v>
      </c>
      <c r="BG34" s="1440">
        <f t="shared" si="54"/>
        <v>3</v>
      </c>
      <c r="BH34" s="1440">
        <f t="shared" si="55"/>
        <v>8</v>
      </c>
      <c r="BI34" s="1440">
        <f t="shared" si="56"/>
        <v>5</v>
      </c>
      <c r="BJ34" s="1440">
        <f t="shared" si="57"/>
        <v>2</v>
      </c>
    </row>
    <row r="35" ht="14.25" customHeight="1">
      <c r="A35" s="1423" t="str">
        <f t="shared" si="44"/>
        <v>Carp</v>
      </c>
      <c r="B35" s="1424">
        <f>VLOOKUP(A35,'Master Input'!$A$11:$L$27,8,false)</f>
        <v>14</v>
      </c>
      <c r="C35" s="1430"/>
      <c r="D35" s="1401"/>
      <c r="E35" s="1426">
        <f>if(countif('R2_G1'!$A$8:$A$18,$A35)=1,vlookup($A35,'R2_G1'!$A$8:$Y$18, E$2+4,false),if(countif('R2_G2'!$A$8:$A$18,$A35)=1,vlookup($A35,'R2_G2'!$A$8:$Y$18, E$2+4,false),if(countif('R2_G3'!$A$8:$A$18,$A35)=1,vlookup($A35,'R2_G3'!$A$8:$Y$18, E$2+4,false),if(countif('R2_G4'!$A$8:$A$18,$A35)=1,vlookup($A35,'R2_G4'!$A$8:$Y$18, E$2+4,false),""))))</f>
        <v>5</v>
      </c>
      <c r="F35" s="1426">
        <f>if(countif('R2_G1'!$A$8:$A$18,$A35)=1,vlookup($A35,'R2_G1'!$A$8:$Y$18, F$2+4,false),if(countif('R2_G2'!$A$8:$A$18,$A35)=1,vlookup($A35,'R2_G2'!$A$8:$Y$18, F$2+4,false),if(countif('R2_G3'!$A$8:$A$18,$A35)=1,vlookup($A35,'R2_G3'!$A$8:$Y$18, F$2+4,false),if(countif('R2_G4'!$A$8:$A$18,$A35)=1,vlookup($A35,'R2_G4'!$A$8:$Y$18, F$2+4,false),""))))</f>
        <v>3</v>
      </c>
      <c r="G35" s="1426">
        <f>if(countif('R2_G1'!$A$8:$A$18,$A35)=1,vlookup($A35,'R2_G1'!$A$8:$Y$18, G$2+4,false),if(countif('R2_G2'!$A$8:$A$18,$A35)=1,vlookup($A35,'R2_G2'!$A$8:$Y$18, G$2+4,false),if(countif('R2_G3'!$A$8:$A$18,$A35)=1,vlookup($A35,'R2_G3'!$A$8:$Y$18, G$2+4,false),if(countif('R2_G4'!$A$8:$A$18,$A35)=1,vlookup($A35,'R2_G4'!$A$8:$Y$18, G$2+4,false),""))))</f>
        <v>5</v>
      </c>
      <c r="H35" s="1426">
        <f>if(countif('R2_G1'!$A$8:$A$18,$A35)=1,vlookup($A35,'R2_G1'!$A$8:$Y$18, H$2+4,false),if(countif('R2_G2'!$A$8:$A$18,$A35)=1,vlookup($A35,'R2_G2'!$A$8:$Y$18, H$2+4,false),if(countif('R2_G3'!$A$8:$A$18,$A35)=1,vlookup($A35,'R2_G3'!$A$8:$Y$18, H$2+4,false),if(countif('R2_G4'!$A$8:$A$18,$A35)=1,vlookup($A35,'R2_G4'!$A$8:$Y$18, H$2+4,false),""))))</f>
        <v>7</v>
      </c>
      <c r="I35" s="1426">
        <f>if(countif('R2_G1'!$A$8:$A$18,$A35)=1,vlookup($A35,'R2_G1'!$A$8:$Y$18, I$2+4,false),if(countif('R2_G2'!$A$8:$A$18,$A35)=1,vlookup($A35,'R2_G2'!$A$8:$Y$18, I$2+4,false),if(countif('R2_G3'!$A$8:$A$18,$A35)=1,vlookup($A35,'R2_G3'!$A$8:$Y$18, I$2+4,false),if(countif('R2_G4'!$A$8:$A$18,$A35)=1,vlookup($A35,'R2_G4'!$A$8:$Y$18, I$2+4,false),""))))</f>
        <v>6</v>
      </c>
      <c r="J35" s="1426">
        <f>if(countif('R2_G1'!$A$8:$A$18,$A35)=1,vlookup($A35,'R2_G1'!$A$8:$Y$18, J$2+4,false),if(countif('R2_G2'!$A$8:$A$18,$A35)=1,vlookup($A35,'R2_G2'!$A$8:$Y$18, J$2+4,false),if(countif('R2_G3'!$A$8:$A$18,$A35)=1,vlookup($A35,'R2_G3'!$A$8:$Y$18, J$2+4,false),if(countif('R2_G4'!$A$8:$A$18,$A35)=1,vlookup($A35,'R2_G4'!$A$8:$Y$18, J$2+4,false),""))))</f>
        <v>5</v>
      </c>
      <c r="K35" s="1426">
        <f>if(countif('R2_G1'!$A$8:$A$18,$A35)=1,vlookup($A35,'R2_G1'!$A$8:$Y$18, K$2+4,false),if(countif('R2_G2'!$A$8:$A$18,$A35)=1,vlookup($A35,'R2_G2'!$A$8:$Y$18, K$2+4,false),if(countif('R2_G3'!$A$8:$A$18,$A35)=1,vlookup($A35,'R2_G3'!$A$8:$Y$18, K$2+4,false),if(countif('R2_G4'!$A$8:$A$18,$A35)=1,vlookup($A35,'R2_G4'!$A$8:$Y$18, K$2+4,false),""))))</f>
        <v>4</v>
      </c>
      <c r="L35" s="1426">
        <f>if(countif('R2_G1'!$A$8:$A$18,$A35)=1,vlookup($A35,'R2_G1'!$A$8:$Y$18, L$2+4,false),if(countif('R2_G2'!$A$8:$A$18,$A35)=1,vlookup($A35,'R2_G2'!$A$8:$Y$18, L$2+4,false),if(countif('R2_G3'!$A$8:$A$18,$A35)=1,vlookup($A35,'R2_G3'!$A$8:$Y$18, L$2+4,false),if(countif('R2_G4'!$A$8:$A$18,$A35)=1,vlookup($A35,'R2_G4'!$A$8:$Y$18, L$2+4,false),""))))</f>
        <v>3</v>
      </c>
      <c r="M35" s="1426">
        <f>if(countif('R2_G1'!$A$8:$A$18,$A35)=1,vlookup($A35,'R2_G1'!$A$8:$Y$18, M$2+4,false),if(countif('R2_G2'!$A$8:$A$18,$A35)=1,vlookup($A35,'R2_G2'!$A$8:$Y$18, M$2+4,false),if(countif('R2_G3'!$A$8:$A$18,$A35)=1,vlookup($A35,'R2_G3'!$A$8:$Y$18, M$2+4,false),if(countif('R2_G4'!$A$8:$A$18,$A35)=1,vlookup($A35,'R2_G4'!$A$8:$Y$18, M$2+4,false),""))))</f>
        <v>5</v>
      </c>
      <c r="N35" s="1427">
        <f>if(countif('R2_G1'!$A$8:$A$18,$A35)=1,vlookup($A35,'R2_G1'!$A$8:$Y$18, N$2+7,false),if(countif('R2_G2'!$A$8:$A$18,$A35)=1,vlookup($A35,'R2_G2'!$A$8:$Y$18, N$2+7,false),if(countif('R2_G3'!$A$8:$A$18,$A35)=1,vlookup($A35,'R2_G3'!$A$8:$Y$18, N$2+7,false),if(countif('R2_G4'!$A$8:$A$18,$A35)=1,vlookup($A35,'R2_G4'!$A$8:$Y$18, N$2+7,false),""))))</f>
        <v>6</v>
      </c>
      <c r="O35" s="1427">
        <f>if(countif('R2_G1'!$A$8:$A$18,$A35)=1,vlookup($A35,'R2_G1'!$A$8:$Y$18, O$2+7,false),if(countif('R2_G2'!$A$8:$A$18,$A35)=1,vlookup($A35,'R2_G2'!$A$8:$Y$18, O$2+7,false),if(countif('R2_G3'!$A$8:$A$18,$A35)=1,vlookup($A35,'R2_G3'!$A$8:$Y$18, O$2+7,false),if(countif('R2_G4'!$A$8:$A$18,$A35)=1,vlookup($A35,'R2_G4'!$A$8:$Y$18, O$2+7,false),""))))</f>
        <v>4</v>
      </c>
      <c r="P35" s="1427">
        <f>if(countif('R2_G1'!$A$8:$A$18,$A35)=1,vlookup($A35,'R2_G1'!$A$8:$Y$18, P$2+7,false),if(countif('R2_G2'!$A$8:$A$18,$A35)=1,vlookup($A35,'R2_G2'!$A$8:$Y$18, P$2+7,false),if(countif('R2_G3'!$A$8:$A$18,$A35)=1,vlookup($A35,'R2_G3'!$A$8:$Y$18, P$2+7,false),if(countif('R2_G4'!$A$8:$A$18,$A35)=1,vlookup($A35,'R2_G4'!$A$8:$Y$18, P$2+7,false),""))))</f>
        <v>5</v>
      </c>
      <c r="Q35" s="1427">
        <f>if(countif('R2_G1'!$A$8:$A$18,$A35)=1,vlookup($A35,'R2_G1'!$A$8:$Y$18, Q$2+7,false),if(countif('R2_G2'!$A$8:$A$18,$A35)=1,vlookup($A35,'R2_G2'!$A$8:$Y$18, Q$2+7,false),if(countif('R2_G3'!$A$8:$A$18,$A35)=1,vlookup($A35,'R2_G3'!$A$8:$Y$18, Q$2+7,false),if(countif('R2_G4'!$A$8:$A$18,$A35)=1,vlookup($A35,'R2_G4'!$A$8:$Y$18, Q$2+7,false),""))))</f>
        <v>5</v>
      </c>
      <c r="R35" s="1427">
        <f>if(countif('R2_G1'!$A$8:$A$18,$A35)=1,vlookup($A35,'R2_G1'!$A$8:$Y$18, R$2+7,false),if(countif('R2_G2'!$A$8:$A$18,$A35)=1,vlookup($A35,'R2_G2'!$A$8:$Y$18, R$2+7,false),if(countif('R2_G3'!$A$8:$A$18,$A35)=1,vlookup($A35,'R2_G3'!$A$8:$Y$18, R$2+7,false),if(countif('R2_G4'!$A$8:$A$18,$A35)=1,vlookup($A35,'R2_G4'!$A$8:$Y$18, R$2+7,false),""))))</f>
        <v>6</v>
      </c>
      <c r="S35" s="1427">
        <f>if(countif('R2_G1'!$A$8:$A$18,$A35)=1,vlookup($A35,'R2_G1'!$A$8:$Y$18, S$2+7,false),if(countif('R2_G2'!$A$8:$A$18,$A35)=1,vlookup($A35,'R2_G2'!$A$8:$Y$18, S$2+7,false),if(countif('R2_G3'!$A$8:$A$18,$A35)=1,vlookup($A35,'R2_G3'!$A$8:$Y$18, S$2+7,false),if(countif('R2_G4'!$A$8:$A$18,$A35)=1,vlookup($A35,'R2_G4'!$A$8:$Y$18, S$2+7,false),""))))</f>
        <v>6</v>
      </c>
      <c r="T35" s="1427">
        <f>if(countif('R2_G1'!$A$8:$A$18,$A35)=1,vlookup($A35,'R2_G1'!$A$8:$Y$18, T$2+7,false),if(countif('R2_G2'!$A$8:$A$18,$A35)=1,vlookup($A35,'R2_G2'!$A$8:$Y$18, T$2+7,false),if(countif('R2_G3'!$A$8:$A$18,$A35)=1,vlookup($A35,'R2_G3'!$A$8:$Y$18, T$2+7,false),if(countif('R2_G4'!$A$8:$A$18,$A35)=1,vlookup($A35,'R2_G4'!$A$8:$Y$18, T$2+7,false),""))))</f>
        <v>4</v>
      </c>
      <c r="U35" s="1427">
        <f>if(countif('R2_G1'!$A$8:$A$18,$A35)=1,vlookup($A35,'R2_G1'!$A$8:$Y$18, U$2+7,false),if(countif('R2_G2'!$A$8:$A$18,$A35)=1,vlookup($A35,'R2_G2'!$A$8:$Y$18, U$2+7,false),if(countif('R2_G3'!$A$8:$A$18,$A35)=1,vlookup($A35,'R2_G3'!$A$8:$Y$18, U$2+7,false),if(countif('R2_G4'!$A$8:$A$18,$A35)=1,vlookup($A35,'R2_G4'!$A$8:$Y$18, U$2+7,false),""))))</f>
        <v>6</v>
      </c>
      <c r="V35" s="1427">
        <f>if(countif('R2_G1'!$A$8:$A$18,$A35)=1,vlookup($A35,'R2_G1'!$A$8:$Y$18, V$2+7,false),if(countif('R2_G2'!$A$8:$A$18,$A35)=1,vlookup($A35,'R2_G2'!$A$8:$Y$18, V$2+7,false),if(countif('R2_G3'!$A$8:$A$18,$A35)=1,vlookup($A35,'R2_G3'!$A$8:$Y$18, V$2+7,false),if(countif('R2_G4'!$A$8:$A$18,$A35)=1,vlookup($A35,'R2_G4'!$A$8:$Y$18, V$2+7,false),""))))</f>
        <v>6</v>
      </c>
      <c r="W35" s="1428">
        <f t="shared" si="39"/>
        <v>43</v>
      </c>
      <c r="X35" s="1428">
        <f t="shared" si="40"/>
        <v>48</v>
      </c>
      <c r="Y35" s="1428">
        <f t="shared" si="45"/>
        <v>91</v>
      </c>
      <c r="Z35" s="1428">
        <f t="shared" si="46"/>
        <v>77</v>
      </c>
      <c r="AA35" s="1428">
        <f t="shared" si="47"/>
        <v>91</v>
      </c>
      <c r="AB35" s="1487"/>
      <c r="AC35" s="1423" t="str">
        <f t="shared" si="48"/>
        <v>Carp</v>
      </c>
      <c r="AD35" s="1424">
        <f>VLOOKUP(AC35,'Master Input'!$A$11:$L$27,8,false)</f>
        <v>14</v>
      </c>
      <c r="AE35" s="1423" t="s">
        <v>266</v>
      </c>
      <c r="AF35" s="1401"/>
      <c r="AG35" s="1428">
        <f t="shared" ref="AG35:AX35" si="62">if(E35="","",E35-IF($B35&gt;0,FLOOR($B35/18,1),0)-IF(AND(MOD($B35,18)&gt;=E$27,$B35&gt;0),1,0)+IF(E$27-18&gt;$B35,1,0))</f>
        <v>4</v>
      </c>
      <c r="AH35" s="1428">
        <f t="shared" si="62"/>
        <v>3</v>
      </c>
      <c r="AI35" s="1428">
        <f t="shared" si="62"/>
        <v>4</v>
      </c>
      <c r="AJ35" s="1428">
        <f t="shared" si="62"/>
        <v>6</v>
      </c>
      <c r="AK35" s="1428">
        <f t="shared" si="62"/>
        <v>5</v>
      </c>
      <c r="AL35" s="1428">
        <f t="shared" si="62"/>
        <v>4</v>
      </c>
      <c r="AM35" s="1428">
        <f t="shared" si="62"/>
        <v>4</v>
      </c>
      <c r="AN35" s="1428">
        <f t="shared" si="62"/>
        <v>2</v>
      </c>
      <c r="AO35" s="1428">
        <f t="shared" si="62"/>
        <v>4</v>
      </c>
      <c r="AP35" s="1429">
        <f t="shared" si="62"/>
        <v>5</v>
      </c>
      <c r="AQ35" s="1429">
        <f t="shared" si="62"/>
        <v>3</v>
      </c>
      <c r="AR35" s="1429">
        <f t="shared" si="62"/>
        <v>5</v>
      </c>
      <c r="AS35" s="1429">
        <f t="shared" si="62"/>
        <v>4</v>
      </c>
      <c r="AT35" s="1429">
        <f t="shared" si="62"/>
        <v>5</v>
      </c>
      <c r="AU35" s="1429">
        <f t="shared" si="62"/>
        <v>5</v>
      </c>
      <c r="AV35" s="1429">
        <f t="shared" si="62"/>
        <v>4</v>
      </c>
      <c r="AW35" s="1429">
        <f t="shared" si="62"/>
        <v>5</v>
      </c>
      <c r="AX35" s="1429">
        <f t="shared" si="62"/>
        <v>5</v>
      </c>
      <c r="AY35" s="1428">
        <f t="shared" si="42"/>
        <v>36</v>
      </c>
      <c r="AZ35" s="1428">
        <f t="shared" si="43"/>
        <v>41</v>
      </c>
      <c r="BA35" s="1428">
        <f t="shared" si="50"/>
        <v>77</v>
      </c>
      <c r="BB35" s="1430" t="str">
        <f>if(countif('R2_G1'!$A$8:$A$18,$A35)=1, if(and(BA35=Z35,BA35=vlookup($A35,'R2_G1'!$A$8:$AB$18, 28,false)),"yes","no"),
if(countif('R2_G2'!$A$8:$A$18,$A35)=1, if(and(BA35=Z35,BA35=vlookup($A35,'R2_G2'!$A$8:$AB$18, 28,false)),"yes","no"),
if(countif('R2_G3'!$A$8:$A$18,$A35)=1, if(and(BA35=Z35,BA35=vlookup($A35,'R2_G3'!$A$8:$AB$18, 28,false)),"yes","no"),
if(countif('R2_G4'!$A$8:$A$18,$A35)=1, if(and(BA35=Z35,BA35=vlookup($A35,'R2_G4'!$A$8:$AB$18, 28,false)),"yes","no"),
"?"))))
</f>
        <v>yes</v>
      </c>
      <c r="BC35" s="1487"/>
      <c r="BD35" s="1441">
        <f t="shared" si="51"/>
        <v>7.5</v>
      </c>
      <c r="BE35" s="1442">
        <f t="shared" si="52"/>
        <v>9.266666667</v>
      </c>
      <c r="BF35" s="1442">
        <f t="shared" si="53"/>
        <v>0</v>
      </c>
      <c r="BG35" s="1442">
        <f t="shared" si="54"/>
        <v>4</v>
      </c>
      <c r="BH35" s="1442">
        <f t="shared" si="55"/>
        <v>7</v>
      </c>
      <c r="BI35" s="1442">
        <f t="shared" si="56"/>
        <v>5</v>
      </c>
      <c r="BJ35" s="1442">
        <f t="shared" si="57"/>
        <v>2</v>
      </c>
    </row>
    <row r="36" ht="14.25" customHeight="1">
      <c r="A36" s="1434" t="str">
        <f t="shared" si="44"/>
        <v>Saugy</v>
      </c>
      <c r="B36" s="1435">
        <f>VLOOKUP(A36,'Master Input'!$A$11:$L$27,8,false)</f>
        <v>30</v>
      </c>
      <c r="C36" s="1436"/>
      <c r="D36" s="1401"/>
      <c r="E36" s="1437">
        <f>if(countif('R2_G1'!$A$8:$A$18,$A36)=1,vlookup($A36,'R2_G1'!$A$8:$Y$18, E$2+4,false),if(countif('R2_G2'!$A$8:$A$18,$A36)=1,vlookup($A36,'R2_G2'!$A$8:$Y$18, E$2+4,false),if(countif('R2_G3'!$A$8:$A$18,$A36)=1,vlookup($A36,'R2_G3'!$A$8:$Y$18, E$2+4,false),if(countif('R2_G4'!$A$8:$A$18,$A36)=1,vlookup($A36,'R2_G4'!$A$8:$Y$18, E$2+4,false),""))))</f>
        <v>7</v>
      </c>
      <c r="F36" s="1437">
        <f>if(countif('R2_G1'!$A$8:$A$18,$A36)=1,vlookup($A36,'R2_G1'!$A$8:$Y$18, F$2+4,false),if(countif('R2_G2'!$A$8:$A$18,$A36)=1,vlookup($A36,'R2_G2'!$A$8:$Y$18, F$2+4,false),if(countif('R2_G3'!$A$8:$A$18,$A36)=1,vlookup($A36,'R2_G3'!$A$8:$Y$18, F$2+4,false),if(countif('R2_G4'!$A$8:$A$18,$A36)=1,vlookup($A36,'R2_G4'!$A$8:$Y$18, F$2+4,false),""))))</f>
        <v>6</v>
      </c>
      <c r="G36" s="1437">
        <f>if(countif('R2_G1'!$A$8:$A$18,$A36)=1,vlookup($A36,'R2_G1'!$A$8:$Y$18, G$2+4,false),if(countif('R2_G2'!$A$8:$A$18,$A36)=1,vlookup($A36,'R2_G2'!$A$8:$Y$18, G$2+4,false),if(countif('R2_G3'!$A$8:$A$18,$A36)=1,vlookup($A36,'R2_G3'!$A$8:$Y$18, G$2+4,false),if(countif('R2_G4'!$A$8:$A$18,$A36)=1,vlookup($A36,'R2_G4'!$A$8:$Y$18, G$2+4,false),""))))</f>
        <v>4</v>
      </c>
      <c r="H36" s="1437">
        <f>if(countif('R2_G1'!$A$8:$A$18,$A36)=1,vlookup($A36,'R2_G1'!$A$8:$Y$18, H$2+4,false),if(countif('R2_G2'!$A$8:$A$18,$A36)=1,vlookup($A36,'R2_G2'!$A$8:$Y$18, H$2+4,false),if(countif('R2_G3'!$A$8:$A$18,$A36)=1,vlookup($A36,'R2_G3'!$A$8:$Y$18, H$2+4,false),if(countif('R2_G4'!$A$8:$A$18,$A36)=1,vlookup($A36,'R2_G4'!$A$8:$Y$18, H$2+4,false),""))))</f>
        <v>7</v>
      </c>
      <c r="I36" s="1437">
        <f>if(countif('R2_G1'!$A$8:$A$18,$A36)=1,vlookup($A36,'R2_G1'!$A$8:$Y$18, I$2+4,false),if(countif('R2_G2'!$A$8:$A$18,$A36)=1,vlookup($A36,'R2_G2'!$A$8:$Y$18, I$2+4,false),if(countif('R2_G3'!$A$8:$A$18,$A36)=1,vlookup($A36,'R2_G3'!$A$8:$Y$18, I$2+4,false),if(countif('R2_G4'!$A$8:$A$18,$A36)=1,vlookup($A36,'R2_G4'!$A$8:$Y$18, I$2+4,false),""))))</f>
        <v>5</v>
      </c>
      <c r="J36" s="1437">
        <f>if(countif('R2_G1'!$A$8:$A$18,$A36)=1,vlookup($A36,'R2_G1'!$A$8:$Y$18, J$2+4,false),if(countif('R2_G2'!$A$8:$A$18,$A36)=1,vlookup($A36,'R2_G2'!$A$8:$Y$18, J$2+4,false),if(countif('R2_G3'!$A$8:$A$18,$A36)=1,vlookup($A36,'R2_G3'!$A$8:$Y$18, J$2+4,false),if(countif('R2_G4'!$A$8:$A$18,$A36)=1,vlookup($A36,'R2_G4'!$A$8:$Y$18, J$2+4,false),""))))</f>
        <v>8</v>
      </c>
      <c r="K36" s="1437">
        <f>if(countif('R2_G1'!$A$8:$A$18,$A36)=1,vlookup($A36,'R2_G1'!$A$8:$Y$18, K$2+4,false),if(countif('R2_G2'!$A$8:$A$18,$A36)=1,vlookup($A36,'R2_G2'!$A$8:$Y$18, K$2+4,false),if(countif('R2_G3'!$A$8:$A$18,$A36)=1,vlookup($A36,'R2_G3'!$A$8:$Y$18, K$2+4,false),if(countif('R2_G4'!$A$8:$A$18,$A36)=1,vlookup($A36,'R2_G4'!$A$8:$Y$18, K$2+4,false),""))))</f>
        <v>5</v>
      </c>
      <c r="L36" s="1437">
        <f>if(countif('R2_G1'!$A$8:$A$18,$A36)=1,vlookup($A36,'R2_G1'!$A$8:$Y$18, L$2+4,false),if(countif('R2_G2'!$A$8:$A$18,$A36)=1,vlookup($A36,'R2_G2'!$A$8:$Y$18, L$2+4,false),if(countif('R2_G3'!$A$8:$A$18,$A36)=1,vlookup($A36,'R2_G3'!$A$8:$Y$18, L$2+4,false),if(countif('R2_G4'!$A$8:$A$18,$A36)=1,vlookup($A36,'R2_G4'!$A$8:$Y$18, L$2+4,false),""))))</f>
        <v>7</v>
      </c>
      <c r="M36" s="1437">
        <f>if(countif('R2_G1'!$A$8:$A$18,$A36)=1,vlookup($A36,'R2_G1'!$A$8:$Y$18, M$2+4,false),if(countif('R2_G2'!$A$8:$A$18,$A36)=1,vlookup($A36,'R2_G2'!$A$8:$Y$18, M$2+4,false),if(countif('R2_G3'!$A$8:$A$18,$A36)=1,vlookup($A36,'R2_G3'!$A$8:$Y$18, M$2+4,false),if(countif('R2_G4'!$A$8:$A$18,$A36)=1,vlookup($A36,'R2_G4'!$A$8:$Y$18, M$2+4,false),""))))</f>
        <v>7</v>
      </c>
      <c r="N36" s="1426">
        <f>if(countif('R2_G1'!$A$8:$A$18,$A36)=1,vlookup($A36,'R2_G1'!$A$8:$Y$18, N$2+7,false),if(countif('R2_G2'!$A$8:$A$18,$A36)=1,vlookup($A36,'R2_G2'!$A$8:$Y$18, N$2+7,false),if(countif('R2_G3'!$A$8:$A$18,$A36)=1,vlookup($A36,'R2_G3'!$A$8:$Y$18, N$2+7,false),if(countif('R2_G4'!$A$8:$A$18,$A36)=1,vlookup($A36,'R2_G4'!$A$8:$Y$18, N$2+7,false),""))))</f>
        <v>6</v>
      </c>
      <c r="O36" s="1426">
        <f>if(countif('R2_G1'!$A$8:$A$18,$A36)=1,vlookup($A36,'R2_G1'!$A$8:$Y$18, O$2+7,false),if(countif('R2_G2'!$A$8:$A$18,$A36)=1,vlookup($A36,'R2_G2'!$A$8:$Y$18, O$2+7,false),if(countif('R2_G3'!$A$8:$A$18,$A36)=1,vlookup($A36,'R2_G3'!$A$8:$Y$18, O$2+7,false),if(countif('R2_G4'!$A$8:$A$18,$A36)=1,vlookup($A36,'R2_G4'!$A$8:$Y$18, O$2+7,false),""))))</f>
        <v>9</v>
      </c>
      <c r="P36" s="1426">
        <f>if(countif('R2_G1'!$A$8:$A$18,$A36)=1,vlookup($A36,'R2_G1'!$A$8:$Y$18, P$2+7,false),if(countif('R2_G2'!$A$8:$A$18,$A36)=1,vlookup($A36,'R2_G2'!$A$8:$Y$18, P$2+7,false),if(countif('R2_G3'!$A$8:$A$18,$A36)=1,vlookup($A36,'R2_G3'!$A$8:$Y$18, P$2+7,false),if(countif('R2_G4'!$A$8:$A$18,$A36)=1,vlookup($A36,'R2_G4'!$A$8:$Y$18, P$2+7,false),""))))</f>
        <v>4</v>
      </c>
      <c r="Q36" s="1426">
        <f>if(countif('R2_G1'!$A$8:$A$18,$A36)=1,vlookup($A36,'R2_G1'!$A$8:$Y$18, Q$2+7,false),if(countif('R2_G2'!$A$8:$A$18,$A36)=1,vlookup($A36,'R2_G2'!$A$8:$Y$18, Q$2+7,false),if(countif('R2_G3'!$A$8:$A$18,$A36)=1,vlookup($A36,'R2_G3'!$A$8:$Y$18, Q$2+7,false),if(countif('R2_G4'!$A$8:$A$18,$A36)=1,vlookup($A36,'R2_G4'!$A$8:$Y$18, Q$2+7,false),""))))</f>
        <v>5</v>
      </c>
      <c r="R36" s="1426">
        <f>if(countif('R2_G1'!$A$8:$A$18,$A36)=1,vlookup($A36,'R2_G1'!$A$8:$Y$18, R$2+7,false),if(countif('R2_G2'!$A$8:$A$18,$A36)=1,vlookup($A36,'R2_G2'!$A$8:$Y$18, R$2+7,false),if(countif('R2_G3'!$A$8:$A$18,$A36)=1,vlookup($A36,'R2_G3'!$A$8:$Y$18, R$2+7,false),if(countif('R2_G4'!$A$8:$A$18,$A36)=1,vlookup($A36,'R2_G4'!$A$8:$Y$18, R$2+7,false),""))))</f>
        <v>11</v>
      </c>
      <c r="S36" s="1426">
        <f>if(countif('R2_G1'!$A$8:$A$18,$A36)=1,vlookup($A36,'R2_G1'!$A$8:$Y$18, S$2+7,false),if(countif('R2_G2'!$A$8:$A$18,$A36)=1,vlookup($A36,'R2_G2'!$A$8:$Y$18, S$2+7,false),if(countif('R2_G3'!$A$8:$A$18,$A36)=1,vlookup($A36,'R2_G3'!$A$8:$Y$18, S$2+7,false),if(countif('R2_G4'!$A$8:$A$18,$A36)=1,vlookup($A36,'R2_G4'!$A$8:$Y$18, S$2+7,false),""))))</f>
        <v>7</v>
      </c>
      <c r="T36" s="1426">
        <f>if(countif('R2_G1'!$A$8:$A$18,$A36)=1,vlookup($A36,'R2_G1'!$A$8:$Y$18, T$2+7,false),if(countif('R2_G2'!$A$8:$A$18,$A36)=1,vlookup($A36,'R2_G2'!$A$8:$Y$18, T$2+7,false),if(countif('R2_G3'!$A$8:$A$18,$A36)=1,vlookup($A36,'R2_G3'!$A$8:$Y$18, T$2+7,false),if(countif('R2_G4'!$A$8:$A$18,$A36)=1,vlookup($A36,'R2_G4'!$A$8:$Y$18, T$2+7,false),""))))</f>
        <v>6</v>
      </c>
      <c r="U36" s="1426">
        <f>if(countif('R2_G1'!$A$8:$A$18,$A36)=1,vlookup($A36,'R2_G1'!$A$8:$Y$18, U$2+7,false),if(countif('R2_G2'!$A$8:$A$18,$A36)=1,vlookup($A36,'R2_G2'!$A$8:$Y$18, U$2+7,false),if(countif('R2_G3'!$A$8:$A$18,$A36)=1,vlookup($A36,'R2_G3'!$A$8:$Y$18, U$2+7,false),if(countif('R2_G4'!$A$8:$A$18,$A36)=1,vlookup($A36,'R2_G4'!$A$8:$Y$18, U$2+7,false),""))))</f>
        <v>7</v>
      </c>
      <c r="V36" s="1426">
        <f>if(countif('R2_G1'!$A$8:$A$18,$A36)=1,vlookup($A36,'R2_G1'!$A$8:$Y$18, V$2+7,false),if(countif('R2_G2'!$A$8:$A$18,$A36)=1,vlookup($A36,'R2_G2'!$A$8:$Y$18, V$2+7,false),if(countif('R2_G3'!$A$8:$A$18,$A36)=1,vlookup($A36,'R2_G3'!$A$8:$Y$18, V$2+7,false),if(countif('R2_G4'!$A$8:$A$18,$A36)=1,vlookup($A36,'R2_G4'!$A$8:$Y$18, V$2+7,false),""))))</f>
        <v>11</v>
      </c>
      <c r="W36" s="1438">
        <f t="shared" si="39"/>
        <v>56</v>
      </c>
      <c r="X36" s="1438">
        <f t="shared" si="40"/>
        <v>66</v>
      </c>
      <c r="Y36" s="1438">
        <f t="shared" si="45"/>
        <v>122</v>
      </c>
      <c r="Z36" s="1438">
        <f t="shared" si="46"/>
        <v>92</v>
      </c>
      <c r="AA36" s="1438">
        <f t="shared" si="47"/>
        <v>122</v>
      </c>
      <c r="AB36" s="1487"/>
      <c r="AC36" s="1423" t="str">
        <f t="shared" si="48"/>
        <v>Saugy</v>
      </c>
      <c r="AD36" s="1435">
        <f>VLOOKUP(AC36,'Master Input'!$A$11:$L$27,8,false)</f>
        <v>30</v>
      </c>
      <c r="AE36" s="1434" t="s">
        <v>266</v>
      </c>
      <c r="AF36" s="1401"/>
      <c r="AG36" s="1438">
        <f t="shared" ref="AG36:AX36" si="63">if(E36="","",E36-IF($B36&gt;0,FLOOR($B36/18,1),0)-IF(AND(MOD($B36,18)&gt;=E$27,$B36&gt;0),1,0)+IF(E$27-18&gt;$B36,1,0))</f>
        <v>5</v>
      </c>
      <c r="AH36" s="1438">
        <f t="shared" si="63"/>
        <v>5</v>
      </c>
      <c r="AI36" s="1438">
        <f t="shared" si="63"/>
        <v>3</v>
      </c>
      <c r="AJ36" s="1438">
        <f t="shared" si="63"/>
        <v>5</v>
      </c>
      <c r="AK36" s="1438">
        <f t="shared" si="63"/>
        <v>3</v>
      </c>
      <c r="AL36" s="1438">
        <f t="shared" si="63"/>
        <v>6</v>
      </c>
      <c r="AM36" s="1438">
        <f t="shared" si="63"/>
        <v>4</v>
      </c>
      <c r="AN36" s="1438">
        <f t="shared" si="63"/>
        <v>5</v>
      </c>
      <c r="AO36" s="1438">
        <f t="shared" si="63"/>
        <v>5</v>
      </c>
      <c r="AP36" s="1426">
        <f t="shared" si="63"/>
        <v>4</v>
      </c>
      <c r="AQ36" s="1426">
        <f t="shared" si="63"/>
        <v>7</v>
      </c>
      <c r="AR36" s="1426">
        <f t="shared" si="63"/>
        <v>3</v>
      </c>
      <c r="AS36" s="1426">
        <f t="shared" si="63"/>
        <v>4</v>
      </c>
      <c r="AT36" s="1426">
        <f t="shared" si="63"/>
        <v>9</v>
      </c>
      <c r="AU36" s="1426">
        <f t="shared" si="63"/>
        <v>5</v>
      </c>
      <c r="AV36" s="1426">
        <f t="shared" si="63"/>
        <v>5</v>
      </c>
      <c r="AW36" s="1426">
        <f t="shared" si="63"/>
        <v>5</v>
      </c>
      <c r="AX36" s="1426">
        <f t="shared" si="63"/>
        <v>9</v>
      </c>
      <c r="AY36" s="1438">
        <f t="shared" si="42"/>
        <v>41</v>
      </c>
      <c r="AZ36" s="1438">
        <f t="shared" si="43"/>
        <v>51</v>
      </c>
      <c r="BA36" s="1438">
        <f t="shared" si="50"/>
        <v>92</v>
      </c>
      <c r="BB36" s="1436" t="str">
        <f>if(countif('R2_G1'!$A$8:$A$18,$A36)=1, if(and(BA36=Z36,BA36=vlookup($A36,'R2_G1'!$A$8:$AB$18, 28,false)),"yes","no"),
if(countif('R2_G2'!$A$8:$A$18,$A36)=1, if(and(BA36=Z36,BA36=vlookup($A36,'R2_G2'!$A$8:$AB$18, 28,false)),"yes","no"),
if(countif('R2_G3'!$A$8:$A$18,$A36)=1, if(and(BA36=Z36,BA36=vlookup($A36,'R2_G3'!$A$8:$AB$18, 28,false)),"yes","no"),
if(countif('R2_G4'!$A$8:$A$18,$A36)=1, if(and(BA36=Z36,BA36=vlookup($A36,'R2_G4'!$A$8:$AB$18, 28,false)),"yes","no"),
"?"))))
</f>
        <v>yes</v>
      </c>
      <c r="BC36" s="1487"/>
      <c r="BD36" s="1439">
        <f t="shared" si="51"/>
        <v>4.5</v>
      </c>
      <c r="BE36" s="1440">
        <f t="shared" si="52"/>
        <v>6.666666667</v>
      </c>
      <c r="BF36" s="1440">
        <f t="shared" si="53"/>
        <v>0</v>
      </c>
      <c r="BG36" s="1440">
        <f t="shared" si="54"/>
        <v>1</v>
      </c>
      <c r="BH36" s="1440">
        <f t="shared" si="55"/>
        <v>7</v>
      </c>
      <c r="BI36" s="1440">
        <f t="shared" si="56"/>
        <v>4</v>
      </c>
      <c r="BJ36" s="1440">
        <f t="shared" si="57"/>
        <v>6</v>
      </c>
    </row>
    <row r="37" ht="14.25" customHeight="1">
      <c r="A37" s="1423" t="str">
        <f t="shared" si="44"/>
        <v>Telly</v>
      </c>
      <c r="B37" s="1424">
        <f>VLOOKUP(A37,'Master Input'!$A$11:$L$27,8,false)</f>
        <v>2</v>
      </c>
      <c r="C37" s="1430"/>
      <c r="D37" s="1401"/>
      <c r="E37" s="1426">
        <f>if(countif('R2_G1'!$A$8:$A$18,$A37)=1,vlookup($A37,'R2_G1'!$A$8:$Y$18, E$2+4,false),if(countif('R2_G2'!$A$8:$A$18,$A37)=1,vlookup($A37,'R2_G2'!$A$8:$Y$18, E$2+4,false),if(countif('R2_G3'!$A$8:$A$18,$A37)=1,vlookup($A37,'R2_G3'!$A$8:$Y$18, E$2+4,false),if(countif('R2_G4'!$A$8:$A$18,$A37)=1,vlookup($A37,'R2_G4'!$A$8:$Y$18, E$2+4,false),""))))</f>
        <v>4</v>
      </c>
      <c r="F37" s="1426">
        <f>if(countif('R2_G1'!$A$8:$A$18,$A37)=1,vlookup($A37,'R2_G1'!$A$8:$Y$18, F$2+4,false),if(countif('R2_G2'!$A$8:$A$18,$A37)=1,vlookup($A37,'R2_G2'!$A$8:$Y$18, F$2+4,false),if(countif('R2_G3'!$A$8:$A$18,$A37)=1,vlookup($A37,'R2_G3'!$A$8:$Y$18, F$2+4,false),if(countif('R2_G4'!$A$8:$A$18,$A37)=1,vlookup($A37,'R2_G4'!$A$8:$Y$18, F$2+4,false),""))))</f>
        <v>7</v>
      </c>
      <c r="G37" s="1426">
        <f>if(countif('R2_G1'!$A$8:$A$18,$A37)=1,vlookup($A37,'R2_G1'!$A$8:$Y$18, G$2+4,false),if(countif('R2_G2'!$A$8:$A$18,$A37)=1,vlookup($A37,'R2_G2'!$A$8:$Y$18, G$2+4,false),if(countif('R2_G3'!$A$8:$A$18,$A37)=1,vlookup($A37,'R2_G3'!$A$8:$Y$18, G$2+4,false),if(countif('R2_G4'!$A$8:$A$18,$A37)=1,vlookup($A37,'R2_G4'!$A$8:$Y$18, G$2+4,false),""))))</f>
        <v>3</v>
      </c>
      <c r="H37" s="1426">
        <f>if(countif('R2_G1'!$A$8:$A$18,$A37)=1,vlookup($A37,'R2_G1'!$A$8:$Y$18, H$2+4,false),if(countif('R2_G2'!$A$8:$A$18,$A37)=1,vlookup($A37,'R2_G2'!$A$8:$Y$18, H$2+4,false),if(countif('R2_G3'!$A$8:$A$18,$A37)=1,vlookup($A37,'R2_G3'!$A$8:$Y$18, H$2+4,false),if(countif('R2_G4'!$A$8:$A$18,$A37)=1,vlookup($A37,'R2_G4'!$A$8:$Y$18, H$2+4,false),""))))</f>
        <v>7</v>
      </c>
      <c r="I37" s="1426">
        <f>if(countif('R2_G1'!$A$8:$A$18,$A37)=1,vlookup($A37,'R2_G1'!$A$8:$Y$18, I$2+4,false),if(countif('R2_G2'!$A$8:$A$18,$A37)=1,vlookup($A37,'R2_G2'!$A$8:$Y$18, I$2+4,false),if(countif('R2_G3'!$A$8:$A$18,$A37)=1,vlookup($A37,'R2_G3'!$A$8:$Y$18, I$2+4,false),if(countif('R2_G4'!$A$8:$A$18,$A37)=1,vlookup($A37,'R2_G4'!$A$8:$Y$18, I$2+4,false),""))))</f>
        <v>5</v>
      </c>
      <c r="J37" s="1426">
        <f>if(countif('R2_G1'!$A$8:$A$18,$A37)=1,vlookup($A37,'R2_G1'!$A$8:$Y$18, J$2+4,false),if(countif('R2_G2'!$A$8:$A$18,$A37)=1,vlookup($A37,'R2_G2'!$A$8:$Y$18, J$2+4,false),if(countif('R2_G3'!$A$8:$A$18,$A37)=1,vlookup($A37,'R2_G3'!$A$8:$Y$18, J$2+4,false),if(countif('R2_G4'!$A$8:$A$18,$A37)=1,vlookup($A37,'R2_G4'!$A$8:$Y$18, J$2+4,false),""))))</f>
        <v>5</v>
      </c>
      <c r="K37" s="1426">
        <f>if(countif('R2_G1'!$A$8:$A$18,$A37)=1,vlookup($A37,'R2_G1'!$A$8:$Y$18, K$2+4,false),if(countif('R2_G2'!$A$8:$A$18,$A37)=1,vlookup($A37,'R2_G2'!$A$8:$Y$18, K$2+4,false),if(countif('R2_G3'!$A$8:$A$18,$A37)=1,vlookup($A37,'R2_G3'!$A$8:$Y$18, K$2+4,false),if(countif('R2_G4'!$A$8:$A$18,$A37)=1,vlookup($A37,'R2_G4'!$A$8:$Y$18, K$2+4,false),""))))</f>
        <v>5</v>
      </c>
      <c r="L37" s="1426">
        <f>if(countif('R2_G1'!$A$8:$A$18,$A37)=1,vlookup($A37,'R2_G1'!$A$8:$Y$18, L$2+4,false),if(countif('R2_G2'!$A$8:$A$18,$A37)=1,vlookup($A37,'R2_G2'!$A$8:$Y$18, L$2+4,false),if(countif('R2_G3'!$A$8:$A$18,$A37)=1,vlookup($A37,'R2_G3'!$A$8:$Y$18, L$2+4,false),if(countif('R2_G4'!$A$8:$A$18,$A37)=1,vlookup($A37,'R2_G4'!$A$8:$Y$18, L$2+4,false),""))))</f>
        <v>4</v>
      </c>
      <c r="M37" s="1426">
        <f>if(countif('R2_G1'!$A$8:$A$18,$A37)=1,vlookup($A37,'R2_G1'!$A$8:$Y$18, M$2+4,false),if(countif('R2_G2'!$A$8:$A$18,$A37)=1,vlookup($A37,'R2_G2'!$A$8:$Y$18, M$2+4,false),if(countif('R2_G3'!$A$8:$A$18,$A37)=1,vlookup($A37,'R2_G3'!$A$8:$Y$18, M$2+4,false),if(countif('R2_G4'!$A$8:$A$18,$A37)=1,vlookup($A37,'R2_G4'!$A$8:$Y$18, M$2+4,false),""))))</f>
        <v>4</v>
      </c>
      <c r="N37" s="1427">
        <f>if(countif('R2_G1'!$A$8:$A$18,$A37)=1,vlookup($A37,'R2_G1'!$A$8:$Y$18, N$2+7,false),if(countif('R2_G2'!$A$8:$A$18,$A37)=1,vlookup($A37,'R2_G2'!$A$8:$Y$18, N$2+7,false),if(countif('R2_G3'!$A$8:$A$18,$A37)=1,vlookup($A37,'R2_G3'!$A$8:$Y$18, N$2+7,false),if(countif('R2_G4'!$A$8:$A$18,$A37)=1,vlookup($A37,'R2_G4'!$A$8:$Y$18, N$2+7,false),""))))</f>
        <v>5</v>
      </c>
      <c r="O37" s="1427">
        <f>if(countif('R2_G1'!$A$8:$A$18,$A37)=1,vlookup($A37,'R2_G1'!$A$8:$Y$18, O$2+7,false),if(countif('R2_G2'!$A$8:$A$18,$A37)=1,vlookup($A37,'R2_G2'!$A$8:$Y$18, O$2+7,false),if(countif('R2_G3'!$A$8:$A$18,$A37)=1,vlookup($A37,'R2_G3'!$A$8:$Y$18, O$2+7,false),if(countif('R2_G4'!$A$8:$A$18,$A37)=1,vlookup($A37,'R2_G4'!$A$8:$Y$18, O$2+7,false),""))))</f>
        <v>5</v>
      </c>
      <c r="P37" s="1427">
        <f>if(countif('R2_G1'!$A$8:$A$18,$A37)=1,vlookup($A37,'R2_G1'!$A$8:$Y$18, P$2+7,false),if(countif('R2_G2'!$A$8:$A$18,$A37)=1,vlookup($A37,'R2_G2'!$A$8:$Y$18, P$2+7,false),if(countif('R2_G3'!$A$8:$A$18,$A37)=1,vlookup($A37,'R2_G3'!$A$8:$Y$18, P$2+7,false),if(countif('R2_G4'!$A$8:$A$18,$A37)=1,vlookup($A37,'R2_G4'!$A$8:$Y$18, P$2+7,false),""))))</f>
        <v>3</v>
      </c>
      <c r="Q37" s="1427">
        <f>if(countif('R2_G1'!$A$8:$A$18,$A37)=1,vlookup($A37,'R2_G1'!$A$8:$Y$18, Q$2+7,false),if(countif('R2_G2'!$A$8:$A$18,$A37)=1,vlookup($A37,'R2_G2'!$A$8:$Y$18, Q$2+7,false),if(countif('R2_G3'!$A$8:$A$18,$A37)=1,vlookup($A37,'R2_G3'!$A$8:$Y$18, Q$2+7,false),if(countif('R2_G4'!$A$8:$A$18,$A37)=1,vlookup($A37,'R2_G4'!$A$8:$Y$18, Q$2+7,false),""))))</f>
        <v>5</v>
      </c>
      <c r="R37" s="1427">
        <f>if(countif('R2_G1'!$A$8:$A$18,$A37)=1,vlookup($A37,'R2_G1'!$A$8:$Y$18, R$2+7,false),if(countif('R2_G2'!$A$8:$A$18,$A37)=1,vlookup($A37,'R2_G2'!$A$8:$Y$18, R$2+7,false),if(countif('R2_G3'!$A$8:$A$18,$A37)=1,vlookup($A37,'R2_G3'!$A$8:$Y$18, R$2+7,false),if(countif('R2_G4'!$A$8:$A$18,$A37)=1,vlookup($A37,'R2_G4'!$A$8:$Y$18, R$2+7,false),""))))</f>
        <v>5</v>
      </c>
      <c r="S37" s="1427">
        <f>if(countif('R2_G1'!$A$8:$A$18,$A37)=1,vlookup($A37,'R2_G1'!$A$8:$Y$18, S$2+7,false),if(countif('R2_G2'!$A$8:$A$18,$A37)=1,vlookup($A37,'R2_G2'!$A$8:$Y$18, S$2+7,false),if(countif('R2_G3'!$A$8:$A$18,$A37)=1,vlookup($A37,'R2_G3'!$A$8:$Y$18, S$2+7,false),if(countif('R2_G4'!$A$8:$A$18,$A37)=1,vlookup($A37,'R2_G4'!$A$8:$Y$18, S$2+7,false),""))))</f>
        <v>5</v>
      </c>
      <c r="T37" s="1427">
        <f>if(countif('R2_G1'!$A$8:$A$18,$A37)=1,vlookup($A37,'R2_G1'!$A$8:$Y$18, T$2+7,false),if(countif('R2_G2'!$A$8:$A$18,$A37)=1,vlookup($A37,'R2_G2'!$A$8:$Y$18, T$2+7,false),if(countif('R2_G3'!$A$8:$A$18,$A37)=1,vlookup($A37,'R2_G3'!$A$8:$Y$18, T$2+7,false),if(countif('R2_G4'!$A$8:$A$18,$A37)=1,vlookup($A37,'R2_G4'!$A$8:$Y$18, T$2+7,false),""))))</f>
        <v>4</v>
      </c>
      <c r="U37" s="1427">
        <f>if(countif('R2_G1'!$A$8:$A$18,$A37)=1,vlookup($A37,'R2_G1'!$A$8:$Y$18, U$2+7,false),if(countif('R2_G2'!$A$8:$A$18,$A37)=1,vlookup($A37,'R2_G2'!$A$8:$Y$18, U$2+7,false),if(countif('R2_G3'!$A$8:$A$18,$A37)=1,vlookup($A37,'R2_G3'!$A$8:$Y$18, U$2+7,false),if(countif('R2_G4'!$A$8:$A$18,$A37)=1,vlookup($A37,'R2_G4'!$A$8:$Y$18, U$2+7,false),""))))</f>
        <v>4</v>
      </c>
      <c r="V37" s="1427">
        <f>if(countif('R2_G1'!$A$8:$A$18,$A37)=1,vlookup($A37,'R2_G1'!$A$8:$Y$18, V$2+7,false),if(countif('R2_G2'!$A$8:$A$18,$A37)=1,vlookup($A37,'R2_G2'!$A$8:$Y$18, V$2+7,false),if(countif('R2_G3'!$A$8:$A$18,$A37)=1,vlookup($A37,'R2_G3'!$A$8:$Y$18, V$2+7,false),if(countif('R2_G4'!$A$8:$A$18,$A37)=1,vlookup($A37,'R2_G4'!$A$8:$Y$18, V$2+7,false),""))))</f>
        <v>4</v>
      </c>
      <c r="W37" s="1428">
        <f t="shared" si="39"/>
        <v>44</v>
      </c>
      <c r="X37" s="1428">
        <f t="shared" si="40"/>
        <v>40</v>
      </c>
      <c r="Y37" s="1428">
        <f t="shared" si="45"/>
        <v>84</v>
      </c>
      <c r="Z37" s="1428">
        <f t="shared" si="46"/>
        <v>82</v>
      </c>
      <c r="AA37" s="1428">
        <f t="shared" si="47"/>
        <v>84</v>
      </c>
      <c r="AB37" s="1487"/>
      <c r="AC37" s="1423" t="str">
        <f t="shared" si="48"/>
        <v>Telly</v>
      </c>
      <c r="AD37" s="1424">
        <f>VLOOKUP(AC37,'Master Input'!$A$11:$L$27,8,false)</f>
        <v>2</v>
      </c>
      <c r="AE37" s="1423" t="s">
        <v>266</v>
      </c>
      <c r="AF37" s="1401"/>
      <c r="AG37" s="1428">
        <f t="shared" ref="AG37:AX37" si="64">if(E37="","",E37-IF($B37&gt;0,FLOOR($B37/18,1),0)-IF(AND(MOD($B37,18)&gt;=E$27,$B37&gt;0),1,0)+IF(E$27-18&gt;$B37,1,0))</f>
        <v>4</v>
      </c>
      <c r="AH37" s="1428">
        <f t="shared" si="64"/>
        <v>7</v>
      </c>
      <c r="AI37" s="1428">
        <f t="shared" si="64"/>
        <v>3</v>
      </c>
      <c r="AJ37" s="1428">
        <f t="shared" si="64"/>
        <v>6</v>
      </c>
      <c r="AK37" s="1428">
        <f t="shared" si="64"/>
        <v>5</v>
      </c>
      <c r="AL37" s="1428">
        <f t="shared" si="64"/>
        <v>5</v>
      </c>
      <c r="AM37" s="1428">
        <f t="shared" si="64"/>
        <v>5</v>
      </c>
      <c r="AN37" s="1428">
        <f t="shared" si="64"/>
        <v>4</v>
      </c>
      <c r="AO37" s="1428">
        <f t="shared" si="64"/>
        <v>4</v>
      </c>
      <c r="AP37" s="1429">
        <f t="shared" si="64"/>
        <v>5</v>
      </c>
      <c r="AQ37" s="1429">
        <f t="shared" si="64"/>
        <v>5</v>
      </c>
      <c r="AR37" s="1429">
        <f t="shared" si="64"/>
        <v>3</v>
      </c>
      <c r="AS37" s="1429">
        <f t="shared" si="64"/>
        <v>5</v>
      </c>
      <c r="AT37" s="1429">
        <f t="shared" si="64"/>
        <v>4</v>
      </c>
      <c r="AU37" s="1429">
        <f t="shared" si="64"/>
        <v>5</v>
      </c>
      <c r="AV37" s="1429">
        <f t="shared" si="64"/>
        <v>4</v>
      </c>
      <c r="AW37" s="1429">
        <f t="shared" si="64"/>
        <v>4</v>
      </c>
      <c r="AX37" s="1429">
        <f t="shared" si="64"/>
        <v>4</v>
      </c>
      <c r="AY37" s="1428">
        <f t="shared" si="42"/>
        <v>43</v>
      </c>
      <c r="AZ37" s="1428">
        <f t="shared" si="43"/>
        <v>39</v>
      </c>
      <c r="BA37" s="1428">
        <f t="shared" si="50"/>
        <v>82</v>
      </c>
      <c r="BB37" s="1430" t="str">
        <f>if(countif('R2_G1'!$A$8:$A$18,$A37)=1, if(and(BA37=Z37,BA37=vlookup($A37,'R2_G1'!$A$8:$AB$18, 28,false)),"yes","no"),
if(countif('R2_G2'!$A$8:$A$18,$A37)=1, if(and(BA37=Z37,BA37=vlookup($A37,'R2_G2'!$A$8:$AB$18, 28,false)),"yes","no"),
if(countif('R2_G3'!$A$8:$A$18,$A37)=1, if(and(BA37=Z37,BA37=vlookup($A37,'R2_G3'!$A$8:$AB$18, 28,false)),"yes","no"),
if(countif('R2_G4'!$A$8:$A$18,$A37)=1, if(and(BA37=Z37,BA37=vlookup($A37,'R2_G4'!$A$8:$AB$18, 28,false)),"yes","no"),
"?"))))
</f>
        <v>yes</v>
      </c>
      <c r="BC37" s="1487"/>
      <c r="BD37" s="1441">
        <f t="shared" si="51"/>
        <v>5</v>
      </c>
      <c r="BE37" s="1442">
        <f t="shared" si="52"/>
        <v>7.933333333</v>
      </c>
      <c r="BF37" s="1442">
        <f t="shared" si="53"/>
        <v>0</v>
      </c>
      <c r="BG37" s="1442">
        <f t="shared" si="54"/>
        <v>3</v>
      </c>
      <c r="BH37" s="1442">
        <f t="shared" si="55"/>
        <v>4</v>
      </c>
      <c r="BI37" s="1442">
        <f t="shared" si="56"/>
        <v>10</v>
      </c>
      <c r="BJ37" s="1442">
        <f t="shared" si="57"/>
        <v>1</v>
      </c>
    </row>
    <row r="38" ht="14.25" customHeight="1">
      <c r="A38" s="1434" t="str">
        <f t="shared" si="44"/>
        <v>KJ</v>
      </c>
      <c r="B38" s="1435">
        <f>VLOOKUP(A38,'Master Input'!$A$11:$L$27,8,false)</f>
        <v>5</v>
      </c>
      <c r="C38" s="1436"/>
      <c r="D38" s="1401"/>
      <c r="E38" s="1437">
        <f>if(countif('R2_G1'!$A$8:$A$18,$A38)=1,vlookup($A38,'R2_G1'!$A$8:$Y$18, E$2+4,false),if(countif('R2_G2'!$A$8:$A$18,$A38)=1,vlookup($A38,'R2_G2'!$A$8:$Y$18, E$2+4,false),if(countif('R2_G3'!$A$8:$A$18,$A38)=1,vlookup($A38,'R2_G3'!$A$8:$Y$18, E$2+4,false),if(countif('R2_G4'!$A$8:$A$18,$A38)=1,vlookup($A38,'R2_G4'!$A$8:$Y$18, E$2+4,false),""))))</f>
        <v>5</v>
      </c>
      <c r="F38" s="1437">
        <f>if(countif('R2_G1'!$A$8:$A$18,$A38)=1,vlookup($A38,'R2_G1'!$A$8:$Y$18, F$2+4,false),if(countif('R2_G2'!$A$8:$A$18,$A38)=1,vlookup($A38,'R2_G2'!$A$8:$Y$18, F$2+4,false),if(countif('R2_G3'!$A$8:$A$18,$A38)=1,vlookup($A38,'R2_G3'!$A$8:$Y$18, F$2+4,false),if(countif('R2_G4'!$A$8:$A$18,$A38)=1,vlookup($A38,'R2_G4'!$A$8:$Y$18, F$2+4,false),""))))</f>
        <v>5</v>
      </c>
      <c r="G38" s="1437">
        <f>if(countif('R2_G1'!$A$8:$A$18,$A38)=1,vlookup($A38,'R2_G1'!$A$8:$Y$18, G$2+4,false),if(countif('R2_G2'!$A$8:$A$18,$A38)=1,vlookup($A38,'R2_G2'!$A$8:$Y$18, G$2+4,false),if(countif('R2_G3'!$A$8:$A$18,$A38)=1,vlookup($A38,'R2_G3'!$A$8:$Y$18, G$2+4,false),if(countif('R2_G4'!$A$8:$A$18,$A38)=1,vlookup($A38,'R2_G4'!$A$8:$Y$18, G$2+4,false),""))))</f>
        <v>3</v>
      </c>
      <c r="H38" s="1437">
        <f>if(countif('R2_G1'!$A$8:$A$18,$A38)=1,vlookup($A38,'R2_G1'!$A$8:$Y$18, H$2+4,false),if(countif('R2_G2'!$A$8:$A$18,$A38)=1,vlookup($A38,'R2_G2'!$A$8:$Y$18, H$2+4,false),if(countif('R2_G3'!$A$8:$A$18,$A38)=1,vlookup($A38,'R2_G3'!$A$8:$Y$18, H$2+4,false),if(countif('R2_G4'!$A$8:$A$18,$A38)=1,vlookup($A38,'R2_G4'!$A$8:$Y$18, H$2+4,false),""))))</f>
        <v>5</v>
      </c>
      <c r="I38" s="1437">
        <f>if(countif('R2_G1'!$A$8:$A$18,$A38)=1,vlookup($A38,'R2_G1'!$A$8:$Y$18, I$2+4,false),if(countif('R2_G2'!$A$8:$A$18,$A38)=1,vlookup($A38,'R2_G2'!$A$8:$Y$18, I$2+4,false),if(countif('R2_G3'!$A$8:$A$18,$A38)=1,vlookup($A38,'R2_G3'!$A$8:$Y$18, I$2+4,false),if(countif('R2_G4'!$A$8:$A$18,$A38)=1,vlookup($A38,'R2_G4'!$A$8:$Y$18, I$2+4,false),""))))</f>
        <v>4</v>
      </c>
      <c r="J38" s="1437">
        <f>if(countif('R2_G1'!$A$8:$A$18,$A38)=1,vlookup($A38,'R2_G1'!$A$8:$Y$18, J$2+4,false),if(countif('R2_G2'!$A$8:$A$18,$A38)=1,vlookup($A38,'R2_G2'!$A$8:$Y$18, J$2+4,false),if(countif('R2_G3'!$A$8:$A$18,$A38)=1,vlookup($A38,'R2_G3'!$A$8:$Y$18, J$2+4,false),if(countif('R2_G4'!$A$8:$A$18,$A38)=1,vlookup($A38,'R2_G4'!$A$8:$Y$18, J$2+4,false),""))))</f>
        <v>7</v>
      </c>
      <c r="K38" s="1437">
        <f>if(countif('R2_G1'!$A$8:$A$18,$A38)=1,vlookup($A38,'R2_G1'!$A$8:$Y$18, K$2+4,false),if(countif('R2_G2'!$A$8:$A$18,$A38)=1,vlookup($A38,'R2_G2'!$A$8:$Y$18, K$2+4,false),if(countif('R2_G3'!$A$8:$A$18,$A38)=1,vlookup($A38,'R2_G3'!$A$8:$Y$18, K$2+4,false),if(countif('R2_G4'!$A$8:$A$18,$A38)=1,vlookup($A38,'R2_G4'!$A$8:$Y$18, K$2+4,false),""))))</f>
        <v>5</v>
      </c>
      <c r="L38" s="1437">
        <f>if(countif('R2_G1'!$A$8:$A$18,$A38)=1,vlookup($A38,'R2_G1'!$A$8:$Y$18, L$2+4,false),if(countif('R2_G2'!$A$8:$A$18,$A38)=1,vlookup($A38,'R2_G2'!$A$8:$Y$18, L$2+4,false),if(countif('R2_G3'!$A$8:$A$18,$A38)=1,vlookup($A38,'R2_G3'!$A$8:$Y$18, L$2+4,false),if(countif('R2_G4'!$A$8:$A$18,$A38)=1,vlookup($A38,'R2_G4'!$A$8:$Y$18, L$2+4,false),""))))</f>
        <v>4</v>
      </c>
      <c r="M38" s="1437">
        <f>if(countif('R2_G1'!$A$8:$A$18,$A38)=1,vlookup($A38,'R2_G1'!$A$8:$Y$18, M$2+4,false),if(countif('R2_G2'!$A$8:$A$18,$A38)=1,vlookup($A38,'R2_G2'!$A$8:$Y$18, M$2+4,false),if(countif('R2_G3'!$A$8:$A$18,$A38)=1,vlookup($A38,'R2_G3'!$A$8:$Y$18, M$2+4,false),if(countif('R2_G4'!$A$8:$A$18,$A38)=1,vlookup($A38,'R2_G4'!$A$8:$Y$18, M$2+4,false),""))))</f>
        <v>4</v>
      </c>
      <c r="N38" s="1426">
        <f>if(countif('R2_G1'!$A$8:$A$18,$A38)=1,vlookup($A38,'R2_G1'!$A$8:$Y$18, N$2+7,false),if(countif('R2_G2'!$A$8:$A$18,$A38)=1,vlookup($A38,'R2_G2'!$A$8:$Y$18, N$2+7,false),if(countif('R2_G3'!$A$8:$A$18,$A38)=1,vlookup($A38,'R2_G3'!$A$8:$Y$18, N$2+7,false),if(countif('R2_G4'!$A$8:$A$18,$A38)=1,vlookup($A38,'R2_G4'!$A$8:$Y$18, N$2+7,false),""))))</f>
        <v>6</v>
      </c>
      <c r="O38" s="1426">
        <f>if(countif('R2_G1'!$A$8:$A$18,$A38)=1,vlookup($A38,'R2_G1'!$A$8:$Y$18, O$2+7,false),if(countif('R2_G2'!$A$8:$A$18,$A38)=1,vlookup($A38,'R2_G2'!$A$8:$Y$18, O$2+7,false),if(countif('R2_G3'!$A$8:$A$18,$A38)=1,vlookup($A38,'R2_G3'!$A$8:$Y$18, O$2+7,false),if(countif('R2_G4'!$A$8:$A$18,$A38)=1,vlookup($A38,'R2_G4'!$A$8:$Y$18, O$2+7,false),""))))</f>
        <v>5</v>
      </c>
      <c r="P38" s="1426">
        <f>if(countif('R2_G1'!$A$8:$A$18,$A38)=1,vlookup($A38,'R2_G1'!$A$8:$Y$18, P$2+7,false),if(countif('R2_G2'!$A$8:$A$18,$A38)=1,vlookup($A38,'R2_G2'!$A$8:$Y$18, P$2+7,false),if(countif('R2_G3'!$A$8:$A$18,$A38)=1,vlookup($A38,'R2_G3'!$A$8:$Y$18, P$2+7,false),if(countif('R2_G4'!$A$8:$A$18,$A38)=1,vlookup($A38,'R2_G4'!$A$8:$Y$18, P$2+7,false),""))))</f>
        <v>3</v>
      </c>
      <c r="Q38" s="1426">
        <f>if(countif('R2_G1'!$A$8:$A$18,$A38)=1,vlookup($A38,'R2_G1'!$A$8:$Y$18, Q$2+7,false),if(countif('R2_G2'!$A$8:$A$18,$A38)=1,vlookup($A38,'R2_G2'!$A$8:$Y$18, Q$2+7,false),if(countif('R2_G3'!$A$8:$A$18,$A38)=1,vlookup($A38,'R2_G3'!$A$8:$Y$18, Q$2+7,false),if(countif('R2_G4'!$A$8:$A$18,$A38)=1,vlookup($A38,'R2_G4'!$A$8:$Y$18, Q$2+7,false),""))))</f>
        <v>4</v>
      </c>
      <c r="R38" s="1426">
        <f>if(countif('R2_G1'!$A$8:$A$18,$A38)=1,vlookup($A38,'R2_G1'!$A$8:$Y$18, R$2+7,false),if(countif('R2_G2'!$A$8:$A$18,$A38)=1,vlookup($A38,'R2_G2'!$A$8:$Y$18, R$2+7,false),if(countif('R2_G3'!$A$8:$A$18,$A38)=1,vlookup($A38,'R2_G3'!$A$8:$Y$18, R$2+7,false),if(countif('R2_G4'!$A$8:$A$18,$A38)=1,vlookup($A38,'R2_G4'!$A$8:$Y$18, R$2+7,false),""))))</f>
        <v>5</v>
      </c>
      <c r="S38" s="1426">
        <f>if(countif('R2_G1'!$A$8:$A$18,$A38)=1,vlookup($A38,'R2_G1'!$A$8:$Y$18, S$2+7,false),if(countif('R2_G2'!$A$8:$A$18,$A38)=1,vlookup($A38,'R2_G2'!$A$8:$Y$18, S$2+7,false),if(countif('R2_G3'!$A$8:$A$18,$A38)=1,vlookup($A38,'R2_G3'!$A$8:$Y$18, S$2+7,false),if(countif('R2_G4'!$A$8:$A$18,$A38)=1,vlookup($A38,'R2_G4'!$A$8:$Y$18, S$2+7,false),""))))</f>
        <v>4</v>
      </c>
      <c r="T38" s="1426">
        <f>if(countif('R2_G1'!$A$8:$A$18,$A38)=1,vlookup($A38,'R2_G1'!$A$8:$Y$18, T$2+7,false),if(countif('R2_G2'!$A$8:$A$18,$A38)=1,vlookup($A38,'R2_G2'!$A$8:$Y$18, T$2+7,false),if(countif('R2_G3'!$A$8:$A$18,$A38)=1,vlookup($A38,'R2_G3'!$A$8:$Y$18, T$2+7,false),if(countif('R2_G4'!$A$8:$A$18,$A38)=1,vlookup($A38,'R2_G4'!$A$8:$Y$18, T$2+7,false),""))))</f>
        <v>3</v>
      </c>
      <c r="U38" s="1426">
        <f>if(countif('R2_G1'!$A$8:$A$18,$A38)=1,vlookup($A38,'R2_G1'!$A$8:$Y$18, U$2+7,false),if(countif('R2_G2'!$A$8:$A$18,$A38)=1,vlookup($A38,'R2_G2'!$A$8:$Y$18, U$2+7,false),if(countif('R2_G3'!$A$8:$A$18,$A38)=1,vlookup($A38,'R2_G3'!$A$8:$Y$18, U$2+7,false),if(countif('R2_G4'!$A$8:$A$18,$A38)=1,vlookup($A38,'R2_G4'!$A$8:$Y$18, U$2+7,false),""))))</f>
        <v>2</v>
      </c>
      <c r="V38" s="1426">
        <f>if(countif('R2_G1'!$A$8:$A$18,$A38)=1,vlookup($A38,'R2_G1'!$A$8:$Y$18, V$2+7,false),if(countif('R2_G2'!$A$8:$A$18,$A38)=1,vlookup($A38,'R2_G2'!$A$8:$Y$18, V$2+7,false),if(countif('R2_G3'!$A$8:$A$18,$A38)=1,vlookup($A38,'R2_G3'!$A$8:$Y$18, V$2+7,false),if(countif('R2_G4'!$A$8:$A$18,$A38)=1,vlookup($A38,'R2_G4'!$A$8:$Y$18, V$2+7,false),""))))</f>
        <v>4</v>
      </c>
      <c r="W38" s="1438">
        <f t="shared" si="39"/>
        <v>42</v>
      </c>
      <c r="X38" s="1438">
        <f t="shared" si="40"/>
        <v>36</v>
      </c>
      <c r="Y38" s="1438">
        <f t="shared" si="45"/>
        <v>78</v>
      </c>
      <c r="Z38" s="1438">
        <f t="shared" si="46"/>
        <v>73</v>
      </c>
      <c r="AA38" s="1438">
        <f t="shared" si="47"/>
        <v>78</v>
      </c>
      <c r="AB38" s="1487"/>
      <c r="AC38" s="1423" t="str">
        <f t="shared" si="48"/>
        <v>KJ</v>
      </c>
      <c r="AD38" s="1435">
        <f>VLOOKUP(AC38,'Master Input'!$A$11:$L$27,8,false)</f>
        <v>5</v>
      </c>
      <c r="AE38" s="1434" t="s">
        <v>266</v>
      </c>
      <c r="AF38" s="1401"/>
      <c r="AG38" s="1438">
        <f t="shared" ref="AG38:AX38" si="65">if(E38="","",E38-IF($B38&gt;0,FLOOR($B38/18,1),0)-IF(AND(MOD($B38,18)&gt;=E$27,$B38&gt;0),1,0)+IF(E$27-18&gt;$B38,1,0))</f>
        <v>5</v>
      </c>
      <c r="AH38" s="1438">
        <f t="shared" si="65"/>
        <v>5</v>
      </c>
      <c r="AI38" s="1438">
        <f t="shared" si="65"/>
        <v>3</v>
      </c>
      <c r="AJ38" s="1438">
        <f t="shared" si="65"/>
        <v>4</v>
      </c>
      <c r="AK38" s="1438">
        <f t="shared" si="65"/>
        <v>3</v>
      </c>
      <c r="AL38" s="1438">
        <f t="shared" si="65"/>
        <v>6</v>
      </c>
      <c r="AM38" s="1438">
        <f t="shared" si="65"/>
        <v>5</v>
      </c>
      <c r="AN38" s="1438">
        <f t="shared" si="65"/>
        <v>4</v>
      </c>
      <c r="AO38" s="1438">
        <f t="shared" si="65"/>
        <v>4</v>
      </c>
      <c r="AP38" s="1426">
        <f t="shared" si="65"/>
        <v>5</v>
      </c>
      <c r="AQ38" s="1426">
        <f t="shared" si="65"/>
        <v>5</v>
      </c>
      <c r="AR38" s="1426">
        <f t="shared" si="65"/>
        <v>3</v>
      </c>
      <c r="AS38" s="1426">
        <f t="shared" si="65"/>
        <v>4</v>
      </c>
      <c r="AT38" s="1426">
        <f t="shared" si="65"/>
        <v>4</v>
      </c>
      <c r="AU38" s="1426">
        <f t="shared" si="65"/>
        <v>4</v>
      </c>
      <c r="AV38" s="1426">
        <f t="shared" si="65"/>
        <v>3</v>
      </c>
      <c r="AW38" s="1426">
        <f t="shared" si="65"/>
        <v>2</v>
      </c>
      <c r="AX38" s="1426">
        <f t="shared" si="65"/>
        <v>4</v>
      </c>
      <c r="AY38" s="1438">
        <f t="shared" si="42"/>
        <v>39</v>
      </c>
      <c r="AZ38" s="1438">
        <f t="shared" si="43"/>
        <v>34</v>
      </c>
      <c r="BA38" s="1438">
        <f t="shared" si="50"/>
        <v>73</v>
      </c>
      <c r="BB38" s="1436" t="str">
        <f>if(countif('R2_G1'!$A$8:$A$18,$A38)=1, if(and(BA38=Z38,BA38=vlookup($A38,'R2_G1'!$A$8:$AB$18, 28,false)),"yes","no"),
if(countif('R2_G2'!$A$8:$A$18,$A38)=1, if(and(BA38=Z38,BA38=vlookup($A38,'R2_G2'!$A$8:$AB$18, 28,false)),"yes","no"),
if(countif('R2_G3'!$A$8:$A$18,$A38)=1, if(and(BA38=Z38,BA38=vlookup($A38,'R2_G3'!$A$8:$AB$18, 28,false)),"yes","no"),
if(countif('R2_G4'!$A$8:$A$18,$A38)=1, if(and(BA38=Z38,BA38=vlookup($A38,'R2_G4'!$A$8:$AB$18, 28,false)),"yes","no"),
"?"))))
</f>
        <v>yes</v>
      </c>
      <c r="BC38" s="1487"/>
      <c r="BD38" s="1439">
        <f t="shared" si="51"/>
        <v>9</v>
      </c>
      <c r="BE38" s="1440">
        <f t="shared" si="52"/>
        <v>10.8</v>
      </c>
      <c r="BF38" s="1440">
        <f t="shared" si="53"/>
        <v>0</v>
      </c>
      <c r="BG38" s="1440">
        <f t="shared" si="54"/>
        <v>7</v>
      </c>
      <c r="BH38" s="1440">
        <f t="shared" si="55"/>
        <v>4</v>
      </c>
      <c r="BI38" s="1440">
        <f t="shared" si="56"/>
        <v>6</v>
      </c>
      <c r="BJ38" s="1440">
        <f t="shared" si="57"/>
        <v>1</v>
      </c>
    </row>
    <row r="39" ht="14.25" customHeight="1">
      <c r="A39" s="1423" t="str">
        <f t="shared" si="44"/>
        <v>R-Mac</v>
      </c>
      <c r="B39" s="1424">
        <f>VLOOKUP(A39,'Master Input'!$A$11:$L$27,8,false)</f>
        <v>7</v>
      </c>
      <c r="C39" s="1430"/>
      <c r="D39" s="1401"/>
      <c r="E39" s="1426">
        <f>if(countif('R2_G1'!$A$8:$A$18,$A39)&gt;=1,vlookup($A39,'R2_G1'!$A$8:$Y$18, E$2+4,false),
if(countif('R2_G2'!$A$8:$A$18,$A39)&gt;=1,vlookup($A39,'R2_G2'!$A$8:$Y$18, E$2+4,false),
if(countif('R2_G3'!$A$8:$A$18,$A39)&gt;=1,vlookup($A39,'R2_G3'!$A$8:$Y$18, E$2+4,false),
if(countif('R2_G4'!$A$8:$A$18,$A39)&gt;=1,vlookup($A39,'R2_G4'!$A$8:$Y$18, E$2+4,false),""))))</f>
        <v>5</v>
      </c>
      <c r="F39" s="1426">
        <f>if(countif('R2_G1'!$A$8:$A$18,$A39)&gt;=1,vlookup($A39,'R2_G1'!$A$8:$Y$18, F$2+4,false),
if(countif('R2_G2'!$A$8:$A$18,$A39)&gt;=1,vlookup($A39,'R2_G2'!$A$8:$Y$18, F$2+4,false),
if(countif('R2_G3'!$A$8:$A$18,$A39)&gt;=1,vlookup($A39,'R2_G3'!$A$8:$Y$18, F$2+4,false),
if(countif('R2_G4'!$A$8:$A$18,$A39)&gt;=1,vlookup($A39,'R2_G4'!$A$8:$Y$18, F$2+4,false),""))))</f>
        <v>4</v>
      </c>
      <c r="G39" s="1426">
        <f>if(countif('R2_G1'!$A$8:$A$18,$A39)&gt;=1,vlookup($A39,'R2_G1'!$A$8:$Y$18, G$2+4,false),
if(countif('R2_G2'!$A$8:$A$18,$A39)&gt;=1,vlookup($A39,'R2_G2'!$A$8:$Y$18, G$2+4,false),
if(countif('R2_G3'!$A$8:$A$18,$A39)&gt;=1,vlookup($A39,'R2_G3'!$A$8:$Y$18, G$2+4,false),
if(countif('R2_G4'!$A$8:$A$18,$A39)&gt;=1,vlookup($A39,'R2_G4'!$A$8:$Y$18, G$2+4,false),""))))</f>
        <v>2</v>
      </c>
      <c r="H39" s="1426">
        <f>if(countif('R2_G1'!$A$8:$A$18,$A39)&gt;=1,vlookup($A39,'R2_G1'!$A$8:$Y$18, H$2+4,false),
if(countif('R2_G2'!$A$8:$A$18,$A39)&gt;=1,vlookup($A39,'R2_G2'!$A$8:$Y$18, H$2+4,false),
if(countif('R2_G3'!$A$8:$A$18,$A39)&gt;=1,vlookup($A39,'R2_G3'!$A$8:$Y$18, H$2+4,false),
if(countif('R2_G4'!$A$8:$A$18,$A39)&gt;=1,vlookup($A39,'R2_G4'!$A$8:$Y$18, H$2+4,false),""))))</f>
        <v>6</v>
      </c>
      <c r="I39" s="1426">
        <f>if(countif('R2_G1'!$A$8:$A$18,$A39)&gt;=1,vlookup($A39,'R2_G1'!$A$8:$Y$18, I$2+4,false),
if(countif('R2_G2'!$A$8:$A$18,$A39)&gt;=1,vlookup($A39,'R2_G2'!$A$8:$Y$18, I$2+4,false),
if(countif('R2_G3'!$A$8:$A$18,$A39)&gt;=1,vlookup($A39,'R2_G3'!$A$8:$Y$18, I$2+4,false),
if(countif('R2_G4'!$A$8:$A$18,$A39)&gt;=1,vlookup($A39,'R2_G4'!$A$8:$Y$18, I$2+4,false),""))))</f>
        <v>5</v>
      </c>
      <c r="J39" s="1426">
        <f>if(countif('R2_G1'!$A$8:$A$18,$A39)&gt;=1,vlookup($A39,'R2_G1'!$A$8:$Y$18, J$2+4,false),
if(countif('R2_G2'!$A$8:$A$18,$A39)&gt;=1,vlookup($A39,'R2_G2'!$A$8:$Y$18, J$2+4,false),
if(countif('R2_G3'!$A$8:$A$18,$A39)&gt;=1,vlookup($A39,'R2_G3'!$A$8:$Y$18, J$2+4,false),
if(countif('R2_G4'!$A$8:$A$18,$A39)&gt;=1,vlookup($A39,'R2_G4'!$A$8:$Y$18, J$2+4,false),""))))</f>
        <v>4</v>
      </c>
      <c r="K39" s="1426">
        <f>if(countif('R2_G1'!$A$8:$A$18,$A39)&gt;=1,vlookup($A39,'R2_G1'!$A$8:$Y$18, K$2+4,false),
if(countif('R2_G2'!$A$8:$A$18,$A39)&gt;=1,vlookup($A39,'R2_G2'!$A$8:$Y$18, K$2+4,false),
if(countif('R2_G3'!$A$8:$A$18,$A39)&gt;=1,vlookup($A39,'R2_G3'!$A$8:$Y$18, K$2+4,false),
if(countif('R2_G4'!$A$8:$A$18,$A39)&gt;=1,vlookup($A39,'R2_G4'!$A$8:$Y$18, K$2+4,false),""))))</f>
        <v>7</v>
      </c>
      <c r="L39" s="1426">
        <f>if(countif('R2_G1'!$A$8:$A$18,$A39)&gt;=1,vlookup($A39,'R2_G1'!$A$8:$Y$18, L$2+4,false),
if(countif('R2_G2'!$A$8:$A$18,$A39)&gt;=1,vlookup($A39,'R2_G2'!$A$8:$Y$18, L$2+4,false),
if(countif('R2_G3'!$A$8:$A$18,$A39)&gt;=1,vlookup($A39,'R2_G3'!$A$8:$Y$18, L$2+4,false),
if(countif('R2_G4'!$A$8:$A$18,$A39)&gt;=1,vlookup($A39,'R2_G4'!$A$8:$Y$18, L$2+4,false),""))))</f>
        <v>4</v>
      </c>
      <c r="M39" s="1426">
        <f>if(countif('R2_G1'!$A$8:$A$18,$A39)&gt;=1,vlookup($A39,'R2_G1'!$A$8:$Y$18, M$2+4,false),
if(countif('R2_G2'!$A$8:$A$18,$A39)&gt;=1,vlookup($A39,'R2_G2'!$A$8:$Y$18, M$2+4,false),
if(countif('R2_G3'!$A$8:$A$18,$A39)&gt;=1,vlookup($A39,'R2_G3'!$A$8:$Y$18, M$2+4,false),
if(countif('R2_G4'!$A$8:$A$18,$A39)&gt;=1,vlookup($A39,'R2_G4'!$A$8:$Y$18, M$2+4,false),""))))</f>
        <v>7</v>
      </c>
      <c r="N39" s="1427">
        <f>if(countif('R2_G1'!$A$8:$A$18,$A39)&gt;=1,vlookup($A39,'R2_G1'!$A$8:$Y$18, N$2+7,false),
if(countif('R2_G2'!$A$8:$A$18,$A39)&gt;=1,vlookup($A39,'R2_G2'!$A$8:$Y$18, N$2+7,false),
if(countif('R2_G3'!$A$8:$A$18,$A39)&gt;=1,vlookup($A39,'R2_G3'!$A$8:$Y$18, N$2+7,false),
if(countif('R2_G4'!$A$8:$A$18,$A39)&gt;=1,vlookup($A39,'R2_G4'!$A$8:$Y$18, N$2+7,false),""))))</f>
        <v>5</v>
      </c>
      <c r="O39" s="1427">
        <f>if(countif('R2_G1'!$A$8:$A$18,$A39)&gt;=1,vlookup($A39,'R2_G1'!$A$8:$Y$18, O$2+7,false),
if(countif('R2_G2'!$A$8:$A$18,$A39)&gt;=1,vlookup($A39,'R2_G2'!$A$8:$Y$18, O$2+7,false),
if(countif('R2_G3'!$A$8:$A$18,$A39)&gt;=1,vlookup($A39,'R2_G3'!$A$8:$Y$18, O$2+7,false),
if(countif('R2_G4'!$A$8:$A$18,$A39)&gt;=1,vlookup($A39,'R2_G4'!$A$8:$Y$18, O$2+7,false),""))))</f>
        <v>4</v>
      </c>
      <c r="P39" s="1427">
        <f>if(countif('R2_G1'!$A$8:$A$18,$A39)&gt;=1,vlookup($A39,'R2_G1'!$A$8:$Y$18, P$2+7,false),
if(countif('R2_G2'!$A$8:$A$18,$A39)&gt;=1,vlookup($A39,'R2_G2'!$A$8:$Y$18, P$2+7,false),
if(countif('R2_G3'!$A$8:$A$18,$A39)&gt;=1,vlookup($A39,'R2_G3'!$A$8:$Y$18, P$2+7,false),
if(countif('R2_G4'!$A$8:$A$18,$A39)&gt;=1,vlookup($A39,'R2_G4'!$A$8:$Y$18, P$2+7,false),""))))</f>
        <v>4</v>
      </c>
      <c r="Q39" s="1427">
        <f>if(countif('R2_G1'!$A$8:$A$18,$A39)&gt;=1,vlookup($A39,'R2_G1'!$A$8:$Y$18, Q$2+7,false),
if(countif('R2_G2'!$A$8:$A$18,$A39)&gt;=1,vlookup($A39,'R2_G2'!$A$8:$Y$18, Q$2+7,false),
if(countif('R2_G3'!$A$8:$A$18,$A39)&gt;=1,vlookup($A39,'R2_G3'!$A$8:$Y$18, Q$2+7,false),
if(countif('R2_G4'!$A$8:$A$18,$A39)&gt;=1,vlookup($A39,'R2_G4'!$A$8:$Y$18, Q$2+7,false),""))))</f>
        <v>5</v>
      </c>
      <c r="R39" s="1427">
        <f>if(countif('R2_G1'!$A$8:$A$18,$A39)&gt;=1,vlookup($A39,'R2_G1'!$A$8:$Y$18, R$2+7,false),
if(countif('R2_G2'!$A$8:$A$18,$A39)&gt;=1,vlookup($A39,'R2_G2'!$A$8:$Y$18, R$2+7,false),
if(countif('R2_G3'!$A$8:$A$18,$A39)&gt;=1,vlookup($A39,'R2_G3'!$A$8:$Y$18, R$2+7,false),
if(countif('R2_G4'!$A$8:$A$18,$A39)&gt;=1,vlookup($A39,'R2_G4'!$A$8:$Y$18, R$2+7,false),""))))</f>
        <v>6</v>
      </c>
      <c r="S39" s="1427">
        <f>if(countif('R2_G1'!$A$8:$A$18,$A39)&gt;=1,vlookup($A39,'R2_G1'!$A$8:$Y$18, S$2+7,false),
if(countif('R2_G2'!$A$8:$A$18,$A39)&gt;=1,vlookup($A39,'R2_G2'!$A$8:$Y$18, S$2+7,false),
if(countif('R2_G3'!$A$8:$A$18,$A39)&gt;=1,vlookup($A39,'R2_G3'!$A$8:$Y$18, S$2+7,false),
if(countif('R2_G4'!$A$8:$A$18,$A39)&gt;=1,vlookup($A39,'R2_G4'!$A$8:$Y$18, S$2+7,false),""))))</f>
        <v>4</v>
      </c>
      <c r="T39" s="1427">
        <f>if(countif('R2_G1'!$A$8:$A$18,$A39)&gt;=1,vlookup($A39,'R2_G1'!$A$8:$Y$18, T$2+7,false),
if(countif('R2_G2'!$A$8:$A$18,$A39)&gt;=1,vlookup($A39,'R2_G2'!$A$8:$Y$18, T$2+7,false),
if(countif('R2_G3'!$A$8:$A$18,$A39)&gt;=1,vlookup($A39,'R2_G3'!$A$8:$Y$18, T$2+7,false),
if(countif('R2_G4'!$A$8:$A$18,$A39)&gt;=1,vlookup($A39,'R2_G4'!$A$8:$Y$18, T$2+7,false),""))))</f>
        <v>4</v>
      </c>
      <c r="U39" s="1427">
        <f>if(countif('R2_G1'!$A$8:$A$18,$A39)&gt;=1,vlookup($A39,'R2_G1'!$A$8:$Y$18, U$2+7,false),
if(countif('R2_G2'!$A$8:$A$18,$A39)&gt;=1,vlookup($A39,'R2_G2'!$A$8:$Y$18, U$2+7,false),
if(countif('R2_G3'!$A$8:$A$18,$A39)&gt;=1,vlookup($A39,'R2_G3'!$A$8:$Y$18, U$2+7,false),
if(countif('R2_G4'!$A$8:$A$18,$A39)&gt;=1,vlookup($A39,'R2_G4'!$A$8:$Y$18, U$2+7,false),""))))</f>
        <v>3</v>
      </c>
      <c r="V39" s="1427">
        <f>if(countif('R2_G1'!$A$8:$A$18,$A39)&gt;=1,vlookup($A39,'R2_G1'!$A$8:$Y$18, V$2+7,false),
if(countif('R2_G2'!$A$8:$A$18,$A39)&gt;=1,vlookup($A39,'R2_G2'!$A$8:$Y$18, V$2+7,false),
if(countif('R2_G3'!$A$8:$A$18,$A39)&gt;=1,vlookup($A39,'R2_G3'!$A$8:$Y$18, V$2+7,false),
if(countif('R2_G4'!$A$8:$A$18,$A39)&gt;=1,vlookup($A39,'R2_G4'!$A$8:$Y$18, V$2+7,false),""))))</f>
        <v>5</v>
      </c>
      <c r="W39" s="1428">
        <f t="shared" si="39"/>
        <v>44</v>
      </c>
      <c r="X39" s="1428">
        <f t="shared" si="40"/>
        <v>40</v>
      </c>
      <c r="Y39" s="1428">
        <f t="shared" si="45"/>
        <v>84</v>
      </c>
      <c r="Z39" s="1428">
        <f t="shared" si="46"/>
        <v>77</v>
      </c>
      <c r="AA39" s="1428">
        <f t="shared" si="47"/>
        <v>84</v>
      </c>
      <c r="AB39" s="1487"/>
      <c r="AC39" s="1423" t="str">
        <f t="shared" si="48"/>
        <v>R-Mac</v>
      </c>
      <c r="AD39" s="1424">
        <f>VLOOKUP(AC39,'Master Input'!$A$11:$L$27,8,false)</f>
        <v>7</v>
      </c>
      <c r="AE39" s="1423" t="s">
        <v>266</v>
      </c>
      <c r="AF39" s="1401"/>
      <c r="AG39" s="1428">
        <f t="shared" ref="AG39:AX39" si="66">if(E39="","",E39-IF($B39&gt;0,FLOOR($B39/18,1),0)-IF(AND(MOD($B39,18)&gt;=E$27,$B39&gt;0),1,0)+IF(E$27-18&gt;$B39,1,0))</f>
        <v>5</v>
      </c>
      <c r="AH39" s="1428">
        <f t="shared" si="66"/>
        <v>4</v>
      </c>
      <c r="AI39" s="1428">
        <f t="shared" si="66"/>
        <v>2</v>
      </c>
      <c r="AJ39" s="1428">
        <f t="shared" si="66"/>
        <v>5</v>
      </c>
      <c r="AK39" s="1428">
        <f t="shared" si="66"/>
        <v>4</v>
      </c>
      <c r="AL39" s="1428">
        <f t="shared" si="66"/>
        <v>3</v>
      </c>
      <c r="AM39" s="1428">
        <f t="shared" si="66"/>
        <v>7</v>
      </c>
      <c r="AN39" s="1428">
        <f t="shared" si="66"/>
        <v>4</v>
      </c>
      <c r="AO39" s="1428">
        <f t="shared" si="66"/>
        <v>6</v>
      </c>
      <c r="AP39" s="1429">
        <f t="shared" si="66"/>
        <v>4</v>
      </c>
      <c r="AQ39" s="1429">
        <f t="shared" si="66"/>
        <v>4</v>
      </c>
      <c r="AR39" s="1429">
        <f t="shared" si="66"/>
        <v>4</v>
      </c>
      <c r="AS39" s="1429">
        <f t="shared" si="66"/>
        <v>5</v>
      </c>
      <c r="AT39" s="1429">
        <f t="shared" si="66"/>
        <v>5</v>
      </c>
      <c r="AU39" s="1429">
        <f t="shared" si="66"/>
        <v>4</v>
      </c>
      <c r="AV39" s="1429">
        <f t="shared" si="66"/>
        <v>4</v>
      </c>
      <c r="AW39" s="1429">
        <f t="shared" si="66"/>
        <v>3</v>
      </c>
      <c r="AX39" s="1429">
        <f t="shared" si="66"/>
        <v>4</v>
      </c>
      <c r="AY39" s="1428">
        <f t="shared" si="42"/>
        <v>40</v>
      </c>
      <c r="AZ39" s="1428">
        <f t="shared" si="43"/>
        <v>37</v>
      </c>
      <c r="BA39" s="1428">
        <f t="shared" si="50"/>
        <v>77</v>
      </c>
      <c r="BB39" s="1430" t="str">
        <f>if(countif('R2_G1'!$A$8:$A$18,$A39)=1, if(and(BA39=Z39,BA39=vlookup($A39,'R2_G1'!$A$8:$AB$18, 28,false)),"yes","no"),
if(countif('R2_G2'!$A$8:$A$18,$A39)=1, if(and(BA39=Z39,BA39=vlookup($A39,'R2_G2'!$A$8:$AB$18, 28,false)),"yes","no"),
if(countif('R2_G3'!$A$8:$A$18,$A39)=1, if(and(BA39=Z39,BA39=vlookup($A39,'R2_G3'!$A$8:$AB$18, 28,false)),"yes","no"),
if(countif('R2_G4'!$A$8:$A$18,$A39)=1, if(and(BA39=Z39,BA39=vlookup($A39,'R2_G4'!$A$8:$AB$18, 28,false)),"yes","no"),
"?"))))
</f>
        <v>yes</v>
      </c>
      <c r="BC39" s="1487"/>
      <c r="BD39" s="1441">
        <f t="shared" si="51"/>
        <v>7.5</v>
      </c>
      <c r="BE39" s="1442">
        <f t="shared" si="52"/>
        <v>9.866666667</v>
      </c>
      <c r="BF39" s="1442">
        <f t="shared" si="53"/>
        <v>0</v>
      </c>
      <c r="BG39" s="1442">
        <f t="shared" si="54"/>
        <v>3</v>
      </c>
      <c r="BH39" s="1442">
        <f t="shared" si="55"/>
        <v>9</v>
      </c>
      <c r="BI39" s="1442">
        <f t="shared" si="56"/>
        <v>5</v>
      </c>
      <c r="BJ39" s="1442">
        <f t="shared" si="57"/>
        <v>1</v>
      </c>
    </row>
    <row r="40" ht="14.25" customHeight="1">
      <c r="A40" s="1434" t="str">
        <f t="shared" si="44"/>
        <v>T-Mo</v>
      </c>
      <c r="B40" s="1435">
        <f>VLOOKUP(A40,'Master Input'!$A$11:$L$27,8,false)</f>
        <v>9</v>
      </c>
      <c r="C40" s="1436"/>
      <c r="D40" s="1401"/>
      <c r="E40" s="1437">
        <f>if(countif('R2_G1'!$A$8:$A$18,$A40)=1,vlookup($A40,'R2_G1'!$A$8:$Y$18, E$2+4,false),if(countif('R2_G2'!$A$8:$A$18,$A40)=1,vlookup($A40,'R2_G2'!$A$8:$Y$18, E$2+4,false),if(countif('R2_G3'!$A$8:$A$18,$A40)=1,vlookup($A40,'R2_G3'!$A$8:$Y$18, E$2+4,false),if(countif('R2_G4'!$A$8:$A$18,$A40)=1,vlookup($A40,'R2_G4'!$A$8:$Y$18, E$2+4,false),""))))</f>
        <v>8</v>
      </c>
      <c r="F40" s="1437">
        <f>if(countif('R2_G1'!$A$8:$A$18,$A40)=1,vlookup($A40,'R2_G1'!$A$8:$Y$18, F$2+4,false),if(countif('R2_G2'!$A$8:$A$18,$A40)=1,vlookup($A40,'R2_G2'!$A$8:$Y$18, F$2+4,false),if(countif('R2_G3'!$A$8:$A$18,$A40)=1,vlookup($A40,'R2_G3'!$A$8:$Y$18, F$2+4,false),if(countif('R2_G4'!$A$8:$A$18,$A40)=1,vlookup($A40,'R2_G4'!$A$8:$Y$18, F$2+4,false),""))))</f>
        <v>5</v>
      </c>
      <c r="G40" s="1437">
        <f>if(countif('R2_G1'!$A$8:$A$18,$A40)=1,vlookup($A40,'R2_G1'!$A$8:$Y$18, G$2+4,false),if(countif('R2_G2'!$A$8:$A$18,$A40)=1,vlookup($A40,'R2_G2'!$A$8:$Y$18, G$2+4,false),if(countif('R2_G3'!$A$8:$A$18,$A40)=1,vlookup($A40,'R2_G3'!$A$8:$Y$18, G$2+4,false),if(countif('R2_G4'!$A$8:$A$18,$A40)=1,vlookup($A40,'R2_G4'!$A$8:$Y$18, G$2+4,false),""))))</f>
        <v>3</v>
      </c>
      <c r="H40" s="1437">
        <f>if(countif('R2_G1'!$A$8:$A$18,$A40)=1,vlookup($A40,'R2_G1'!$A$8:$Y$18, H$2+4,false),if(countif('R2_G2'!$A$8:$A$18,$A40)=1,vlookup($A40,'R2_G2'!$A$8:$Y$18, H$2+4,false),if(countif('R2_G3'!$A$8:$A$18,$A40)=1,vlookup($A40,'R2_G3'!$A$8:$Y$18, H$2+4,false),if(countif('R2_G4'!$A$8:$A$18,$A40)=1,vlookup($A40,'R2_G4'!$A$8:$Y$18, H$2+4,false),""))))</f>
        <v>8</v>
      </c>
      <c r="I40" s="1437">
        <f>if(countif('R2_G1'!$A$8:$A$18,$A40)=1,vlookup($A40,'R2_G1'!$A$8:$Y$18, I$2+4,false),if(countif('R2_G2'!$A$8:$A$18,$A40)=1,vlookup($A40,'R2_G2'!$A$8:$Y$18, I$2+4,false),if(countif('R2_G3'!$A$8:$A$18,$A40)=1,vlookup($A40,'R2_G3'!$A$8:$Y$18, I$2+4,false),if(countif('R2_G4'!$A$8:$A$18,$A40)=1,vlookup($A40,'R2_G4'!$A$8:$Y$18, I$2+4,false),""))))</f>
        <v>4</v>
      </c>
      <c r="J40" s="1437">
        <f>if(countif('R2_G1'!$A$8:$A$18,$A40)=1,vlookup($A40,'R2_G1'!$A$8:$Y$18, J$2+4,false),if(countif('R2_G2'!$A$8:$A$18,$A40)=1,vlookup($A40,'R2_G2'!$A$8:$Y$18, J$2+4,false),if(countif('R2_G3'!$A$8:$A$18,$A40)=1,vlookup($A40,'R2_G3'!$A$8:$Y$18, J$2+4,false),if(countif('R2_G4'!$A$8:$A$18,$A40)=1,vlookup($A40,'R2_G4'!$A$8:$Y$18, J$2+4,false),""))))</f>
        <v>5</v>
      </c>
      <c r="K40" s="1437">
        <f>if(countif('R2_G1'!$A$8:$A$18,$A40)=1,vlookup($A40,'R2_G1'!$A$8:$Y$18, K$2+4,false),if(countif('R2_G2'!$A$8:$A$18,$A40)=1,vlookup($A40,'R2_G2'!$A$8:$Y$18, K$2+4,false),if(countif('R2_G3'!$A$8:$A$18,$A40)=1,vlookup($A40,'R2_G3'!$A$8:$Y$18, K$2+4,false),if(countif('R2_G4'!$A$8:$A$18,$A40)=1,vlookup($A40,'R2_G4'!$A$8:$Y$18, K$2+4,false),""))))</f>
        <v>4</v>
      </c>
      <c r="L40" s="1437">
        <f>if(countif('R2_G1'!$A$8:$A$18,$A40)=1,vlookup($A40,'R2_G1'!$A$8:$Y$18, L$2+4,false),if(countif('R2_G2'!$A$8:$A$18,$A40)=1,vlookup($A40,'R2_G2'!$A$8:$Y$18, L$2+4,false),if(countif('R2_G3'!$A$8:$A$18,$A40)=1,vlookup($A40,'R2_G3'!$A$8:$Y$18, L$2+4,false),if(countif('R2_G4'!$A$8:$A$18,$A40)=1,vlookup($A40,'R2_G4'!$A$8:$Y$18, L$2+4,false),""))))</f>
        <v>3</v>
      </c>
      <c r="M40" s="1437">
        <f>if(countif('R2_G1'!$A$8:$A$18,$A40)=1,vlookup($A40,'R2_G1'!$A$8:$Y$18, M$2+4,false),if(countif('R2_G2'!$A$8:$A$18,$A40)=1,vlookup($A40,'R2_G2'!$A$8:$Y$18, M$2+4,false),if(countif('R2_G3'!$A$8:$A$18,$A40)=1,vlookup($A40,'R2_G3'!$A$8:$Y$18, M$2+4,false),if(countif('R2_G4'!$A$8:$A$18,$A40)=1,vlookup($A40,'R2_G4'!$A$8:$Y$18, M$2+4,false),""))))</f>
        <v>6</v>
      </c>
      <c r="N40" s="1426">
        <f>if(countif('R2_G1'!$A$8:$A$18,$A40)=1,vlookup($A40,'R2_G1'!$A$8:$Y$18, N$2+7,false),if(countif('R2_G2'!$A$8:$A$18,$A40)=1,vlookup($A40,'R2_G2'!$A$8:$Y$18, N$2+7,false),if(countif('R2_G3'!$A$8:$A$18,$A40)=1,vlookup($A40,'R2_G3'!$A$8:$Y$18, N$2+7,false),if(countif('R2_G4'!$A$8:$A$18,$A40)=1,vlookup($A40,'R2_G4'!$A$8:$Y$18, N$2+7,false),""))))</f>
        <v>6</v>
      </c>
      <c r="O40" s="1426">
        <f>if(countif('R2_G1'!$A$8:$A$18,$A40)=1,vlookup($A40,'R2_G1'!$A$8:$Y$18, O$2+7,false),if(countif('R2_G2'!$A$8:$A$18,$A40)=1,vlookup($A40,'R2_G2'!$A$8:$Y$18, O$2+7,false),if(countif('R2_G3'!$A$8:$A$18,$A40)=1,vlookup($A40,'R2_G3'!$A$8:$Y$18, O$2+7,false),if(countif('R2_G4'!$A$8:$A$18,$A40)=1,vlookup($A40,'R2_G4'!$A$8:$Y$18, O$2+7,false),""))))</f>
        <v>6</v>
      </c>
      <c r="P40" s="1426">
        <f>if(countif('R2_G1'!$A$8:$A$18,$A40)=1,vlookup($A40,'R2_G1'!$A$8:$Y$18, P$2+7,false),if(countif('R2_G2'!$A$8:$A$18,$A40)=1,vlookup($A40,'R2_G2'!$A$8:$Y$18, P$2+7,false),if(countif('R2_G3'!$A$8:$A$18,$A40)=1,vlookup($A40,'R2_G3'!$A$8:$Y$18, P$2+7,false),if(countif('R2_G4'!$A$8:$A$18,$A40)=1,vlookup($A40,'R2_G4'!$A$8:$Y$18, P$2+7,false),""))))</f>
        <v>3</v>
      </c>
      <c r="Q40" s="1426">
        <f>if(countif('R2_G1'!$A$8:$A$18,$A40)=1,vlookup($A40,'R2_G1'!$A$8:$Y$18, Q$2+7,false),if(countif('R2_G2'!$A$8:$A$18,$A40)=1,vlookup($A40,'R2_G2'!$A$8:$Y$18, Q$2+7,false),if(countif('R2_G3'!$A$8:$A$18,$A40)=1,vlookup($A40,'R2_G3'!$A$8:$Y$18, Q$2+7,false),if(countif('R2_G4'!$A$8:$A$18,$A40)=1,vlookup($A40,'R2_G4'!$A$8:$Y$18, Q$2+7,false),""))))</f>
        <v>4</v>
      </c>
      <c r="R40" s="1426">
        <f>if(countif('R2_G1'!$A$8:$A$18,$A40)=1,vlookup($A40,'R2_G1'!$A$8:$Y$18, R$2+7,false),if(countif('R2_G2'!$A$8:$A$18,$A40)=1,vlookup($A40,'R2_G2'!$A$8:$Y$18, R$2+7,false),if(countif('R2_G3'!$A$8:$A$18,$A40)=1,vlookup($A40,'R2_G3'!$A$8:$Y$18, R$2+7,false),if(countif('R2_G4'!$A$8:$A$18,$A40)=1,vlookup($A40,'R2_G4'!$A$8:$Y$18, R$2+7,false),""))))</f>
        <v>8</v>
      </c>
      <c r="S40" s="1426">
        <f>if(countif('R2_G1'!$A$8:$A$18,$A40)=1,vlookup($A40,'R2_G1'!$A$8:$Y$18, S$2+7,false),if(countif('R2_G2'!$A$8:$A$18,$A40)=1,vlookup($A40,'R2_G2'!$A$8:$Y$18, S$2+7,false),if(countif('R2_G3'!$A$8:$A$18,$A40)=1,vlookup($A40,'R2_G3'!$A$8:$Y$18, S$2+7,false),if(countif('R2_G4'!$A$8:$A$18,$A40)=1,vlookup($A40,'R2_G4'!$A$8:$Y$18, S$2+7,false),""))))</f>
        <v>5</v>
      </c>
      <c r="T40" s="1426">
        <f>if(countif('R2_G1'!$A$8:$A$18,$A40)=1,vlookup($A40,'R2_G1'!$A$8:$Y$18, T$2+7,false),if(countif('R2_G2'!$A$8:$A$18,$A40)=1,vlookup($A40,'R2_G2'!$A$8:$Y$18, T$2+7,false),if(countif('R2_G3'!$A$8:$A$18,$A40)=1,vlookup($A40,'R2_G3'!$A$8:$Y$18, T$2+7,false),if(countif('R2_G4'!$A$8:$A$18,$A40)=1,vlookup($A40,'R2_G4'!$A$8:$Y$18, T$2+7,false),""))))</f>
        <v>6</v>
      </c>
      <c r="U40" s="1426">
        <f>if(countif('R2_G1'!$A$8:$A$18,$A40)=1,vlookup($A40,'R2_G1'!$A$8:$Y$18, U$2+7,false),if(countif('R2_G2'!$A$8:$A$18,$A40)=1,vlookup($A40,'R2_G2'!$A$8:$Y$18, U$2+7,false),if(countif('R2_G3'!$A$8:$A$18,$A40)=1,vlookup($A40,'R2_G3'!$A$8:$Y$18, U$2+7,false),if(countif('R2_G4'!$A$8:$A$18,$A40)=1,vlookup($A40,'R2_G4'!$A$8:$Y$18, U$2+7,false),""))))</f>
        <v>3</v>
      </c>
      <c r="V40" s="1426">
        <f>if(countif('R2_G1'!$A$8:$A$18,$A40)=1,vlookup($A40,'R2_G1'!$A$8:$Y$18, V$2+7,false),if(countif('R2_G2'!$A$8:$A$18,$A40)=1,vlookup($A40,'R2_G2'!$A$8:$Y$18, V$2+7,false),if(countif('R2_G3'!$A$8:$A$18,$A40)=1,vlookup($A40,'R2_G3'!$A$8:$Y$18, V$2+7,false),if(countif('R2_G4'!$A$8:$A$18,$A40)=1,vlookup($A40,'R2_G4'!$A$8:$Y$18, V$2+7,false),""))))</f>
        <v>5</v>
      </c>
      <c r="W40" s="1438">
        <f t="shared" si="39"/>
        <v>46</v>
      </c>
      <c r="X40" s="1438">
        <f t="shared" si="40"/>
        <v>46</v>
      </c>
      <c r="Y40" s="1438">
        <f t="shared" si="45"/>
        <v>92</v>
      </c>
      <c r="Z40" s="1438">
        <f t="shared" si="46"/>
        <v>83</v>
      </c>
      <c r="AA40" s="1438">
        <f t="shared" si="47"/>
        <v>92</v>
      </c>
      <c r="AB40" s="1487"/>
      <c r="AC40" s="1423" t="str">
        <f t="shared" si="48"/>
        <v>T-Mo</v>
      </c>
      <c r="AD40" s="1435">
        <f>VLOOKUP(AC40,'Master Input'!$A$11:$L$27,8,false)</f>
        <v>9</v>
      </c>
      <c r="AE40" s="1434" t="s">
        <v>266</v>
      </c>
      <c r="AF40" s="1401"/>
      <c r="AG40" s="1438">
        <f t="shared" ref="AG40:AX40" si="67">if(E40="","",E40-IF($B40&gt;0,FLOOR($B40/18,1),0)-IF(AND(MOD($B40,18)&gt;=E$27,$B40&gt;0),1,0)+IF(E$27-18&gt;$B40,1,0))</f>
        <v>7</v>
      </c>
      <c r="AH40" s="1438">
        <f t="shared" si="67"/>
        <v>5</v>
      </c>
      <c r="AI40" s="1438">
        <f t="shared" si="67"/>
        <v>3</v>
      </c>
      <c r="AJ40" s="1438">
        <f t="shared" si="67"/>
        <v>7</v>
      </c>
      <c r="AK40" s="1438">
        <f t="shared" si="67"/>
        <v>3</v>
      </c>
      <c r="AL40" s="1438">
        <f t="shared" si="67"/>
        <v>4</v>
      </c>
      <c r="AM40" s="1438">
        <f t="shared" si="67"/>
        <v>4</v>
      </c>
      <c r="AN40" s="1438">
        <f t="shared" si="67"/>
        <v>3</v>
      </c>
      <c r="AO40" s="1438">
        <f t="shared" si="67"/>
        <v>5</v>
      </c>
      <c r="AP40" s="1426">
        <f t="shared" si="67"/>
        <v>5</v>
      </c>
      <c r="AQ40" s="1426">
        <f t="shared" si="67"/>
        <v>6</v>
      </c>
      <c r="AR40" s="1426">
        <f t="shared" si="67"/>
        <v>3</v>
      </c>
      <c r="AS40" s="1426">
        <f t="shared" si="67"/>
        <v>4</v>
      </c>
      <c r="AT40" s="1426">
        <f t="shared" si="67"/>
        <v>7</v>
      </c>
      <c r="AU40" s="1426">
        <f t="shared" si="67"/>
        <v>4</v>
      </c>
      <c r="AV40" s="1426">
        <f t="shared" si="67"/>
        <v>6</v>
      </c>
      <c r="AW40" s="1426">
        <f t="shared" si="67"/>
        <v>3</v>
      </c>
      <c r="AX40" s="1426">
        <f t="shared" si="67"/>
        <v>4</v>
      </c>
      <c r="AY40" s="1438">
        <f t="shared" si="42"/>
        <v>41</v>
      </c>
      <c r="AZ40" s="1438">
        <f t="shared" si="43"/>
        <v>42</v>
      </c>
      <c r="BA40" s="1438">
        <f t="shared" si="50"/>
        <v>83</v>
      </c>
      <c r="BB40" s="1436" t="str">
        <f>if(countif('R2_G1'!$A$8:$A$18,$A40)=1, if(and(BA40=Z40,BA40=vlookup($A40,'R2_G1'!$A$8:$AB$18, 28,false)),"yes","no"),
if(countif('R2_G2'!$A$8:$A$18,$A40)=1, if(and(BA40=Z40,BA40=vlookup($A40,'R2_G2'!$A$8:$AB$18, 28,false)),"yes","no"),
if(countif('R2_G3'!$A$8:$A$18,$A40)=1, if(and(BA40=Z40,BA40=vlookup($A40,'R2_G3'!$A$8:$AB$18, 28,false)),"yes","no"),
if(countif('R2_G4'!$A$8:$A$18,$A40)=1, if(and(BA40=Z40,BA40=vlookup($A40,'R2_G4'!$A$8:$AB$18, 28,false)),"yes","no"),
"?"))))
</f>
        <v>yes</v>
      </c>
      <c r="BC40" s="1487"/>
      <c r="BD40" s="1439">
        <f t="shared" si="51"/>
        <v>6.5</v>
      </c>
      <c r="BE40" s="1440">
        <f t="shared" si="52"/>
        <v>8.5</v>
      </c>
      <c r="BF40" s="1440">
        <f t="shared" si="53"/>
        <v>0</v>
      </c>
      <c r="BG40" s="1440">
        <f t="shared" si="54"/>
        <v>2</v>
      </c>
      <c r="BH40" s="1440">
        <f t="shared" si="55"/>
        <v>9</v>
      </c>
      <c r="BI40" s="1440">
        <f t="shared" si="56"/>
        <v>2</v>
      </c>
      <c r="BJ40" s="1440">
        <f t="shared" si="57"/>
        <v>5</v>
      </c>
    </row>
    <row r="41" ht="14.25" customHeight="1">
      <c r="A41" s="1423" t="str">
        <f t="shared" si="44"/>
        <v>TJSC</v>
      </c>
      <c r="B41" s="1424">
        <f>VLOOKUP(A41,'Master Input'!$A$11:$L$27,8,false)</f>
        <v>10</v>
      </c>
      <c r="C41" s="1430"/>
      <c r="D41" s="1401"/>
      <c r="E41" s="1426">
        <f>if(countif('R2_G1'!$A$8:$A$18,$A41)=1,vlookup($A41,'R2_G1'!$A$8:$Y$18, E$2+4,false),if(countif('R2_G2'!$A$8:$A$18,$A41)=1,vlookup($A41,'R2_G2'!$A$8:$Y$18, E$2+4,false),if(countif('R2_G3'!$A$8:$A$18,$A41)=1,vlookup($A41,'R2_G3'!$A$8:$Y$18, E$2+4,false),if(countif('R2_G4'!$A$8:$A$18,$A41)=1,vlookup($A41,'R2_G4'!$A$8:$Y$18, E$2+4,false),""))))</f>
        <v>5</v>
      </c>
      <c r="F41" s="1426">
        <f>if(countif('R2_G1'!$A$8:$A$18,$A41)=1,vlookup($A41,'R2_G1'!$A$8:$Y$18, F$2+4,false),if(countif('R2_G2'!$A$8:$A$18,$A41)=1,vlookup($A41,'R2_G2'!$A$8:$Y$18, F$2+4,false),if(countif('R2_G3'!$A$8:$A$18,$A41)=1,vlookup($A41,'R2_G3'!$A$8:$Y$18, F$2+4,false),if(countif('R2_G4'!$A$8:$A$18,$A41)=1,vlookup($A41,'R2_G4'!$A$8:$Y$18, F$2+4,false),""))))</f>
        <v>4</v>
      </c>
      <c r="G41" s="1426">
        <f>if(countif('R2_G1'!$A$8:$A$18,$A41)=1,vlookup($A41,'R2_G1'!$A$8:$Y$18, G$2+4,false),if(countif('R2_G2'!$A$8:$A$18,$A41)=1,vlookup($A41,'R2_G2'!$A$8:$Y$18, G$2+4,false),if(countif('R2_G3'!$A$8:$A$18,$A41)=1,vlookup($A41,'R2_G3'!$A$8:$Y$18, G$2+4,false),if(countif('R2_G4'!$A$8:$A$18,$A41)=1,vlookup($A41,'R2_G4'!$A$8:$Y$18, G$2+4,false),""))))</f>
        <v>3</v>
      </c>
      <c r="H41" s="1426">
        <f>if(countif('R2_G1'!$A$8:$A$18,$A41)=1,vlookup($A41,'R2_G1'!$A$8:$Y$18, H$2+4,false),if(countif('R2_G2'!$A$8:$A$18,$A41)=1,vlookup($A41,'R2_G2'!$A$8:$Y$18, H$2+4,false),if(countif('R2_G3'!$A$8:$A$18,$A41)=1,vlookup($A41,'R2_G3'!$A$8:$Y$18, H$2+4,false),if(countif('R2_G4'!$A$8:$A$18,$A41)=1,vlookup($A41,'R2_G4'!$A$8:$Y$18, H$2+4,false),""))))</f>
        <v>5</v>
      </c>
      <c r="I41" s="1426">
        <f>if(countif('R2_G1'!$A$8:$A$18,$A41)=1,vlookup($A41,'R2_G1'!$A$8:$Y$18, I$2+4,false),if(countif('R2_G2'!$A$8:$A$18,$A41)=1,vlookup($A41,'R2_G2'!$A$8:$Y$18, I$2+4,false),if(countif('R2_G3'!$A$8:$A$18,$A41)=1,vlookup($A41,'R2_G3'!$A$8:$Y$18, I$2+4,false),if(countif('R2_G4'!$A$8:$A$18,$A41)=1,vlookup($A41,'R2_G4'!$A$8:$Y$18, I$2+4,false),""))))</f>
        <v>4</v>
      </c>
      <c r="J41" s="1426">
        <f>if(countif('R2_G1'!$A$8:$A$18,$A41)=1,vlookup($A41,'R2_G1'!$A$8:$Y$18, J$2+4,false),if(countif('R2_G2'!$A$8:$A$18,$A41)=1,vlookup($A41,'R2_G2'!$A$8:$Y$18, J$2+4,false),if(countif('R2_G3'!$A$8:$A$18,$A41)=1,vlookup($A41,'R2_G3'!$A$8:$Y$18, J$2+4,false),if(countif('R2_G4'!$A$8:$A$18,$A41)=1,vlookup($A41,'R2_G4'!$A$8:$Y$18, J$2+4,false),""))))</f>
        <v>6</v>
      </c>
      <c r="K41" s="1426">
        <f>if(countif('R2_G1'!$A$8:$A$18,$A41)=1,vlookup($A41,'R2_G1'!$A$8:$Y$18, K$2+4,false),if(countif('R2_G2'!$A$8:$A$18,$A41)=1,vlookup($A41,'R2_G2'!$A$8:$Y$18, K$2+4,false),if(countif('R2_G3'!$A$8:$A$18,$A41)=1,vlookup($A41,'R2_G3'!$A$8:$Y$18, K$2+4,false),if(countif('R2_G4'!$A$8:$A$18,$A41)=1,vlookup($A41,'R2_G4'!$A$8:$Y$18, K$2+4,false),""))))</f>
        <v>6</v>
      </c>
      <c r="L41" s="1426">
        <f>if(countif('R2_G1'!$A$8:$A$18,$A41)=1,vlookup($A41,'R2_G1'!$A$8:$Y$18, L$2+4,false),if(countif('R2_G2'!$A$8:$A$18,$A41)=1,vlookup($A41,'R2_G2'!$A$8:$Y$18, L$2+4,false),if(countif('R2_G3'!$A$8:$A$18,$A41)=1,vlookup($A41,'R2_G3'!$A$8:$Y$18, L$2+4,false),if(countif('R2_G4'!$A$8:$A$18,$A41)=1,vlookup($A41,'R2_G4'!$A$8:$Y$18, L$2+4,false),""))))</f>
        <v>4</v>
      </c>
      <c r="M41" s="1426">
        <f>if(countif('R2_G1'!$A$8:$A$18,$A41)=1,vlookup($A41,'R2_G1'!$A$8:$Y$18, M$2+4,false),if(countif('R2_G2'!$A$8:$A$18,$A41)=1,vlookup($A41,'R2_G2'!$A$8:$Y$18, M$2+4,false),if(countif('R2_G3'!$A$8:$A$18,$A41)=1,vlookup($A41,'R2_G3'!$A$8:$Y$18, M$2+4,false),if(countif('R2_G4'!$A$8:$A$18,$A41)=1,vlookup($A41,'R2_G4'!$A$8:$Y$18, M$2+4,false),""))))</f>
        <v>8</v>
      </c>
      <c r="N41" s="1427">
        <f>if(countif('R2_G1'!$A$8:$A$18,$A41)=1,vlookup($A41,'R2_G1'!$A$8:$Y$18, N$2+7,false),if(countif('R2_G2'!$A$8:$A$18,$A41)=1,vlookup($A41,'R2_G2'!$A$8:$Y$18, N$2+7,false),if(countif('R2_G3'!$A$8:$A$18,$A41)=1,vlookup($A41,'R2_G3'!$A$8:$Y$18, N$2+7,false),if(countif('R2_G4'!$A$8:$A$18,$A41)=1,vlookup($A41,'R2_G4'!$A$8:$Y$18, N$2+7,false),""))))</f>
        <v>4</v>
      </c>
      <c r="O41" s="1427">
        <f>if(countif('R2_G1'!$A$8:$A$18,$A41)=1,vlookup($A41,'R2_G1'!$A$8:$Y$18, O$2+7,false),if(countif('R2_G2'!$A$8:$A$18,$A41)=1,vlookup($A41,'R2_G2'!$A$8:$Y$18, O$2+7,false),if(countif('R2_G3'!$A$8:$A$18,$A41)=1,vlookup($A41,'R2_G3'!$A$8:$Y$18, O$2+7,false),if(countif('R2_G4'!$A$8:$A$18,$A41)=1,vlookup($A41,'R2_G4'!$A$8:$Y$18, O$2+7,false),""))))</f>
        <v>5</v>
      </c>
      <c r="P41" s="1427">
        <f>if(countif('R2_G1'!$A$8:$A$18,$A41)=1,vlookup($A41,'R2_G1'!$A$8:$Y$18, P$2+7,false),if(countif('R2_G2'!$A$8:$A$18,$A41)=1,vlookup($A41,'R2_G2'!$A$8:$Y$18, P$2+7,false),if(countif('R2_G3'!$A$8:$A$18,$A41)=1,vlookup($A41,'R2_G3'!$A$8:$Y$18, P$2+7,false),if(countif('R2_G4'!$A$8:$A$18,$A41)=1,vlookup($A41,'R2_G4'!$A$8:$Y$18, P$2+7,false),""))))</f>
        <v>4</v>
      </c>
      <c r="Q41" s="1427">
        <f>if(countif('R2_G1'!$A$8:$A$18,$A41)=1,vlookup($A41,'R2_G1'!$A$8:$Y$18, Q$2+7,false),if(countif('R2_G2'!$A$8:$A$18,$A41)=1,vlookup($A41,'R2_G2'!$A$8:$Y$18, Q$2+7,false),if(countif('R2_G3'!$A$8:$A$18,$A41)=1,vlookup($A41,'R2_G3'!$A$8:$Y$18, Q$2+7,false),if(countif('R2_G4'!$A$8:$A$18,$A41)=1,vlookup($A41,'R2_G4'!$A$8:$Y$18, Q$2+7,false),""))))</f>
        <v>4</v>
      </c>
      <c r="R41" s="1427">
        <f>if(countif('R2_G1'!$A$8:$A$18,$A41)=1,vlookup($A41,'R2_G1'!$A$8:$Y$18, R$2+7,false),if(countif('R2_G2'!$A$8:$A$18,$A41)=1,vlookup($A41,'R2_G2'!$A$8:$Y$18, R$2+7,false),if(countif('R2_G3'!$A$8:$A$18,$A41)=1,vlookup($A41,'R2_G3'!$A$8:$Y$18, R$2+7,false),if(countif('R2_G4'!$A$8:$A$18,$A41)=1,vlookup($A41,'R2_G4'!$A$8:$Y$18, R$2+7,false),""))))</f>
        <v>10</v>
      </c>
      <c r="S41" s="1427">
        <f>if(countif('R2_G1'!$A$8:$A$18,$A41)=1,vlookup($A41,'R2_G1'!$A$8:$Y$18, S$2+7,false),if(countif('R2_G2'!$A$8:$A$18,$A41)=1,vlookup($A41,'R2_G2'!$A$8:$Y$18, S$2+7,false),if(countif('R2_G3'!$A$8:$A$18,$A41)=1,vlookup($A41,'R2_G3'!$A$8:$Y$18, S$2+7,false),if(countif('R2_G4'!$A$8:$A$18,$A41)=1,vlookup($A41,'R2_G4'!$A$8:$Y$18, S$2+7,false),""))))</f>
        <v>4</v>
      </c>
      <c r="T41" s="1427">
        <f>if(countif('R2_G1'!$A$8:$A$18,$A41)=1,vlookup($A41,'R2_G1'!$A$8:$Y$18, T$2+7,false),if(countif('R2_G2'!$A$8:$A$18,$A41)=1,vlookup($A41,'R2_G2'!$A$8:$Y$18, T$2+7,false),if(countif('R2_G3'!$A$8:$A$18,$A41)=1,vlookup($A41,'R2_G3'!$A$8:$Y$18, T$2+7,false),if(countif('R2_G4'!$A$8:$A$18,$A41)=1,vlookup($A41,'R2_G4'!$A$8:$Y$18, T$2+7,false),""))))</f>
        <v>5</v>
      </c>
      <c r="U41" s="1427">
        <f>if(countif('R2_G1'!$A$8:$A$18,$A41)=1,vlookup($A41,'R2_G1'!$A$8:$Y$18, U$2+7,false),if(countif('R2_G2'!$A$8:$A$18,$A41)=1,vlookup($A41,'R2_G2'!$A$8:$Y$18, U$2+7,false),if(countif('R2_G3'!$A$8:$A$18,$A41)=1,vlookup($A41,'R2_G3'!$A$8:$Y$18, U$2+7,false),if(countif('R2_G4'!$A$8:$A$18,$A41)=1,vlookup($A41,'R2_G4'!$A$8:$Y$18, U$2+7,false),""))))</f>
        <v>4</v>
      </c>
      <c r="V41" s="1427">
        <f>if(countif('R2_G1'!$A$8:$A$18,$A41)=1,vlookup($A41,'R2_G1'!$A$8:$Y$18, V$2+7,false),if(countif('R2_G2'!$A$8:$A$18,$A41)=1,vlookup($A41,'R2_G2'!$A$8:$Y$18, V$2+7,false),if(countif('R2_G3'!$A$8:$A$18,$A41)=1,vlookup($A41,'R2_G3'!$A$8:$Y$18, V$2+7,false),if(countif('R2_G4'!$A$8:$A$18,$A41)=1,vlookup($A41,'R2_G4'!$A$8:$Y$18, V$2+7,false),""))))</f>
        <v>5</v>
      </c>
      <c r="W41" s="1428">
        <f t="shared" si="39"/>
        <v>45</v>
      </c>
      <c r="X41" s="1428">
        <f t="shared" si="40"/>
        <v>45</v>
      </c>
      <c r="Y41" s="1428">
        <f t="shared" si="45"/>
        <v>90</v>
      </c>
      <c r="Z41" s="1428">
        <f t="shared" si="46"/>
        <v>80</v>
      </c>
      <c r="AA41" s="1428">
        <f t="shared" si="47"/>
        <v>90</v>
      </c>
      <c r="AB41" s="1487"/>
      <c r="AC41" s="1423" t="str">
        <f t="shared" si="48"/>
        <v>TJSC</v>
      </c>
      <c r="AD41" s="1424">
        <f>VLOOKUP(AC41,'Master Input'!$A$11:$L$27,8,false)</f>
        <v>10</v>
      </c>
      <c r="AE41" s="1423" t="s">
        <v>266</v>
      </c>
      <c r="AF41" s="1401"/>
      <c r="AG41" s="1428">
        <f t="shared" ref="AG41:AX41" si="68">if(E41="","",E41-IF($B41&gt;0,FLOOR($B41/18,1),0)-IF(AND(MOD($B41,18)&gt;=E$27,$B41&gt;0),1,0)+IF(E$27-18&gt;$B41,1,0))</f>
        <v>4</v>
      </c>
      <c r="AH41" s="1428">
        <f t="shared" si="68"/>
        <v>4</v>
      </c>
      <c r="AI41" s="1428">
        <f t="shared" si="68"/>
        <v>3</v>
      </c>
      <c r="AJ41" s="1428">
        <f t="shared" si="68"/>
        <v>4</v>
      </c>
      <c r="AK41" s="1428">
        <f t="shared" si="68"/>
        <v>3</v>
      </c>
      <c r="AL41" s="1428">
        <f t="shared" si="68"/>
        <v>5</v>
      </c>
      <c r="AM41" s="1428">
        <f t="shared" si="68"/>
        <v>6</v>
      </c>
      <c r="AN41" s="1428">
        <f t="shared" si="68"/>
        <v>4</v>
      </c>
      <c r="AO41" s="1428">
        <f t="shared" si="68"/>
        <v>7</v>
      </c>
      <c r="AP41" s="1429">
        <f t="shared" si="68"/>
        <v>3</v>
      </c>
      <c r="AQ41" s="1429">
        <f t="shared" si="68"/>
        <v>4</v>
      </c>
      <c r="AR41" s="1429">
        <f t="shared" si="68"/>
        <v>4</v>
      </c>
      <c r="AS41" s="1429">
        <f t="shared" si="68"/>
        <v>4</v>
      </c>
      <c r="AT41" s="1429">
        <f t="shared" si="68"/>
        <v>9</v>
      </c>
      <c r="AU41" s="1429">
        <f t="shared" si="68"/>
        <v>3</v>
      </c>
      <c r="AV41" s="1429">
        <f t="shared" si="68"/>
        <v>5</v>
      </c>
      <c r="AW41" s="1429">
        <f t="shared" si="68"/>
        <v>4</v>
      </c>
      <c r="AX41" s="1429">
        <f t="shared" si="68"/>
        <v>4</v>
      </c>
      <c r="AY41" s="1428">
        <f t="shared" si="42"/>
        <v>40</v>
      </c>
      <c r="AZ41" s="1428">
        <f t="shared" si="43"/>
        <v>40</v>
      </c>
      <c r="BA41" s="1428">
        <f t="shared" si="50"/>
        <v>80</v>
      </c>
      <c r="BB41" s="1430" t="str">
        <f>if(countif('R2_G1'!$A$8:$A$18,$A41)=1, if(and(BA41=Z41,BA41=vlookup($A41,'R2_G1'!$A$8:$AB$18, 28,false)),"yes","no"),
if(countif('R2_G2'!$A$8:$A$18,$A41)=1, if(and(BA41=Z41,BA41=vlookup($A41,'R2_G2'!$A$8:$AB$18, 28,false)),"yes","no"),
if(countif('R2_G3'!$A$8:$A$18,$A41)=1, if(and(BA41=Z41,BA41=vlookup($A41,'R2_G3'!$A$8:$AB$18, 28,false)),"yes","no"),
if(countif('R2_G4'!$A$8:$A$18,$A41)=1, if(and(BA41=Z41,BA41=vlookup($A41,'R2_G4'!$A$8:$AB$18, 28,false)),"yes","no"),
"?"))))
</f>
        <v>yes</v>
      </c>
      <c r="BC41" s="1487"/>
      <c r="BD41" s="1441">
        <f t="shared" si="51"/>
        <v>7.5</v>
      </c>
      <c r="BE41" s="1442">
        <f t="shared" si="52"/>
        <v>9.5</v>
      </c>
      <c r="BF41" s="1442">
        <f t="shared" si="53"/>
        <v>0</v>
      </c>
      <c r="BG41" s="1442">
        <f t="shared" si="54"/>
        <v>5</v>
      </c>
      <c r="BH41" s="1442">
        <f t="shared" si="55"/>
        <v>5</v>
      </c>
      <c r="BI41" s="1442">
        <f t="shared" si="56"/>
        <v>5</v>
      </c>
      <c r="BJ41" s="1442">
        <f t="shared" si="57"/>
        <v>3</v>
      </c>
    </row>
    <row r="42" ht="14.25" customHeight="1">
      <c r="A42" s="1434" t="str">
        <f t="shared" si="44"/>
        <v>Weezy</v>
      </c>
      <c r="B42" s="1435">
        <f>VLOOKUP(A42,'Master Input'!$A$11:$L$27,8,false)</f>
        <v>10</v>
      </c>
      <c r="C42" s="1436"/>
      <c r="D42" s="1401"/>
      <c r="E42" s="1437">
        <f>if(countif('R2_G1'!$A$8:$A$18,$A42)=1,vlookup($A42,'R2_G1'!$A$8:$Y$18, E$2+4,false),if(countif('R2_G2'!$A$8:$A$18,$A42)=1,vlookup($A42,'R2_G2'!$A$8:$Y$18, E$2+4,false),if(countif('R2_G3'!$A$8:$A$18,$A42)=1,vlookup($A42,'R2_G3'!$A$8:$Y$18, E$2+4,false),if(countif('R2_G4'!$A$8:$A$18,$A42)=1,vlookup($A42,'R2_G4'!$A$8:$Y$18, E$2+4,false),""))))</f>
        <v>4</v>
      </c>
      <c r="F42" s="1437">
        <f>if(countif('R2_G1'!$A$8:$A$18,$A42)=1,vlookup($A42,'R2_G1'!$A$8:$Y$18, F$2+4,false),if(countif('R2_G2'!$A$8:$A$18,$A42)=1,vlookup($A42,'R2_G2'!$A$8:$Y$18, F$2+4,false),if(countif('R2_G3'!$A$8:$A$18,$A42)=1,vlookup($A42,'R2_G3'!$A$8:$Y$18, F$2+4,false),if(countif('R2_G4'!$A$8:$A$18,$A42)=1,vlookup($A42,'R2_G4'!$A$8:$Y$18, F$2+4,false),""))))</f>
        <v>7</v>
      </c>
      <c r="G42" s="1437">
        <f>if(countif('R2_G1'!$A$8:$A$18,$A42)=1,vlookup($A42,'R2_G1'!$A$8:$Y$18, G$2+4,false),if(countif('R2_G2'!$A$8:$A$18,$A42)=1,vlookup($A42,'R2_G2'!$A$8:$Y$18, G$2+4,false),if(countif('R2_G3'!$A$8:$A$18,$A42)=1,vlookup($A42,'R2_G3'!$A$8:$Y$18, G$2+4,false),if(countif('R2_G4'!$A$8:$A$18,$A42)=1,vlookup($A42,'R2_G4'!$A$8:$Y$18, G$2+4,false),""))))</f>
        <v>4</v>
      </c>
      <c r="H42" s="1437">
        <f>if(countif('R2_G1'!$A$8:$A$18,$A42)=1,vlookup($A42,'R2_G1'!$A$8:$Y$18, H$2+4,false),if(countif('R2_G2'!$A$8:$A$18,$A42)=1,vlookup($A42,'R2_G2'!$A$8:$Y$18, H$2+4,false),if(countif('R2_G3'!$A$8:$A$18,$A42)=1,vlookup($A42,'R2_G3'!$A$8:$Y$18, H$2+4,false),if(countif('R2_G4'!$A$8:$A$18,$A42)=1,vlookup($A42,'R2_G4'!$A$8:$Y$18, H$2+4,false),""))))</f>
        <v>7</v>
      </c>
      <c r="I42" s="1437">
        <f>if(countif('R2_G1'!$A$8:$A$18,$A42)=1,vlookup($A42,'R2_G1'!$A$8:$Y$18, I$2+4,false),if(countif('R2_G2'!$A$8:$A$18,$A42)=1,vlookup($A42,'R2_G2'!$A$8:$Y$18, I$2+4,false),if(countif('R2_G3'!$A$8:$A$18,$A42)=1,vlookup($A42,'R2_G3'!$A$8:$Y$18, I$2+4,false),if(countif('R2_G4'!$A$8:$A$18,$A42)=1,vlookup($A42,'R2_G4'!$A$8:$Y$18, I$2+4,false),""))))</f>
        <v>6</v>
      </c>
      <c r="J42" s="1437">
        <f>if(countif('R2_G1'!$A$8:$A$18,$A42)=1,vlookup($A42,'R2_G1'!$A$8:$Y$18, J$2+4,false),if(countif('R2_G2'!$A$8:$A$18,$A42)=1,vlookup($A42,'R2_G2'!$A$8:$Y$18, J$2+4,false),if(countif('R2_G3'!$A$8:$A$18,$A42)=1,vlookup($A42,'R2_G3'!$A$8:$Y$18, J$2+4,false),if(countif('R2_G4'!$A$8:$A$18,$A42)=1,vlookup($A42,'R2_G4'!$A$8:$Y$18, J$2+4,false),""))))</f>
        <v>6</v>
      </c>
      <c r="K42" s="1437">
        <f>if(countif('R2_G1'!$A$8:$A$18,$A42)=1,vlookup($A42,'R2_G1'!$A$8:$Y$18, K$2+4,false),if(countif('R2_G2'!$A$8:$A$18,$A42)=1,vlookup($A42,'R2_G2'!$A$8:$Y$18, K$2+4,false),if(countif('R2_G3'!$A$8:$A$18,$A42)=1,vlookup($A42,'R2_G3'!$A$8:$Y$18, K$2+4,false),if(countif('R2_G4'!$A$8:$A$18,$A42)=1,vlookup($A42,'R2_G4'!$A$8:$Y$18, K$2+4,false),""))))</f>
        <v>4</v>
      </c>
      <c r="L42" s="1437">
        <f>if(countif('R2_G1'!$A$8:$A$18,$A42)=1,vlookup($A42,'R2_G1'!$A$8:$Y$18, L$2+4,false),if(countif('R2_G2'!$A$8:$A$18,$A42)=1,vlookup($A42,'R2_G2'!$A$8:$Y$18, L$2+4,false),if(countif('R2_G3'!$A$8:$A$18,$A42)=1,vlookup($A42,'R2_G3'!$A$8:$Y$18, L$2+4,false),if(countif('R2_G4'!$A$8:$A$18,$A42)=1,vlookup($A42,'R2_G4'!$A$8:$Y$18, L$2+4,false),""))))</f>
        <v>3</v>
      </c>
      <c r="M42" s="1437">
        <f>if(countif('R2_G1'!$A$8:$A$18,$A42)=1,vlookup($A42,'R2_G1'!$A$8:$Y$18, M$2+4,false),if(countif('R2_G2'!$A$8:$A$18,$A42)=1,vlookup($A42,'R2_G2'!$A$8:$Y$18, M$2+4,false),if(countif('R2_G3'!$A$8:$A$18,$A42)=1,vlookup($A42,'R2_G3'!$A$8:$Y$18, M$2+4,false),if(countif('R2_G4'!$A$8:$A$18,$A42)=1,vlookup($A42,'R2_G4'!$A$8:$Y$18, M$2+4,false),""))))</f>
        <v>6</v>
      </c>
      <c r="N42" s="1426">
        <f>if(countif('R2_G1'!$A$8:$A$18,$A42)=1,vlookup($A42,'R2_G1'!$A$8:$Y$18, N$2+7,false),if(countif('R2_G2'!$A$8:$A$18,$A42)=1,vlookup($A42,'R2_G2'!$A$8:$Y$18, N$2+7,false),if(countif('R2_G3'!$A$8:$A$18,$A42)=1,vlookup($A42,'R2_G3'!$A$8:$Y$18, N$2+7,false),if(countif('R2_G4'!$A$8:$A$18,$A42)=1,vlookup($A42,'R2_G4'!$A$8:$Y$18, N$2+7,false),""))))</f>
        <v>4</v>
      </c>
      <c r="O42" s="1426">
        <f>if(countif('R2_G1'!$A$8:$A$18,$A42)=1,vlookup($A42,'R2_G1'!$A$8:$Y$18, O$2+7,false),if(countif('R2_G2'!$A$8:$A$18,$A42)=1,vlookup($A42,'R2_G2'!$A$8:$Y$18, O$2+7,false),if(countif('R2_G3'!$A$8:$A$18,$A42)=1,vlookup($A42,'R2_G3'!$A$8:$Y$18, O$2+7,false),if(countif('R2_G4'!$A$8:$A$18,$A42)=1,vlookup($A42,'R2_G4'!$A$8:$Y$18, O$2+7,false),""))))</f>
        <v>5</v>
      </c>
      <c r="P42" s="1426">
        <f>if(countif('R2_G1'!$A$8:$A$18,$A42)=1,vlookup($A42,'R2_G1'!$A$8:$Y$18, P$2+7,false),if(countif('R2_G2'!$A$8:$A$18,$A42)=1,vlookup($A42,'R2_G2'!$A$8:$Y$18, P$2+7,false),if(countif('R2_G3'!$A$8:$A$18,$A42)=1,vlookup($A42,'R2_G3'!$A$8:$Y$18, P$2+7,false),if(countif('R2_G4'!$A$8:$A$18,$A42)=1,vlookup($A42,'R2_G4'!$A$8:$Y$18, P$2+7,false),""))))</f>
        <v>6</v>
      </c>
      <c r="Q42" s="1426">
        <f>if(countif('R2_G1'!$A$8:$A$18,$A42)=1,vlookup($A42,'R2_G1'!$A$8:$Y$18, Q$2+7,false),if(countif('R2_G2'!$A$8:$A$18,$A42)=1,vlookup($A42,'R2_G2'!$A$8:$Y$18, Q$2+7,false),if(countif('R2_G3'!$A$8:$A$18,$A42)=1,vlookup($A42,'R2_G3'!$A$8:$Y$18, Q$2+7,false),if(countif('R2_G4'!$A$8:$A$18,$A42)=1,vlookup($A42,'R2_G4'!$A$8:$Y$18, Q$2+7,false),""))))</f>
        <v>5</v>
      </c>
      <c r="R42" s="1426">
        <f>if(countif('R2_G1'!$A$8:$A$18,$A42)=1,vlookup($A42,'R2_G1'!$A$8:$Y$18, R$2+7,false),if(countif('R2_G2'!$A$8:$A$18,$A42)=1,vlookup($A42,'R2_G2'!$A$8:$Y$18, R$2+7,false),if(countif('R2_G3'!$A$8:$A$18,$A42)=1,vlookup($A42,'R2_G3'!$A$8:$Y$18, R$2+7,false),if(countif('R2_G4'!$A$8:$A$18,$A42)=1,vlookup($A42,'R2_G4'!$A$8:$Y$18, R$2+7,false),""))))</f>
        <v>7</v>
      </c>
      <c r="S42" s="1426">
        <f>if(countif('R2_G1'!$A$8:$A$18,$A42)=1,vlookup($A42,'R2_G1'!$A$8:$Y$18, S$2+7,false),if(countif('R2_G2'!$A$8:$A$18,$A42)=1,vlookup($A42,'R2_G2'!$A$8:$Y$18, S$2+7,false),if(countif('R2_G3'!$A$8:$A$18,$A42)=1,vlookup($A42,'R2_G3'!$A$8:$Y$18, S$2+7,false),if(countif('R2_G4'!$A$8:$A$18,$A42)=1,vlookup($A42,'R2_G4'!$A$8:$Y$18, S$2+7,false),""))))</f>
        <v>5</v>
      </c>
      <c r="T42" s="1426">
        <f>if(countif('R2_G1'!$A$8:$A$18,$A42)=1,vlookup($A42,'R2_G1'!$A$8:$Y$18, T$2+7,false),if(countif('R2_G2'!$A$8:$A$18,$A42)=1,vlookup($A42,'R2_G2'!$A$8:$Y$18, T$2+7,false),if(countif('R2_G3'!$A$8:$A$18,$A42)=1,vlookup($A42,'R2_G3'!$A$8:$Y$18, T$2+7,false),if(countif('R2_G4'!$A$8:$A$18,$A42)=1,vlookup($A42,'R2_G4'!$A$8:$Y$18, T$2+7,false),""))))</f>
        <v>8</v>
      </c>
      <c r="U42" s="1426">
        <f>if(countif('R2_G1'!$A$8:$A$18,$A42)=1,vlookup($A42,'R2_G1'!$A$8:$Y$18, U$2+7,false),if(countif('R2_G2'!$A$8:$A$18,$A42)=1,vlookup($A42,'R2_G2'!$A$8:$Y$18, U$2+7,false),if(countif('R2_G3'!$A$8:$A$18,$A42)=1,vlookup($A42,'R2_G3'!$A$8:$Y$18, U$2+7,false),if(countif('R2_G4'!$A$8:$A$18,$A42)=1,vlookup($A42,'R2_G4'!$A$8:$Y$18, U$2+7,false),""))))</f>
        <v>3</v>
      </c>
      <c r="V42" s="1426">
        <f>if(countif('R2_G1'!$A$8:$A$18,$A42)=1,vlookup($A42,'R2_G1'!$A$8:$Y$18, V$2+7,false),if(countif('R2_G2'!$A$8:$A$18,$A42)=1,vlookup($A42,'R2_G2'!$A$8:$Y$18, V$2+7,false),if(countif('R2_G3'!$A$8:$A$18,$A42)=1,vlookup($A42,'R2_G3'!$A$8:$Y$18, V$2+7,false),if(countif('R2_G4'!$A$8:$A$18,$A42)=1,vlookup($A42,'R2_G4'!$A$8:$Y$18, V$2+7,false),""))))</f>
        <v>5</v>
      </c>
      <c r="W42" s="1438">
        <f t="shared" si="39"/>
        <v>47</v>
      </c>
      <c r="X42" s="1438">
        <f t="shared" si="40"/>
        <v>48</v>
      </c>
      <c r="Y42" s="1438">
        <f t="shared" si="45"/>
        <v>95</v>
      </c>
      <c r="Z42" s="1438">
        <f t="shared" si="46"/>
        <v>85</v>
      </c>
      <c r="AA42" s="1438">
        <f t="shared" si="47"/>
        <v>95</v>
      </c>
      <c r="AB42" s="1487"/>
      <c r="AC42" s="1423" t="str">
        <f t="shared" si="48"/>
        <v>Weezy</v>
      </c>
      <c r="AD42" s="1435">
        <f>VLOOKUP(AC42,'Master Input'!$A$11:$L$27,8,false)</f>
        <v>10</v>
      </c>
      <c r="AE42" s="1434" t="s">
        <v>266</v>
      </c>
      <c r="AF42" s="1401"/>
      <c r="AG42" s="1438">
        <f t="shared" ref="AG42:AX42" si="69">if(E42="","",E42-IF($B42&gt;0,FLOOR($B42/18,1),0)-IF(AND(MOD($B42,18)&gt;=E$27,$B42&gt;0),1,0)+IF(E$27-18&gt;$B42,1,0))</f>
        <v>3</v>
      </c>
      <c r="AH42" s="1438">
        <f t="shared" si="69"/>
        <v>7</v>
      </c>
      <c r="AI42" s="1438">
        <f t="shared" si="69"/>
        <v>4</v>
      </c>
      <c r="AJ42" s="1438">
        <f t="shared" si="69"/>
        <v>6</v>
      </c>
      <c r="AK42" s="1438">
        <f t="shared" si="69"/>
        <v>5</v>
      </c>
      <c r="AL42" s="1438">
        <f t="shared" si="69"/>
        <v>5</v>
      </c>
      <c r="AM42" s="1438">
        <f t="shared" si="69"/>
        <v>4</v>
      </c>
      <c r="AN42" s="1438">
        <f t="shared" si="69"/>
        <v>3</v>
      </c>
      <c r="AO42" s="1438">
        <f t="shared" si="69"/>
        <v>5</v>
      </c>
      <c r="AP42" s="1426">
        <f t="shared" si="69"/>
        <v>3</v>
      </c>
      <c r="AQ42" s="1426">
        <f t="shared" si="69"/>
        <v>4</v>
      </c>
      <c r="AR42" s="1426">
        <f t="shared" si="69"/>
        <v>6</v>
      </c>
      <c r="AS42" s="1426">
        <f t="shared" si="69"/>
        <v>5</v>
      </c>
      <c r="AT42" s="1426">
        <f t="shared" si="69"/>
        <v>6</v>
      </c>
      <c r="AU42" s="1426">
        <f t="shared" si="69"/>
        <v>4</v>
      </c>
      <c r="AV42" s="1426">
        <f t="shared" si="69"/>
        <v>8</v>
      </c>
      <c r="AW42" s="1426">
        <f t="shared" si="69"/>
        <v>3</v>
      </c>
      <c r="AX42" s="1426">
        <f t="shared" si="69"/>
        <v>4</v>
      </c>
      <c r="AY42" s="1438">
        <f t="shared" si="42"/>
        <v>42</v>
      </c>
      <c r="AZ42" s="1438">
        <f t="shared" si="43"/>
        <v>43</v>
      </c>
      <c r="BA42" s="1438">
        <f t="shared" si="50"/>
        <v>85</v>
      </c>
      <c r="BB42" s="1436" t="str">
        <f>if(countif('R2_G1'!$A$8:$A$18,$A42)=1, if(and(BA42=Z42,BA42=vlookup($A42,'R2_G1'!$A$8:$AB$18, 28,false)),"yes","no"),
if(countif('R2_G2'!$A$8:$A$18,$A42)=1, if(and(BA42=Z42,BA42=vlookup($A42,'R2_G2'!$A$8:$AB$18, 28,false)),"yes","no"),
if(countif('R2_G3'!$A$8:$A$18,$A42)=1, if(and(BA42=Z42,BA42=vlookup($A42,'R2_G3'!$A$8:$AB$18, 28,false)),"yes","no"),
if(countif('R2_G4'!$A$8:$A$18,$A42)=1, if(and(BA42=Z42,BA42=vlookup($A42,'R2_G4'!$A$8:$AB$18, 28,false)),"yes","no"),
"?"))))
</f>
        <v>yes</v>
      </c>
      <c r="BC42" s="1487"/>
      <c r="BD42" s="1439">
        <f t="shared" si="51"/>
        <v>6</v>
      </c>
      <c r="BE42" s="1440">
        <f t="shared" si="52"/>
        <v>7.9</v>
      </c>
      <c r="BF42" s="1440">
        <f t="shared" si="53"/>
        <v>0</v>
      </c>
      <c r="BG42" s="1440">
        <f t="shared" si="54"/>
        <v>3</v>
      </c>
      <c r="BH42" s="1440">
        <f t="shared" si="55"/>
        <v>6</v>
      </c>
      <c r="BI42" s="1440">
        <f t="shared" si="56"/>
        <v>6</v>
      </c>
      <c r="BJ42" s="1440">
        <f t="shared" si="57"/>
        <v>3</v>
      </c>
    </row>
    <row r="43" ht="14.25" customHeight="1">
      <c r="A43" s="1423" t="str">
        <f t="shared" si="44"/>
        <v>Joe O</v>
      </c>
      <c r="B43" s="1424">
        <f>VLOOKUP(A43,'Master Input'!$A$11:$L$27,8,false)</f>
        <v>13</v>
      </c>
      <c r="C43" s="1430"/>
      <c r="D43" s="1401"/>
      <c r="E43" s="1426">
        <f>if(countif('R2_G1'!$A$8:$A$18,$A43)=1,vlookup($A43,'R2_G1'!$A$8:$Y$18, E$2+4,false),if(countif('R2_G2'!$A$8:$A$18,$A43)=1,vlookup($A43,'R2_G2'!$A$8:$Y$18, E$2+4,false),if(countif('R2_G3'!$A$8:$A$18,$A43)=1,vlookup($A43,'R2_G3'!$A$8:$Y$18, E$2+4,false),if(countif('R2_G4'!$A$8:$A$18,$A43)=1,vlookup($A43,'R2_G4'!$A$8:$Y$18, E$2+4,false),""))))</f>
        <v>4</v>
      </c>
      <c r="F43" s="1426">
        <f>if(countif('R2_G1'!$A$8:$A$18,$A43)=1,vlookup($A43,'R2_G1'!$A$8:$Y$18, F$2+4,false),if(countif('R2_G2'!$A$8:$A$18,$A43)=1,vlookup($A43,'R2_G2'!$A$8:$Y$18, F$2+4,false),if(countif('R2_G3'!$A$8:$A$18,$A43)=1,vlookup($A43,'R2_G3'!$A$8:$Y$18, F$2+4,false),if(countif('R2_G4'!$A$8:$A$18,$A43)=1,vlookup($A43,'R2_G4'!$A$8:$Y$18, F$2+4,false),""))))</f>
        <v>4</v>
      </c>
      <c r="G43" s="1426">
        <f>if(countif('R2_G1'!$A$8:$A$18,$A43)=1,vlookup($A43,'R2_G1'!$A$8:$Y$18, G$2+4,false),if(countif('R2_G2'!$A$8:$A$18,$A43)=1,vlookup($A43,'R2_G2'!$A$8:$Y$18, G$2+4,false),if(countif('R2_G3'!$A$8:$A$18,$A43)=1,vlookup($A43,'R2_G3'!$A$8:$Y$18, G$2+4,false),if(countif('R2_G4'!$A$8:$A$18,$A43)=1,vlookup($A43,'R2_G4'!$A$8:$Y$18, G$2+4,false),""))))</f>
        <v>3</v>
      </c>
      <c r="H43" s="1426">
        <f>if(countif('R2_G1'!$A$8:$A$18,$A43)=1,vlookup($A43,'R2_G1'!$A$8:$Y$18, H$2+4,false),if(countif('R2_G2'!$A$8:$A$18,$A43)=1,vlookup($A43,'R2_G2'!$A$8:$Y$18, H$2+4,false),if(countif('R2_G3'!$A$8:$A$18,$A43)=1,vlookup($A43,'R2_G3'!$A$8:$Y$18, H$2+4,false),if(countif('R2_G4'!$A$8:$A$18,$A43)=1,vlookup($A43,'R2_G4'!$A$8:$Y$18, H$2+4,false),""))))</f>
        <v>6</v>
      </c>
      <c r="I43" s="1426">
        <f>if(countif('R2_G1'!$A$8:$A$18,$A43)=1,vlookup($A43,'R2_G1'!$A$8:$Y$18, I$2+4,false),if(countif('R2_G2'!$A$8:$A$18,$A43)=1,vlookup($A43,'R2_G2'!$A$8:$Y$18, I$2+4,false),if(countif('R2_G3'!$A$8:$A$18,$A43)=1,vlookup($A43,'R2_G3'!$A$8:$Y$18, I$2+4,false),if(countif('R2_G4'!$A$8:$A$18,$A43)=1,vlookup($A43,'R2_G4'!$A$8:$Y$18, I$2+4,false),""))))</f>
        <v>5</v>
      </c>
      <c r="J43" s="1426">
        <f>if(countif('R2_G1'!$A$8:$A$18,$A43)=1,vlookup($A43,'R2_G1'!$A$8:$Y$18, J$2+4,false),if(countif('R2_G2'!$A$8:$A$18,$A43)=1,vlookup($A43,'R2_G2'!$A$8:$Y$18, J$2+4,false),if(countif('R2_G3'!$A$8:$A$18,$A43)=1,vlookup($A43,'R2_G3'!$A$8:$Y$18, J$2+4,false),if(countif('R2_G4'!$A$8:$A$18,$A43)=1,vlookup($A43,'R2_G4'!$A$8:$Y$18, J$2+4,false),""))))</f>
        <v>5</v>
      </c>
      <c r="K43" s="1426">
        <f>if(countif('R2_G1'!$A$8:$A$18,$A43)=1,vlookup($A43,'R2_G1'!$A$8:$Y$18, K$2+4,false),if(countif('R2_G2'!$A$8:$A$18,$A43)=1,vlookup($A43,'R2_G2'!$A$8:$Y$18, K$2+4,false),if(countif('R2_G3'!$A$8:$A$18,$A43)=1,vlookup($A43,'R2_G3'!$A$8:$Y$18, K$2+4,false),if(countif('R2_G4'!$A$8:$A$18,$A43)=1,vlookup($A43,'R2_G4'!$A$8:$Y$18, K$2+4,false),""))))</f>
        <v>4</v>
      </c>
      <c r="L43" s="1426">
        <f>if(countif('R2_G1'!$A$8:$A$18,$A43)=1,vlookup($A43,'R2_G1'!$A$8:$Y$18, L$2+4,false),if(countif('R2_G2'!$A$8:$A$18,$A43)=1,vlookup($A43,'R2_G2'!$A$8:$Y$18, L$2+4,false),if(countif('R2_G3'!$A$8:$A$18,$A43)=1,vlookup($A43,'R2_G3'!$A$8:$Y$18, L$2+4,false),if(countif('R2_G4'!$A$8:$A$18,$A43)=1,vlookup($A43,'R2_G4'!$A$8:$Y$18, L$2+4,false),""))))</f>
        <v>3</v>
      </c>
      <c r="M43" s="1426">
        <f>if(countif('R2_G1'!$A$8:$A$18,$A43)=1,vlookup($A43,'R2_G1'!$A$8:$Y$18, M$2+4,false),if(countif('R2_G2'!$A$8:$A$18,$A43)=1,vlookup($A43,'R2_G2'!$A$8:$Y$18, M$2+4,false),if(countif('R2_G3'!$A$8:$A$18,$A43)=1,vlookup($A43,'R2_G3'!$A$8:$Y$18, M$2+4,false),if(countif('R2_G4'!$A$8:$A$18,$A43)=1,vlookup($A43,'R2_G4'!$A$8:$Y$18, M$2+4,false),""))))</f>
        <v>7</v>
      </c>
      <c r="N43" s="1427">
        <f>if(countif('R2_G1'!$A$8:$A$18,$A43)=1,vlookup($A43,'R2_G1'!$A$8:$Y$18, N$2+7,false),if(countif('R2_G2'!$A$8:$A$18,$A43)=1,vlookup($A43,'R2_G2'!$A$8:$Y$18, N$2+7,false),if(countif('R2_G3'!$A$8:$A$18,$A43)=1,vlookup($A43,'R2_G3'!$A$8:$Y$18, N$2+7,false),if(countif('R2_G4'!$A$8:$A$18,$A43)=1,vlookup($A43,'R2_G4'!$A$8:$Y$18, N$2+7,false),""))))</f>
        <v>5</v>
      </c>
      <c r="O43" s="1427">
        <f>if(countif('R2_G1'!$A$8:$A$18,$A43)=1,vlookup($A43,'R2_G1'!$A$8:$Y$18, O$2+7,false),if(countif('R2_G2'!$A$8:$A$18,$A43)=1,vlookup($A43,'R2_G2'!$A$8:$Y$18, O$2+7,false),if(countif('R2_G3'!$A$8:$A$18,$A43)=1,vlookup($A43,'R2_G3'!$A$8:$Y$18, O$2+7,false),if(countif('R2_G4'!$A$8:$A$18,$A43)=1,vlookup($A43,'R2_G4'!$A$8:$Y$18, O$2+7,false),""))))</f>
        <v>5</v>
      </c>
      <c r="P43" s="1427">
        <f>if(countif('R2_G1'!$A$8:$A$18,$A43)=1,vlookup($A43,'R2_G1'!$A$8:$Y$18, P$2+7,false),if(countif('R2_G2'!$A$8:$A$18,$A43)=1,vlookup($A43,'R2_G2'!$A$8:$Y$18, P$2+7,false),if(countif('R2_G3'!$A$8:$A$18,$A43)=1,vlookup($A43,'R2_G3'!$A$8:$Y$18, P$2+7,false),if(countif('R2_G4'!$A$8:$A$18,$A43)=1,vlookup($A43,'R2_G4'!$A$8:$Y$18, P$2+7,false),""))))</f>
        <v>4</v>
      </c>
      <c r="Q43" s="1427">
        <f>if(countif('R2_G1'!$A$8:$A$18,$A43)=1,vlookup($A43,'R2_G1'!$A$8:$Y$18, Q$2+7,false),if(countif('R2_G2'!$A$8:$A$18,$A43)=1,vlookup($A43,'R2_G2'!$A$8:$Y$18, Q$2+7,false),if(countif('R2_G3'!$A$8:$A$18,$A43)=1,vlookup($A43,'R2_G3'!$A$8:$Y$18, Q$2+7,false),if(countif('R2_G4'!$A$8:$A$18,$A43)=1,vlookup($A43,'R2_G4'!$A$8:$Y$18, Q$2+7,false),""))))</f>
        <v>4</v>
      </c>
      <c r="R43" s="1427">
        <f>if(countif('R2_G1'!$A$8:$A$18,$A43)=1,vlookup($A43,'R2_G1'!$A$8:$Y$18, R$2+7,false),if(countif('R2_G2'!$A$8:$A$18,$A43)=1,vlookup($A43,'R2_G2'!$A$8:$Y$18, R$2+7,false),if(countif('R2_G3'!$A$8:$A$18,$A43)=1,vlookup($A43,'R2_G3'!$A$8:$Y$18, R$2+7,false),if(countif('R2_G4'!$A$8:$A$18,$A43)=1,vlookup($A43,'R2_G4'!$A$8:$Y$18, R$2+7,false),""))))</f>
        <v>9</v>
      </c>
      <c r="S43" s="1427">
        <f>if(countif('R2_G1'!$A$8:$A$18,$A43)=1,vlookup($A43,'R2_G1'!$A$8:$Y$18, S$2+7,false),if(countif('R2_G2'!$A$8:$A$18,$A43)=1,vlookup($A43,'R2_G2'!$A$8:$Y$18, S$2+7,false),if(countif('R2_G3'!$A$8:$A$18,$A43)=1,vlookup($A43,'R2_G3'!$A$8:$Y$18, S$2+7,false),if(countif('R2_G4'!$A$8:$A$18,$A43)=1,vlookup($A43,'R2_G4'!$A$8:$Y$18, S$2+7,false),""))))</f>
        <v>6</v>
      </c>
      <c r="T43" s="1427">
        <f>if(countif('R2_G1'!$A$8:$A$18,$A43)=1,vlookup($A43,'R2_G1'!$A$8:$Y$18, T$2+7,false),if(countif('R2_G2'!$A$8:$A$18,$A43)=1,vlookup($A43,'R2_G2'!$A$8:$Y$18, T$2+7,false),if(countif('R2_G3'!$A$8:$A$18,$A43)=1,vlookup($A43,'R2_G3'!$A$8:$Y$18, T$2+7,false),if(countif('R2_G4'!$A$8:$A$18,$A43)=1,vlookup($A43,'R2_G4'!$A$8:$Y$18, T$2+7,false),""))))</f>
        <v>5</v>
      </c>
      <c r="U43" s="1427">
        <f>if(countif('R2_G1'!$A$8:$A$18,$A43)=1,vlookup($A43,'R2_G1'!$A$8:$Y$18, U$2+7,false),if(countif('R2_G2'!$A$8:$A$18,$A43)=1,vlookup($A43,'R2_G2'!$A$8:$Y$18, U$2+7,false),if(countif('R2_G3'!$A$8:$A$18,$A43)=1,vlookup($A43,'R2_G3'!$A$8:$Y$18, U$2+7,false),if(countif('R2_G4'!$A$8:$A$18,$A43)=1,vlookup($A43,'R2_G4'!$A$8:$Y$18, U$2+7,false),""))))</f>
        <v>3</v>
      </c>
      <c r="V43" s="1427">
        <f>if(countif('R2_G1'!$A$8:$A$18,$A43)=1,vlookup($A43,'R2_G1'!$A$8:$Y$18, V$2+7,false),if(countif('R2_G2'!$A$8:$A$18,$A43)=1,vlookup($A43,'R2_G2'!$A$8:$Y$18, V$2+7,false),if(countif('R2_G3'!$A$8:$A$18,$A43)=1,vlookup($A43,'R2_G3'!$A$8:$Y$18, V$2+7,false),if(countif('R2_G4'!$A$8:$A$18,$A43)=1,vlookup($A43,'R2_G4'!$A$8:$Y$18, V$2+7,false),""))))</f>
        <v>5</v>
      </c>
      <c r="W43" s="1428">
        <f t="shared" si="39"/>
        <v>41</v>
      </c>
      <c r="X43" s="1428">
        <f t="shared" si="40"/>
        <v>46</v>
      </c>
      <c r="Y43" s="1428">
        <f t="shared" si="45"/>
        <v>87</v>
      </c>
      <c r="Z43" s="1428">
        <f t="shared" si="46"/>
        <v>74</v>
      </c>
      <c r="AA43" s="1428">
        <f t="shared" si="47"/>
        <v>87</v>
      </c>
      <c r="AB43" s="1487"/>
      <c r="AC43" s="1423" t="str">
        <f t="shared" si="48"/>
        <v>Joe O</v>
      </c>
      <c r="AD43" s="1424">
        <f>VLOOKUP(AC43,'Master Input'!$A$11:$L$27,8,false)</f>
        <v>13</v>
      </c>
      <c r="AE43" s="1423" t="s">
        <v>266</v>
      </c>
      <c r="AF43" s="1401"/>
      <c r="AG43" s="1428">
        <f t="shared" ref="AG43:AX43" si="70">if(E43="","",E43-IF($B43&gt;0,FLOOR($B43/18,1),0)-IF(AND(MOD($B43,18)&gt;=E$27,$B43&gt;0),1,0)+IF(E$27-18&gt;$B43,1,0))</f>
        <v>3</v>
      </c>
      <c r="AH43" s="1428">
        <f t="shared" si="70"/>
        <v>4</v>
      </c>
      <c r="AI43" s="1428">
        <f t="shared" si="70"/>
        <v>2</v>
      </c>
      <c r="AJ43" s="1428">
        <f t="shared" si="70"/>
        <v>5</v>
      </c>
      <c r="AK43" s="1428">
        <f t="shared" si="70"/>
        <v>4</v>
      </c>
      <c r="AL43" s="1428">
        <f t="shared" si="70"/>
        <v>4</v>
      </c>
      <c r="AM43" s="1428">
        <f t="shared" si="70"/>
        <v>4</v>
      </c>
      <c r="AN43" s="1428">
        <f t="shared" si="70"/>
        <v>2</v>
      </c>
      <c r="AO43" s="1428">
        <f t="shared" si="70"/>
        <v>6</v>
      </c>
      <c r="AP43" s="1429">
        <f t="shared" si="70"/>
        <v>4</v>
      </c>
      <c r="AQ43" s="1429">
        <f t="shared" si="70"/>
        <v>4</v>
      </c>
      <c r="AR43" s="1429">
        <f t="shared" si="70"/>
        <v>4</v>
      </c>
      <c r="AS43" s="1429">
        <f t="shared" si="70"/>
        <v>4</v>
      </c>
      <c r="AT43" s="1429">
        <f t="shared" si="70"/>
        <v>8</v>
      </c>
      <c r="AU43" s="1429">
        <f t="shared" si="70"/>
        <v>5</v>
      </c>
      <c r="AV43" s="1429">
        <f t="shared" si="70"/>
        <v>5</v>
      </c>
      <c r="AW43" s="1429">
        <f t="shared" si="70"/>
        <v>2</v>
      </c>
      <c r="AX43" s="1429">
        <f t="shared" si="70"/>
        <v>4</v>
      </c>
      <c r="AY43" s="1428">
        <f t="shared" si="42"/>
        <v>34</v>
      </c>
      <c r="AZ43" s="1428">
        <f t="shared" si="43"/>
        <v>40</v>
      </c>
      <c r="BA43" s="1428">
        <f t="shared" si="50"/>
        <v>74</v>
      </c>
      <c r="BB43" s="1430" t="str">
        <f>if(countif('R2_G1'!$A$8:$A$18,$A43)=1, if(and(BA43=Z43,BA43=vlookup($A43,'R2_G1'!$A$8:$AB$18, 28,false)),"yes","no"),
if(countif('R2_G2'!$A$8:$A$18,$A43)=1, if(and(BA43=Z43,BA43=vlookup($A43,'R2_G2'!$A$8:$AB$18, 28,false)),"yes","no"),
if(countif('R2_G3'!$A$8:$A$18,$A43)=1, if(and(BA43=Z43,BA43=vlookup($A43,'R2_G3'!$A$8:$AB$18, 28,false)),"yes","no"),
if(countif('R2_G4'!$A$8:$A$18,$A43)=1, if(and(BA43=Z43,BA43=vlookup($A43,'R2_G4'!$A$8:$AB$18, 28,false)),"yes","no"),
"?"))))
</f>
        <v>yes</v>
      </c>
      <c r="BC43" s="1487"/>
      <c r="BD43" s="1441">
        <f t="shared" si="51"/>
        <v>9</v>
      </c>
      <c r="BE43" s="1442">
        <f t="shared" si="52"/>
        <v>11</v>
      </c>
      <c r="BF43" s="1442">
        <f t="shared" si="53"/>
        <v>0</v>
      </c>
      <c r="BG43" s="1442">
        <f t="shared" si="54"/>
        <v>5</v>
      </c>
      <c r="BH43" s="1442">
        <f t="shared" si="55"/>
        <v>8</v>
      </c>
      <c r="BI43" s="1442">
        <f t="shared" si="56"/>
        <v>4</v>
      </c>
      <c r="BJ43" s="1442">
        <f t="shared" si="57"/>
        <v>1</v>
      </c>
    </row>
    <row r="44" ht="14.25" customHeight="1">
      <c r="A44" s="1434" t="str">
        <f t="shared" si="44"/>
        <v>Hile</v>
      </c>
      <c r="B44" s="1435">
        <f>VLOOKUP(A44,'Master Input'!$A$11:$L$27,8,false)</f>
        <v>23</v>
      </c>
      <c r="C44" s="1436"/>
      <c r="D44" s="1401"/>
      <c r="E44" s="1437">
        <f>if(countif('R2_G1'!$A$8:$A$18,$A44)=1,vlookup($A44,'R2_G1'!$A$8:$Y$18, E$2+4,false),if(countif('R2_G2'!$A$8:$A$18,$A44)=1,vlookup($A44,'R2_G2'!$A$8:$Y$18, E$2+4,false),if(countif('R2_G3'!$A$8:$A$18,$A44)=1,vlookup($A44,'R2_G3'!$A$8:$Y$18, E$2+4,false),if(countif('R2_G4'!$A$8:$A$18,$A44)=1,vlookup($A44,'R2_G4'!$A$8:$Y$18, E$2+4,false),""))))</f>
        <v>5</v>
      </c>
      <c r="F44" s="1437">
        <f>if(countif('R2_G1'!$A$8:$A$18,$A44)=1,vlookup($A44,'R2_G1'!$A$8:$Y$18, F$2+4,false),if(countif('R2_G2'!$A$8:$A$18,$A44)=1,vlookup($A44,'R2_G2'!$A$8:$Y$18, F$2+4,false),if(countif('R2_G3'!$A$8:$A$18,$A44)=1,vlookup($A44,'R2_G3'!$A$8:$Y$18, F$2+4,false),if(countif('R2_G4'!$A$8:$A$18,$A44)=1,vlookup($A44,'R2_G4'!$A$8:$Y$18, F$2+4,false),""))))</f>
        <v>6</v>
      </c>
      <c r="G44" s="1437">
        <f>if(countif('R2_G1'!$A$8:$A$18,$A44)=1,vlookup($A44,'R2_G1'!$A$8:$Y$18, G$2+4,false),if(countif('R2_G2'!$A$8:$A$18,$A44)=1,vlookup($A44,'R2_G2'!$A$8:$Y$18, G$2+4,false),if(countif('R2_G3'!$A$8:$A$18,$A44)=1,vlookup($A44,'R2_G3'!$A$8:$Y$18, G$2+4,false),if(countif('R2_G4'!$A$8:$A$18,$A44)=1,vlookup($A44,'R2_G4'!$A$8:$Y$18, G$2+4,false),""))))</f>
        <v>4</v>
      </c>
      <c r="H44" s="1437">
        <f>if(countif('R2_G1'!$A$8:$A$18,$A44)=1,vlookup($A44,'R2_G1'!$A$8:$Y$18, H$2+4,false),if(countif('R2_G2'!$A$8:$A$18,$A44)=1,vlookup($A44,'R2_G2'!$A$8:$Y$18, H$2+4,false),if(countif('R2_G3'!$A$8:$A$18,$A44)=1,vlookup($A44,'R2_G3'!$A$8:$Y$18, H$2+4,false),if(countif('R2_G4'!$A$8:$A$18,$A44)=1,vlookup($A44,'R2_G4'!$A$8:$Y$18, H$2+4,false),""))))</f>
        <v>6</v>
      </c>
      <c r="I44" s="1437">
        <f>if(countif('R2_G1'!$A$8:$A$18,$A44)=1,vlookup($A44,'R2_G1'!$A$8:$Y$18, I$2+4,false),if(countif('R2_G2'!$A$8:$A$18,$A44)=1,vlookup($A44,'R2_G2'!$A$8:$Y$18, I$2+4,false),if(countif('R2_G3'!$A$8:$A$18,$A44)=1,vlookup($A44,'R2_G3'!$A$8:$Y$18, I$2+4,false),if(countif('R2_G4'!$A$8:$A$18,$A44)=1,vlookup($A44,'R2_G4'!$A$8:$Y$18, I$2+4,false),""))))</f>
        <v>4</v>
      </c>
      <c r="J44" s="1437">
        <f>if(countif('R2_G1'!$A$8:$A$18,$A44)=1,vlookup($A44,'R2_G1'!$A$8:$Y$18, J$2+4,false),if(countif('R2_G2'!$A$8:$A$18,$A44)=1,vlookup($A44,'R2_G2'!$A$8:$Y$18, J$2+4,false),if(countif('R2_G3'!$A$8:$A$18,$A44)=1,vlookup($A44,'R2_G3'!$A$8:$Y$18, J$2+4,false),if(countif('R2_G4'!$A$8:$A$18,$A44)=1,vlookup($A44,'R2_G4'!$A$8:$Y$18, J$2+4,false),""))))</f>
        <v>5</v>
      </c>
      <c r="K44" s="1437">
        <f>if(countif('R2_G1'!$A$8:$A$18,$A44)=1,vlookup($A44,'R2_G1'!$A$8:$Y$18, K$2+4,false),if(countif('R2_G2'!$A$8:$A$18,$A44)=1,vlookup($A44,'R2_G2'!$A$8:$Y$18, K$2+4,false),if(countif('R2_G3'!$A$8:$A$18,$A44)=1,vlookup($A44,'R2_G3'!$A$8:$Y$18, K$2+4,false),if(countif('R2_G4'!$A$8:$A$18,$A44)=1,vlookup($A44,'R2_G4'!$A$8:$Y$18, K$2+4,false),""))))</f>
        <v>4</v>
      </c>
      <c r="L44" s="1437">
        <f>if(countif('R2_G1'!$A$8:$A$18,$A44)=1,vlookup($A44,'R2_G1'!$A$8:$Y$18, L$2+4,false),if(countif('R2_G2'!$A$8:$A$18,$A44)=1,vlookup($A44,'R2_G2'!$A$8:$Y$18, L$2+4,false),if(countif('R2_G3'!$A$8:$A$18,$A44)=1,vlookup($A44,'R2_G3'!$A$8:$Y$18, L$2+4,false),if(countif('R2_G4'!$A$8:$A$18,$A44)=1,vlookup($A44,'R2_G4'!$A$8:$Y$18, L$2+4,false),""))))</f>
        <v>5</v>
      </c>
      <c r="M44" s="1437">
        <f>if(countif('R2_G1'!$A$8:$A$18,$A44)=1,vlookup($A44,'R2_G1'!$A$8:$Y$18, M$2+4,false),if(countif('R2_G2'!$A$8:$A$18,$A44)=1,vlookup($A44,'R2_G2'!$A$8:$Y$18, M$2+4,false),if(countif('R2_G3'!$A$8:$A$18,$A44)=1,vlookup($A44,'R2_G3'!$A$8:$Y$18, M$2+4,false),if(countif('R2_G4'!$A$8:$A$18,$A44)=1,vlookup($A44,'R2_G4'!$A$8:$Y$18, M$2+4,false),""))))</f>
        <v>7</v>
      </c>
      <c r="N44" s="1426">
        <f>if(countif('R2_G1'!$A$8:$A$18,$A44)=1,vlookup($A44,'R2_G1'!$A$8:$Y$18, N$2+7,false),if(countif('R2_G2'!$A$8:$A$18,$A44)=1,vlookup($A44,'R2_G2'!$A$8:$Y$18, N$2+7,false),if(countif('R2_G3'!$A$8:$A$18,$A44)=1,vlookup($A44,'R2_G3'!$A$8:$Y$18, N$2+7,false),if(countif('R2_G4'!$A$8:$A$18,$A44)=1,vlookup($A44,'R2_G4'!$A$8:$Y$18, N$2+7,false),""))))</f>
        <v>4</v>
      </c>
      <c r="O44" s="1426">
        <f>if(countif('R2_G1'!$A$8:$A$18,$A44)=1,vlookup($A44,'R2_G1'!$A$8:$Y$18, O$2+7,false),if(countif('R2_G2'!$A$8:$A$18,$A44)=1,vlookup($A44,'R2_G2'!$A$8:$Y$18, O$2+7,false),if(countif('R2_G3'!$A$8:$A$18,$A44)=1,vlookup($A44,'R2_G3'!$A$8:$Y$18, O$2+7,false),if(countif('R2_G4'!$A$8:$A$18,$A44)=1,vlookup($A44,'R2_G4'!$A$8:$Y$18, O$2+7,false),""))))</f>
        <v>6</v>
      </c>
      <c r="P44" s="1426">
        <f>if(countif('R2_G1'!$A$8:$A$18,$A44)=1,vlookup($A44,'R2_G1'!$A$8:$Y$18, P$2+7,false),if(countif('R2_G2'!$A$8:$A$18,$A44)=1,vlookup($A44,'R2_G2'!$A$8:$Y$18, P$2+7,false),if(countif('R2_G3'!$A$8:$A$18,$A44)=1,vlookup($A44,'R2_G3'!$A$8:$Y$18, P$2+7,false),if(countif('R2_G4'!$A$8:$A$18,$A44)=1,vlookup($A44,'R2_G4'!$A$8:$Y$18, P$2+7,false),""))))</f>
        <v>6</v>
      </c>
      <c r="Q44" s="1426">
        <f>if(countif('R2_G1'!$A$8:$A$18,$A44)=1,vlookup($A44,'R2_G1'!$A$8:$Y$18, Q$2+7,false),if(countif('R2_G2'!$A$8:$A$18,$A44)=1,vlookup($A44,'R2_G2'!$A$8:$Y$18, Q$2+7,false),if(countif('R2_G3'!$A$8:$A$18,$A44)=1,vlookup($A44,'R2_G3'!$A$8:$Y$18, Q$2+7,false),if(countif('R2_G4'!$A$8:$A$18,$A44)=1,vlookup($A44,'R2_G4'!$A$8:$Y$18, Q$2+7,false),""))))</f>
        <v>4</v>
      </c>
      <c r="R44" s="1426">
        <f>if(countif('R2_G1'!$A$8:$A$18,$A44)=1,vlookup($A44,'R2_G1'!$A$8:$Y$18, R$2+7,false),if(countif('R2_G2'!$A$8:$A$18,$A44)=1,vlookup($A44,'R2_G2'!$A$8:$Y$18, R$2+7,false),if(countif('R2_G3'!$A$8:$A$18,$A44)=1,vlookup($A44,'R2_G3'!$A$8:$Y$18, R$2+7,false),if(countif('R2_G4'!$A$8:$A$18,$A44)=1,vlookup($A44,'R2_G4'!$A$8:$Y$18, R$2+7,false),""))))</f>
        <v>7</v>
      </c>
      <c r="S44" s="1426">
        <f>if(countif('R2_G1'!$A$8:$A$18,$A44)=1,vlookup($A44,'R2_G1'!$A$8:$Y$18, S$2+7,false),if(countif('R2_G2'!$A$8:$A$18,$A44)=1,vlookup($A44,'R2_G2'!$A$8:$Y$18, S$2+7,false),if(countif('R2_G3'!$A$8:$A$18,$A44)=1,vlookup($A44,'R2_G3'!$A$8:$Y$18, S$2+7,false),if(countif('R2_G4'!$A$8:$A$18,$A44)=1,vlookup($A44,'R2_G4'!$A$8:$Y$18, S$2+7,false),""))))</f>
        <v>7</v>
      </c>
      <c r="T44" s="1426">
        <f>if(countif('R2_G1'!$A$8:$A$18,$A44)=1,vlookup($A44,'R2_G1'!$A$8:$Y$18, T$2+7,false),if(countif('R2_G2'!$A$8:$A$18,$A44)=1,vlookup($A44,'R2_G2'!$A$8:$Y$18, T$2+7,false),if(countif('R2_G3'!$A$8:$A$18,$A44)=1,vlookup($A44,'R2_G3'!$A$8:$Y$18, T$2+7,false),if(countif('R2_G4'!$A$8:$A$18,$A44)=1,vlookup($A44,'R2_G4'!$A$8:$Y$18, T$2+7,false),""))))</f>
        <v>6</v>
      </c>
      <c r="U44" s="1426">
        <f>if(countif('R2_G1'!$A$8:$A$18,$A44)=1,vlookup($A44,'R2_G1'!$A$8:$Y$18, U$2+7,false),if(countif('R2_G2'!$A$8:$A$18,$A44)=1,vlookup($A44,'R2_G2'!$A$8:$Y$18, U$2+7,false),if(countif('R2_G3'!$A$8:$A$18,$A44)=1,vlookup($A44,'R2_G3'!$A$8:$Y$18, U$2+7,false),if(countif('R2_G4'!$A$8:$A$18,$A44)=1,vlookup($A44,'R2_G4'!$A$8:$Y$18, U$2+7,false),""))))</f>
        <v>3</v>
      </c>
      <c r="V44" s="1426">
        <f>if(countif('R2_G1'!$A$8:$A$18,$A44)=1,vlookup($A44,'R2_G1'!$A$8:$Y$18, V$2+7,false),if(countif('R2_G2'!$A$8:$A$18,$A44)=1,vlookup($A44,'R2_G2'!$A$8:$Y$18, V$2+7,false),if(countif('R2_G3'!$A$8:$A$18,$A44)=1,vlookup($A44,'R2_G3'!$A$8:$Y$18, V$2+7,false),if(countif('R2_G4'!$A$8:$A$18,$A44)=1,vlookup($A44,'R2_G4'!$A$8:$Y$18, V$2+7,false),""))))</f>
        <v>6</v>
      </c>
      <c r="W44" s="1438">
        <f t="shared" si="39"/>
        <v>46</v>
      </c>
      <c r="X44" s="1438">
        <f t="shared" si="40"/>
        <v>49</v>
      </c>
      <c r="Y44" s="1438">
        <f t="shared" si="45"/>
        <v>95</v>
      </c>
      <c r="Z44" s="1438">
        <f t="shared" si="46"/>
        <v>72</v>
      </c>
      <c r="AA44" s="1438">
        <f t="shared" si="47"/>
        <v>95</v>
      </c>
      <c r="AB44" s="1487"/>
      <c r="AC44" s="1423" t="str">
        <f t="shared" si="48"/>
        <v>Hile</v>
      </c>
      <c r="AD44" s="1435">
        <f>VLOOKUP(AC44,'Master Input'!$A$11:$L$27,8,false)</f>
        <v>23</v>
      </c>
      <c r="AE44" s="1434" t="s">
        <v>266</v>
      </c>
      <c r="AF44" s="1401"/>
      <c r="AG44" s="1438">
        <f t="shared" ref="AG44:AX44" si="71">if(E44="","",E44-IF($B44&gt;0,FLOOR($B44/18,1),0)-IF(AND(MOD($B44,18)&gt;=E$27,$B44&gt;0),1,0)+IF(E$27-18&gt;$B44,1,0))</f>
        <v>4</v>
      </c>
      <c r="AH44" s="1438">
        <f t="shared" si="71"/>
        <v>5</v>
      </c>
      <c r="AI44" s="1438">
        <f t="shared" si="71"/>
        <v>3</v>
      </c>
      <c r="AJ44" s="1438">
        <f t="shared" si="71"/>
        <v>4</v>
      </c>
      <c r="AK44" s="1438">
        <f t="shared" si="71"/>
        <v>2</v>
      </c>
      <c r="AL44" s="1438">
        <f t="shared" si="71"/>
        <v>3</v>
      </c>
      <c r="AM44" s="1438">
        <f t="shared" si="71"/>
        <v>3</v>
      </c>
      <c r="AN44" s="1438">
        <f t="shared" si="71"/>
        <v>4</v>
      </c>
      <c r="AO44" s="1438">
        <f t="shared" si="71"/>
        <v>6</v>
      </c>
      <c r="AP44" s="1426">
        <f t="shared" si="71"/>
        <v>2</v>
      </c>
      <c r="AQ44" s="1426">
        <f t="shared" si="71"/>
        <v>5</v>
      </c>
      <c r="AR44" s="1426">
        <f t="shared" si="71"/>
        <v>5</v>
      </c>
      <c r="AS44" s="1426">
        <f t="shared" si="71"/>
        <v>3</v>
      </c>
      <c r="AT44" s="1426">
        <f t="shared" si="71"/>
        <v>5</v>
      </c>
      <c r="AU44" s="1426">
        <f t="shared" si="71"/>
        <v>6</v>
      </c>
      <c r="AV44" s="1426">
        <f t="shared" si="71"/>
        <v>5</v>
      </c>
      <c r="AW44" s="1426">
        <f t="shared" si="71"/>
        <v>2</v>
      </c>
      <c r="AX44" s="1426">
        <f t="shared" si="71"/>
        <v>5</v>
      </c>
      <c r="AY44" s="1438">
        <f t="shared" si="42"/>
        <v>34</v>
      </c>
      <c r="AZ44" s="1438">
        <f t="shared" si="43"/>
        <v>38</v>
      </c>
      <c r="BA44" s="1438">
        <f t="shared" si="50"/>
        <v>72</v>
      </c>
      <c r="BB44" s="1436" t="str">
        <f>if(countif('R2_G1'!$A$8:$A$18,$A44)=1, if(and(BA44=Z44,BA44=vlookup($A44,'R2_G1'!$A$8:$AB$18, 28,false)),"yes","no"),
if(countif('R2_G2'!$A$8:$A$18,$A44)=1, if(and(BA44=Z44,BA44=vlookup($A44,'R2_G2'!$A$8:$AB$18, 28,false)),"yes","no"),
if(countif('R2_G3'!$A$8:$A$18,$A44)=1, if(and(BA44=Z44,BA44=vlookup($A44,'R2_G3'!$A$8:$AB$18, 28,false)),"yes","no"),
if(countif('R2_G4'!$A$8:$A$18,$A44)=1, if(and(BA44=Z44,BA44=vlookup($A44,'R2_G4'!$A$8:$AB$18, 28,false)),"yes","no"),
"?"))))
</f>
        <v>yes</v>
      </c>
      <c r="BC44" s="1487"/>
      <c r="BD44" s="1439">
        <f t="shared" si="51"/>
        <v>9</v>
      </c>
      <c r="BE44" s="1440">
        <f t="shared" si="52"/>
        <v>10.83333333</v>
      </c>
      <c r="BF44" s="1440">
        <f t="shared" si="53"/>
        <v>2</v>
      </c>
      <c r="BG44" s="1440">
        <f t="shared" si="54"/>
        <v>5</v>
      </c>
      <c r="BH44" s="1440">
        <f t="shared" si="55"/>
        <v>4</v>
      </c>
      <c r="BI44" s="1440">
        <f t="shared" si="56"/>
        <v>5</v>
      </c>
      <c r="BJ44" s="1440">
        <f t="shared" si="57"/>
        <v>2</v>
      </c>
    </row>
    <row r="45" ht="14.25" customHeight="1">
      <c r="A45" s="1490"/>
      <c r="B45" s="1475"/>
      <c r="C45" s="1445">
        <f>COUNTIF(C29:C44, "Y")*C27</f>
        <v>0</v>
      </c>
      <c r="D45" s="1446" t="s">
        <v>267</v>
      </c>
      <c r="E45" s="1447" t="str">
        <f t="array" ref="E45">IF(OR(SUM(IF(IF('Locked Bets Setup'!$I$5:$I$20="Y", E29:E44, 10)=MIN(IF('Locked Bets Setup'!$I$5:$I$20="Y", E29:E44, 10)), 1, 0)) &gt; 1, MIN(IF('Locked Bets Setup'!$I$5:$I$20="Y", E29:E44, 10)) &gt; E28), "", INDEX('Locked Bets Setup'!$A$5:$A$20,MATCH(MIN(IF('Locked Bets Setup'!$I$5:$I$20="Y",E29:E44,10)),IF('Locked Bets Setup'!$I$5:$I$20="Y",E29:E44,10),0)))</f>
        <v/>
      </c>
      <c r="F45" s="1447" t="str">
        <f t="array" ref="F45">IF(OR(SUM(IF(IF('Locked Bets Setup'!$I$5:$I$20="Y", F29:F44, 10)=MIN(IF('Locked Bets Setup'!$I$5:$I$20="Y", F29:F44, 10)), 1, 0)) &gt; 1, MIN(IF('Locked Bets Setup'!$I$5:$I$20="Y", F29:F44, 10)) &gt; F28), "", INDEX('Locked Bets Setup'!$A$5:$A$20,MATCH(MIN(IF('Locked Bets Setup'!$I$5:$I$20="Y",F29:F44,10)),IF('Locked Bets Setup'!$I$5:$I$20="Y",F29:F44,10),0)))</f>
        <v>Carp</v>
      </c>
      <c r="G45" s="1447" t="str">
        <f t="array" ref="G45">IF(OR(SUM(IF(IF('Locked Bets Setup'!$I$5:$I$20="Y", G29:G44, 10)=MIN(IF('Locked Bets Setup'!$I$5:$I$20="Y", G29:G44, 10)), 1, 0)) &gt; 1, MIN(IF('Locked Bets Setup'!$I$5:$I$20="Y", G29:G44, 10)) &gt; G28), "", INDEX('Locked Bets Setup'!$A$5:$A$20,MATCH(MIN(IF('Locked Bets Setup'!$I$5:$I$20="Y",G29:G44,10)),IF('Locked Bets Setup'!$I$5:$I$20="Y",G29:G44,10),0)))</f>
        <v>R-Mac</v>
      </c>
      <c r="H45" s="1447" t="str">
        <f t="array" ref="H45">IF(OR(SUM(IF(IF('Locked Bets Setup'!$I$5:$I$20="Y", H29:H44, 10)=MIN(IF('Locked Bets Setup'!$I$5:$I$20="Y", H29:H44, 10)), 1, 0)) &gt; 1, MIN(IF('Locked Bets Setup'!$I$5:$I$20="Y", H29:H44, 10)) &gt; H28), "", INDEX('Locked Bets Setup'!$A$5:$A$20,MATCH(MIN(IF('Locked Bets Setup'!$I$5:$I$20="Y",H29:H44,10)),IF('Locked Bets Setup'!$I$5:$I$20="Y",H29:H44,10),0)))</f>
        <v/>
      </c>
      <c r="I45" s="1447" t="str">
        <f t="array" ref="I45">IF(OR(SUM(IF(IF('Locked Bets Setup'!$I$5:$I$20="Y", I29:I44, 10)=MIN(IF('Locked Bets Setup'!$I$5:$I$20="Y", I29:I44, 10)), 1, 0)) &gt; 1, MIN(IF('Locked Bets Setup'!$I$5:$I$20="Y", I29:I44, 10)) &gt; I28), "", INDEX('Locked Bets Setup'!$A$5:$A$20,MATCH(MIN(IF('Locked Bets Setup'!$I$5:$I$20="Y",I29:I44,10)),IF('Locked Bets Setup'!$I$5:$I$20="Y",I29:I44,10),0)))</f>
        <v/>
      </c>
      <c r="J45" s="1447" t="str">
        <f t="array" ref="J45">IF(OR(SUM(IF(IF('Locked Bets Setup'!$I$5:$I$20="Y", J29:J44, 10)=MIN(IF('Locked Bets Setup'!$I$5:$I$20="Y", J29:J44, 10)), 1, 0)) &gt; 1, MIN(IF('Locked Bets Setup'!$I$5:$I$20="Y", J29:J44, 10)) &gt; J28), "", INDEX('Locked Bets Setup'!$A$5:$A$20,MATCH(MIN(IF('Locked Bets Setup'!$I$5:$I$20="Y",J29:J44,10)),IF('Locked Bets Setup'!$I$5:$I$20="Y",J29:J44,10),0)))</f>
        <v/>
      </c>
      <c r="K45" s="1447" t="str">
        <f t="array" ref="K45">IF(OR(SUM(IF(IF('Locked Bets Setup'!$I$5:$I$20="Y", K29:K44, 10)=MIN(IF('Locked Bets Setup'!$I$5:$I$20="Y", K29:K44, 10)), 1, 0)) &gt; 1, MIN(IF('Locked Bets Setup'!$I$5:$I$20="Y", K29:K44, 10)) &gt; K28), "", INDEX('Locked Bets Setup'!$A$5:$A$20,MATCH(MIN(IF('Locked Bets Setup'!$I$5:$I$20="Y",K29:K44,10)),IF('Locked Bets Setup'!$I$5:$I$20="Y",K29:K44,10),0)))</f>
        <v/>
      </c>
      <c r="L45" s="1447" t="str">
        <f t="array" ref="L45">IF(OR(SUM(IF(IF('Locked Bets Setup'!$I$5:$I$20="Y", L29:L44, 10)=MIN(IF('Locked Bets Setup'!$I$5:$I$20="Y", L29:L44, 10)), 1, 0)) &gt; 1, MIN(IF('Locked Bets Setup'!$I$5:$I$20="Y", L29:L44, 10)) &gt; L28), "", INDEX('Locked Bets Setup'!$A$5:$A$20,MATCH(MIN(IF('Locked Bets Setup'!$I$5:$I$20="Y",L29:L44,10)),IF('Locked Bets Setup'!$I$5:$I$20="Y",L29:L44,10),0)))</f>
        <v/>
      </c>
      <c r="M45" s="1447" t="str">
        <f t="array" ref="M45">IF(OR(SUM(IF(IF('Locked Bets Setup'!$I$5:$I$20="Y", M29:M44, 10)=MIN(IF('Locked Bets Setup'!$I$5:$I$20="Y", M29:M44, 10)), 1, 0)) &gt; 1, MIN(IF('Locked Bets Setup'!$I$5:$I$20="Y", M29:M44, 10)) &gt; M28), "", INDEX('Locked Bets Setup'!$A$5:$A$20,MATCH(MIN(IF('Locked Bets Setup'!$I$5:$I$20="Y",M29:M44,10)),IF('Locked Bets Setup'!$I$5:$I$20="Y",M29:M44,10),0)))</f>
        <v/>
      </c>
      <c r="N45" s="1447" t="str">
        <f t="array" ref="N45">IF(OR(SUM(IF(IF('Locked Bets Setup'!$I$5:$I$20="Y", N29:N44, 10)=MIN(IF('Locked Bets Setup'!$I$5:$I$20="Y", N29:N44, 10)), 1, 0)) &gt; 1, MIN(IF('Locked Bets Setup'!$I$5:$I$20="Y", N29:N44, 10)) &gt; N28), "", INDEX('Locked Bets Setup'!$A$5:$A$20,MATCH(MIN(IF('Locked Bets Setup'!$I$5:$I$20="Y",N29:N44,10)),IF('Locked Bets Setup'!$I$5:$I$20="Y",N29:N44,10),0)))</f>
        <v/>
      </c>
      <c r="O45" s="1447" t="str">
        <f t="array" ref="O45">IF(OR(SUM(IF(IF('Locked Bets Setup'!$I$5:$I$20="Y", O29:O44, 10)=MIN(IF('Locked Bets Setup'!$I$5:$I$20="Y", O29:O44, 10)), 1, 0)) &gt; 1, MIN(IF('Locked Bets Setup'!$I$5:$I$20="Y", O29:O44, 10)) &gt; O28), "", INDEX('Locked Bets Setup'!$A$5:$A$20,MATCH(MIN(IF('Locked Bets Setup'!$I$5:$I$20="Y",O29:O44,10)),IF('Locked Bets Setup'!$I$5:$I$20="Y",O29:O44,10),0)))</f>
        <v/>
      </c>
      <c r="P45" s="1447" t="str">
        <f t="array" ref="P45">IF(OR(SUM(IF(IF('Locked Bets Setup'!$I$5:$I$20="Y", P29:P44, 10)=MIN(IF('Locked Bets Setup'!$I$5:$I$20="Y", P29:P44, 10)), 1, 0)) &gt; 1, MIN(IF('Locked Bets Setup'!$I$5:$I$20="Y", P29:P44, 10)) &gt; P28), "", INDEX('Locked Bets Setup'!$A$5:$A$20,MATCH(MIN(IF('Locked Bets Setup'!$I$5:$I$20="Y",P29:P44,10)),IF('Locked Bets Setup'!$I$5:$I$20="Y",P29:P44,10),0)))</f>
        <v>DK</v>
      </c>
      <c r="Q45" s="1447" t="str">
        <f t="array" ref="Q45">IF(OR(SUM(IF(IF('Locked Bets Setup'!$I$5:$I$20="Y", Q29:Q44, 10)=MIN(IF('Locked Bets Setup'!$I$5:$I$20="Y", Q29:Q44, 10)), 1, 0)) &gt; 1, MIN(IF('Locked Bets Setup'!$I$5:$I$20="Y", Q29:Q44, 10)) &gt; Q28), "", INDEX('Locked Bets Setup'!$A$5:$A$20,MATCH(MIN(IF('Locked Bets Setup'!$I$5:$I$20="Y",Q29:Q44,10)),IF('Locked Bets Setup'!$I$5:$I$20="Y",Q29:Q44,10),0)))</f>
        <v/>
      </c>
      <c r="R45" s="1447" t="str">
        <f t="array" ref="R45">IF(OR(SUM(IF(IF('Locked Bets Setup'!$I$5:$I$20="Y", R29:R44, 10)=MIN(IF('Locked Bets Setup'!$I$5:$I$20="Y", R29:R44, 10)), 1, 0)) &gt; 1, MIN(IF('Locked Bets Setup'!$I$5:$I$20="Y", R29:R44, 10)) &gt; R28), "", INDEX('Locked Bets Setup'!$A$5:$A$20,MATCH(MIN(IF('Locked Bets Setup'!$I$5:$I$20="Y",R29:R44,10)),IF('Locked Bets Setup'!$I$5:$I$20="Y",R29:R44,10),0)))</f>
        <v/>
      </c>
      <c r="S45" s="1447" t="str">
        <f t="array" ref="S45">IF(OR(SUM(IF(IF('Locked Bets Setup'!$I$5:$I$20="Y", S29:S44, 10)=MIN(IF('Locked Bets Setup'!$I$5:$I$20="Y", S29:S44, 10)), 1, 0)) &gt; 1, MIN(IF('Locked Bets Setup'!$I$5:$I$20="Y", S29:S44, 10)) &gt; S28), "", INDEX('Locked Bets Setup'!$A$5:$A$20,MATCH(MIN(IF('Locked Bets Setup'!$I$5:$I$20="Y",S29:S44,10)),IF('Locked Bets Setup'!$I$5:$I$20="Y",S29:S44,10),0)))</f>
        <v/>
      </c>
      <c r="T45" s="1447" t="str">
        <f t="array" ref="T45">IF(OR(SUM(IF(IF('Locked Bets Setup'!$I$5:$I$20="Y", T29:T44, 10)=MIN(IF('Locked Bets Setup'!$I$5:$I$20="Y", T29:T44, 10)), 1, 0)) &gt; 1, MIN(IF('Locked Bets Setup'!$I$5:$I$20="Y", T29:T44, 10)) &gt; T28), "", INDEX('Locked Bets Setup'!$A$5:$A$20,MATCH(MIN(IF('Locked Bets Setup'!$I$5:$I$20="Y",T29:T44,10)),IF('Locked Bets Setup'!$I$5:$I$20="Y",T29:T44,10),0)))</f>
        <v>KJ</v>
      </c>
      <c r="U45" s="1447" t="str">
        <f t="array" ref="U45">IF(OR(SUM(IF(IF('Locked Bets Setup'!$I$5:$I$20="Y", U29:U44, 10)=MIN(IF('Locked Bets Setup'!$I$5:$I$20="Y", U29:U44, 10)), 1, 0)) &gt; 1, MIN(IF('Locked Bets Setup'!$I$5:$I$20="Y", U29:U44, 10)) &gt; U28), "", INDEX('Locked Bets Setup'!$A$5:$A$20,MATCH(MIN(IF('Locked Bets Setup'!$I$5:$I$20="Y",U29:U44,10)),IF('Locked Bets Setup'!$I$5:$I$20="Y",U29:U44,10),0)))</f>
        <v>KJ</v>
      </c>
      <c r="V45" s="1447" t="str">
        <f t="array" ref="V45">IF(OR(SUM(IF(IF('Locked Bets Setup'!$I$5:$I$20="Y", V29:V44, 10)=MIN(IF('Locked Bets Setup'!$I$5:$I$20="Y", V29:V44, 10)), 1, 0)) &gt; 1, MIN(IF('Locked Bets Setup'!$I$5:$I$20="Y", V29:V44, 10)) &gt; V28), "", INDEX('Locked Bets Setup'!$A$5:$A$20,MATCH(MIN(IF('Locked Bets Setup'!$I$5:$I$20="Y",V29:V44,10)),IF('Locked Bets Setup'!$I$5:$I$20="Y",V29:V44,10),0)))</f>
        <v/>
      </c>
      <c r="W45" s="1448"/>
      <c r="X45" s="1448"/>
      <c r="Y45" s="1449">
        <f>18-COUNTBLANK(E45:V45)</f>
        <v>5</v>
      </c>
      <c r="Z45" s="1500"/>
      <c r="AA45" s="1501"/>
      <c r="AB45" s="1502"/>
      <c r="AC45" s="1490"/>
      <c r="AD45" s="1475"/>
      <c r="AE45" s="1445">
        <f>COUNTIF(AE29:AE44, "Y")*AE27</f>
        <v>80</v>
      </c>
      <c r="AF45" s="1446" t="s">
        <v>267</v>
      </c>
      <c r="AG45" s="1447" t="str">
        <f t="array" ref="AG45">IF(OR(SUM(IF(IF('Locked Bets Setup'!$I$5:$I$20="Y", AG29:AG44, 10)=MIN(IF('Locked Bets Setup'!$I$5:$I$20="Y", AG29:AG44, 10)), 1, 0)) &gt; 1, MIN(IF('Locked Bets Setup'!$I$5:$I$20="Y", AG29:AG44, 10)) &gt; AG28), "", INDEX('Locked Bets Setup'!$A$5:$A$20,MATCH(MIN(IF('Locked Bets Setup'!$I$5:$I$20="Y",AG29:AG44,10)),IF('Locked Bets Setup'!$I$5:$I$20="Y",AG29:AG44,10),0)))</f>
        <v/>
      </c>
      <c r="AH45" s="1447" t="str">
        <f t="array" ref="AH45">IF(OR(SUM(IF(IF('Locked Bets Setup'!$I$5:$I$20="Y", AH29:AH44, 10)=MIN(IF('Locked Bets Setup'!$I$5:$I$20="Y", AH29:AH44, 10)), 1, 0)) &gt; 1, MIN(IF('Locked Bets Setup'!$I$5:$I$20="Y", AH29:AH44, 10)) &gt; AH28), "", INDEX('Locked Bets Setup'!$A$5:$A$20,MATCH(MIN(IF('Locked Bets Setup'!$I$5:$I$20="Y",AH29:AH44,10)),IF('Locked Bets Setup'!$I$5:$I$20="Y",AH29:AH44,10),0)))</f>
        <v>Carp</v>
      </c>
      <c r="AI45" s="1447" t="str">
        <f t="array" ref="AI45">IF(OR(SUM(IF(IF('Locked Bets Setup'!$I$5:$I$20="Y", AI29:AI44, 10)=MIN(IF('Locked Bets Setup'!$I$5:$I$20="Y", AI29:AI44, 10)), 1, 0)) &gt; 1, MIN(IF('Locked Bets Setup'!$I$5:$I$20="Y", AI29:AI44, 10)) &gt; AI28), "", INDEX('Locked Bets Setup'!$A$5:$A$20,MATCH(MIN(IF('Locked Bets Setup'!$I$5:$I$20="Y",AI29:AI44,10)),IF('Locked Bets Setup'!$I$5:$I$20="Y",AI29:AI44,10),0)))</f>
        <v/>
      </c>
      <c r="AJ45" s="1447" t="str">
        <f t="array" ref="AJ45">IF(OR(SUM(IF(IF('Locked Bets Setup'!$I$5:$I$20="Y", AJ29:AJ44, 10)=MIN(IF('Locked Bets Setup'!$I$5:$I$20="Y", AJ29:AJ44, 10)), 1, 0)) &gt; 1, MIN(IF('Locked Bets Setup'!$I$5:$I$20="Y", AJ29:AJ44, 10)) &gt; AJ28), "", INDEX('Locked Bets Setup'!$A$5:$A$20,MATCH(MIN(IF('Locked Bets Setup'!$I$5:$I$20="Y",AJ29:AJ44,10)),IF('Locked Bets Setup'!$I$5:$I$20="Y",AJ29:AJ44,10),0)))</f>
        <v/>
      </c>
      <c r="AK45" s="1447" t="str">
        <f t="array" ref="AK45">IF(OR(SUM(IF(IF('Locked Bets Setup'!$I$5:$I$20="Y", AK29:AK44, 10)=MIN(IF('Locked Bets Setup'!$I$5:$I$20="Y", AK29:AK44, 10)), 1, 0)) &gt; 1, MIN(IF('Locked Bets Setup'!$I$5:$I$20="Y", AK29:AK44, 10)) &gt; AK28), "", INDEX('Locked Bets Setup'!$A$5:$A$20,MATCH(MIN(IF('Locked Bets Setup'!$I$5:$I$20="Y",AK29:AK44,10)),IF('Locked Bets Setup'!$I$5:$I$20="Y",AK29:AK44,10),0)))</f>
        <v>Hile</v>
      </c>
      <c r="AL45" s="1447" t="str">
        <f t="array" ref="AL45">IF(OR(SUM(IF(IF('Locked Bets Setup'!$I$5:$I$20="Y", AL29:AL44, 10)=MIN(IF('Locked Bets Setup'!$I$5:$I$20="Y", AL29:AL44, 10)), 1, 0)) &gt; 1, MIN(IF('Locked Bets Setup'!$I$5:$I$20="Y", AL29:AL44, 10)) &gt; AL28), "", INDEX('Locked Bets Setup'!$A$5:$A$20,MATCH(MIN(IF('Locked Bets Setup'!$I$5:$I$20="Y",AL29:AL44,10)),IF('Locked Bets Setup'!$I$5:$I$20="Y",AL29:AL44,10),0)))</f>
        <v/>
      </c>
      <c r="AM45" s="1447" t="str">
        <f t="array" ref="AM45">IF(OR(SUM(IF(IF('Locked Bets Setup'!$I$5:$I$20="Y", AM29:AM44, 10)=MIN(IF('Locked Bets Setup'!$I$5:$I$20="Y", AM29:AM44, 10)), 1, 0)) &gt; 1, MIN(IF('Locked Bets Setup'!$I$5:$I$20="Y", AM29:AM44, 10)) &gt; AM28), "", INDEX('Locked Bets Setup'!$A$5:$A$20,MATCH(MIN(IF('Locked Bets Setup'!$I$5:$I$20="Y",AM29:AM44,10)),IF('Locked Bets Setup'!$I$5:$I$20="Y",AM29:AM44,10),0)))</f>
        <v>Hile</v>
      </c>
      <c r="AN45" s="1447" t="str">
        <f t="array" ref="AN45">IF(OR(SUM(IF(IF('Locked Bets Setup'!$I$5:$I$20="Y", AN29:AN44, 10)=MIN(IF('Locked Bets Setup'!$I$5:$I$20="Y", AN29:AN44, 10)), 1, 0)) &gt; 1, MIN(IF('Locked Bets Setup'!$I$5:$I$20="Y", AN29:AN44, 10)) &gt; AN28), "", INDEX('Locked Bets Setup'!$A$5:$A$20,MATCH(MIN(IF('Locked Bets Setup'!$I$5:$I$20="Y",AN29:AN44,10)),IF('Locked Bets Setup'!$I$5:$I$20="Y",AN29:AN44,10),0)))</f>
        <v/>
      </c>
      <c r="AO45" s="1447" t="str">
        <f t="array" ref="AO45">IF(OR(SUM(IF(IF('Locked Bets Setup'!$I$5:$I$20="Y", AO29:AO44, 10)=MIN(IF('Locked Bets Setup'!$I$5:$I$20="Y", AO29:AO44, 10)), 1, 0)) &gt; 1, MIN(IF('Locked Bets Setup'!$I$5:$I$20="Y", AO29:AO44, 10)) &gt; AO28), "", INDEX('Locked Bets Setup'!$A$5:$A$20,MATCH(MIN(IF('Locked Bets Setup'!$I$5:$I$20="Y",AO29:AO44,10)),IF('Locked Bets Setup'!$I$5:$I$20="Y",AO29:AO44,10),0)))</f>
        <v/>
      </c>
      <c r="AP45" s="1447" t="str">
        <f t="array" ref="AP45">IF(OR(SUM(IF(IF('Locked Bets Setup'!$I$5:$I$20="Y", AP29:AP44, 10)=MIN(IF('Locked Bets Setup'!$I$5:$I$20="Y", AP29:AP44, 10)), 1, 0)) &gt; 1, MIN(IF('Locked Bets Setup'!$I$5:$I$20="Y", AP29:AP44, 10)) &gt; AP28), "", INDEX('Locked Bets Setup'!$A$5:$A$20,MATCH(MIN(IF('Locked Bets Setup'!$I$5:$I$20="Y",AP29:AP44,10)),IF('Locked Bets Setup'!$I$5:$I$20="Y",AP29:AP44,10),0)))</f>
        <v>Hile</v>
      </c>
      <c r="AQ45" s="1447" t="str">
        <f t="array" ref="AQ45">IF(OR(SUM(IF(IF('Locked Bets Setup'!$I$5:$I$20="Y", AQ29:AQ44, 10)=MIN(IF('Locked Bets Setup'!$I$5:$I$20="Y", AQ29:AQ44, 10)), 1, 0)) &gt; 1, MIN(IF('Locked Bets Setup'!$I$5:$I$20="Y", AQ29:AQ44, 10)) &gt; AQ28), "", INDEX('Locked Bets Setup'!$A$5:$A$20,MATCH(MIN(IF('Locked Bets Setup'!$I$5:$I$20="Y",AQ29:AQ44,10)),IF('Locked Bets Setup'!$I$5:$I$20="Y",AQ29:AQ44,10),0)))</f>
        <v/>
      </c>
      <c r="AR45" s="1447" t="str">
        <f t="array" ref="AR45">IF(OR(SUM(IF(IF('Locked Bets Setup'!$I$5:$I$20="Y", AR29:AR44, 10)=MIN(IF('Locked Bets Setup'!$I$5:$I$20="Y", AR29:AR44, 10)), 1, 0)) &gt; 1, MIN(IF('Locked Bets Setup'!$I$5:$I$20="Y", AR29:AR44, 10)) &gt; AR28), "", INDEX('Locked Bets Setup'!$A$5:$A$20,MATCH(MIN(IF('Locked Bets Setup'!$I$5:$I$20="Y",AR29:AR44,10)),IF('Locked Bets Setup'!$I$5:$I$20="Y",AR29:AR44,10),0)))</f>
        <v>DK</v>
      </c>
      <c r="AS45" s="1447" t="str">
        <f t="array" ref="AS45">IF(OR(SUM(IF(IF('Locked Bets Setup'!$I$5:$I$20="Y", AS29:AS44, 10)=MIN(IF('Locked Bets Setup'!$I$5:$I$20="Y", AS29:AS44, 10)), 1, 0)) &gt; 1, MIN(IF('Locked Bets Setup'!$I$5:$I$20="Y", AS29:AS44, 10)) &gt; AS28), "", INDEX('Locked Bets Setup'!$A$5:$A$20,MATCH(MIN(IF('Locked Bets Setup'!$I$5:$I$20="Y",AS29:AS44,10)),IF('Locked Bets Setup'!$I$5:$I$20="Y",AS29:AS44,10),0)))</f>
        <v>Hile</v>
      </c>
      <c r="AT45" s="1447" t="str">
        <f t="array" ref="AT45">IF(OR(SUM(IF(IF('Locked Bets Setup'!$I$5:$I$20="Y", AT29:AT44, 10)=MIN(IF('Locked Bets Setup'!$I$5:$I$20="Y", AT29:AT44, 10)), 1, 0)) &gt; 1, MIN(IF('Locked Bets Setup'!$I$5:$I$20="Y", AT29:AT44, 10)) &gt; AT28), "", INDEX('Locked Bets Setup'!$A$5:$A$20,MATCH(MIN(IF('Locked Bets Setup'!$I$5:$I$20="Y",AT29:AT44,10)),IF('Locked Bets Setup'!$I$5:$I$20="Y",AT29:AT44,10),0)))</f>
        <v/>
      </c>
      <c r="AU45" s="1447" t="str">
        <f t="array" ref="AU45">IF(OR(SUM(IF(IF('Locked Bets Setup'!$I$5:$I$20="Y", AU29:AU44, 10)=MIN(IF('Locked Bets Setup'!$I$5:$I$20="Y", AU29:AU44, 10)), 1, 0)) &gt; 1, MIN(IF('Locked Bets Setup'!$I$5:$I$20="Y", AU29:AU44, 10)) &gt; AU28), "", INDEX('Locked Bets Setup'!$A$5:$A$20,MATCH(MIN(IF('Locked Bets Setup'!$I$5:$I$20="Y",AU29:AU44,10)),IF('Locked Bets Setup'!$I$5:$I$20="Y",AU29:AU44,10),0)))</f>
        <v>TJSC</v>
      </c>
      <c r="AV45" s="1447" t="str">
        <f t="array" ref="AV45">IF(OR(SUM(IF(IF('Locked Bets Setup'!$I$5:$I$20="Y", AV29:AV44, 10)=MIN(IF('Locked Bets Setup'!$I$5:$I$20="Y", AV29:AV44, 10)), 1, 0)) &gt; 1, MIN(IF('Locked Bets Setup'!$I$5:$I$20="Y", AV29:AV44, 10)) &gt; AV28), "", INDEX('Locked Bets Setup'!$A$5:$A$20,MATCH(MIN(IF('Locked Bets Setup'!$I$5:$I$20="Y",AV29:AV44,10)),IF('Locked Bets Setup'!$I$5:$I$20="Y",AV29:AV44,10),0)))</f>
        <v>KJ</v>
      </c>
      <c r="AW45" s="1447" t="str">
        <f t="array" ref="AW45">IF(OR(SUM(IF(IF('Locked Bets Setup'!$I$5:$I$20="Y", AW29:AW44, 10)=MIN(IF('Locked Bets Setup'!$I$5:$I$20="Y", AW29:AW44, 10)), 1, 0)) &gt; 1, MIN(IF('Locked Bets Setup'!$I$5:$I$20="Y", AW29:AW44, 10)) &gt; AW28), "", INDEX('Locked Bets Setup'!$A$5:$A$20,MATCH(MIN(IF('Locked Bets Setup'!$I$5:$I$20="Y",AW29:AW44,10)),IF('Locked Bets Setup'!$I$5:$I$20="Y",AW29:AW44,10),0)))</f>
        <v/>
      </c>
      <c r="AX45" s="1447" t="str">
        <f t="array" ref="AX45">IF(OR(SUM(IF(IF('Locked Bets Setup'!$I$5:$I$20="Y", AX29:AX44, 10)=MIN(IF('Locked Bets Setup'!$I$5:$I$20="Y", AX29:AX44, 10)), 1, 0)) &gt; 1, MIN(IF('Locked Bets Setup'!$I$5:$I$20="Y", AX29:AX44, 10)) &gt; AX28), "", INDEX('Locked Bets Setup'!$A$5:$A$20,MATCH(MIN(IF('Locked Bets Setup'!$I$5:$I$20="Y",AX29:AX44,10)),IF('Locked Bets Setup'!$I$5:$I$20="Y",AX29:AX44,10),0)))</f>
        <v/>
      </c>
      <c r="AY45" s="1447"/>
      <c r="AZ45" s="1447"/>
      <c r="BA45" s="1447">
        <f>18-COUNTBLANK(AG45:AX45)</f>
        <v>8</v>
      </c>
      <c r="BB45" s="1501"/>
      <c r="BC45" s="1503"/>
      <c r="BD45" s="1503"/>
      <c r="BE45" s="1503">
        <f>sum(BE29:BE44)</f>
        <v>144</v>
      </c>
      <c r="BF45" s="1504">
        <f>sum(BF29:BJ44)</f>
        <v>288</v>
      </c>
      <c r="BG45" s="1503"/>
      <c r="BH45" s="1503"/>
      <c r="BI45" s="1503"/>
      <c r="BJ45" s="1503"/>
    </row>
    <row r="46" ht="14.25" customHeight="1">
      <c r="A46" s="1490"/>
      <c r="B46" s="1475"/>
      <c r="C46" s="1475"/>
      <c r="D46" s="1505" t="s">
        <v>268</v>
      </c>
      <c r="E46" s="1436"/>
      <c r="F46" s="1436"/>
      <c r="G46" s="1434" t="s">
        <v>169</v>
      </c>
      <c r="H46" s="1436"/>
      <c r="I46" s="1436"/>
      <c r="J46" s="1436"/>
      <c r="K46" s="1436"/>
      <c r="L46" s="1434" t="s">
        <v>160</v>
      </c>
      <c r="M46" s="1436"/>
      <c r="N46" s="1436"/>
      <c r="O46" s="1436"/>
      <c r="P46" s="1434" t="s">
        <v>158</v>
      </c>
      <c r="Q46" s="1436"/>
      <c r="R46" s="1436"/>
      <c r="S46" s="1436"/>
      <c r="T46" s="1436"/>
      <c r="U46" s="1434" t="s">
        <v>172</v>
      </c>
      <c r="V46" s="1436"/>
      <c r="W46" s="1447"/>
      <c r="X46" s="1447"/>
      <c r="Y46" s="1447">
        <f t="shared" ref="Y46:Y47" si="72">counta(E46:V46)</f>
        <v>4</v>
      </c>
      <c r="Z46" s="1506"/>
      <c r="AA46" s="1487"/>
      <c r="AB46" s="1502"/>
      <c r="AC46" s="1490"/>
      <c r="AD46" s="1475"/>
      <c r="AE46" s="1475"/>
      <c r="AF46" s="1488"/>
      <c r="AG46" s="1488"/>
      <c r="AH46" s="1488"/>
      <c r="AI46" s="1488"/>
      <c r="AJ46" s="1488"/>
      <c r="AK46" s="1488"/>
      <c r="AL46" s="1488"/>
      <c r="AM46" s="1488"/>
      <c r="AN46" s="1488"/>
      <c r="AO46" s="1488"/>
      <c r="AP46" s="1488"/>
      <c r="AQ46" s="1488"/>
      <c r="AR46" s="1488"/>
      <c r="AS46" s="1488"/>
      <c r="AT46" s="1488"/>
      <c r="AU46" s="1488"/>
      <c r="AV46" s="1488"/>
      <c r="AW46" s="1488"/>
      <c r="AX46" s="1488"/>
      <c r="AY46" s="1488"/>
      <c r="AZ46" s="1488"/>
      <c r="BA46" s="1488"/>
      <c r="BB46" s="1487"/>
      <c r="BC46" s="1503"/>
      <c r="BD46" s="1503"/>
      <c r="BE46" s="1503"/>
      <c r="BF46" s="1503"/>
      <c r="BG46" s="1503"/>
      <c r="BH46" s="1503"/>
      <c r="BI46" s="1503"/>
      <c r="BJ46" s="1503"/>
    </row>
    <row r="47" ht="14.25" customHeight="1">
      <c r="A47" s="1506"/>
      <c r="B47" s="1488"/>
      <c r="C47" s="1488"/>
      <c r="D47" s="1507" t="s">
        <v>269</v>
      </c>
      <c r="E47" s="1458"/>
      <c r="F47" s="1458"/>
      <c r="G47" s="1458"/>
      <c r="H47" s="1459" t="s">
        <v>165</v>
      </c>
      <c r="I47" s="1458"/>
      <c r="J47" s="1458"/>
      <c r="K47" s="1458"/>
      <c r="L47" s="1458"/>
      <c r="M47" s="1459" t="s">
        <v>165</v>
      </c>
      <c r="N47" s="1458"/>
      <c r="O47" s="1458"/>
      <c r="P47" s="1458"/>
      <c r="Q47" s="1458"/>
      <c r="R47" s="1459" t="s">
        <v>158</v>
      </c>
      <c r="S47" s="1458"/>
      <c r="T47" s="1458"/>
      <c r="U47" s="1458"/>
      <c r="V47" s="1508" t="s">
        <v>153</v>
      </c>
      <c r="W47" s="1447"/>
      <c r="X47" s="1447"/>
      <c r="Y47" s="1447">
        <f t="shared" si="72"/>
        <v>4</v>
      </c>
      <c r="Z47" s="1506"/>
      <c r="AA47" s="1487"/>
      <c r="AB47" s="1502"/>
      <c r="AC47" s="1509"/>
      <c r="AD47" s="1510"/>
      <c r="AE47" s="1510"/>
      <c r="AF47" s="1510"/>
      <c r="AG47" s="1510"/>
      <c r="AH47" s="1510"/>
      <c r="AI47" s="1510"/>
      <c r="AJ47" s="1510"/>
      <c r="AK47" s="1510"/>
      <c r="AL47" s="1510"/>
      <c r="AM47" s="1510"/>
      <c r="AN47" s="1510"/>
      <c r="AO47" s="1510"/>
      <c r="AP47" s="1510"/>
      <c r="AQ47" s="1510"/>
      <c r="AR47" s="1510"/>
      <c r="AS47" s="1510"/>
      <c r="AT47" s="1510"/>
      <c r="AU47" s="1510"/>
      <c r="AV47" s="1510"/>
      <c r="AW47" s="1510"/>
      <c r="AX47" s="1510"/>
      <c r="AY47" s="1510"/>
      <c r="AZ47" s="1510"/>
      <c r="BA47" s="1510"/>
      <c r="BB47" s="1511"/>
      <c r="BC47" s="1503"/>
      <c r="BD47" s="1503"/>
      <c r="BE47" s="1503"/>
      <c r="BF47" s="1503"/>
      <c r="BG47" s="1503"/>
      <c r="BH47" s="1503"/>
      <c r="BI47" s="1503"/>
      <c r="BJ47" s="1503"/>
    </row>
    <row r="48" ht="14.25" customHeight="1">
      <c r="A48" s="1512"/>
      <c r="B48" s="1513"/>
      <c r="C48" s="1514"/>
      <c r="D48" s="1468"/>
      <c r="E48" s="1467"/>
      <c r="F48" s="1467"/>
      <c r="G48" s="1467"/>
      <c r="H48" s="1467"/>
      <c r="I48" s="1467"/>
      <c r="J48" s="1467"/>
      <c r="K48" s="1467"/>
      <c r="L48" s="1467"/>
      <c r="M48" s="1467"/>
      <c r="N48" s="1467"/>
      <c r="O48" s="1467"/>
      <c r="P48" s="1467"/>
      <c r="Q48" s="1467"/>
      <c r="R48" s="1467"/>
      <c r="S48" s="1467"/>
      <c r="T48" s="1467"/>
      <c r="U48" s="1467"/>
      <c r="V48" s="1467"/>
      <c r="W48" s="1467"/>
      <c r="X48" s="1467"/>
      <c r="Y48" s="1467"/>
      <c r="Z48" s="1472"/>
      <c r="AA48" s="1467"/>
      <c r="AB48" s="1472"/>
      <c r="AC48" s="1513"/>
      <c r="AD48" s="1513"/>
      <c r="AE48" s="1514"/>
      <c r="AF48" s="1468"/>
      <c r="AG48" s="1467"/>
      <c r="AH48" s="1467"/>
      <c r="AI48" s="1467"/>
      <c r="AJ48" s="1467"/>
      <c r="AK48" s="1467"/>
      <c r="AL48" s="1467"/>
      <c r="AM48" s="1467"/>
      <c r="AN48" s="1467"/>
      <c r="AO48" s="1467"/>
      <c r="AP48" s="1467"/>
      <c r="AQ48" s="1467"/>
      <c r="AR48" s="1467"/>
      <c r="AS48" s="1467"/>
      <c r="AT48" s="1467"/>
      <c r="AU48" s="1467"/>
      <c r="AV48" s="1467"/>
      <c r="AW48" s="1467"/>
      <c r="AX48" s="1467"/>
      <c r="AY48" s="1467"/>
      <c r="AZ48" s="1467"/>
      <c r="BA48" s="1467"/>
      <c r="BB48" s="1472"/>
      <c r="BC48" s="1515"/>
      <c r="BD48" s="1473"/>
      <c r="BE48" s="1473"/>
      <c r="BF48" s="1473"/>
      <c r="BG48" s="1473"/>
      <c r="BH48" s="1473"/>
      <c r="BI48" s="1473"/>
      <c r="BJ48" s="1473"/>
    </row>
    <row r="49" ht="14.25" customHeight="1">
      <c r="A49" s="1516" t="s">
        <v>122</v>
      </c>
      <c r="B49" s="1517"/>
      <c r="C49" s="1517"/>
      <c r="D49" s="1516" t="str">
        <f>'Master Input'!$I$6</f>
        <v>Ravines GC - White</v>
      </c>
      <c r="X49" s="1476"/>
      <c r="Y49" s="1518">
        <f>vlookup($D49, 'Course List'!$A$3:$C$14,2, false)</f>
        <v>68.1</v>
      </c>
      <c r="Z49" s="1519">
        <f>vlookup($D49, 'Course List'!$A$3:$C$14,3, false)</f>
        <v>129</v>
      </c>
      <c r="AA49" s="1519"/>
      <c r="AB49" s="1520"/>
      <c r="AC49" s="1521" t="s">
        <v>122</v>
      </c>
      <c r="AD49" s="1522"/>
      <c r="AE49" s="1522"/>
      <c r="AF49" s="1521" t="str">
        <f>D49</f>
        <v>Ravines GC - White</v>
      </c>
      <c r="AG49" s="1391"/>
      <c r="AH49" s="1391"/>
      <c r="AI49" s="1391"/>
      <c r="AJ49" s="1391"/>
      <c r="AK49" s="1391"/>
      <c r="AL49" s="1391"/>
      <c r="AM49" s="1391"/>
      <c r="AN49" s="1391"/>
      <c r="AO49" s="1391"/>
      <c r="AP49" s="1391"/>
      <c r="AQ49" s="1391"/>
      <c r="AR49" s="1391"/>
      <c r="AS49" s="1391"/>
      <c r="AT49" s="1391"/>
      <c r="AU49" s="1391"/>
      <c r="AV49" s="1391"/>
      <c r="AW49" s="1391"/>
      <c r="AX49" s="1391"/>
      <c r="AY49" s="1391"/>
      <c r="AZ49" s="1392"/>
      <c r="BA49" s="1523">
        <f t="shared" ref="BA49:BB49" si="73">Y49</f>
        <v>68.1</v>
      </c>
      <c r="BB49" s="1524">
        <f t="shared" si="73"/>
        <v>129</v>
      </c>
      <c r="BC49" s="1525"/>
      <c r="BD49" s="1526"/>
      <c r="BE49" s="1526"/>
      <c r="BF49" s="1526"/>
      <c r="BG49" s="1526"/>
      <c r="BH49" s="1526"/>
      <c r="BI49" s="1526"/>
      <c r="BJ49" s="1526"/>
    </row>
    <row r="50" ht="14.25" customHeight="1">
      <c r="A50" s="1516" t="s">
        <v>252</v>
      </c>
      <c r="B50" s="1517"/>
      <c r="C50" s="1517"/>
      <c r="D50" s="1401" t="s">
        <v>51</v>
      </c>
      <c r="E50" s="1402">
        <v>1.0</v>
      </c>
      <c r="F50" s="1403">
        <v>2.0</v>
      </c>
      <c r="G50" s="1403">
        <v>3.0</v>
      </c>
      <c r="H50" s="1403">
        <v>4.0</v>
      </c>
      <c r="I50" s="1403">
        <v>5.0</v>
      </c>
      <c r="J50" s="1403">
        <v>6.0</v>
      </c>
      <c r="K50" s="1403">
        <v>7.0</v>
      </c>
      <c r="L50" s="1403">
        <v>8.0</v>
      </c>
      <c r="M50" s="1403">
        <v>9.0</v>
      </c>
      <c r="N50" s="1404">
        <v>10.0</v>
      </c>
      <c r="O50" s="1404">
        <v>11.0</v>
      </c>
      <c r="P50" s="1404">
        <v>12.0</v>
      </c>
      <c r="Q50" s="1404">
        <v>13.0</v>
      </c>
      <c r="R50" s="1404">
        <v>14.0</v>
      </c>
      <c r="S50" s="1404">
        <v>15.0</v>
      </c>
      <c r="T50" s="1404">
        <v>16.0</v>
      </c>
      <c r="U50" s="1404">
        <v>17.0</v>
      </c>
      <c r="V50" s="1404">
        <v>18.0</v>
      </c>
      <c r="W50" s="1405" t="s">
        <v>60</v>
      </c>
      <c r="X50" s="1405" t="s">
        <v>61</v>
      </c>
      <c r="Y50" s="1405" t="s">
        <v>52</v>
      </c>
      <c r="Z50" s="1405" t="s">
        <v>112</v>
      </c>
      <c r="AA50" s="1405" t="s">
        <v>253</v>
      </c>
      <c r="AB50" s="1527"/>
      <c r="AC50" s="1516" t="s">
        <v>112</v>
      </c>
      <c r="AD50" s="1517"/>
      <c r="AE50" s="1517"/>
      <c r="AF50" s="1401" t="s">
        <v>51</v>
      </c>
      <c r="AG50" s="1402">
        <v>1.0</v>
      </c>
      <c r="AH50" s="1403">
        <v>2.0</v>
      </c>
      <c r="AI50" s="1403">
        <v>3.0</v>
      </c>
      <c r="AJ50" s="1403">
        <v>4.0</v>
      </c>
      <c r="AK50" s="1403">
        <v>5.0</v>
      </c>
      <c r="AL50" s="1403">
        <v>6.0</v>
      </c>
      <c r="AM50" s="1403">
        <v>7.0</v>
      </c>
      <c r="AN50" s="1403">
        <v>8.0</v>
      </c>
      <c r="AO50" s="1403">
        <v>9.0</v>
      </c>
      <c r="AP50" s="1404">
        <v>10.0</v>
      </c>
      <c r="AQ50" s="1404">
        <v>11.0</v>
      </c>
      <c r="AR50" s="1404">
        <v>12.0</v>
      </c>
      <c r="AS50" s="1404">
        <v>13.0</v>
      </c>
      <c r="AT50" s="1404">
        <v>14.0</v>
      </c>
      <c r="AU50" s="1404">
        <v>15.0</v>
      </c>
      <c r="AV50" s="1404">
        <v>16.0</v>
      </c>
      <c r="AW50" s="1404">
        <v>17.0</v>
      </c>
      <c r="AX50" s="1404">
        <v>18.0</v>
      </c>
      <c r="AY50" s="1405" t="s">
        <v>60</v>
      </c>
      <c r="AZ50" s="1405" t="s">
        <v>61</v>
      </c>
      <c r="BA50" s="1405" t="s">
        <v>52</v>
      </c>
      <c r="BB50" s="1407" t="s">
        <v>254</v>
      </c>
      <c r="BC50" s="1528"/>
      <c r="BD50" s="1529"/>
      <c r="BE50" s="1529"/>
      <c r="BF50" s="1529"/>
      <c r="BG50" s="1529"/>
      <c r="BH50" s="1529"/>
      <c r="BI50" s="1529"/>
      <c r="BJ50" s="1529"/>
    </row>
    <row r="51" ht="14.25" customHeight="1">
      <c r="A51" s="1530"/>
      <c r="B51" s="1517"/>
      <c r="C51" s="1409">
        <v>5.0</v>
      </c>
      <c r="D51" s="1410" t="s">
        <v>146</v>
      </c>
      <c r="E51" s="1411">
        <f>vlookup($D49, 'Course List'!$A$3:$AS$14,5+E50, false)</f>
        <v>9</v>
      </c>
      <c r="F51" s="1411">
        <f>vlookup($D49, 'Course List'!$A$3:$AS$14,5+F50, false)</f>
        <v>15</v>
      </c>
      <c r="G51" s="1411">
        <f>vlookup($D49, 'Course List'!$A$3:$AS$14,5+G50, false)</f>
        <v>13</v>
      </c>
      <c r="H51" s="1411">
        <f>vlookup($D49, 'Course List'!$A$3:$AS$14,5+H50, false)</f>
        <v>1</v>
      </c>
      <c r="I51" s="1411">
        <f>vlookup($D49, 'Course List'!$A$3:$AS$14,5+I50, false)</f>
        <v>3</v>
      </c>
      <c r="J51" s="1411">
        <f>vlookup($D49, 'Course List'!$A$3:$AS$14,5+J50, false)</f>
        <v>5</v>
      </c>
      <c r="K51" s="1411">
        <f>vlookup($D49, 'Course List'!$A$3:$AS$14,5+K50, false)</f>
        <v>17</v>
      </c>
      <c r="L51" s="1411">
        <f>vlookup($D49, 'Course List'!$A$3:$AS$14,5+L50, false)</f>
        <v>11</v>
      </c>
      <c r="M51" s="1411">
        <f>vlookup($D49, 'Course List'!$A$3:$AS$14,5+M50, false)</f>
        <v>7</v>
      </c>
      <c r="N51" s="1412">
        <f>vlookup($D49, 'Course List'!$A$3:$AS$14,5+N50, false)</f>
        <v>4</v>
      </c>
      <c r="O51" s="1412">
        <f>vlookup($D49, 'Course List'!$A$3:$AS$14,5+O50, false)</f>
        <v>10</v>
      </c>
      <c r="P51" s="1412">
        <f>vlookup($D49, 'Course List'!$A$3:$AS$14,5+P50, false)</f>
        <v>16</v>
      </c>
      <c r="Q51" s="1412">
        <f>vlookup($D49, 'Course List'!$A$3:$AS$14,5+Q50, false)</f>
        <v>14</v>
      </c>
      <c r="R51" s="1412">
        <f>vlookup($D49, 'Course List'!$A$3:$AS$14,5+R50, false)</f>
        <v>2</v>
      </c>
      <c r="S51" s="1412">
        <f>vlookup($D49, 'Course List'!$A$3:$AS$14,5+S50, false)</f>
        <v>8</v>
      </c>
      <c r="T51" s="1412">
        <f>vlookup($D49, 'Course List'!$A$3:$AS$14,5+T50, false)</f>
        <v>18</v>
      </c>
      <c r="U51" s="1412">
        <f>vlookup($D49, 'Course List'!$A$3:$AS$14,5+U50, false)</f>
        <v>12</v>
      </c>
      <c r="V51" s="1412">
        <f>vlookup($D49, 'Course List'!$A$3:$AS$14,5+V50, false)</f>
        <v>6</v>
      </c>
      <c r="W51" s="1531"/>
      <c r="X51" s="1531"/>
      <c r="Y51" s="1531"/>
      <c r="Z51" s="1531"/>
      <c r="AA51" s="1531"/>
      <c r="AB51" s="1532"/>
      <c r="AC51" s="1530"/>
      <c r="AD51" s="1517"/>
      <c r="AE51" s="1409">
        <v>5.0</v>
      </c>
      <c r="AF51" s="1410" t="s">
        <v>146</v>
      </c>
      <c r="AG51" s="1411">
        <f t="shared" ref="AG51:AX51" si="74">E51</f>
        <v>9</v>
      </c>
      <c r="AH51" s="1411">
        <f t="shared" si="74"/>
        <v>15</v>
      </c>
      <c r="AI51" s="1411">
        <f t="shared" si="74"/>
        <v>13</v>
      </c>
      <c r="AJ51" s="1411">
        <f t="shared" si="74"/>
        <v>1</v>
      </c>
      <c r="AK51" s="1411">
        <f t="shared" si="74"/>
        <v>3</v>
      </c>
      <c r="AL51" s="1411">
        <f t="shared" si="74"/>
        <v>5</v>
      </c>
      <c r="AM51" s="1411">
        <f t="shared" si="74"/>
        <v>17</v>
      </c>
      <c r="AN51" s="1411">
        <f t="shared" si="74"/>
        <v>11</v>
      </c>
      <c r="AO51" s="1411">
        <f t="shared" si="74"/>
        <v>7</v>
      </c>
      <c r="AP51" s="1412">
        <f t="shared" si="74"/>
        <v>4</v>
      </c>
      <c r="AQ51" s="1412">
        <f t="shared" si="74"/>
        <v>10</v>
      </c>
      <c r="AR51" s="1412">
        <f t="shared" si="74"/>
        <v>16</v>
      </c>
      <c r="AS51" s="1412">
        <f t="shared" si="74"/>
        <v>14</v>
      </c>
      <c r="AT51" s="1412">
        <f t="shared" si="74"/>
        <v>2</v>
      </c>
      <c r="AU51" s="1412">
        <f t="shared" si="74"/>
        <v>8</v>
      </c>
      <c r="AV51" s="1412">
        <f t="shared" si="74"/>
        <v>18</v>
      </c>
      <c r="AW51" s="1412">
        <f t="shared" si="74"/>
        <v>12</v>
      </c>
      <c r="AX51" s="1412">
        <f t="shared" si="74"/>
        <v>6</v>
      </c>
      <c r="AY51" s="1531"/>
      <c r="AZ51" s="1531"/>
      <c r="BA51" s="1531"/>
      <c r="BB51" s="1532"/>
      <c r="BC51" s="1531"/>
      <c r="BD51" s="1533" t="s">
        <v>255</v>
      </c>
      <c r="BE51" s="1534" t="s">
        <v>70</v>
      </c>
      <c r="BF51" s="1535"/>
      <c r="BG51" s="1535"/>
      <c r="BH51" s="1535"/>
      <c r="BI51" s="1535"/>
      <c r="BJ51" s="1535"/>
    </row>
    <row r="52" ht="14.25" customHeight="1">
      <c r="A52" s="1418" t="s">
        <v>109</v>
      </c>
      <c r="B52" s="1419" t="s">
        <v>256</v>
      </c>
      <c r="C52" s="1420" t="s">
        <v>257</v>
      </c>
      <c r="D52" s="1401" t="s">
        <v>91</v>
      </c>
      <c r="E52" s="1411">
        <f>vlookup($D49, 'Course List'!$A$3:$AS$14,27+E50, false)</f>
        <v>4</v>
      </c>
      <c r="F52" s="1411">
        <f>vlookup($D49, 'Course List'!$A$3:$AS$14,27+F50, false)</f>
        <v>4</v>
      </c>
      <c r="G52" s="1411">
        <f>vlookup($D49, 'Course List'!$A$3:$AS$14,27+G50, false)</f>
        <v>3</v>
      </c>
      <c r="H52" s="1411">
        <f>vlookup($D49, 'Course List'!$A$3:$AS$14,27+H50, false)</f>
        <v>5</v>
      </c>
      <c r="I52" s="1411">
        <f>vlookup($D49, 'Course List'!$A$3:$AS$14,27+I50, false)</f>
        <v>4</v>
      </c>
      <c r="J52" s="1411">
        <f>vlookup($D49, 'Course List'!$A$3:$AS$14,27+J50, false)</f>
        <v>4</v>
      </c>
      <c r="K52" s="1411">
        <f>vlookup($D49, 'Course List'!$A$3:$AS$14,27+K50, false)</f>
        <v>4</v>
      </c>
      <c r="L52" s="1411">
        <f>vlookup($D49, 'Course List'!$A$3:$AS$14,27+L50, false)</f>
        <v>3</v>
      </c>
      <c r="M52" s="1411">
        <f>vlookup($D49, 'Course List'!$A$3:$AS$14,27+M50, false)</f>
        <v>5</v>
      </c>
      <c r="N52" s="1412">
        <f>vlookup($D49, 'Course List'!$A$3:$AS$14,27+N50, false)</f>
        <v>4</v>
      </c>
      <c r="O52" s="1412">
        <f>vlookup($D49, 'Course List'!$A$3:$AS$14,27+O50, false)</f>
        <v>4</v>
      </c>
      <c r="P52" s="1412">
        <f>vlookup($D49, 'Course List'!$A$3:$AS$14,27+P50, false)</f>
        <v>3</v>
      </c>
      <c r="Q52" s="1412">
        <f>vlookup($D49, 'Course List'!$A$3:$AS$14,27+Q50, false)</f>
        <v>4</v>
      </c>
      <c r="R52" s="1412">
        <f>vlookup($D49, 'Course List'!$A$3:$AS$14,27+R50, false)</f>
        <v>5</v>
      </c>
      <c r="S52" s="1412">
        <f>vlookup($D49, 'Course List'!$A$3:$AS$14,27+S50, false)</f>
        <v>4</v>
      </c>
      <c r="T52" s="1412">
        <f>vlookup($D49, 'Course List'!$A$3:$AS$14,27+T50, false)</f>
        <v>4</v>
      </c>
      <c r="U52" s="1412">
        <f>vlookup($D49, 'Course List'!$A$3:$AS$14,27+U50, false)</f>
        <v>3</v>
      </c>
      <c r="V52" s="1412">
        <f>vlookup($D49, 'Course List'!$A$3:$AS$14,27+V50, false)</f>
        <v>5</v>
      </c>
      <c r="W52" s="1405">
        <f t="shared" ref="W52:W68" si="76">SUM(E52:M52)</f>
        <v>36</v>
      </c>
      <c r="X52" s="1405">
        <f t="shared" ref="X52:X68" si="77">SUM(N52:V52)</f>
        <v>36</v>
      </c>
      <c r="Y52" s="1405">
        <f>W52+X52</f>
        <v>72</v>
      </c>
      <c r="Z52" s="1405"/>
      <c r="AA52" s="1405"/>
      <c r="AB52" s="1527"/>
      <c r="AC52" s="1418" t="s">
        <v>109</v>
      </c>
      <c r="AD52" s="1419" t="s">
        <v>256</v>
      </c>
      <c r="AE52" s="1420" t="s">
        <v>258</v>
      </c>
      <c r="AF52" s="1401" t="s">
        <v>91</v>
      </c>
      <c r="AG52" s="1411">
        <f t="shared" ref="AG52:AX52" si="75">E52</f>
        <v>4</v>
      </c>
      <c r="AH52" s="1411">
        <f t="shared" si="75"/>
        <v>4</v>
      </c>
      <c r="AI52" s="1411">
        <f t="shared" si="75"/>
        <v>3</v>
      </c>
      <c r="AJ52" s="1411">
        <f t="shared" si="75"/>
        <v>5</v>
      </c>
      <c r="AK52" s="1411">
        <f t="shared" si="75"/>
        <v>4</v>
      </c>
      <c r="AL52" s="1411">
        <f t="shared" si="75"/>
        <v>4</v>
      </c>
      <c r="AM52" s="1411">
        <f t="shared" si="75"/>
        <v>4</v>
      </c>
      <c r="AN52" s="1411">
        <f t="shared" si="75"/>
        <v>3</v>
      </c>
      <c r="AO52" s="1411">
        <f t="shared" si="75"/>
        <v>5</v>
      </c>
      <c r="AP52" s="1412">
        <f t="shared" si="75"/>
        <v>4</v>
      </c>
      <c r="AQ52" s="1412">
        <f t="shared" si="75"/>
        <v>4</v>
      </c>
      <c r="AR52" s="1412">
        <f t="shared" si="75"/>
        <v>3</v>
      </c>
      <c r="AS52" s="1412">
        <f t="shared" si="75"/>
        <v>4</v>
      </c>
      <c r="AT52" s="1412">
        <f t="shared" si="75"/>
        <v>5</v>
      </c>
      <c r="AU52" s="1412">
        <f t="shared" si="75"/>
        <v>4</v>
      </c>
      <c r="AV52" s="1412">
        <f t="shared" si="75"/>
        <v>4</v>
      </c>
      <c r="AW52" s="1412">
        <f t="shared" si="75"/>
        <v>3</v>
      </c>
      <c r="AX52" s="1412">
        <f t="shared" si="75"/>
        <v>5</v>
      </c>
      <c r="AY52" s="1405">
        <f t="shared" ref="AY52:AY68" si="79">SUM(AG52:AO52)</f>
        <v>36</v>
      </c>
      <c r="AZ52" s="1405">
        <f t="shared" ref="AZ52:AZ68" si="80">SUM(AP52:AX52)</f>
        <v>36</v>
      </c>
      <c r="BA52" s="1405">
        <f>AY52+AZ52</f>
        <v>72</v>
      </c>
      <c r="BB52" s="1405"/>
      <c r="BC52" s="1528"/>
      <c r="BD52" s="1536" t="s">
        <v>259</v>
      </c>
      <c r="BE52" s="1536" t="s">
        <v>260</v>
      </c>
      <c r="BF52" s="1537" t="s">
        <v>261</v>
      </c>
      <c r="BG52" s="1538" t="s">
        <v>262</v>
      </c>
      <c r="BH52" s="1538" t="s">
        <v>263</v>
      </c>
      <c r="BI52" s="1538" t="s">
        <v>264</v>
      </c>
      <c r="BJ52" s="1538" t="s">
        <v>265</v>
      </c>
    </row>
    <row r="53" ht="14.25" customHeight="1">
      <c r="A53" s="1423" t="str">
        <f t="shared" ref="A53:A68" si="81">A29</f>
        <v>Jensen</v>
      </c>
      <c r="B53" s="1424">
        <f>VLOOKUP(A53,'Master Input'!$A$11:$L$27,10,false)</f>
        <v>5</v>
      </c>
      <c r="C53" s="1423"/>
      <c r="D53" s="1425"/>
      <c r="E53" s="1426">
        <f>if(countif('R3_G1'!$A$8:$A$23,$A53)=1,vlookup($A53,'R3_G1'!$A$8:$Z$23, E$2+2,false),if(countif('R3_G2'!$A$8:$A$23,$A53)=1,vlookup($A53,'R3_G2'!$A$8:$Z$23, E$2+2,false),if(countif('R3_G3'!$A$8:$A$23,$A53)=1,vlookup($A53,'R3_G3'!$A$8:$Z$23, E$2+2,false),if(countif('R3_G4'!$A$8:$A$23,$A53)=1,vlookup($A53,'R3_G4'!$A$8:$Z$23, E$2+2,false),""))))</f>
        <v>6</v>
      </c>
      <c r="F53" s="1426">
        <f>if(countif('R3_G1'!$A$8:$A$23,$A53)=1,vlookup($A53,'R3_G1'!$A$8:$Z$23, F$2+2,false),if(countif('R3_G2'!$A$8:$A$23,$A53)=1,vlookup($A53,'R3_G2'!$A$8:$Z$23, F$2+2,false),if(countif('R3_G3'!$A$8:$A$23,$A53)=1,vlookup($A53,'R3_G3'!$A$8:$Z$23, F$2+2,false),if(countif('R3_G4'!$A$8:$A$23,$A53)=1,vlookup($A53,'R3_G4'!$A$8:$Z$23, F$2+2,false),""))))</f>
        <v>4</v>
      </c>
      <c r="G53" s="1426">
        <f>if(countif('R3_G1'!$A$8:$A$23,$A53)=1,vlookup($A53,'R3_G1'!$A$8:$Z$23, G$2+2,false),if(countif('R3_G2'!$A$8:$A$23,$A53)=1,vlookup($A53,'R3_G2'!$A$8:$Z$23, G$2+2,false),if(countif('R3_G3'!$A$8:$A$23,$A53)=1,vlookup($A53,'R3_G3'!$A$8:$Z$23, G$2+2,false),if(countif('R3_G4'!$A$8:$A$23,$A53)=1,vlookup($A53,'R3_G4'!$A$8:$Z$23, G$2+2,false),""))))</f>
        <v>5</v>
      </c>
      <c r="H53" s="1426">
        <f>if(countif('R3_G1'!$A$8:$A$23,$A53)=1,vlookup($A53,'R3_G1'!$A$8:$Z$23, H$2+2,false),if(countif('R3_G2'!$A$8:$A$23,$A53)=1,vlookup($A53,'R3_G2'!$A$8:$Z$23, H$2+2,false),if(countif('R3_G3'!$A$8:$A$23,$A53)=1,vlookup($A53,'R3_G3'!$A$8:$Z$23, H$2+2,false),if(countif('R3_G4'!$A$8:$A$23,$A53)=1,vlookup($A53,'R3_G4'!$A$8:$Z$23, H$2+2,false),""))))</f>
        <v>7</v>
      </c>
      <c r="I53" s="1426">
        <f>if(countif('R3_G1'!$A$8:$A$23,$A53)=1,vlookup($A53,'R3_G1'!$A$8:$Z$23, I$2+2,false),if(countif('R3_G2'!$A$8:$A$23,$A53)=1,vlookup($A53,'R3_G2'!$A$8:$Z$23, I$2+2,false),if(countif('R3_G3'!$A$8:$A$23,$A53)=1,vlookup($A53,'R3_G3'!$A$8:$Z$23, I$2+2,false),if(countif('R3_G4'!$A$8:$A$23,$A53)=1,vlookup($A53,'R3_G4'!$A$8:$Z$23, I$2+2,false),""))))</f>
        <v>6</v>
      </c>
      <c r="J53" s="1426">
        <f>if(countif('R3_G1'!$A$8:$A$23,$A53)=1,vlookup($A53,'R3_G1'!$A$8:$Z$23, J$2+2,false),if(countif('R3_G2'!$A$8:$A$23,$A53)=1,vlookup($A53,'R3_G2'!$A$8:$Z$23, J$2+2,false),if(countif('R3_G3'!$A$8:$A$23,$A53)=1,vlookup($A53,'R3_G3'!$A$8:$Z$23, J$2+2,false),if(countif('R3_G4'!$A$8:$A$23,$A53)=1,vlookup($A53,'R3_G4'!$A$8:$Z$23, J$2+2,false),""))))</f>
        <v>4</v>
      </c>
      <c r="K53" s="1426">
        <f>if(countif('R3_G1'!$A$8:$A$23,$A53)=1,vlookup($A53,'R3_G1'!$A$8:$Z$23, K$2+2,false),if(countif('R3_G2'!$A$8:$A$23,$A53)=1,vlookup($A53,'R3_G2'!$A$8:$Z$23, K$2+2,false),if(countif('R3_G3'!$A$8:$A$23,$A53)=1,vlookup($A53,'R3_G3'!$A$8:$Z$23, K$2+2,false),if(countif('R3_G4'!$A$8:$A$23,$A53)=1,vlookup($A53,'R3_G4'!$A$8:$Z$23, K$2+2,false),""))))</f>
        <v>5</v>
      </c>
      <c r="L53" s="1426">
        <f>if(countif('R3_G1'!$A$8:$A$23,$A53)=1,vlookup($A53,'R3_G1'!$A$8:$Z$23, L$2+2,false),if(countif('R3_G2'!$A$8:$A$23,$A53)=1,vlookup($A53,'R3_G2'!$A$8:$Z$23, L$2+2,false),if(countif('R3_G3'!$A$8:$A$23,$A53)=1,vlookup($A53,'R3_G3'!$A$8:$Z$23, L$2+2,false),if(countif('R3_G4'!$A$8:$A$23,$A53)=1,vlookup($A53,'R3_G4'!$A$8:$Z$23, L$2+2,false),""))))</f>
        <v>4</v>
      </c>
      <c r="M53" s="1426">
        <f>if(countif('R3_G1'!$A$8:$A$23,$A53)=1,vlookup($A53,'R3_G1'!$A$8:$Z$23, M$2+2,false),if(countif('R3_G2'!$A$8:$A$23,$A53)=1,vlookup($A53,'R3_G2'!$A$8:$Z$23, M$2+2,false),if(countif('R3_G3'!$A$8:$A$23,$A53)=1,vlookup($A53,'R3_G3'!$A$8:$Z$23, M$2+2,false),if(countif('R3_G4'!$A$8:$A$23,$A53)=1,vlookup($A53,'R3_G4'!$A$8:$Z$23, M$2+2,false),""))))</f>
        <v>5</v>
      </c>
      <c r="N53" s="1427">
        <f>if(countif('R3_G1'!$A$8:$A$23,$A53)=1,vlookup($A53,'R3_G1'!$A$8:$Z$23, N$2+8,false),if(countif('R3_G2'!$A$8:$A$23,$A53)=1,vlookup($A53,'R3_G2'!$A$8:$Z$23, N$2+8,false),if(countif('R3_G3'!$A$8:$A$23,$A53)=1,vlookup($A53,'R3_G3'!$A$8:$Z$23, N$2+8,false),if(countif('R3_G4'!$A$8:$A$23,$A53)=1,vlookup($A53,'R3_G4'!$A$8:$Z$23, N$2+8,false),""))))</f>
        <v>4</v>
      </c>
      <c r="O53" s="1427">
        <f>if(countif('R3_G1'!$A$8:$A$23,$A53)=1,vlookup($A53,'R3_G1'!$A$8:$Z$23, O$2+8,false),if(countif('R3_G2'!$A$8:$A$23,$A53)=1,vlookup($A53,'R3_G2'!$A$8:$Z$23, O$2+8,false),if(countif('R3_G3'!$A$8:$A$23,$A53)=1,vlookup($A53,'R3_G3'!$A$8:$Z$23, O$2+8,false),if(countif('R3_G4'!$A$8:$A$23,$A53)=1,vlookup($A53,'R3_G4'!$A$8:$Z$23, O$2+8,false),""))))</f>
        <v>4</v>
      </c>
      <c r="P53" s="1427">
        <f>if(countif('R3_G1'!$A$8:$A$23,$A53)=1,vlookup($A53,'R3_G1'!$A$8:$Z$23, P$2+8,false),if(countif('R3_G2'!$A$8:$A$23,$A53)=1,vlookup($A53,'R3_G2'!$A$8:$Z$23, P$2+8,false),if(countif('R3_G3'!$A$8:$A$23,$A53)=1,vlookup($A53,'R3_G3'!$A$8:$Z$23, P$2+8,false),if(countif('R3_G4'!$A$8:$A$23,$A53)=1,vlookup($A53,'R3_G4'!$A$8:$Z$23, P$2+8,false),""))))</f>
        <v>3</v>
      </c>
      <c r="Q53" s="1427">
        <f>if(countif('R3_G1'!$A$8:$A$23,$A53)=1,vlookup($A53,'R3_G1'!$A$8:$Z$23, Q$2+8,false),if(countif('R3_G2'!$A$8:$A$23,$A53)=1,vlookup($A53,'R3_G2'!$A$8:$Z$23, Q$2+8,false),if(countif('R3_G3'!$A$8:$A$23,$A53)=1,vlookup($A53,'R3_G3'!$A$8:$Z$23, Q$2+8,false),if(countif('R3_G4'!$A$8:$A$23,$A53)=1,vlookup($A53,'R3_G4'!$A$8:$Z$23, Q$2+8,false),""))))</f>
        <v>4</v>
      </c>
      <c r="R53" s="1427">
        <f>if(countif('R3_G1'!$A$8:$A$23,$A53)=1,vlookup($A53,'R3_G1'!$A$8:$Z$23, R$2+8,false),if(countif('R3_G2'!$A$8:$A$23,$A53)=1,vlookup($A53,'R3_G2'!$A$8:$Z$23, R$2+8,false),if(countif('R3_G3'!$A$8:$A$23,$A53)=1,vlookup($A53,'R3_G3'!$A$8:$Z$23, R$2+8,false),if(countif('R3_G4'!$A$8:$A$23,$A53)=1,vlookup($A53,'R3_G4'!$A$8:$Z$23, R$2+8,false),""))))</f>
        <v>5</v>
      </c>
      <c r="S53" s="1427">
        <f>if(countif('R3_G1'!$A$8:$A$23,$A53)=1,vlookup($A53,'R3_G1'!$A$8:$Z$23, S$2+8,false),if(countif('R3_G2'!$A$8:$A$23,$A53)=1,vlookup($A53,'R3_G2'!$A$8:$Z$23, S$2+8,false),if(countif('R3_G3'!$A$8:$A$23,$A53)=1,vlookup($A53,'R3_G3'!$A$8:$Z$23, S$2+8,false),if(countif('R3_G4'!$A$8:$A$23,$A53)=1,vlookup($A53,'R3_G4'!$A$8:$Z$23, S$2+8,false),""))))</f>
        <v>4</v>
      </c>
      <c r="T53" s="1427">
        <f>if(countif('R3_G1'!$A$8:$A$23,$A53)=1,vlookup($A53,'R3_G1'!$A$8:$Z$23, T$2+8,false),if(countif('R3_G2'!$A$8:$A$23,$A53)=1,vlookup($A53,'R3_G2'!$A$8:$Z$23, T$2+8,false),if(countif('R3_G3'!$A$8:$A$23,$A53)=1,vlookup($A53,'R3_G3'!$A$8:$Z$23, T$2+8,false),if(countif('R3_G4'!$A$8:$A$23,$A53)=1,vlookup($A53,'R3_G4'!$A$8:$Z$23, T$2+8,false),""))))</f>
        <v>5</v>
      </c>
      <c r="U53" s="1427">
        <f>if(countif('R3_G1'!$A$8:$A$23,$A53)=1,vlookup($A53,'R3_G1'!$A$8:$Z$23, U$2+8,false),if(countif('R3_G2'!$A$8:$A$23,$A53)=1,vlookup($A53,'R3_G2'!$A$8:$Z$23, U$2+8,false),if(countif('R3_G3'!$A$8:$A$23,$A53)=1,vlookup($A53,'R3_G3'!$A$8:$Z$23, U$2+8,false),if(countif('R3_G4'!$A$8:$A$23,$A53)=1,vlookup($A53,'R3_G4'!$A$8:$Z$23, U$2+8,false),""))))</f>
        <v>3</v>
      </c>
      <c r="V53" s="1427">
        <f>if(countif('R3_G1'!$A$8:$A$23,$A53)=1,vlookup($A53,'R3_G1'!$A$8:$Z$23, V$2+8,false),if(countif('R3_G2'!$A$8:$A$23,$A53)=1,vlookup($A53,'R3_G2'!$A$8:$Z$23, V$2+8,false),if(countif('R3_G3'!$A$8:$A$23,$A53)=1,vlookup($A53,'R3_G3'!$A$8:$Z$23, V$2+8,false),if(countif('R3_G4'!$A$8:$A$23,$A53)=1,vlookup($A53,'R3_G4'!$A$8:$Z$23, V$2+8,false),""))))</f>
        <v>7</v>
      </c>
      <c r="W53" s="1428">
        <f t="shared" si="76"/>
        <v>46</v>
      </c>
      <c r="X53" s="1428">
        <f t="shared" si="77"/>
        <v>39</v>
      </c>
      <c r="Y53" s="1428">
        <f t="shared" ref="Y53:Y68" si="82">if(count(E53:V53)=18,W53+X53,"")</f>
        <v>85</v>
      </c>
      <c r="Z53" s="1428">
        <f t="shared" ref="Z53:Z68" si="83">if(Y53="","",if(V53="","",Y53-B53))</f>
        <v>80</v>
      </c>
      <c r="AA53" s="1428">
        <f t="shared" ref="AA53:AA68" si="84">Y53</f>
        <v>85</v>
      </c>
      <c r="AB53" s="1527"/>
      <c r="AC53" s="1423" t="str">
        <f t="shared" ref="AC53:AC68" si="85">A53</f>
        <v>Jensen</v>
      </c>
      <c r="AD53" s="1424">
        <f>VLOOKUP(AC53,'Master Input'!$A$11:$L$27,10,false)</f>
        <v>5</v>
      </c>
      <c r="AE53" s="1423" t="s">
        <v>266</v>
      </c>
      <c r="AF53" s="1425"/>
      <c r="AG53" s="1428">
        <f t="shared" ref="AG53:AX53" si="78">if(E53="","",E53-IF($B53&gt;0,FLOOR($B53/18,1),0)-IF(AND(MOD($B53,18)&gt;=E$51,$B53&gt;0),1,0)+IF(E$51-18&gt;$B53,1,0))</f>
        <v>6</v>
      </c>
      <c r="AH53" s="1428">
        <f t="shared" si="78"/>
        <v>4</v>
      </c>
      <c r="AI53" s="1428">
        <f t="shared" si="78"/>
        <v>5</v>
      </c>
      <c r="AJ53" s="1428">
        <f t="shared" si="78"/>
        <v>6</v>
      </c>
      <c r="AK53" s="1428">
        <f t="shared" si="78"/>
        <v>5</v>
      </c>
      <c r="AL53" s="1428">
        <f t="shared" si="78"/>
        <v>3</v>
      </c>
      <c r="AM53" s="1428">
        <f t="shared" si="78"/>
        <v>5</v>
      </c>
      <c r="AN53" s="1428">
        <f t="shared" si="78"/>
        <v>4</v>
      </c>
      <c r="AO53" s="1428">
        <f t="shared" si="78"/>
        <v>5</v>
      </c>
      <c r="AP53" s="1429">
        <f t="shared" si="78"/>
        <v>3</v>
      </c>
      <c r="AQ53" s="1429">
        <f t="shared" si="78"/>
        <v>4</v>
      </c>
      <c r="AR53" s="1429">
        <f t="shared" si="78"/>
        <v>3</v>
      </c>
      <c r="AS53" s="1429">
        <f t="shared" si="78"/>
        <v>4</v>
      </c>
      <c r="AT53" s="1429">
        <f t="shared" si="78"/>
        <v>4</v>
      </c>
      <c r="AU53" s="1429">
        <f t="shared" si="78"/>
        <v>4</v>
      </c>
      <c r="AV53" s="1429">
        <f t="shared" si="78"/>
        <v>5</v>
      </c>
      <c r="AW53" s="1429">
        <f t="shared" si="78"/>
        <v>3</v>
      </c>
      <c r="AX53" s="1429">
        <f t="shared" si="78"/>
        <v>7</v>
      </c>
      <c r="AY53" s="1428">
        <f t="shared" si="79"/>
        <v>43</v>
      </c>
      <c r="AZ53" s="1428">
        <f t="shared" si="80"/>
        <v>37</v>
      </c>
      <c r="BA53" s="1428">
        <f t="shared" ref="BA53:BA68" si="87">if(count(AG53:AX53)=18,AY53+AZ53,"")</f>
        <v>80</v>
      </c>
      <c r="BB53" s="1430" t="str">
        <f>if(countif('R3_G1'!$A$8:$A$23,$A53)=1, if(and(BA53=Z53,BA53=vlookup($A53,'R3_G1'!$A$8:$AC$23, 29,false)),"yes","no"),
if(countif('R3_G2'!$A$8:$A$23,$A53)=1, if(and(BA53=Z53,BA53=vlookup($A53,'R3_G2'!$A$8:$AC$23, 29,false)),"yes","no"),
if(countif('R3_G3'!$A$8:$A$23,$A53)=1, if(and(BA53=Z53,BA53=vlookup($A53,'R3_G3'!$A$8:$AC$23, 29,false)),"yes","no"),
if(countif('R3_G4'!$A$8:$A$23,$A53)=1, if(and(BA53=Z53,BA53=vlookup($A53,'R3_G4'!$A$8:$AC$23, 29,false)),"yes","no"),
"?"))))
</f>
        <v>yes</v>
      </c>
      <c r="BC53" s="1527"/>
      <c r="BD53" s="1499">
        <f t="shared" ref="BD53:BD68" si="88">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6.5</v>
      </c>
      <c r="BE53" s="1432">
        <f t="shared" ref="BE53:BE68" si="89">(rank(AG53,$AG$53:$AG$68,0)-1)/15+(countif($AG$53:$AG$68,AG53)-1)/30+
(rank(AH53,$AH$53:$AH$68,0)-1)/15+(countif($AH$53:$AH$68,AH53)-1)/30+
(rank(AI53,$AI$53:$AI$68,0)-1)/15+(countif($AI$53:$AI$68,AI53)-1)/30+
(rank(AJ53,$AJ$53:$AJ$68,0)-1)/15+(countif($AJ$53:$AJ$68,AJ53)-1)/30+
(rank(AK53,$AK$53:$AK$68,0)-1)/15+(countif($AK$53:$AK$68,AK53)-1)/30+
(rank(AL53,$AL$53:$AL$68,0)-1)/15+(countif($AL$53:$AL$68,AL53)-1)/30+
(rank(AM53,$AM$53:$AM$68,0)-1)/15+(countif($AM$53:$AM$68,AM53)-1)/30+
(rank(AN53,$AN$53:$AN$68,0)-1)/15+(countif($AN$53:$AN$68,AN53)-1)/30+
(rank(AO53,$AO$53:$AO$68,0)-1)/15+(countif($AO$53:$AO$68,AO53)-1)/30+
(rank(AP53,$AP$53:$AP$68,0)-1)/15+(countif($AP$53:$AP$68,AP53)-1)/30+
(rank(AQ53,$AQ$53:$AQ$68,0)-1)/15+(countif($AQ$53:$AQ$68,AQ53)-1)/30+
(rank(AR53,$AR$53:$AR$68,0)-1)/15+(countif($AR$53:$AR$68,AR53)-1)/30+
(rank(AS53,$AS$53:$AS$68,0)-1)/15+(countif($AS$53:$AS$68,AS53)-1)/30+
(rank(AT53,$AT$53:$AT$68,0)-1)/15+(countif($AT$53:$AT$68,AT53)-1)/30+
(rank(AU53,$AU$53:$AU$68,0)-1)/15+(countif($AU$53:$AU$68,AU53)-1)/30+
(rank(AV53,$AV$53:$AV$68,0)-1)/15+(countif($AV$53:$AV$68,AV53)-1)/30+
(rank(AW53,$AW$53:$AW$68,0)-1)/15+(countif($AW$53:$AW$68,AW53)-1)/30+
(rank(AX53,$AX$53:$AX$68,0)-1)/15+(countif($AX$53:$AX$68,AX53)-1)/30</f>
        <v>8.233333333</v>
      </c>
      <c r="BF53" s="1442">
        <f t="shared" ref="BF53:BF68" si="90">countifs($AG$52:$AX$52,3,$AG53:$AX53,"&lt;=1")
+countifs($AG$52:$AX$52,4,$AG53:$AX53,"&lt;=2")
+countifs($AG$52:$AX$52,5,$AG53:$AX53,"&lt;=3")</f>
        <v>0</v>
      </c>
      <c r="BG53" s="1442">
        <f t="shared" ref="BG53:BG68" si="91">countifs($AG$52:$AX$52,3,$AG53:$AX53,2)
+countifs($AG$52:$AX$52,4,$AG53:$AX53,3)
+countifs($AG$52:$AX$52,5,$AG53:$AX53,4)</f>
        <v>3</v>
      </c>
      <c r="BH53" s="1442">
        <f t="shared" ref="BH53:BH68" si="92">countifs($AG$52:$AX$52,3,$AG53:$AX53,3)
+countifs($AG$52:$AX$52,4,$AG53:$AX53,4)
+countifs($AG$52:$AX$52,5,$AG53:$AX53,5)</f>
        <v>7</v>
      </c>
      <c r="BI53" s="1442">
        <f t="shared" ref="BI53:BI68" si="93">countifs($AG$52:$AX$52,3,$AG53:$AX53,4)
+countifs($AG$52:$AX$52,4,$AG53:$AX53,5)
+countifs($AG$52:$AX$52,5,$AG53:$AX53,6)</f>
        <v>5</v>
      </c>
      <c r="BJ53" s="1442">
        <f t="shared" ref="BJ53:BJ68" si="94">countifs($AG$52:$AX$52,3,$AG53:$AX53,"&gt;=5")
+countifs($AG$52:$AX$52,4,$AG53:$AX53,"&gt;=6")
+countifs($AG$52:$AX$52,5,$AG53:$AX53,"&gt;=7")</f>
        <v>3</v>
      </c>
    </row>
    <row r="54" ht="14.25" customHeight="1">
      <c r="A54" s="1434" t="str">
        <f t="shared" si="81"/>
        <v>CuzNick</v>
      </c>
      <c r="B54" s="1435">
        <f>VLOOKUP(A54,'Master Input'!$A$11:$L$27,10,false)</f>
        <v>4</v>
      </c>
      <c r="C54" s="1436"/>
      <c r="D54" s="1401"/>
      <c r="E54" s="1437">
        <f>if(countif('R3_G1'!$A$8:$A$23,$A54)=1,vlookup($A54,'R3_G1'!$A$8:$Z$23, E$2+2,false),if(countif('R3_G2'!$A$8:$A$23,$A54)=1,vlookup($A54,'R3_G2'!$A$8:$Z$23, E$2+2,false),if(countif('R3_G3'!$A$8:$A$23,$A54)=1,vlookup($A54,'R3_G3'!$A$8:$Z$23, E$2+2,false),if(countif('R3_G4'!$A$8:$A$23,$A54)=1,vlookup($A54,'R3_G4'!$A$8:$Z$23, E$2+2,false),""))))</f>
        <v>5</v>
      </c>
      <c r="F54" s="1437">
        <f>if(countif('R3_G1'!$A$8:$A$23,$A54)=1,vlookup($A54,'R3_G1'!$A$8:$Z$23, F$2+2,false),if(countif('R3_G2'!$A$8:$A$23,$A54)=1,vlookup($A54,'R3_G2'!$A$8:$Z$23, F$2+2,false),if(countif('R3_G3'!$A$8:$A$23,$A54)=1,vlookup($A54,'R3_G3'!$A$8:$Z$23, F$2+2,false),if(countif('R3_G4'!$A$8:$A$23,$A54)=1,vlookup($A54,'R3_G4'!$A$8:$Z$23, F$2+2,false),""))))</f>
        <v>3</v>
      </c>
      <c r="G54" s="1437">
        <f>if(countif('R3_G1'!$A$8:$A$23,$A54)=1,vlookup($A54,'R3_G1'!$A$8:$Z$23, G$2+2,false),if(countif('R3_G2'!$A$8:$A$23,$A54)=1,vlookup($A54,'R3_G2'!$A$8:$Z$23, G$2+2,false),if(countif('R3_G3'!$A$8:$A$23,$A54)=1,vlookup($A54,'R3_G3'!$A$8:$Z$23, G$2+2,false),if(countif('R3_G4'!$A$8:$A$23,$A54)=1,vlookup($A54,'R3_G4'!$A$8:$Z$23, G$2+2,false),""))))</f>
        <v>3</v>
      </c>
      <c r="H54" s="1437">
        <f>if(countif('R3_G1'!$A$8:$A$23,$A54)=1,vlookup($A54,'R3_G1'!$A$8:$Z$23, H$2+2,false),if(countif('R3_G2'!$A$8:$A$23,$A54)=1,vlookup($A54,'R3_G2'!$A$8:$Z$23, H$2+2,false),if(countif('R3_G3'!$A$8:$A$23,$A54)=1,vlookup($A54,'R3_G3'!$A$8:$Z$23, H$2+2,false),if(countif('R3_G4'!$A$8:$A$23,$A54)=1,vlookup($A54,'R3_G4'!$A$8:$Z$23, H$2+2,false),""))))</f>
        <v>7</v>
      </c>
      <c r="I54" s="1437">
        <f>if(countif('R3_G1'!$A$8:$A$23,$A54)=1,vlookup($A54,'R3_G1'!$A$8:$Z$23, I$2+2,false),if(countif('R3_G2'!$A$8:$A$23,$A54)=1,vlookup($A54,'R3_G2'!$A$8:$Z$23, I$2+2,false),if(countif('R3_G3'!$A$8:$A$23,$A54)=1,vlookup($A54,'R3_G3'!$A$8:$Z$23, I$2+2,false),if(countif('R3_G4'!$A$8:$A$23,$A54)=1,vlookup($A54,'R3_G4'!$A$8:$Z$23, I$2+2,false),""))))</f>
        <v>6</v>
      </c>
      <c r="J54" s="1437">
        <f>if(countif('R3_G1'!$A$8:$A$23,$A54)=1,vlookup($A54,'R3_G1'!$A$8:$Z$23, J$2+2,false),if(countif('R3_G2'!$A$8:$A$23,$A54)=1,vlookup($A54,'R3_G2'!$A$8:$Z$23, J$2+2,false),if(countif('R3_G3'!$A$8:$A$23,$A54)=1,vlookup($A54,'R3_G3'!$A$8:$Z$23, J$2+2,false),if(countif('R3_G4'!$A$8:$A$23,$A54)=1,vlookup($A54,'R3_G4'!$A$8:$Z$23, J$2+2,false),""))))</f>
        <v>4</v>
      </c>
      <c r="K54" s="1437">
        <f>if(countif('R3_G1'!$A$8:$A$23,$A54)=1,vlookup($A54,'R3_G1'!$A$8:$Z$23, K$2+2,false),if(countif('R3_G2'!$A$8:$A$23,$A54)=1,vlookup($A54,'R3_G2'!$A$8:$Z$23, K$2+2,false),if(countif('R3_G3'!$A$8:$A$23,$A54)=1,vlookup($A54,'R3_G3'!$A$8:$Z$23, K$2+2,false),if(countif('R3_G4'!$A$8:$A$23,$A54)=1,vlookup($A54,'R3_G4'!$A$8:$Z$23, K$2+2,false),""))))</f>
        <v>4</v>
      </c>
      <c r="L54" s="1437">
        <f>if(countif('R3_G1'!$A$8:$A$23,$A54)=1,vlookup($A54,'R3_G1'!$A$8:$Z$23, L$2+2,false),if(countif('R3_G2'!$A$8:$A$23,$A54)=1,vlookup($A54,'R3_G2'!$A$8:$Z$23, L$2+2,false),if(countif('R3_G3'!$A$8:$A$23,$A54)=1,vlookup($A54,'R3_G3'!$A$8:$Z$23, L$2+2,false),if(countif('R3_G4'!$A$8:$A$23,$A54)=1,vlookup($A54,'R3_G4'!$A$8:$Z$23, L$2+2,false),""))))</f>
        <v>4</v>
      </c>
      <c r="M54" s="1437">
        <f>if(countif('R3_G1'!$A$8:$A$23,$A54)=1,vlookup($A54,'R3_G1'!$A$8:$Z$23, M$2+2,false),if(countif('R3_G2'!$A$8:$A$23,$A54)=1,vlookup($A54,'R3_G2'!$A$8:$Z$23, M$2+2,false),if(countif('R3_G3'!$A$8:$A$23,$A54)=1,vlookup($A54,'R3_G3'!$A$8:$Z$23, M$2+2,false),if(countif('R3_G4'!$A$8:$A$23,$A54)=1,vlookup($A54,'R3_G4'!$A$8:$Z$23, M$2+2,false),""))))</f>
        <v>5</v>
      </c>
      <c r="N54" s="1426">
        <f>if(countif('R3_G1'!$A$8:$A$23,$A54)=1,vlookup($A54,'R3_G1'!$A$8:$Z$23, N$2+8,false),if(countif('R3_G2'!$A$8:$A$23,$A54)=1,vlookup($A54,'R3_G2'!$A$8:$Z$23, N$2+8,false),if(countif('R3_G3'!$A$8:$A$23,$A54)=1,vlookup($A54,'R3_G3'!$A$8:$Z$23, N$2+8,false),if(countif('R3_G4'!$A$8:$A$23,$A54)=1,vlookup($A54,'R3_G4'!$A$8:$Z$23, N$2+8,false),""))))</f>
        <v>4</v>
      </c>
      <c r="O54" s="1426">
        <f>if(countif('R3_G1'!$A$8:$A$23,$A54)=1,vlookup($A54,'R3_G1'!$A$8:$Z$23, O$2+8,false),if(countif('R3_G2'!$A$8:$A$23,$A54)=1,vlookup($A54,'R3_G2'!$A$8:$Z$23, O$2+8,false),if(countif('R3_G3'!$A$8:$A$23,$A54)=1,vlookup($A54,'R3_G3'!$A$8:$Z$23, O$2+8,false),if(countif('R3_G4'!$A$8:$A$23,$A54)=1,vlookup($A54,'R3_G4'!$A$8:$Z$23, O$2+8,false),""))))</f>
        <v>5</v>
      </c>
      <c r="P54" s="1426">
        <f>if(countif('R3_G1'!$A$8:$A$23,$A54)=1,vlookup($A54,'R3_G1'!$A$8:$Z$23, P$2+8,false),if(countif('R3_G2'!$A$8:$A$23,$A54)=1,vlookup($A54,'R3_G2'!$A$8:$Z$23, P$2+8,false),if(countif('R3_G3'!$A$8:$A$23,$A54)=1,vlookup($A54,'R3_G3'!$A$8:$Z$23, P$2+8,false),if(countif('R3_G4'!$A$8:$A$23,$A54)=1,vlookup($A54,'R3_G4'!$A$8:$Z$23, P$2+8,false),""))))</f>
        <v>3</v>
      </c>
      <c r="Q54" s="1426">
        <f>if(countif('R3_G1'!$A$8:$A$23,$A54)=1,vlookup($A54,'R3_G1'!$A$8:$Z$23, Q$2+8,false),if(countif('R3_G2'!$A$8:$A$23,$A54)=1,vlookup($A54,'R3_G2'!$A$8:$Z$23, Q$2+8,false),if(countif('R3_G3'!$A$8:$A$23,$A54)=1,vlookup($A54,'R3_G3'!$A$8:$Z$23, Q$2+8,false),if(countif('R3_G4'!$A$8:$A$23,$A54)=1,vlookup($A54,'R3_G4'!$A$8:$Z$23, Q$2+8,false),""))))</f>
        <v>5</v>
      </c>
      <c r="R54" s="1426">
        <f>if(countif('R3_G1'!$A$8:$A$23,$A54)=1,vlookup($A54,'R3_G1'!$A$8:$Z$23, R$2+8,false),if(countif('R3_G2'!$A$8:$A$23,$A54)=1,vlookup($A54,'R3_G2'!$A$8:$Z$23, R$2+8,false),if(countif('R3_G3'!$A$8:$A$23,$A54)=1,vlookup($A54,'R3_G3'!$A$8:$Z$23, R$2+8,false),if(countif('R3_G4'!$A$8:$A$23,$A54)=1,vlookup($A54,'R3_G4'!$A$8:$Z$23, R$2+8,false),""))))</f>
        <v>5</v>
      </c>
      <c r="S54" s="1426">
        <f>if(countif('R3_G1'!$A$8:$A$23,$A54)=1,vlookup($A54,'R3_G1'!$A$8:$Z$23, S$2+8,false),if(countif('R3_G2'!$A$8:$A$23,$A54)=1,vlookup($A54,'R3_G2'!$A$8:$Z$23, S$2+8,false),if(countif('R3_G3'!$A$8:$A$23,$A54)=1,vlookup($A54,'R3_G3'!$A$8:$Z$23, S$2+8,false),if(countif('R3_G4'!$A$8:$A$23,$A54)=1,vlookup($A54,'R3_G4'!$A$8:$Z$23, S$2+8,false),""))))</f>
        <v>6</v>
      </c>
      <c r="T54" s="1426">
        <f>if(countif('R3_G1'!$A$8:$A$23,$A54)=1,vlookup($A54,'R3_G1'!$A$8:$Z$23, T$2+8,false),if(countif('R3_G2'!$A$8:$A$23,$A54)=1,vlookup($A54,'R3_G2'!$A$8:$Z$23, T$2+8,false),if(countif('R3_G3'!$A$8:$A$23,$A54)=1,vlookup($A54,'R3_G3'!$A$8:$Z$23, T$2+8,false),if(countif('R3_G4'!$A$8:$A$23,$A54)=1,vlookup($A54,'R3_G4'!$A$8:$Z$23, T$2+8,false),""))))</f>
        <v>5</v>
      </c>
      <c r="U54" s="1426">
        <f>if(countif('R3_G1'!$A$8:$A$23,$A54)=1,vlookup($A54,'R3_G1'!$A$8:$Z$23, U$2+8,false),if(countif('R3_G2'!$A$8:$A$23,$A54)=1,vlookup($A54,'R3_G2'!$A$8:$Z$23, U$2+8,false),if(countif('R3_G3'!$A$8:$A$23,$A54)=1,vlookup($A54,'R3_G3'!$A$8:$Z$23, U$2+8,false),if(countif('R3_G4'!$A$8:$A$23,$A54)=1,vlookup($A54,'R3_G4'!$A$8:$Z$23, U$2+8,false),""))))</f>
        <v>3</v>
      </c>
      <c r="V54" s="1426">
        <f>if(countif('R3_G1'!$A$8:$A$23,$A54)=1,vlookup($A54,'R3_G1'!$A$8:$Z$23, V$2+8,false),if(countif('R3_G2'!$A$8:$A$23,$A54)=1,vlookup($A54,'R3_G2'!$A$8:$Z$23, V$2+8,false),if(countif('R3_G3'!$A$8:$A$23,$A54)=1,vlookup($A54,'R3_G3'!$A$8:$Z$23, V$2+8,false),if(countif('R3_G4'!$A$8:$A$23,$A54)=1,vlookup($A54,'R3_G4'!$A$8:$Z$23, V$2+8,false),""))))</f>
        <v>4</v>
      </c>
      <c r="W54" s="1438">
        <f t="shared" si="76"/>
        <v>41</v>
      </c>
      <c r="X54" s="1438">
        <f t="shared" si="77"/>
        <v>40</v>
      </c>
      <c r="Y54" s="1438">
        <f t="shared" si="82"/>
        <v>81</v>
      </c>
      <c r="Z54" s="1438">
        <f t="shared" si="83"/>
        <v>77</v>
      </c>
      <c r="AA54" s="1438">
        <f t="shared" si="84"/>
        <v>81</v>
      </c>
      <c r="AB54" s="1527"/>
      <c r="AC54" s="1423" t="str">
        <f t="shared" si="85"/>
        <v>CuzNick</v>
      </c>
      <c r="AD54" s="1435">
        <f>VLOOKUP(AC54,'Master Input'!$A$11:$L$27,10,false)</f>
        <v>4</v>
      </c>
      <c r="AE54" s="1539" t="s">
        <v>266</v>
      </c>
      <c r="AF54" s="1401"/>
      <c r="AG54" s="1438">
        <f t="shared" ref="AG54:AX54" si="86">if(E54="","",E54-IF($B54&gt;0,FLOOR($B54/18,1),0)-IF(AND(MOD($B54,18)&gt;=E$51,$B54&gt;0),1,0)+IF(E$51-18&gt;$B54,1,0))</f>
        <v>5</v>
      </c>
      <c r="AH54" s="1438">
        <f t="shared" si="86"/>
        <v>3</v>
      </c>
      <c r="AI54" s="1438">
        <f t="shared" si="86"/>
        <v>3</v>
      </c>
      <c r="AJ54" s="1438">
        <f t="shared" si="86"/>
        <v>6</v>
      </c>
      <c r="AK54" s="1438">
        <f t="shared" si="86"/>
        <v>5</v>
      </c>
      <c r="AL54" s="1438">
        <f t="shared" si="86"/>
        <v>4</v>
      </c>
      <c r="AM54" s="1438">
        <f t="shared" si="86"/>
        <v>4</v>
      </c>
      <c r="AN54" s="1438">
        <f t="shared" si="86"/>
        <v>4</v>
      </c>
      <c r="AO54" s="1438">
        <f t="shared" si="86"/>
        <v>5</v>
      </c>
      <c r="AP54" s="1426">
        <f t="shared" si="86"/>
        <v>3</v>
      </c>
      <c r="AQ54" s="1426">
        <f t="shared" si="86"/>
        <v>5</v>
      </c>
      <c r="AR54" s="1426">
        <f t="shared" si="86"/>
        <v>3</v>
      </c>
      <c r="AS54" s="1426">
        <f t="shared" si="86"/>
        <v>5</v>
      </c>
      <c r="AT54" s="1426">
        <f t="shared" si="86"/>
        <v>4</v>
      </c>
      <c r="AU54" s="1426">
        <f t="shared" si="86"/>
        <v>6</v>
      </c>
      <c r="AV54" s="1426">
        <f t="shared" si="86"/>
        <v>5</v>
      </c>
      <c r="AW54" s="1426">
        <f t="shared" si="86"/>
        <v>3</v>
      </c>
      <c r="AX54" s="1426">
        <f t="shared" si="86"/>
        <v>4</v>
      </c>
      <c r="AY54" s="1438">
        <f t="shared" si="79"/>
        <v>39</v>
      </c>
      <c r="AZ54" s="1438">
        <f t="shared" si="80"/>
        <v>38</v>
      </c>
      <c r="BA54" s="1438">
        <f t="shared" si="87"/>
        <v>77</v>
      </c>
      <c r="BB54" s="1436" t="str">
        <f>if(countif('R3_G1'!$A$8:$A$23,$A54)=1, if(and(BA54=Z54,BA54=vlookup($A54,'R3_G1'!$A$8:$AC$23, 29,false)),"yes","no"),
if(countif('R3_G2'!$A$8:$A$23,$A54)=1, if(and(BA54=Z54,BA54=vlookup($A54,'R3_G2'!$A$8:$AC$23, 29,false)),"yes","no"),
if(countif('R3_G3'!$A$8:$A$23,$A54)=1, if(and(BA54=Z54,BA54=vlookup($A54,'R3_G3'!$A$8:$AC$23, 29,false)),"yes","no"),
if(countif('R3_G4'!$A$8:$A$23,$A54)=1, if(and(BA54=Z54,BA54=vlookup($A54,'R3_G4'!$A$8:$AC$23, 29,false)),"yes","no"),
"?"))))
</f>
        <v>yes</v>
      </c>
      <c r="BC54" s="1527"/>
      <c r="BD54" s="1439">
        <f t="shared" si="88"/>
        <v>7</v>
      </c>
      <c r="BE54" s="1440">
        <f t="shared" si="89"/>
        <v>8.866666667</v>
      </c>
      <c r="BF54" s="1440">
        <f t="shared" si="90"/>
        <v>0</v>
      </c>
      <c r="BG54" s="1440">
        <f t="shared" si="91"/>
        <v>4</v>
      </c>
      <c r="BH54" s="1440">
        <f t="shared" si="92"/>
        <v>6</v>
      </c>
      <c r="BI54" s="1440">
        <f t="shared" si="93"/>
        <v>7</v>
      </c>
      <c r="BJ54" s="1440">
        <f t="shared" si="94"/>
        <v>1</v>
      </c>
    </row>
    <row r="55" ht="14.25" customHeight="1">
      <c r="A55" s="1423" t="str">
        <f t="shared" si="81"/>
        <v>Andy</v>
      </c>
      <c r="B55" s="1424">
        <f>VLOOKUP(A55,'Master Input'!$A$11:$L$27,10,false)</f>
        <v>5</v>
      </c>
      <c r="C55" s="1423"/>
      <c r="D55" s="1401"/>
      <c r="E55" s="1426">
        <f>if(countif('R3_G1'!$A$8:$A$23,$A55)=1,vlookup($A55,'R3_G1'!$A$8:$Z$23, E$2+2,false),if(countif('R3_G2'!$A$8:$A$23,$A55)=1,vlookup($A55,'R3_G2'!$A$8:$Z$23, E$2+2,false),if(countif('R3_G3'!$A$8:$A$23,$A55)=1,vlookup($A55,'R3_G3'!$A$8:$Z$23, E$2+2,false),if(countif('R3_G4'!$A$8:$A$23,$A55)=1,vlookup($A55,'R3_G4'!$A$8:$Z$23, E$2+2,false),""))))</f>
        <v>4</v>
      </c>
      <c r="F55" s="1426">
        <f>if(countif('R3_G1'!$A$8:$A$23,$A55)=1,vlookup($A55,'R3_G1'!$A$8:$Z$23, F$2+2,false),if(countif('R3_G2'!$A$8:$A$23,$A55)=1,vlookup($A55,'R3_G2'!$A$8:$Z$23, F$2+2,false),if(countif('R3_G3'!$A$8:$A$23,$A55)=1,vlookup($A55,'R3_G3'!$A$8:$Z$23, F$2+2,false),if(countif('R3_G4'!$A$8:$A$23,$A55)=1,vlookup($A55,'R3_G4'!$A$8:$Z$23, F$2+2,false),""))))</f>
        <v>5</v>
      </c>
      <c r="G55" s="1426">
        <f>if(countif('R3_G1'!$A$8:$A$23,$A55)=1,vlookup($A55,'R3_G1'!$A$8:$Z$23, G$2+2,false),if(countif('R3_G2'!$A$8:$A$23,$A55)=1,vlookup($A55,'R3_G2'!$A$8:$Z$23, G$2+2,false),if(countif('R3_G3'!$A$8:$A$23,$A55)=1,vlookup($A55,'R3_G3'!$A$8:$Z$23, G$2+2,false),if(countif('R3_G4'!$A$8:$A$23,$A55)=1,vlookup($A55,'R3_G4'!$A$8:$Z$23, G$2+2,false),""))))</f>
        <v>3</v>
      </c>
      <c r="H55" s="1426">
        <f>if(countif('R3_G1'!$A$8:$A$23,$A55)=1,vlookup($A55,'R3_G1'!$A$8:$Z$23, H$2+2,false),if(countif('R3_G2'!$A$8:$A$23,$A55)=1,vlookup($A55,'R3_G2'!$A$8:$Z$23, H$2+2,false),if(countif('R3_G3'!$A$8:$A$23,$A55)=1,vlookup($A55,'R3_G3'!$A$8:$Z$23, H$2+2,false),if(countif('R3_G4'!$A$8:$A$23,$A55)=1,vlookup($A55,'R3_G4'!$A$8:$Z$23, H$2+2,false),""))))</f>
        <v>6</v>
      </c>
      <c r="I55" s="1426">
        <f>if(countif('R3_G1'!$A$8:$A$23,$A55)=1,vlookup($A55,'R3_G1'!$A$8:$Z$23, I$2+2,false),if(countif('R3_G2'!$A$8:$A$23,$A55)=1,vlookup($A55,'R3_G2'!$A$8:$Z$23, I$2+2,false),if(countif('R3_G3'!$A$8:$A$23,$A55)=1,vlookup($A55,'R3_G3'!$A$8:$Z$23, I$2+2,false),if(countif('R3_G4'!$A$8:$A$23,$A55)=1,vlookup($A55,'R3_G4'!$A$8:$Z$23, I$2+2,false),""))))</f>
        <v>4</v>
      </c>
      <c r="J55" s="1426">
        <f>if(countif('R3_G1'!$A$8:$A$23,$A55)=1,vlookup($A55,'R3_G1'!$A$8:$Z$23, J$2+2,false),if(countif('R3_G2'!$A$8:$A$23,$A55)=1,vlookup($A55,'R3_G2'!$A$8:$Z$23, J$2+2,false),if(countif('R3_G3'!$A$8:$A$23,$A55)=1,vlookup($A55,'R3_G3'!$A$8:$Z$23, J$2+2,false),if(countif('R3_G4'!$A$8:$A$23,$A55)=1,vlookup($A55,'R3_G4'!$A$8:$Z$23, J$2+2,false),""))))</f>
        <v>5</v>
      </c>
      <c r="K55" s="1426">
        <f>if(countif('R3_G1'!$A$8:$A$23,$A55)=1,vlookup($A55,'R3_G1'!$A$8:$Z$23, K$2+2,false),if(countif('R3_G2'!$A$8:$A$23,$A55)=1,vlookup($A55,'R3_G2'!$A$8:$Z$23, K$2+2,false),if(countif('R3_G3'!$A$8:$A$23,$A55)=1,vlookup($A55,'R3_G3'!$A$8:$Z$23, K$2+2,false),if(countif('R3_G4'!$A$8:$A$23,$A55)=1,vlookup($A55,'R3_G4'!$A$8:$Z$23, K$2+2,false),""))))</f>
        <v>4</v>
      </c>
      <c r="L55" s="1426">
        <f>if(countif('R3_G1'!$A$8:$A$23,$A55)=1,vlookup($A55,'R3_G1'!$A$8:$Z$23, L$2+2,false),if(countif('R3_G2'!$A$8:$A$23,$A55)=1,vlookup($A55,'R3_G2'!$A$8:$Z$23, L$2+2,false),if(countif('R3_G3'!$A$8:$A$23,$A55)=1,vlookup($A55,'R3_G3'!$A$8:$Z$23, L$2+2,false),if(countif('R3_G4'!$A$8:$A$23,$A55)=1,vlookup($A55,'R3_G4'!$A$8:$Z$23, L$2+2,false),""))))</f>
        <v>3</v>
      </c>
      <c r="M55" s="1426">
        <f>if(countif('R3_G1'!$A$8:$A$23,$A55)=1,vlookup($A55,'R3_G1'!$A$8:$Z$23, M$2+2,false),if(countif('R3_G2'!$A$8:$A$23,$A55)=1,vlookup($A55,'R3_G2'!$A$8:$Z$23, M$2+2,false),if(countif('R3_G3'!$A$8:$A$23,$A55)=1,vlookup($A55,'R3_G3'!$A$8:$Z$23, M$2+2,false),if(countif('R3_G4'!$A$8:$A$23,$A55)=1,vlookup($A55,'R3_G4'!$A$8:$Z$23, M$2+2,false),""))))</f>
        <v>6</v>
      </c>
      <c r="N55" s="1427">
        <f>if(countif('R3_G1'!$A$8:$A$23,$A55)=1,vlookup($A55,'R3_G1'!$A$8:$Z$23, N$2+8,false),if(countif('R3_G2'!$A$8:$A$23,$A55)=1,vlookup($A55,'R3_G2'!$A$8:$Z$23, N$2+8,false),if(countif('R3_G3'!$A$8:$A$23,$A55)=1,vlookup($A55,'R3_G3'!$A$8:$Z$23, N$2+8,false),if(countif('R3_G4'!$A$8:$A$23,$A55)=1,vlookup($A55,'R3_G4'!$A$8:$Z$23, N$2+8,false),""))))</f>
        <v>4</v>
      </c>
      <c r="O55" s="1427">
        <f>if(countif('R3_G1'!$A$8:$A$23,$A55)=1,vlookup($A55,'R3_G1'!$A$8:$Z$23, O$2+8,false),if(countif('R3_G2'!$A$8:$A$23,$A55)=1,vlookup($A55,'R3_G2'!$A$8:$Z$23, O$2+8,false),if(countif('R3_G3'!$A$8:$A$23,$A55)=1,vlookup($A55,'R3_G3'!$A$8:$Z$23, O$2+8,false),if(countif('R3_G4'!$A$8:$A$23,$A55)=1,vlookup($A55,'R3_G4'!$A$8:$Z$23, O$2+8,false),""))))</f>
        <v>4</v>
      </c>
      <c r="P55" s="1427">
        <f>if(countif('R3_G1'!$A$8:$A$23,$A55)=1,vlookup($A55,'R3_G1'!$A$8:$Z$23, P$2+8,false),if(countif('R3_G2'!$A$8:$A$23,$A55)=1,vlookup($A55,'R3_G2'!$A$8:$Z$23, P$2+8,false),if(countif('R3_G3'!$A$8:$A$23,$A55)=1,vlookup($A55,'R3_G3'!$A$8:$Z$23, P$2+8,false),if(countif('R3_G4'!$A$8:$A$23,$A55)=1,vlookup($A55,'R3_G4'!$A$8:$Z$23, P$2+8,false),""))))</f>
        <v>4</v>
      </c>
      <c r="Q55" s="1427">
        <f>if(countif('R3_G1'!$A$8:$A$23,$A55)=1,vlookup($A55,'R3_G1'!$A$8:$Z$23, Q$2+8,false),if(countif('R3_G2'!$A$8:$A$23,$A55)=1,vlookup($A55,'R3_G2'!$A$8:$Z$23, Q$2+8,false),if(countif('R3_G3'!$A$8:$A$23,$A55)=1,vlookup($A55,'R3_G3'!$A$8:$Z$23, Q$2+8,false),if(countif('R3_G4'!$A$8:$A$23,$A55)=1,vlookup($A55,'R3_G4'!$A$8:$Z$23, Q$2+8,false),""))))</f>
        <v>4</v>
      </c>
      <c r="R55" s="1427">
        <f>if(countif('R3_G1'!$A$8:$A$23,$A55)=1,vlookup($A55,'R3_G1'!$A$8:$Z$23, R$2+8,false),if(countif('R3_G2'!$A$8:$A$23,$A55)=1,vlookup($A55,'R3_G2'!$A$8:$Z$23, R$2+8,false),if(countif('R3_G3'!$A$8:$A$23,$A55)=1,vlookup($A55,'R3_G3'!$A$8:$Z$23, R$2+8,false),if(countif('R3_G4'!$A$8:$A$23,$A55)=1,vlookup($A55,'R3_G4'!$A$8:$Z$23, R$2+8,false),""))))</f>
        <v>5</v>
      </c>
      <c r="S55" s="1427">
        <f>if(countif('R3_G1'!$A$8:$A$23,$A55)=1,vlookup($A55,'R3_G1'!$A$8:$Z$23, S$2+8,false),if(countif('R3_G2'!$A$8:$A$23,$A55)=1,vlookup($A55,'R3_G2'!$A$8:$Z$23, S$2+8,false),if(countif('R3_G3'!$A$8:$A$23,$A55)=1,vlookup($A55,'R3_G3'!$A$8:$Z$23, S$2+8,false),if(countif('R3_G4'!$A$8:$A$23,$A55)=1,vlookup($A55,'R3_G4'!$A$8:$Z$23, S$2+8,false),""))))</f>
        <v>5</v>
      </c>
      <c r="T55" s="1427">
        <f>if(countif('R3_G1'!$A$8:$A$23,$A55)=1,vlookup($A55,'R3_G1'!$A$8:$Z$23, T$2+8,false),if(countif('R3_G2'!$A$8:$A$23,$A55)=1,vlookup($A55,'R3_G2'!$A$8:$Z$23, T$2+8,false),if(countif('R3_G3'!$A$8:$A$23,$A55)=1,vlookup($A55,'R3_G3'!$A$8:$Z$23, T$2+8,false),if(countif('R3_G4'!$A$8:$A$23,$A55)=1,vlookup($A55,'R3_G4'!$A$8:$Z$23, T$2+8,false),""))))</f>
        <v>6</v>
      </c>
      <c r="U55" s="1427">
        <f>if(countif('R3_G1'!$A$8:$A$23,$A55)=1,vlookup($A55,'R3_G1'!$A$8:$Z$23, U$2+8,false),if(countif('R3_G2'!$A$8:$A$23,$A55)=1,vlookup($A55,'R3_G2'!$A$8:$Z$23, U$2+8,false),if(countif('R3_G3'!$A$8:$A$23,$A55)=1,vlookup($A55,'R3_G3'!$A$8:$Z$23, U$2+8,false),if(countif('R3_G4'!$A$8:$A$23,$A55)=1,vlookup($A55,'R3_G4'!$A$8:$Z$23, U$2+8,false),""))))</f>
        <v>3</v>
      </c>
      <c r="V55" s="1427">
        <f>if(countif('R3_G1'!$A$8:$A$23,$A55)=1,vlookup($A55,'R3_G1'!$A$8:$Z$23, V$2+8,false),if(countif('R3_G2'!$A$8:$A$23,$A55)=1,vlookup($A55,'R3_G2'!$A$8:$Z$23, V$2+8,false),if(countif('R3_G3'!$A$8:$A$23,$A55)=1,vlookup($A55,'R3_G3'!$A$8:$Z$23, V$2+8,false),if(countif('R3_G4'!$A$8:$A$23,$A55)=1,vlookup($A55,'R3_G4'!$A$8:$Z$23, V$2+8,false),""))))</f>
        <v>4</v>
      </c>
      <c r="W55" s="1428">
        <f t="shared" si="76"/>
        <v>40</v>
      </c>
      <c r="X55" s="1428">
        <f t="shared" si="77"/>
        <v>39</v>
      </c>
      <c r="Y55" s="1428">
        <f t="shared" si="82"/>
        <v>79</v>
      </c>
      <c r="Z55" s="1428">
        <f t="shared" si="83"/>
        <v>74</v>
      </c>
      <c r="AA55" s="1428">
        <f t="shared" si="84"/>
        <v>79</v>
      </c>
      <c r="AB55" s="1527"/>
      <c r="AC55" s="1423" t="str">
        <f t="shared" si="85"/>
        <v>Andy</v>
      </c>
      <c r="AD55" s="1424">
        <f>VLOOKUP(AC55,'Master Input'!$A$11:$L$27,10,false)</f>
        <v>5</v>
      </c>
      <c r="AE55" s="1423" t="s">
        <v>266</v>
      </c>
      <c r="AF55" s="1401"/>
      <c r="AG55" s="1428">
        <f t="shared" ref="AG55:AX55" si="95">if(E55="","",E55-IF($B55&gt;0,FLOOR($B55/18,1),0)-IF(AND(MOD($B55,18)&gt;=E$51,$B55&gt;0),1,0)+IF(E$51-18&gt;$B55,1,0))</f>
        <v>4</v>
      </c>
      <c r="AH55" s="1428">
        <f t="shared" si="95"/>
        <v>5</v>
      </c>
      <c r="AI55" s="1428">
        <f t="shared" si="95"/>
        <v>3</v>
      </c>
      <c r="AJ55" s="1428">
        <f t="shared" si="95"/>
        <v>5</v>
      </c>
      <c r="AK55" s="1428">
        <f t="shared" si="95"/>
        <v>3</v>
      </c>
      <c r="AL55" s="1428">
        <f t="shared" si="95"/>
        <v>4</v>
      </c>
      <c r="AM55" s="1428">
        <f t="shared" si="95"/>
        <v>4</v>
      </c>
      <c r="AN55" s="1428">
        <f t="shared" si="95"/>
        <v>3</v>
      </c>
      <c r="AO55" s="1428">
        <f t="shared" si="95"/>
        <v>6</v>
      </c>
      <c r="AP55" s="1429">
        <f t="shared" si="95"/>
        <v>3</v>
      </c>
      <c r="AQ55" s="1429">
        <f t="shared" si="95"/>
        <v>4</v>
      </c>
      <c r="AR55" s="1429">
        <f t="shared" si="95"/>
        <v>4</v>
      </c>
      <c r="AS55" s="1429">
        <f t="shared" si="95"/>
        <v>4</v>
      </c>
      <c r="AT55" s="1429">
        <f t="shared" si="95"/>
        <v>4</v>
      </c>
      <c r="AU55" s="1429">
        <f t="shared" si="95"/>
        <v>5</v>
      </c>
      <c r="AV55" s="1429">
        <f t="shared" si="95"/>
        <v>6</v>
      </c>
      <c r="AW55" s="1429">
        <f t="shared" si="95"/>
        <v>3</v>
      </c>
      <c r="AX55" s="1429">
        <f t="shared" si="95"/>
        <v>4</v>
      </c>
      <c r="AY55" s="1428">
        <f t="shared" si="79"/>
        <v>37</v>
      </c>
      <c r="AZ55" s="1428">
        <f t="shared" si="80"/>
        <v>37</v>
      </c>
      <c r="BA55" s="1428">
        <f t="shared" si="87"/>
        <v>74</v>
      </c>
      <c r="BB55" s="1430" t="str">
        <f>if(countif('R3_G1'!$A$8:$A$23,$A55)=1, if(and(BA55=Z55,BA55=vlookup($A55,'R3_G1'!$A$8:$AC$23, 29,false)),"yes","no"),
if(countif('R3_G2'!$A$8:$A$23,$A55)=1, if(and(BA55=Z55,BA55=vlookup($A55,'R3_G2'!$A$8:$AC$23, 29,false)),"yes","no"),
if(countif('R3_G3'!$A$8:$A$23,$A55)=1, if(and(BA55=Z55,BA55=vlookup($A55,'R3_G3'!$A$8:$AC$23, 29,false)),"yes","no"),
if(countif('R3_G4'!$A$8:$A$23,$A55)=1, if(and(BA55=Z55,BA55=vlookup($A55,'R3_G4'!$A$8:$AC$23, 29,false)),"yes","no"),
"?"))))
</f>
        <v>yes</v>
      </c>
      <c r="BC55" s="1527"/>
      <c r="BD55" s="1441">
        <f t="shared" si="88"/>
        <v>8.5</v>
      </c>
      <c r="BE55" s="1442">
        <f t="shared" si="89"/>
        <v>10.43333333</v>
      </c>
      <c r="BF55" s="1442">
        <f t="shared" si="90"/>
        <v>0</v>
      </c>
      <c r="BG55" s="1442">
        <f t="shared" si="91"/>
        <v>4</v>
      </c>
      <c r="BH55" s="1442">
        <f t="shared" si="92"/>
        <v>9</v>
      </c>
      <c r="BI55" s="1442">
        <f t="shared" si="93"/>
        <v>4</v>
      </c>
      <c r="BJ55" s="1442">
        <f t="shared" si="94"/>
        <v>1</v>
      </c>
    </row>
    <row r="56" ht="14.25" customHeight="1">
      <c r="A56" s="1434" t="str">
        <f t="shared" si="81"/>
        <v>Pace</v>
      </c>
      <c r="B56" s="1435">
        <f>VLOOKUP(A56,'Master Input'!$A$11:$L$27,10,false)</f>
        <v>6</v>
      </c>
      <c r="C56" s="1434"/>
      <c r="D56" s="1401"/>
      <c r="E56" s="1437">
        <f>if(countif('R3_G1'!$A$8:$A$23,$A56)=1,vlookup($A56,'R3_G1'!$A$8:$Z$23, E$2+2,false),if(countif('R3_G2'!$A$8:$A$23,$A56)=1,vlookup($A56,'R3_G2'!$A$8:$Z$23, E$2+2,false),if(countif('R3_G3'!$A$8:$A$23,$A56)=1,vlookup($A56,'R3_G3'!$A$8:$Z$23, E$2+2,false),if(countif('R3_G4'!$A$8:$A$23,$A56)=1,vlookup($A56,'R3_G4'!$A$8:$Z$23, E$2+2,false),""))))</f>
        <v>5</v>
      </c>
      <c r="F56" s="1437">
        <f>if(countif('R3_G1'!$A$8:$A$23,$A56)=1,vlookup($A56,'R3_G1'!$A$8:$Z$23, F$2+2,false),if(countif('R3_G2'!$A$8:$A$23,$A56)=1,vlookup($A56,'R3_G2'!$A$8:$Z$23, F$2+2,false),if(countif('R3_G3'!$A$8:$A$23,$A56)=1,vlookup($A56,'R3_G3'!$A$8:$Z$23, F$2+2,false),if(countif('R3_G4'!$A$8:$A$23,$A56)=1,vlookup($A56,'R3_G4'!$A$8:$Z$23, F$2+2,false),""))))</f>
        <v>6</v>
      </c>
      <c r="G56" s="1437">
        <f>if(countif('R3_G1'!$A$8:$A$23,$A56)=1,vlookup($A56,'R3_G1'!$A$8:$Z$23, G$2+2,false),if(countif('R3_G2'!$A$8:$A$23,$A56)=1,vlookup($A56,'R3_G2'!$A$8:$Z$23, G$2+2,false),if(countif('R3_G3'!$A$8:$A$23,$A56)=1,vlookup($A56,'R3_G3'!$A$8:$Z$23, G$2+2,false),if(countif('R3_G4'!$A$8:$A$23,$A56)=1,vlookup($A56,'R3_G4'!$A$8:$Z$23, G$2+2,false),""))))</f>
        <v>4</v>
      </c>
      <c r="H56" s="1437">
        <f>if(countif('R3_G1'!$A$8:$A$23,$A56)=1,vlookup($A56,'R3_G1'!$A$8:$Z$23, H$2+2,false),if(countif('R3_G2'!$A$8:$A$23,$A56)=1,vlookup($A56,'R3_G2'!$A$8:$Z$23, H$2+2,false),if(countif('R3_G3'!$A$8:$A$23,$A56)=1,vlookup($A56,'R3_G3'!$A$8:$Z$23, H$2+2,false),if(countif('R3_G4'!$A$8:$A$23,$A56)=1,vlookup($A56,'R3_G4'!$A$8:$Z$23, H$2+2,false),""))))</f>
        <v>6</v>
      </c>
      <c r="I56" s="1437">
        <f>if(countif('R3_G1'!$A$8:$A$23,$A56)=1,vlookup($A56,'R3_G1'!$A$8:$Z$23, I$2+2,false),if(countif('R3_G2'!$A$8:$A$23,$A56)=1,vlookup($A56,'R3_G2'!$A$8:$Z$23, I$2+2,false),if(countif('R3_G3'!$A$8:$A$23,$A56)=1,vlookup($A56,'R3_G3'!$A$8:$Z$23, I$2+2,false),if(countif('R3_G4'!$A$8:$A$23,$A56)=1,vlookup($A56,'R3_G4'!$A$8:$Z$23, I$2+2,false),""))))</f>
        <v>5</v>
      </c>
      <c r="J56" s="1437">
        <f>if(countif('R3_G1'!$A$8:$A$23,$A56)=1,vlookup($A56,'R3_G1'!$A$8:$Z$23, J$2+2,false),if(countif('R3_G2'!$A$8:$A$23,$A56)=1,vlookup($A56,'R3_G2'!$A$8:$Z$23, J$2+2,false),if(countif('R3_G3'!$A$8:$A$23,$A56)=1,vlookup($A56,'R3_G3'!$A$8:$Z$23, J$2+2,false),if(countif('R3_G4'!$A$8:$A$23,$A56)=1,vlookup($A56,'R3_G4'!$A$8:$Z$23, J$2+2,false),""))))</f>
        <v>6</v>
      </c>
      <c r="K56" s="1437">
        <f>if(countif('R3_G1'!$A$8:$A$23,$A56)=1,vlookup($A56,'R3_G1'!$A$8:$Z$23, K$2+2,false),if(countif('R3_G2'!$A$8:$A$23,$A56)=1,vlookup($A56,'R3_G2'!$A$8:$Z$23, K$2+2,false),if(countif('R3_G3'!$A$8:$A$23,$A56)=1,vlookup($A56,'R3_G3'!$A$8:$Z$23, K$2+2,false),if(countif('R3_G4'!$A$8:$A$23,$A56)=1,vlookup($A56,'R3_G4'!$A$8:$Z$23, K$2+2,false),""))))</f>
        <v>4</v>
      </c>
      <c r="L56" s="1437">
        <f>if(countif('R3_G1'!$A$8:$A$23,$A56)=1,vlookup($A56,'R3_G1'!$A$8:$Z$23, L$2+2,false),if(countif('R3_G2'!$A$8:$A$23,$A56)=1,vlookup($A56,'R3_G2'!$A$8:$Z$23, L$2+2,false),if(countif('R3_G3'!$A$8:$A$23,$A56)=1,vlookup($A56,'R3_G3'!$A$8:$Z$23, L$2+2,false),if(countif('R3_G4'!$A$8:$A$23,$A56)=1,vlookup($A56,'R3_G4'!$A$8:$Z$23, L$2+2,false),""))))</f>
        <v>4</v>
      </c>
      <c r="M56" s="1437">
        <f>if(countif('R3_G1'!$A$8:$A$23,$A56)=1,vlookup($A56,'R3_G1'!$A$8:$Z$23, M$2+2,false),if(countif('R3_G2'!$A$8:$A$23,$A56)=1,vlookup($A56,'R3_G2'!$A$8:$Z$23, M$2+2,false),if(countif('R3_G3'!$A$8:$A$23,$A56)=1,vlookup($A56,'R3_G3'!$A$8:$Z$23, M$2+2,false),if(countif('R3_G4'!$A$8:$A$23,$A56)=1,vlookup($A56,'R3_G4'!$A$8:$Z$23, M$2+2,false),""))))</f>
        <v>7</v>
      </c>
      <c r="N56" s="1426">
        <f>if(countif('R3_G1'!$A$8:$A$23,$A56)=1,vlookup($A56,'R3_G1'!$A$8:$Z$23, N$2+8,false),if(countif('R3_G2'!$A$8:$A$23,$A56)=1,vlookup($A56,'R3_G2'!$A$8:$Z$23, N$2+8,false),if(countif('R3_G3'!$A$8:$A$23,$A56)=1,vlookup($A56,'R3_G3'!$A$8:$Z$23, N$2+8,false),if(countif('R3_G4'!$A$8:$A$23,$A56)=1,vlookup($A56,'R3_G4'!$A$8:$Z$23, N$2+8,false),""))))</f>
        <v>5</v>
      </c>
      <c r="O56" s="1426">
        <f>if(countif('R3_G1'!$A$8:$A$23,$A56)=1,vlookup($A56,'R3_G1'!$A$8:$Z$23, O$2+8,false),if(countif('R3_G2'!$A$8:$A$23,$A56)=1,vlookup($A56,'R3_G2'!$A$8:$Z$23, O$2+8,false),if(countif('R3_G3'!$A$8:$A$23,$A56)=1,vlookup($A56,'R3_G3'!$A$8:$Z$23, O$2+8,false),if(countif('R3_G4'!$A$8:$A$23,$A56)=1,vlookup($A56,'R3_G4'!$A$8:$Z$23, O$2+8,false),""))))</f>
        <v>5</v>
      </c>
      <c r="P56" s="1426">
        <f>if(countif('R3_G1'!$A$8:$A$23,$A56)=1,vlookup($A56,'R3_G1'!$A$8:$Z$23, P$2+8,false),if(countif('R3_G2'!$A$8:$A$23,$A56)=1,vlookup($A56,'R3_G2'!$A$8:$Z$23, P$2+8,false),if(countif('R3_G3'!$A$8:$A$23,$A56)=1,vlookup($A56,'R3_G3'!$A$8:$Z$23, P$2+8,false),if(countif('R3_G4'!$A$8:$A$23,$A56)=1,vlookup($A56,'R3_G4'!$A$8:$Z$23, P$2+8,false),""))))</f>
        <v>3</v>
      </c>
      <c r="Q56" s="1426">
        <f>if(countif('R3_G1'!$A$8:$A$23,$A56)=1,vlookup($A56,'R3_G1'!$A$8:$Z$23, Q$2+8,false),if(countif('R3_G2'!$A$8:$A$23,$A56)=1,vlookup($A56,'R3_G2'!$A$8:$Z$23, Q$2+8,false),if(countif('R3_G3'!$A$8:$A$23,$A56)=1,vlookup($A56,'R3_G3'!$A$8:$Z$23, Q$2+8,false),if(countif('R3_G4'!$A$8:$A$23,$A56)=1,vlookup($A56,'R3_G4'!$A$8:$Z$23, Q$2+8,false),""))))</f>
        <v>4</v>
      </c>
      <c r="R56" s="1426">
        <f>if(countif('R3_G1'!$A$8:$A$23,$A56)=1,vlookup($A56,'R3_G1'!$A$8:$Z$23, R$2+8,false),if(countif('R3_G2'!$A$8:$A$23,$A56)=1,vlookup($A56,'R3_G2'!$A$8:$Z$23, R$2+8,false),if(countif('R3_G3'!$A$8:$A$23,$A56)=1,vlookup($A56,'R3_G3'!$A$8:$Z$23, R$2+8,false),if(countif('R3_G4'!$A$8:$A$23,$A56)=1,vlookup($A56,'R3_G4'!$A$8:$Z$23, R$2+8,false),""))))</f>
        <v>6</v>
      </c>
      <c r="S56" s="1426">
        <f>if(countif('R3_G1'!$A$8:$A$23,$A56)=1,vlookup($A56,'R3_G1'!$A$8:$Z$23, S$2+8,false),if(countif('R3_G2'!$A$8:$A$23,$A56)=1,vlookup($A56,'R3_G2'!$A$8:$Z$23, S$2+8,false),if(countif('R3_G3'!$A$8:$A$23,$A56)=1,vlookup($A56,'R3_G3'!$A$8:$Z$23, S$2+8,false),if(countif('R3_G4'!$A$8:$A$23,$A56)=1,vlookup($A56,'R3_G4'!$A$8:$Z$23, S$2+8,false),""))))</f>
        <v>5</v>
      </c>
      <c r="T56" s="1426">
        <f>if(countif('R3_G1'!$A$8:$A$23,$A56)=1,vlookup($A56,'R3_G1'!$A$8:$Z$23, T$2+8,false),if(countif('R3_G2'!$A$8:$A$23,$A56)=1,vlookup($A56,'R3_G2'!$A$8:$Z$23, T$2+8,false),if(countif('R3_G3'!$A$8:$A$23,$A56)=1,vlookup($A56,'R3_G3'!$A$8:$Z$23, T$2+8,false),if(countif('R3_G4'!$A$8:$A$23,$A56)=1,vlookup($A56,'R3_G4'!$A$8:$Z$23, T$2+8,false),""))))</f>
        <v>4</v>
      </c>
      <c r="U56" s="1426">
        <f>if(countif('R3_G1'!$A$8:$A$23,$A56)=1,vlookup($A56,'R3_G1'!$A$8:$Z$23, U$2+8,false),if(countif('R3_G2'!$A$8:$A$23,$A56)=1,vlookup($A56,'R3_G2'!$A$8:$Z$23, U$2+8,false),if(countif('R3_G3'!$A$8:$A$23,$A56)=1,vlookup($A56,'R3_G3'!$A$8:$Z$23, U$2+8,false),if(countif('R3_G4'!$A$8:$A$23,$A56)=1,vlookup($A56,'R3_G4'!$A$8:$Z$23, U$2+8,false),""))))</f>
        <v>3</v>
      </c>
      <c r="V56" s="1426">
        <f>if(countif('R3_G1'!$A$8:$A$23,$A56)=1,vlookup($A56,'R3_G1'!$A$8:$Z$23, V$2+8,false),if(countif('R3_G2'!$A$8:$A$23,$A56)=1,vlookup($A56,'R3_G2'!$A$8:$Z$23, V$2+8,false),if(countif('R3_G3'!$A$8:$A$23,$A56)=1,vlookup($A56,'R3_G3'!$A$8:$Z$23, V$2+8,false),if(countif('R3_G4'!$A$8:$A$23,$A56)=1,vlookup($A56,'R3_G4'!$A$8:$Z$23, V$2+8,false),""))))</f>
        <v>7</v>
      </c>
      <c r="W56" s="1438">
        <f t="shared" si="76"/>
        <v>47</v>
      </c>
      <c r="X56" s="1438">
        <f t="shared" si="77"/>
        <v>42</v>
      </c>
      <c r="Y56" s="1438">
        <f t="shared" si="82"/>
        <v>89</v>
      </c>
      <c r="Z56" s="1438">
        <f t="shared" si="83"/>
        <v>83</v>
      </c>
      <c r="AA56" s="1438">
        <f t="shared" si="84"/>
        <v>89</v>
      </c>
      <c r="AB56" s="1527"/>
      <c r="AC56" s="1423" t="str">
        <f t="shared" si="85"/>
        <v>Pace</v>
      </c>
      <c r="AD56" s="1435">
        <f>VLOOKUP(AC56,'Master Input'!$A$11:$L$27,10,false)</f>
        <v>6</v>
      </c>
      <c r="AE56" s="1434" t="s">
        <v>266</v>
      </c>
      <c r="AF56" s="1401"/>
      <c r="AG56" s="1438">
        <f t="shared" ref="AG56:AX56" si="96">if(E56="","",E56-IF($B56&gt;0,FLOOR($B56/18,1),0)-IF(AND(MOD($B56,18)&gt;=E$51,$B56&gt;0),1,0)+IF(E$51-18&gt;$B56,1,0))</f>
        <v>5</v>
      </c>
      <c r="AH56" s="1438">
        <f t="shared" si="96"/>
        <v>6</v>
      </c>
      <c r="AI56" s="1438">
        <f t="shared" si="96"/>
        <v>4</v>
      </c>
      <c r="AJ56" s="1438">
        <f t="shared" si="96"/>
        <v>5</v>
      </c>
      <c r="AK56" s="1438">
        <f t="shared" si="96"/>
        <v>4</v>
      </c>
      <c r="AL56" s="1438">
        <f t="shared" si="96"/>
        <v>5</v>
      </c>
      <c r="AM56" s="1438">
        <f t="shared" si="96"/>
        <v>4</v>
      </c>
      <c r="AN56" s="1438">
        <f t="shared" si="96"/>
        <v>4</v>
      </c>
      <c r="AO56" s="1438">
        <f t="shared" si="96"/>
        <v>7</v>
      </c>
      <c r="AP56" s="1426">
        <f t="shared" si="96"/>
        <v>4</v>
      </c>
      <c r="AQ56" s="1426">
        <f t="shared" si="96"/>
        <v>5</v>
      </c>
      <c r="AR56" s="1426">
        <f t="shared" si="96"/>
        <v>3</v>
      </c>
      <c r="AS56" s="1426">
        <f t="shared" si="96"/>
        <v>4</v>
      </c>
      <c r="AT56" s="1426">
        <f t="shared" si="96"/>
        <v>5</v>
      </c>
      <c r="AU56" s="1426">
        <f t="shared" si="96"/>
        <v>5</v>
      </c>
      <c r="AV56" s="1426">
        <f t="shared" si="96"/>
        <v>4</v>
      </c>
      <c r="AW56" s="1426">
        <f t="shared" si="96"/>
        <v>3</v>
      </c>
      <c r="AX56" s="1426">
        <f t="shared" si="96"/>
        <v>6</v>
      </c>
      <c r="AY56" s="1438">
        <f t="shared" si="79"/>
        <v>44</v>
      </c>
      <c r="AZ56" s="1438">
        <f t="shared" si="80"/>
        <v>39</v>
      </c>
      <c r="BA56" s="1438">
        <f t="shared" si="87"/>
        <v>83</v>
      </c>
      <c r="BB56" s="1436" t="str">
        <f>if(countif('R3_G1'!$A$8:$A$23,$A56)=1, if(and(BA56=Z56,BA56=vlookup($A56,'R3_G1'!$A$8:$AC$23, 29,false)),"yes","no"),
if(countif('R3_G2'!$A$8:$A$23,$A56)=1, if(and(BA56=Z56,BA56=vlookup($A56,'R3_G2'!$A$8:$AC$23, 29,false)),"yes","no"),
if(countif('R3_G3'!$A$8:$A$23,$A56)=1, if(and(BA56=Z56,BA56=vlookup($A56,'R3_G3'!$A$8:$AC$23, 29,false)),"yes","no"),
if(countif('R3_G4'!$A$8:$A$23,$A56)=1, if(and(BA56=Z56,BA56=vlookup($A56,'R3_G4'!$A$8:$AC$23, 29,false)),"yes","no"),
"?"))))
</f>
        <v>yes</v>
      </c>
      <c r="BC56" s="1527"/>
      <c r="BD56" s="1439">
        <f t="shared" si="88"/>
        <v>4.5</v>
      </c>
      <c r="BE56" s="1440">
        <f t="shared" si="89"/>
        <v>7.166666667</v>
      </c>
      <c r="BF56" s="1440">
        <f t="shared" si="90"/>
        <v>0</v>
      </c>
      <c r="BG56" s="1440">
        <f t="shared" si="91"/>
        <v>0</v>
      </c>
      <c r="BH56" s="1440">
        <f t="shared" si="92"/>
        <v>9</v>
      </c>
      <c r="BI56" s="1440">
        <f t="shared" si="93"/>
        <v>7</v>
      </c>
      <c r="BJ56" s="1440">
        <f t="shared" si="94"/>
        <v>2</v>
      </c>
    </row>
    <row r="57" ht="14.25" customHeight="1">
      <c r="A57" s="1423" t="str">
        <f t="shared" si="81"/>
        <v>House</v>
      </c>
      <c r="B57" s="1424">
        <f>VLOOKUP(A57,'Master Input'!$A$11:$L$27,10,false)</f>
        <v>7</v>
      </c>
      <c r="C57" s="1430"/>
      <c r="D57" s="1401"/>
      <c r="E57" s="1426">
        <f>if(countif('R3_G1'!$A$8:$A$23,$A57)=1,vlookup($A57,'R3_G1'!$A$8:$Z$23, E$2+2,false),if(countif('R3_G2'!$A$8:$A$23,$A57)=1,vlookup($A57,'R3_G2'!$A$8:$Z$23, E$2+2,false),if(countif('R3_G3'!$A$8:$A$23,$A57)=1,vlookup($A57,'R3_G3'!$A$8:$Z$23, E$2+2,false),if(countif('R3_G4'!$A$8:$A$23,$A57)=1,vlookup($A57,'R3_G4'!$A$8:$Z$23, E$2+2,false),""))))</f>
        <v>5</v>
      </c>
      <c r="F57" s="1426">
        <f>if(countif('R3_G1'!$A$8:$A$23,$A57)=1,vlookup($A57,'R3_G1'!$A$8:$Z$23, F$2+2,false),if(countif('R3_G2'!$A$8:$A$23,$A57)=1,vlookup($A57,'R3_G2'!$A$8:$Z$23, F$2+2,false),if(countif('R3_G3'!$A$8:$A$23,$A57)=1,vlookup($A57,'R3_G3'!$A$8:$Z$23, F$2+2,false),if(countif('R3_G4'!$A$8:$A$23,$A57)=1,vlookup($A57,'R3_G4'!$A$8:$Z$23, F$2+2,false),""))))</f>
        <v>4</v>
      </c>
      <c r="G57" s="1426">
        <f>if(countif('R3_G1'!$A$8:$A$23,$A57)=1,vlookup($A57,'R3_G1'!$A$8:$Z$23, G$2+2,false),if(countif('R3_G2'!$A$8:$A$23,$A57)=1,vlookup($A57,'R3_G2'!$A$8:$Z$23, G$2+2,false),if(countif('R3_G3'!$A$8:$A$23,$A57)=1,vlookup($A57,'R3_G3'!$A$8:$Z$23, G$2+2,false),if(countif('R3_G4'!$A$8:$A$23,$A57)=1,vlookup($A57,'R3_G4'!$A$8:$Z$23, G$2+2,false),""))))</f>
        <v>4</v>
      </c>
      <c r="H57" s="1426">
        <f>if(countif('R3_G1'!$A$8:$A$23,$A57)=1,vlookup($A57,'R3_G1'!$A$8:$Z$23, H$2+2,false),if(countif('R3_G2'!$A$8:$A$23,$A57)=1,vlookup($A57,'R3_G2'!$A$8:$Z$23, H$2+2,false),if(countif('R3_G3'!$A$8:$A$23,$A57)=1,vlookup($A57,'R3_G3'!$A$8:$Z$23, H$2+2,false),if(countif('R3_G4'!$A$8:$A$23,$A57)=1,vlookup($A57,'R3_G4'!$A$8:$Z$23, H$2+2,false),""))))</f>
        <v>8</v>
      </c>
      <c r="I57" s="1426">
        <f>if(countif('R3_G1'!$A$8:$A$23,$A57)=1,vlookup($A57,'R3_G1'!$A$8:$Z$23, I$2+2,false),if(countif('R3_G2'!$A$8:$A$23,$A57)=1,vlookup($A57,'R3_G2'!$A$8:$Z$23, I$2+2,false),if(countif('R3_G3'!$A$8:$A$23,$A57)=1,vlookup($A57,'R3_G3'!$A$8:$Z$23, I$2+2,false),if(countif('R3_G4'!$A$8:$A$23,$A57)=1,vlookup($A57,'R3_G4'!$A$8:$Z$23, I$2+2,false),""))))</f>
        <v>5</v>
      </c>
      <c r="J57" s="1426">
        <f>if(countif('R3_G1'!$A$8:$A$23,$A57)=1,vlookup($A57,'R3_G1'!$A$8:$Z$23, J$2+2,false),if(countif('R3_G2'!$A$8:$A$23,$A57)=1,vlookup($A57,'R3_G2'!$A$8:$Z$23, J$2+2,false),if(countif('R3_G3'!$A$8:$A$23,$A57)=1,vlookup($A57,'R3_G3'!$A$8:$Z$23, J$2+2,false),if(countif('R3_G4'!$A$8:$A$23,$A57)=1,vlookup($A57,'R3_G4'!$A$8:$Z$23, J$2+2,false),""))))</f>
        <v>5</v>
      </c>
      <c r="K57" s="1426">
        <f>if(countif('R3_G1'!$A$8:$A$23,$A57)=1,vlookup($A57,'R3_G1'!$A$8:$Z$23, K$2+2,false),if(countif('R3_G2'!$A$8:$A$23,$A57)=1,vlookup($A57,'R3_G2'!$A$8:$Z$23, K$2+2,false),if(countif('R3_G3'!$A$8:$A$23,$A57)=1,vlookup($A57,'R3_G3'!$A$8:$Z$23, K$2+2,false),if(countif('R3_G4'!$A$8:$A$23,$A57)=1,vlookup($A57,'R3_G4'!$A$8:$Z$23, K$2+2,false),""))))</f>
        <v>5</v>
      </c>
      <c r="L57" s="1426">
        <f>if(countif('R3_G1'!$A$8:$A$23,$A57)=1,vlookup($A57,'R3_G1'!$A$8:$Z$23, L$2+2,false),if(countif('R3_G2'!$A$8:$A$23,$A57)=1,vlookup($A57,'R3_G2'!$A$8:$Z$23, L$2+2,false),if(countif('R3_G3'!$A$8:$A$23,$A57)=1,vlookup($A57,'R3_G3'!$A$8:$Z$23, L$2+2,false),if(countif('R3_G4'!$A$8:$A$23,$A57)=1,vlookup($A57,'R3_G4'!$A$8:$Z$23, L$2+2,false),""))))</f>
        <v>2</v>
      </c>
      <c r="M57" s="1426">
        <f>if(countif('R3_G1'!$A$8:$A$23,$A57)=1,vlookup($A57,'R3_G1'!$A$8:$Z$23, M$2+2,false),if(countif('R3_G2'!$A$8:$A$23,$A57)=1,vlookup($A57,'R3_G2'!$A$8:$Z$23, M$2+2,false),if(countif('R3_G3'!$A$8:$A$23,$A57)=1,vlookup($A57,'R3_G3'!$A$8:$Z$23, M$2+2,false),if(countif('R3_G4'!$A$8:$A$23,$A57)=1,vlookup($A57,'R3_G4'!$A$8:$Z$23, M$2+2,false),""))))</f>
        <v>8</v>
      </c>
      <c r="N57" s="1427">
        <f>if(countif('R3_G1'!$A$8:$A$23,$A57)=1,vlookup($A57,'R3_G1'!$A$8:$Z$23, N$2+8,false),if(countif('R3_G2'!$A$8:$A$23,$A57)=1,vlookup($A57,'R3_G2'!$A$8:$Z$23, N$2+8,false),if(countif('R3_G3'!$A$8:$A$23,$A57)=1,vlookup($A57,'R3_G3'!$A$8:$Z$23, N$2+8,false),if(countif('R3_G4'!$A$8:$A$23,$A57)=1,vlookup($A57,'R3_G4'!$A$8:$Z$23, N$2+8,false),""))))</f>
        <v>7</v>
      </c>
      <c r="O57" s="1427">
        <f>if(countif('R3_G1'!$A$8:$A$23,$A57)=1,vlookup($A57,'R3_G1'!$A$8:$Z$23, O$2+8,false),if(countif('R3_G2'!$A$8:$A$23,$A57)=1,vlookup($A57,'R3_G2'!$A$8:$Z$23, O$2+8,false),if(countif('R3_G3'!$A$8:$A$23,$A57)=1,vlookup($A57,'R3_G3'!$A$8:$Z$23, O$2+8,false),if(countif('R3_G4'!$A$8:$A$23,$A57)=1,vlookup($A57,'R3_G4'!$A$8:$Z$23, O$2+8,false),""))))</f>
        <v>5</v>
      </c>
      <c r="P57" s="1427">
        <f>if(countif('R3_G1'!$A$8:$A$23,$A57)=1,vlookup($A57,'R3_G1'!$A$8:$Z$23, P$2+8,false),if(countif('R3_G2'!$A$8:$A$23,$A57)=1,vlookup($A57,'R3_G2'!$A$8:$Z$23, P$2+8,false),if(countif('R3_G3'!$A$8:$A$23,$A57)=1,vlookup($A57,'R3_G3'!$A$8:$Z$23, P$2+8,false),if(countif('R3_G4'!$A$8:$A$23,$A57)=1,vlookup($A57,'R3_G4'!$A$8:$Z$23, P$2+8,false),""))))</f>
        <v>5</v>
      </c>
      <c r="Q57" s="1427">
        <f>if(countif('R3_G1'!$A$8:$A$23,$A57)=1,vlookup($A57,'R3_G1'!$A$8:$Z$23, Q$2+8,false),if(countif('R3_G2'!$A$8:$A$23,$A57)=1,vlookup($A57,'R3_G2'!$A$8:$Z$23, Q$2+8,false),if(countif('R3_G3'!$A$8:$A$23,$A57)=1,vlookup($A57,'R3_G3'!$A$8:$Z$23, Q$2+8,false),if(countif('R3_G4'!$A$8:$A$23,$A57)=1,vlookup($A57,'R3_G4'!$A$8:$Z$23, Q$2+8,false),""))))</f>
        <v>4</v>
      </c>
      <c r="R57" s="1427">
        <f>if(countif('R3_G1'!$A$8:$A$23,$A57)=1,vlookup($A57,'R3_G1'!$A$8:$Z$23, R$2+8,false),if(countif('R3_G2'!$A$8:$A$23,$A57)=1,vlookup($A57,'R3_G2'!$A$8:$Z$23, R$2+8,false),if(countif('R3_G3'!$A$8:$A$23,$A57)=1,vlookup($A57,'R3_G3'!$A$8:$Z$23, R$2+8,false),if(countif('R3_G4'!$A$8:$A$23,$A57)=1,vlookup($A57,'R3_G4'!$A$8:$Z$23, R$2+8,false),""))))</f>
        <v>6</v>
      </c>
      <c r="S57" s="1427">
        <f>if(countif('R3_G1'!$A$8:$A$23,$A57)=1,vlookup($A57,'R3_G1'!$A$8:$Z$23, S$2+8,false),if(countif('R3_G2'!$A$8:$A$23,$A57)=1,vlookup($A57,'R3_G2'!$A$8:$Z$23, S$2+8,false),if(countif('R3_G3'!$A$8:$A$23,$A57)=1,vlookup($A57,'R3_G3'!$A$8:$Z$23, S$2+8,false),if(countif('R3_G4'!$A$8:$A$23,$A57)=1,vlookup($A57,'R3_G4'!$A$8:$Z$23, S$2+8,false),""))))</f>
        <v>5</v>
      </c>
      <c r="T57" s="1427">
        <f>if(countif('R3_G1'!$A$8:$A$23,$A57)=1,vlookup($A57,'R3_G1'!$A$8:$Z$23, T$2+8,false),if(countif('R3_G2'!$A$8:$A$23,$A57)=1,vlookup($A57,'R3_G2'!$A$8:$Z$23, T$2+8,false),if(countif('R3_G3'!$A$8:$A$23,$A57)=1,vlookup($A57,'R3_G3'!$A$8:$Z$23, T$2+8,false),if(countif('R3_G4'!$A$8:$A$23,$A57)=1,vlookup($A57,'R3_G4'!$A$8:$Z$23, T$2+8,false),""))))</f>
        <v>5</v>
      </c>
      <c r="U57" s="1427">
        <f>if(countif('R3_G1'!$A$8:$A$23,$A57)=1,vlookup($A57,'R3_G1'!$A$8:$Z$23, U$2+8,false),if(countif('R3_G2'!$A$8:$A$23,$A57)=1,vlookup($A57,'R3_G2'!$A$8:$Z$23, U$2+8,false),if(countif('R3_G3'!$A$8:$A$23,$A57)=1,vlookup($A57,'R3_G3'!$A$8:$Z$23, U$2+8,false),if(countif('R3_G4'!$A$8:$A$23,$A57)=1,vlookup($A57,'R3_G4'!$A$8:$Z$23, U$2+8,false),""))))</f>
        <v>4</v>
      </c>
      <c r="V57" s="1427">
        <f>if(countif('R3_G1'!$A$8:$A$23,$A57)=1,vlookup($A57,'R3_G1'!$A$8:$Z$23, V$2+8,false),if(countif('R3_G2'!$A$8:$A$23,$A57)=1,vlookup($A57,'R3_G2'!$A$8:$Z$23, V$2+8,false),if(countif('R3_G3'!$A$8:$A$23,$A57)=1,vlookup($A57,'R3_G3'!$A$8:$Z$23, V$2+8,false),if(countif('R3_G4'!$A$8:$A$23,$A57)=1,vlookup($A57,'R3_G4'!$A$8:$Z$23, V$2+8,false),""))))</f>
        <v>5</v>
      </c>
      <c r="W57" s="1428">
        <f t="shared" si="76"/>
        <v>46</v>
      </c>
      <c r="X57" s="1428">
        <f t="shared" si="77"/>
        <v>46</v>
      </c>
      <c r="Y57" s="1428">
        <f t="shared" si="82"/>
        <v>92</v>
      </c>
      <c r="Z57" s="1428">
        <f t="shared" si="83"/>
        <v>85</v>
      </c>
      <c r="AA57" s="1428">
        <f t="shared" si="84"/>
        <v>92</v>
      </c>
      <c r="AB57" s="1527"/>
      <c r="AC57" s="1423" t="str">
        <f t="shared" si="85"/>
        <v>House</v>
      </c>
      <c r="AD57" s="1424">
        <f>VLOOKUP(AC57,'Master Input'!$A$11:$L$27,10,false)</f>
        <v>7</v>
      </c>
      <c r="AE57" s="1540" t="s">
        <v>266</v>
      </c>
      <c r="AF57" s="1401"/>
      <c r="AG57" s="1428">
        <f t="shared" ref="AG57:AX57" si="97">if(E57="","",E57-IF($B57&gt;0,FLOOR($B57/18,1),0)-IF(AND(MOD($B57,18)&gt;=E$51,$B57&gt;0),1,0)+IF(E$51-18&gt;$B57,1,0))</f>
        <v>5</v>
      </c>
      <c r="AH57" s="1428">
        <f t="shared" si="97"/>
        <v>4</v>
      </c>
      <c r="AI57" s="1428">
        <f t="shared" si="97"/>
        <v>4</v>
      </c>
      <c r="AJ57" s="1428">
        <f t="shared" si="97"/>
        <v>7</v>
      </c>
      <c r="AK57" s="1428">
        <f t="shared" si="97"/>
        <v>4</v>
      </c>
      <c r="AL57" s="1428">
        <f t="shared" si="97"/>
        <v>4</v>
      </c>
      <c r="AM57" s="1428">
        <f t="shared" si="97"/>
        <v>5</v>
      </c>
      <c r="AN57" s="1428">
        <f t="shared" si="97"/>
        <v>2</v>
      </c>
      <c r="AO57" s="1428">
        <f t="shared" si="97"/>
        <v>7</v>
      </c>
      <c r="AP57" s="1429">
        <f t="shared" si="97"/>
        <v>6</v>
      </c>
      <c r="AQ57" s="1429">
        <f t="shared" si="97"/>
        <v>5</v>
      </c>
      <c r="AR57" s="1429">
        <f t="shared" si="97"/>
        <v>5</v>
      </c>
      <c r="AS57" s="1429">
        <f t="shared" si="97"/>
        <v>4</v>
      </c>
      <c r="AT57" s="1429">
        <f t="shared" si="97"/>
        <v>5</v>
      </c>
      <c r="AU57" s="1429">
        <f t="shared" si="97"/>
        <v>5</v>
      </c>
      <c r="AV57" s="1429">
        <f t="shared" si="97"/>
        <v>5</v>
      </c>
      <c r="AW57" s="1429">
        <f t="shared" si="97"/>
        <v>4</v>
      </c>
      <c r="AX57" s="1429">
        <f t="shared" si="97"/>
        <v>4</v>
      </c>
      <c r="AY57" s="1428">
        <f t="shared" si="79"/>
        <v>42</v>
      </c>
      <c r="AZ57" s="1428">
        <f t="shared" si="80"/>
        <v>43</v>
      </c>
      <c r="BA57" s="1428">
        <f t="shared" si="87"/>
        <v>85</v>
      </c>
      <c r="BB57" s="1430" t="str">
        <f>if(countif('R3_G1'!$A$8:$A$23,$A57)=1, if(and(BA57=Z57,BA57=vlookup($A57,'R3_G1'!$A$8:$AC$23, 29,false)),"yes","no"),
if(countif('R3_G2'!$A$8:$A$23,$A57)=1, if(and(BA57=Z57,BA57=vlookup($A57,'R3_G2'!$A$8:$AC$23, 29,false)),"yes","no"),
if(countif('R3_G3'!$A$8:$A$23,$A57)=1, if(and(BA57=Z57,BA57=vlookup($A57,'R3_G3'!$A$8:$AC$23, 29,false)),"yes","no"),
if(countif('R3_G4'!$A$8:$A$23,$A57)=1, if(and(BA57=Z57,BA57=vlookup($A57,'R3_G4'!$A$8:$AC$23, 29,false)),"yes","no"),
"?"))))
</f>
        <v>yes</v>
      </c>
      <c r="BC57" s="1527"/>
      <c r="BD57" s="1441">
        <f t="shared" si="88"/>
        <v>4.5</v>
      </c>
      <c r="BE57" s="1442">
        <f t="shared" si="89"/>
        <v>6.866666667</v>
      </c>
      <c r="BF57" s="1442">
        <f t="shared" si="90"/>
        <v>0</v>
      </c>
      <c r="BG57" s="1442">
        <f t="shared" si="91"/>
        <v>2</v>
      </c>
      <c r="BH57" s="1442">
        <f t="shared" si="92"/>
        <v>5</v>
      </c>
      <c r="BI57" s="1442">
        <f t="shared" si="93"/>
        <v>7</v>
      </c>
      <c r="BJ57" s="1442">
        <f t="shared" si="94"/>
        <v>4</v>
      </c>
    </row>
    <row r="58" ht="14.25" customHeight="1">
      <c r="A58" s="1434" t="str">
        <f t="shared" si="81"/>
        <v>DK</v>
      </c>
      <c r="B58" s="1435">
        <f>VLOOKUP(A58,'Master Input'!$A$11:$L$27,10,false)</f>
        <v>10</v>
      </c>
      <c r="C58" s="1436"/>
      <c r="D58" s="1401"/>
      <c r="E58" s="1437">
        <f>if(countif('R3_G1'!$A$8:$A$23,$A58)=1,vlookup($A58,'R3_G1'!$A$8:$Z$23, E$2+2,false),if(countif('R3_G2'!$A$8:$A$23,$A58)=1,vlookup($A58,'R3_G2'!$A$8:$Z$23, E$2+2,false),if(countif('R3_G3'!$A$8:$A$23,$A58)=1,vlookup($A58,'R3_G3'!$A$8:$Z$23, E$2+2,false),if(countif('R3_G4'!$A$8:$A$23,$A58)=1,vlookup($A58,'R3_G4'!$A$8:$Z$23, E$2+2,false),""))))</f>
        <v>4</v>
      </c>
      <c r="F58" s="1437">
        <f>if(countif('R3_G1'!$A$8:$A$23,$A58)=1,vlookup($A58,'R3_G1'!$A$8:$Z$23, F$2+2,false),if(countif('R3_G2'!$A$8:$A$23,$A58)=1,vlookup($A58,'R3_G2'!$A$8:$Z$23, F$2+2,false),if(countif('R3_G3'!$A$8:$A$23,$A58)=1,vlookup($A58,'R3_G3'!$A$8:$Z$23, F$2+2,false),if(countif('R3_G4'!$A$8:$A$23,$A58)=1,vlookup($A58,'R3_G4'!$A$8:$Z$23, F$2+2,false),""))))</f>
        <v>3</v>
      </c>
      <c r="G58" s="1437">
        <f>if(countif('R3_G1'!$A$8:$A$23,$A58)=1,vlookup($A58,'R3_G1'!$A$8:$Z$23, G$2+2,false),if(countif('R3_G2'!$A$8:$A$23,$A58)=1,vlookup($A58,'R3_G2'!$A$8:$Z$23, G$2+2,false),if(countif('R3_G3'!$A$8:$A$23,$A58)=1,vlookup($A58,'R3_G3'!$A$8:$Z$23, G$2+2,false),if(countif('R3_G4'!$A$8:$A$23,$A58)=1,vlookup($A58,'R3_G4'!$A$8:$Z$23, G$2+2,false),""))))</f>
        <v>3</v>
      </c>
      <c r="H58" s="1437">
        <f>if(countif('R3_G1'!$A$8:$A$23,$A58)=1,vlookup($A58,'R3_G1'!$A$8:$Z$23, H$2+2,false),if(countif('R3_G2'!$A$8:$A$23,$A58)=1,vlookup($A58,'R3_G2'!$A$8:$Z$23, H$2+2,false),if(countif('R3_G3'!$A$8:$A$23,$A58)=1,vlookup($A58,'R3_G3'!$A$8:$Z$23, H$2+2,false),if(countif('R3_G4'!$A$8:$A$23,$A58)=1,vlookup($A58,'R3_G4'!$A$8:$Z$23, H$2+2,false),""))))</f>
        <v>5</v>
      </c>
      <c r="I58" s="1437">
        <f>if(countif('R3_G1'!$A$8:$A$23,$A58)=1,vlookup($A58,'R3_G1'!$A$8:$Z$23, I$2+2,false),if(countif('R3_G2'!$A$8:$A$23,$A58)=1,vlookup($A58,'R3_G2'!$A$8:$Z$23, I$2+2,false),if(countif('R3_G3'!$A$8:$A$23,$A58)=1,vlookup($A58,'R3_G3'!$A$8:$Z$23, I$2+2,false),if(countif('R3_G4'!$A$8:$A$23,$A58)=1,vlookup($A58,'R3_G4'!$A$8:$Z$23, I$2+2,false),""))))</f>
        <v>4</v>
      </c>
      <c r="J58" s="1437">
        <f>if(countif('R3_G1'!$A$8:$A$23,$A58)=1,vlookup($A58,'R3_G1'!$A$8:$Z$23, J$2+2,false),if(countif('R3_G2'!$A$8:$A$23,$A58)=1,vlookup($A58,'R3_G2'!$A$8:$Z$23, J$2+2,false),if(countif('R3_G3'!$A$8:$A$23,$A58)=1,vlookup($A58,'R3_G3'!$A$8:$Z$23, J$2+2,false),if(countif('R3_G4'!$A$8:$A$23,$A58)=1,vlookup($A58,'R3_G4'!$A$8:$Z$23, J$2+2,false),""))))</f>
        <v>5</v>
      </c>
      <c r="K58" s="1437">
        <f>if(countif('R3_G1'!$A$8:$A$23,$A58)=1,vlookup($A58,'R3_G1'!$A$8:$Z$23, K$2+2,false),if(countif('R3_G2'!$A$8:$A$23,$A58)=1,vlookup($A58,'R3_G2'!$A$8:$Z$23, K$2+2,false),if(countif('R3_G3'!$A$8:$A$23,$A58)=1,vlookup($A58,'R3_G3'!$A$8:$Z$23, K$2+2,false),if(countif('R3_G4'!$A$8:$A$23,$A58)=1,vlookup($A58,'R3_G4'!$A$8:$Z$23, K$2+2,false),""))))</f>
        <v>4</v>
      </c>
      <c r="L58" s="1437">
        <f>if(countif('R3_G1'!$A$8:$A$23,$A58)=1,vlookup($A58,'R3_G1'!$A$8:$Z$23, L$2+2,false),if(countif('R3_G2'!$A$8:$A$23,$A58)=1,vlookup($A58,'R3_G2'!$A$8:$Z$23, L$2+2,false),if(countif('R3_G3'!$A$8:$A$23,$A58)=1,vlookup($A58,'R3_G3'!$A$8:$Z$23, L$2+2,false),if(countif('R3_G4'!$A$8:$A$23,$A58)=1,vlookup($A58,'R3_G4'!$A$8:$Z$23, L$2+2,false),""))))</f>
        <v>3</v>
      </c>
      <c r="M58" s="1437">
        <f>if(countif('R3_G1'!$A$8:$A$23,$A58)=1,vlookup($A58,'R3_G1'!$A$8:$Z$23, M$2+2,false),if(countif('R3_G2'!$A$8:$A$23,$A58)=1,vlookup($A58,'R3_G2'!$A$8:$Z$23, M$2+2,false),if(countif('R3_G3'!$A$8:$A$23,$A58)=1,vlookup($A58,'R3_G3'!$A$8:$Z$23, M$2+2,false),if(countif('R3_G4'!$A$8:$A$23,$A58)=1,vlookup($A58,'R3_G4'!$A$8:$Z$23, M$2+2,false),""))))</f>
        <v>5</v>
      </c>
      <c r="N58" s="1426">
        <f>if(countif('R3_G1'!$A$8:$A$23,$A58)=1,vlookup($A58,'R3_G1'!$A$8:$Z$23, N$2+8,false),if(countif('R3_G2'!$A$8:$A$23,$A58)=1,vlookup($A58,'R3_G2'!$A$8:$Z$23, N$2+8,false),if(countif('R3_G3'!$A$8:$A$23,$A58)=1,vlookup($A58,'R3_G3'!$A$8:$Z$23, N$2+8,false),if(countif('R3_G4'!$A$8:$A$23,$A58)=1,vlookup($A58,'R3_G4'!$A$8:$Z$23, N$2+8,false),""))))</f>
        <v>5</v>
      </c>
      <c r="O58" s="1426">
        <f>if(countif('R3_G1'!$A$8:$A$23,$A58)=1,vlookup($A58,'R3_G1'!$A$8:$Z$23, O$2+8,false),if(countif('R3_G2'!$A$8:$A$23,$A58)=1,vlookup($A58,'R3_G2'!$A$8:$Z$23, O$2+8,false),if(countif('R3_G3'!$A$8:$A$23,$A58)=1,vlookup($A58,'R3_G3'!$A$8:$Z$23, O$2+8,false),if(countif('R3_G4'!$A$8:$A$23,$A58)=1,vlookup($A58,'R3_G4'!$A$8:$Z$23, O$2+8,false),""))))</f>
        <v>4</v>
      </c>
      <c r="P58" s="1426">
        <f>if(countif('R3_G1'!$A$8:$A$23,$A58)=1,vlookup($A58,'R3_G1'!$A$8:$Z$23, P$2+8,false),if(countif('R3_G2'!$A$8:$A$23,$A58)=1,vlookup($A58,'R3_G2'!$A$8:$Z$23, P$2+8,false),if(countif('R3_G3'!$A$8:$A$23,$A58)=1,vlookup($A58,'R3_G3'!$A$8:$Z$23, P$2+8,false),if(countif('R3_G4'!$A$8:$A$23,$A58)=1,vlookup($A58,'R3_G4'!$A$8:$Z$23, P$2+8,false),""))))</f>
        <v>3</v>
      </c>
      <c r="Q58" s="1426">
        <f>if(countif('R3_G1'!$A$8:$A$23,$A58)=1,vlookup($A58,'R3_G1'!$A$8:$Z$23, Q$2+8,false),if(countif('R3_G2'!$A$8:$A$23,$A58)=1,vlookup($A58,'R3_G2'!$A$8:$Z$23, Q$2+8,false),if(countif('R3_G3'!$A$8:$A$23,$A58)=1,vlookup($A58,'R3_G3'!$A$8:$Z$23, Q$2+8,false),if(countif('R3_G4'!$A$8:$A$23,$A58)=1,vlookup($A58,'R3_G4'!$A$8:$Z$23, Q$2+8,false),""))))</f>
        <v>4</v>
      </c>
      <c r="R58" s="1426">
        <f>if(countif('R3_G1'!$A$8:$A$23,$A58)=1,vlookup($A58,'R3_G1'!$A$8:$Z$23, R$2+8,false),if(countif('R3_G2'!$A$8:$A$23,$A58)=1,vlookup($A58,'R3_G2'!$A$8:$Z$23, R$2+8,false),if(countif('R3_G3'!$A$8:$A$23,$A58)=1,vlookup($A58,'R3_G3'!$A$8:$Z$23, R$2+8,false),if(countif('R3_G4'!$A$8:$A$23,$A58)=1,vlookup($A58,'R3_G4'!$A$8:$Z$23, R$2+8,false),""))))</f>
        <v>8</v>
      </c>
      <c r="S58" s="1426">
        <f>if(countif('R3_G1'!$A$8:$A$23,$A58)=1,vlookup($A58,'R3_G1'!$A$8:$Z$23, S$2+8,false),if(countif('R3_G2'!$A$8:$A$23,$A58)=1,vlookup($A58,'R3_G2'!$A$8:$Z$23, S$2+8,false),if(countif('R3_G3'!$A$8:$A$23,$A58)=1,vlookup($A58,'R3_G3'!$A$8:$Z$23, S$2+8,false),if(countif('R3_G4'!$A$8:$A$23,$A58)=1,vlookup($A58,'R3_G4'!$A$8:$Z$23, S$2+8,false),""))))</f>
        <v>4</v>
      </c>
      <c r="T58" s="1426">
        <f>if(countif('R3_G1'!$A$8:$A$23,$A58)=1,vlookup($A58,'R3_G1'!$A$8:$Z$23, T$2+8,false),if(countif('R3_G2'!$A$8:$A$23,$A58)=1,vlookup($A58,'R3_G2'!$A$8:$Z$23, T$2+8,false),if(countif('R3_G3'!$A$8:$A$23,$A58)=1,vlookup($A58,'R3_G3'!$A$8:$Z$23, T$2+8,false),if(countif('R3_G4'!$A$8:$A$23,$A58)=1,vlookup($A58,'R3_G4'!$A$8:$Z$23, T$2+8,false),""))))</f>
        <v>4</v>
      </c>
      <c r="U58" s="1426">
        <f>if(countif('R3_G1'!$A$8:$A$23,$A58)=1,vlookup($A58,'R3_G1'!$A$8:$Z$23, U$2+8,false),if(countif('R3_G2'!$A$8:$A$23,$A58)=1,vlookup($A58,'R3_G2'!$A$8:$Z$23, U$2+8,false),if(countif('R3_G3'!$A$8:$A$23,$A58)=1,vlookup($A58,'R3_G3'!$A$8:$Z$23, U$2+8,false),if(countif('R3_G4'!$A$8:$A$23,$A58)=1,vlookup($A58,'R3_G4'!$A$8:$Z$23, U$2+8,false),""))))</f>
        <v>3</v>
      </c>
      <c r="V58" s="1426">
        <f>if(countif('R3_G1'!$A$8:$A$23,$A58)=1,vlookup($A58,'R3_G1'!$A$8:$Z$23, V$2+8,false),if(countif('R3_G2'!$A$8:$A$23,$A58)=1,vlookup($A58,'R3_G2'!$A$8:$Z$23, V$2+8,false),if(countif('R3_G3'!$A$8:$A$23,$A58)=1,vlookup($A58,'R3_G3'!$A$8:$Z$23, V$2+8,false),if(countif('R3_G4'!$A$8:$A$23,$A58)=1,vlookup($A58,'R3_G4'!$A$8:$Z$23, V$2+8,false),""))))</f>
        <v>6</v>
      </c>
      <c r="W58" s="1438">
        <f t="shared" si="76"/>
        <v>36</v>
      </c>
      <c r="X58" s="1438">
        <f t="shared" si="77"/>
        <v>41</v>
      </c>
      <c r="Y58" s="1438">
        <f t="shared" si="82"/>
        <v>77</v>
      </c>
      <c r="Z58" s="1438">
        <f t="shared" si="83"/>
        <v>67</v>
      </c>
      <c r="AA58" s="1438">
        <f t="shared" si="84"/>
        <v>77</v>
      </c>
      <c r="AB58" s="1527"/>
      <c r="AC58" s="1423" t="str">
        <f t="shared" si="85"/>
        <v>DK</v>
      </c>
      <c r="AD58" s="1435">
        <f>VLOOKUP(AC58,'Master Input'!$A$11:$L$27,10,false)</f>
        <v>10</v>
      </c>
      <c r="AE58" s="1539" t="s">
        <v>266</v>
      </c>
      <c r="AF58" s="1401"/>
      <c r="AG58" s="1438">
        <f t="shared" ref="AG58:AX58" si="98">if(E58="","",E58-IF($B58&gt;0,FLOOR($B58/18,1),0)-IF(AND(MOD($B58,18)&gt;=E$51,$B58&gt;0),1,0)+IF(E$51-18&gt;$B58,1,0))</f>
        <v>3</v>
      </c>
      <c r="AH58" s="1438">
        <f t="shared" si="98"/>
        <v>3</v>
      </c>
      <c r="AI58" s="1438">
        <f t="shared" si="98"/>
        <v>3</v>
      </c>
      <c r="AJ58" s="1438">
        <f t="shared" si="98"/>
        <v>4</v>
      </c>
      <c r="AK58" s="1438">
        <f t="shared" si="98"/>
        <v>3</v>
      </c>
      <c r="AL58" s="1438">
        <f t="shared" si="98"/>
        <v>4</v>
      </c>
      <c r="AM58" s="1438">
        <f t="shared" si="98"/>
        <v>4</v>
      </c>
      <c r="AN58" s="1438">
        <f t="shared" si="98"/>
        <v>3</v>
      </c>
      <c r="AO58" s="1438">
        <f t="shared" si="98"/>
        <v>4</v>
      </c>
      <c r="AP58" s="1426">
        <f t="shared" si="98"/>
        <v>4</v>
      </c>
      <c r="AQ58" s="1426">
        <f t="shared" si="98"/>
        <v>3</v>
      </c>
      <c r="AR58" s="1426">
        <f t="shared" si="98"/>
        <v>3</v>
      </c>
      <c r="AS58" s="1426">
        <f t="shared" si="98"/>
        <v>4</v>
      </c>
      <c r="AT58" s="1426">
        <f t="shared" si="98"/>
        <v>7</v>
      </c>
      <c r="AU58" s="1426">
        <f t="shared" si="98"/>
        <v>3</v>
      </c>
      <c r="AV58" s="1426">
        <f t="shared" si="98"/>
        <v>4</v>
      </c>
      <c r="AW58" s="1426">
        <f t="shared" si="98"/>
        <v>3</v>
      </c>
      <c r="AX58" s="1426">
        <f t="shared" si="98"/>
        <v>5</v>
      </c>
      <c r="AY58" s="1438">
        <f t="shared" si="79"/>
        <v>31</v>
      </c>
      <c r="AZ58" s="1438">
        <f t="shared" si="80"/>
        <v>36</v>
      </c>
      <c r="BA58" s="1438">
        <f t="shared" si="87"/>
        <v>67</v>
      </c>
      <c r="BB58" s="1436" t="str">
        <f>if(countif('R3_G1'!$A$8:$A$23,$A58)=1, if(and(BA58=Z58,BA58=vlookup($A58,'R3_G1'!$A$8:$AC$23, 29,false)),"yes","no"),
if(countif('R3_G2'!$A$8:$A$23,$A58)=1, if(and(BA58=Z58,BA58=vlookup($A58,'R3_G2'!$A$8:$AC$23, 29,false)),"yes","no"),
if(countif('R3_G3'!$A$8:$A$23,$A58)=1, if(and(BA58=Z58,BA58=vlookup($A58,'R3_G3'!$A$8:$AC$23, 29,false)),"yes","no"),
if(countif('R3_G4'!$A$8:$A$23,$A58)=1, if(and(BA58=Z58,BA58=vlookup($A58,'R3_G4'!$A$8:$AC$23, 29,false)),"yes","no"),
"?"))))
</f>
        <v>yes</v>
      </c>
      <c r="BC58" s="1527"/>
      <c r="BD58" s="1439">
        <f t="shared" si="88"/>
        <v>12</v>
      </c>
      <c r="BE58" s="1440">
        <f t="shared" si="89"/>
        <v>12.53333333</v>
      </c>
      <c r="BF58" s="1440">
        <f t="shared" si="90"/>
        <v>0</v>
      </c>
      <c r="BG58" s="1440">
        <f t="shared" si="91"/>
        <v>7</v>
      </c>
      <c r="BH58" s="1440">
        <f t="shared" si="92"/>
        <v>10</v>
      </c>
      <c r="BI58" s="1440">
        <f t="shared" si="93"/>
        <v>0</v>
      </c>
      <c r="BJ58" s="1440">
        <f t="shared" si="94"/>
        <v>1</v>
      </c>
    </row>
    <row r="59" ht="14.25" customHeight="1">
      <c r="A59" s="1423" t="str">
        <f t="shared" si="81"/>
        <v>Carp</v>
      </c>
      <c r="B59" s="1424">
        <f>VLOOKUP(A59,'Master Input'!$A$11:$L$27,10,false)</f>
        <v>14</v>
      </c>
      <c r="C59" s="1430"/>
      <c r="D59" s="1401"/>
      <c r="E59" s="1426">
        <f>if(countif('R3_G1'!$A$8:$A$23,$A59)=1,vlookup($A59,'R3_G1'!$A$8:$Z$23, E$2+2,false),if(countif('R3_G2'!$A$8:$A$23,$A59)=1,vlookup($A59,'R3_G2'!$A$8:$Z$23, E$2+2,false),if(countif('R3_G3'!$A$8:$A$23,$A59)=1,vlookup($A59,'R3_G3'!$A$8:$Z$23, E$2+2,false),if(countif('R3_G4'!$A$8:$A$23,$A59)=1,vlookup($A59,'R3_G4'!$A$8:$Z$23, E$2+2,false),""))))</f>
        <v>6</v>
      </c>
      <c r="F59" s="1426">
        <f>if(countif('R3_G1'!$A$8:$A$23,$A59)=1,vlookup($A59,'R3_G1'!$A$8:$Z$23, F$2+2,false),if(countif('R3_G2'!$A$8:$A$23,$A59)=1,vlookup($A59,'R3_G2'!$A$8:$Z$23, F$2+2,false),if(countif('R3_G3'!$A$8:$A$23,$A59)=1,vlookup($A59,'R3_G3'!$A$8:$Z$23, F$2+2,false),if(countif('R3_G4'!$A$8:$A$23,$A59)=1,vlookup($A59,'R3_G4'!$A$8:$Z$23, F$2+2,false),""))))</f>
        <v>5</v>
      </c>
      <c r="G59" s="1426">
        <f>if(countif('R3_G1'!$A$8:$A$23,$A59)=1,vlookup($A59,'R3_G1'!$A$8:$Z$23, G$2+2,false),if(countif('R3_G2'!$A$8:$A$23,$A59)=1,vlookup($A59,'R3_G2'!$A$8:$Z$23, G$2+2,false),if(countif('R3_G3'!$A$8:$A$23,$A59)=1,vlookup($A59,'R3_G3'!$A$8:$Z$23, G$2+2,false),if(countif('R3_G4'!$A$8:$A$23,$A59)=1,vlookup($A59,'R3_G4'!$A$8:$Z$23, G$2+2,false),""))))</f>
        <v>4</v>
      </c>
      <c r="H59" s="1426">
        <f>if(countif('R3_G1'!$A$8:$A$23,$A59)=1,vlookup($A59,'R3_G1'!$A$8:$Z$23, H$2+2,false),if(countif('R3_G2'!$A$8:$A$23,$A59)=1,vlookup($A59,'R3_G2'!$A$8:$Z$23, H$2+2,false),if(countif('R3_G3'!$A$8:$A$23,$A59)=1,vlookup($A59,'R3_G3'!$A$8:$Z$23, H$2+2,false),if(countif('R3_G4'!$A$8:$A$23,$A59)=1,vlookup($A59,'R3_G4'!$A$8:$Z$23, H$2+2,false),""))))</f>
        <v>7</v>
      </c>
      <c r="I59" s="1426">
        <f>if(countif('R3_G1'!$A$8:$A$23,$A59)=1,vlookup($A59,'R3_G1'!$A$8:$Z$23, I$2+2,false),if(countif('R3_G2'!$A$8:$A$23,$A59)=1,vlookup($A59,'R3_G2'!$A$8:$Z$23, I$2+2,false),if(countif('R3_G3'!$A$8:$A$23,$A59)=1,vlookup($A59,'R3_G3'!$A$8:$Z$23, I$2+2,false),if(countif('R3_G4'!$A$8:$A$23,$A59)=1,vlookup($A59,'R3_G4'!$A$8:$Z$23, I$2+2,false),""))))</f>
        <v>5</v>
      </c>
      <c r="J59" s="1426">
        <f>if(countif('R3_G1'!$A$8:$A$23,$A59)=1,vlookup($A59,'R3_G1'!$A$8:$Z$23, J$2+2,false),if(countif('R3_G2'!$A$8:$A$23,$A59)=1,vlookup($A59,'R3_G2'!$A$8:$Z$23, J$2+2,false),if(countif('R3_G3'!$A$8:$A$23,$A59)=1,vlookup($A59,'R3_G3'!$A$8:$Z$23, J$2+2,false),if(countif('R3_G4'!$A$8:$A$23,$A59)=1,vlookup($A59,'R3_G4'!$A$8:$Z$23, J$2+2,false),""))))</f>
        <v>4</v>
      </c>
      <c r="K59" s="1426">
        <f>if(countif('R3_G1'!$A$8:$A$23,$A59)=1,vlookup($A59,'R3_G1'!$A$8:$Z$23, K$2+2,false),if(countif('R3_G2'!$A$8:$A$23,$A59)=1,vlookup($A59,'R3_G2'!$A$8:$Z$23, K$2+2,false),if(countif('R3_G3'!$A$8:$A$23,$A59)=1,vlookup($A59,'R3_G3'!$A$8:$Z$23, K$2+2,false),if(countif('R3_G4'!$A$8:$A$23,$A59)=1,vlookup($A59,'R3_G4'!$A$8:$Z$23, K$2+2,false),""))))</f>
        <v>4</v>
      </c>
      <c r="L59" s="1426">
        <f>if(countif('R3_G1'!$A$8:$A$23,$A59)=1,vlookup($A59,'R3_G1'!$A$8:$Z$23, L$2+2,false),if(countif('R3_G2'!$A$8:$A$23,$A59)=1,vlookup($A59,'R3_G2'!$A$8:$Z$23, L$2+2,false),if(countif('R3_G3'!$A$8:$A$23,$A59)=1,vlookup($A59,'R3_G3'!$A$8:$Z$23, L$2+2,false),if(countif('R3_G4'!$A$8:$A$23,$A59)=1,vlookup($A59,'R3_G4'!$A$8:$Z$23, L$2+2,false),""))))</f>
        <v>4</v>
      </c>
      <c r="M59" s="1426">
        <f>if(countif('R3_G1'!$A$8:$A$23,$A59)=1,vlookup($A59,'R3_G1'!$A$8:$Z$23, M$2+2,false),if(countif('R3_G2'!$A$8:$A$23,$A59)=1,vlookup($A59,'R3_G2'!$A$8:$Z$23, M$2+2,false),if(countif('R3_G3'!$A$8:$A$23,$A59)=1,vlookup($A59,'R3_G3'!$A$8:$Z$23, M$2+2,false),if(countif('R3_G4'!$A$8:$A$23,$A59)=1,vlookup($A59,'R3_G4'!$A$8:$Z$23, M$2+2,false),""))))</f>
        <v>5</v>
      </c>
      <c r="N59" s="1427">
        <f>if(countif('R3_G1'!$A$8:$A$23,$A59)=1,vlookup($A59,'R3_G1'!$A$8:$Z$23, N$2+8,false),if(countif('R3_G2'!$A$8:$A$23,$A59)=1,vlookup($A59,'R3_G2'!$A$8:$Z$23, N$2+8,false),if(countif('R3_G3'!$A$8:$A$23,$A59)=1,vlookup($A59,'R3_G3'!$A$8:$Z$23, N$2+8,false),if(countif('R3_G4'!$A$8:$A$23,$A59)=1,vlookup($A59,'R3_G4'!$A$8:$Z$23, N$2+8,false),""))))</f>
        <v>5</v>
      </c>
      <c r="O59" s="1427">
        <f>if(countif('R3_G1'!$A$8:$A$23,$A59)=1,vlookup($A59,'R3_G1'!$A$8:$Z$23, O$2+8,false),if(countif('R3_G2'!$A$8:$A$23,$A59)=1,vlookup($A59,'R3_G2'!$A$8:$Z$23, O$2+8,false),if(countif('R3_G3'!$A$8:$A$23,$A59)=1,vlookup($A59,'R3_G3'!$A$8:$Z$23, O$2+8,false),if(countif('R3_G4'!$A$8:$A$23,$A59)=1,vlookup($A59,'R3_G4'!$A$8:$Z$23, O$2+8,false),""))))</f>
        <v>6</v>
      </c>
      <c r="P59" s="1427">
        <f>if(countif('R3_G1'!$A$8:$A$23,$A59)=1,vlookup($A59,'R3_G1'!$A$8:$Z$23, P$2+8,false),if(countif('R3_G2'!$A$8:$A$23,$A59)=1,vlookup($A59,'R3_G2'!$A$8:$Z$23, P$2+8,false),if(countif('R3_G3'!$A$8:$A$23,$A59)=1,vlookup($A59,'R3_G3'!$A$8:$Z$23, P$2+8,false),if(countif('R3_G4'!$A$8:$A$23,$A59)=1,vlookup($A59,'R3_G4'!$A$8:$Z$23, P$2+8,false),""))))</f>
        <v>3</v>
      </c>
      <c r="Q59" s="1427">
        <f>if(countif('R3_G1'!$A$8:$A$23,$A59)=1,vlookup($A59,'R3_G1'!$A$8:$Z$23, Q$2+8,false),if(countif('R3_G2'!$A$8:$A$23,$A59)=1,vlookup($A59,'R3_G2'!$A$8:$Z$23, Q$2+8,false),if(countif('R3_G3'!$A$8:$A$23,$A59)=1,vlookup($A59,'R3_G3'!$A$8:$Z$23, Q$2+8,false),if(countif('R3_G4'!$A$8:$A$23,$A59)=1,vlookup($A59,'R3_G4'!$A$8:$Z$23, Q$2+8,false),""))))</f>
        <v>4</v>
      </c>
      <c r="R59" s="1427">
        <f>if(countif('R3_G1'!$A$8:$A$23,$A59)=1,vlookup($A59,'R3_G1'!$A$8:$Z$23, R$2+8,false),if(countif('R3_G2'!$A$8:$A$23,$A59)=1,vlookup($A59,'R3_G2'!$A$8:$Z$23, R$2+8,false),if(countif('R3_G3'!$A$8:$A$23,$A59)=1,vlookup($A59,'R3_G3'!$A$8:$Z$23, R$2+8,false),if(countif('R3_G4'!$A$8:$A$23,$A59)=1,vlookup($A59,'R3_G4'!$A$8:$Z$23, R$2+8,false),""))))</f>
        <v>7</v>
      </c>
      <c r="S59" s="1427">
        <f>if(countif('R3_G1'!$A$8:$A$23,$A59)=1,vlookup($A59,'R3_G1'!$A$8:$Z$23, S$2+8,false),if(countif('R3_G2'!$A$8:$A$23,$A59)=1,vlookup($A59,'R3_G2'!$A$8:$Z$23, S$2+8,false),if(countif('R3_G3'!$A$8:$A$23,$A59)=1,vlookup($A59,'R3_G3'!$A$8:$Z$23, S$2+8,false),if(countif('R3_G4'!$A$8:$A$23,$A59)=1,vlookup($A59,'R3_G4'!$A$8:$Z$23, S$2+8,false),""))))</f>
        <v>6</v>
      </c>
      <c r="T59" s="1427">
        <f>if(countif('R3_G1'!$A$8:$A$23,$A59)=1,vlookup($A59,'R3_G1'!$A$8:$Z$23, T$2+8,false),if(countif('R3_G2'!$A$8:$A$23,$A59)=1,vlookup($A59,'R3_G2'!$A$8:$Z$23, T$2+8,false),if(countif('R3_G3'!$A$8:$A$23,$A59)=1,vlookup($A59,'R3_G3'!$A$8:$Z$23, T$2+8,false),if(countif('R3_G4'!$A$8:$A$23,$A59)=1,vlookup($A59,'R3_G4'!$A$8:$Z$23, T$2+8,false),""))))</f>
        <v>4</v>
      </c>
      <c r="U59" s="1427">
        <f>if(countif('R3_G1'!$A$8:$A$23,$A59)=1,vlookup($A59,'R3_G1'!$A$8:$Z$23, U$2+8,false),if(countif('R3_G2'!$A$8:$A$23,$A59)=1,vlookup($A59,'R3_G2'!$A$8:$Z$23, U$2+8,false),if(countif('R3_G3'!$A$8:$A$23,$A59)=1,vlookup($A59,'R3_G3'!$A$8:$Z$23, U$2+8,false),if(countif('R3_G4'!$A$8:$A$23,$A59)=1,vlookup($A59,'R3_G4'!$A$8:$Z$23, U$2+8,false),""))))</f>
        <v>3</v>
      </c>
      <c r="V59" s="1427">
        <f>if(countif('R3_G1'!$A$8:$A$23,$A59)=1,vlookup($A59,'R3_G1'!$A$8:$Z$23, V$2+8,false),if(countif('R3_G2'!$A$8:$A$23,$A59)=1,vlookup($A59,'R3_G2'!$A$8:$Z$23, V$2+8,false),if(countif('R3_G3'!$A$8:$A$23,$A59)=1,vlookup($A59,'R3_G3'!$A$8:$Z$23, V$2+8,false),if(countif('R3_G4'!$A$8:$A$23,$A59)=1,vlookup($A59,'R3_G4'!$A$8:$Z$23, V$2+8,false),""))))</f>
        <v>7</v>
      </c>
      <c r="W59" s="1428">
        <f t="shared" si="76"/>
        <v>44</v>
      </c>
      <c r="X59" s="1428">
        <f t="shared" si="77"/>
        <v>45</v>
      </c>
      <c r="Y59" s="1428">
        <f t="shared" si="82"/>
        <v>89</v>
      </c>
      <c r="Z59" s="1428">
        <f t="shared" si="83"/>
        <v>75</v>
      </c>
      <c r="AA59" s="1428">
        <f t="shared" si="84"/>
        <v>89</v>
      </c>
      <c r="AB59" s="1527"/>
      <c r="AC59" s="1423" t="str">
        <f t="shared" si="85"/>
        <v>Carp</v>
      </c>
      <c r="AD59" s="1424">
        <f>VLOOKUP(AC59,'Master Input'!$A$11:$L$27,10,false)</f>
        <v>14</v>
      </c>
      <c r="AE59" s="1540" t="s">
        <v>266</v>
      </c>
      <c r="AF59" s="1401"/>
      <c r="AG59" s="1428">
        <f t="shared" ref="AG59:AX59" si="99">if(E59="","",E59-IF($B59&gt;0,FLOOR($B59/18,1),0)-IF(AND(MOD($B59,18)&gt;=E$51,$B59&gt;0),1,0)+IF(E$51-18&gt;$B59,1,0))</f>
        <v>5</v>
      </c>
      <c r="AH59" s="1428">
        <f t="shared" si="99"/>
        <v>5</v>
      </c>
      <c r="AI59" s="1428">
        <f t="shared" si="99"/>
        <v>3</v>
      </c>
      <c r="AJ59" s="1428">
        <f t="shared" si="99"/>
        <v>6</v>
      </c>
      <c r="AK59" s="1428">
        <f t="shared" si="99"/>
        <v>4</v>
      </c>
      <c r="AL59" s="1428">
        <f t="shared" si="99"/>
        <v>3</v>
      </c>
      <c r="AM59" s="1428">
        <f t="shared" si="99"/>
        <v>4</v>
      </c>
      <c r="AN59" s="1428">
        <f t="shared" si="99"/>
        <v>3</v>
      </c>
      <c r="AO59" s="1428">
        <f t="shared" si="99"/>
        <v>4</v>
      </c>
      <c r="AP59" s="1429">
        <f t="shared" si="99"/>
        <v>4</v>
      </c>
      <c r="AQ59" s="1429">
        <f t="shared" si="99"/>
        <v>5</v>
      </c>
      <c r="AR59" s="1429">
        <f t="shared" si="99"/>
        <v>3</v>
      </c>
      <c r="AS59" s="1429">
        <f t="shared" si="99"/>
        <v>3</v>
      </c>
      <c r="AT59" s="1429">
        <f t="shared" si="99"/>
        <v>6</v>
      </c>
      <c r="AU59" s="1429">
        <f t="shared" si="99"/>
        <v>5</v>
      </c>
      <c r="AV59" s="1429">
        <f t="shared" si="99"/>
        <v>4</v>
      </c>
      <c r="AW59" s="1429">
        <f t="shared" si="99"/>
        <v>2</v>
      </c>
      <c r="AX59" s="1429">
        <f t="shared" si="99"/>
        <v>6</v>
      </c>
      <c r="AY59" s="1428">
        <f t="shared" si="79"/>
        <v>37</v>
      </c>
      <c r="AZ59" s="1428">
        <f t="shared" si="80"/>
        <v>38</v>
      </c>
      <c r="BA59" s="1428">
        <f t="shared" si="87"/>
        <v>75</v>
      </c>
      <c r="BB59" s="1430" t="str">
        <f>if(countif('R3_G1'!$A$8:$A$23,$A59)=1, if(and(BA59=Z59,BA59=vlookup($A59,'R3_G1'!$A$8:$AC$23, 29,false)),"yes","no"),
if(countif('R3_G2'!$A$8:$A$23,$A59)=1, if(and(BA59=Z59,BA59=vlookup($A59,'R3_G2'!$A$8:$AC$23, 29,false)),"yes","no"),
if(countif('R3_G3'!$A$8:$A$23,$A59)=1, if(and(BA59=Z59,BA59=vlookup($A59,'R3_G3'!$A$8:$AC$23, 29,false)),"yes","no"),
if(countif('R3_G4'!$A$8:$A$23,$A59)=1, if(and(BA59=Z59,BA59=vlookup($A59,'R3_G4'!$A$8:$AC$23, 29,false)),"yes","no"),
"?"))))
</f>
        <v>yes</v>
      </c>
      <c r="BC59" s="1527"/>
      <c r="BD59" s="1441">
        <f t="shared" si="88"/>
        <v>7.5</v>
      </c>
      <c r="BE59" s="1442">
        <f t="shared" si="89"/>
        <v>9.8</v>
      </c>
      <c r="BF59" s="1442">
        <f t="shared" si="90"/>
        <v>0</v>
      </c>
      <c r="BG59" s="1442">
        <f t="shared" si="91"/>
        <v>4</v>
      </c>
      <c r="BH59" s="1442">
        <f t="shared" si="92"/>
        <v>7</v>
      </c>
      <c r="BI59" s="1442">
        <f t="shared" si="93"/>
        <v>7</v>
      </c>
      <c r="BJ59" s="1442">
        <f t="shared" si="94"/>
        <v>0</v>
      </c>
    </row>
    <row r="60" ht="14.25" customHeight="1">
      <c r="A60" s="1434" t="str">
        <f t="shared" si="81"/>
        <v>Saugy</v>
      </c>
      <c r="B60" s="1435">
        <f>VLOOKUP(A60,'Master Input'!$A$11:$L$27,10,false)</f>
        <v>30</v>
      </c>
      <c r="C60" s="1436"/>
      <c r="D60" s="1401"/>
      <c r="E60" s="1437">
        <f>if(countif('R3_G1'!$A$8:$A$23,$A60)=1,vlookup($A60,'R3_G1'!$A$8:$Z$23, E$2+2,false),if(countif('R3_G2'!$A$8:$A$23,$A60)=1,vlookup($A60,'R3_G2'!$A$8:$Z$23, E$2+2,false),if(countif('R3_G3'!$A$8:$A$23,$A60)=1,vlookup($A60,'R3_G3'!$A$8:$Z$23, E$2+2,false),if(countif('R3_G4'!$A$8:$A$23,$A60)=1,vlookup($A60,'R3_G4'!$A$8:$Z$23, E$2+2,false),""))))</f>
        <v>5</v>
      </c>
      <c r="F60" s="1437">
        <f>if(countif('R3_G1'!$A$8:$A$23,$A60)=1,vlookup($A60,'R3_G1'!$A$8:$Z$23, F$2+2,false),if(countif('R3_G2'!$A$8:$A$23,$A60)=1,vlookup($A60,'R3_G2'!$A$8:$Z$23, F$2+2,false),if(countif('R3_G3'!$A$8:$A$23,$A60)=1,vlookup($A60,'R3_G3'!$A$8:$Z$23, F$2+2,false),if(countif('R3_G4'!$A$8:$A$23,$A60)=1,vlookup($A60,'R3_G4'!$A$8:$Z$23, F$2+2,false),""))))</f>
        <v>6</v>
      </c>
      <c r="G60" s="1437">
        <f>if(countif('R3_G1'!$A$8:$A$23,$A60)=1,vlookup($A60,'R3_G1'!$A$8:$Z$23, G$2+2,false),if(countif('R3_G2'!$A$8:$A$23,$A60)=1,vlookup($A60,'R3_G2'!$A$8:$Z$23, G$2+2,false),if(countif('R3_G3'!$A$8:$A$23,$A60)=1,vlookup($A60,'R3_G3'!$A$8:$Z$23, G$2+2,false),if(countif('R3_G4'!$A$8:$A$23,$A60)=1,vlookup($A60,'R3_G4'!$A$8:$Z$23, G$2+2,false),""))))</f>
        <v>6</v>
      </c>
      <c r="H60" s="1437">
        <f>if(countif('R3_G1'!$A$8:$A$23,$A60)=1,vlookup($A60,'R3_G1'!$A$8:$Z$23, H$2+2,false),if(countif('R3_G2'!$A$8:$A$23,$A60)=1,vlookup($A60,'R3_G2'!$A$8:$Z$23, H$2+2,false),if(countif('R3_G3'!$A$8:$A$23,$A60)=1,vlookup($A60,'R3_G3'!$A$8:$Z$23, H$2+2,false),if(countif('R3_G4'!$A$8:$A$23,$A60)=1,vlookup($A60,'R3_G4'!$A$8:$Z$23, H$2+2,false),""))))</f>
        <v>8</v>
      </c>
      <c r="I60" s="1437">
        <f>if(countif('R3_G1'!$A$8:$A$23,$A60)=1,vlookup($A60,'R3_G1'!$A$8:$Z$23, I$2+2,false),if(countif('R3_G2'!$A$8:$A$23,$A60)=1,vlookup($A60,'R3_G2'!$A$8:$Z$23, I$2+2,false),if(countif('R3_G3'!$A$8:$A$23,$A60)=1,vlookup($A60,'R3_G3'!$A$8:$Z$23, I$2+2,false),if(countif('R3_G4'!$A$8:$A$23,$A60)=1,vlookup($A60,'R3_G4'!$A$8:$Z$23, I$2+2,false),""))))</f>
        <v>6</v>
      </c>
      <c r="J60" s="1437">
        <f>if(countif('R3_G1'!$A$8:$A$23,$A60)=1,vlookup($A60,'R3_G1'!$A$8:$Z$23, J$2+2,false),if(countif('R3_G2'!$A$8:$A$23,$A60)=1,vlookup($A60,'R3_G2'!$A$8:$Z$23, J$2+2,false),if(countif('R3_G3'!$A$8:$A$23,$A60)=1,vlookup($A60,'R3_G3'!$A$8:$Z$23, J$2+2,false),if(countif('R3_G4'!$A$8:$A$23,$A60)=1,vlookup($A60,'R3_G4'!$A$8:$Z$23, J$2+2,false),""))))</f>
        <v>4</v>
      </c>
      <c r="K60" s="1437">
        <f>if(countif('R3_G1'!$A$8:$A$23,$A60)=1,vlookup($A60,'R3_G1'!$A$8:$Z$23, K$2+2,false),if(countif('R3_G2'!$A$8:$A$23,$A60)=1,vlookup($A60,'R3_G2'!$A$8:$Z$23, K$2+2,false),if(countif('R3_G3'!$A$8:$A$23,$A60)=1,vlookup($A60,'R3_G3'!$A$8:$Z$23, K$2+2,false),if(countif('R3_G4'!$A$8:$A$23,$A60)=1,vlookup($A60,'R3_G4'!$A$8:$Z$23, K$2+2,false),""))))</f>
        <v>6</v>
      </c>
      <c r="L60" s="1437">
        <f>if(countif('R3_G1'!$A$8:$A$23,$A60)=1,vlookup($A60,'R3_G1'!$A$8:$Z$23, L$2+2,false),if(countif('R3_G2'!$A$8:$A$23,$A60)=1,vlookup($A60,'R3_G2'!$A$8:$Z$23, L$2+2,false),if(countif('R3_G3'!$A$8:$A$23,$A60)=1,vlookup($A60,'R3_G3'!$A$8:$Z$23, L$2+2,false),if(countif('R3_G4'!$A$8:$A$23,$A60)=1,vlookup($A60,'R3_G4'!$A$8:$Z$23, L$2+2,false),""))))</f>
        <v>5</v>
      </c>
      <c r="M60" s="1437">
        <f>if(countif('R3_G1'!$A$8:$A$23,$A60)=1,vlookup($A60,'R3_G1'!$A$8:$Z$23, M$2+2,false),if(countif('R3_G2'!$A$8:$A$23,$A60)=1,vlookup($A60,'R3_G2'!$A$8:$Z$23, M$2+2,false),if(countif('R3_G3'!$A$8:$A$23,$A60)=1,vlookup($A60,'R3_G3'!$A$8:$Z$23, M$2+2,false),if(countif('R3_G4'!$A$8:$A$23,$A60)=1,vlookup($A60,'R3_G4'!$A$8:$Z$23, M$2+2,false),""))))</f>
        <v>7</v>
      </c>
      <c r="N60" s="1426">
        <f>if(countif('R3_G1'!$A$8:$A$23,$A60)=1,vlookup($A60,'R3_G1'!$A$8:$Z$23, N$2+8,false),if(countif('R3_G2'!$A$8:$A$23,$A60)=1,vlookup($A60,'R3_G2'!$A$8:$Z$23, N$2+8,false),if(countif('R3_G3'!$A$8:$A$23,$A60)=1,vlookup($A60,'R3_G3'!$A$8:$Z$23, N$2+8,false),if(countif('R3_G4'!$A$8:$A$23,$A60)=1,vlookup($A60,'R3_G4'!$A$8:$Z$23, N$2+8,false),""))))</f>
        <v>6</v>
      </c>
      <c r="O60" s="1426">
        <f>if(countif('R3_G1'!$A$8:$A$23,$A60)=1,vlookup($A60,'R3_G1'!$A$8:$Z$23, O$2+8,false),if(countif('R3_G2'!$A$8:$A$23,$A60)=1,vlookup($A60,'R3_G2'!$A$8:$Z$23, O$2+8,false),if(countif('R3_G3'!$A$8:$A$23,$A60)=1,vlookup($A60,'R3_G3'!$A$8:$Z$23, O$2+8,false),if(countif('R3_G4'!$A$8:$A$23,$A60)=1,vlookup($A60,'R3_G4'!$A$8:$Z$23, O$2+8,false),""))))</f>
        <v>5</v>
      </c>
      <c r="P60" s="1426">
        <f>if(countif('R3_G1'!$A$8:$A$23,$A60)=1,vlookup($A60,'R3_G1'!$A$8:$Z$23, P$2+8,false),if(countif('R3_G2'!$A$8:$A$23,$A60)=1,vlookup($A60,'R3_G2'!$A$8:$Z$23, P$2+8,false),if(countif('R3_G3'!$A$8:$A$23,$A60)=1,vlookup($A60,'R3_G3'!$A$8:$Z$23, P$2+8,false),if(countif('R3_G4'!$A$8:$A$23,$A60)=1,vlookup($A60,'R3_G4'!$A$8:$Z$23, P$2+8,false),""))))</f>
        <v>6</v>
      </c>
      <c r="Q60" s="1426">
        <f>if(countif('R3_G1'!$A$8:$A$23,$A60)=1,vlookup($A60,'R3_G1'!$A$8:$Z$23, Q$2+8,false),if(countif('R3_G2'!$A$8:$A$23,$A60)=1,vlookup($A60,'R3_G2'!$A$8:$Z$23, Q$2+8,false),if(countif('R3_G3'!$A$8:$A$23,$A60)=1,vlookup($A60,'R3_G3'!$A$8:$Z$23, Q$2+8,false),if(countif('R3_G4'!$A$8:$A$23,$A60)=1,vlookup($A60,'R3_G4'!$A$8:$Z$23, Q$2+8,false),""))))</f>
        <v>7</v>
      </c>
      <c r="R60" s="1426">
        <f>if(countif('R3_G1'!$A$8:$A$23,$A60)=1,vlookup($A60,'R3_G1'!$A$8:$Z$23, R$2+8,false),if(countif('R3_G2'!$A$8:$A$23,$A60)=1,vlookup($A60,'R3_G2'!$A$8:$Z$23, R$2+8,false),if(countif('R3_G3'!$A$8:$A$23,$A60)=1,vlookup($A60,'R3_G3'!$A$8:$Z$23, R$2+8,false),if(countif('R3_G4'!$A$8:$A$23,$A60)=1,vlookup($A60,'R3_G4'!$A$8:$Z$23, R$2+8,false),""))))</f>
        <v>9</v>
      </c>
      <c r="S60" s="1426">
        <f>if(countif('R3_G1'!$A$8:$A$23,$A60)=1,vlookup($A60,'R3_G1'!$A$8:$Z$23, S$2+8,false),if(countif('R3_G2'!$A$8:$A$23,$A60)=1,vlookup($A60,'R3_G2'!$A$8:$Z$23, S$2+8,false),if(countif('R3_G3'!$A$8:$A$23,$A60)=1,vlookup($A60,'R3_G3'!$A$8:$Z$23, S$2+8,false),if(countif('R3_G4'!$A$8:$A$23,$A60)=1,vlookup($A60,'R3_G4'!$A$8:$Z$23, S$2+8,false),""))))</f>
        <v>7</v>
      </c>
      <c r="T60" s="1426">
        <f>if(countif('R3_G1'!$A$8:$A$23,$A60)=1,vlookup($A60,'R3_G1'!$A$8:$Z$23, T$2+8,false),if(countif('R3_G2'!$A$8:$A$23,$A60)=1,vlookup($A60,'R3_G2'!$A$8:$Z$23, T$2+8,false),if(countif('R3_G3'!$A$8:$A$23,$A60)=1,vlookup($A60,'R3_G3'!$A$8:$Z$23, T$2+8,false),if(countif('R3_G4'!$A$8:$A$23,$A60)=1,vlookup($A60,'R3_G4'!$A$8:$Z$23, T$2+8,false),""))))</f>
        <v>4</v>
      </c>
      <c r="U60" s="1426">
        <f>if(countif('R3_G1'!$A$8:$A$23,$A60)=1,vlookup($A60,'R3_G1'!$A$8:$Z$23, U$2+8,false),if(countif('R3_G2'!$A$8:$A$23,$A60)=1,vlookup($A60,'R3_G2'!$A$8:$Z$23, U$2+8,false),if(countif('R3_G3'!$A$8:$A$23,$A60)=1,vlookup($A60,'R3_G3'!$A$8:$Z$23, U$2+8,false),if(countif('R3_G4'!$A$8:$A$23,$A60)=1,vlookup($A60,'R3_G4'!$A$8:$Z$23, U$2+8,false),""))))</f>
        <v>4</v>
      </c>
      <c r="V60" s="1426">
        <f>if(countif('R3_G1'!$A$8:$A$23,$A60)=1,vlookup($A60,'R3_G1'!$A$8:$Z$23, V$2+8,false),if(countif('R3_G2'!$A$8:$A$23,$A60)=1,vlookup($A60,'R3_G2'!$A$8:$Z$23, V$2+8,false),if(countif('R3_G3'!$A$8:$A$23,$A60)=1,vlookup($A60,'R3_G3'!$A$8:$Z$23, V$2+8,false),if(countif('R3_G4'!$A$8:$A$23,$A60)=1,vlookup($A60,'R3_G4'!$A$8:$Z$23, V$2+8,false),""))))</f>
        <v>6</v>
      </c>
      <c r="W60" s="1438">
        <f t="shared" si="76"/>
        <v>53</v>
      </c>
      <c r="X60" s="1438">
        <f t="shared" si="77"/>
        <v>54</v>
      </c>
      <c r="Y60" s="1438">
        <f t="shared" si="82"/>
        <v>107</v>
      </c>
      <c r="Z60" s="1438">
        <f t="shared" si="83"/>
        <v>77</v>
      </c>
      <c r="AA60" s="1438">
        <f t="shared" si="84"/>
        <v>107</v>
      </c>
      <c r="AB60" s="1527"/>
      <c r="AC60" s="1423" t="str">
        <f t="shared" si="85"/>
        <v>Saugy</v>
      </c>
      <c r="AD60" s="1435">
        <f>VLOOKUP(AC60,'Master Input'!$A$11:$L$27,10,false)</f>
        <v>30</v>
      </c>
      <c r="AE60" s="1539" t="s">
        <v>266</v>
      </c>
      <c r="AF60" s="1401"/>
      <c r="AG60" s="1438">
        <f t="shared" ref="AG60:AX60" si="100">if(E60="","",E60-IF($B60&gt;0,FLOOR($B60/18,1),0)-IF(AND(MOD($B60,18)&gt;=E$51,$B60&gt;0),1,0)+IF(E$51-18&gt;$B60,1,0))</f>
        <v>3</v>
      </c>
      <c r="AH60" s="1438">
        <f t="shared" si="100"/>
        <v>5</v>
      </c>
      <c r="AI60" s="1438">
        <f t="shared" si="100"/>
        <v>5</v>
      </c>
      <c r="AJ60" s="1438">
        <f t="shared" si="100"/>
        <v>6</v>
      </c>
      <c r="AK60" s="1438">
        <f t="shared" si="100"/>
        <v>4</v>
      </c>
      <c r="AL60" s="1438">
        <f t="shared" si="100"/>
        <v>2</v>
      </c>
      <c r="AM60" s="1438">
        <f t="shared" si="100"/>
        <v>5</v>
      </c>
      <c r="AN60" s="1438">
        <f t="shared" si="100"/>
        <v>3</v>
      </c>
      <c r="AO60" s="1438">
        <f t="shared" si="100"/>
        <v>5</v>
      </c>
      <c r="AP60" s="1426">
        <f t="shared" si="100"/>
        <v>4</v>
      </c>
      <c r="AQ60" s="1426">
        <f t="shared" si="100"/>
        <v>3</v>
      </c>
      <c r="AR60" s="1426">
        <f t="shared" si="100"/>
        <v>5</v>
      </c>
      <c r="AS60" s="1426">
        <f t="shared" si="100"/>
        <v>6</v>
      </c>
      <c r="AT60" s="1426">
        <f t="shared" si="100"/>
        <v>7</v>
      </c>
      <c r="AU60" s="1426">
        <f t="shared" si="100"/>
        <v>5</v>
      </c>
      <c r="AV60" s="1426">
        <f t="shared" si="100"/>
        <v>3</v>
      </c>
      <c r="AW60" s="1426">
        <f t="shared" si="100"/>
        <v>2</v>
      </c>
      <c r="AX60" s="1426">
        <f t="shared" si="100"/>
        <v>4</v>
      </c>
      <c r="AY60" s="1438">
        <f t="shared" si="79"/>
        <v>38</v>
      </c>
      <c r="AZ60" s="1438">
        <f t="shared" si="80"/>
        <v>39</v>
      </c>
      <c r="BA60" s="1438">
        <f t="shared" si="87"/>
        <v>77</v>
      </c>
      <c r="BB60" s="1436" t="str">
        <f>if(countif('R3_G1'!$A$8:$A$23,$A60)=1, if(and(BA60=Z60,BA60=vlookup($A60,'R3_G1'!$A$8:$AC$23, 29,false)),"yes","no"),
if(countif('R3_G2'!$A$8:$A$23,$A60)=1, if(and(BA60=Z60,BA60=vlookup($A60,'R3_G2'!$A$8:$AC$23, 29,false)),"yes","no"),
if(countif('R3_G3'!$A$8:$A$23,$A60)=1, if(and(BA60=Z60,BA60=vlookup($A60,'R3_G3'!$A$8:$AC$23, 29,false)),"yes","no"),
if(countif('R3_G4'!$A$8:$A$23,$A60)=1, if(and(BA60=Z60,BA60=vlookup($A60,'R3_G4'!$A$8:$AC$23, 29,false)),"yes","no"),
"?"))))
</f>
        <v>yes</v>
      </c>
      <c r="BC60" s="1527"/>
      <c r="BD60" s="1439">
        <f t="shared" si="88"/>
        <v>8</v>
      </c>
      <c r="BE60" s="1440">
        <f t="shared" si="89"/>
        <v>9.2</v>
      </c>
      <c r="BF60" s="1440">
        <f t="shared" si="90"/>
        <v>1</v>
      </c>
      <c r="BG60" s="1440">
        <f t="shared" si="91"/>
        <v>5</v>
      </c>
      <c r="BH60" s="1440">
        <f t="shared" si="92"/>
        <v>4</v>
      </c>
      <c r="BI60" s="1440">
        <f t="shared" si="93"/>
        <v>4</v>
      </c>
      <c r="BJ60" s="1440">
        <f t="shared" si="94"/>
        <v>4</v>
      </c>
    </row>
    <row r="61" ht="14.25" customHeight="1">
      <c r="A61" s="1423" t="str">
        <f t="shared" si="81"/>
        <v>Telly</v>
      </c>
      <c r="B61" s="1424">
        <f>VLOOKUP(A61,'Master Input'!$A$11:$L$27,10,false)</f>
        <v>2</v>
      </c>
      <c r="C61" s="1430"/>
      <c r="D61" s="1401"/>
      <c r="E61" s="1426">
        <f>if(countif('R3_G1'!$A$8:$A$23,$A61)=1,vlookup($A61,'R3_G1'!$A$8:$Z$23, E$2+2,false),if(countif('R3_G2'!$A$8:$A$23,$A61)=1,vlookup($A61,'R3_G2'!$A$8:$Z$23, E$2+2,false),if(countif('R3_G3'!$A$8:$A$23,$A61)=1,vlookup($A61,'R3_G3'!$A$8:$Z$23, E$2+2,false),if(countif('R3_G4'!$A$8:$A$23,$A61)=1,vlookup($A61,'R3_G4'!$A$8:$Z$23, E$2+2,false),""))))</f>
        <v>5</v>
      </c>
      <c r="F61" s="1426">
        <f>if(countif('R3_G1'!$A$8:$A$23,$A61)=1,vlookup($A61,'R3_G1'!$A$8:$Z$23, F$2+2,false),if(countif('R3_G2'!$A$8:$A$23,$A61)=1,vlookup($A61,'R3_G2'!$A$8:$Z$23, F$2+2,false),if(countif('R3_G3'!$A$8:$A$23,$A61)=1,vlookup($A61,'R3_G3'!$A$8:$Z$23, F$2+2,false),if(countif('R3_G4'!$A$8:$A$23,$A61)=1,vlookup($A61,'R3_G4'!$A$8:$Z$23, F$2+2,false),""))))</f>
        <v>5</v>
      </c>
      <c r="G61" s="1426">
        <f>if(countif('R3_G1'!$A$8:$A$23,$A61)=1,vlookup($A61,'R3_G1'!$A$8:$Z$23, G$2+2,false),if(countif('R3_G2'!$A$8:$A$23,$A61)=1,vlookup($A61,'R3_G2'!$A$8:$Z$23, G$2+2,false),if(countif('R3_G3'!$A$8:$A$23,$A61)=1,vlookup($A61,'R3_G3'!$A$8:$Z$23, G$2+2,false),if(countif('R3_G4'!$A$8:$A$23,$A61)=1,vlookup($A61,'R3_G4'!$A$8:$Z$23, G$2+2,false),""))))</f>
        <v>3</v>
      </c>
      <c r="H61" s="1426">
        <f>if(countif('R3_G1'!$A$8:$A$23,$A61)=1,vlookup($A61,'R3_G1'!$A$8:$Z$23, H$2+2,false),if(countif('R3_G2'!$A$8:$A$23,$A61)=1,vlookup($A61,'R3_G2'!$A$8:$Z$23, H$2+2,false),if(countif('R3_G3'!$A$8:$A$23,$A61)=1,vlookup($A61,'R3_G3'!$A$8:$Z$23, H$2+2,false),if(countif('R3_G4'!$A$8:$A$23,$A61)=1,vlookup($A61,'R3_G4'!$A$8:$Z$23, H$2+2,false),""))))</f>
        <v>6</v>
      </c>
      <c r="I61" s="1426">
        <f>if(countif('R3_G1'!$A$8:$A$23,$A61)=1,vlookup($A61,'R3_G1'!$A$8:$Z$23, I$2+2,false),if(countif('R3_G2'!$A$8:$A$23,$A61)=1,vlookup($A61,'R3_G2'!$A$8:$Z$23, I$2+2,false),if(countif('R3_G3'!$A$8:$A$23,$A61)=1,vlookup($A61,'R3_G3'!$A$8:$Z$23, I$2+2,false),if(countif('R3_G4'!$A$8:$A$23,$A61)=1,vlookup($A61,'R3_G4'!$A$8:$Z$23, I$2+2,false),""))))</f>
        <v>5</v>
      </c>
      <c r="J61" s="1426">
        <f>if(countif('R3_G1'!$A$8:$A$23,$A61)=1,vlookup($A61,'R3_G1'!$A$8:$Z$23, J$2+2,false),if(countif('R3_G2'!$A$8:$A$23,$A61)=1,vlookup($A61,'R3_G2'!$A$8:$Z$23, J$2+2,false),if(countif('R3_G3'!$A$8:$A$23,$A61)=1,vlookup($A61,'R3_G3'!$A$8:$Z$23, J$2+2,false),if(countif('R3_G4'!$A$8:$A$23,$A61)=1,vlookup($A61,'R3_G4'!$A$8:$Z$23, J$2+2,false),""))))</f>
        <v>5</v>
      </c>
      <c r="K61" s="1426">
        <f>if(countif('R3_G1'!$A$8:$A$23,$A61)=1,vlookup($A61,'R3_G1'!$A$8:$Z$23, K$2+2,false),if(countif('R3_G2'!$A$8:$A$23,$A61)=1,vlookup($A61,'R3_G2'!$A$8:$Z$23, K$2+2,false),if(countif('R3_G3'!$A$8:$A$23,$A61)=1,vlookup($A61,'R3_G3'!$A$8:$Z$23, K$2+2,false),if(countif('R3_G4'!$A$8:$A$23,$A61)=1,vlookup($A61,'R3_G4'!$A$8:$Z$23, K$2+2,false),""))))</f>
        <v>4</v>
      </c>
      <c r="L61" s="1426">
        <f>if(countif('R3_G1'!$A$8:$A$23,$A61)=1,vlookup($A61,'R3_G1'!$A$8:$Z$23, L$2+2,false),if(countif('R3_G2'!$A$8:$A$23,$A61)=1,vlookup($A61,'R3_G2'!$A$8:$Z$23, L$2+2,false),if(countif('R3_G3'!$A$8:$A$23,$A61)=1,vlookup($A61,'R3_G3'!$A$8:$Z$23, L$2+2,false),if(countif('R3_G4'!$A$8:$A$23,$A61)=1,vlookup($A61,'R3_G4'!$A$8:$Z$23, L$2+2,false),""))))</f>
        <v>4</v>
      </c>
      <c r="M61" s="1426">
        <f>if(countif('R3_G1'!$A$8:$A$23,$A61)=1,vlookup($A61,'R3_G1'!$A$8:$Z$23, M$2+2,false),if(countif('R3_G2'!$A$8:$A$23,$A61)=1,vlookup($A61,'R3_G2'!$A$8:$Z$23, M$2+2,false),if(countif('R3_G3'!$A$8:$A$23,$A61)=1,vlookup($A61,'R3_G3'!$A$8:$Z$23, M$2+2,false),if(countif('R3_G4'!$A$8:$A$23,$A61)=1,vlookup($A61,'R3_G4'!$A$8:$Z$23, M$2+2,false),""))))</f>
        <v>5</v>
      </c>
      <c r="N61" s="1427">
        <f>if(countif('R3_G1'!$A$8:$A$23,$A61)=1,vlookup($A61,'R3_G1'!$A$8:$Z$23, N$2+8,false),if(countif('R3_G2'!$A$8:$A$23,$A61)=1,vlookup($A61,'R3_G2'!$A$8:$Z$23, N$2+8,false),if(countif('R3_G3'!$A$8:$A$23,$A61)=1,vlookup($A61,'R3_G3'!$A$8:$Z$23, N$2+8,false),if(countif('R3_G4'!$A$8:$A$23,$A61)=1,vlookup($A61,'R3_G4'!$A$8:$Z$23, N$2+8,false),""))))</f>
        <v>4</v>
      </c>
      <c r="O61" s="1427">
        <f>if(countif('R3_G1'!$A$8:$A$23,$A61)=1,vlookup($A61,'R3_G1'!$A$8:$Z$23, O$2+8,false),if(countif('R3_G2'!$A$8:$A$23,$A61)=1,vlookup($A61,'R3_G2'!$A$8:$Z$23, O$2+8,false),if(countif('R3_G3'!$A$8:$A$23,$A61)=1,vlookup($A61,'R3_G3'!$A$8:$Z$23, O$2+8,false),if(countif('R3_G4'!$A$8:$A$23,$A61)=1,vlookup($A61,'R3_G4'!$A$8:$Z$23, O$2+8,false),""))))</f>
        <v>5</v>
      </c>
      <c r="P61" s="1427">
        <f>if(countif('R3_G1'!$A$8:$A$23,$A61)=1,vlookup($A61,'R3_G1'!$A$8:$Z$23, P$2+8,false),if(countif('R3_G2'!$A$8:$A$23,$A61)=1,vlookup($A61,'R3_G2'!$A$8:$Z$23, P$2+8,false),if(countif('R3_G3'!$A$8:$A$23,$A61)=1,vlookup($A61,'R3_G3'!$A$8:$Z$23, P$2+8,false),if(countif('R3_G4'!$A$8:$A$23,$A61)=1,vlookup($A61,'R3_G4'!$A$8:$Z$23, P$2+8,false),""))))</f>
        <v>3</v>
      </c>
      <c r="Q61" s="1427">
        <f>if(countif('R3_G1'!$A$8:$A$23,$A61)=1,vlookup($A61,'R3_G1'!$A$8:$Z$23, Q$2+8,false),if(countif('R3_G2'!$A$8:$A$23,$A61)=1,vlookup($A61,'R3_G2'!$A$8:$Z$23, Q$2+8,false),if(countif('R3_G3'!$A$8:$A$23,$A61)=1,vlookup($A61,'R3_G3'!$A$8:$Z$23, Q$2+8,false),if(countif('R3_G4'!$A$8:$A$23,$A61)=1,vlookup($A61,'R3_G4'!$A$8:$Z$23, Q$2+8,false),""))))</f>
        <v>6</v>
      </c>
      <c r="R61" s="1427">
        <f>if(countif('R3_G1'!$A$8:$A$23,$A61)=1,vlookup($A61,'R3_G1'!$A$8:$Z$23, R$2+8,false),if(countif('R3_G2'!$A$8:$A$23,$A61)=1,vlookup($A61,'R3_G2'!$A$8:$Z$23, R$2+8,false),if(countif('R3_G3'!$A$8:$A$23,$A61)=1,vlookup($A61,'R3_G3'!$A$8:$Z$23, R$2+8,false),if(countif('R3_G4'!$A$8:$A$23,$A61)=1,vlookup($A61,'R3_G4'!$A$8:$Z$23, R$2+8,false),""))))</f>
        <v>7</v>
      </c>
      <c r="S61" s="1427">
        <f>if(countif('R3_G1'!$A$8:$A$23,$A61)=1,vlookup($A61,'R3_G1'!$A$8:$Z$23, S$2+8,false),if(countif('R3_G2'!$A$8:$A$23,$A61)=1,vlookup($A61,'R3_G2'!$A$8:$Z$23, S$2+8,false),if(countif('R3_G3'!$A$8:$A$23,$A61)=1,vlookup($A61,'R3_G3'!$A$8:$Z$23, S$2+8,false),if(countif('R3_G4'!$A$8:$A$23,$A61)=1,vlookup($A61,'R3_G4'!$A$8:$Z$23, S$2+8,false),""))))</f>
        <v>4</v>
      </c>
      <c r="T61" s="1427">
        <f>if(countif('R3_G1'!$A$8:$A$23,$A61)=1,vlookup($A61,'R3_G1'!$A$8:$Z$23, T$2+8,false),if(countif('R3_G2'!$A$8:$A$23,$A61)=1,vlookup($A61,'R3_G2'!$A$8:$Z$23, T$2+8,false),if(countif('R3_G3'!$A$8:$A$23,$A61)=1,vlookup($A61,'R3_G3'!$A$8:$Z$23, T$2+8,false),if(countif('R3_G4'!$A$8:$A$23,$A61)=1,vlookup($A61,'R3_G4'!$A$8:$Z$23, T$2+8,false),""))))</f>
        <v>5</v>
      </c>
      <c r="U61" s="1427">
        <f>if(countif('R3_G1'!$A$8:$A$23,$A61)=1,vlookup($A61,'R3_G1'!$A$8:$Z$23, U$2+8,false),if(countif('R3_G2'!$A$8:$A$23,$A61)=1,vlookup($A61,'R3_G2'!$A$8:$Z$23, U$2+8,false),if(countif('R3_G3'!$A$8:$A$23,$A61)=1,vlookup($A61,'R3_G3'!$A$8:$Z$23, U$2+8,false),if(countif('R3_G4'!$A$8:$A$23,$A61)=1,vlookup($A61,'R3_G4'!$A$8:$Z$23, U$2+8,false),""))))</f>
        <v>4</v>
      </c>
      <c r="V61" s="1427">
        <f>if(countif('R3_G1'!$A$8:$A$23,$A61)=1,vlookup($A61,'R3_G1'!$A$8:$Z$23, V$2+8,false),if(countif('R3_G2'!$A$8:$A$23,$A61)=1,vlookup($A61,'R3_G2'!$A$8:$Z$23, V$2+8,false),if(countif('R3_G3'!$A$8:$A$23,$A61)=1,vlookup($A61,'R3_G3'!$A$8:$Z$23, V$2+8,false),if(countif('R3_G4'!$A$8:$A$23,$A61)=1,vlookup($A61,'R3_G4'!$A$8:$Z$23, V$2+8,false),""))))</f>
        <v>5</v>
      </c>
      <c r="W61" s="1428">
        <f t="shared" si="76"/>
        <v>42</v>
      </c>
      <c r="X61" s="1428">
        <f t="shared" si="77"/>
        <v>43</v>
      </c>
      <c r="Y61" s="1428">
        <f t="shared" si="82"/>
        <v>85</v>
      </c>
      <c r="Z61" s="1428">
        <f t="shared" si="83"/>
        <v>83</v>
      </c>
      <c r="AA61" s="1428">
        <f t="shared" si="84"/>
        <v>85</v>
      </c>
      <c r="AB61" s="1527"/>
      <c r="AC61" s="1423" t="str">
        <f t="shared" si="85"/>
        <v>Telly</v>
      </c>
      <c r="AD61" s="1424">
        <f>VLOOKUP(AC61,'Master Input'!$A$11:$L$27,10,false)</f>
        <v>2</v>
      </c>
      <c r="AE61" s="1540" t="s">
        <v>266</v>
      </c>
      <c r="AF61" s="1401"/>
      <c r="AG61" s="1428">
        <f t="shared" ref="AG61:AX61" si="101">if(E61="","",E61-IF($B61&gt;0,FLOOR($B61/18,1),0)-IF(AND(MOD($B61,18)&gt;=E$51,$B61&gt;0),1,0)+IF(E$51-18&gt;$B61,1,0))</f>
        <v>5</v>
      </c>
      <c r="AH61" s="1428">
        <f t="shared" si="101"/>
        <v>5</v>
      </c>
      <c r="AI61" s="1428">
        <f t="shared" si="101"/>
        <v>3</v>
      </c>
      <c r="AJ61" s="1428">
        <f t="shared" si="101"/>
        <v>5</v>
      </c>
      <c r="AK61" s="1428">
        <f t="shared" si="101"/>
        <v>5</v>
      </c>
      <c r="AL61" s="1428">
        <f t="shared" si="101"/>
        <v>5</v>
      </c>
      <c r="AM61" s="1428">
        <f t="shared" si="101"/>
        <v>4</v>
      </c>
      <c r="AN61" s="1428">
        <f t="shared" si="101"/>
        <v>4</v>
      </c>
      <c r="AO61" s="1428">
        <f t="shared" si="101"/>
        <v>5</v>
      </c>
      <c r="AP61" s="1429">
        <f t="shared" si="101"/>
        <v>4</v>
      </c>
      <c r="AQ61" s="1429">
        <f t="shared" si="101"/>
        <v>5</v>
      </c>
      <c r="AR61" s="1429">
        <f t="shared" si="101"/>
        <v>3</v>
      </c>
      <c r="AS61" s="1429">
        <f t="shared" si="101"/>
        <v>6</v>
      </c>
      <c r="AT61" s="1429">
        <f t="shared" si="101"/>
        <v>6</v>
      </c>
      <c r="AU61" s="1429">
        <f t="shared" si="101"/>
        <v>4</v>
      </c>
      <c r="AV61" s="1429">
        <f t="shared" si="101"/>
        <v>5</v>
      </c>
      <c r="AW61" s="1429">
        <f t="shared" si="101"/>
        <v>4</v>
      </c>
      <c r="AX61" s="1429">
        <f t="shared" si="101"/>
        <v>5</v>
      </c>
      <c r="AY61" s="1428">
        <f t="shared" si="79"/>
        <v>41</v>
      </c>
      <c r="AZ61" s="1428">
        <f t="shared" si="80"/>
        <v>42</v>
      </c>
      <c r="BA61" s="1428">
        <f t="shared" si="87"/>
        <v>83</v>
      </c>
      <c r="BB61" s="1430" t="str">
        <f>if(countif('R3_G1'!$A$8:$A$23,$A61)=1, if(and(BA61=Z61,BA61=vlookup($A61,'R3_G1'!$A$8:$AC$23, 29,false)),"yes","no"),
if(countif('R3_G2'!$A$8:$A$23,$A61)=1, if(and(BA61=Z61,BA61=vlookup($A61,'R3_G2'!$A$8:$AC$23, 29,false)),"yes","no"),
if(countif('R3_G3'!$A$8:$A$23,$A61)=1, if(and(BA61=Z61,BA61=vlookup($A61,'R3_G3'!$A$8:$AC$23, 29,false)),"yes","no"),
if(countif('R3_G4'!$A$8:$A$23,$A61)=1, if(and(BA61=Z61,BA61=vlookup($A61,'R3_G4'!$A$8:$AC$23, 29,false)),"yes","no"),
"?"))))
</f>
        <v>yes</v>
      </c>
      <c r="BC61" s="1527"/>
      <c r="BD61" s="1441">
        <f t="shared" si="88"/>
        <v>4</v>
      </c>
      <c r="BE61" s="1442">
        <f t="shared" si="89"/>
        <v>6.766666667</v>
      </c>
      <c r="BF61" s="1442">
        <f t="shared" si="90"/>
        <v>0</v>
      </c>
      <c r="BG61" s="1442">
        <f t="shared" si="91"/>
        <v>0</v>
      </c>
      <c r="BH61" s="1442">
        <f t="shared" si="92"/>
        <v>8</v>
      </c>
      <c r="BI61" s="1442">
        <f t="shared" si="93"/>
        <v>9</v>
      </c>
      <c r="BJ61" s="1442">
        <f t="shared" si="94"/>
        <v>1</v>
      </c>
    </row>
    <row r="62" ht="14.25" customHeight="1">
      <c r="A62" s="1434" t="str">
        <f t="shared" si="81"/>
        <v>KJ</v>
      </c>
      <c r="B62" s="1435">
        <f>VLOOKUP(A62,'Master Input'!$A$11:$L$27,10,false)</f>
        <v>5</v>
      </c>
      <c r="C62" s="1436"/>
      <c r="D62" s="1401"/>
      <c r="E62" s="1437">
        <f>if(countif('R3_G1'!$A$8:$A$23,$A62)=1,vlookup($A62,'R3_G1'!$A$8:$Z$23, E$2+2,false),if(countif('R3_G2'!$A$8:$A$23,$A62)=1,vlookup($A62,'R3_G2'!$A$8:$Z$23, E$2+2,false),if(countif('R3_G3'!$A$8:$A$23,$A62)=1,vlookup($A62,'R3_G3'!$A$8:$Z$23, E$2+2,false),if(countif('R3_G4'!$A$8:$A$23,$A62)=1,vlookup($A62,'R3_G4'!$A$8:$Z$23, E$2+2,false),""))))</f>
        <v>4</v>
      </c>
      <c r="F62" s="1437">
        <f>if(countif('R3_G1'!$A$8:$A$23,$A62)=1,vlookup($A62,'R3_G1'!$A$8:$Z$23, F$2+2,false),if(countif('R3_G2'!$A$8:$A$23,$A62)=1,vlookup($A62,'R3_G2'!$A$8:$Z$23, F$2+2,false),if(countif('R3_G3'!$A$8:$A$23,$A62)=1,vlookup($A62,'R3_G3'!$A$8:$Z$23, F$2+2,false),if(countif('R3_G4'!$A$8:$A$23,$A62)=1,vlookup($A62,'R3_G4'!$A$8:$Z$23, F$2+2,false),""))))</f>
        <v>5</v>
      </c>
      <c r="G62" s="1437">
        <f>if(countif('R3_G1'!$A$8:$A$23,$A62)=1,vlookup($A62,'R3_G1'!$A$8:$Z$23, G$2+2,false),if(countif('R3_G2'!$A$8:$A$23,$A62)=1,vlookup($A62,'R3_G2'!$A$8:$Z$23, G$2+2,false),if(countif('R3_G3'!$A$8:$A$23,$A62)=1,vlookup($A62,'R3_G3'!$A$8:$Z$23, G$2+2,false),if(countif('R3_G4'!$A$8:$A$23,$A62)=1,vlookup($A62,'R3_G4'!$A$8:$Z$23, G$2+2,false),""))))</f>
        <v>4</v>
      </c>
      <c r="H62" s="1437">
        <f>if(countif('R3_G1'!$A$8:$A$23,$A62)=1,vlookup($A62,'R3_G1'!$A$8:$Z$23, H$2+2,false),if(countif('R3_G2'!$A$8:$A$23,$A62)=1,vlookup($A62,'R3_G2'!$A$8:$Z$23, H$2+2,false),if(countif('R3_G3'!$A$8:$A$23,$A62)=1,vlookup($A62,'R3_G3'!$A$8:$Z$23, H$2+2,false),if(countif('R3_G4'!$A$8:$A$23,$A62)=1,vlookup($A62,'R3_G4'!$A$8:$Z$23, H$2+2,false),""))))</f>
        <v>6</v>
      </c>
      <c r="I62" s="1437">
        <f>if(countif('R3_G1'!$A$8:$A$23,$A62)=1,vlookup($A62,'R3_G1'!$A$8:$Z$23, I$2+2,false),if(countif('R3_G2'!$A$8:$A$23,$A62)=1,vlookup($A62,'R3_G2'!$A$8:$Z$23, I$2+2,false),if(countif('R3_G3'!$A$8:$A$23,$A62)=1,vlookup($A62,'R3_G3'!$A$8:$Z$23, I$2+2,false),if(countif('R3_G4'!$A$8:$A$23,$A62)=1,vlookup($A62,'R3_G4'!$A$8:$Z$23, I$2+2,false),""))))</f>
        <v>5</v>
      </c>
      <c r="J62" s="1437">
        <f>if(countif('R3_G1'!$A$8:$A$23,$A62)=1,vlookup($A62,'R3_G1'!$A$8:$Z$23, J$2+2,false),if(countif('R3_G2'!$A$8:$A$23,$A62)=1,vlookup($A62,'R3_G2'!$A$8:$Z$23, J$2+2,false),if(countif('R3_G3'!$A$8:$A$23,$A62)=1,vlookup($A62,'R3_G3'!$A$8:$Z$23, J$2+2,false),if(countif('R3_G4'!$A$8:$A$23,$A62)=1,vlookup($A62,'R3_G4'!$A$8:$Z$23, J$2+2,false),""))))</f>
        <v>4</v>
      </c>
      <c r="K62" s="1437">
        <f>if(countif('R3_G1'!$A$8:$A$23,$A62)=1,vlookup($A62,'R3_G1'!$A$8:$Z$23, K$2+2,false),if(countif('R3_G2'!$A$8:$A$23,$A62)=1,vlookup($A62,'R3_G2'!$A$8:$Z$23, K$2+2,false),if(countif('R3_G3'!$A$8:$A$23,$A62)=1,vlookup($A62,'R3_G3'!$A$8:$Z$23, K$2+2,false),if(countif('R3_G4'!$A$8:$A$23,$A62)=1,vlookup($A62,'R3_G4'!$A$8:$Z$23, K$2+2,false),""))))</f>
        <v>5</v>
      </c>
      <c r="L62" s="1437">
        <f>if(countif('R3_G1'!$A$8:$A$23,$A62)=1,vlookup($A62,'R3_G1'!$A$8:$Z$23, L$2+2,false),if(countif('R3_G2'!$A$8:$A$23,$A62)=1,vlookup($A62,'R3_G2'!$A$8:$Z$23, L$2+2,false),if(countif('R3_G3'!$A$8:$A$23,$A62)=1,vlookup($A62,'R3_G3'!$A$8:$Z$23, L$2+2,false),if(countif('R3_G4'!$A$8:$A$23,$A62)=1,vlookup($A62,'R3_G4'!$A$8:$Z$23, L$2+2,false),""))))</f>
        <v>4</v>
      </c>
      <c r="M62" s="1437">
        <f>if(countif('R3_G1'!$A$8:$A$23,$A62)=1,vlookup($A62,'R3_G1'!$A$8:$Z$23, M$2+2,false),if(countif('R3_G2'!$A$8:$A$23,$A62)=1,vlookup($A62,'R3_G2'!$A$8:$Z$23, M$2+2,false),if(countif('R3_G3'!$A$8:$A$23,$A62)=1,vlookup($A62,'R3_G3'!$A$8:$Z$23, M$2+2,false),if(countif('R3_G4'!$A$8:$A$23,$A62)=1,vlookup($A62,'R3_G4'!$A$8:$Z$23, M$2+2,false),""))))</f>
        <v>8</v>
      </c>
      <c r="N62" s="1426">
        <f>if(countif('R3_G1'!$A$8:$A$23,$A62)=1,vlookup($A62,'R3_G1'!$A$8:$Z$23, N$2+8,false),if(countif('R3_G2'!$A$8:$A$23,$A62)=1,vlookup($A62,'R3_G2'!$A$8:$Z$23, N$2+8,false),if(countif('R3_G3'!$A$8:$A$23,$A62)=1,vlookup($A62,'R3_G3'!$A$8:$Z$23, N$2+8,false),if(countif('R3_G4'!$A$8:$A$23,$A62)=1,vlookup($A62,'R3_G4'!$A$8:$Z$23, N$2+8,false),""))))</f>
        <v>5</v>
      </c>
      <c r="O62" s="1426">
        <f>if(countif('R3_G1'!$A$8:$A$23,$A62)=1,vlookup($A62,'R3_G1'!$A$8:$Z$23, O$2+8,false),if(countif('R3_G2'!$A$8:$A$23,$A62)=1,vlookup($A62,'R3_G2'!$A$8:$Z$23, O$2+8,false),if(countif('R3_G3'!$A$8:$A$23,$A62)=1,vlookup($A62,'R3_G3'!$A$8:$Z$23, O$2+8,false),if(countif('R3_G4'!$A$8:$A$23,$A62)=1,vlookup($A62,'R3_G4'!$A$8:$Z$23, O$2+8,false),""))))</f>
        <v>4</v>
      </c>
      <c r="P62" s="1426">
        <f>if(countif('R3_G1'!$A$8:$A$23,$A62)=1,vlookup($A62,'R3_G1'!$A$8:$Z$23, P$2+8,false),if(countif('R3_G2'!$A$8:$A$23,$A62)=1,vlookup($A62,'R3_G2'!$A$8:$Z$23, P$2+8,false),if(countif('R3_G3'!$A$8:$A$23,$A62)=1,vlookup($A62,'R3_G3'!$A$8:$Z$23, P$2+8,false),if(countif('R3_G4'!$A$8:$A$23,$A62)=1,vlookup($A62,'R3_G4'!$A$8:$Z$23, P$2+8,false),""))))</f>
        <v>5</v>
      </c>
      <c r="Q62" s="1426">
        <f>if(countif('R3_G1'!$A$8:$A$23,$A62)=1,vlookup($A62,'R3_G1'!$A$8:$Z$23, Q$2+8,false),if(countif('R3_G2'!$A$8:$A$23,$A62)=1,vlookup($A62,'R3_G2'!$A$8:$Z$23, Q$2+8,false),if(countif('R3_G3'!$A$8:$A$23,$A62)=1,vlookup($A62,'R3_G3'!$A$8:$Z$23, Q$2+8,false),if(countif('R3_G4'!$A$8:$A$23,$A62)=1,vlookup($A62,'R3_G4'!$A$8:$Z$23, Q$2+8,false),""))))</f>
        <v>5</v>
      </c>
      <c r="R62" s="1426">
        <f>if(countif('R3_G1'!$A$8:$A$23,$A62)=1,vlookup($A62,'R3_G1'!$A$8:$Z$23, R$2+8,false),if(countif('R3_G2'!$A$8:$A$23,$A62)=1,vlookup($A62,'R3_G2'!$A$8:$Z$23, R$2+8,false),if(countif('R3_G3'!$A$8:$A$23,$A62)=1,vlookup($A62,'R3_G3'!$A$8:$Z$23, R$2+8,false),if(countif('R3_G4'!$A$8:$A$23,$A62)=1,vlookup($A62,'R3_G4'!$A$8:$Z$23, R$2+8,false),""))))</f>
        <v>7</v>
      </c>
      <c r="S62" s="1426">
        <f>if(countif('R3_G1'!$A$8:$A$23,$A62)=1,vlookup($A62,'R3_G1'!$A$8:$Z$23, S$2+8,false),if(countif('R3_G2'!$A$8:$A$23,$A62)=1,vlookup($A62,'R3_G2'!$A$8:$Z$23, S$2+8,false),if(countif('R3_G3'!$A$8:$A$23,$A62)=1,vlookup($A62,'R3_G3'!$A$8:$Z$23, S$2+8,false),if(countif('R3_G4'!$A$8:$A$23,$A62)=1,vlookup($A62,'R3_G4'!$A$8:$Z$23, S$2+8,false),""))))</f>
        <v>6</v>
      </c>
      <c r="T62" s="1426">
        <f>if(countif('R3_G1'!$A$8:$A$23,$A62)=1,vlookup($A62,'R3_G1'!$A$8:$Z$23, T$2+8,false),if(countif('R3_G2'!$A$8:$A$23,$A62)=1,vlookup($A62,'R3_G2'!$A$8:$Z$23, T$2+8,false),if(countif('R3_G3'!$A$8:$A$23,$A62)=1,vlookup($A62,'R3_G3'!$A$8:$Z$23, T$2+8,false),if(countif('R3_G4'!$A$8:$A$23,$A62)=1,vlookup($A62,'R3_G4'!$A$8:$Z$23, T$2+8,false),""))))</f>
        <v>5</v>
      </c>
      <c r="U62" s="1426">
        <f>if(countif('R3_G1'!$A$8:$A$23,$A62)=1,vlookup($A62,'R3_G1'!$A$8:$Z$23, U$2+8,false),if(countif('R3_G2'!$A$8:$A$23,$A62)=1,vlookup($A62,'R3_G2'!$A$8:$Z$23, U$2+8,false),if(countif('R3_G3'!$A$8:$A$23,$A62)=1,vlookup($A62,'R3_G3'!$A$8:$Z$23, U$2+8,false),if(countif('R3_G4'!$A$8:$A$23,$A62)=1,vlookup($A62,'R3_G4'!$A$8:$Z$23, U$2+8,false),""))))</f>
        <v>3</v>
      </c>
      <c r="V62" s="1426">
        <f>if(countif('R3_G1'!$A$8:$A$23,$A62)=1,vlookup($A62,'R3_G1'!$A$8:$Z$23, V$2+8,false),if(countif('R3_G2'!$A$8:$A$23,$A62)=1,vlookup($A62,'R3_G2'!$A$8:$Z$23, V$2+8,false),if(countif('R3_G3'!$A$8:$A$23,$A62)=1,vlookup($A62,'R3_G3'!$A$8:$Z$23, V$2+8,false),if(countif('R3_G4'!$A$8:$A$23,$A62)=1,vlookup($A62,'R3_G4'!$A$8:$Z$23, V$2+8,false),""))))</f>
        <v>5</v>
      </c>
      <c r="W62" s="1438">
        <f t="shared" si="76"/>
        <v>45</v>
      </c>
      <c r="X62" s="1438">
        <f t="shared" si="77"/>
        <v>45</v>
      </c>
      <c r="Y62" s="1438">
        <f t="shared" si="82"/>
        <v>90</v>
      </c>
      <c r="Z62" s="1438">
        <f t="shared" si="83"/>
        <v>85</v>
      </c>
      <c r="AA62" s="1438">
        <f t="shared" si="84"/>
        <v>90</v>
      </c>
      <c r="AB62" s="1527"/>
      <c r="AC62" s="1423" t="str">
        <f t="shared" si="85"/>
        <v>KJ</v>
      </c>
      <c r="AD62" s="1435">
        <f>VLOOKUP(AC62,'Master Input'!$A$11:$L$27,10,false)</f>
        <v>5</v>
      </c>
      <c r="AE62" s="1539" t="s">
        <v>266</v>
      </c>
      <c r="AF62" s="1401"/>
      <c r="AG62" s="1438">
        <f t="shared" ref="AG62:AX62" si="102">if(E62="","",E62-IF($B62&gt;0,FLOOR($B62/18,1),0)-IF(AND(MOD($B62,18)&gt;=E$51,$B62&gt;0),1,0)+IF(E$51-18&gt;$B62,1,0))</f>
        <v>4</v>
      </c>
      <c r="AH62" s="1438">
        <f t="shared" si="102"/>
        <v>5</v>
      </c>
      <c r="AI62" s="1438">
        <f t="shared" si="102"/>
        <v>4</v>
      </c>
      <c r="AJ62" s="1438">
        <f t="shared" si="102"/>
        <v>5</v>
      </c>
      <c r="AK62" s="1438">
        <f t="shared" si="102"/>
        <v>4</v>
      </c>
      <c r="AL62" s="1438">
        <f t="shared" si="102"/>
        <v>3</v>
      </c>
      <c r="AM62" s="1438">
        <f t="shared" si="102"/>
        <v>5</v>
      </c>
      <c r="AN62" s="1438">
        <f t="shared" si="102"/>
        <v>4</v>
      </c>
      <c r="AO62" s="1438">
        <f t="shared" si="102"/>
        <v>8</v>
      </c>
      <c r="AP62" s="1426">
        <f t="shared" si="102"/>
        <v>4</v>
      </c>
      <c r="AQ62" s="1426">
        <f t="shared" si="102"/>
        <v>4</v>
      </c>
      <c r="AR62" s="1426">
        <f t="shared" si="102"/>
        <v>5</v>
      </c>
      <c r="AS62" s="1426">
        <f t="shared" si="102"/>
        <v>5</v>
      </c>
      <c r="AT62" s="1426">
        <f t="shared" si="102"/>
        <v>6</v>
      </c>
      <c r="AU62" s="1426">
        <f t="shared" si="102"/>
        <v>6</v>
      </c>
      <c r="AV62" s="1426">
        <f t="shared" si="102"/>
        <v>5</v>
      </c>
      <c r="AW62" s="1426">
        <f t="shared" si="102"/>
        <v>3</v>
      </c>
      <c r="AX62" s="1426">
        <f t="shared" si="102"/>
        <v>5</v>
      </c>
      <c r="AY62" s="1438">
        <f t="shared" si="79"/>
        <v>42</v>
      </c>
      <c r="AZ62" s="1438">
        <f t="shared" si="80"/>
        <v>43</v>
      </c>
      <c r="BA62" s="1438">
        <f t="shared" si="87"/>
        <v>85</v>
      </c>
      <c r="BB62" s="1436" t="str">
        <f>if(countif('R3_G1'!$A$8:$A$23,$A62)=1, if(and(BA62=Z62,BA62=vlookup($A62,'R3_G1'!$A$8:$AC$23, 29,false)),"yes","no"),
if(countif('R3_G2'!$A$8:$A$23,$A62)=1, if(and(BA62=Z62,BA62=vlookup($A62,'R3_G2'!$A$8:$AC$23, 29,false)),"yes","no"),
if(countif('R3_G3'!$A$8:$A$23,$A62)=1, if(and(BA62=Z62,BA62=vlookup($A62,'R3_G3'!$A$8:$AC$23, 29,false)),"yes","no"),
if(countif('R3_G4'!$A$8:$A$23,$A62)=1, if(and(BA62=Z62,BA62=vlookup($A62,'R3_G4'!$A$8:$AC$23, 29,false)),"yes","no"),
"?"))))
</f>
        <v>yes</v>
      </c>
      <c r="BC62" s="1527"/>
      <c r="BD62" s="1439">
        <f t="shared" si="88"/>
        <v>4.5</v>
      </c>
      <c r="BE62" s="1440">
        <f t="shared" si="89"/>
        <v>6.733333333</v>
      </c>
      <c r="BF62" s="1440">
        <f t="shared" si="90"/>
        <v>0</v>
      </c>
      <c r="BG62" s="1440">
        <f t="shared" si="91"/>
        <v>1</v>
      </c>
      <c r="BH62" s="1440">
        <f t="shared" si="92"/>
        <v>7</v>
      </c>
      <c r="BI62" s="1440">
        <f t="shared" si="93"/>
        <v>7</v>
      </c>
      <c r="BJ62" s="1440">
        <f t="shared" si="94"/>
        <v>3</v>
      </c>
    </row>
    <row r="63" ht="14.25" customHeight="1">
      <c r="A63" s="1423" t="str">
        <f t="shared" si="81"/>
        <v>R-Mac</v>
      </c>
      <c r="B63" s="1424">
        <f>VLOOKUP(A63,'Master Input'!$A$11:$L$27,10,false)</f>
        <v>7</v>
      </c>
      <c r="C63" s="1430"/>
      <c r="D63" s="1401"/>
      <c r="E63" s="1426">
        <f>if(countif('R3_G1'!$A$8:$A$23,$A63)=1,vlookup($A63,'R3_G1'!$A$8:$Z$23, E$2+2,false),if(countif('R3_G2'!$A$8:$A$23,$A63)=1,vlookup($A63,'R3_G2'!$A$8:$Z$23, E$2+2,false),if(countif('R3_G3'!$A$8:$A$23,$A63)=1,vlookup($A63,'R3_G3'!$A$8:$Z$23, E$2+2,false),if(countif('R3_G4'!$A$8:$A$23,$A63)=1,vlookup($A63,'R3_G4'!$A$8:$Z$23, E$2+2,false),""))))</f>
        <v>4</v>
      </c>
      <c r="F63" s="1426">
        <f>if(countif('R3_G1'!$A$8:$A$23,$A63)=1,vlookup($A63,'R3_G1'!$A$8:$Z$23, F$2+2,false),if(countif('R3_G2'!$A$8:$A$23,$A63)=1,vlookup($A63,'R3_G2'!$A$8:$Z$23, F$2+2,false),if(countif('R3_G3'!$A$8:$A$23,$A63)=1,vlookup($A63,'R3_G3'!$A$8:$Z$23, F$2+2,false),if(countif('R3_G4'!$A$8:$A$23,$A63)=1,vlookup($A63,'R3_G4'!$A$8:$Z$23, F$2+2,false),""))))</f>
        <v>4</v>
      </c>
      <c r="G63" s="1426">
        <f>if(countif('R3_G1'!$A$8:$A$23,$A63)=1,vlookup($A63,'R3_G1'!$A$8:$Z$23, G$2+2,false),if(countif('R3_G2'!$A$8:$A$23,$A63)=1,vlookup($A63,'R3_G2'!$A$8:$Z$23, G$2+2,false),if(countif('R3_G3'!$A$8:$A$23,$A63)=1,vlookup($A63,'R3_G3'!$A$8:$Z$23, G$2+2,false),if(countif('R3_G4'!$A$8:$A$23,$A63)=1,vlookup($A63,'R3_G4'!$A$8:$Z$23, G$2+2,false),""))))</f>
        <v>3</v>
      </c>
      <c r="H63" s="1426">
        <f>if(countif('R3_G1'!$A$8:$A$23,$A63)=1,vlookup($A63,'R3_G1'!$A$8:$Z$23, H$2+2,false),if(countif('R3_G2'!$A$8:$A$23,$A63)=1,vlookup($A63,'R3_G2'!$A$8:$Z$23, H$2+2,false),if(countif('R3_G3'!$A$8:$A$23,$A63)=1,vlookup($A63,'R3_G3'!$A$8:$Z$23, H$2+2,false),if(countif('R3_G4'!$A$8:$A$23,$A63)=1,vlookup($A63,'R3_G4'!$A$8:$Z$23, H$2+2,false),""))))</f>
        <v>8</v>
      </c>
      <c r="I63" s="1426">
        <f>if(countif('R3_G1'!$A$8:$A$23,$A63)=1,vlookup($A63,'R3_G1'!$A$8:$Z$23, I$2+2,false),if(countif('R3_G2'!$A$8:$A$23,$A63)=1,vlookup($A63,'R3_G2'!$A$8:$Z$23, I$2+2,false),if(countif('R3_G3'!$A$8:$A$23,$A63)=1,vlookup($A63,'R3_G3'!$A$8:$Z$23, I$2+2,false),if(countif('R3_G4'!$A$8:$A$23,$A63)=1,vlookup($A63,'R3_G4'!$A$8:$Z$23, I$2+2,false),""))))</f>
        <v>5</v>
      </c>
      <c r="J63" s="1426">
        <f>if(countif('R3_G1'!$A$8:$A$23,$A63)=1,vlookup($A63,'R3_G1'!$A$8:$Z$23, J$2+2,false),if(countif('R3_G2'!$A$8:$A$23,$A63)=1,vlookup($A63,'R3_G2'!$A$8:$Z$23, J$2+2,false),if(countif('R3_G3'!$A$8:$A$23,$A63)=1,vlookup($A63,'R3_G3'!$A$8:$Z$23, J$2+2,false),if(countif('R3_G4'!$A$8:$A$23,$A63)=1,vlookup($A63,'R3_G4'!$A$8:$Z$23, J$2+2,false),""))))</f>
        <v>6</v>
      </c>
      <c r="K63" s="1426">
        <f>if(countif('R3_G1'!$A$8:$A$23,$A63)=1,vlookup($A63,'R3_G1'!$A$8:$Z$23, K$2+2,false),if(countif('R3_G2'!$A$8:$A$23,$A63)=1,vlookup($A63,'R3_G2'!$A$8:$Z$23, K$2+2,false),if(countif('R3_G3'!$A$8:$A$23,$A63)=1,vlookup($A63,'R3_G3'!$A$8:$Z$23, K$2+2,false),if(countif('R3_G4'!$A$8:$A$23,$A63)=1,vlookup($A63,'R3_G4'!$A$8:$Z$23, K$2+2,false),""))))</f>
        <v>3</v>
      </c>
      <c r="L63" s="1426">
        <f>if(countif('R3_G1'!$A$8:$A$23,$A63)=1,vlookup($A63,'R3_G1'!$A$8:$Z$23, L$2+2,false),if(countif('R3_G2'!$A$8:$A$23,$A63)=1,vlookup($A63,'R3_G2'!$A$8:$Z$23, L$2+2,false),if(countif('R3_G3'!$A$8:$A$23,$A63)=1,vlookup($A63,'R3_G3'!$A$8:$Z$23, L$2+2,false),if(countif('R3_G4'!$A$8:$A$23,$A63)=1,vlookup($A63,'R3_G4'!$A$8:$Z$23, L$2+2,false),""))))</f>
        <v>3</v>
      </c>
      <c r="M63" s="1426">
        <f>if(countif('R3_G1'!$A$8:$A$23,$A63)=1,vlookup($A63,'R3_G1'!$A$8:$Z$23, M$2+2,false),if(countif('R3_G2'!$A$8:$A$23,$A63)=1,vlookup($A63,'R3_G2'!$A$8:$Z$23, M$2+2,false),if(countif('R3_G3'!$A$8:$A$23,$A63)=1,vlookup($A63,'R3_G3'!$A$8:$Z$23, M$2+2,false),if(countif('R3_G4'!$A$8:$A$23,$A63)=1,vlookup($A63,'R3_G4'!$A$8:$Z$23, M$2+2,false),""))))</f>
        <v>5</v>
      </c>
      <c r="N63" s="1427">
        <f>if(countif('R3_G1'!$A$8:$A$23,$A63)=1,vlookup($A63,'R3_G1'!$A$8:$Z$23, N$2+8,false),if(countif('R3_G2'!$A$8:$A$23,$A63)=1,vlookup($A63,'R3_G2'!$A$8:$Z$23, N$2+8,false),if(countif('R3_G3'!$A$8:$A$23,$A63)=1,vlookup($A63,'R3_G3'!$A$8:$Z$23, N$2+8,false),if(countif('R3_G4'!$A$8:$A$23,$A63)=1,vlookup($A63,'R3_G4'!$A$8:$Z$23, N$2+8,false),""))))</f>
        <v>7</v>
      </c>
      <c r="O63" s="1427">
        <f>if(countif('R3_G1'!$A$8:$A$23,$A63)=1,vlookup($A63,'R3_G1'!$A$8:$Z$23, O$2+8,false),if(countif('R3_G2'!$A$8:$A$23,$A63)=1,vlookup($A63,'R3_G2'!$A$8:$Z$23, O$2+8,false),if(countif('R3_G3'!$A$8:$A$23,$A63)=1,vlookup($A63,'R3_G3'!$A$8:$Z$23, O$2+8,false),if(countif('R3_G4'!$A$8:$A$23,$A63)=1,vlookup($A63,'R3_G4'!$A$8:$Z$23, O$2+8,false),""))))</f>
        <v>5</v>
      </c>
      <c r="P63" s="1427">
        <f>if(countif('R3_G1'!$A$8:$A$23,$A63)=1,vlookup($A63,'R3_G1'!$A$8:$Z$23, P$2+8,false),if(countif('R3_G2'!$A$8:$A$23,$A63)=1,vlookup($A63,'R3_G2'!$A$8:$Z$23, P$2+8,false),if(countif('R3_G3'!$A$8:$A$23,$A63)=1,vlookup($A63,'R3_G3'!$A$8:$Z$23, P$2+8,false),if(countif('R3_G4'!$A$8:$A$23,$A63)=1,vlookup($A63,'R3_G4'!$A$8:$Z$23, P$2+8,false),""))))</f>
        <v>3</v>
      </c>
      <c r="Q63" s="1427">
        <f>if(countif('R3_G1'!$A$8:$A$23,$A63)=1,vlookup($A63,'R3_G1'!$A$8:$Z$23, Q$2+8,false),if(countif('R3_G2'!$A$8:$A$23,$A63)=1,vlookup($A63,'R3_G2'!$A$8:$Z$23, Q$2+8,false),if(countif('R3_G3'!$A$8:$A$23,$A63)=1,vlookup($A63,'R3_G3'!$A$8:$Z$23, Q$2+8,false),if(countif('R3_G4'!$A$8:$A$23,$A63)=1,vlookup($A63,'R3_G4'!$A$8:$Z$23, Q$2+8,false),""))))</f>
        <v>4</v>
      </c>
      <c r="R63" s="1427">
        <f>if(countif('R3_G1'!$A$8:$A$23,$A63)=1,vlookup($A63,'R3_G1'!$A$8:$Z$23, R$2+8,false),if(countif('R3_G2'!$A$8:$A$23,$A63)=1,vlookup($A63,'R3_G2'!$A$8:$Z$23, R$2+8,false),if(countif('R3_G3'!$A$8:$A$23,$A63)=1,vlookup($A63,'R3_G3'!$A$8:$Z$23, R$2+8,false),if(countif('R3_G4'!$A$8:$A$23,$A63)=1,vlookup($A63,'R3_G4'!$A$8:$Z$23, R$2+8,false),""))))</f>
        <v>5</v>
      </c>
      <c r="S63" s="1427">
        <f>if(countif('R3_G1'!$A$8:$A$23,$A63)=1,vlookup($A63,'R3_G1'!$A$8:$Z$23, S$2+8,false),if(countif('R3_G2'!$A$8:$A$23,$A63)=1,vlookup($A63,'R3_G2'!$A$8:$Z$23, S$2+8,false),if(countif('R3_G3'!$A$8:$A$23,$A63)=1,vlookup($A63,'R3_G3'!$A$8:$Z$23, S$2+8,false),if(countif('R3_G4'!$A$8:$A$23,$A63)=1,vlookup($A63,'R3_G4'!$A$8:$Z$23, S$2+8,false),""))))</f>
        <v>5</v>
      </c>
      <c r="T63" s="1427">
        <f>if(countif('R3_G1'!$A$8:$A$23,$A63)=1,vlookup($A63,'R3_G1'!$A$8:$Z$23, T$2+8,false),if(countif('R3_G2'!$A$8:$A$23,$A63)=1,vlookup($A63,'R3_G2'!$A$8:$Z$23, T$2+8,false),if(countif('R3_G3'!$A$8:$A$23,$A63)=1,vlookup($A63,'R3_G3'!$A$8:$Z$23, T$2+8,false),if(countif('R3_G4'!$A$8:$A$23,$A63)=1,vlookup($A63,'R3_G4'!$A$8:$Z$23, T$2+8,false),""))))</f>
        <v>4</v>
      </c>
      <c r="U63" s="1427">
        <f>if(countif('R3_G1'!$A$8:$A$23,$A63)=1,vlookup($A63,'R3_G1'!$A$8:$Z$23, U$2+8,false),if(countif('R3_G2'!$A$8:$A$23,$A63)=1,vlookup($A63,'R3_G2'!$A$8:$Z$23, U$2+8,false),if(countif('R3_G3'!$A$8:$A$23,$A63)=1,vlookup($A63,'R3_G3'!$A$8:$Z$23, U$2+8,false),if(countif('R3_G4'!$A$8:$A$23,$A63)=1,vlookup($A63,'R3_G4'!$A$8:$Z$23, U$2+8,false),""))))</f>
        <v>3</v>
      </c>
      <c r="V63" s="1427">
        <f>if(countif('R3_G1'!$A$8:$A$23,$A63)=1,vlookup($A63,'R3_G1'!$A$8:$Z$23, V$2+8,false),if(countif('R3_G2'!$A$8:$A$23,$A63)=1,vlookup($A63,'R3_G2'!$A$8:$Z$23, V$2+8,false),if(countif('R3_G3'!$A$8:$A$23,$A63)=1,vlookup($A63,'R3_G3'!$A$8:$Z$23, V$2+8,false),if(countif('R3_G4'!$A$8:$A$23,$A63)=1,vlookup($A63,'R3_G4'!$A$8:$Z$23, V$2+8,false),""))))</f>
        <v>4</v>
      </c>
      <c r="W63" s="1428">
        <f t="shared" si="76"/>
        <v>41</v>
      </c>
      <c r="X63" s="1428">
        <f t="shared" si="77"/>
        <v>40</v>
      </c>
      <c r="Y63" s="1428">
        <f t="shared" si="82"/>
        <v>81</v>
      </c>
      <c r="Z63" s="1428">
        <f t="shared" si="83"/>
        <v>74</v>
      </c>
      <c r="AA63" s="1428">
        <f t="shared" si="84"/>
        <v>81</v>
      </c>
      <c r="AB63" s="1527"/>
      <c r="AC63" s="1423" t="str">
        <f t="shared" si="85"/>
        <v>R-Mac</v>
      </c>
      <c r="AD63" s="1424">
        <f>VLOOKUP(AC63,'Master Input'!$A$11:$L$27,10,false)</f>
        <v>7</v>
      </c>
      <c r="AE63" s="1540" t="s">
        <v>266</v>
      </c>
      <c r="AF63" s="1401"/>
      <c r="AG63" s="1428">
        <f t="shared" ref="AG63:AX63" si="103">if(E63="","",E63-IF($B63&gt;0,FLOOR($B63/18,1),0)-IF(AND(MOD($B63,18)&gt;=E$51,$B63&gt;0),1,0)+IF(E$51-18&gt;$B63,1,0))</f>
        <v>4</v>
      </c>
      <c r="AH63" s="1428">
        <f t="shared" si="103"/>
        <v>4</v>
      </c>
      <c r="AI63" s="1428">
        <f t="shared" si="103"/>
        <v>3</v>
      </c>
      <c r="AJ63" s="1428">
        <f t="shared" si="103"/>
        <v>7</v>
      </c>
      <c r="AK63" s="1428">
        <f t="shared" si="103"/>
        <v>4</v>
      </c>
      <c r="AL63" s="1428">
        <f t="shared" si="103"/>
        <v>5</v>
      </c>
      <c r="AM63" s="1428">
        <f t="shared" si="103"/>
        <v>3</v>
      </c>
      <c r="AN63" s="1428">
        <f t="shared" si="103"/>
        <v>3</v>
      </c>
      <c r="AO63" s="1428">
        <f t="shared" si="103"/>
        <v>4</v>
      </c>
      <c r="AP63" s="1429">
        <f t="shared" si="103"/>
        <v>6</v>
      </c>
      <c r="AQ63" s="1429">
        <f t="shared" si="103"/>
        <v>5</v>
      </c>
      <c r="AR63" s="1429">
        <f t="shared" si="103"/>
        <v>3</v>
      </c>
      <c r="AS63" s="1429">
        <f t="shared" si="103"/>
        <v>4</v>
      </c>
      <c r="AT63" s="1429">
        <f t="shared" si="103"/>
        <v>4</v>
      </c>
      <c r="AU63" s="1429">
        <f t="shared" si="103"/>
        <v>5</v>
      </c>
      <c r="AV63" s="1429">
        <f t="shared" si="103"/>
        <v>4</v>
      </c>
      <c r="AW63" s="1429">
        <f t="shared" si="103"/>
        <v>3</v>
      </c>
      <c r="AX63" s="1429">
        <f t="shared" si="103"/>
        <v>3</v>
      </c>
      <c r="AY63" s="1428">
        <f t="shared" si="79"/>
        <v>37</v>
      </c>
      <c r="AZ63" s="1428">
        <f t="shared" si="80"/>
        <v>37</v>
      </c>
      <c r="BA63" s="1428">
        <f t="shared" si="87"/>
        <v>74</v>
      </c>
      <c r="BB63" s="1430" t="str">
        <f>if(countif('R3_G1'!$A$8:$A$23,$A63)=1, if(and(BA63=Z63,BA63=vlookup($A63,'R3_G1'!$A$8:$AC$23, 29,false)),"yes","no"),
if(countif('R3_G2'!$A$8:$A$23,$A63)=1, if(and(BA63=Z63,BA63=vlookup($A63,'R3_G2'!$A$8:$AC$23, 29,false)),"yes","no"),
if(countif('R3_G3'!$A$8:$A$23,$A63)=1, if(and(BA63=Z63,BA63=vlookup($A63,'R3_G3'!$A$8:$AC$23, 29,false)),"yes","no"),
if(countif('R3_G4'!$A$8:$A$23,$A63)=1, if(and(BA63=Z63,BA63=vlookup($A63,'R3_G4'!$A$8:$AC$23, 29,false)),"yes","no"),
"?"))))
</f>
        <v>yes</v>
      </c>
      <c r="BC63" s="1527"/>
      <c r="BD63" s="1441">
        <f t="shared" si="88"/>
        <v>8.5</v>
      </c>
      <c r="BE63" s="1442">
        <f t="shared" si="89"/>
        <v>10.53333333</v>
      </c>
      <c r="BF63" s="1442">
        <f t="shared" si="90"/>
        <v>1</v>
      </c>
      <c r="BG63" s="1442">
        <f t="shared" si="91"/>
        <v>3</v>
      </c>
      <c r="BH63" s="1442">
        <f t="shared" si="92"/>
        <v>9</v>
      </c>
      <c r="BI63" s="1442">
        <f t="shared" si="93"/>
        <v>3</v>
      </c>
      <c r="BJ63" s="1442">
        <f t="shared" si="94"/>
        <v>2</v>
      </c>
    </row>
    <row r="64" ht="14.25" customHeight="1">
      <c r="A64" s="1434" t="str">
        <f t="shared" si="81"/>
        <v>T-Mo</v>
      </c>
      <c r="B64" s="1435">
        <f>VLOOKUP(A64,'Master Input'!$A$11:$L$27,10,false)</f>
        <v>9</v>
      </c>
      <c r="C64" s="1436"/>
      <c r="D64" s="1401"/>
      <c r="E64" s="1437">
        <f>if(countif('R3_G1'!$A$8:$A$23,$A64)=1,vlookup($A64,'R3_G1'!$A$8:$Z$23, E$2+2,false),if(countif('R3_G2'!$A$8:$A$23,$A64)=1,vlookup($A64,'R3_G2'!$A$8:$Z$23, E$2+2,false),if(countif('R3_G3'!$A$8:$A$23,$A64)=1,vlookup($A64,'R3_G3'!$A$8:$Z$23, E$2+2,false),if(countif('R3_G4'!$A$8:$A$23,$A64)=1,vlookup($A64,'R3_G4'!$A$8:$Z$23, E$2+2,false),""))))</f>
        <v>5</v>
      </c>
      <c r="F64" s="1437">
        <f>if(countif('R3_G1'!$A$8:$A$23,$A64)=1,vlookup($A64,'R3_G1'!$A$8:$Z$23, F$2+2,false),if(countif('R3_G2'!$A$8:$A$23,$A64)=1,vlookup($A64,'R3_G2'!$A$8:$Z$23, F$2+2,false),if(countif('R3_G3'!$A$8:$A$23,$A64)=1,vlookup($A64,'R3_G3'!$A$8:$Z$23, F$2+2,false),if(countif('R3_G4'!$A$8:$A$23,$A64)=1,vlookup($A64,'R3_G4'!$A$8:$Z$23, F$2+2,false),""))))</f>
        <v>4</v>
      </c>
      <c r="G64" s="1437">
        <f>if(countif('R3_G1'!$A$8:$A$23,$A64)=1,vlookup($A64,'R3_G1'!$A$8:$Z$23, G$2+2,false),if(countif('R3_G2'!$A$8:$A$23,$A64)=1,vlookup($A64,'R3_G2'!$A$8:$Z$23, G$2+2,false),if(countif('R3_G3'!$A$8:$A$23,$A64)=1,vlookup($A64,'R3_G3'!$A$8:$Z$23, G$2+2,false),if(countif('R3_G4'!$A$8:$A$23,$A64)=1,vlookup($A64,'R3_G4'!$A$8:$Z$23, G$2+2,false),""))))</f>
        <v>3</v>
      </c>
      <c r="H64" s="1437">
        <f>if(countif('R3_G1'!$A$8:$A$23,$A64)=1,vlookup($A64,'R3_G1'!$A$8:$Z$23, H$2+2,false),if(countif('R3_G2'!$A$8:$A$23,$A64)=1,vlookup($A64,'R3_G2'!$A$8:$Z$23, H$2+2,false),if(countif('R3_G3'!$A$8:$A$23,$A64)=1,vlookup($A64,'R3_G3'!$A$8:$Z$23, H$2+2,false),if(countif('R3_G4'!$A$8:$A$23,$A64)=1,vlookup($A64,'R3_G4'!$A$8:$Z$23, H$2+2,false),""))))</f>
        <v>7</v>
      </c>
      <c r="I64" s="1437">
        <f>if(countif('R3_G1'!$A$8:$A$23,$A64)=1,vlookup($A64,'R3_G1'!$A$8:$Z$23, I$2+2,false),if(countif('R3_G2'!$A$8:$A$23,$A64)=1,vlookup($A64,'R3_G2'!$A$8:$Z$23, I$2+2,false),if(countif('R3_G3'!$A$8:$A$23,$A64)=1,vlookup($A64,'R3_G3'!$A$8:$Z$23, I$2+2,false),if(countif('R3_G4'!$A$8:$A$23,$A64)=1,vlookup($A64,'R3_G4'!$A$8:$Z$23, I$2+2,false),""))))</f>
        <v>6</v>
      </c>
      <c r="J64" s="1437">
        <f>if(countif('R3_G1'!$A$8:$A$23,$A64)=1,vlookup($A64,'R3_G1'!$A$8:$Z$23, J$2+2,false),if(countif('R3_G2'!$A$8:$A$23,$A64)=1,vlookup($A64,'R3_G2'!$A$8:$Z$23, J$2+2,false),if(countif('R3_G3'!$A$8:$A$23,$A64)=1,vlookup($A64,'R3_G3'!$A$8:$Z$23, J$2+2,false),if(countif('R3_G4'!$A$8:$A$23,$A64)=1,vlookup($A64,'R3_G4'!$A$8:$Z$23, J$2+2,false),""))))</f>
        <v>4</v>
      </c>
      <c r="K64" s="1437">
        <f>if(countif('R3_G1'!$A$8:$A$23,$A64)=1,vlookup($A64,'R3_G1'!$A$8:$Z$23, K$2+2,false),if(countif('R3_G2'!$A$8:$A$23,$A64)=1,vlookup($A64,'R3_G2'!$A$8:$Z$23, K$2+2,false),if(countif('R3_G3'!$A$8:$A$23,$A64)=1,vlookup($A64,'R3_G3'!$A$8:$Z$23, K$2+2,false),if(countif('R3_G4'!$A$8:$A$23,$A64)=1,vlookup($A64,'R3_G4'!$A$8:$Z$23, K$2+2,false),""))))</f>
        <v>5</v>
      </c>
      <c r="L64" s="1437">
        <f>if(countif('R3_G1'!$A$8:$A$23,$A64)=1,vlookup($A64,'R3_G1'!$A$8:$Z$23, L$2+2,false),if(countif('R3_G2'!$A$8:$A$23,$A64)=1,vlookup($A64,'R3_G2'!$A$8:$Z$23, L$2+2,false),if(countif('R3_G3'!$A$8:$A$23,$A64)=1,vlookup($A64,'R3_G3'!$A$8:$Z$23, L$2+2,false),if(countif('R3_G4'!$A$8:$A$23,$A64)=1,vlookup($A64,'R3_G4'!$A$8:$Z$23, L$2+2,false),""))))</f>
        <v>3</v>
      </c>
      <c r="M64" s="1437">
        <f>if(countif('R3_G1'!$A$8:$A$23,$A64)=1,vlookup($A64,'R3_G1'!$A$8:$Z$23, M$2+2,false),if(countif('R3_G2'!$A$8:$A$23,$A64)=1,vlookup($A64,'R3_G2'!$A$8:$Z$23, M$2+2,false),if(countif('R3_G3'!$A$8:$A$23,$A64)=1,vlookup($A64,'R3_G3'!$A$8:$Z$23, M$2+2,false),if(countif('R3_G4'!$A$8:$A$23,$A64)=1,vlookup($A64,'R3_G4'!$A$8:$Z$23, M$2+2,false),""))))</f>
        <v>7</v>
      </c>
      <c r="N64" s="1426">
        <f>if(countif('R3_G1'!$A$8:$A$23,$A64)=1,vlookup($A64,'R3_G1'!$A$8:$Z$23, N$2+8,false),if(countif('R3_G2'!$A$8:$A$23,$A64)=1,vlookup($A64,'R3_G2'!$A$8:$Z$23, N$2+8,false),if(countif('R3_G3'!$A$8:$A$23,$A64)=1,vlookup($A64,'R3_G3'!$A$8:$Z$23, N$2+8,false),if(countif('R3_G4'!$A$8:$A$23,$A64)=1,vlookup($A64,'R3_G4'!$A$8:$Z$23, N$2+8,false),""))))</f>
        <v>5</v>
      </c>
      <c r="O64" s="1426">
        <f>if(countif('R3_G1'!$A$8:$A$23,$A64)=1,vlookup($A64,'R3_G1'!$A$8:$Z$23, O$2+8,false),if(countif('R3_G2'!$A$8:$A$23,$A64)=1,vlookup($A64,'R3_G2'!$A$8:$Z$23, O$2+8,false),if(countif('R3_G3'!$A$8:$A$23,$A64)=1,vlookup($A64,'R3_G3'!$A$8:$Z$23, O$2+8,false),if(countif('R3_G4'!$A$8:$A$23,$A64)=1,vlookup($A64,'R3_G4'!$A$8:$Z$23, O$2+8,false),""))))</f>
        <v>4</v>
      </c>
      <c r="P64" s="1426">
        <f>if(countif('R3_G1'!$A$8:$A$23,$A64)=1,vlookup($A64,'R3_G1'!$A$8:$Z$23, P$2+8,false),if(countif('R3_G2'!$A$8:$A$23,$A64)=1,vlookup($A64,'R3_G2'!$A$8:$Z$23, P$2+8,false),if(countif('R3_G3'!$A$8:$A$23,$A64)=1,vlookup($A64,'R3_G3'!$A$8:$Z$23, P$2+8,false),if(countif('R3_G4'!$A$8:$A$23,$A64)=1,vlookup($A64,'R3_G4'!$A$8:$Z$23, P$2+8,false),""))))</f>
        <v>3</v>
      </c>
      <c r="Q64" s="1426">
        <f>if(countif('R3_G1'!$A$8:$A$23,$A64)=1,vlookup($A64,'R3_G1'!$A$8:$Z$23, Q$2+8,false),if(countif('R3_G2'!$A$8:$A$23,$A64)=1,vlookup($A64,'R3_G2'!$A$8:$Z$23, Q$2+8,false),if(countif('R3_G3'!$A$8:$A$23,$A64)=1,vlookup($A64,'R3_G3'!$A$8:$Z$23, Q$2+8,false),if(countif('R3_G4'!$A$8:$A$23,$A64)=1,vlookup($A64,'R3_G4'!$A$8:$Z$23, Q$2+8,false),""))))</f>
        <v>4</v>
      </c>
      <c r="R64" s="1426">
        <f>if(countif('R3_G1'!$A$8:$A$23,$A64)=1,vlookup($A64,'R3_G1'!$A$8:$Z$23, R$2+8,false),if(countif('R3_G2'!$A$8:$A$23,$A64)=1,vlookup($A64,'R3_G2'!$A$8:$Z$23, R$2+8,false),if(countif('R3_G3'!$A$8:$A$23,$A64)=1,vlookup($A64,'R3_G3'!$A$8:$Z$23, R$2+8,false),if(countif('R3_G4'!$A$8:$A$23,$A64)=1,vlookup($A64,'R3_G4'!$A$8:$Z$23, R$2+8,false),""))))</f>
        <v>5</v>
      </c>
      <c r="S64" s="1426">
        <f>if(countif('R3_G1'!$A$8:$A$23,$A64)=1,vlookup($A64,'R3_G1'!$A$8:$Z$23, S$2+8,false),if(countif('R3_G2'!$A$8:$A$23,$A64)=1,vlookup($A64,'R3_G2'!$A$8:$Z$23, S$2+8,false),if(countif('R3_G3'!$A$8:$A$23,$A64)=1,vlookup($A64,'R3_G3'!$A$8:$Z$23, S$2+8,false),if(countif('R3_G4'!$A$8:$A$23,$A64)=1,vlookup($A64,'R3_G4'!$A$8:$Z$23, S$2+8,false),""))))</f>
        <v>4</v>
      </c>
      <c r="T64" s="1426">
        <f>if(countif('R3_G1'!$A$8:$A$23,$A64)=1,vlookup($A64,'R3_G1'!$A$8:$Z$23, T$2+8,false),if(countif('R3_G2'!$A$8:$A$23,$A64)=1,vlookup($A64,'R3_G2'!$A$8:$Z$23, T$2+8,false),if(countif('R3_G3'!$A$8:$A$23,$A64)=1,vlookup($A64,'R3_G3'!$A$8:$Z$23, T$2+8,false),if(countif('R3_G4'!$A$8:$A$23,$A64)=1,vlookup($A64,'R3_G4'!$A$8:$Z$23, T$2+8,false),""))))</f>
        <v>4</v>
      </c>
      <c r="U64" s="1426">
        <f>if(countif('R3_G1'!$A$8:$A$23,$A64)=1,vlookup($A64,'R3_G1'!$A$8:$Z$23, U$2+8,false),if(countif('R3_G2'!$A$8:$A$23,$A64)=1,vlookup($A64,'R3_G2'!$A$8:$Z$23, U$2+8,false),if(countif('R3_G3'!$A$8:$A$23,$A64)=1,vlookup($A64,'R3_G3'!$A$8:$Z$23, U$2+8,false),if(countif('R3_G4'!$A$8:$A$23,$A64)=1,vlookup($A64,'R3_G4'!$A$8:$Z$23, U$2+8,false),""))))</f>
        <v>4</v>
      </c>
      <c r="V64" s="1426">
        <f>if(countif('R3_G1'!$A$8:$A$23,$A64)=1,vlookup($A64,'R3_G1'!$A$8:$Z$23, V$2+8,false),if(countif('R3_G2'!$A$8:$A$23,$A64)=1,vlookup($A64,'R3_G2'!$A$8:$Z$23, V$2+8,false),if(countif('R3_G3'!$A$8:$A$23,$A64)=1,vlookup($A64,'R3_G3'!$A$8:$Z$23, V$2+8,false),if(countif('R3_G4'!$A$8:$A$23,$A64)=1,vlookup($A64,'R3_G4'!$A$8:$Z$23, V$2+8,false),""))))</f>
        <v>6</v>
      </c>
      <c r="W64" s="1438">
        <f t="shared" si="76"/>
        <v>44</v>
      </c>
      <c r="X64" s="1438">
        <f t="shared" si="77"/>
        <v>39</v>
      </c>
      <c r="Y64" s="1438">
        <f t="shared" si="82"/>
        <v>83</v>
      </c>
      <c r="Z64" s="1438">
        <f t="shared" si="83"/>
        <v>74</v>
      </c>
      <c r="AA64" s="1438">
        <f t="shared" si="84"/>
        <v>83</v>
      </c>
      <c r="AB64" s="1527"/>
      <c r="AC64" s="1423" t="str">
        <f t="shared" si="85"/>
        <v>T-Mo</v>
      </c>
      <c r="AD64" s="1435">
        <f>VLOOKUP(AC64,'Master Input'!$A$11:$L$27,10,false)</f>
        <v>9</v>
      </c>
      <c r="AE64" s="1539" t="s">
        <v>266</v>
      </c>
      <c r="AF64" s="1401"/>
      <c r="AG64" s="1438">
        <f t="shared" ref="AG64:AX64" si="104">if(E64="","",E64-IF($B64&gt;0,FLOOR($B64/18,1),0)-IF(AND(MOD($B64,18)&gt;=E$51,$B64&gt;0),1,0)+IF(E$51-18&gt;$B64,1,0))</f>
        <v>4</v>
      </c>
      <c r="AH64" s="1438">
        <f t="shared" si="104"/>
        <v>4</v>
      </c>
      <c r="AI64" s="1438">
        <f t="shared" si="104"/>
        <v>3</v>
      </c>
      <c r="AJ64" s="1438">
        <f t="shared" si="104"/>
        <v>6</v>
      </c>
      <c r="AK64" s="1438">
        <f t="shared" si="104"/>
        <v>5</v>
      </c>
      <c r="AL64" s="1438">
        <f t="shared" si="104"/>
        <v>3</v>
      </c>
      <c r="AM64" s="1438">
        <f t="shared" si="104"/>
        <v>5</v>
      </c>
      <c r="AN64" s="1438">
        <f t="shared" si="104"/>
        <v>3</v>
      </c>
      <c r="AO64" s="1438">
        <f t="shared" si="104"/>
        <v>6</v>
      </c>
      <c r="AP64" s="1426">
        <f t="shared" si="104"/>
        <v>4</v>
      </c>
      <c r="AQ64" s="1426">
        <f t="shared" si="104"/>
        <v>4</v>
      </c>
      <c r="AR64" s="1426">
        <f t="shared" si="104"/>
        <v>3</v>
      </c>
      <c r="AS64" s="1426">
        <f t="shared" si="104"/>
        <v>4</v>
      </c>
      <c r="AT64" s="1426">
        <f t="shared" si="104"/>
        <v>4</v>
      </c>
      <c r="AU64" s="1426">
        <f t="shared" si="104"/>
        <v>3</v>
      </c>
      <c r="AV64" s="1426">
        <f t="shared" si="104"/>
        <v>4</v>
      </c>
      <c r="AW64" s="1426">
        <f t="shared" si="104"/>
        <v>4</v>
      </c>
      <c r="AX64" s="1426">
        <f t="shared" si="104"/>
        <v>5</v>
      </c>
      <c r="AY64" s="1438">
        <f t="shared" si="79"/>
        <v>39</v>
      </c>
      <c r="AZ64" s="1438">
        <f t="shared" si="80"/>
        <v>35</v>
      </c>
      <c r="BA64" s="1438">
        <f t="shared" si="87"/>
        <v>74</v>
      </c>
      <c r="BB64" s="1436" t="str">
        <f>if(countif('R3_G1'!$A$8:$A$23,$A64)=1, if(and(BA64=Z64,BA64=vlookup($A64,'R3_G1'!$A$8:$AC$23, 29,false)),"yes","no"),
if(countif('R3_G2'!$A$8:$A$23,$A64)=1, if(and(BA64=Z64,BA64=vlookup($A64,'R3_G2'!$A$8:$AC$23, 29,false)),"yes","no"),
if(countif('R3_G3'!$A$8:$A$23,$A64)=1, if(and(BA64=Z64,BA64=vlookup($A64,'R3_G3'!$A$8:$AC$23, 29,false)),"yes","no"),
if(countif('R3_G4'!$A$8:$A$23,$A64)=1, if(and(BA64=Z64,BA64=vlookup($A64,'R3_G4'!$A$8:$AC$23, 29,false)),"yes","no"),
"?"))))
</f>
        <v>yes</v>
      </c>
      <c r="BC64" s="1527"/>
      <c r="BD64" s="1439">
        <f t="shared" si="88"/>
        <v>8</v>
      </c>
      <c r="BE64" s="1440">
        <f t="shared" si="89"/>
        <v>10</v>
      </c>
      <c r="BF64" s="1440">
        <f t="shared" si="90"/>
        <v>0</v>
      </c>
      <c r="BG64" s="1440">
        <f t="shared" si="91"/>
        <v>3</v>
      </c>
      <c r="BH64" s="1440">
        <f t="shared" si="92"/>
        <v>10</v>
      </c>
      <c r="BI64" s="1440">
        <f t="shared" si="93"/>
        <v>5</v>
      </c>
      <c r="BJ64" s="1440">
        <f t="shared" si="94"/>
        <v>0</v>
      </c>
    </row>
    <row r="65" ht="14.25" customHeight="1">
      <c r="A65" s="1423" t="str">
        <f t="shared" si="81"/>
        <v>TJSC</v>
      </c>
      <c r="B65" s="1424">
        <f>VLOOKUP(A65,'Master Input'!$A$11:$L$27,10,false)</f>
        <v>10</v>
      </c>
      <c r="C65" s="1430"/>
      <c r="D65" s="1401"/>
      <c r="E65" s="1426">
        <f>if(countif('R3_G1'!$A$8:$A$23,$A65)=1,vlookup($A65,'R3_G1'!$A$8:$Z$23, E$2+2,false),if(countif('R3_G2'!$A$8:$A$23,$A65)=1,vlookup($A65,'R3_G2'!$A$8:$Z$23, E$2+2,false),if(countif('R3_G3'!$A$8:$A$23,$A65)=1,vlookup($A65,'R3_G3'!$A$8:$Z$23, E$2+2,false),if(countif('R3_G4'!$A$8:$A$23,$A65)=1,vlookup($A65,'R3_G4'!$A$8:$Z$23, E$2+2,false),""))))</f>
        <v>6</v>
      </c>
      <c r="F65" s="1426">
        <f>if(countif('R3_G1'!$A$8:$A$23,$A65)=1,vlookup($A65,'R3_G1'!$A$8:$Z$23, F$2+2,false),if(countif('R3_G2'!$A$8:$A$23,$A65)=1,vlookup($A65,'R3_G2'!$A$8:$Z$23, F$2+2,false),if(countif('R3_G3'!$A$8:$A$23,$A65)=1,vlookup($A65,'R3_G3'!$A$8:$Z$23, F$2+2,false),if(countif('R3_G4'!$A$8:$A$23,$A65)=1,vlookup($A65,'R3_G4'!$A$8:$Z$23, F$2+2,false),""))))</f>
        <v>5</v>
      </c>
      <c r="G65" s="1426">
        <f>if(countif('R3_G1'!$A$8:$A$23,$A65)=1,vlookup($A65,'R3_G1'!$A$8:$Z$23, G$2+2,false),if(countif('R3_G2'!$A$8:$A$23,$A65)=1,vlookup($A65,'R3_G2'!$A$8:$Z$23, G$2+2,false),if(countif('R3_G3'!$A$8:$A$23,$A65)=1,vlookup($A65,'R3_G3'!$A$8:$Z$23, G$2+2,false),if(countif('R3_G4'!$A$8:$A$23,$A65)=1,vlookup($A65,'R3_G4'!$A$8:$Z$23, G$2+2,false),""))))</f>
        <v>3</v>
      </c>
      <c r="H65" s="1426">
        <f>if(countif('R3_G1'!$A$8:$A$23,$A65)=1,vlookup($A65,'R3_G1'!$A$8:$Z$23, H$2+2,false),if(countif('R3_G2'!$A$8:$A$23,$A65)=1,vlookup($A65,'R3_G2'!$A$8:$Z$23, H$2+2,false),if(countif('R3_G3'!$A$8:$A$23,$A65)=1,vlookup($A65,'R3_G3'!$A$8:$Z$23, H$2+2,false),if(countif('R3_G4'!$A$8:$A$23,$A65)=1,vlookup($A65,'R3_G4'!$A$8:$Z$23, H$2+2,false),""))))</f>
        <v>6</v>
      </c>
      <c r="I65" s="1426">
        <f>if(countif('R3_G1'!$A$8:$A$23,$A65)=1,vlookup($A65,'R3_G1'!$A$8:$Z$23, I$2+2,false),if(countif('R3_G2'!$A$8:$A$23,$A65)=1,vlookup($A65,'R3_G2'!$A$8:$Z$23, I$2+2,false),if(countif('R3_G3'!$A$8:$A$23,$A65)=1,vlookup($A65,'R3_G3'!$A$8:$Z$23, I$2+2,false),if(countif('R3_G4'!$A$8:$A$23,$A65)=1,vlookup($A65,'R3_G4'!$A$8:$Z$23, I$2+2,false),""))))</f>
        <v>5</v>
      </c>
      <c r="J65" s="1426">
        <f>if(countif('R3_G1'!$A$8:$A$23,$A65)=1,vlookup($A65,'R3_G1'!$A$8:$Z$23, J$2+2,false),if(countif('R3_G2'!$A$8:$A$23,$A65)=1,vlookup($A65,'R3_G2'!$A$8:$Z$23, J$2+2,false),if(countif('R3_G3'!$A$8:$A$23,$A65)=1,vlookup($A65,'R3_G3'!$A$8:$Z$23, J$2+2,false),if(countif('R3_G4'!$A$8:$A$23,$A65)=1,vlookup($A65,'R3_G4'!$A$8:$Z$23, J$2+2,false),""))))</f>
        <v>5</v>
      </c>
      <c r="K65" s="1426">
        <f>if(countif('R3_G1'!$A$8:$A$23,$A65)=1,vlookup($A65,'R3_G1'!$A$8:$Z$23, K$2+2,false),if(countif('R3_G2'!$A$8:$A$23,$A65)=1,vlookup($A65,'R3_G2'!$A$8:$Z$23, K$2+2,false),if(countif('R3_G3'!$A$8:$A$23,$A65)=1,vlookup($A65,'R3_G3'!$A$8:$Z$23, K$2+2,false),if(countif('R3_G4'!$A$8:$A$23,$A65)=1,vlookup($A65,'R3_G4'!$A$8:$Z$23, K$2+2,false),""))))</f>
        <v>5</v>
      </c>
      <c r="L65" s="1426">
        <f>if(countif('R3_G1'!$A$8:$A$23,$A65)=1,vlookup($A65,'R3_G1'!$A$8:$Z$23, L$2+2,false),if(countif('R3_G2'!$A$8:$A$23,$A65)=1,vlookup($A65,'R3_G2'!$A$8:$Z$23, L$2+2,false),if(countif('R3_G3'!$A$8:$A$23,$A65)=1,vlookup($A65,'R3_G3'!$A$8:$Z$23, L$2+2,false),if(countif('R3_G4'!$A$8:$A$23,$A65)=1,vlookup($A65,'R3_G4'!$A$8:$Z$23, L$2+2,false),""))))</f>
        <v>3</v>
      </c>
      <c r="M65" s="1426">
        <f>if(countif('R3_G1'!$A$8:$A$23,$A65)=1,vlookup($A65,'R3_G1'!$A$8:$Z$23, M$2+2,false),if(countif('R3_G2'!$A$8:$A$23,$A65)=1,vlookup($A65,'R3_G2'!$A$8:$Z$23, M$2+2,false),if(countif('R3_G3'!$A$8:$A$23,$A65)=1,vlookup($A65,'R3_G3'!$A$8:$Z$23, M$2+2,false),if(countif('R3_G4'!$A$8:$A$23,$A65)=1,vlookup($A65,'R3_G4'!$A$8:$Z$23, M$2+2,false),""))))</f>
        <v>6</v>
      </c>
      <c r="N65" s="1427">
        <f>if(countif('R3_G1'!$A$8:$A$23,$A65)=1,vlookup($A65,'R3_G1'!$A$8:$Z$23, N$2+8,false),if(countif('R3_G2'!$A$8:$A$23,$A65)=1,vlookup($A65,'R3_G2'!$A$8:$Z$23, N$2+8,false),if(countif('R3_G3'!$A$8:$A$23,$A65)=1,vlookup($A65,'R3_G3'!$A$8:$Z$23, N$2+8,false),if(countif('R3_G4'!$A$8:$A$23,$A65)=1,vlookup($A65,'R3_G4'!$A$8:$Z$23, N$2+8,false),""))))</f>
        <v>4</v>
      </c>
      <c r="O65" s="1427">
        <f>if(countif('R3_G1'!$A$8:$A$23,$A65)=1,vlookup($A65,'R3_G1'!$A$8:$Z$23, O$2+8,false),if(countif('R3_G2'!$A$8:$A$23,$A65)=1,vlookup($A65,'R3_G2'!$A$8:$Z$23, O$2+8,false),if(countif('R3_G3'!$A$8:$A$23,$A65)=1,vlookup($A65,'R3_G3'!$A$8:$Z$23, O$2+8,false),if(countif('R3_G4'!$A$8:$A$23,$A65)=1,vlookup($A65,'R3_G4'!$A$8:$Z$23, O$2+8,false),""))))</f>
        <v>6</v>
      </c>
      <c r="P65" s="1427">
        <f>if(countif('R3_G1'!$A$8:$A$23,$A65)=1,vlookup($A65,'R3_G1'!$A$8:$Z$23, P$2+8,false),if(countif('R3_G2'!$A$8:$A$23,$A65)=1,vlookup($A65,'R3_G2'!$A$8:$Z$23, P$2+8,false),if(countif('R3_G3'!$A$8:$A$23,$A65)=1,vlookup($A65,'R3_G3'!$A$8:$Z$23, P$2+8,false),if(countif('R3_G4'!$A$8:$A$23,$A65)=1,vlookup($A65,'R3_G4'!$A$8:$Z$23, P$2+8,false),""))))</f>
        <v>4</v>
      </c>
      <c r="Q65" s="1427">
        <f>if(countif('R3_G1'!$A$8:$A$23,$A65)=1,vlookup($A65,'R3_G1'!$A$8:$Z$23, Q$2+8,false),if(countif('R3_G2'!$A$8:$A$23,$A65)=1,vlookup($A65,'R3_G2'!$A$8:$Z$23, Q$2+8,false),if(countif('R3_G3'!$A$8:$A$23,$A65)=1,vlookup($A65,'R3_G3'!$A$8:$Z$23, Q$2+8,false),if(countif('R3_G4'!$A$8:$A$23,$A65)=1,vlookup($A65,'R3_G4'!$A$8:$Z$23, Q$2+8,false),""))))</f>
        <v>5</v>
      </c>
      <c r="R65" s="1427">
        <f>if(countif('R3_G1'!$A$8:$A$23,$A65)=1,vlookup($A65,'R3_G1'!$A$8:$Z$23, R$2+8,false),if(countif('R3_G2'!$A$8:$A$23,$A65)=1,vlookup($A65,'R3_G2'!$A$8:$Z$23, R$2+8,false),if(countif('R3_G3'!$A$8:$A$23,$A65)=1,vlookup($A65,'R3_G3'!$A$8:$Z$23, R$2+8,false),if(countif('R3_G4'!$A$8:$A$23,$A65)=1,vlookup($A65,'R3_G4'!$A$8:$Z$23, R$2+8,false),""))))</f>
        <v>5</v>
      </c>
      <c r="S65" s="1427">
        <f>if(countif('R3_G1'!$A$8:$A$23,$A65)=1,vlookup($A65,'R3_G1'!$A$8:$Z$23, S$2+8,false),if(countif('R3_G2'!$A$8:$A$23,$A65)=1,vlookup($A65,'R3_G2'!$A$8:$Z$23, S$2+8,false),if(countif('R3_G3'!$A$8:$A$23,$A65)=1,vlookup($A65,'R3_G3'!$A$8:$Z$23, S$2+8,false),if(countif('R3_G4'!$A$8:$A$23,$A65)=1,vlookup($A65,'R3_G4'!$A$8:$Z$23, S$2+8,false),""))))</f>
        <v>4</v>
      </c>
      <c r="T65" s="1427">
        <f>if(countif('R3_G1'!$A$8:$A$23,$A65)=1,vlookup($A65,'R3_G1'!$A$8:$Z$23, T$2+8,false),if(countif('R3_G2'!$A$8:$A$23,$A65)=1,vlookup($A65,'R3_G2'!$A$8:$Z$23, T$2+8,false),if(countif('R3_G3'!$A$8:$A$23,$A65)=1,vlookup($A65,'R3_G3'!$A$8:$Z$23, T$2+8,false),if(countif('R3_G4'!$A$8:$A$23,$A65)=1,vlookup($A65,'R3_G4'!$A$8:$Z$23, T$2+8,false),""))))</f>
        <v>6</v>
      </c>
      <c r="U65" s="1427">
        <f>if(countif('R3_G1'!$A$8:$A$23,$A65)=1,vlookup($A65,'R3_G1'!$A$8:$Z$23, U$2+8,false),if(countif('R3_G2'!$A$8:$A$23,$A65)=1,vlookup($A65,'R3_G2'!$A$8:$Z$23, U$2+8,false),if(countif('R3_G3'!$A$8:$A$23,$A65)=1,vlookup($A65,'R3_G3'!$A$8:$Z$23, U$2+8,false),if(countif('R3_G4'!$A$8:$A$23,$A65)=1,vlookup($A65,'R3_G4'!$A$8:$Z$23, U$2+8,false),""))))</f>
        <v>4</v>
      </c>
      <c r="V65" s="1427">
        <f>if(countif('R3_G1'!$A$8:$A$23,$A65)=1,vlookup($A65,'R3_G1'!$A$8:$Z$23, V$2+8,false),if(countif('R3_G2'!$A$8:$A$23,$A65)=1,vlookup($A65,'R3_G2'!$A$8:$Z$23, V$2+8,false),if(countif('R3_G3'!$A$8:$A$23,$A65)=1,vlookup($A65,'R3_G3'!$A$8:$Z$23, V$2+8,false),if(countif('R3_G4'!$A$8:$A$23,$A65)=1,vlookup($A65,'R3_G4'!$A$8:$Z$23, V$2+8,false),""))))</f>
        <v>6</v>
      </c>
      <c r="W65" s="1428">
        <f t="shared" si="76"/>
        <v>44</v>
      </c>
      <c r="X65" s="1428">
        <f t="shared" si="77"/>
        <v>44</v>
      </c>
      <c r="Y65" s="1428">
        <f t="shared" si="82"/>
        <v>88</v>
      </c>
      <c r="Z65" s="1428">
        <f t="shared" si="83"/>
        <v>78</v>
      </c>
      <c r="AA65" s="1428">
        <f t="shared" si="84"/>
        <v>88</v>
      </c>
      <c r="AB65" s="1527"/>
      <c r="AC65" s="1423" t="str">
        <f t="shared" si="85"/>
        <v>TJSC</v>
      </c>
      <c r="AD65" s="1424">
        <f>VLOOKUP(AC65,'Master Input'!$A$11:$L$27,10,false)</f>
        <v>10</v>
      </c>
      <c r="AE65" s="1540" t="s">
        <v>266</v>
      </c>
      <c r="AF65" s="1401"/>
      <c r="AG65" s="1428">
        <f t="shared" ref="AG65:AX65" si="105">if(E65="","",E65-IF($B65&gt;0,FLOOR($B65/18,1),0)-IF(AND(MOD($B65,18)&gt;=E$51,$B65&gt;0),1,0)+IF(E$51-18&gt;$B65,1,0))</f>
        <v>5</v>
      </c>
      <c r="AH65" s="1428">
        <f t="shared" si="105"/>
        <v>5</v>
      </c>
      <c r="AI65" s="1428">
        <f t="shared" si="105"/>
        <v>3</v>
      </c>
      <c r="AJ65" s="1428">
        <f t="shared" si="105"/>
        <v>5</v>
      </c>
      <c r="AK65" s="1428">
        <f t="shared" si="105"/>
        <v>4</v>
      </c>
      <c r="AL65" s="1428">
        <f t="shared" si="105"/>
        <v>4</v>
      </c>
      <c r="AM65" s="1428">
        <f t="shared" si="105"/>
        <v>5</v>
      </c>
      <c r="AN65" s="1428">
        <f t="shared" si="105"/>
        <v>3</v>
      </c>
      <c r="AO65" s="1428">
        <f t="shared" si="105"/>
        <v>5</v>
      </c>
      <c r="AP65" s="1429">
        <f t="shared" si="105"/>
        <v>3</v>
      </c>
      <c r="AQ65" s="1429">
        <f t="shared" si="105"/>
        <v>5</v>
      </c>
      <c r="AR65" s="1429">
        <f t="shared" si="105"/>
        <v>4</v>
      </c>
      <c r="AS65" s="1429">
        <f t="shared" si="105"/>
        <v>5</v>
      </c>
      <c r="AT65" s="1429">
        <f t="shared" si="105"/>
        <v>4</v>
      </c>
      <c r="AU65" s="1429">
        <f t="shared" si="105"/>
        <v>3</v>
      </c>
      <c r="AV65" s="1429">
        <f t="shared" si="105"/>
        <v>6</v>
      </c>
      <c r="AW65" s="1429">
        <f t="shared" si="105"/>
        <v>4</v>
      </c>
      <c r="AX65" s="1429">
        <f t="shared" si="105"/>
        <v>5</v>
      </c>
      <c r="AY65" s="1428">
        <f t="shared" si="79"/>
        <v>39</v>
      </c>
      <c r="AZ65" s="1428">
        <f t="shared" si="80"/>
        <v>39</v>
      </c>
      <c r="BA65" s="1428">
        <f t="shared" si="87"/>
        <v>78</v>
      </c>
      <c r="BB65" s="1430" t="str">
        <f>if(countif('R3_G1'!$A$8:$A$23,$A65)=1, if(and(BA65=Z65,BA65=vlookup($A65,'R3_G1'!$A$8:$AC$23, 29,false)),"yes","no"),
if(countif('R3_G2'!$A$8:$A$23,$A65)=1, if(and(BA65=Z65,BA65=vlookup($A65,'R3_G2'!$A$8:$AC$23, 29,false)),"yes","no"),
if(countif('R3_G3'!$A$8:$A$23,$A65)=1, if(and(BA65=Z65,BA65=vlookup($A65,'R3_G3'!$A$8:$AC$23, 29,false)),"yes","no"),
if(countif('R3_G4'!$A$8:$A$23,$A65)=1, if(and(BA65=Z65,BA65=vlookup($A65,'R3_G4'!$A$8:$AC$23, 29,false)),"yes","no"),
"?"))))
</f>
        <v>yes</v>
      </c>
      <c r="BC65" s="1527"/>
      <c r="BD65" s="1441">
        <f t="shared" si="88"/>
        <v>6.5</v>
      </c>
      <c r="BE65" s="1442">
        <f t="shared" si="89"/>
        <v>8.333333333</v>
      </c>
      <c r="BF65" s="1442">
        <f t="shared" si="90"/>
        <v>0</v>
      </c>
      <c r="BG65" s="1442">
        <f t="shared" si="91"/>
        <v>3</v>
      </c>
      <c r="BH65" s="1442">
        <f t="shared" si="92"/>
        <v>7</v>
      </c>
      <c r="BI65" s="1442">
        <f t="shared" si="93"/>
        <v>7</v>
      </c>
      <c r="BJ65" s="1442">
        <f t="shared" si="94"/>
        <v>1</v>
      </c>
    </row>
    <row r="66" ht="14.25" customHeight="1">
      <c r="A66" s="1434" t="str">
        <f t="shared" si="81"/>
        <v>Weezy</v>
      </c>
      <c r="B66" s="1435">
        <f>VLOOKUP(A66,'Master Input'!$A$11:$L$27,10,false)</f>
        <v>10</v>
      </c>
      <c r="C66" s="1436"/>
      <c r="D66" s="1401"/>
      <c r="E66" s="1437">
        <f>if(countif('R3_G1'!$A$8:$A$23,$A66)=1,vlookup($A66,'R3_G1'!$A$8:$Z$23, E$2+2,false),if(countif('R3_G2'!$A$8:$A$23,$A66)=1,vlookup($A66,'R3_G2'!$A$8:$Z$23, E$2+2,false),if(countif('R3_G3'!$A$8:$A$23,$A66)=1,vlookup($A66,'R3_G3'!$A$8:$Z$23, E$2+2,false),if(countif('R3_G4'!$A$8:$A$23,$A66)=1,vlookup($A66,'R3_G4'!$A$8:$Z$23, E$2+2,false),""))))</f>
        <v>5</v>
      </c>
      <c r="F66" s="1437">
        <f>if(countif('R3_G1'!$A$8:$A$23,$A66)=1,vlookup($A66,'R3_G1'!$A$8:$Z$23, F$2+2,false),if(countif('R3_G2'!$A$8:$A$23,$A66)=1,vlookup($A66,'R3_G2'!$A$8:$Z$23, F$2+2,false),if(countif('R3_G3'!$A$8:$A$23,$A66)=1,vlookup($A66,'R3_G3'!$A$8:$Z$23, F$2+2,false),if(countif('R3_G4'!$A$8:$A$23,$A66)=1,vlookup($A66,'R3_G4'!$A$8:$Z$23, F$2+2,false),""))))</f>
        <v>5</v>
      </c>
      <c r="G66" s="1437">
        <f>if(countif('R3_G1'!$A$8:$A$23,$A66)=1,vlookup($A66,'R3_G1'!$A$8:$Z$23, G$2+2,false),if(countif('R3_G2'!$A$8:$A$23,$A66)=1,vlookup($A66,'R3_G2'!$A$8:$Z$23, G$2+2,false),if(countif('R3_G3'!$A$8:$A$23,$A66)=1,vlookup($A66,'R3_G3'!$A$8:$Z$23, G$2+2,false),if(countif('R3_G4'!$A$8:$A$23,$A66)=1,vlookup($A66,'R3_G4'!$A$8:$Z$23, G$2+2,false),""))))</f>
        <v>3</v>
      </c>
      <c r="H66" s="1437">
        <f>if(countif('R3_G1'!$A$8:$A$23,$A66)=1,vlookup($A66,'R3_G1'!$A$8:$Z$23, H$2+2,false),if(countif('R3_G2'!$A$8:$A$23,$A66)=1,vlookup($A66,'R3_G2'!$A$8:$Z$23, H$2+2,false),if(countif('R3_G3'!$A$8:$A$23,$A66)=1,vlookup($A66,'R3_G3'!$A$8:$Z$23, H$2+2,false),if(countif('R3_G4'!$A$8:$A$23,$A66)=1,vlookup($A66,'R3_G4'!$A$8:$Z$23, H$2+2,false),""))))</f>
        <v>8</v>
      </c>
      <c r="I66" s="1437">
        <f>if(countif('R3_G1'!$A$8:$A$23,$A66)=1,vlookup($A66,'R3_G1'!$A$8:$Z$23, I$2+2,false),if(countif('R3_G2'!$A$8:$A$23,$A66)=1,vlookup($A66,'R3_G2'!$A$8:$Z$23, I$2+2,false),if(countif('R3_G3'!$A$8:$A$23,$A66)=1,vlookup($A66,'R3_G3'!$A$8:$Z$23, I$2+2,false),if(countif('R3_G4'!$A$8:$A$23,$A66)=1,vlookup($A66,'R3_G4'!$A$8:$Z$23, I$2+2,false),""))))</f>
        <v>6</v>
      </c>
      <c r="J66" s="1437">
        <f>if(countif('R3_G1'!$A$8:$A$23,$A66)=1,vlookup($A66,'R3_G1'!$A$8:$Z$23, J$2+2,false),if(countif('R3_G2'!$A$8:$A$23,$A66)=1,vlookup($A66,'R3_G2'!$A$8:$Z$23, J$2+2,false),if(countif('R3_G3'!$A$8:$A$23,$A66)=1,vlookup($A66,'R3_G3'!$A$8:$Z$23, J$2+2,false),if(countif('R3_G4'!$A$8:$A$23,$A66)=1,vlookup($A66,'R3_G4'!$A$8:$Z$23, J$2+2,false),""))))</f>
        <v>6</v>
      </c>
      <c r="K66" s="1437">
        <f>if(countif('R3_G1'!$A$8:$A$23,$A66)=1,vlookup($A66,'R3_G1'!$A$8:$Z$23, K$2+2,false),if(countif('R3_G2'!$A$8:$A$23,$A66)=1,vlookup($A66,'R3_G2'!$A$8:$Z$23, K$2+2,false),if(countif('R3_G3'!$A$8:$A$23,$A66)=1,vlookup($A66,'R3_G3'!$A$8:$Z$23, K$2+2,false),if(countif('R3_G4'!$A$8:$A$23,$A66)=1,vlookup($A66,'R3_G4'!$A$8:$Z$23, K$2+2,false),""))))</f>
        <v>4</v>
      </c>
      <c r="L66" s="1437">
        <f>if(countif('R3_G1'!$A$8:$A$23,$A66)=1,vlookup($A66,'R3_G1'!$A$8:$Z$23, L$2+2,false),if(countif('R3_G2'!$A$8:$A$23,$A66)=1,vlookup($A66,'R3_G2'!$A$8:$Z$23, L$2+2,false),if(countif('R3_G3'!$A$8:$A$23,$A66)=1,vlookup($A66,'R3_G3'!$A$8:$Z$23, L$2+2,false),if(countif('R3_G4'!$A$8:$A$23,$A66)=1,vlookup($A66,'R3_G4'!$A$8:$Z$23, L$2+2,false),""))))</f>
        <v>3</v>
      </c>
      <c r="M66" s="1437">
        <f>if(countif('R3_G1'!$A$8:$A$23,$A66)=1,vlookup($A66,'R3_G1'!$A$8:$Z$23, M$2+2,false),if(countif('R3_G2'!$A$8:$A$23,$A66)=1,vlookup($A66,'R3_G2'!$A$8:$Z$23, M$2+2,false),if(countif('R3_G3'!$A$8:$A$23,$A66)=1,vlookup($A66,'R3_G3'!$A$8:$Z$23, M$2+2,false),if(countif('R3_G4'!$A$8:$A$23,$A66)=1,vlookup($A66,'R3_G4'!$A$8:$Z$23, M$2+2,false),""))))</f>
        <v>4</v>
      </c>
      <c r="N66" s="1426">
        <f>if(countif('R3_G1'!$A$8:$A$23,$A66)=1,vlookup($A66,'R3_G1'!$A$8:$Z$23, N$2+8,false),if(countif('R3_G2'!$A$8:$A$23,$A66)=1,vlookup($A66,'R3_G2'!$A$8:$Z$23, N$2+8,false),if(countif('R3_G3'!$A$8:$A$23,$A66)=1,vlookup($A66,'R3_G3'!$A$8:$Z$23, N$2+8,false),if(countif('R3_G4'!$A$8:$A$23,$A66)=1,vlookup($A66,'R3_G4'!$A$8:$Z$23, N$2+8,false),""))))</f>
        <v>7</v>
      </c>
      <c r="O66" s="1426">
        <f>if(countif('R3_G1'!$A$8:$A$23,$A66)=1,vlookup($A66,'R3_G1'!$A$8:$Z$23, O$2+8,false),if(countif('R3_G2'!$A$8:$A$23,$A66)=1,vlookup($A66,'R3_G2'!$A$8:$Z$23, O$2+8,false),if(countif('R3_G3'!$A$8:$A$23,$A66)=1,vlookup($A66,'R3_G3'!$A$8:$Z$23, O$2+8,false),if(countif('R3_G4'!$A$8:$A$23,$A66)=1,vlookup($A66,'R3_G4'!$A$8:$Z$23, O$2+8,false),""))))</f>
        <v>5</v>
      </c>
      <c r="P66" s="1426">
        <f>if(countif('R3_G1'!$A$8:$A$23,$A66)=1,vlookup($A66,'R3_G1'!$A$8:$Z$23, P$2+8,false),if(countif('R3_G2'!$A$8:$A$23,$A66)=1,vlookup($A66,'R3_G2'!$A$8:$Z$23, P$2+8,false),if(countif('R3_G3'!$A$8:$A$23,$A66)=1,vlookup($A66,'R3_G3'!$A$8:$Z$23, P$2+8,false),if(countif('R3_G4'!$A$8:$A$23,$A66)=1,vlookup($A66,'R3_G4'!$A$8:$Z$23, P$2+8,false),""))))</f>
        <v>3</v>
      </c>
      <c r="Q66" s="1426">
        <f>if(countif('R3_G1'!$A$8:$A$23,$A66)=1,vlookup($A66,'R3_G1'!$A$8:$Z$23, Q$2+8,false),if(countif('R3_G2'!$A$8:$A$23,$A66)=1,vlookup($A66,'R3_G2'!$A$8:$Z$23, Q$2+8,false),if(countif('R3_G3'!$A$8:$A$23,$A66)=1,vlookup($A66,'R3_G3'!$A$8:$Z$23, Q$2+8,false),if(countif('R3_G4'!$A$8:$A$23,$A66)=1,vlookup($A66,'R3_G4'!$A$8:$Z$23, Q$2+8,false),""))))</f>
        <v>5</v>
      </c>
      <c r="R66" s="1426">
        <f>if(countif('R3_G1'!$A$8:$A$23,$A66)=1,vlookup($A66,'R3_G1'!$A$8:$Z$23, R$2+8,false),if(countif('R3_G2'!$A$8:$A$23,$A66)=1,vlookup($A66,'R3_G2'!$A$8:$Z$23, R$2+8,false),if(countif('R3_G3'!$A$8:$A$23,$A66)=1,vlookup($A66,'R3_G3'!$A$8:$Z$23, R$2+8,false),if(countif('R3_G4'!$A$8:$A$23,$A66)=1,vlookup($A66,'R3_G4'!$A$8:$Z$23, R$2+8,false),""))))</f>
        <v>6</v>
      </c>
      <c r="S66" s="1426">
        <f>if(countif('R3_G1'!$A$8:$A$23,$A66)=1,vlookup($A66,'R3_G1'!$A$8:$Z$23, S$2+8,false),if(countif('R3_G2'!$A$8:$A$23,$A66)=1,vlookup($A66,'R3_G2'!$A$8:$Z$23, S$2+8,false),if(countif('R3_G3'!$A$8:$A$23,$A66)=1,vlookup($A66,'R3_G3'!$A$8:$Z$23, S$2+8,false),if(countif('R3_G4'!$A$8:$A$23,$A66)=1,vlookup($A66,'R3_G4'!$A$8:$Z$23, S$2+8,false),""))))</f>
        <v>5</v>
      </c>
      <c r="T66" s="1426">
        <f>if(countif('R3_G1'!$A$8:$A$23,$A66)=1,vlookup($A66,'R3_G1'!$A$8:$Z$23, T$2+8,false),if(countif('R3_G2'!$A$8:$A$23,$A66)=1,vlookup($A66,'R3_G2'!$A$8:$Z$23, T$2+8,false),if(countif('R3_G3'!$A$8:$A$23,$A66)=1,vlookup($A66,'R3_G3'!$A$8:$Z$23, T$2+8,false),if(countif('R3_G4'!$A$8:$A$23,$A66)=1,vlookup($A66,'R3_G4'!$A$8:$Z$23, T$2+8,false),""))))</f>
        <v>6</v>
      </c>
      <c r="U66" s="1426">
        <f>if(countif('R3_G1'!$A$8:$A$23,$A66)=1,vlookup($A66,'R3_G1'!$A$8:$Z$23, U$2+8,false),if(countif('R3_G2'!$A$8:$A$23,$A66)=1,vlookup($A66,'R3_G2'!$A$8:$Z$23, U$2+8,false),if(countif('R3_G3'!$A$8:$A$23,$A66)=1,vlookup($A66,'R3_G3'!$A$8:$Z$23, U$2+8,false),if(countif('R3_G4'!$A$8:$A$23,$A66)=1,vlookup($A66,'R3_G4'!$A$8:$Z$23, U$2+8,false),""))))</f>
        <v>3</v>
      </c>
      <c r="V66" s="1426">
        <f>if(countif('R3_G1'!$A$8:$A$23,$A66)=1,vlookup($A66,'R3_G1'!$A$8:$Z$23, V$2+8,false),if(countif('R3_G2'!$A$8:$A$23,$A66)=1,vlookup($A66,'R3_G2'!$A$8:$Z$23, V$2+8,false),if(countif('R3_G3'!$A$8:$A$23,$A66)=1,vlookup($A66,'R3_G3'!$A$8:$Z$23, V$2+8,false),if(countif('R3_G4'!$A$8:$A$23,$A66)=1,vlookup($A66,'R3_G4'!$A$8:$Z$23, V$2+8,false),""))))</f>
        <v>7</v>
      </c>
      <c r="W66" s="1438">
        <f t="shared" si="76"/>
        <v>44</v>
      </c>
      <c r="X66" s="1438">
        <f t="shared" si="77"/>
        <v>47</v>
      </c>
      <c r="Y66" s="1438">
        <f t="shared" si="82"/>
        <v>91</v>
      </c>
      <c r="Z66" s="1438">
        <f t="shared" si="83"/>
        <v>81</v>
      </c>
      <c r="AA66" s="1438">
        <f t="shared" si="84"/>
        <v>91</v>
      </c>
      <c r="AB66" s="1527"/>
      <c r="AC66" s="1423" t="str">
        <f t="shared" si="85"/>
        <v>Weezy</v>
      </c>
      <c r="AD66" s="1435">
        <f>VLOOKUP(AC66,'Master Input'!$A$11:$L$27,10,false)</f>
        <v>10</v>
      </c>
      <c r="AE66" s="1539" t="s">
        <v>266</v>
      </c>
      <c r="AF66" s="1401"/>
      <c r="AG66" s="1438">
        <f t="shared" ref="AG66:AX66" si="106">if(E66="","",E66-IF($B66&gt;0,FLOOR($B66/18,1),0)-IF(AND(MOD($B66,18)&gt;=E$51,$B66&gt;0),1,0)+IF(E$51-18&gt;$B66,1,0))</f>
        <v>4</v>
      </c>
      <c r="AH66" s="1438">
        <f t="shared" si="106"/>
        <v>5</v>
      </c>
      <c r="AI66" s="1438">
        <f t="shared" si="106"/>
        <v>3</v>
      </c>
      <c r="AJ66" s="1438">
        <f t="shared" si="106"/>
        <v>7</v>
      </c>
      <c r="AK66" s="1438">
        <f t="shared" si="106"/>
        <v>5</v>
      </c>
      <c r="AL66" s="1438">
        <f t="shared" si="106"/>
        <v>5</v>
      </c>
      <c r="AM66" s="1438">
        <f t="shared" si="106"/>
        <v>4</v>
      </c>
      <c r="AN66" s="1438">
        <f t="shared" si="106"/>
        <v>3</v>
      </c>
      <c r="AO66" s="1438">
        <f t="shared" si="106"/>
        <v>3</v>
      </c>
      <c r="AP66" s="1426">
        <f t="shared" si="106"/>
        <v>6</v>
      </c>
      <c r="AQ66" s="1426">
        <f t="shared" si="106"/>
        <v>4</v>
      </c>
      <c r="AR66" s="1426">
        <f t="shared" si="106"/>
        <v>3</v>
      </c>
      <c r="AS66" s="1426">
        <f t="shared" si="106"/>
        <v>5</v>
      </c>
      <c r="AT66" s="1426">
        <f t="shared" si="106"/>
        <v>5</v>
      </c>
      <c r="AU66" s="1426">
        <f t="shared" si="106"/>
        <v>4</v>
      </c>
      <c r="AV66" s="1426">
        <f t="shared" si="106"/>
        <v>6</v>
      </c>
      <c r="AW66" s="1426">
        <f t="shared" si="106"/>
        <v>3</v>
      </c>
      <c r="AX66" s="1426">
        <f t="shared" si="106"/>
        <v>6</v>
      </c>
      <c r="AY66" s="1438">
        <f t="shared" si="79"/>
        <v>39</v>
      </c>
      <c r="AZ66" s="1438">
        <f t="shared" si="80"/>
        <v>42</v>
      </c>
      <c r="BA66" s="1438">
        <f t="shared" si="87"/>
        <v>81</v>
      </c>
      <c r="BB66" s="1436" t="str">
        <f>if(countif('R3_G1'!$A$8:$A$23,$A66)=1, if(and(BA66=Z66,BA66=vlookup($A66,'R3_G1'!$A$8:$AC$23, 29,false)),"yes","no"),
if(countif('R3_G2'!$A$8:$A$23,$A66)=1, if(and(BA66=Z66,BA66=vlookup($A66,'R3_G2'!$A$8:$AC$23, 29,false)),"yes","no"),
if(countif('R3_G3'!$A$8:$A$23,$A66)=1, if(and(BA66=Z66,BA66=vlookup($A66,'R3_G3'!$A$8:$AC$23, 29,false)),"yes","no"),
if(countif('R3_G4'!$A$8:$A$23,$A66)=1, if(and(BA66=Z66,BA66=vlookup($A66,'R3_G4'!$A$8:$AC$23, 29,false)),"yes","no"),
"?"))))
</f>
        <v>yes</v>
      </c>
      <c r="BC66" s="1527"/>
      <c r="BD66" s="1439">
        <f t="shared" si="88"/>
        <v>5.5</v>
      </c>
      <c r="BE66" s="1440">
        <f t="shared" si="89"/>
        <v>7.933333333</v>
      </c>
      <c r="BF66" s="1440">
        <f t="shared" si="90"/>
        <v>1</v>
      </c>
      <c r="BG66" s="1440">
        <f t="shared" si="91"/>
        <v>0</v>
      </c>
      <c r="BH66" s="1440">
        <f t="shared" si="92"/>
        <v>9</v>
      </c>
      <c r="BI66" s="1440">
        <f t="shared" si="93"/>
        <v>5</v>
      </c>
      <c r="BJ66" s="1440">
        <f t="shared" si="94"/>
        <v>3</v>
      </c>
    </row>
    <row r="67" ht="14.25" customHeight="1">
      <c r="A67" s="1423" t="str">
        <f t="shared" si="81"/>
        <v>Joe O</v>
      </c>
      <c r="B67" s="1424">
        <f>VLOOKUP(A67,'Master Input'!$A$11:$L$27,10,false)</f>
        <v>13</v>
      </c>
      <c r="C67" s="1430"/>
      <c r="D67" s="1401"/>
      <c r="E67" s="1426">
        <f>if(countif('R3_G1'!$A$8:$A$23,$A67)=1,vlookup($A67,'R3_G1'!$A$8:$Z$23, E$2+2,false),if(countif('R3_G2'!$A$8:$A$23,$A67)=1,vlookup($A67,'R3_G2'!$A$8:$Z$23, E$2+2,false),if(countif('R3_G3'!$A$8:$A$23,$A67)=1,vlookup($A67,'R3_G3'!$A$8:$Z$23, E$2+2,false),if(countif('R3_G4'!$A$8:$A$23,$A67)=1,vlookup($A67,'R3_G4'!$A$8:$Z$23, E$2+2,false),""))))</f>
        <v>6</v>
      </c>
      <c r="F67" s="1426">
        <f>if(countif('R3_G1'!$A$8:$A$23,$A67)=1,vlookup($A67,'R3_G1'!$A$8:$Z$23, F$2+2,false),if(countif('R3_G2'!$A$8:$A$23,$A67)=1,vlookup($A67,'R3_G2'!$A$8:$Z$23, F$2+2,false),if(countif('R3_G3'!$A$8:$A$23,$A67)=1,vlookup($A67,'R3_G3'!$A$8:$Z$23, F$2+2,false),if(countif('R3_G4'!$A$8:$A$23,$A67)=1,vlookup($A67,'R3_G4'!$A$8:$Z$23, F$2+2,false),""))))</f>
        <v>4</v>
      </c>
      <c r="G67" s="1426">
        <f>if(countif('R3_G1'!$A$8:$A$23,$A67)=1,vlookup($A67,'R3_G1'!$A$8:$Z$23, G$2+2,false),if(countif('R3_G2'!$A$8:$A$23,$A67)=1,vlookup($A67,'R3_G2'!$A$8:$Z$23, G$2+2,false),if(countif('R3_G3'!$A$8:$A$23,$A67)=1,vlookup($A67,'R3_G3'!$A$8:$Z$23, G$2+2,false),if(countif('R3_G4'!$A$8:$A$23,$A67)=1,vlookup($A67,'R3_G4'!$A$8:$Z$23, G$2+2,false),""))))</f>
        <v>3</v>
      </c>
      <c r="H67" s="1426">
        <f>if(countif('R3_G1'!$A$8:$A$23,$A67)=1,vlookup($A67,'R3_G1'!$A$8:$Z$23, H$2+2,false),if(countif('R3_G2'!$A$8:$A$23,$A67)=1,vlookup($A67,'R3_G2'!$A$8:$Z$23, H$2+2,false),if(countif('R3_G3'!$A$8:$A$23,$A67)=1,vlookup($A67,'R3_G3'!$A$8:$Z$23, H$2+2,false),if(countif('R3_G4'!$A$8:$A$23,$A67)=1,vlookup($A67,'R3_G4'!$A$8:$Z$23, H$2+2,false),""))))</f>
        <v>4</v>
      </c>
      <c r="I67" s="1426">
        <f>if(countif('R3_G1'!$A$8:$A$23,$A67)=1,vlookup($A67,'R3_G1'!$A$8:$Z$23, I$2+2,false),if(countif('R3_G2'!$A$8:$A$23,$A67)=1,vlookup($A67,'R3_G2'!$A$8:$Z$23, I$2+2,false),if(countif('R3_G3'!$A$8:$A$23,$A67)=1,vlookup($A67,'R3_G3'!$A$8:$Z$23, I$2+2,false),if(countif('R3_G4'!$A$8:$A$23,$A67)=1,vlookup($A67,'R3_G4'!$A$8:$Z$23, I$2+2,false),""))))</f>
        <v>7</v>
      </c>
      <c r="J67" s="1426">
        <f>if(countif('R3_G1'!$A$8:$A$23,$A67)=1,vlookup($A67,'R3_G1'!$A$8:$Z$23, J$2+2,false),if(countif('R3_G2'!$A$8:$A$23,$A67)=1,vlookup($A67,'R3_G2'!$A$8:$Z$23, J$2+2,false),if(countif('R3_G3'!$A$8:$A$23,$A67)=1,vlookup($A67,'R3_G3'!$A$8:$Z$23, J$2+2,false),if(countif('R3_G4'!$A$8:$A$23,$A67)=1,vlookup($A67,'R3_G4'!$A$8:$Z$23, J$2+2,false),""))))</f>
        <v>6</v>
      </c>
      <c r="K67" s="1426">
        <f>if(countif('R3_G1'!$A$8:$A$23,$A67)=1,vlookup($A67,'R3_G1'!$A$8:$Z$23, K$2+2,false),if(countif('R3_G2'!$A$8:$A$23,$A67)=1,vlookup($A67,'R3_G2'!$A$8:$Z$23, K$2+2,false),if(countif('R3_G3'!$A$8:$A$23,$A67)=1,vlookup($A67,'R3_G3'!$A$8:$Z$23, K$2+2,false),if(countif('R3_G4'!$A$8:$A$23,$A67)=1,vlookup($A67,'R3_G4'!$A$8:$Z$23, K$2+2,false),""))))</f>
        <v>4</v>
      </c>
      <c r="L67" s="1426">
        <f>if(countif('R3_G1'!$A$8:$A$23,$A67)=1,vlookup($A67,'R3_G1'!$A$8:$Z$23, L$2+2,false),if(countif('R3_G2'!$A$8:$A$23,$A67)=1,vlookup($A67,'R3_G2'!$A$8:$Z$23, L$2+2,false),if(countif('R3_G3'!$A$8:$A$23,$A67)=1,vlookup($A67,'R3_G3'!$A$8:$Z$23, L$2+2,false),if(countif('R3_G4'!$A$8:$A$23,$A67)=1,vlookup($A67,'R3_G4'!$A$8:$Z$23, L$2+2,false),""))))</f>
        <v>3</v>
      </c>
      <c r="M67" s="1426">
        <f>if(countif('R3_G1'!$A$8:$A$23,$A67)=1,vlookup($A67,'R3_G1'!$A$8:$Z$23, M$2+2,false),if(countif('R3_G2'!$A$8:$A$23,$A67)=1,vlookup($A67,'R3_G2'!$A$8:$Z$23, M$2+2,false),if(countif('R3_G3'!$A$8:$A$23,$A67)=1,vlookup($A67,'R3_G3'!$A$8:$Z$23, M$2+2,false),if(countif('R3_G4'!$A$8:$A$23,$A67)=1,vlookup($A67,'R3_G4'!$A$8:$Z$23, M$2+2,false),""))))</f>
        <v>6</v>
      </c>
      <c r="N67" s="1427">
        <f>if(countif('R3_G1'!$A$8:$A$23,$A67)=1,vlookup($A67,'R3_G1'!$A$8:$Z$23, N$2+8,false),if(countif('R3_G2'!$A$8:$A$23,$A67)=1,vlookup($A67,'R3_G2'!$A$8:$Z$23, N$2+8,false),if(countif('R3_G3'!$A$8:$A$23,$A67)=1,vlookup($A67,'R3_G3'!$A$8:$Z$23, N$2+8,false),if(countif('R3_G4'!$A$8:$A$23,$A67)=1,vlookup($A67,'R3_G4'!$A$8:$Z$23, N$2+8,false),""))))</f>
        <v>4</v>
      </c>
      <c r="O67" s="1427">
        <f>if(countif('R3_G1'!$A$8:$A$23,$A67)=1,vlookup($A67,'R3_G1'!$A$8:$Z$23, O$2+8,false),if(countif('R3_G2'!$A$8:$A$23,$A67)=1,vlookup($A67,'R3_G2'!$A$8:$Z$23, O$2+8,false),if(countif('R3_G3'!$A$8:$A$23,$A67)=1,vlookup($A67,'R3_G3'!$A$8:$Z$23, O$2+8,false),if(countif('R3_G4'!$A$8:$A$23,$A67)=1,vlookup($A67,'R3_G4'!$A$8:$Z$23, O$2+8,false),""))))</f>
        <v>5</v>
      </c>
      <c r="P67" s="1427">
        <f>if(countif('R3_G1'!$A$8:$A$23,$A67)=1,vlookup($A67,'R3_G1'!$A$8:$Z$23, P$2+8,false),if(countif('R3_G2'!$A$8:$A$23,$A67)=1,vlookup($A67,'R3_G2'!$A$8:$Z$23, P$2+8,false),if(countif('R3_G3'!$A$8:$A$23,$A67)=1,vlookup($A67,'R3_G3'!$A$8:$Z$23, P$2+8,false),if(countif('R3_G4'!$A$8:$A$23,$A67)=1,vlookup($A67,'R3_G4'!$A$8:$Z$23, P$2+8,false),""))))</f>
        <v>4</v>
      </c>
      <c r="Q67" s="1427">
        <f>if(countif('R3_G1'!$A$8:$A$23,$A67)=1,vlookup($A67,'R3_G1'!$A$8:$Z$23, Q$2+8,false),if(countif('R3_G2'!$A$8:$A$23,$A67)=1,vlookup($A67,'R3_G2'!$A$8:$Z$23, Q$2+8,false),if(countif('R3_G3'!$A$8:$A$23,$A67)=1,vlookup($A67,'R3_G3'!$A$8:$Z$23, Q$2+8,false),if(countif('R3_G4'!$A$8:$A$23,$A67)=1,vlookup($A67,'R3_G4'!$A$8:$Z$23, Q$2+8,false),""))))</f>
        <v>5</v>
      </c>
      <c r="R67" s="1427">
        <f>if(countif('R3_G1'!$A$8:$A$23,$A67)=1,vlookup($A67,'R3_G1'!$A$8:$Z$23, R$2+8,false),if(countif('R3_G2'!$A$8:$A$23,$A67)=1,vlookup($A67,'R3_G2'!$A$8:$Z$23, R$2+8,false),if(countif('R3_G3'!$A$8:$A$23,$A67)=1,vlookup($A67,'R3_G3'!$A$8:$Z$23, R$2+8,false),if(countif('R3_G4'!$A$8:$A$23,$A67)=1,vlookup($A67,'R3_G4'!$A$8:$Z$23, R$2+8,false),""))))</f>
        <v>6</v>
      </c>
      <c r="S67" s="1427">
        <f>if(countif('R3_G1'!$A$8:$A$23,$A67)=1,vlookup($A67,'R3_G1'!$A$8:$Z$23, S$2+8,false),if(countif('R3_G2'!$A$8:$A$23,$A67)=1,vlookup($A67,'R3_G2'!$A$8:$Z$23, S$2+8,false),if(countif('R3_G3'!$A$8:$A$23,$A67)=1,vlookup($A67,'R3_G3'!$A$8:$Z$23, S$2+8,false),if(countif('R3_G4'!$A$8:$A$23,$A67)=1,vlookup($A67,'R3_G4'!$A$8:$Z$23, S$2+8,false),""))))</f>
        <v>6</v>
      </c>
      <c r="T67" s="1427">
        <f>if(countif('R3_G1'!$A$8:$A$23,$A67)=1,vlookup($A67,'R3_G1'!$A$8:$Z$23, T$2+8,false),if(countif('R3_G2'!$A$8:$A$23,$A67)=1,vlookup($A67,'R3_G2'!$A$8:$Z$23, T$2+8,false),if(countif('R3_G3'!$A$8:$A$23,$A67)=1,vlookup($A67,'R3_G3'!$A$8:$Z$23, T$2+8,false),if(countif('R3_G4'!$A$8:$A$23,$A67)=1,vlookup($A67,'R3_G4'!$A$8:$Z$23, T$2+8,false),""))))</f>
        <v>4</v>
      </c>
      <c r="U67" s="1427">
        <f>if(countif('R3_G1'!$A$8:$A$23,$A67)=1,vlookup($A67,'R3_G1'!$A$8:$Z$23, U$2+8,false),if(countif('R3_G2'!$A$8:$A$23,$A67)=1,vlookup($A67,'R3_G2'!$A$8:$Z$23, U$2+8,false),if(countif('R3_G3'!$A$8:$A$23,$A67)=1,vlookup($A67,'R3_G3'!$A$8:$Z$23, U$2+8,false),if(countif('R3_G4'!$A$8:$A$23,$A67)=1,vlookup($A67,'R3_G4'!$A$8:$Z$23, U$2+8,false),""))))</f>
        <v>3</v>
      </c>
      <c r="V67" s="1427">
        <f>if(countif('R3_G1'!$A$8:$A$23,$A67)=1,vlookup($A67,'R3_G1'!$A$8:$Z$23, V$2+8,false),if(countif('R3_G2'!$A$8:$A$23,$A67)=1,vlookup($A67,'R3_G2'!$A$8:$Z$23, V$2+8,false),if(countif('R3_G3'!$A$8:$A$23,$A67)=1,vlookup($A67,'R3_G3'!$A$8:$Z$23, V$2+8,false),if(countif('R3_G4'!$A$8:$A$23,$A67)=1,vlookup($A67,'R3_G4'!$A$8:$Z$23, V$2+8,false),""))))</f>
        <v>5</v>
      </c>
      <c r="W67" s="1428">
        <f t="shared" si="76"/>
        <v>43</v>
      </c>
      <c r="X67" s="1428">
        <f t="shared" si="77"/>
        <v>42</v>
      </c>
      <c r="Y67" s="1428">
        <f t="shared" si="82"/>
        <v>85</v>
      </c>
      <c r="Z67" s="1428">
        <f t="shared" si="83"/>
        <v>72</v>
      </c>
      <c r="AA67" s="1428">
        <f t="shared" si="84"/>
        <v>85</v>
      </c>
      <c r="AB67" s="1527"/>
      <c r="AC67" s="1423" t="str">
        <f t="shared" si="85"/>
        <v>Joe O</v>
      </c>
      <c r="AD67" s="1424">
        <f>VLOOKUP(AC67,'Master Input'!$A$11:$L$27,10,false)</f>
        <v>13</v>
      </c>
      <c r="AE67" s="1540" t="s">
        <v>266</v>
      </c>
      <c r="AF67" s="1401"/>
      <c r="AG67" s="1428">
        <f t="shared" ref="AG67:AX67" si="107">if(E67="","",E67-IF($B67&gt;0,FLOOR($B67/18,1),0)-IF(AND(MOD($B67,18)&gt;=E$51,$B67&gt;0),1,0)+IF(E$51-18&gt;$B67,1,0))</f>
        <v>5</v>
      </c>
      <c r="AH67" s="1428">
        <f t="shared" si="107"/>
        <v>4</v>
      </c>
      <c r="AI67" s="1428">
        <f t="shared" si="107"/>
        <v>2</v>
      </c>
      <c r="AJ67" s="1428">
        <f t="shared" si="107"/>
        <v>3</v>
      </c>
      <c r="AK67" s="1428">
        <f t="shared" si="107"/>
        <v>6</v>
      </c>
      <c r="AL67" s="1428">
        <f t="shared" si="107"/>
        <v>5</v>
      </c>
      <c r="AM67" s="1428">
        <f t="shared" si="107"/>
        <v>4</v>
      </c>
      <c r="AN67" s="1428">
        <f t="shared" si="107"/>
        <v>2</v>
      </c>
      <c r="AO67" s="1428">
        <f t="shared" si="107"/>
        <v>5</v>
      </c>
      <c r="AP67" s="1429">
        <f t="shared" si="107"/>
        <v>3</v>
      </c>
      <c r="AQ67" s="1429">
        <f t="shared" si="107"/>
        <v>4</v>
      </c>
      <c r="AR67" s="1429">
        <f t="shared" si="107"/>
        <v>4</v>
      </c>
      <c r="AS67" s="1429">
        <f t="shared" si="107"/>
        <v>5</v>
      </c>
      <c r="AT67" s="1429">
        <f t="shared" si="107"/>
        <v>5</v>
      </c>
      <c r="AU67" s="1429">
        <f t="shared" si="107"/>
        <v>5</v>
      </c>
      <c r="AV67" s="1429">
        <f t="shared" si="107"/>
        <v>4</v>
      </c>
      <c r="AW67" s="1429">
        <f t="shared" si="107"/>
        <v>2</v>
      </c>
      <c r="AX67" s="1429">
        <f t="shared" si="107"/>
        <v>4</v>
      </c>
      <c r="AY67" s="1428">
        <f t="shared" si="79"/>
        <v>36</v>
      </c>
      <c r="AZ67" s="1428">
        <f t="shared" si="80"/>
        <v>36</v>
      </c>
      <c r="BA67" s="1428">
        <f t="shared" si="87"/>
        <v>72</v>
      </c>
      <c r="BB67" s="1430" t="str">
        <f>if(countif('R3_G1'!$A$8:$A$23,$A67)=1, if(and(BA67=Z67,BA67=vlookup($A67,'R3_G1'!$A$8:$AC$23, 29,false)),"yes","no"),
if(countif('R3_G2'!$A$8:$A$23,$A67)=1, if(and(BA67=Z67,BA67=vlookup($A67,'R3_G2'!$A$8:$AC$23, 29,false)),"yes","no"),
if(countif('R3_G3'!$A$8:$A$23,$A67)=1, if(and(BA67=Z67,BA67=vlookup($A67,'R3_G3'!$A$8:$AC$23, 29,false)),"yes","no"),
if(countif('R3_G4'!$A$8:$A$23,$A67)=1, if(and(BA67=Z67,BA67=vlookup($A67,'R3_G4'!$A$8:$AC$23, 29,false)),"yes","no"),
"?"))))
</f>
        <v>yes</v>
      </c>
      <c r="BC67" s="1527"/>
      <c r="BD67" s="1441">
        <f t="shared" si="88"/>
        <v>9</v>
      </c>
      <c r="BE67" s="1442">
        <f t="shared" si="89"/>
        <v>10.7</v>
      </c>
      <c r="BF67" s="1442">
        <f t="shared" si="90"/>
        <v>1</v>
      </c>
      <c r="BG67" s="1442">
        <f t="shared" si="91"/>
        <v>5</v>
      </c>
      <c r="BH67" s="1442">
        <f t="shared" si="92"/>
        <v>6</v>
      </c>
      <c r="BI67" s="1442">
        <f t="shared" si="93"/>
        <v>5</v>
      </c>
      <c r="BJ67" s="1442">
        <f t="shared" si="94"/>
        <v>1</v>
      </c>
    </row>
    <row r="68" ht="14.25" customHeight="1">
      <c r="A68" s="1434" t="str">
        <f t="shared" si="81"/>
        <v>Hile</v>
      </c>
      <c r="B68" s="1435">
        <f>VLOOKUP(A68,'Master Input'!$A$11:$L$27,10,false)</f>
        <v>23</v>
      </c>
      <c r="C68" s="1436"/>
      <c r="D68" s="1401"/>
      <c r="E68" s="1437">
        <f>if(countif('R3_G1'!$A$8:$A$23,$A68)=1,vlookup($A68,'R3_G1'!$A$8:$Z$23, E$2+2,false),if(countif('R3_G2'!$A$8:$A$23,$A68)=1,vlookup($A68,'R3_G2'!$A$8:$Z$23, E$2+2,false),if(countif('R3_G3'!$A$8:$A$23,$A68)=1,vlookup($A68,'R3_G3'!$A$8:$Z$23, E$2+2,false),if(countif('R3_G4'!$A$8:$A$23,$A68)=1,vlookup($A68,'R3_G4'!$A$8:$Z$23, E$2+2,false),""))))</f>
        <v>6</v>
      </c>
      <c r="F68" s="1437">
        <f>if(countif('R3_G1'!$A$8:$A$23,$A68)=1,vlookup($A68,'R3_G1'!$A$8:$Z$23, F$2+2,false),if(countif('R3_G2'!$A$8:$A$23,$A68)=1,vlookup($A68,'R3_G2'!$A$8:$Z$23, F$2+2,false),if(countif('R3_G3'!$A$8:$A$23,$A68)=1,vlookup($A68,'R3_G3'!$A$8:$Z$23, F$2+2,false),if(countif('R3_G4'!$A$8:$A$23,$A68)=1,vlookup($A68,'R3_G4'!$A$8:$Z$23, F$2+2,false),""))))</f>
        <v>6</v>
      </c>
      <c r="G68" s="1437">
        <f>if(countif('R3_G1'!$A$8:$A$23,$A68)=1,vlookup($A68,'R3_G1'!$A$8:$Z$23, G$2+2,false),if(countif('R3_G2'!$A$8:$A$23,$A68)=1,vlookup($A68,'R3_G2'!$A$8:$Z$23, G$2+2,false),if(countif('R3_G3'!$A$8:$A$23,$A68)=1,vlookup($A68,'R3_G3'!$A$8:$Z$23, G$2+2,false),if(countif('R3_G4'!$A$8:$A$23,$A68)=1,vlookup($A68,'R3_G4'!$A$8:$Z$23, G$2+2,false),""))))</f>
        <v>6</v>
      </c>
      <c r="H68" s="1437">
        <f>if(countif('R3_G1'!$A$8:$A$23,$A68)=1,vlookup($A68,'R3_G1'!$A$8:$Z$23, H$2+2,false),if(countif('R3_G2'!$A$8:$A$23,$A68)=1,vlookup($A68,'R3_G2'!$A$8:$Z$23, H$2+2,false),if(countif('R3_G3'!$A$8:$A$23,$A68)=1,vlookup($A68,'R3_G3'!$A$8:$Z$23, H$2+2,false),if(countif('R3_G4'!$A$8:$A$23,$A68)=1,vlookup($A68,'R3_G4'!$A$8:$Z$23, H$2+2,false),""))))</f>
        <v>7</v>
      </c>
      <c r="I68" s="1437">
        <f>if(countif('R3_G1'!$A$8:$A$23,$A68)=1,vlookup($A68,'R3_G1'!$A$8:$Z$23, I$2+2,false),if(countif('R3_G2'!$A$8:$A$23,$A68)=1,vlookup($A68,'R3_G2'!$A$8:$Z$23, I$2+2,false),if(countif('R3_G3'!$A$8:$A$23,$A68)=1,vlookup($A68,'R3_G3'!$A$8:$Z$23, I$2+2,false),if(countif('R3_G4'!$A$8:$A$23,$A68)=1,vlookup($A68,'R3_G4'!$A$8:$Z$23, I$2+2,false),""))))</f>
        <v>6</v>
      </c>
      <c r="J68" s="1437">
        <f>if(countif('R3_G1'!$A$8:$A$23,$A68)=1,vlookup($A68,'R3_G1'!$A$8:$Z$23, J$2+2,false),if(countif('R3_G2'!$A$8:$A$23,$A68)=1,vlookup($A68,'R3_G2'!$A$8:$Z$23, J$2+2,false),if(countif('R3_G3'!$A$8:$A$23,$A68)=1,vlookup($A68,'R3_G3'!$A$8:$Z$23, J$2+2,false),if(countif('R3_G4'!$A$8:$A$23,$A68)=1,vlookup($A68,'R3_G4'!$A$8:$Z$23, J$2+2,false),""))))</f>
        <v>7</v>
      </c>
      <c r="K68" s="1437">
        <f>if(countif('R3_G1'!$A$8:$A$23,$A68)=1,vlookup($A68,'R3_G1'!$A$8:$Z$23, K$2+2,false),if(countif('R3_G2'!$A$8:$A$23,$A68)=1,vlookup($A68,'R3_G2'!$A$8:$Z$23, K$2+2,false),if(countif('R3_G3'!$A$8:$A$23,$A68)=1,vlookup($A68,'R3_G3'!$A$8:$Z$23, K$2+2,false),if(countif('R3_G4'!$A$8:$A$23,$A68)=1,vlookup($A68,'R3_G4'!$A$8:$Z$23, K$2+2,false),""))))</f>
        <v>5</v>
      </c>
      <c r="L68" s="1437">
        <f>if(countif('R3_G1'!$A$8:$A$23,$A68)=1,vlookup($A68,'R3_G1'!$A$8:$Z$23, L$2+2,false),if(countif('R3_G2'!$A$8:$A$23,$A68)=1,vlookup($A68,'R3_G2'!$A$8:$Z$23, L$2+2,false),if(countif('R3_G3'!$A$8:$A$23,$A68)=1,vlookup($A68,'R3_G3'!$A$8:$Z$23, L$2+2,false),if(countif('R3_G4'!$A$8:$A$23,$A68)=1,vlookup($A68,'R3_G4'!$A$8:$Z$23, L$2+2,false),""))))</f>
        <v>4</v>
      </c>
      <c r="M68" s="1437">
        <f>if(countif('R3_G1'!$A$8:$A$23,$A68)=1,vlookup($A68,'R3_G1'!$A$8:$Z$23, M$2+2,false),if(countif('R3_G2'!$A$8:$A$23,$A68)=1,vlookup($A68,'R3_G2'!$A$8:$Z$23, M$2+2,false),if(countif('R3_G3'!$A$8:$A$23,$A68)=1,vlookup($A68,'R3_G3'!$A$8:$Z$23, M$2+2,false),if(countif('R3_G4'!$A$8:$A$23,$A68)=1,vlookup($A68,'R3_G4'!$A$8:$Z$23, M$2+2,false),""))))</f>
        <v>8</v>
      </c>
      <c r="N68" s="1426">
        <f>if(countif('R3_G1'!$A$8:$A$23,$A68)=1,vlookup($A68,'R3_G1'!$A$8:$Z$23, N$2+8,false),if(countif('R3_G2'!$A$8:$A$23,$A68)=1,vlookup($A68,'R3_G2'!$A$8:$Z$23, N$2+8,false),if(countif('R3_G3'!$A$8:$A$23,$A68)=1,vlookup($A68,'R3_G3'!$A$8:$Z$23, N$2+8,false),if(countif('R3_G4'!$A$8:$A$23,$A68)=1,vlookup($A68,'R3_G4'!$A$8:$Z$23, N$2+8,false),""))))</f>
        <v>4</v>
      </c>
      <c r="O68" s="1426">
        <f>if(countif('R3_G1'!$A$8:$A$23,$A68)=1,vlookup($A68,'R3_G1'!$A$8:$Z$23, O$2+8,false),if(countif('R3_G2'!$A$8:$A$23,$A68)=1,vlookup($A68,'R3_G2'!$A$8:$Z$23, O$2+8,false),if(countif('R3_G3'!$A$8:$A$23,$A68)=1,vlookup($A68,'R3_G3'!$A$8:$Z$23, O$2+8,false),if(countif('R3_G4'!$A$8:$A$23,$A68)=1,vlookup($A68,'R3_G4'!$A$8:$Z$23, O$2+8,false),""))))</f>
        <v>5</v>
      </c>
      <c r="P68" s="1426">
        <f>if(countif('R3_G1'!$A$8:$A$23,$A68)=1,vlookup($A68,'R3_G1'!$A$8:$Z$23, P$2+8,false),if(countif('R3_G2'!$A$8:$A$23,$A68)=1,vlookup($A68,'R3_G2'!$A$8:$Z$23, P$2+8,false),if(countif('R3_G3'!$A$8:$A$23,$A68)=1,vlookup($A68,'R3_G3'!$A$8:$Z$23, P$2+8,false),if(countif('R3_G4'!$A$8:$A$23,$A68)=1,vlookup($A68,'R3_G4'!$A$8:$Z$23, P$2+8,false),""))))</f>
        <v>3</v>
      </c>
      <c r="Q68" s="1426">
        <f>if(countif('R3_G1'!$A$8:$A$23,$A68)=1,vlookup($A68,'R3_G1'!$A$8:$Z$23, Q$2+8,false),if(countif('R3_G2'!$A$8:$A$23,$A68)=1,vlookup($A68,'R3_G2'!$A$8:$Z$23, Q$2+8,false),if(countif('R3_G3'!$A$8:$A$23,$A68)=1,vlookup($A68,'R3_G3'!$A$8:$Z$23, Q$2+8,false),if(countif('R3_G4'!$A$8:$A$23,$A68)=1,vlookup($A68,'R3_G4'!$A$8:$Z$23, Q$2+8,false),""))))</f>
        <v>4</v>
      </c>
      <c r="R68" s="1426">
        <f>if(countif('R3_G1'!$A$8:$A$23,$A68)=1,vlookup($A68,'R3_G1'!$A$8:$Z$23, R$2+8,false),if(countif('R3_G2'!$A$8:$A$23,$A68)=1,vlookup($A68,'R3_G2'!$A$8:$Z$23, R$2+8,false),if(countif('R3_G3'!$A$8:$A$23,$A68)=1,vlookup($A68,'R3_G3'!$A$8:$Z$23, R$2+8,false),if(countif('R3_G4'!$A$8:$A$23,$A68)=1,vlookup($A68,'R3_G4'!$A$8:$Z$23, R$2+8,false),""))))</f>
        <v>7</v>
      </c>
      <c r="S68" s="1426">
        <f>if(countif('R3_G1'!$A$8:$A$23,$A68)=1,vlookup($A68,'R3_G1'!$A$8:$Z$23, S$2+8,false),if(countif('R3_G2'!$A$8:$A$23,$A68)=1,vlookup($A68,'R3_G2'!$A$8:$Z$23, S$2+8,false),if(countif('R3_G3'!$A$8:$A$23,$A68)=1,vlookup($A68,'R3_G3'!$A$8:$Z$23, S$2+8,false),if(countif('R3_G4'!$A$8:$A$23,$A68)=1,vlookup($A68,'R3_G4'!$A$8:$Z$23, S$2+8,false),""))))</f>
        <v>4</v>
      </c>
      <c r="T68" s="1426">
        <f>if(countif('R3_G1'!$A$8:$A$23,$A68)=1,vlookup($A68,'R3_G1'!$A$8:$Z$23, T$2+8,false),if(countif('R3_G2'!$A$8:$A$23,$A68)=1,vlookup($A68,'R3_G2'!$A$8:$Z$23, T$2+8,false),if(countif('R3_G3'!$A$8:$A$23,$A68)=1,vlookup($A68,'R3_G3'!$A$8:$Z$23, T$2+8,false),if(countif('R3_G4'!$A$8:$A$23,$A68)=1,vlookup($A68,'R3_G4'!$A$8:$Z$23, T$2+8,false),""))))</f>
        <v>6</v>
      </c>
      <c r="U68" s="1426">
        <f>if(countif('R3_G1'!$A$8:$A$23,$A68)=1,vlookup($A68,'R3_G1'!$A$8:$Z$23, U$2+8,false),if(countif('R3_G2'!$A$8:$A$23,$A68)=1,vlookup($A68,'R3_G2'!$A$8:$Z$23, U$2+8,false),if(countif('R3_G3'!$A$8:$A$23,$A68)=1,vlookup($A68,'R3_G3'!$A$8:$Z$23, U$2+8,false),if(countif('R3_G4'!$A$8:$A$23,$A68)=1,vlookup($A68,'R3_G4'!$A$8:$Z$23, U$2+8,false),""))))</f>
        <v>4</v>
      </c>
      <c r="V68" s="1426">
        <f>if(countif('R3_G1'!$A$8:$A$23,$A68)=1,vlookup($A68,'R3_G1'!$A$8:$Z$23, V$2+8,false),if(countif('R3_G2'!$A$8:$A$23,$A68)=1,vlookup($A68,'R3_G2'!$A$8:$Z$23, V$2+8,false),if(countif('R3_G3'!$A$8:$A$23,$A68)=1,vlookup($A68,'R3_G3'!$A$8:$Z$23, V$2+8,false),if(countif('R3_G4'!$A$8:$A$23,$A68)=1,vlookup($A68,'R3_G4'!$A$8:$Z$23, V$2+8,false),""))))</f>
        <v>6</v>
      </c>
      <c r="W68" s="1438">
        <f t="shared" si="76"/>
        <v>55</v>
      </c>
      <c r="X68" s="1438">
        <f t="shared" si="77"/>
        <v>43</v>
      </c>
      <c r="Y68" s="1438">
        <f t="shared" si="82"/>
        <v>98</v>
      </c>
      <c r="Z68" s="1438">
        <f t="shared" si="83"/>
        <v>75</v>
      </c>
      <c r="AA68" s="1438">
        <f t="shared" si="84"/>
        <v>98</v>
      </c>
      <c r="AB68" s="1527"/>
      <c r="AC68" s="1423" t="str">
        <f t="shared" si="85"/>
        <v>Hile</v>
      </c>
      <c r="AD68" s="1435">
        <f>VLOOKUP(AC68,'Master Input'!$A$11:$L$27,10,false)</f>
        <v>23</v>
      </c>
      <c r="AE68" s="1539" t="s">
        <v>266</v>
      </c>
      <c r="AF68" s="1401"/>
      <c r="AG68" s="1438">
        <f t="shared" ref="AG68:AX68" si="108">if(E68="","",E68-IF($B68&gt;0,FLOOR($B68/18,1),0)-IF(AND(MOD($B68,18)&gt;=E$51,$B68&gt;0),1,0)+IF(E$51-18&gt;$B68,1,0))</f>
        <v>5</v>
      </c>
      <c r="AH68" s="1438">
        <f t="shared" si="108"/>
        <v>5</v>
      </c>
      <c r="AI68" s="1438">
        <f t="shared" si="108"/>
        <v>5</v>
      </c>
      <c r="AJ68" s="1438">
        <f t="shared" si="108"/>
        <v>5</v>
      </c>
      <c r="AK68" s="1438">
        <f t="shared" si="108"/>
        <v>4</v>
      </c>
      <c r="AL68" s="1438">
        <f t="shared" si="108"/>
        <v>5</v>
      </c>
      <c r="AM68" s="1438">
        <f t="shared" si="108"/>
        <v>4</v>
      </c>
      <c r="AN68" s="1438">
        <f t="shared" si="108"/>
        <v>3</v>
      </c>
      <c r="AO68" s="1438">
        <f t="shared" si="108"/>
        <v>7</v>
      </c>
      <c r="AP68" s="1426">
        <f t="shared" si="108"/>
        <v>2</v>
      </c>
      <c r="AQ68" s="1426">
        <f t="shared" si="108"/>
        <v>4</v>
      </c>
      <c r="AR68" s="1426">
        <f t="shared" si="108"/>
        <v>2</v>
      </c>
      <c r="AS68" s="1426">
        <f t="shared" si="108"/>
        <v>3</v>
      </c>
      <c r="AT68" s="1426">
        <f t="shared" si="108"/>
        <v>5</v>
      </c>
      <c r="AU68" s="1426">
        <f t="shared" si="108"/>
        <v>3</v>
      </c>
      <c r="AV68" s="1426">
        <f t="shared" si="108"/>
        <v>5</v>
      </c>
      <c r="AW68" s="1426">
        <f t="shared" si="108"/>
        <v>3</v>
      </c>
      <c r="AX68" s="1426">
        <f t="shared" si="108"/>
        <v>5</v>
      </c>
      <c r="AY68" s="1438">
        <f t="shared" si="79"/>
        <v>43</v>
      </c>
      <c r="AZ68" s="1438">
        <f t="shared" si="80"/>
        <v>32</v>
      </c>
      <c r="BA68" s="1438">
        <f t="shared" si="87"/>
        <v>75</v>
      </c>
      <c r="BB68" s="1436" t="str">
        <f>if(countif('R3_G1'!$A$8:$A$23,$A68)=1, if(and(BA68=Z68,BA68=vlookup($A68,'R3_G1'!$A$8:$AC$23, 29,false)),"yes","no"),
if(countif('R3_G2'!$A$8:$A$23,$A68)=1, if(and(BA68=Z68,BA68=vlookup($A68,'R3_G2'!$A$8:$AC$23, 29,false)),"yes","no"),
if(countif('R3_G3'!$A$8:$A$23,$A68)=1, if(and(BA68=Z68,BA68=vlookup($A68,'R3_G3'!$A$8:$AC$23, 29,false)),"yes","no"),
if(countif('R3_G4'!$A$8:$A$23,$A68)=1, if(and(BA68=Z68,BA68=vlookup($A68,'R3_G4'!$A$8:$AC$23, 29,false)),"yes","no"),
"?"))))
</f>
        <v>yes</v>
      </c>
      <c r="BC68" s="1527"/>
      <c r="BD68" s="1439">
        <f t="shared" si="88"/>
        <v>8</v>
      </c>
      <c r="BE68" s="1440">
        <f t="shared" si="89"/>
        <v>9.9</v>
      </c>
      <c r="BF68" s="1440">
        <f t="shared" si="90"/>
        <v>1</v>
      </c>
      <c r="BG68" s="1440">
        <f t="shared" si="91"/>
        <v>3</v>
      </c>
      <c r="BH68" s="1440">
        <f t="shared" si="92"/>
        <v>8</v>
      </c>
      <c r="BI68" s="1440">
        <f t="shared" si="93"/>
        <v>4</v>
      </c>
      <c r="BJ68" s="1440">
        <f t="shared" si="94"/>
        <v>2</v>
      </c>
    </row>
    <row r="69" ht="14.25" customHeight="1">
      <c r="A69" s="1530"/>
      <c r="B69" s="1517"/>
      <c r="C69" s="1445">
        <f>COUNTIF(C53:C68, "Y")*C51</f>
        <v>0</v>
      </c>
      <c r="D69" s="1446" t="s">
        <v>267</v>
      </c>
      <c r="E69" s="1447" t="str">
        <f t="array" ref="E69">IF(OR(SUM(IF(IF('Locked Bets Setup'!$I$5:$I$20="Y", E53:E68, 10)=MIN(IF('Locked Bets Setup'!$I$5:$I$20="Y", E53:E68, 10)), 1, 0)) &gt; 1, MIN(IF('Locked Bets Setup'!$I$5:$I$20="Y", E53:E68, 10)) &gt; E52), "", INDEX('Locked Bets Setup'!$A$5:$A$20,MATCH(MIN(IF('Locked Bets Setup'!$I$5:$I$20="Y",E53:E68,10)),IF('Locked Bets Setup'!$I$5:$I$20="Y",E53:E68,10),0)))</f>
        <v/>
      </c>
      <c r="F69" s="1447" t="str">
        <f t="array" ref="F69">IF(OR(SUM(IF(IF('Locked Bets Setup'!$I$5:$I$20="Y", F53:F68, 10)=MIN(IF('Locked Bets Setup'!$I$5:$I$20="Y", F53:F68, 10)), 1, 0)) &gt; 1, MIN(IF('Locked Bets Setup'!$I$5:$I$20="Y", F53:F68, 10)) &gt; F52), "", INDEX('Locked Bets Setup'!$A$5:$A$20,MATCH(MIN(IF('Locked Bets Setup'!$I$5:$I$20="Y",F53:F68,10)),IF('Locked Bets Setup'!$I$5:$I$20="Y",F53:F68,10),0)))</f>
        <v/>
      </c>
      <c r="G69" s="1447" t="str">
        <f t="array" ref="G69">IF(OR(SUM(IF(IF('Locked Bets Setup'!$I$5:$I$20="Y", G53:G68, 10)=MIN(IF('Locked Bets Setup'!$I$5:$I$20="Y", G53:G68, 10)), 1, 0)) &gt; 1, MIN(IF('Locked Bets Setup'!$I$5:$I$20="Y", G53:G68, 10)) &gt; G52), "", INDEX('Locked Bets Setup'!$A$5:$A$20,MATCH(MIN(IF('Locked Bets Setup'!$I$5:$I$20="Y",G53:G68,10)),IF('Locked Bets Setup'!$I$5:$I$20="Y",G53:G68,10),0)))</f>
        <v/>
      </c>
      <c r="H69" s="1447" t="str">
        <f t="array" ref="H69">IF(OR(SUM(IF(IF('Locked Bets Setup'!$I$5:$I$20="Y", H53:H68, 10)=MIN(IF('Locked Bets Setup'!$I$5:$I$20="Y", H53:H68, 10)), 1, 0)) &gt; 1, MIN(IF('Locked Bets Setup'!$I$5:$I$20="Y", H53:H68, 10)) &gt; H52), "", INDEX('Locked Bets Setup'!$A$5:$A$20,MATCH(MIN(IF('Locked Bets Setup'!$I$5:$I$20="Y",H53:H68,10)),IF('Locked Bets Setup'!$I$5:$I$20="Y",H53:H68,10),0)))</f>
        <v>Joe O</v>
      </c>
      <c r="I69" s="1447" t="str">
        <f t="array" ref="I69">IF(OR(SUM(IF(IF('Locked Bets Setup'!$I$5:$I$20="Y", I53:I68, 10)=MIN(IF('Locked Bets Setup'!$I$5:$I$20="Y", I53:I68, 10)), 1, 0)) &gt; 1, MIN(IF('Locked Bets Setup'!$I$5:$I$20="Y", I53:I68, 10)) &gt; I52), "", INDEX('Locked Bets Setup'!$A$5:$A$20,MATCH(MIN(IF('Locked Bets Setup'!$I$5:$I$20="Y",I53:I68,10)),IF('Locked Bets Setup'!$I$5:$I$20="Y",I53:I68,10),0)))</f>
        <v/>
      </c>
      <c r="J69" s="1447" t="str">
        <f t="array" ref="J69">IF(OR(SUM(IF(IF('Locked Bets Setup'!$I$5:$I$20="Y", J53:J68, 10)=MIN(IF('Locked Bets Setup'!$I$5:$I$20="Y", J53:J68, 10)), 1, 0)) &gt; 1, MIN(IF('Locked Bets Setup'!$I$5:$I$20="Y", J53:J68, 10)) &gt; J52), "", INDEX('Locked Bets Setup'!$A$5:$A$20,MATCH(MIN(IF('Locked Bets Setup'!$I$5:$I$20="Y",J53:J68,10)),IF('Locked Bets Setup'!$I$5:$I$20="Y",J53:J68,10),0)))</f>
        <v/>
      </c>
      <c r="K69" s="1447" t="str">
        <f t="array" ref="K69">IF(OR(SUM(IF(IF('Locked Bets Setup'!$I$5:$I$20="Y", K53:K68, 10)=MIN(IF('Locked Bets Setup'!$I$5:$I$20="Y", K53:K68, 10)), 1, 0)) &gt; 1, MIN(IF('Locked Bets Setup'!$I$5:$I$20="Y", K53:K68, 10)) &gt; K52), "", INDEX('Locked Bets Setup'!$A$5:$A$20,MATCH(MIN(IF('Locked Bets Setup'!$I$5:$I$20="Y",K53:K68,10)),IF('Locked Bets Setup'!$I$5:$I$20="Y",K53:K68,10),0)))</f>
        <v>R-Mac</v>
      </c>
      <c r="L69" s="1447" t="str">
        <f t="array" ref="L69">IF(OR(SUM(IF(IF('Locked Bets Setup'!$I$5:$I$20="Y", L53:L68, 10)=MIN(IF('Locked Bets Setup'!$I$5:$I$20="Y", L53:L68, 10)), 1, 0)) &gt; 1, MIN(IF('Locked Bets Setup'!$I$5:$I$20="Y", L53:L68, 10)) &gt; L52), "", INDEX('Locked Bets Setup'!$A$5:$A$20,MATCH(MIN(IF('Locked Bets Setup'!$I$5:$I$20="Y",L53:L68,10)),IF('Locked Bets Setup'!$I$5:$I$20="Y",L53:L68,10),0)))</f>
        <v>House</v>
      </c>
      <c r="M69" s="1447" t="str">
        <f t="array" ref="M69">IF(OR(SUM(IF(IF('Locked Bets Setup'!$I$5:$I$20="Y", M53:M68, 10)=MIN(IF('Locked Bets Setup'!$I$5:$I$20="Y", M53:M68, 10)), 1, 0)) &gt; 1, MIN(IF('Locked Bets Setup'!$I$5:$I$20="Y", M53:M68, 10)) &gt; M52), "", INDEX('Locked Bets Setup'!$A$5:$A$20,MATCH(MIN(IF('Locked Bets Setup'!$I$5:$I$20="Y",M53:M68,10)),IF('Locked Bets Setup'!$I$5:$I$20="Y",M53:M68,10),0)))</f>
        <v>Weezy</v>
      </c>
      <c r="N69" s="1447" t="str">
        <f t="array" ref="N69">IF(OR(SUM(IF(IF('Locked Bets Setup'!$I$5:$I$20="Y", N53:N68, 10)=MIN(IF('Locked Bets Setup'!$I$5:$I$20="Y", N53:N68, 10)), 1, 0)) &gt; 1, MIN(IF('Locked Bets Setup'!$I$5:$I$20="Y", N53:N68, 10)) &gt; N52), "", INDEX('Locked Bets Setup'!$A$5:$A$20,MATCH(MIN(IF('Locked Bets Setup'!$I$5:$I$20="Y",N53:N68,10)),IF('Locked Bets Setup'!$I$5:$I$20="Y",N53:N68,10),0)))</f>
        <v/>
      </c>
      <c r="O69" s="1447" t="str">
        <f t="array" ref="O69">IF(OR(SUM(IF(IF('Locked Bets Setup'!$I$5:$I$20="Y", O53:O68, 10)=MIN(IF('Locked Bets Setup'!$I$5:$I$20="Y", O53:O68, 10)), 1, 0)) &gt; 1, MIN(IF('Locked Bets Setup'!$I$5:$I$20="Y", O53:O68, 10)) &gt; O52), "", INDEX('Locked Bets Setup'!$A$5:$A$20,MATCH(MIN(IF('Locked Bets Setup'!$I$5:$I$20="Y",O53:O68,10)),IF('Locked Bets Setup'!$I$5:$I$20="Y",O53:O68,10),0)))</f>
        <v/>
      </c>
      <c r="P69" s="1447" t="str">
        <f t="array" ref="P69">IF(OR(SUM(IF(IF('Locked Bets Setup'!$I$5:$I$20="Y", P53:P68, 10)=MIN(IF('Locked Bets Setup'!$I$5:$I$20="Y", P53:P68, 10)), 1, 0)) &gt; 1, MIN(IF('Locked Bets Setup'!$I$5:$I$20="Y", P53:P68, 10)) &gt; P52), "", INDEX('Locked Bets Setup'!$A$5:$A$20,MATCH(MIN(IF('Locked Bets Setup'!$I$5:$I$20="Y",P53:P68,10)),IF('Locked Bets Setup'!$I$5:$I$20="Y",P53:P68,10),0)))</f>
        <v/>
      </c>
      <c r="Q69" s="1447" t="str">
        <f t="array" ref="Q69">IF(OR(SUM(IF(IF('Locked Bets Setup'!$I$5:$I$20="Y", Q53:Q68, 10)=MIN(IF('Locked Bets Setup'!$I$5:$I$20="Y", Q53:Q68, 10)), 1, 0)) &gt; 1, MIN(IF('Locked Bets Setup'!$I$5:$I$20="Y", Q53:Q68, 10)) &gt; Q52), "", INDEX('Locked Bets Setup'!$A$5:$A$20,MATCH(MIN(IF('Locked Bets Setup'!$I$5:$I$20="Y",Q53:Q68,10)),IF('Locked Bets Setup'!$I$5:$I$20="Y",Q53:Q68,10),0)))</f>
        <v/>
      </c>
      <c r="R69" s="1447" t="str">
        <f t="array" ref="R69">IF(OR(SUM(IF(IF('Locked Bets Setup'!$I$5:$I$20="Y", R53:R68, 10)=MIN(IF('Locked Bets Setup'!$I$5:$I$20="Y", R53:R68, 10)), 1, 0)) &gt; 1, MIN(IF('Locked Bets Setup'!$I$5:$I$20="Y", R53:R68, 10)) &gt; R52), "", INDEX('Locked Bets Setup'!$A$5:$A$20,MATCH(MIN(IF('Locked Bets Setup'!$I$5:$I$20="Y",R53:R68,10)),IF('Locked Bets Setup'!$I$5:$I$20="Y",R53:R68,10),0)))</f>
        <v/>
      </c>
      <c r="S69" s="1447" t="str">
        <f t="array" ref="S69">IF(OR(SUM(IF(IF('Locked Bets Setup'!$I$5:$I$20="Y", S53:S68, 10)=MIN(IF('Locked Bets Setup'!$I$5:$I$20="Y", S53:S68, 10)), 1, 0)) &gt; 1, MIN(IF('Locked Bets Setup'!$I$5:$I$20="Y", S53:S68, 10)) &gt; S52), "", INDEX('Locked Bets Setup'!$A$5:$A$20,MATCH(MIN(IF('Locked Bets Setup'!$I$5:$I$20="Y",S53:S68,10)),IF('Locked Bets Setup'!$I$5:$I$20="Y",S53:S68,10),0)))</f>
        <v/>
      </c>
      <c r="T69" s="1447" t="str">
        <f t="array" ref="T69">IF(OR(SUM(IF(IF('Locked Bets Setup'!$I$5:$I$20="Y", T53:T68, 10)=MIN(IF('Locked Bets Setup'!$I$5:$I$20="Y", T53:T68, 10)), 1, 0)) &gt; 1, MIN(IF('Locked Bets Setup'!$I$5:$I$20="Y", T53:T68, 10)) &gt; T52), "", INDEX('Locked Bets Setup'!$A$5:$A$20,MATCH(MIN(IF('Locked Bets Setup'!$I$5:$I$20="Y",T53:T68,10)),IF('Locked Bets Setup'!$I$5:$I$20="Y",T53:T68,10),0)))</f>
        <v/>
      </c>
      <c r="U69" s="1447" t="str">
        <f t="array" ref="U69">IF(OR(SUM(IF(IF('Locked Bets Setup'!$I$5:$I$20="Y", U53:U68, 10)=MIN(IF('Locked Bets Setup'!$I$5:$I$20="Y", U53:U68, 10)), 1, 0)) &gt; 1, MIN(IF('Locked Bets Setup'!$I$5:$I$20="Y", U53:U68, 10)) &gt; U52), "", INDEX('Locked Bets Setup'!$A$5:$A$20,MATCH(MIN(IF('Locked Bets Setup'!$I$5:$I$20="Y",U53:U68,10)),IF('Locked Bets Setup'!$I$5:$I$20="Y",U53:U68,10),0)))</f>
        <v/>
      </c>
      <c r="V69" s="1447" t="str">
        <f t="array" ref="V69">IF(OR(SUM(IF(IF('Locked Bets Setup'!$I$5:$I$20="Y", V53:V68, 10)=MIN(IF('Locked Bets Setup'!$I$5:$I$20="Y", V53:V68, 10)), 1, 0)) &gt; 1, MIN(IF('Locked Bets Setup'!$I$5:$I$20="Y", V53:V68, 10)) &gt; V52), "", INDEX('Locked Bets Setup'!$A$5:$A$20,MATCH(MIN(IF('Locked Bets Setup'!$I$5:$I$20="Y",V53:V68,10)),IF('Locked Bets Setup'!$I$5:$I$20="Y",V53:V68,10),0)))</f>
        <v/>
      </c>
      <c r="W69" s="1448"/>
      <c r="X69" s="1448"/>
      <c r="Y69" s="1449">
        <f>18-COUNTBLANK(E69:V69)</f>
        <v>4</v>
      </c>
      <c r="Z69" s="1541"/>
      <c r="AA69" s="1542"/>
      <c r="AB69" s="1543"/>
      <c r="AC69" s="1530"/>
      <c r="AD69" s="1517"/>
      <c r="AE69" s="1445">
        <f>COUNTIF(AE53:AE68, "Y")*AE51</f>
        <v>80</v>
      </c>
      <c r="AF69" s="1446" t="s">
        <v>267</v>
      </c>
      <c r="AG69" s="1447" t="str">
        <f t="array" ref="AG69">IF(OR(SUM(IF(IF('Locked Bets Setup'!$I$5:$I$20="Y", AG53:AG68, 10)=MIN(IF('Locked Bets Setup'!$I$5:$I$20="Y", AG53:AG68, 10)), 1, 0)) &gt; 1, MIN(IF('Locked Bets Setup'!$I$5:$I$20="Y", AG53:AG68, 10)) &gt; AG52), "", INDEX('Locked Bets Setup'!$A$5:$A$20,MATCH(MIN(IF('Locked Bets Setup'!$I$5:$I$20="Y",AG53:AG68,10)),IF('Locked Bets Setup'!$I$5:$I$20="Y",AG53:AG68,10),0)))</f>
        <v/>
      </c>
      <c r="AH69" s="1447" t="str">
        <f t="array" ref="AH69">IF(OR(SUM(IF(IF('Locked Bets Setup'!$I$5:$I$20="Y", AH53:AH68, 10)=MIN(IF('Locked Bets Setup'!$I$5:$I$20="Y", AH53:AH68, 10)), 1, 0)) &gt; 1, MIN(IF('Locked Bets Setup'!$I$5:$I$20="Y", AH53:AH68, 10)) &gt; AH52), "", INDEX('Locked Bets Setup'!$A$5:$A$20,MATCH(MIN(IF('Locked Bets Setup'!$I$5:$I$20="Y",AH53:AH68,10)),IF('Locked Bets Setup'!$I$5:$I$20="Y",AH53:AH68,10),0)))</f>
        <v/>
      </c>
      <c r="AI69" s="1447" t="str">
        <f t="array" ref="AI69">IF(OR(SUM(IF(IF('Locked Bets Setup'!$I$5:$I$20="Y", AI53:AI68, 10)=MIN(IF('Locked Bets Setup'!$I$5:$I$20="Y", AI53:AI68, 10)), 1, 0)) &gt; 1, MIN(IF('Locked Bets Setup'!$I$5:$I$20="Y", AI53:AI68, 10)) &gt; AI52), "", INDEX('Locked Bets Setup'!$A$5:$A$20,MATCH(MIN(IF('Locked Bets Setup'!$I$5:$I$20="Y",AI53:AI68,10)),IF('Locked Bets Setup'!$I$5:$I$20="Y",AI53:AI68,10),0)))</f>
        <v>Joe O</v>
      </c>
      <c r="AJ69" s="1447" t="str">
        <f t="array" ref="AJ69">IF(OR(SUM(IF(IF('Locked Bets Setup'!$I$5:$I$20="Y", AJ53:AJ68, 10)=MIN(IF('Locked Bets Setup'!$I$5:$I$20="Y", AJ53:AJ68, 10)), 1, 0)) &gt; 1, MIN(IF('Locked Bets Setup'!$I$5:$I$20="Y", AJ53:AJ68, 10)) &gt; AJ52), "", INDEX('Locked Bets Setup'!$A$5:$A$20,MATCH(MIN(IF('Locked Bets Setup'!$I$5:$I$20="Y",AJ53:AJ68,10)),IF('Locked Bets Setup'!$I$5:$I$20="Y",AJ53:AJ68,10),0)))</f>
        <v>Joe O</v>
      </c>
      <c r="AK69" s="1447" t="str">
        <f t="array" ref="AK69">IF(OR(SUM(IF(IF('Locked Bets Setup'!$I$5:$I$20="Y", AK53:AK68, 10)=MIN(IF('Locked Bets Setup'!$I$5:$I$20="Y", AK53:AK68, 10)), 1, 0)) &gt; 1, MIN(IF('Locked Bets Setup'!$I$5:$I$20="Y", AK53:AK68, 10)) &gt; AK52), "", INDEX('Locked Bets Setup'!$A$5:$A$20,MATCH(MIN(IF('Locked Bets Setup'!$I$5:$I$20="Y",AK53:AK68,10)),IF('Locked Bets Setup'!$I$5:$I$20="Y",AK53:AK68,10),0)))</f>
        <v/>
      </c>
      <c r="AL69" s="1447" t="str">
        <f t="array" ref="AL69">IF(OR(SUM(IF(IF('Locked Bets Setup'!$I$5:$I$20="Y", AL53:AL68, 10)=MIN(IF('Locked Bets Setup'!$I$5:$I$20="Y", AL53:AL68, 10)), 1, 0)) &gt; 1, MIN(IF('Locked Bets Setup'!$I$5:$I$20="Y", AL53:AL68, 10)) &gt; AL52), "", INDEX('Locked Bets Setup'!$A$5:$A$20,MATCH(MIN(IF('Locked Bets Setup'!$I$5:$I$20="Y",AL53:AL68,10)),IF('Locked Bets Setup'!$I$5:$I$20="Y",AL53:AL68,10),0)))</f>
        <v>Saugy</v>
      </c>
      <c r="AM69" s="1447" t="str">
        <f t="array" ref="AM69">IF(OR(SUM(IF(IF('Locked Bets Setup'!$I$5:$I$20="Y", AM53:AM68, 10)=MIN(IF('Locked Bets Setup'!$I$5:$I$20="Y", AM53:AM68, 10)), 1, 0)) &gt; 1, MIN(IF('Locked Bets Setup'!$I$5:$I$20="Y", AM53:AM68, 10)) &gt; AM52), "", INDEX('Locked Bets Setup'!$A$5:$A$20,MATCH(MIN(IF('Locked Bets Setup'!$I$5:$I$20="Y",AM53:AM68,10)),IF('Locked Bets Setup'!$I$5:$I$20="Y",AM53:AM68,10),0)))</f>
        <v>R-Mac</v>
      </c>
      <c r="AN69" s="1447" t="str">
        <f t="array" ref="AN69">IF(OR(SUM(IF(IF('Locked Bets Setup'!$I$5:$I$20="Y", AN53:AN68, 10)=MIN(IF('Locked Bets Setup'!$I$5:$I$20="Y", AN53:AN68, 10)), 1, 0)) &gt; 1, MIN(IF('Locked Bets Setup'!$I$5:$I$20="Y", AN53:AN68, 10)) &gt; AN52), "", INDEX('Locked Bets Setup'!$A$5:$A$20,MATCH(MIN(IF('Locked Bets Setup'!$I$5:$I$20="Y",AN53:AN68,10)),IF('Locked Bets Setup'!$I$5:$I$20="Y",AN53:AN68,10),0)))</f>
        <v/>
      </c>
      <c r="AO69" s="1447" t="str">
        <f t="array" ref="AO69">IF(OR(SUM(IF(IF('Locked Bets Setup'!$I$5:$I$20="Y", AO53:AO68, 10)=MIN(IF('Locked Bets Setup'!$I$5:$I$20="Y", AO53:AO68, 10)), 1, 0)) &gt; 1, MIN(IF('Locked Bets Setup'!$I$5:$I$20="Y", AO53:AO68, 10)) &gt; AO52), "", INDEX('Locked Bets Setup'!$A$5:$A$20,MATCH(MIN(IF('Locked Bets Setup'!$I$5:$I$20="Y",AO53:AO68,10)),IF('Locked Bets Setup'!$I$5:$I$20="Y",AO53:AO68,10),0)))</f>
        <v>Weezy</v>
      </c>
      <c r="AP69" s="1447" t="str">
        <f t="array" ref="AP69">IF(OR(SUM(IF(IF('Locked Bets Setup'!$I$5:$I$20="Y", AP53:AP68, 10)=MIN(IF('Locked Bets Setup'!$I$5:$I$20="Y", AP53:AP68, 10)), 1, 0)) &gt; 1, MIN(IF('Locked Bets Setup'!$I$5:$I$20="Y", AP53:AP68, 10)) &gt; AP52), "", INDEX('Locked Bets Setup'!$A$5:$A$20,MATCH(MIN(IF('Locked Bets Setup'!$I$5:$I$20="Y",AP53:AP68,10)),IF('Locked Bets Setup'!$I$5:$I$20="Y",AP53:AP68,10),0)))</f>
        <v>Hile</v>
      </c>
      <c r="AQ69" s="1447" t="str">
        <f t="array" ref="AQ69">IF(OR(SUM(IF(IF('Locked Bets Setup'!$I$5:$I$20="Y", AQ53:AQ68, 10)=MIN(IF('Locked Bets Setup'!$I$5:$I$20="Y", AQ53:AQ68, 10)), 1, 0)) &gt; 1, MIN(IF('Locked Bets Setup'!$I$5:$I$20="Y", AQ53:AQ68, 10)) &gt; AQ52), "", INDEX('Locked Bets Setup'!$A$5:$A$20,MATCH(MIN(IF('Locked Bets Setup'!$I$5:$I$20="Y",AQ53:AQ68,10)),IF('Locked Bets Setup'!$I$5:$I$20="Y",AQ53:AQ68,10),0)))</f>
        <v/>
      </c>
      <c r="AR69" s="1447" t="str">
        <f t="array" ref="AR69">IF(OR(SUM(IF(IF('Locked Bets Setup'!$I$5:$I$20="Y", AR53:AR68, 10)=MIN(IF('Locked Bets Setup'!$I$5:$I$20="Y", AR53:AR68, 10)), 1, 0)) &gt; 1, MIN(IF('Locked Bets Setup'!$I$5:$I$20="Y", AR53:AR68, 10)) &gt; AR52), "", INDEX('Locked Bets Setup'!$A$5:$A$20,MATCH(MIN(IF('Locked Bets Setup'!$I$5:$I$20="Y",AR53:AR68,10)),IF('Locked Bets Setup'!$I$5:$I$20="Y",AR53:AR68,10),0)))</f>
        <v>Hile</v>
      </c>
      <c r="AS69" s="1447" t="str">
        <f t="array" ref="AS69">IF(OR(SUM(IF(IF('Locked Bets Setup'!$I$5:$I$20="Y", AS53:AS68, 10)=MIN(IF('Locked Bets Setup'!$I$5:$I$20="Y", AS53:AS68, 10)), 1, 0)) &gt; 1, MIN(IF('Locked Bets Setup'!$I$5:$I$20="Y", AS53:AS68, 10)) &gt; AS52), "", INDEX('Locked Bets Setup'!$A$5:$A$20,MATCH(MIN(IF('Locked Bets Setup'!$I$5:$I$20="Y",AS53:AS68,10)),IF('Locked Bets Setup'!$I$5:$I$20="Y",AS53:AS68,10),0)))</f>
        <v/>
      </c>
      <c r="AT69" s="1447" t="str">
        <f t="array" ref="AT69">IF(OR(SUM(IF(IF('Locked Bets Setup'!$I$5:$I$20="Y", AT53:AT68, 10)=MIN(IF('Locked Bets Setup'!$I$5:$I$20="Y", AT53:AT68, 10)), 1, 0)) &gt; 1, MIN(IF('Locked Bets Setup'!$I$5:$I$20="Y", AT53:AT68, 10)) &gt; AT52), "", INDEX('Locked Bets Setup'!$A$5:$A$20,MATCH(MIN(IF('Locked Bets Setup'!$I$5:$I$20="Y",AT53:AT68,10)),IF('Locked Bets Setup'!$I$5:$I$20="Y",AT53:AT68,10),0)))</f>
        <v/>
      </c>
      <c r="AU69" s="1447" t="str">
        <f t="array" ref="AU69">IF(OR(SUM(IF(IF('Locked Bets Setup'!$I$5:$I$20="Y", AU53:AU68, 10)=MIN(IF('Locked Bets Setup'!$I$5:$I$20="Y", AU53:AU68, 10)), 1, 0)) &gt; 1, MIN(IF('Locked Bets Setup'!$I$5:$I$20="Y", AU53:AU68, 10)) &gt; AU52), "", INDEX('Locked Bets Setup'!$A$5:$A$20,MATCH(MIN(IF('Locked Bets Setup'!$I$5:$I$20="Y",AU53:AU68,10)),IF('Locked Bets Setup'!$I$5:$I$20="Y",AU53:AU68,10),0)))</f>
        <v/>
      </c>
      <c r="AV69" s="1447" t="str">
        <f t="array" ref="AV69">IF(OR(SUM(IF(IF('Locked Bets Setup'!$I$5:$I$20="Y", AV53:AV68, 10)=MIN(IF('Locked Bets Setup'!$I$5:$I$20="Y", AV53:AV68, 10)), 1, 0)) &gt; 1, MIN(IF('Locked Bets Setup'!$I$5:$I$20="Y", AV53:AV68, 10)) &gt; AV52), "", INDEX('Locked Bets Setup'!$A$5:$A$20,MATCH(MIN(IF('Locked Bets Setup'!$I$5:$I$20="Y",AV53:AV68,10)),IF('Locked Bets Setup'!$I$5:$I$20="Y",AV53:AV68,10),0)))</f>
        <v>Saugy</v>
      </c>
      <c r="AW69" s="1447" t="str">
        <f t="array" ref="AW69">IF(OR(SUM(IF(IF('Locked Bets Setup'!$I$5:$I$20="Y", AW53:AW68, 10)=MIN(IF('Locked Bets Setup'!$I$5:$I$20="Y", AW53:AW68, 10)), 1, 0)) &gt; 1, MIN(IF('Locked Bets Setup'!$I$5:$I$20="Y", AW53:AW68, 10)) &gt; AW52), "", INDEX('Locked Bets Setup'!$A$5:$A$20,MATCH(MIN(IF('Locked Bets Setup'!$I$5:$I$20="Y",AW53:AW68,10)),IF('Locked Bets Setup'!$I$5:$I$20="Y",AW53:AW68,10),0)))</f>
        <v/>
      </c>
      <c r="AX69" s="1447" t="str">
        <f t="array" ref="AX69">IF(OR(SUM(IF(IF('Locked Bets Setup'!$I$5:$I$20="Y", AX53:AX68, 10)=MIN(IF('Locked Bets Setup'!$I$5:$I$20="Y", AX53:AX68, 10)), 1, 0)) &gt; 1, MIN(IF('Locked Bets Setup'!$I$5:$I$20="Y", AX53:AX68, 10)) &gt; AX52), "", INDEX('Locked Bets Setup'!$A$5:$A$20,MATCH(MIN(IF('Locked Bets Setup'!$I$5:$I$20="Y",AX53:AX68,10)),IF('Locked Bets Setup'!$I$5:$I$20="Y",AX53:AX68,10),0)))</f>
        <v>R-Mac</v>
      </c>
      <c r="AY69" s="1447"/>
      <c r="AZ69" s="1447"/>
      <c r="BA69" s="1447">
        <f>18-COUNTBLANK(AG69:AX69)</f>
        <v>9</v>
      </c>
      <c r="BB69" s="1542"/>
      <c r="BC69" s="1544"/>
      <c r="BD69" s="1545"/>
      <c r="BE69" s="1545">
        <f>sum(BE53:BE68)</f>
        <v>144</v>
      </c>
      <c r="BF69" s="1546">
        <f>sum(BF53:BJ68)</f>
        <v>288</v>
      </c>
      <c r="BG69" s="1545"/>
      <c r="BH69" s="1545"/>
      <c r="BI69" s="1545"/>
      <c r="BJ69" s="1545"/>
    </row>
    <row r="70" ht="14.25" customHeight="1">
      <c r="A70" s="1530"/>
      <c r="B70" s="1517"/>
      <c r="C70" s="1517"/>
      <c r="D70" s="1457" t="s">
        <v>268</v>
      </c>
      <c r="E70" s="1458"/>
      <c r="F70" s="1458"/>
      <c r="G70" s="1459" t="s">
        <v>152</v>
      </c>
      <c r="H70" s="1458"/>
      <c r="I70" s="1458"/>
      <c r="J70" s="1458"/>
      <c r="K70" s="1458"/>
      <c r="L70" s="1459" t="s">
        <v>152</v>
      </c>
      <c r="M70" s="1458"/>
      <c r="N70" s="1458"/>
      <c r="O70" s="1458"/>
      <c r="P70" s="1459" t="s">
        <v>149</v>
      </c>
      <c r="Q70" s="1458"/>
      <c r="R70" s="1458"/>
      <c r="S70" s="1458"/>
      <c r="T70" s="1458"/>
      <c r="U70" s="1459" t="s">
        <v>152</v>
      </c>
      <c r="V70" s="1458"/>
      <c r="W70" s="1403"/>
      <c r="X70" s="1403"/>
      <c r="Y70" s="1547">
        <f t="shared" ref="Y70:Y71" si="109">counta(E70:V70)</f>
        <v>4</v>
      </c>
      <c r="Z70" s="1548"/>
      <c r="AA70" s="1527"/>
      <c r="AB70" s="1543"/>
      <c r="AC70" s="1530"/>
      <c r="AD70" s="1517"/>
      <c r="AE70" s="1517"/>
      <c r="AF70" s="1528"/>
      <c r="AG70" s="1528"/>
      <c r="AH70" s="1528"/>
      <c r="AI70" s="1549"/>
      <c r="AJ70" s="1528"/>
      <c r="AK70" s="1528"/>
      <c r="AL70" s="1528"/>
      <c r="AM70" s="1549"/>
      <c r="AN70" s="1549"/>
      <c r="AO70" s="1549"/>
      <c r="AP70" s="1549"/>
      <c r="AQ70" s="1549"/>
      <c r="AR70" s="1549"/>
      <c r="AS70" s="1549"/>
      <c r="AT70" s="1549"/>
      <c r="AU70" s="1549"/>
      <c r="AV70" s="1549"/>
      <c r="AW70" s="1549"/>
      <c r="AX70" s="1549"/>
      <c r="AY70" s="1549"/>
      <c r="AZ70" s="1549"/>
      <c r="BA70" s="1549"/>
      <c r="BB70" s="1527"/>
      <c r="BC70" s="1544"/>
      <c r="BD70" s="1545"/>
      <c r="BE70" s="1545"/>
      <c r="BF70" s="1545"/>
      <c r="BG70" s="1545"/>
      <c r="BH70" s="1545"/>
      <c r="BI70" s="1545"/>
      <c r="BJ70" s="1545"/>
    </row>
    <row r="71" ht="14.25" customHeight="1">
      <c r="A71" s="1548"/>
      <c r="B71" s="1528"/>
      <c r="C71" s="1528"/>
      <c r="D71" s="1462" t="s">
        <v>269</v>
      </c>
      <c r="E71" s="1458"/>
      <c r="F71" s="1458"/>
      <c r="G71" s="1458"/>
      <c r="H71" s="1459" t="s">
        <v>158</v>
      </c>
      <c r="I71" s="1458"/>
      <c r="J71" s="1458"/>
      <c r="K71" s="1458"/>
      <c r="L71" s="1458"/>
      <c r="M71" s="1459" t="s">
        <v>149</v>
      </c>
      <c r="N71" s="1458"/>
      <c r="O71" s="1458"/>
      <c r="P71" s="1458"/>
      <c r="Q71" s="1458"/>
      <c r="R71" s="1459" t="s">
        <v>168</v>
      </c>
      <c r="S71" s="1458"/>
      <c r="T71" s="1458"/>
      <c r="U71" s="1458"/>
      <c r="V71" s="1508" t="s">
        <v>151</v>
      </c>
      <c r="W71" s="1403"/>
      <c r="X71" s="1403"/>
      <c r="Y71" s="1547">
        <f t="shared" si="109"/>
        <v>4</v>
      </c>
      <c r="Z71" s="1548"/>
      <c r="AA71" s="1527"/>
      <c r="AB71" s="1543"/>
      <c r="AC71" s="1550"/>
      <c r="AD71" s="1551"/>
      <c r="AE71" s="1551"/>
      <c r="AF71" s="1551"/>
      <c r="AG71" s="1551"/>
      <c r="AH71" s="1551"/>
      <c r="AI71" s="1552"/>
      <c r="AJ71" s="1551"/>
      <c r="AK71" s="1551"/>
      <c r="AL71" s="1551"/>
      <c r="AM71" s="1552"/>
      <c r="AN71" s="1552"/>
      <c r="AO71" s="1552"/>
      <c r="AP71" s="1552"/>
      <c r="AQ71" s="1552"/>
      <c r="AR71" s="1552"/>
      <c r="AS71" s="1552"/>
      <c r="AT71" s="1552"/>
      <c r="AU71" s="1552"/>
      <c r="AV71" s="1552"/>
      <c r="AW71" s="1552"/>
      <c r="AX71" s="1552"/>
      <c r="AY71" s="1552"/>
      <c r="AZ71" s="1552"/>
      <c r="BA71" s="1552"/>
      <c r="BB71" s="1553"/>
      <c r="BC71" s="1544"/>
      <c r="BD71" s="1545"/>
      <c r="BE71" s="1545"/>
      <c r="BF71" s="1545"/>
      <c r="BG71" s="1545"/>
      <c r="BH71" s="1545"/>
      <c r="BI71" s="1545"/>
      <c r="BJ71" s="1545"/>
    </row>
    <row r="72" ht="14.25" customHeight="1">
      <c r="A72" s="1512"/>
      <c r="B72" s="1513"/>
      <c r="C72" s="1514"/>
      <c r="D72" s="1468"/>
      <c r="E72" s="1467"/>
      <c r="F72" s="1467"/>
      <c r="G72" s="1467"/>
      <c r="H72" s="1467"/>
      <c r="I72" s="1467"/>
      <c r="J72" s="1467"/>
      <c r="K72" s="1467"/>
      <c r="L72" s="1467"/>
      <c r="M72" s="1467"/>
      <c r="N72" s="1467"/>
      <c r="O72" s="1467"/>
      <c r="P72" s="1467"/>
      <c r="Q72" s="1467"/>
      <c r="R72" s="1467"/>
      <c r="S72" s="1467"/>
      <c r="T72" s="1467"/>
      <c r="U72" s="1467"/>
      <c r="V72" s="1467"/>
      <c r="W72" s="1467"/>
      <c r="X72" s="1467"/>
      <c r="Y72" s="1467"/>
      <c r="Z72" s="1472"/>
      <c r="AA72" s="1467"/>
      <c r="AB72" s="1472"/>
      <c r="AC72" s="1513"/>
      <c r="AD72" s="1513"/>
      <c r="AE72" s="1514"/>
      <c r="AF72" s="1554"/>
      <c r="AG72" s="1470"/>
      <c r="AH72" s="1470"/>
      <c r="AI72" s="1470"/>
      <c r="AJ72" s="1470"/>
      <c r="AK72" s="1470"/>
      <c r="AL72" s="1470"/>
      <c r="AM72" s="1470"/>
      <c r="AN72" s="1470"/>
      <c r="AO72" s="1470"/>
      <c r="AP72" s="1470"/>
      <c r="AQ72" s="1470"/>
      <c r="AR72" s="1470"/>
      <c r="AS72" s="1470"/>
      <c r="AT72" s="1470"/>
      <c r="AU72" s="1470"/>
      <c r="AV72" s="1470"/>
      <c r="AW72" s="1470"/>
      <c r="AX72" s="1470"/>
      <c r="AY72" s="1470"/>
      <c r="AZ72" s="1470"/>
      <c r="BA72" s="1470"/>
      <c r="BB72" s="1472"/>
      <c r="BC72" s="1471"/>
      <c r="BD72" s="1473"/>
      <c r="BE72" s="1473"/>
      <c r="BF72" s="1473"/>
      <c r="BG72" s="1473"/>
      <c r="BH72" s="1473"/>
      <c r="BI72" s="1473"/>
      <c r="BJ72" s="1473"/>
    </row>
    <row r="73" ht="14.25" customHeight="1">
      <c r="A73" s="1555" t="s">
        <v>123</v>
      </c>
      <c r="B73" s="1556"/>
      <c r="C73" s="1556"/>
      <c r="D73" s="1555" t="str">
        <f>'Master Input'!$K$6</f>
        <v>American Dunes - Freedom/WH</v>
      </c>
      <c r="X73" s="1476"/>
      <c r="Y73" s="1557">
        <f>vlookup($D73, 'Course List'!$A$3:$C$14,2, false)</f>
        <v>70.3</v>
      </c>
      <c r="Z73" s="1558">
        <f>vlookup($D73, 'Course List'!$A$3:$C$14,3, false)</f>
        <v>133</v>
      </c>
      <c r="AA73" s="1559"/>
      <c r="AB73" s="1560"/>
      <c r="AC73" s="1561" t="s">
        <v>123</v>
      </c>
      <c r="AD73" s="1562"/>
      <c r="AE73" s="1562"/>
      <c r="AF73" s="1561" t="str">
        <f>D73</f>
        <v>American Dunes - Freedom/WH</v>
      </c>
      <c r="AG73" s="1391"/>
      <c r="AH73" s="1391"/>
      <c r="AI73" s="1391"/>
      <c r="AJ73" s="1391"/>
      <c r="AK73" s="1391"/>
      <c r="AL73" s="1391"/>
      <c r="AM73" s="1391"/>
      <c r="AN73" s="1391"/>
      <c r="AO73" s="1391"/>
      <c r="AP73" s="1391"/>
      <c r="AQ73" s="1391"/>
      <c r="AR73" s="1391"/>
      <c r="AS73" s="1391"/>
      <c r="AT73" s="1391"/>
      <c r="AU73" s="1391"/>
      <c r="AV73" s="1391"/>
      <c r="AW73" s="1391"/>
      <c r="AX73" s="1391"/>
      <c r="AY73" s="1391"/>
      <c r="AZ73" s="1392"/>
      <c r="BA73" s="1563">
        <f t="shared" ref="BA73:BB73" si="110">Y73</f>
        <v>70.3</v>
      </c>
      <c r="BB73" s="1564">
        <f t="shared" si="110"/>
        <v>133</v>
      </c>
      <c r="BC73" s="1565"/>
      <c r="BD73" s="1566"/>
      <c r="BE73" s="1566"/>
      <c r="BF73" s="1566"/>
      <c r="BG73" s="1566"/>
      <c r="BH73" s="1566"/>
      <c r="BI73" s="1566"/>
      <c r="BJ73" s="1566"/>
    </row>
    <row r="74" ht="14.25" customHeight="1">
      <c r="A74" s="1555" t="s">
        <v>252</v>
      </c>
      <c r="B74" s="1556"/>
      <c r="C74" s="1556"/>
      <c r="D74" s="1401" t="s">
        <v>51</v>
      </c>
      <c r="E74" s="1402">
        <v>1.0</v>
      </c>
      <c r="F74" s="1403">
        <v>2.0</v>
      </c>
      <c r="G74" s="1403">
        <v>3.0</v>
      </c>
      <c r="H74" s="1403">
        <v>4.0</v>
      </c>
      <c r="I74" s="1403">
        <v>5.0</v>
      </c>
      <c r="J74" s="1403">
        <v>6.0</v>
      </c>
      <c r="K74" s="1403">
        <v>7.0</v>
      </c>
      <c r="L74" s="1403">
        <v>8.0</v>
      </c>
      <c r="M74" s="1403">
        <v>9.0</v>
      </c>
      <c r="N74" s="1404">
        <v>10.0</v>
      </c>
      <c r="O74" s="1404">
        <v>11.0</v>
      </c>
      <c r="P74" s="1404">
        <v>12.0</v>
      </c>
      <c r="Q74" s="1404">
        <v>13.0</v>
      </c>
      <c r="R74" s="1404">
        <v>14.0</v>
      </c>
      <c r="S74" s="1404">
        <v>15.0</v>
      </c>
      <c r="T74" s="1404">
        <v>16.0</v>
      </c>
      <c r="U74" s="1404">
        <v>17.0</v>
      </c>
      <c r="V74" s="1404">
        <v>18.0</v>
      </c>
      <c r="W74" s="1405" t="s">
        <v>60</v>
      </c>
      <c r="X74" s="1405" t="s">
        <v>61</v>
      </c>
      <c r="Y74" s="1405" t="s">
        <v>52</v>
      </c>
      <c r="Z74" s="1405" t="s">
        <v>112</v>
      </c>
      <c r="AA74" s="1436" t="s">
        <v>253</v>
      </c>
      <c r="AB74" s="1567"/>
      <c r="AC74" s="1555" t="s">
        <v>112</v>
      </c>
      <c r="AD74" s="1556"/>
      <c r="AE74" s="1556"/>
      <c r="AF74" s="1401" t="s">
        <v>51</v>
      </c>
      <c r="AG74" s="1402">
        <v>1.0</v>
      </c>
      <c r="AH74" s="1403">
        <v>2.0</v>
      </c>
      <c r="AI74" s="1403">
        <v>3.0</v>
      </c>
      <c r="AJ74" s="1403">
        <v>4.0</v>
      </c>
      <c r="AK74" s="1403">
        <v>5.0</v>
      </c>
      <c r="AL74" s="1403">
        <v>6.0</v>
      </c>
      <c r="AM74" s="1403">
        <v>7.0</v>
      </c>
      <c r="AN74" s="1403">
        <v>8.0</v>
      </c>
      <c r="AO74" s="1403">
        <v>9.0</v>
      </c>
      <c r="AP74" s="1404">
        <v>10.0</v>
      </c>
      <c r="AQ74" s="1404">
        <v>11.0</v>
      </c>
      <c r="AR74" s="1404">
        <v>12.0</v>
      </c>
      <c r="AS74" s="1404">
        <v>13.0</v>
      </c>
      <c r="AT74" s="1404">
        <v>14.0</v>
      </c>
      <c r="AU74" s="1404">
        <v>15.0</v>
      </c>
      <c r="AV74" s="1404">
        <v>16.0</v>
      </c>
      <c r="AW74" s="1404">
        <v>17.0</v>
      </c>
      <c r="AX74" s="1404">
        <v>18.0</v>
      </c>
      <c r="AY74" s="1405" t="s">
        <v>60</v>
      </c>
      <c r="AZ74" s="1405" t="s">
        <v>61</v>
      </c>
      <c r="BA74" s="1405" t="s">
        <v>52</v>
      </c>
      <c r="BB74" s="1407" t="s">
        <v>254</v>
      </c>
      <c r="BC74" s="1567"/>
      <c r="BD74" s="1568"/>
      <c r="BE74" s="1568"/>
      <c r="BF74" s="1568"/>
      <c r="BG74" s="1568"/>
      <c r="BH74" s="1568"/>
      <c r="BI74" s="1568"/>
      <c r="BJ74" s="1568"/>
    </row>
    <row r="75" ht="14.25" customHeight="1">
      <c r="A75" s="1569"/>
      <c r="B75" s="1556"/>
      <c r="C75" s="1409">
        <v>5.0</v>
      </c>
      <c r="D75" s="1410" t="s">
        <v>146</v>
      </c>
      <c r="E75" s="1411">
        <f>vlookup($D73, 'Course List'!$A$3:$AS$14,5+E74, false)</f>
        <v>10</v>
      </c>
      <c r="F75" s="1411">
        <f>vlookup($D73, 'Course List'!$A$3:$AS$14,5+F74, false)</f>
        <v>18</v>
      </c>
      <c r="G75" s="1411">
        <f>vlookup($D73, 'Course List'!$A$3:$AS$14,5+G74, false)</f>
        <v>6</v>
      </c>
      <c r="H75" s="1411">
        <f>vlookup($D73, 'Course List'!$A$3:$AS$14,5+H74, false)</f>
        <v>14</v>
      </c>
      <c r="I75" s="1411">
        <f>vlookup($D73, 'Course List'!$A$3:$AS$14,5+I74, false)</f>
        <v>2</v>
      </c>
      <c r="J75" s="1411">
        <f>vlookup($D73, 'Course List'!$A$3:$AS$14,5+J74, false)</f>
        <v>12</v>
      </c>
      <c r="K75" s="1411">
        <f>vlookup($D73, 'Course List'!$A$3:$AS$14,5+K74, false)</f>
        <v>16</v>
      </c>
      <c r="L75" s="1411">
        <f>vlookup($D73, 'Course List'!$A$3:$AS$14,5+L74, false)</f>
        <v>4</v>
      </c>
      <c r="M75" s="1411">
        <f>vlookup($D73, 'Course List'!$A$3:$AS$14,5+M74, false)</f>
        <v>8</v>
      </c>
      <c r="N75" s="1412">
        <f>vlookup($D73, 'Course List'!$A$3:$AS$14,5+N74, false)</f>
        <v>3</v>
      </c>
      <c r="O75" s="1412">
        <f>vlookup($D73, 'Course List'!$A$3:$AS$14,5+O74, false)</f>
        <v>13</v>
      </c>
      <c r="P75" s="1412">
        <f>vlookup($D73, 'Course List'!$A$3:$AS$14,5+P74, false)</f>
        <v>15</v>
      </c>
      <c r="Q75" s="1412">
        <f>vlookup($D73, 'Course List'!$A$3:$AS$14,5+Q74, false)</f>
        <v>11</v>
      </c>
      <c r="R75" s="1412">
        <f>vlookup($D73, 'Course List'!$A$3:$AS$14,5+R74, false)</f>
        <v>7</v>
      </c>
      <c r="S75" s="1412">
        <f>vlookup($D73, 'Course List'!$A$3:$AS$14,5+S74, false)</f>
        <v>9</v>
      </c>
      <c r="T75" s="1412">
        <f>vlookup($D73, 'Course List'!$A$3:$AS$14,5+T74, false)</f>
        <v>1</v>
      </c>
      <c r="U75" s="1412">
        <f>vlookup($D73, 'Course List'!$A$3:$AS$14,5+U74, false)</f>
        <v>5</v>
      </c>
      <c r="V75" s="1412">
        <f>vlookup($D73, 'Course List'!$A$3:$AS$14,5+V74, false)</f>
        <v>17</v>
      </c>
      <c r="W75" s="1570"/>
      <c r="X75" s="1570"/>
      <c r="Y75" s="1570"/>
      <c r="Z75" s="1570"/>
      <c r="AA75" s="1436"/>
      <c r="AB75" s="1571"/>
      <c r="AC75" s="1569"/>
      <c r="AD75" s="1556"/>
      <c r="AE75" s="1409">
        <v>5.0</v>
      </c>
      <c r="AF75" s="1410" t="s">
        <v>146</v>
      </c>
      <c r="AG75" s="1411">
        <f t="shared" ref="AG75:AX75" si="111">E75</f>
        <v>10</v>
      </c>
      <c r="AH75" s="1411">
        <f t="shared" si="111"/>
        <v>18</v>
      </c>
      <c r="AI75" s="1411">
        <f t="shared" si="111"/>
        <v>6</v>
      </c>
      <c r="AJ75" s="1411">
        <f t="shared" si="111"/>
        <v>14</v>
      </c>
      <c r="AK75" s="1411">
        <f t="shared" si="111"/>
        <v>2</v>
      </c>
      <c r="AL75" s="1411">
        <f t="shared" si="111"/>
        <v>12</v>
      </c>
      <c r="AM75" s="1411">
        <f t="shared" si="111"/>
        <v>16</v>
      </c>
      <c r="AN75" s="1411">
        <f t="shared" si="111"/>
        <v>4</v>
      </c>
      <c r="AO75" s="1411">
        <f t="shared" si="111"/>
        <v>8</v>
      </c>
      <c r="AP75" s="1412">
        <f t="shared" si="111"/>
        <v>3</v>
      </c>
      <c r="AQ75" s="1412">
        <f t="shared" si="111"/>
        <v>13</v>
      </c>
      <c r="AR75" s="1412">
        <f t="shared" si="111"/>
        <v>15</v>
      </c>
      <c r="AS75" s="1412">
        <f t="shared" si="111"/>
        <v>11</v>
      </c>
      <c r="AT75" s="1412">
        <f t="shared" si="111"/>
        <v>7</v>
      </c>
      <c r="AU75" s="1412">
        <f t="shared" si="111"/>
        <v>9</v>
      </c>
      <c r="AV75" s="1412">
        <f t="shared" si="111"/>
        <v>1</v>
      </c>
      <c r="AW75" s="1412">
        <f t="shared" si="111"/>
        <v>5</v>
      </c>
      <c r="AX75" s="1412">
        <f t="shared" si="111"/>
        <v>17</v>
      </c>
      <c r="AY75" s="1572"/>
      <c r="AZ75" s="1570"/>
      <c r="BA75" s="1570"/>
      <c r="BB75" s="1570"/>
      <c r="BC75" s="1571"/>
      <c r="BD75" s="1573" t="s">
        <v>255</v>
      </c>
      <c r="BE75" s="1574" t="s">
        <v>70</v>
      </c>
      <c r="BF75" s="1575"/>
      <c r="BG75" s="1575"/>
      <c r="BH75" s="1575"/>
      <c r="BI75" s="1575"/>
      <c r="BJ75" s="1575"/>
    </row>
    <row r="76" ht="14.25" customHeight="1">
      <c r="A76" s="1418" t="s">
        <v>109</v>
      </c>
      <c r="B76" s="1419" t="s">
        <v>256</v>
      </c>
      <c r="C76" s="1420" t="s">
        <v>257</v>
      </c>
      <c r="D76" s="1401" t="s">
        <v>91</v>
      </c>
      <c r="E76" s="1411">
        <f>vlookup($D73, 'Course List'!$A$3:$AS$14,27+E74, false)</f>
        <v>4</v>
      </c>
      <c r="F76" s="1411">
        <f>vlookup($D73, 'Course List'!$A$3:$AS$14,27+F74, false)</f>
        <v>5</v>
      </c>
      <c r="G76" s="1411">
        <f>vlookup($D73, 'Course List'!$A$3:$AS$14,27+G74, false)</f>
        <v>4</v>
      </c>
      <c r="H76" s="1411">
        <f>vlookup($D73, 'Course List'!$A$3:$AS$14,27+H74, false)</f>
        <v>3</v>
      </c>
      <c r="I76" s="1411">
        <f>vlookup($D73, 'Course List'!$A$3:$AS$14,27+I74, false)</f>
        <v>4</v>
      </c>
      <c r="J76" s="1411">
        <f>vlookup($D73, 'Course List'!$A$3:$AS$14,27+J74, false)</f>
        <v>5</v>
      </c>
      <c r="K76" s="1411">
        <f>vlookup($D73, 'Course List'!$A$3:$AS$14,27+K74, false)</f>
        <v>3</v>
      </c>
      <c r="L76" s="1411">
        <f>vlookup($D73, 'Course List'!$A$3:$AS$14,27+L74, false)</f>
        <v>4</v>
      </c>
      <c r="M76" s="1411">
        <f>vlookup($D73, 'Course List'!$A$3:$AS$14,27+M74, false)</f>
        <v>4</v>
      </c>
      <c r="N76" s="1412">
        <f>vlookup($D73, 'Course List'!$A$3:$AS$14,27+N74, false)</f>
        <v>4</v>
      </c>
      <c r="O76" s="1412">
        <f>vlookup($D73, 'Course List'!$A$3:$AS$14,27+O74, false)</f>
        <v>4</v>
      </c>
      <c r="P76" s="1412">
        <f>vlookup($D73, 'Course List'!$A$3:$AS$14,27+P74, false)</f>
        <v>3</v>
      </c>
      <c r="Q76" s="1412">
        <f>vlookup($D73, 'Course List'!$A$3:$AS$14,27+Q74, false)</f>
        <v>5</v>
      </c>
      <c r="R76" s="1412">
        <f>vlookup($D73, 'Course List'!$A$3:$AS$14,27+R74, false)</f>
        <v>4</v>
      </c>
      <c r="S76" s="1412">
        <f>vlookup($D73, 'Course List'!$A$3:$AS$14,27+S74, false)</f>
        <v>3</v>
      </c>
      <c r="T76" s="1412">
        <f>vlookup($D73, 'Course List'!$A$3:$AS$14,27+T74, false)</f>
        <v>4</v>
      </c>
      <c r="U76" s="1412">
        <f>vlookup($D73, 'Course List'!$A$3:$AS$14,27+U74, false)</f>
        <v>4</v>
      </c>
      <c r="V76" s="1412">
        <f>vlookup($D73, 'Course List'!$A$3:$AS$14,27+V74, false)</f>
        <v>5</v>
      </c>
      <c r="W76" s="1405">
        <f t="shared" ref="W76:W92" si="113">SUM(E76:M76)</f>
        <v>36</v>
      </c>
      <c r="X76" s="1405">
        <f t="shared" ref="X76:X92" si="114">SUM(N76:V76)</f>
        <v>36</v>
      </c>
      <c r="Y76" s="1405">
        <f>W76+X76</f>
        <v>72</v>
      </c>
      <c r="Z76" s="1405"/>
      <c r="AA76" s="1436"/>
      <c r="AB76" s="1567"/>
      <c r="AC76" s="1418" t="s">
        <v>109</v>
      </c>
      <c r="AD76" s="1419" t="s">
        <v>256</v>
      </c>
      <c r="AE76" s="1420" t="s">
        <v>258</v>
      </c>
      <c r="AF76" s="1401" t="s">
        <v>91</v>
      </c>
      <c r="AG76" s="1411">
        <f t="shared" ref="AG76:AX76" si="112">E76</f>
        <v>4</v>
      </c>
      <c r="AH76" s="1411">
        <f t="shared" si="112"/>
        <v>5</v>
      </c>
      <c r="AI76" s="1411">
        <f t="shared" si="112"/>
        <v>4</v>
      </c>
      <c r="AJ76" s="1411">
        <f t="shared" si="112"/>
        <v>3</v>
      </c>
      <c r="AK76" s="1411">
        <f t="shared" si="112"/>
        <v>4</v>
      </c>
      <c r="AL76" s="1411">
        <f t="shared" si="112"/>
        <v>5</v>
      </c>
      <c r="AM76" s="1411">
        <f t="shared" si="112"/>
        <v>3</v>
      </c>
      <c r="AN76" s="1411">
        <f t="shared" si="112"/>
        <v>4</v>
      </c>
      <c r="AO76" s="1411">
        <f t="shared" si="112"/>
        <v>4</v>
      </c>
      <c r="AP76" s="1412">
        <f t="shared" si="112"/>
        <v>4</v>
      </c>
      <c r="AQ76" s="1412">
        <f t="shared" si="112"/>
        <v>4</v>
      </c>
      <c r="AR76" s="1412">
        <f t="shared" si="112"/>
        <v>3</v>
      </c>
      <c r="AS76" s="1412">
        <f t="shared" si="112"/>
        <v>5</v>
      </c>
      <c r="AT76" s="1412">
        <f t="shared" si="112"/>
        <v>4</v>
      </c>
      <c r="AU76" s="1412">
        <f t="shared" si="112"/>
        <v>3</v>
      </c>
      <c r="AV76" s="1412">
        <f t="shared" si="112"/>
        <v>4</v>
      </c>
      <c r="AW76" s="1412">
        <f t="shared" si="112"/>
        <v>4</v>
      </c>
      <c r="AX76" s="1412">
        <f t="shared" si="112"/>
        <v>5</v>
      </c>
      <c r="AY76" s="1405">
        <f t="shared" ref="AY76:AY92" si="116">SUM(AG76:AO76)</f>
        <v>36</v>
      </c>
      <c r="AZ76" s="1405">
        <f t="shared" ref="AZ76:AZ92" si="117">SUM(AP76:AX76)</f>
        <v>36</v>
      </c>
      <c r="BA76" s="1405">
        <f>AY76+AZ76</f>
        <v>72</v>
      </c>
      <c r="BB76" s="1405"/>
      <c r="BC76" s="1567"/>
      <c r="BD76" s="1576" t="s">
        <v>259</v>
      </c>
      <c r="BE76" s="1577" t="s">
        <v>260</v>
      </c>
      <c r="BF76" s="1578" t="s">
        <v>261</v>
      </c>
      <c r="BG76" s="1578" t="s">
        <v>262</v>
      </c>
      <c r="BH76" s="1578" t="s">
        <v>263</v>
      </c>
      <c r="BI76" s="1578" t="s">
        <v>264</v>
      </c>
      <c r="BJ76" s="1578" t="s">
        <v>265</v>
      </c>
    </row>
    <row r="77" ht="14.25" customHeight="1">
      <c r="A77" s="1423" t="str">
        <f t="shared" ref="A77:A92" si="118">A53</f>
        <v>Jensen</v>
      </c>
      <c r="B77" s="1424">
        <f>VLOOKUP(A77,'Master Input'!$A$11:$L$27,12,false)</f>
        <v>8</v>
      </c>
      <c r="C77" s="1423"/>
      <c r="D77" s="1425"/>
      <c r="E77" s="1426">
        <f>if(countif('R4_G1'!$A$8:$A$17,$A77)=1,vlookup($A77,'R4_G1'!$A$8:$Y$17, E$2+4,false),if(countif('R4_G3'!$A$8:$A$17,$A77)=1,vlookup($A77,'R4_G3'!$A$8:$Y$17, E$2+4,false),if(countif('R4_G2'!$A$8:$A$17,$A77)=1,vlookup($A77,'R4_G2'!$A$8:$Y$17, E$2+4,false),if(countif('R4_G4'!$A$8:$A$17,$A77)=1,vlookup($A77,'R4_G4'!$A$8:$Y$17, E$2+4,false),""))))</f>
        <v>3</v>
      </c>
      <c r="F77" s="1426">
        <f>if(countif('R4_G1'!$A$8:$A$17,$A77)=1,vlookup($A77,'R4_G1'!$A$8:$Y$17, F$2+4,false),if(countif('R4_G3'!$A$8:$A$17,$A77)=1,vlookup($A77,'R4_G3'!$A$8:$Y$17, F$2+4,false),if(countif('R4_G2'!$A$8:$A$17,$A77)=1,vlookup($A77,'R4_G2'!$A$8:$Y$17, F$2+4,false),if(countif('R4_G4'!$A$8:$A$17,$A77)=1,vlookup($A77,'R4_G4'!$A$8:$Y$17, F$2+4,false),""))))</f>
        <v>7</v>
      </c>
      <c r="G77" s="1426">
        <f>if(countif('R4_G1'!$A$8:$A$17,$A77)=1,vlookup($A77,'R4_G1'!$A$8:$Y$17, G$2+4,false),if(countif('R4_G3'!$A$8:$A$17,$A77)=1,vlookup($A77,'R4_G3'!$A$8:$Y$17, G$2+4,false),if(countif('R4_G2'!$A$8:$A$17,$A77)=1,vlookup($A77,'R4_G2'!$A$8:$Y$17, G$2+4,false),if(countif('R4_G4'!$A$8:$A$17,$A77)=1,vlookup($A77,'R4_G4'!$A$8:$Y$17, G$2+4,false),""))))</f>
        <v>5</v>
      </c>
      <c r="H77" s="1426">
        <f>if(countif('R4_G1'!$A$8:$A$17,$A77)=1,vlookup($A77,'R4_G1'!$A$8:$Y$17, H$2+4,false),if(countif('R4_G3'!$A$8:$A$17,$A77)=1,vlookup($A77,'R4_G3'!$A$8:$Y$17, H$2+4,false),if(countif('R4_G2'!$A$8:$A$17,$A77)=1,vlookup($A77,'R4_G2'!$A$8:$Y$17, H$2+4,false),if(countif('R4_G4'!$A$8:$A$17,$A77)=1,vlookup($A77,'R4_G4'!$A$8:$Y$17, H$2+4,false),""))))</f>
        <v>3</v>
      </c>
      <c r="I77" s="1426">
        <f>if(countif('R4_G1'!$A$8:$A$17,$A77)=1,vlookup($A77,'R4_G1'!$A$8:$Y$17, I$2+4,false),if(countif('R4_G3'!$A$8:$A$17,$A77)=1,vlookup($A77,'R4_G3'!$A$8:$Y$17, I$2+4,false),if(countif('R4_G2'!$A$8:$A$17,$A77)=1,vlookup($A77,'R4_G2'!$A$8:$Y$17, I$2+4,false),if(countif('R4_G4'!$A$8:$A$17,$A77)=1,vlookup($A77,'R4_G4'!$A$8:$Y$17, I$2+4,false),""))))</f>
        <v>4</v>
      </c>
      <c r="J77" s="1426">
        <f>if(countif('R4_G1'!$A$8:$A$17,$A77)=1,vlookup($A77,'R4_G1'!$A$8:$Y$17, J$2+4,false),if(countif('R4_G3'!$A$8:$A$17,$A77)=1,vlookup($A77,'R4_G3'!$A$8:$Y$17, J$2+4,false),if(countif('R4_G2'!$A$8:$A$17,$A77)=1,vlookup($A77,'R4_G2'!$A$8:$Y$17, J$2+4,false),if(countif('R4_G4'!$A$8:$A$17,$A77)=1,vlookup($A77,'R4_G4'!$A$8:$Y$17, J$2+4,false),""))))</f>
        <v>5</v>
      </c>
      <c r="K77" s="1426">
        <f>if(countif('R4_G1'!$A$8:$A$17,$A77)=1,vlookup($A77,'R4_G1'!$A$8:$Y$17, K$2+4,false),if(countif('R4_G3'!$A$8:$A$17,$A77)=1,vlookup($A77,'R4_G3'!$A$8:$Y$17, K$2+4,false),if(countif('R4_G2'!$A$8:$A$17,$A77)=1,vlookup($A77,'R4_G2'!$A$8:$Y$17, K$2+4,false),if(countif('R4_G4'!$A$8:$A$17,$A77)=1,vlookup($A77,'R4_G4'!$A$8:$Y$17, K$2+4,false),""))))</f>
        <v>3</v>
      </c>
      <c r="L77" s="1426">
        <f>if(countif('R4_G1'!$A$8:$A$17,$A77)=1,vlookup($A77,'R4_G1'!$A$8:$Y$17, L$2+4,false),if(countif('R4_G3'!$A$8:$A$17,$A77)=1,vlookup($A77,'R4_G3'!$A$8:$Y$17, L$2+4,false),if(countif('R4_G2'!$A$8:$A$17,$A77)=1,vlookup($A77,'R4_G2'!$A$8:$Y$17, L$2+4,false),if(countif('R4_G4'!$A$8:$A$17,$A77)=1,vlookup($A77,'R4_G4'!$A$8:$Y$17, L$2+4,false),""))))</f>
        <v>5</v>
      </c>
      <c r="M77" s="1426">
        <f>if(countif('R4_G1'!$A$8:$A$17,$A77)=1,vlookup($A77,'R4_G1'!$A$8:$Y$17, M$2+4,false),if(countif('R4_G3'!$A$8:$A$17,$A77)=1,vlookup($A77,'R4_G3'!$A$8:$Y$17, M$2+4,false),if(countif('R4_G2'!$A$8:$A$17,$A77)=1,vlookup($A77,'R4_G2'!$A$8:$Y$17, M$2+4,false),if(countif('R4_G4'!$A$8:$A$17,$A77)=1,vlookup($A77,'R4_G4'!$A$8:$Y$17, M$2+4,false),""))))</f>
        <v>4</v>
      </c>
      <c r="N77" s="1427">
        <f>if(countif('R4_G1'!$A$8:$A$17,$A77)=1,vlookup($A77,'R4_G1'!$A$8:$Y$17, N$2+7,false),if(countif('R4_G3'!$A$8:$A$17,$A77)=1,vlookup($A77,'R4_G3'!$A$8:$Y$17, N$2+7,false),if(countif('R4_G2'!$A$8:$A$17,$A77)=1,vlookup($A77,'R4_G2'!$A$8:$Y$17, N$2+7,false),if(countif('R4_G4'!$A$8:$A$17,$A77)=1,vlookup($A77,'R4_G4'!$A$8:$Y$17, N$2+7,false),""))))</f>
        <v>6</v>
      </c>
      <c r="O77" s="1427">
        <f>if(countif('R4_G1'!$A$8:$A$17,$A77)=1,vlookup($A77,'R4_G1'!$A$8:$Y$17, O$2+7,false),if(countif('R4_G3'!$A$8:$A$17,$A77)=1,vlookup($A77,'R4_G3'!$A$8:$Y$17, O$2+7,false),if(countif('R4_G2'!$A$8:$A$17,$A77)=1,vlookup($A77,'R4_G2'!$A$8:$Y$17, O$2+7,false),if(countif('R4_G4'!$A$8:$A$17,$A77)=1,vlookup($A77,'R4_G4'!$A$8:$Y$17, O$2+7,false),""))))</f>
        <v>4</v>
      </c>
      <c r="P77" s="1427">
        <f>if(countif('R4_G1'!$A$8:$A$17,$A77)=1,vlookup($A77,'R4_G1'!$A$8:$Y$17, P$2+7,false),if(countif('R4_G3'!$A$8:$A$17,$A77)=1,vlookup($A77,'R4_G3'!$A$8:$Y$17, P$2+7,false),if(countif('R4_G2'!$A$8:$A$17,$A77)=1,vlookup($A77,'R4_G2'!$A$8:$Y$17, P$2+7,false),if(countif('R4_G4'!$A$8:$A$17,$A77)=1,vlookup($A77,'R4_G4'!$A$8:$Y$17, P$2+7,false),""))))</f>
        <v>3</v>
      </c>
      <c r="Q77" s="1427">
        <f>if(countif('R4_G1'!$A$8:$A$17,$A77)=1,vlookup($A77,'R4_G1'!$A$8:$Y$17, Q$2+7,false),if(countif('R4_G3'!$A$8:$A$17,$A77)=1,vlookup($A77,'R4_G3'!$A$8:$Y$17, Q$2+7,false),if(countif('R4_G2'!$A$8:$A$17,$A77)=1,vlookup($A77,'R4_G2'!$A$8:$Y$17, Q$2+7,false),if(countif('R4_G4'!$A$8:$A$17,$A77)=1,vlookup($A77,'R4_G4'!$A$8:$Y$17, Q$2+7,false),""))))</f>
        <v>5</v>
      </c>
      <c r="R77" s="1427">
        <f>if(countif('R4_G1'!$A$8:$A$17,$A77)=1,vlookup($A77,'R4_G1'!$A$8:$Y$17, R$2+7,false),if(countif('R4_G3'!$A$8:$A$17,$A77)=1,vlookup($A77,'R4_G3'!$A$8:$Y$17, R$2+7,false),if(countif('R4_G2'!$A$8:$A$17,$A77)=1,vlookup($A77,'R4_G2'!$A$8:$Y$17, R$2+7,false),if(countif('R4_G4'!$A$8:$A$17,$A77)=1,vlookup($A77,'R4_G4'!$A$8:$Y$17, R$2+7,false),""))))</f>
        <v>4</v>
      </c>
      <c r="S77" s="1427">
        <f>if(countif('R4_G1'!$A$8:$A$17,$A77)=1,vlookup($A77,'R4_G1'!$A$8:$Y$17, S$2+7,false),if(countif('R4_G3'!$A$8:$A$17,$A77)=1,vlookup($A77,'R4_G3'!$A$8:$Y$17, S$2+7,false),if(countif('R4_G2'!$A$8:$A$17,$A77)=1,vlookup($A77,'R4_G2'!$A$8:$Y$17, S$2+7,false),if(countif('R4_G4'!$A$8:$A$17,$A77)=1,vlookup($A77,'R4_G4'!$A$8:$Y$17, S$2+7,false),""))))</f>
        <v>4</v>
      </c>
      <c r="T77" s="1427">
        <f>if(countif('R4_G1'!$A$8:$A$17,$A77)=1,vlookup($A77,'R4_G1'!$A$8:$Y$17, T$2+7,false),if(countif('R4_G3'!$A$8:$A$17,$A77)=1,vlookup($A77,'R4_G3'!$A$8:$Y$17, T$2+7,false),if(countif('R4_G2'!$A$8:$A$17,$A77)=1,vlookup($A77,'R4_G2'!$A$8:$Y$17, T$2+7,false),if(countif('R4_G4'!$A$8:$A$17,$A77)=1,vlookup($A77,'R4_G4'!$A$8:$Y$17, T$2+7,false),""))))</f>
        <v>5</v>
      </c>
      <c r="U77" s="1427">
        <f>if(countif('R4_G1'!$A$8:$A$17,$A77)=1,vlookup($A77,'R4_G1'!$A$8:$Y$17, U$2+7,false),if(countif('R4_G3'!$A$8:$A$17,$A77)=1,vlookup($A77,'R4_G3'!$A$8:$Y$17, U$2+7,false),if(countif('R4_G2'!$A$8:$A$17,$A77)=1,vlookup($A77,'R4_G2'!$A$8:$Y$17, U$2+7,false),if(countif('R4_G4'!$A$8:$A$17,$A77)=1,vlookup($A77,'R4_G4'!$A$8:$Y$17, U$2+7,false),""))))</f>
        <v>5</v>
      </c>
      <c r="V77" s="1427">
        <f>if(countif('R4_G1'!$A$8:$A$17,$A77)=1,vlookup($A77,'R4_G1'!$A$8:$Y$17, V$2+7,false),if(countif('R4_G3'!$A$8:$A$17,$A77)=1,vlookup($A77,'R4_G3'!$A$8:$Y$17, V$2+7,false),if(countif('R4_G2'!$A$8:$A$17,$A77)=1,vlookup($A77,'R4_G2'!$A$8:$Y$17, V$2+7,false),if(countif('R4_G4'!$A$8:$A$17,$A77)=1,vlookup($A77,'R4_G4'!$A$8:$Y$17, V$2+7,false),""))))</f>
        <v>4</v>
      </c>
      <c r="W77" s="1428">
        <f t="shared" si="113"/>
        <v>39</v>
      </c>
      <c r="X77" s="1428">
        <f t="shared" si="114"/>
        <v>40</v>
      </c>
      <c r="Y77" s="1428">
        <f t="shared" ref="Y77:Y92" si="119">if(count(E77:V77)=18,W77+X77,"")</f>
        <v>79</v>
      </c>
      <c r="Z77" s="1428">
        <f t="shared" ref="Z77:Z92" si="120">if(V77="","",Y77-B77)</f>
        <v>71</v>
      </c>
      <c r="AA77" s="1438">
        <f t="shared" ref="AA77:AA92" si="121">Y77</f>
        <v>79</v>
      </c>
      <c r="AB77" s="1567"/>
      <c r="AC77" s="1423" t="str">
        <f t="shared" ref="AC77:AC92" si="122">A77</f>
        <v>Jensen</v>
      </c>
      <c r="AD77" s="1424">
        <f>VLOOKUP(AC77,'Master Input'!$A$11:$L$27,12,false)</f>
        <v>8</v>
      </c>
      <c r="AE77" s="1423" t="s">
        <v>266</v>
      </c>
      <c r="AF77" s="1425"/>
      <c r="AG77" s="1428">
        <f t="shared" ref="AG77:AX77" si="115">if(E77="","",E77-IF($B77&gt;0,FLOOR($B77/18,1),0)-IF(AND(MOD($B77,18)&gt;=E$75,$B77&gt;0),1,0)+IF(E$75-18&gt;$B77,1,0))</f>
        <v>3</v>
      </c>
      <c r="AH77" s="1428">
        <f t="shared" si="115"/>
        <v>7</v>
      </c>
      <c r="AI77" s="1428">
        <f t="shared" si="115"/>
        <v>4</v>
      </c>
      <c r="AJ77" s="1428">
        <f t="shared" si="115"/>
        <v>3</v>
      </c>
      <c r="AK77" s="1428">
        <f t="shared" si="115"/>
        <v>3</v>
      </c>
      <c r="AL77" s="1428">
        <f t="shared" si="115"/>
        <v>5</v>
      </c>
      <c r="AM77" s="1428">
        <f t="shared" si="115"/>
        <v>3</v>
      </c>
      <c r="AN77" s="1428">
        <f t="shared" si="115"/>
        <v>4</v>
      </c>
      <c r="AO77" s="1428">
        <f t="shared" si="115"/>
        <v>3</v>
      </c>
      <c r="AP77" s="1429">
        <f t="shared" si="115"/>
        <v>5</v>
      </c>
      <c r="AQ77" s="1429">
        <f t="shared" si="115"/>
        <v>4</v>
      </c>
      <c r="AR77" s="1429">
        <f t="shared" si="115"/>
        <v>3</v>
      </c>
      <c r="AS77" s="1429">
        <f t="shared" si="115"/>
        <v>5</v>
      </c>
      <c r="AT77" s="1429">
        <f t="shared" si="115"/>
        <v>3</v>
      </c>
      <c r="AU77" s="1429">
        <f t="shared" si="115"/>
        <v>4</v>
      </c>
      <c r="AV77" s="1429">
        <f t="shared" si="115"/>
        <v>4</v>
      </c>
      <c r="AW77" s="1429">
        <f t="shared" si="115"/>
        <v>4</v>
      </c>
      <c r="AX77" s="1429">
        <f t="shared" si="115"/>
        <v>4</v>
      </c>
      <c r="AY77" s="1428">
        <f t="shared" si="116"/>
        <v>35</v>
      </c>
      <c r="AZ77" s="1428">
        <f t="shared" si="117"/>
        <v>36</v>
      </c>
      <c r="BA77" s="1428">
        <f t="shared" ref="BA77:BA92" si="124">if(count(AG77:AX77)=18,AY77+AZ77,"")</f>
        <v>71</v>
      </c>
      <c r="BB77" s="1430" t="str">
        <f>if(countif('R4_G1'!$A$8:$A$17,$A77)=1, if(and(BA77=Z77,BA77=vlookup($A77,'R4_G1'!$A$8:$AB$17, 28,false)),"yes","no"),
if(countif('R4_G3'!$A$8:$A$17,$A77)=1, if(and(BA77=Z77,BA77=vlookup($A77,'R4_G3'!$A$8:$AB$17, 28,false)),"yes","no"),
if(countif('R4_G2'!$A$8:$A$17,$A77)=1, if(and(BA77=Z77,BA77=vlookup($A77,'R4_G2'!$A$8:$AB$17, 28,false)),"yes","no"),
if(countif('R4_G4'!$A$8:$A$17,$A77)=1, if(and(BA77=Z77,BA77=vlookup($A77,'R4_G4'!$A$8:$AB$17, 28,false)),"yes","no"),
"?"))))
</f>
        <v>yes</v>
      </c>
      <c r="BC77" s="1567"/>
      <c r="BD77" s="1579">
        <f t="shared" ref="BD77:BD92" si="125">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10</v>
      </c>
      <c r="BE77" s="1442">
        <f t="shared" ref="BE77:BE92" si="126">(rank(AG77,$AG$77:$AG$92,0)-1)/15+(countif($AG$77:$AG$92,AG77)-1)/30+
(rank(AH77,$AH$77:$AH$92,0)-1)/15+(countif($AH$77:$AH$92,AH77)-1)/30+
(rank(AI77,$AI$77:$AI$92,0)-1)/15+(countif($AI$77:$AI$92,AI77)-1)/30+
(rank(AJ77,$AJ$77:$AJ$92,0)-1)/15+(countif($AJ$77:$AJ$92,AJ77)-1)/30+
(rank(AK77,$AK$77:$AK$92,0)-1)/15+(countif($AK$77:$AK$92,AK77)-1)/30+
(rank(AL77,$AL$77:$AL$92,0)-1)/15+(countif($AL$77:$AL$92,AL77)-1)/30+
(rank(AM77,$AM$77:$AM$92,0)-1)/15+(countif($AM$77:$AM$92,AM77)-1)/30+
(rank(AN77,$AN$77:$AN$92,0)-1)/15+(countif($AN$77:$AN$92,AN77)-1)/30+
(rank(AO77,$AO$77:$AO$92,0)-1)/15+(countif($AO$77:$AO$92,AO77)-1)/30+
(rank(AP77,$AP$77:$AP$92,0)-1)/15+(countif($AP$77:$AP$92,AP77)-1)/30+
(rank(AQ77,$AQ$77:$AQ$92,0)-1)/15+(countif($AQ$77:$AQ$92,AQ77)-1)/30+
(rank(AR77,$AR$77:$AR$92,0)-1)/15+(countif($AR$77:$AR$92,AR77)-1)/30+
(rank(AS77,$AS$77:$AS$92,0)-1)/15+(countif($AS$77:$AS$92,AS77)-1)/30+
(rank(AT77,$AT$77:$AT$92,0)-1)/15+(countif($AT$77:$AT$92,AT77)-1)/30+
(rank(AU77,$AU$77:$AU$92,0)-1)/15+(countif($AU$77:$AU$92,AU77)-1)/30+
(rank(AV77,$AV$77:$AV$92,0)-1)/15+(countif($AV$77:$AV$92,AV77)-1)/30+
(rank(AW77,$AW$77:$AW$92,0)-1)/15+(countif($AW$77:$AW$92,AW77)-1)/30+
(rank(AX77,$AX$77:$AX$92,0)-1)/15+(countif($AX$77:$AX$92,AX77)-1)/30</f>
        <v>11.23333333</v>
      </c>
      <c r="BF77" s="1442">
        <f t="shared" ref="BF77:BF92" si="127">countifs($AG$76:$AX$76,3,$AG77:$AX77,"&lt;=1")
+countifs($AG$76:$AX$76,4,$AG77:$AX77,"&lt;=2")
+countifs($AG$76:$AX$76,5,$AG77:$AX77,"&lt;=3")</f>
        <v>0</v>
      </c>
      <c r="BG77" s="1442">
        <f t="shared" ref="BG77:BG92" si="128">countifs($AG$76:$AX$76,3,$AG77:$AX77,2)
+countifs($AG$76:$AX$76,4,$AG77:$AX77,3)
+countifs($AG$76:$AX$76,5,$AG77:$AX77,4)</f>
        <v>5</v>
      </c>
      <c r="BH77" s="1442">
        <f t="shared" ref="BH77:BH92" si="129">countifs($AG$76:$AX$76,3,$AG77:$AX77,3)
+countifs($AG$76:$AX$76,4,$AG77:$AX77,4)
+countifs($AG$76:$AX$76,5,$AG77:$AX77,5)</f>
        <v>10</v>
      </c>
      <c r="BI77" s="1442">
        <f t="shared" ref="BI77:BI92" si="130">countifs($AG$76:$AX$76,3,$AG77:$AX77,4)
+countifs($AG$76:$AX$76,4,$AG77:$AX77,5)
+countifs($AG$76:$AX$76,5,$AG77:$AX77,6)</f>
        <v>2</v>
      </c>
      <c r="BJ77" s="1442">
        <f t="shared" ref="BJ77:BJ92" si="131">countifs($AG$76:$AX$76,3,$AG77:$AX77,"&gt;=5")
+countifs($AG$76:$AX$76,4,$AG77:$AX77,"&gt;=6")
+countifs($AG$76:$AX$76,5,$AG77:$AX77,"&gt;=7")</f>
        <v>1</v>
      </c>
    </row>
    <row r="78" ht="14.25" customHeight="1">
      <c r="A78" s="1434" t="str">
        <f t="shared" si="118"/>
        <v>CuzNick</v>
      </c>
      <c r="B78" s="1435">
        <f>VLOOKUP(A78,'Master Input'!$A$11:$L$27,12,false)</f>
        <v>8</v>
      </c>
      <c r="C78" s="1434"/>
      <c r="D78" s="1401"/>
      <c r="E78" s="1437">
        <f>if(countif('R4_G1'!$A$8:$A$17,$A78)=1,vlookup($A78,'R4_G1'!$A$8:$Y$17, E$2+4,false),if(countif('R4_G3'!$A$8:$A$17,$A78)=1,vlookup($A78,'R4_G3'!$A$8:$Y$17, E$2+4,false),if(countif('R4_G2'!$A$8:$A$17,$A78)=1,vlookup($A78,'R4_G2'!$A$8:$Y$17, E$2+4,false),if(countif('R4_G4'!$A$8:$A$17,$A78)=1,vlookup($A78,'R4_G4'!$A$8:$Y$17, E$2+4,false),""))))</f>
        <v>8</v>
      </c>
      <c r="F78" s="1437">
        <f>if(countif('R4_G1'!$A$8:$A$17,$A78)=1,vlookup($A78,'R4_G1'!$A$8:$Y$17, F$2+4,false),if(countif('R4_G3'!$A$8:$A$17,$A78)=1,vlookup($A78,'R4_G3'!$A$8:$Y$17, F$2+4,false),if(countif('R4_G2'!$A$8:$A$17,$A78)=1,vlookup($A78,'R4_G2'!$A$8:$Y$17, F$2+4,false),if(countif('R4_G4'!$A$8:$A$17,$A78)=1,vlookup($A78,'R4_G4'!$A$8:$Y$17, F$2+4,false),""))))</f>
        <v>7</v>
      </c>
      <c r="G78" s="1437">
        <f>if(countif('R4_G1'!$A$8:$A$17,$A78)=1,vlookup($A78,'R4_G1'!$A$8:$Y$17, G$2+4,false),if(countif('R4_G3'!$A$8:$A$17,$A78)=1,vlookup($A78,'R4_G3'!$A$8:$Y$17, G$2+4,false),if(countif('R4_G2'!$A$8:$A$17,$A78)=1,vlookup($A78,'R4_G2'!$A$8:$Y$17, G$2+4,false),if(countif('R4_G4'!$A$8:$A$17,$A78)=1,vlookup($A78,'R4_G4'!$A$8:$Y$17, G$2+4,false),""))))</f>
        <v>7</v>
      </c>
      <c r="H78" s="1437">
        <f>if(countif('R4_G1'!$A$8:$A$17,$A78)=1,vlookup($A78,'R4_G1'!$A$8:$Y$17, H$2+4,false),if(countif('R4_G3'!$A$8:$A$17,$A78)=1,vlookup($A78,'R4_G3'!$A$8:$Y$17, H$2+4,false),if(countif('R4_G2'!$A$8:$A$17,$A78)=1,vlookup($A78,'R4_G2'!$A$8:$Y$17, H$2+4,false),if(countif('R4_G4'!$A$8:$A$17,$A78)=1,vlookup($A78,'R4_G4'!$A$8:$Y$17, H$2+4,false),""))))</f>
        <v>6</v>
      </c>
      <c r="I78" s="1437">
        <f>if(countif('R4_G1'!$A$8:$A$17,$A78)=1,vlookup($A78,'R4_G1'!$A$8:$Y$17, I$2+4,false),if(countif('R4_G3'!$A$8:$A$17,$A78)=1,vlookup($A78,'R4_G3'!$A$8:$Y$17, I$2+4,false),if(countif('R4_G2'!$A$8:$A$17,$A78)=1,vlookup($A78,'R4_G2'!$A$8:$Y$17, I$2+4,false),if(countif('R4_G4'!$A$8:$A$17,$A78)=1,vlookup($A78,'R4_G4'!$A$8:$Y$17, I$2+4,false),""))))</f>
        <v>4</v>
      </c>
      <c r="J78" s="1437">
        <f>if(countif('R4_G1'!$A$8:$A$17,$A78)=1,vlookup($A78,'R4_G1'!$A$8:$Y$17, J$2+4,false),if(countif('R4_G3'!$A$8:$A$17,$A78)=1,vlookup($A78,'R4_G3'!$A$8:$Y$17, J$2+4,false),if(countif('R4_G2'!$A$8:$A$17,$A78)=1,vlookup($A78,'R4_G2'!$A$8:$Y$17, J$2+4,false),if(countif('R4_G4'!$A$8:$A$17,$A78)=1,vlookup($A78,'R4_G4'!$A$8:$Y$17, J$2+4,false),""))))</f>
        <v>6</v>
      </c>
      <c r="K78" s="1437">
        <f>if(countif('R4_G1'!$A$8:$A$17,$A78)=1,vlookup($A78,'R4_G1'!$A$8:$Y$17, K$2+4,false),if(countif('R4_G3'!$A$8:$A$17,$A78)=1,vlookup($A78,'R4_G3'!$A$8:$Y$17, K$2+4,false),if(countif('R4_G2'!$A$8:$A$17,$A78)=1,vlookup($A78,'R4_G2'!$A$8:$Y$17, K$2+4,false),if(countif('R4_G4'!$A$8:$A$17,$A78)=1,vlookup($A78,'R4_G4'!$A$8:$Y$17, K$2+4,false),""))))</f>
        <v>4</v>
      </c>
      <c r="L78" s="1437">
        <f>if(countif('R4_G1'!$A$8:$A$17,$A78)=1,vlookup($A78,'R4_G1'!$A$8:$Y$17, L$2+4,false),if(countif('R4_G3'!$A$8:$A$17,$A78)=1,vlookup($A78,'R4_G3'!$A$8:$Y$17, L$2+4,false),if(countif('R4_G2'!$A$8:$A$17,$A78)=1,vlookup($A78,'R4_G2'!$A$8:$Y$17, L$2+4,false),if(countif('R4_G4'!$A$8:$A$17,$A78)=1,vlookup($A78,'R4_G4'!$A$8:$Y$17, L$2+4,false),""))))</f>
        <v>4</v>
      </c>
      <c r="M78" s="1437">
        <f>if(countif('R4_G1'!$A$8:$A$17,$A78)=1,vlookup($A78,'R4_G1'!$A$8:$Y$17, M$2+4,false),if(countif('R4_G3'!$A$8:$A$17,$A78)=1,vlookup($A78,'R4_G3'!$A$8:$Y$17, M$2+4,false),if(countif('R4_G2'!$A$8:$A$17,$A78)=1,vlookup($A78,'R4_G2'!$A$8:$Y$17, M$2+4,false),if(countif('R4_G4'!$A$8:$A$17,$A78)=1,vlookup($A78,'R4_G4'!$A$8:$Y$17, M$2+4,false),""))))</f>
        <v>5</v>
      </c>
      <c r="N78" s="1426">
        <f>if(countif('R4_G1'!$A$8:$A$17,$A78)=1,vlookup($A78,'R4_G1'!$A$8:$Y$17, N$2+7,false),if(countif('R4_G3'!$A$8:$A$17,$A78)=1,vlookup($A78,'R4_G3'!$A$8:$Y$17, N$2+7,false),if(countif('R4_G2'!$A$8:$A$17,$A78)=1,vlookup($A78,'R4_G2'!$A$8:$Y$17, N$2+7,false),if(countif('R4_G4'!$A$8:$A$17,$A78)=1,vlookup($A78,'R4_G4'!$A$8:$Y$17, N$2+7,false),""))))</f>
        <v>5</v>
      </c>
      <c r="O78" s="1426">
        <f>if(countif('R4_G1'!$A$8:$A$17,$A78)=1,vlookup($A78,'R4_G1'!$A$8:$Y$17, O$2+7,false),if(countif('R4_G3'!$A$8:$A$17,$A78)=1,vlookup($A78,'R4_G3'!$A$8:$Y$17, O$2+7,false),if(countif('R4_G2'!$A$8:$A$17,$A78)=1,vlookup($A78,'R4_G2'!$A$8:$Y$17, O$2+7,false),if(countif('R4_G4'!$A$8:$A$17,$A78)=1,vlookup($A78,'R4_G4'!$A$8:$Y$17, O$2+7,false),""))))</f>
        <v>4</v>
      </c>
      <c r="P78" s="1426">
        <f>if(countif('R4_G1'!$A$8:$A$17,$A78)=1,vlookup($A78,'R4_G1'!$A$8:$Y$17, P$2+7,false),if(countif('R4_G3'!$A$8:$A$17,$A78)=1,vlookup($A78,'R4_G3'!$A$8:$Y$17, P$2+7,false),if(countif('R4_G2'!$A$8:$A$17,$A78)=1,vlookup($A78,'R4_G2'!$A$8:$Y$17, P$2+7,false),if(countif('R4_G4'!$A$8:$A$17,$A78)=1,vlookup($A78,'R4_G4'!$A$8:$Y$17, P$2+7,false),""))))</f>
        <v>4</v>
      </c>
      <c r="Q78" s="1426">
        <f>if(countif('R4_G1'!$A$8:$A$17,$A78)=1,vlookup($A78,'R4_G1'!$A$8:$Y$17, Q$2+7,false),if(countif('R4_G3'!$A$8:$A$17,$A78)=1,vlookup($A78,'R4_G3'!$A$8:$Y$17, Q$2+7,false),if(countif('R4_G2'!$A$8:$A$17,$A78)=1,vlookup($A78,'R4_G2'!$A$8:$Y$17, Q$2+7,false),if(countif('R4_G4'!$A$8:$A$17,$A78)=1,vlookup($A78,'R4_G4'!$A$8:$Y$17, Q$2+7,false),""))))</f>
        <v>5</v>
      </c>
      <c r="R78" s="1426">
        <f>if(countif('R4_G1'!$A$8:$A$17,$A78)=1,vlookup($A78,'R4_G1'!$A$8:$Y$17, R$2+7,false),if(countif('R4_G3'!$A$8:$A$17,$A78)=1,vlookup($A78,'R4_G3'!$A$8:$Y$17, R$2+7,false),if(countif('R4_G2'!$A$8:$A$17,$A78)=1,vlookup($A78,'R4_G2'!$A$8:$Y$17, R$2+7,false),if(countif('R4_G4'!$A$8:$A$17,$A78)=1,vlookup($A78,'R4_G4'!$A$8:$Y$17, R$2+7,false),""))))</f>
        <v>4</v>
      </c>
      <c r="S78" s="1426">
        <f>if(countif('R4_G1'!$A$8:$A$17,$A78)=1,vlookup($A78,'R4_G1'!$A$8:$Y$17, S$2+7,false),if(countif('R4_G3'!$A$8:$A$17,$A78)=1,vlookup($A78,'R4_G3'!$A$8:$Y$17, S$2+7,false),if(countif('R4_G2'!$A$8:$A$17,$A78)=1,vlookup($A78,'R4_G2'!$A$8:$Y$17, S$2+7,false),if(countif('R4_G4'!$A$8:$A$17,$A78)=1,vlookup($A78,'R4_G4'!$A$8:$Y$17, S$2+7,false),""))))</f>
        <v>4</v>
      </c>
      <c r="T78" s="1426">
        <f>if(countif('R4_G1'!$A$8:$A$17,$A78)=1,vlookup($A78,'R4_G1'!$A$8:$Y$17, T$2+7,false),if(countif('R4_G3'!$A$8:$A$17,$A78)=1,vlookup($A78,'R4_G3'!$A$8:$Y$17, T$2+7,false),if(countif('R4_G2'!$A$8:$A$17,$A78)=1,vlookup($A78,'R4_G2'!$A$8:$Y$17, T$2+7,false),if(countif('R4_G4'!$A$8:$A$17,$A78)=1,vlookup($A78,'R4_G4'!$A$8:$Y$17, T$2+7,false),""))))</f>
        <v>6</v>
      </c>
      <c r="U78" s="1426">
        <f>if(countif('R4_G1'!$A$8:$A$17,$A78)=1,vlookup($A78,'R4_G1'!$A$8:$Y$17, U$2+7,false),if(countif('R4_G3'!$A$8:$A$17,$A78)=1,vlookup($A78,'R4_G3'!$A$8:$Y$17, U$2+7,false),if(countif('R4_G2'!$A$8:$A$17,$A78)=1,vlookup($A78,'R4_G2'!$A$8:$Y$17, U$2+7,false),if(countif('R4_G4'!$A$8:$A$17,$A78)=1,vlookup($A78,'R4_G4'!$A$8:$Y$17, U$2+7,false),""))))</f>
        <v>5</v>
      </c>
      <c r="V78" s="1426">
        <f>if(countif('R4_G1'!$A$8:$A$17,$A78)=1,vlookup($A78,'R4_G1'!$A$8:$Y$17, V$2+7,false),if(countif('R4_G3'!$A$8:$A$17,$A78)=1,vlookup($A78,'R4_G3'!$A$8:$Y$17, V$2+7,false),if(countif('R4_G2'!$A$8:$A$17,$A78)=1,vlookup($A78,'R4_G2'!$A$8:$Y$17, V$2+7,false),if(countif('R4_G4'!$A$8:$A$17,$A78)=1,vlookup($A78,'R4_G4'!$A$8:$Y$17, V$2+7,false),""))))</f>
        <v>6</v>
      </c>
      <c r="W78" s="1438">
        <f t="shared" si="113"/>
        <v>51</v>
      </c>
      <c r="X78" s="1438">
        <f t="shared" si="114"/>
        <v>43</v>
      </c>
      <c r="Y78" s="1438">
        <f t="shared" si="119"/>
        <v>94</v>
      </c>
      <c r="Z78" s="1438">
        <f t="shared" si="120"/>
        <v>86</v>
      </c>
      <c r="AA78" s="1438">
        <f t="shared" si="121"/>
        <v>94</v>
      </c>
      <c r="AB78" s="1567"/>
      <c r="AC78" s="1434" t="str">
        <f t="shared" si="122"/>
        <v>CuzNick</v>
      </c>
      <c r="AD78" s="1435">
        <f>VLOOKUP(AC78,'Master Input'!$A$11:$L$27,12,false)</f>
        <v>8</v>
      </c>
      <c r="AE78" s="1434" t="s">
        <v>266</v>
      </c>
      <c r="AF78" s="1401"/>
      <c r="AG78" s="1438">
        <f t="shared" ref="AG78:AX78" si="123">if(E78="","",E78-IF($B78&gt;0,FLOOR($B78/18,1),0)-IF(AND(MOD($B78,18)&gt;=E$75,$B78&gt;0),1,0)+IF(E$75-18&gt;$B78,1,0))</f>
        <v>8</v>
      </c>
      <c r="AH78" s="1438">
        <f t="shared" si="123"/>
        <v>7</v>
      </c>
      <c r="AI78" s="1438">
        <f t="shared" si="123"/>
        <v>6</v>
      </c>
      <c r="AJ78" s="1438">
        <f t="shared" si="123"/>
        <v>6</v>
      </c>
      <c r="AK78" s="1438">
        <f t="shared" si="123"/>
        <v>3</v>
      </c>
      <c r="AL78" s="1438">
        <f t="shared" si="123"/>
        <v>6</v>
      </c>
      <c r="AM78" s="1438">
        <f t="shared" si="123"/>
        <v>4</v>
      </c>
      <c r="AN78" s="1438">
        <f t="shared" si="123"/>
        <v>3</v>
      </c>
      <c r="AO78" s="1438">
        <f t="shared" si="123"/>
        <v>4</v>
      </c>
      <c r="AP78" s="1426">
        <f t="shared" si="123"/>
        <v>4</v>
      </c>
      <c r="AQ78" s="1426">
        <f t="shared" si="123"/>
        <v>4</v>
      </c>
      <c r="AR78" s="1426">
        <f t="shared" si="123"/>
        <v>4</v>
      </c>
      <c r="AS78" s="1426">
        <f t="shared" si="123"/>
        <v>5</v>
      </c>
      <c r="AT78" s="1426">
        <f t="shared" si="123"/>
        <v>3</v>
      </c>
      <c r="AU78" s="1426">
        <f t="shared" si="123"/>
        <v>4</v>
      </c>
      <c r="AV78" s="1426">
        <f t="shared" si="123"/>
        <v>5</v>
      </c>
      <c r="AW78" s="1426">
        <f t="shared" si="123"/>
        <v>4</v>
      </c>
      <c r="AX78" s="1426">
        <f t="shared" si="123"/>
        <v>6</v>
      </c>
      <c r="AY78" s="1438">
        <f t="shared" si="116"/>
        <v>47</v>
      </c>
      <c r="AZ78" s="1438">
        <f t="shared" si="117"/>
        <v>39</v>
      </c>
      <c r="BA78" s="1438">
        <f t="shared" si="124"/>
        <v>86</v>
      </c>
      <c r="BB78" s="1436" t="str">
        <f>if(countif('R4_G1'!$A$8:$A$17,$A78)=1, if(and(BA78=Z78,BA78=vlookup($A78,'R4_G1'!$A$8:$AB$17, 28,false)),"yes","no"),
if(countif('R4_G3'!$A$8:$A$17,$A78)=1, if(and(BA78=Z78,BA78=vlookup($A78,'R4_G3'!$A$8:$AB$17, 28,false)),"yes","no"),
if(countif('R4_G2'!$A$8:$A$17,$A78)=1, if(and(BA78=Z78,BA78=vlookup($A78,'R4_G2'!$A$8:$AB$17, 28,false)),"yes","no"),
if(countif('R4_G4'!$A$8:$A$17,$A78)=1, if(and(BA78=Z78,BA78=vlookup($A78,'R4_G4'!$A$8:$AB$17, 28,false)),"yes","no"),
"?"))))
</f>
        <v>yes</v>
      </c>
      <c r="BC78" s="1567"/>
      <c r="BD78" s="1439">
        <f t="shared" si="125"/>
        <v>5.5</v>
      </c>
      <c r="BE78" s="1440">
        <f t="shared" si="126"/>
        <v>7.366666667</v>
      </c>
      <c r="BF78" s="1440">
        <f t="shared" si="127"/>
        <v>0</v>
      </c>
      <c r="BG78" s="1440">
        <f t="shared" si="128"/>
        <v>3</v>
      </c>
      <c r="BH78" s="1440">
        <f t="shared" si="129"/>
        <v>5</v>
      </c>
      <c r="BI78" s="1440">
        <f t="shared" si="130"/>
        <v>6</v>
      </c>
      <c r="BJ78" s="1440">
        <f t="shared" si="131"/>
        <v>4</v>
      </c>
    </row>
    <row r="79" ht="14.25" customHeight="1">
      <c r="A79" s="1423" t="str">
        <f t="shared" si="118"/>
        <v>Andy</v>
      </c>
      <c r="B79" s="1424">
        <f>VLOOKUP(A79,'Master Input'!$A$11:$L$27,12,false)</f>
        <v>8</v>
      </c>
      <c r="C79" s="1423"/>
      <c r="D79" s="1401"/>
      <c r="E79" s="1426">
        <f>if(countif('R4_G1'!$A$8:$A$17,$A79)=1,vlookup($A79,'R4_G1'!$A$8:$Y$17, E$2+4,false),if(countif('R4_G3'!$A$8:$A$17,$A79)=1,vlookup($A79,'R4_G3'!$A$8:$Y$17, E$2+4,false),if(countif('R4_G2'!$A$8:$A$17,$A79)=1,vlookup($A79,'R4_G2'!$A$8:$Y$17, E$2+4,false),if(countif('R4_G4'!$A$8:$A$17,$A79)=1,vlookup($A79,'R4_G4'!$A$8:$Y$17, E$2+4,false),""))))</f>
        <v>5</v>
      </c>
      <c r="F79" s="1426">
        <f>if(countif('R4_G1'!$A$8:$A$17,$A79)=1,vlookup($A79,'R4_G1'!$A$8:$Y$17, F$2+4,false),if(countif('R4_G3'!$A$8:$A$17,$A79)=1,vlookup($A79,'R4_G3'!$A$8:$Y$17, F$2+4,false),if(countif('R4_G2'!$A$8:$A$17,$A79)=1,vlookup($A79,'R4_G2'!$A$8:$Y$17, F$2+4,false),if(countif('R4_G4'!$A$8:$A$17,$A79)=1,vlookup($A79,'R4_G4'!$A$8:$Y$17, F$2+4,false),""))))</f>
        <v>5</v>
      </c>
      <c r="G79" s="1426">
        <f>if(countif('R4_G1'!$A$8:$A$17,$A79)=1,vlookup($A79,'R4_G1'!$A$8:$Y$17, G$2+4,false),if(countif('R4_G3'!$A$8:$A$17,$A79)=1,vlookup($A79,'R4_G3'!$A$8:$Y$17, G$2+4,false),if(countif('R4_G2'!$A$8:$A$17,$A79)=1,vlookup($A79,'R4_G2'!$A$8:$Y$17, G$2+4,false),if(countif('R4_G4'!$A$8:$A$17,$A79)=1,vlookup($A79,'R4_G4'!$A$8:$Y$17, G$2+4,false),""))))</f>
        <v>6</v>
      </c>
      <c r="H79" s="1426">
        <f>if(countif('R4_G1'!$A$8:$A$17,$A79)=1,vlookup($A79,'R4_G1'!$A$8:$Y$17, H$2+4,false),if(countif('R4_G3'!$A$8:$A$17,$A79)=1,vlookup($A79,'R4_G3'!$A$8:$Y$17, H$2+4,false),if(countif('R4_G2'!$A$8:$A$17,$A79)=1,vlookup($A79,'R4_G2'!$A$8:$Y$17, H$2+4,false),if(countif('R4_G4'!$A$8:$A$17,$A79)=1,vlookup($A79,'R4_G4'!$A$8:$Y$17, H$2+4,false),""))))</f>
        <v>4</v>
      </c>
      <c r="I79" s="1426">
        <f>if(countif('R4_G1'!$A$8:$A$17,$A79)=1,vlookup($A79,'R4_G1'!$A$8:$Y$17, I$2+4,false),if(countif('R4_G3'!$A$8:$A$17,$A79)=1,vlookup($A79,'R4_G3'!$A$8:$Y$17, I$2+4,false),if(countif('R4_G2'!$A$8:$A$17,$A79)=1,vlookup($A79,'R4_G2'!$A$8:$Y$17, I$2+4,false),if(countif('R4_G4'!$A$8:$A$17,$A79)=1,vlookup($A79,'R4_G4'!$A$8:$Y$17, I$2+4,false),""))))</f>
        <v>5</v>
      </c>
      <c r="J79" s="1426">
        <f>if(countif('R4_G1'!$A$8:$A$17,$A79)=1,vlookup($A79,'R4_G1'!$A$8:$Y$17, J$2+4,false),if(countif('R4_G3'!$A$8:$A$17,$A79)=1,vlookup($A79,'R4_G3'!$A$8:$Y$17, J$2+4,false),if(countif('R4_G2'!$A$8:$A$17,$A79)=1,vlookup($A79,'R4_G2'!$A$8:$Y$17, J$2+4,false),if(countif('R4_G4'!$A$8:$A$17,$A79)=1,vlookup($A79,'R4_G4'!$A$8:$Y$17, J$2+4,false),""))))</f>
        <v>5</v>
      </c>
      <c r="K79" s="1426">
        <f>if(countif('R4_G1'!$A$8:$A$17,$A79)=1,vlookup($A79,'R4_G1'!$A$8:$Y$17, K$2+4,false),if(countif('R4_G3'!$A$8:$A$17,$A79)=1,vlookup($A79,'R4_G3'!$A$8:$Y$17, K$2+4,false),if(countif('R4_G2'!$A$8:$A$17,$A79)=1,vlookup($A79,'R4_G2'!$A$8:$Y$17, K$2+4,false),if(countif('R4_G4'!$A$8:$A$17,$A79)=1,vlookup($A79,'R4_G4'!$A$8:$Y$17, K$2+4,false),""))))</f>
        <v>3</v>
      </c>
      <c r="L79" s="1426">
        <f>if(countif('R4_G1'!$A$8:$A$17,$A79)=1,vlookup($A79,'R4_G1'!$A$8:$Y$17, L$2+4,false),if(countif('R4_G3'!$A$8:$A$17,$A79)=1,vlookup($A79,'R4_G3'!$A$8:$Y$17, L$2+4,false),if(countif('R4_G2'!$A$8:$A$17,$A79)=1,vlookup($A79,'R4_G2'!$A$8:$Y$17, L$2+4,false),if(countif('R4_G4'!$A$8:$A$17,$A79)=1,vlookup($A79,'R4_G4'!$A$8:$Y$17, L$2+4,false),""))))</f>
        <v>5</v>
      </c>
      <c r="M79" s="1426">
        <f>if(countif('R4_G1'!$A$8:$A$17,$A79)=1,vlookup($A79,'R4_G1'!$A$8:$Y$17, M$2+4,false),if(countif('R4_G3'!$A$8:$A$17,$A79)=1,vlookup($A79,'R4_G3'!$A$8:$Y$17, M$2+4,false),if(countif('R4_G2'!$A$8:$A$17,$A79)=1,vlookup($A79,'R4_G2'!$A$8:$Y$17, M$2+4,false),if(countif('R4_G4'!$A$8:$A$17,$A79)=1,vlookup($A79,'R4_G4'!$A$8:$Y$17, M$2+4,false),""))))</f>
        <v>5</v>
      </c>
      <c r="N79" s="1427">
        <f>if(countif('R4_G1'!$A$8:$A$17,$A79)=1,vlookup($A79,'R4_G1'!$A$8:$Y$17, N$2+7,false),if(countif('R4_G3'!$A$8:$A$17,$A79)=1,vlookup($A79,'R4_G3'!$A$8:$Y$17, N$2+7,false),if(countif('R4_G2'!$A$8:$A$17,$A79)=1,vlookup($A79,'R4_G2'!$A$8:$Y$17, N$2+7,false),if(countif('R4_G4'!$A$8:$A$17,$A79)=1,vlookup($A79,'R4_G4'!$A$8:$Y$17, N$2+7,false),""))))</f>
        <v>5</v>
      </c>
      <c r="O79" s="1427">
        <f>if(countif('R4_G1'!$A$8:$A$17,$A79)=1,vlookup($A79,'R4_G1'!$A$8:$Y$17, O$2+7,false),if(countif('R4_G3'!$A$8:$A$17,$A79)=1,vlookup($A79,'R4_G3'!$A$8:$Y$17, O$2+7,false),if(countif('R4_G2'!$A$8:$A$17,$A79)=1,vlookup($A79,'R4_G2'!$A$8:$Y$17, O$2+7,false),if(countif('R4_G4'!$A$8:$A$17,$A79)=1,vlookup($A79,'R4_G4'!$A$8:$Y$17, O$2+7,false),""))))</f>
        <v>5</v>
      </c>
      <c r="P79" s="1427">
        <f>if(countif('R4_G1'!$A$8:$A$17,$A79)=1,vlookup($A79,'R4_G1'!$A$8:$Y$17, P$2+7,false),if(countif('R4_G3'!$A$8:$A$17,$A79)=1,vlookup($A79,'R4_G3'!$A$8:$Y$17, P$2+7,false),if(countif('R4_G2'!$A$8:$A$17,$A79)=1,vlookup($A79,'R4_G2'!$A$8:$Y$17, P$2+7,false),if(countif('R4_G4'!$A$8:$A$17,$A79)=1,vlookup($A79,'R4_G4'!$A$8:$Y$17, P$2+7,false),""))))</f>
        <v>3</v>
      </c>
      <c r="Q79" s="1427">
        <f>if(countif('R4_G1'!$A$8:$A$17,$A79)=1,vlookup($A79,'R4_G1'!$A$8:$Y$17, Q$2+7,false),if(countif('R4_G3'!$A$8:$A$17,$A79)=1,vlookup($A79,'R4_G3'!$A$8:$Y$17, Q$2+7,false),if(countif('R4_G2'!$A$8:$A$17,$A79)=1,vlookup($A79,'R4_G2'!$A$8:$Y$17, Q$2+7,false),if(countif('R4_G4'!$A$8:$A$17,$A79)=1,vlookup($A79,'R4_G4'!$A$8:$Y$17, Q$2+7,false),""))))</f>
        <v>6</v>
      </c>
      <c r="R79" s="1427">
        <f>if(countif('R4_G1'!$A$8:$A$17,$A79)=1,vlookup($A79,'R4_G1'!$A$8:$Y$17, R$2+7,false),if(countif('R4_G3'!$A$8:$A$17,$A79)=1,vlookup($A79,'R4_G3'!$A$8:$Y$17, R$2+7,false),if(countif('R4_G2'!$A$8:$A$17,$A79)=1,vlookup($A79,'R4_G2'!$A$8:$Y$17, R$2+7,false),if(countif('R4_G4'!$A$8:$A$17,$A79)=1,vlookup($A79,'R4_G4'!$A$8:$Y$17, R$2+7,false),""))))</f>
        <v>4</v>
      </c>
      <c r="S79" s="1427">
        <f>if(countif('R4_G1'!$A$8:$A$17,$A79)=1,vlookup($A79,'R4_G1'!$A$8:$Y$17, S$2+7,false),if(countif('R4_G3'!$A$8:$A$17,$A79)=1,vlookup($A79,'R4_G3'!$A$8:$Y$17, S$2+7,false),if(countif('R4_G2'!$A$8:$A$17,$A79)=1,vlookup($A79,'R4_G2'!$A$8:$Y$17, S$2+7,false),if(countif('R4_G4'!$A$8:$A$17,$A79)=1,vlookup($A79,'R4_G4'!$A$8:$Y$17, S$2+7,false),""))))</f>
        <v>3</v>
      </c>
      <c r="T79" s="1427">
        <f>if(countif('R4_G1'!$A$8:$A$17,$A79)=1,vlookup($A79,'R4_G1'!$A$8:$Y$17, T$2+7,false),if(countif('R4_G3'!$A$8:$A$17,$A79)=1,vlookup($A79,'R4_G3'!$A$8:$Y$17, T$2+7,false),if(countif('R4_G2'!$A$8:$A$17,$A79)=1,vlookup($A79,'R4_G2'!$A$8:$Y$17, T$2+7,false),if(countif('R4_G4'!$A$8:$A$17,$A79)=1,vlookup($A79,'R4_G4'!$A$8:$Y$17, T$2+7,false),""))))</f>
        <v>6</v>
      </c>
      <c r="U79" s="1427">
        <f>if(countif('R4_G1'!$A$8:$A$17,$A79)=1,vlookup($A79,'R4_G1'!$A$8:$Y$17, U$2+7,false),if(countif('R4_G3'!$A$8:$A$17,$A79)=1,vlookup($A79,'R4_G3'!$A$8:$Y$17, U$2+7,false),if(countif('R4_G2'!$A$8:$A$17,$A79)=1,vlookup($A79,'R4_G2'!$A$8:$Y$17, U$2+7,false),if(countif('R4_G4'!$A$8:$A$17,$A79)=1,vlookup($A79,'R4_G4'!$A$8:$Y$17, U$2+7,false),""))))</f>
        <v>4</v>
      </c>
      <c r="V79" s="1427">
        <f>if(countif('R4_G1'!$A$8:$A$17,$A79)=1,vlookup($A79,'R4_G1'!$A$8:$Y$17, V$2+7,false),if(countif('R4_G3'!$A$8:$A$17,$A79)=1,vlookup($A79,'R4_G3'!$A$8:$Y$17, V$2+7,false),if(countif('R4_G2'!$A$8:$A$17,$A79)=1,vlookup($A79,'R4_G2'!$A$8:$Y$17, V$2+7,false),if(countif('R4_G4'!$A$8:$A$17,$A79)=1,vlookup($A79,'R4_G4'!$A$8:$Y$17, V$2+7,false),""))))</f>
        <v>6</v>
      </c>
      <c r="W79" s="1428">
        <f t="shared" si="113"/>
        <v>43</v>
      </c>
      <c r="X79" s="1428">
        <f t="shared" si="114"/>
        <v>42</v>
      </c>
      <c r="Y79" s="1428">
        <f t="shared" si="119"/>
        <v>85</v>
      </c>
      <c r="Z79" s="1428">
        <f t="shared" si="120"/>
        <v>77</v>
      </c>
      <c r="AA79" s="1438">
        <f t="shared" si="121"/>
        <v>85</v>
      </c>
      <c r="AB79" s="1567"/>
      <c r="AC79" s="1423" t="str">
        <f t="shared" si="122"/>
        <v>Andy</v>
      </c>
      <c r="AD79" s="1424">
        <f>VLOOKUP(AC79,'Master Input'!$A$11:$L$27,12,false)</f>
        <v>8</v>
      </c>
      <c r="AE79" s="1423" t="s">
        <v>266</v>
      </c>
      <c r="AF79" s="1401"/>
      <c r="AG79" s="1428">
        <f t="shared" ref="AG79:AX79" si="132">if(E79="","",E79-IF($B79&gt;0,FLOOR($B79/18,1),0)-IF(AND(MOD($B79,18)&gt;=E$75,$B79&gt;0),1,0)+IF(E$75-18&gt;$B79,1,0))</f>
        <v>5</v>
      </c>
      <c r="AH79" s="1428">
        <f t="shared" si="132"/>
        <v>5</v>
      </c>
      <c r="AI79" s="1428">
        <f t="shared" si="132"/>
        <v>5</v>
      </c>
      <c r="AJ79" s="1428">
        <f t="shared" si="132"/>
        <v>4</v>
      </c>
      <c r="AK79" s="1428">
        <f t="shared" si="132"/>
        <v>4</v>
      </c>
      <c r="AL79" s="1428">
        <f t="shared" si="132"/>
        <v>5</v>
      </c>
      <c r="AM79" s="1428">
        <f t="shared" si="132"/>
        <v>3</v>
      </c>
      <c r="AN79" s="1428">
        <f t="shared" si="132"/>
        <v>4</v>
      </c>
      <c r="AO79" s="1428">
        <f t="shared" si="132"/>
        <v>4</v>
      </c>
      <c r="AP79" s="1429">
        <f t="shared" si="132"/>
        <v>4</v>
      </c>
      <c r="AQ79" s="1429">
        <f t="shared" si="132"/>
        <v>5</v>
      </c>
      <c r="AR79" s="1429">
        <f t="shared" si="132"/>
        <v>3</v>
      </c>
      <c r="AS79" s="1429">
        <f t="shared" si="132"/>
        <v>6</v>
      </c>
      <c r="AT79" s="1429">
        <f t="shared" si="132"/>
        <v>3</v>
      </c>
      <c r="AU79" s="1429">
        <f t="shared" si="132"/>
        <v>3</v>
      </c>
      <c r="AV79" s="1429">
        <f t="shared" si="132"/>
        <v>5</v>
      </c>
      <c r="AW79" s="1429">
        <f t="shared" si="132"/>
        <v>3</v>
      </c>
      <c r="AX79" s="1429">
        <f t="shared" si="132"/>
        <v>6</v>
      </c>
      <c r="AY79" s="1428">
        <f t="shared" si="116"/>
        <v>39</v>
      </c>
      <c r="AZ79" s="1428">
        <f t="shared" si="117"/>
        <v>38</v>
      </c>
      <c r="BA79" s="1428">
        <f t="shared" si="124"/>
        <v>77</v>
      </c>
      <c r="BB79" s="1430" t="str">
        <f>if(countif('R4_G1'!$A$8:$A$17,$A79)=1, if(and(BA79=Z79,BA79=vlookup($A79,'R4_G1'!$A$8:$AB$17, 28,false)),"yes","no"),
if(countif('R4_G3'!$A$8:$A$17,$A79)=1, if(and(BA79=Z79,BA79=vlookup($A79,'R4_G3'!$A$8:$AB$17, 28,false)),"yes","no"),
if(countif('R4_G2'!$A$8:$A$17,$A79)=1, if(and(BA79=Z79,BA79=vlookup($A79,'R4_G2'!$A$8:$AB$17, 28,false)),"yes","no"),
if(countif('R4_G4'!$A$8:$A$17,$A79)=1, if(and(BA79=Z79,BA79=vlookup($A79,'R4_G4'!$A$8:$AB$17, 28,false)),"yes","no"),
"?"))))
</f>
        <v>yes</v>
      </c>
      <c r="BC79" s="1567"/>
      <c r="BD79" s="1441">
        <f t="shared" si="125"/>
        <v>6.5</v>
      </c>
      <c r="BE79" s="1442">
        <f t="shared" si="126"/>
        <v>9.166666667</v>
      </c>
      <c r="BF79" s="1442">
        <f t="shared" si="127"/>
        <v>0</v>
      </c>
      <c r="BG79" s="1442">
        <f t="shared" si="128"/>
        <v>2</v>
      </c>
      <c r="BH79" s="1442">
        <f t="shared" si="129"/>
        <v>9</v>
      </c>
      <c r="BI79" s="1442">
        <f t="shared" si="130"/>
        <v>7</v>
      </c>
      <c r="BJ79" s="1442">
        <f t="shared" si="131"/>
        <v>0</v>
      </c>
    </row>
    <row r="80" ht="14.25" customHeight="1">
      <c r="A80" s="1434" t="str">
        <f t="shared" si="118"/>
        <v>Pace</v>
      </c>
      <c r="B80" s="1435">
        <f>VLOOKUP(A80,'Master Input'!$A$11:$L$27,12,false)</f>
        <v>9</v>
      </c>
      <c r="C80" s="1434"/>
      <c r="D80" s="1401"/>
      <c r="E80" s="1437">
        <f>if(countif('R4_G1'!$A$8:$A$17,$A80)=1,vlookup($A80,'R4_G1'!$A$8:$Y$17, E$2+4,false),if(countif('R4_G3'!$A$8:$A$17,$A80)=1,vlookup($A80,'R4_G3'!$A$8:$Y$17, E$2+4,false),if(countif('R4_G2'!$A$8:$A$17,$A80)=1,vlookup($A80,'R4_G2'!$A$8:$Y$17, E$2+4,false),if(countif('R4_G4'!$A$8:$A$17,$A80)=1,vlookup($A80,'R4_G4'!$A$8:$Y$17, E$2+4,false),""))))</f>
        <v>4</v>
      </c>
      <c r="F80" s="1437">
        <f>if(countif('R4_G1'!$A$8:$A$17,$A80)=1,vlookup($A80,'R4_G1'!$A$8:$Y$17, F$2+4,false),if(countif('R4_G3'!$A$8:$A$17,$A80)=1,vlookup($A80,'R4_G3'!$A$8:$Y$17, F$2+4,false),if(countif('R4_G2'!$A$8:$A$17,$A80)=1,vlookup($A80,'R4_G2'!$A$8:$Y$17, F$2+4,false),if(countif('R4_G4'!$A$8:$A$17,$A80)=1,vlookup($A80,'R4_G4'!$A$8:$Y$17, F$2+4,false),""))))</f>
        <v>6</v>
      </c>
      <c r="G80" s="1437">
        <f>if(countif('R4_G1'!$A$8:$A$17,$A80)=1,vlookup($A80,'R4_G1'!$A$8:$Y$17, G$2+4,false),if(countif('R4_G3'!$A$8:$A$17,$A80)=1,vlookup($A80,'R4_G3'!$A$8:$Y$17, G$2+4,false),if(countif('R4_G2'!$A$8:$A$17,$A80)=1,vlookup($A80,'R4_G2'!$A$8:$Y$17, G$2+4,false),if(countif('R4_G4'!$A$8:$A$17,$A80)=1,vlookup($A80,'R4_G4'!$A$8:$Y$17, G$2+4,false),""))))</f>
        <v>6</v>
      </c>
      <c r="H80" s="1437">
        <f>if(countif('R4_G1'!$A$8:$A$17,$A80)=1,vlookup($A80,'R4_G1'!$A$8:$Y$17, H$2+4,false),if(countif('R4_G3'!$A$8:$A$17,$A80)=1,vlookup($A80,'R4_G3'!$A$8:$Y$17, H$2+4,false),if(countif('R4_G2'!$A$8:$A$17,$A80)=1,vlookup($A80,'R4_G2'!$A$8:$Y$17, H$2+4,false),if(countif('R4_G4'!$A$8:$A$17,$A80)=1,vlookup($A80,'R4_G4'!$A$8:$Y$17, H$2+4,false),""))))</f>
        <v>7</v>
      </c>
      <c r="I80" s="1437">
        <f>if(countif('R4_G1'!$A$8:$A$17,$A80)=1,vlookup($A80,'R4_G1'!$A$8:$Y$17, I$2+4,false),if(countif('R4_G3'!$A$8:$A$17,$A80)=1,vlookup($A80,'R4_G3'!$A$8:$Y$17, I$2+4,false),if(countif('R4_G2'!$A$8:$A$17,$A80)=1,vlookup($A80,'R4_G2'!$A$8:$Y$17, I$2+4,false),if(countif('R4_G4'!$A$8:$A$17,$A80)=1,vlookup($A80,'R4_G4'!$A$8:$Y$17, I$2+4,false),""))))</f>
        <v>6</v>
      </c>
      <c r="J80" s="1437">
        <f>if(countif('R4_G1'!$A$8:$A$17,$A80)=1,vlookup($A80,'R4_G1'!$A$8:$Y$17, J$2+4,false),if(countif('R4_G3'!$A$8:$A$17,$A80)=1,vlookup($A80,'R4_G3'!$A$8:$Y$17, J$2+4,false),if(countif('R4_G2'!$A$8:$A$17,$A80)=1,vlookup($A80,'R4_G2'!$A$8:$Y$17, J$2+4,false),if(countif('R4_G4'!$A$8:$A$17,$A80)=1,vlookup($A80,'R4_G4'!$A$8:$Y$17, J$2+4,false),""))))</f>
        <v>5</v>
      </c>
      <c r="K80" s="1437">
        <f>if(countif('R4_G1'!$A$8:$A$17,$A80)=1,vlookup($A80,'R4_G1'!$A$8:$Y$17, K$2+4,false),if(countif('R4_G3'!$A$8:$A$17,$A80)=1,vlookup($A80,'R4_G3'!$A$8:$Y$17, K$2+4,false),if(countif('R4_G2'!$A$8:$A$17,$A80)=1,vlookup($A80,'R4_G2'!$A$8:$Y$17, K$2+4,false),if(countif('R4_G4'!$A$8:$A$17,$A80)=1,vlookup($A80,'R4_G4'!$A$8:$Y$17, K$2+4,false),""))))</f>
        <v>3</v>
      </c>
      <c r="L80" s="1437">
        <f>if(countif('R4_G1'!$A$8:$A$17,$A80)=1,vlookup($A80,'R4_G1'!$A$8:$Y$17, L$2+4,false),if(countif('R4_G3'!$A$8:$A$17,$A80)=1,vlookup($A80,'R4_G3'!$A$8:$Y$17, L$2+4,false),if(countif('R4_G2'!$A$8:$A$17,$A80)=1,vlookup($A80,'R4_G2'!$A$8:$Y$17, L$2+4,false),if(countif('R4_G4'!$A$8:$A$17,$A80)=1,vlookup($A80,'R4_G4'!$A$8:$Y$17, L$2+4,false),""))))</f>
        <v>8</v>
      </c>
      <c r="M80" s="1437">
        <f>if(countif('R4_G1'!$A$8:$A$17,$A80)=1,vlookup($A80,'R4_G1'!$A$8:$Y$17, M$2+4,false),if(countif('R4_G3'!$A$8:$A$17,$A80)=1,vlookup($A80,'R4_G3'!$A$8:$Y$17, M$2+4,false),if(countif('R4_G2'!$A$8:$A$17,$A80)=1,vlookup($A80,'R4_G2'!$A$8:$Y$17, M$2+4,false),if(countif('R4_G4'!$A$8:$A$17,$A80)=1,vlookup($A80,'R4_G4'!$A$8:$Y$17, M$2+4,false),""))))</f>
        <v>5</v>
      </c>
      <c r="N80" s="1426">
        <f>if(countif('R4_G1'!$A$8:$A$17,$A80)=1,vlookup($A80,'R4_G1'!$A$8:$Y$17, N$2+7,false),if(countif('R4_G3'!$A$8:$A$17,$A80)=1,vlookup($A80,'R4_G3'!$A$8:$Y$17, N$2+7,false),if(countif('R4_G2'!$A$8:$A$17,$A80)=1,vlookup($A80,'R4_G2'!$A$8:$Y$17, N$2+7,false),if(countif('R4_G4'!$A$8:$A$17,$A80)=1,vlookup($A80,'R4_G4'!$A$8:$Y$17, N$2+7,false),""))))</f>
        <v>5</v>
      </c>
      <c r="O80" s="1426">
        <f>if(countif('R4_G1'!$A$8:$A$17,$A80)=1,vlookup($A80,'R4_G1'!$A$8:$Y$17, O$2+7,false),if(countif('R4_G3'!$A$8:$A$17,$A80)=1,vlookup($A80,'R4_G3'!$A$8:$Y$17, O$2+7,false),if(countif('R4_G2'!$A$8:$A$17,$A80)=1,vlookup($A80,'R4_G2'!$A$8:$Y$17, O$2+7,false),if(countif('R4_G4'!$A$8:$A$17,$A80)=1,vlookup($A80,'R4_G4'!$A$8:$Y$17, O$2+7,false),""))))</f>
        <v>4</v>
      </c>
      <c r="P80" s="1426">
        <f>if(countif('R4_G1'!$A$8:$A$17,$A80)=1,vlookup($A80,'R4_G1'!$A$8:$Y$17, P$2+7,false),if(countif('R4_G3'!$A$8:$A$17,$A80)=1,vlookup($A80,'R4_G3'!$A$8:$Y$17, P$2+7,false),if(countif('R4_G2'!$A$8:$A$17,$A80)=1,vlookup($A80,'R4_G2'!$A$8:$Y$17, P$2+7,false),if(countif('R4_G4'!$A$8:$A$17,$A80)=1,vlookup($A80,'R4_G4'!$A$8:$Y$17, P$2+7,false),""))))</f>
        <v>3</v>
      </c>
      <c r="Q80" s="1426">
        <f>if(countif('R4_G1'!$A$8:$A$17,$A80)=1,vlookup($A80,'R4_G1'!$A$8:$Y$17, Q$2+7,false),if(countif('R4_G3'!$A$8:$A$17,$A80)=1,vlookup($A80,'R4_G3'!$A$8:$Y$17, Q$2+7,false),if(countif('R4_G2'!$A$8:$A$17,$A80)=1,vlookup($A80,'R4_G2'!$A$8:$Y$17, Q$2+7,false),if(countif('R4_G4'!$A$8:$A$17,$A80)=1,vlookup($A80,'R4_G4'!$A$8:$Y$17, Q$2+7,false),""))))</f>
        <v>6</v>
      </c>
      <c r="R80" s="1426">
        <f>if(countif('R4_G1'!$A$8:$A$17,$A80)=1,vlookup($A80,'R4_G1'!$A$8:$Y$17, R$2+7,false),if(countif('R4_G3'!$A$8:$A$17,$A80)=1,vlookup($A80,'R4_G3'!$A$8:$Y$17, R$2+7,false),if(countif('R4_G2'!$A$8:$A$17,$A80)=1,vlookup($A80,'R4_G2'!$A$8:$Y$17, R$2+7,false),if(countif('R4_G4'!$A$8:$A$17,$A80)=1,vlookup($A80,'R4_G4'!$A$8:$Y$17, R$2+7,false),""))))</f>
        <v>6</v>
      </c>
      <c r="S80" s="1426">
        <f>if(countif('R4_G1'!$A$8:$A$17,$A80)=1,vlookup($A80,'R4_G1'!$A$8:$Y$17, S$2+7,false),if(countif('R4_G3'!$A$8:$A$17,$A80)=1,vlookup($A80,'R4_G3'!$A$8:$Y$17, S$2+7,false),if(countif('R4_G2'!$A$8:$A$17,$A80)=1,vlookup($A80,'R4_G2'!$A$8:$Y$17, S$2+7,false),if(countif('R4_G4'!$A$8:$A$17,$A80)=1,vlookup($A80,'R4_G4'!$A$8:$Y$17, S$2+7,false),""))))</f>
        <v>3</v>
      </c>
      <c r="T80" s="1426">
        <f>if(countif('R4_G1'!$A$8:$A$17,$A80)=1,vlookup($A80,'R4_G1'!$A$8:$Y$17, T$2+7,false),if(countif('R4_G3'!$A$8:$A$17,$A80)=1,vlookup($A80,'R4_G3'!$A$8:$Y$17, T$2+7,false),if(countif('R4_G2'!$A$8:$A$17,$A80)=1,vlookup($A80,'R4_G2'!$A$8:$Y$17, T$2+7,false),if(countif('R4_G4'!$A$8:$A$17,$A80)=1,vlookup($A80,'R4_G4'!$A$8:$Y$17, T$2+7,false),""))))</f>
        <v>6</v>
      </c>
      <c r="U80" s="1426">
        <f>if(countif('R4_G1'!$A$8:$A$17,$A80)=1,vlookup($A80,'R4_G1'!$A$8:$Y$17, U$2+7,false),if(countif('R4_G3'!$A$8:$A$17,$A80)=1,vlookup($A80,'R4_G3'!$A$8:$Y$17, U$2+7,false),if(countif('R4_G2'!$A$8:$A$17,$A80)=1,vlookup($A80,'R4_G2'!$A$8:$Y$17, U$2+7,false),if(countif('R4_G4'!$A$8:$A$17,$A80)=1,vlookup($A80,'R4_G4'!$A$8:$Y$17, U$2+7,false),""))))</f>
        <v>6</v>
      </c>
      <c r="V80" s="1426">
        <f>if(countif('R4_G1'!$A$8:$A$17,$A80)=1,vlookup($A80,'R4_G1'!$A$8:$Y$17, V$2+7,false),if(countif('R4_G3'!$A$8:$A$17,$A80)=1,vlookup($A80,'R4_G3'!$A$8:$Y$17, V$2+7,false),if(countif('R4_G2'!$A$8:$A$17,$A80)=1,vlookup($A80,'R4_G2'!$A$8:$Y$17, V$2+7,false),if(countif('R4_G4'!$A$8:$A$17,$A80)=1,vlookup($A80,'R4_G4'!$A$8:$Y$17, V$2+7,false),""))))</f>
        <v>6</v>
      </c>
      <c r="W80" s="1438">
        <f t="shared" si="113"/>
        <v>50</v>
      </c>
      <c r="X80" s="1438">
        <f t="shared" si="114"/>
        <v>45</v>
      </c>
      <c r="Y80" s="1438">
        <f t="shared" si="119"/>
        <v>95</v>
      </c>
      <c r="Z80" s="1438">
        <f t="shared" si="120"/>
        <v>86</v>
      </c>
      <c r="AA80" s="1438">
        <f t="shared" si="121"/>
        <v>95</v>
      </c>
      <c r="AB80" s="1567"/>
      <c r="AC80" s="1434" t="str">
        <f t="shared" si="122"/>
        <v>Pace</v>
      </c>
      <c r="AD80" s="1435">
        <f>VLOOKUP(AC80,'Master Input'!$A$11:$L$27,12,false)</f>
        <v>9</v>
      </c>
      <c r="AE80" s="1434" t="s">
        <v>266</v>
      </c>
      <c r="AF80" s="1401"/>
      <c r="AG80" s="1438">
        <f t="shared" ref="AG80:AX80" si="133">if(E80="","",E80-IF($B80&gt;0,FLOOR($B80/18,1),0)-IF(AND(MOD($B80,18)&gt;=E$75,$B80&gt;0),1,0)+IF(E$75-18&gt;$B80,1,0))</f>
        <v>4</v>
      </c>
      <c r="AH80" s="1438">
        <f t="shared" si="133"/>
        <v>6</v>
      </c>
      <c r="AI80" s="1438">
        <f t="shared" si="133"/>
        <v>5</v>
      </c>
      <c r="AJ80" s="1438">
        <f t="shared" si="133"/>
        <v>7</v>
      </c>
      <c r="AK80" s="1438">
        <f t="shared" si="133"/>
        <v>5</v>
      </c>
      <c r="AL80" s="1438">
        <f t="shared" si="133"/>
        <v>5</v>
      </c>
      <c r="AM80" s="1438">
        <f t="shared" si="133"/>
        <v>3</v>
      </c>
      <c r="AN80" s="1438">
        <f t="shared" si="133"/>
        <v>7</v>
      </c>
      <c r="AO80" s="1438">
        <f t="shared" si="133"/>
        <v>4</v>
      </c>
      <c r="AP80" s="1426">
        <f t="shared" si="133"/>
        <v>4</v>
      </c>
      <c r="AQ80" s="1426">
        <f t="shared" si="133"/>
        <v>4</v>
      </c>
      <c r="AR80" s="1426">
        <f t="shared" si="133"/>
        <v>3</v>
      </c>
      <c r="AS80" s="1426">
        <f t="shared" si="133"/>
        <v>6</v>
      </c>
      <c r="AT80" s="1426">
        <f t="shared" si="133"/>
        <v>5</v>
      </c>
      <c r="AU80" s="1426">
        <f t="shared" si="133"/>
        <v>2</v>
      </c>
      <c r="AV80" s="1426">
        <f t="shared" si="133"/>
        <v>5</v>
      </c>
      <c r="AW80" s="1426">
        <f t="shared" si="133"/>
        <v>5</v>
      </c>
      <c r="AX80" s="1426">
        <f t="shared" si="133"/>
        <v>6</v>
      </c>
      <c r="AY80" s="1438">
        <f t="shared" si="116"/>
        <v>46</v>
      </c>
      <c r="AZ80" s="1438">
        <f t="shared" si="117"/>
        <v>40</v>
      </c>
      <c r="BA80" s="1438">
        <f t="shared" si="124"/>
        <v>86</v>
      </c>
      <c r="BB80" s="1436" t="str">
        <f>if(countif('R4_G1'!$A$8:$A$17,$A80)=1, if(and(BA80=Z80,BA80=vlookup($A80,'R4_G1'!$A$8:$AB$17, 28,false)),"yes","no"),
if(countif('R4_G3'!$A$8:$A$17,$A80)=1, if(and(BA80=Z80,BA80=vlookup($A80,'R4_G3'!$A$8:$AB$17, 28,false)),"yes","no"),
if(countif('R4_G2'!$A$8:$A$17,$A80)=1, if(and(BA80=Z80,BA80=vlookup($A80,'R4_G2'!$A$8:$AB$17, 28,false)),"yes","no"),
if(countif('R4_G4'!$A$8:$A$17,$A80)=1, if(and(BA80=Z80,BA80=vlookup($A80,'R4_G4'!$A$8:$AB$17, 28,false)),"yes","no"),
"?"))))
</f>
        <v>yes</v>
      </c>
      <c r="BC80" s="1567"/>
      <c r="BD80" s="1439">
        <f t="shared" si="125"/>
        <v>4.5</v>
      </c>
      <c r="BE80" s="1440">
        <f t="shared" si="126"/>
        <v>7.233333333</v>
      </c>
      <c r="BF80" s="1440">
        <f t="shared" si="127"/>
        <v>0</v>
      </c>
      <c r="BG80" s="1440">
        <f t="shared" si="128"/>
        <v>1</v>
      </c>
      <c r="BH80" s="1440">
        <f t="shared" si="129"/>
        <v>7</v>
      </c>
      <c r="BI80" s="1440">
        <f t="shared" si="130"/>
        <v>8</v>
      </c>
      <c r="BJ80" s="1440">
        <f t="shared" si="131"/>
        <v>2</v>
      </c>
    </row>
    <row r="81" ht="14.25" customHeight="1">
      <c r="A81" s="1423" t="str">
        <f t="shared" si="118"/>
        <v>House</v>
      </c>
      <c r="B81" s="1424">
        <f>VLOOKUP(A81,'Master Input'!$A$11:$L$27,12,false)</f>
        <v>10</v>
      </c>
      <c r="C81" s="1430"/>
      <c r="D81" s="1401"/>
      <c r="E81" s="1426">
        <f>if(countif('R4_G1'!$A$8:$A$17,$A81)=1,vlookup($A81,'R4_G1'!$A$8:$Y$17, E$2+4,false),if(countif('R4_G3'!$A$8:$A$17,$A81)=1,vlookup($A81,'R4_G3'!$A$8:$Y$17, E$2+4,false),if(countif('R4_G2'!$A$8:$A$17,$A81)=1,vlookup($A81,'R4_G2'!$A$8:$Y$17, E$2+4,false),if(countif('R4_G4'!$A$8:$A$17,$A81)=1,vlookup($A81,'R4_G4'!$A$8:$Y$17, E$2+4,false),""))))</f>
        <v>4</v>
      </c>
      <c r="F81" s="1426">
        <f>if(countif('R4_G1'!$A$8:$A$17,$A81)=1,vlookup($A81,'R4_G1'!$A$8:$Y$17, F$2+4,false),if(countif('R4_G3'!$A$8:$A$17,$A81)=1,vlookup($A81,'R4_G3'!$A$8:$Y$17, F$2+4,false),if(countif('R4_G2'!$A$8:$A$17,$A81)=1,vlookup($A81,'R4_G2'!$A$8:$Y$17, F$2+4,false),if(countif('R4_G4'!$A$8:$A$17,$A81)=1,vlookup($A81,'R4_G4'!$A$8:$Y$17, F$2+4,false),""))))</f>
        <v>6</v>
      </c>
      <c r="G81" s="1426">
        <f>if(countif('R4_G1'!$A$8:$A$17,$A81)=1,vlookup($A81,'R4_G1'!$A$8:$Y$17, G$2+4,false),if(countif('R4_G3'!$A$8:$A$17,$A81)=1,vlookup($A81,'R4_G3'!$A$8:$Y$17, G$2+4,false),if(countif('R4_G2'!$A$8:$A$17,$A81)=1,vlookup($A81,'R4_G2'!$A$8:$Y$17, G$2+4,false),if(countif('R4_G4'!$A$8:$A$17,$A81)=1,vlookup($A81,'R4_G4'!$A$8:$Y$17, G$2+4,false),""))))</f>
        <v>6</v>
      </c>
      <c r="H81" s="1426">
        <f>if(countif('R4_G1'!$A$8:$A$17,$A81)=1,vlookup($A81,'R4_G1'!$A$8:$Y$17, H$2+4,false),if(countif('R4_G3'!$A$8:$A$17,$A81)=1,vlookup($A81,'R4_G3'!$A$8:$Y$17, H$2+4,false),if(countif('R4_G2'!$A$8:$A$17,$A81)=1,vlookup($A81,'R4_G2'!$A$8:$Y$17, H$2+4,false),if(countif('R4_G4'!$A$8:$A$17,$A81)=1,vlookup($A81,'R4_G4'!$A$8:$Y$17, H$2+4,false),""))))</f>
        <v>3</v>
      </c>
      <c r="I81" s="1426">
        <f>if(countif('R4_G1'!$A$8:$A$17,$A81)=1,vlookup($A81,'R4_G1'!$A$8:$Y$17, I$2+4,false),if(countif('R4_G3'!$A$8:$A$17,$A81)=1,vlookup($A81,'R4_G3'!$A$8:$Y$17, I$2+4,false),if(countif('R4_G2'!$A$8:$A$17,$A81)=1,vlookup($A81,'R4_G2'!$A$8:$Y$17, I$2+4,false),if(countif('R4_G4'!$A$8:$A$17,$A81)=1,vlookup($A81,'R4_G4'!$A$8:$Y$17, I$2+4,false),""))))</f>
        <v>5</v>
      </c>
      <c r="J81" s="1426">
        <f>if(countif('R4_G1'!$A$8:$A$17,$A81)=1,vlookup($A81,'R4_G1'!$A$8:$Y$17, J$2+4,false),if(countif('R4_G3'!$A$8:$A$17,$A81)=1,vlookup($A81,'R4_G3'!$A$8:$Y$17, J$2+4,false),if(countif('R4_G2'!$A$8:$A$17,$A81)=1,vlookup($A81,'R4_G2'!$A$8:$Y$17, J$2+4,false),if(countif('R4_G4'!$A$8:$A$17,$A81)=1,vlookup($A81,'R4_G4'!$A$8:$Y$17, J$2+4,false),""))))</f>
        <v>10</v>
      </c>
      <c r="K81" s="1426">
        <f>if(countif('R4_G1'!$A$8:$A$17,$A81)=1,vlookup($A81,'R4_G1'!$A$8:$Y$17, K$2+4,false),if(countif('R4_G3'!$A$8:$A$17,$A81)=1,vlookup($A81,'R4_G3'!$A$8:$Y$17, K$2+4,false),if(countif('R4_G2'!$A$8:$A$17,$A81)=1,vlookup($A81,'R4_G2'!$A$8:$Y$17, K$2+4,false),if(countif('R4_G4'!$A$8:$A$17,$A81)=1,vlookup($A81,'R4_G4'!$A$8:$Y$17, K$2+4,false),""))))</f>
        <v>3</v>
      </c>
      <c r="L81" s="1426">
        <f>if(countif('R4_G1'!$A$8:$A$17,$A81)=1,vlookup($A81,'R4_G1'!$A$8:$Y$17, L$2+4,false),if(countif('R4_G3'!$A$8:$A$17,$A81)=1,vlookup($A81,'R4_G3'!$A$8:$Y$17, L$2+4,false),if(countif('R4_G2'!$A$8:$A$17,$A81)=1,vlookup($A81,'R4_G2'!$A$8:$Y$17, L$2+4,false),if(countif('R4_G4'!$A$8:$A$17,$A81)=1,vlookup($A81,'R4_G4'!$A$8:$Y$17, L$2+4,false),""))))</f>
        <v>4</v>
      </c>
      <c r="M81" s="1426">
        <f>if(countif('R4_G1'!$A$8:$A$17,$A81)=1,vlookup($A81,'R4_G1'!$A$8:$Y$17, M$2+4,false),if(countif('R4_G3'!$A$8:$A$17,$A81)=1,vlookup($A81,'R4_G3'!$A$8:$Y$17, M$2+4,false),if(countif('R4_G2'!$A$8:$A$17,$A81)=1,vlookup($A81,'R4_G2'!$A$8:$Y$17, M$2+4,false),if(countif('R4_G4'!$A$8:$A$17,$A81)=1,vlookup($A81,'R4_G4'!$A$8:$Y$17, M$2+4,false),""))))</f>
        <v>6</v>
      </c>
      <c r="N81" s="1427">
        <f>if(countif('R4_G1'!$A$8:$A$17,$A81)=1,vlookup($A81,'R4_G1'!$A$8:$Y$17, N$2+7,false),if(countif('R4_G3'!$A$8:$A$17,$A81)=1,vlookup($A81,'R4_G3'!$A$8:$Y$17, N$2+7,false),if(countif('R4_G2'!$A$8:$A$17,$A81)=1,vlookup($A81,'R4_G2'!$A$8:$Y$17, N$2+7,false),if(countif('R4_G4'!$A$8:$A$17,$A81)=1,vlookup($A81,'R4_G4'!$A$8:$Y$17, N$2+7,false),""))))</f>
        <v>5</v>
      </c>
      <c r="O81" s="1427">
        <f>if(countif('R4_G1'!$A$8:$A$17,$A81)=1,vlookup($A81,'R4_G1'!$A$8:$Y$17, O$2+7,false),if(countif('R4_G3'!$A$8:$A$17,$A81)=1,vlookup($A81,'R4_G3'!$A$8:$Y$17, O$2+7,false),if(countif('R4_G2'!$A$8:$A$17,$A81)=1,vlookup($A81,'R4_G2'!$A$8:$Y$17, O$2+7,false),if(countif('R4_G4'!$A$8:$A$17,$A81)=1,vlookup($A81,'R4_G4'!$A$8:$Y$17, O$2+7,false),""))))</f>
        <v>4</v>
      </c>
      <c r="P81" s="1427">
        <f>if(countif('R4_G1'!$A$8:$A$17,$A81)=1,vlookup($A81,'R4_G1'!$A$8:$Y$17, P$2+7,false),if(countif('R4_G3'!$A$8:$A$17,$A81)=1,vlookup($A81,'R4_G3'!$A$8:$Y$17, P$2+7,false),if(countif('R4_G2'!$A$8:$A$17,$A81)=1,vlookup($A81,'R4_G2'!$A$8:$Y$17, P$2+7,false),if(countif('R4_G4'!$A$8:$A$17,$A81)=1,vlookup($A81,'R4_G4'!$A$8:$Y$17, P$2+7,false),""))))</f>
        <v>4</v>
      </c>
      <c r="Q81" s="1427">
        <f>if(countif('R4_G1'!$A$8:$A$17,$A81)=1,vlookup($A81,'R4_G1'!$A$8:$Y$17, Q$2+7,false),if(countif('R4_G3'!$A$8:$A$17,$A81)=1,vlookup($A81,'R4_G3'!$A$8:$Y$17, Q$2+7,false),if(countif('R4_G2'!$A$8:$A$17,$A81)=1,vlookup($A81,'R4_G2'!$A$8:$Y$17, Q$2+7,false),if(countif('R4_G4'!$A$8:$A$17,$A81)=1,vlookup($A81,'R4_G4'!$A$8:$Y$17, Q$2+7,false),""))))</f>
        <v>7</v>
      </c>
      <c r="R81" s="1427">
        <f>if(countif('R4_G1'!$A$8:$A$17,$A81)=1,vlookup($A81,'R4_G1'!$A$8:$Y$17, R$2+7,false),if(countif('R4_G3'!$A$8:$A$17,$A81)=1,vlookup($A81,'R4_G3'!$A$8:$Y$17, R$2+7,false),if(countif('R4_G2'!$A$8:$A$17,$A81)=1,vlookup($A81,'R4_G2'!$A$8:$Y$17, R$2+7,false),if(countif('R4_G4'!$A$8:$A$17,$A81)=1,vlookup($A81,'R4_G4'!$A$8:$Y$17, R$2+7,false),""))))</f>
        <v>4</v>
      </c>
      <c r="S81" s="1427">
        <f>if(countif('R4_G1'!$A$8:$A$17,$A81)=1,vlookup($A81,'R4_G1'!$A$8:$Y$17, S$2+7,false),if(countif('R4_G3'!$A$8:$A$17,$A81)=1,vlookup($A81,'R4_G3'!$A$8:$Y$17, S$2+7,false),if(countif('R4_G2'!$A$8:$A$17,$A81)=1,vlookup($A81,'R4_G2'!$A$8:$Y$17, S$2+7,false),if(countif('R4_G4'!$A$8:$A$17,$A81)=1,vlookup($A81,'R4_G4'!$A$8:$Y$17, S$2+7,false),""))))</f>
        <v>4</v>
      </c>
      <c r="T81" s="1427">
        <f>if(countif('R4_G1'!$A$8:$A$17,$A81)=1,vlookup($A81,'R4_G1'!$A$8:$Y$17, T$2+7,false),if(countif('R4_G3'!$A$8:$A$17,$A81)=1,vlookup($A81,'R4_G3'!$A$8:$Y$17, T$2+7,false),if(countif('R4_G2'!$A$8:$A$17,$A81)=1,vlookup($A81,'R4_G2'!$A$8:$Y$17, T$2+7,false),if(countif('R4_G4'!$A$8:$A$17,$A81)=1,vlookup($A81,'R4_G4'!$A$8:$Y$17, T$2+7,false),""))))</f>
        <v>5</v>
      </c>
      <c r="U81" s="1427">
        <f>if(countif('R4_G1'!$A$8:$A$17,$A81)=1,vlookup($A81,'R4_G1'!$A$8:$Y$17, U$2+7,false),if(countif('R4_G3'!$A$8:$A$17,$A81)=1,vlookup($A81,'R4_G3'!$A$8:$Y$17, U$2+7,false),if(countif('R4_G2'!$A$8:$A$17,$A81)=1,vlookup($A81,'R4_G2'!$A$8:$Y$17, U$2+7,false),if(countif('R4_G4'!$A$8:$A$17,$A81)=1,vlookup($A81,'R4_G4'!$A$8:$Y$17, U$2+7,false),""))))</f>
        <v>7</v>
      </c>
      <c r="V81" s="1427">
        <f>if(countif('R4_G1'!$A$8:$A$17,$A81)=1,vlookup($A81,'R4_G1'!$A$8:$Y$17, V$2+7,false),if(countif('R4_G3'!$A$8:$A$17,$A81)=1,vlookup($A81,'R4_G3'!$A$8:$Y$17, V$2+7,false),if(countif('R4_G2'!$A$8:$A$17,$A81)=1,vlookup($A81,'R4_G2'!$A$8:$Y$17, V$2+7,false),if(countif('R4_G4'!$A$8:$A$17,$A81)=1,vlookup($A81,'R4_G4'!$A$8:$Y$17, V$2+7,false),""))))</f>
        <v>5</v>
      </c>
      <c r="W81" s="1428">
        <f t="shared" si="113"/>
        <v>47</v>
      </c>
      <c r="X81" s="1428">
        <f t="shared" si="114"/>
        <v>45</v>
      </c>
      <c r="Y81" s="1428">
        <f t="shared" si="119"/>
        <v>92</v>
      </c>
      <c r="Z81" s="1428">
        <f t="shared" si="120"/>
        <v>82</v>
      </c>
      <c r="AA81" s="1438">
        <f t="shared" si="121"/>
        <v>92</v>
      </c>
      <c r="AB81" s="1567"/>
      <c r="AC81" s="1423" t="str">
        <f t="shared" si="122"/>
        <v>House</v>
      </c>
      <c r="AD81" s="1424">
        <f>VLOOKUP(AC81,'Master Input'!$A$11:$L$27,12,false)</f>
        <v>10</v>
      </c>
      <c r="AE81" s="1423" t="s">
        <v>266</v>
      </c>
      <c r="AF81" s="1401"/>
      <c r="AG81" s="1428">
        <f t="shared" ref="AG81:AX81" si="134">if(E81="","",E81-IF($B81&gt;0,FLOOR($B81/18,1),0)-IF(AND(MOD($B81,18)&gt;=E$75,$B81&gt;0),1,0)+IF(E$75-18&gt;$B81,1,0))</f>
        <v>3</v>
      </c>
      <c r="AH81" s="1428">
        <f t="shared" si="134"/>
        <v>6</v>
      </c>
      <c r="AI81" s="1428">
        <f t="shared" si="134"/>
        <v>5</v>
      </c>
      <c r="AJ81" s="1428">
        <f t="shared" si="134"/>
        <v>3</v>
      </c>
      <c r="AK81" s="1428">
        <f t="shared" si="134"/>
        <v>4</v>
      </c>
      <c r="AL81" s="1428">
        <f t="shared" si="134"/>
        <v>10</v>
      </c>
      <c r="AM81" s="1428">
        <f t="shared" si="134"/>
        <v>3</v>
      </c>
      <c r="AN81" s="1428">
        <f t="shared" si="134"/>
        <v>3</v>
      </c>
      <c r="AO81" s="1428">
        <f t="shared" si="134"/>
        <v>5</v>
      </c>
      <c r="AP81" s="1429">
        <f t="shared" si="134"/>
        <v>4</v>
      </c>
      <c r="AQ81" s="1429">
        <f t="shared" si="134"/>
        <v>4</v>
      </c>
      <c r="AR81" s="1429">
        <f t="shared" si="134"/>
        <v>4</v>
      </c>
      <c r="AS81" s="1429">
        <f t="shared" si="134"/>
        <v>7</v>
      </c>
      <c r="AT81" s="1429">
        <f t="shared" si="134"/>
        <v>3</v>
      </c>
      <c r="AU81" s="1429">
        <f t="shared" si="134"/>
        <v>3</v>
      </c>
      <c r="AV81" s="1429">
        <f t="shared" si="134"/>
        <v>4</v>
      </c>
      <c r="AW81" s="1429">
        <f t="shared" si="134"/>
        <v>6</v>
      </c>
      <c r="AX81" s="1429">
        <f t="shared" si="134"/>
        <v>5</v>
      </c>
      <c r="AY81" s="1428">
        <f t="shared" si="116"/>
        <v>42</v>
      </c>
      <c r="AZ81" s="1428">
        <f t="shared" si="117"/>
        <v>40</v>
      </c>
      <c r="BA81" s="1428">
        <f t="shared" si="124"/>
        <v>82</v>
      </c>
      <c r="BB81" s="1430" t="str">
        <f>if(countif('R4_G1'!$A$8:$A$17,$A81)=1, if(and(BA81=Z81,BA81=vlookup($A81,'R4_G1'!$A$8:$AB$17, 28,false)),"yes","no"),
if(countif('R4_G3'!$A$8:$A$17,$A81)=1, if(and(BA81=Z81,BA81=vlookup($A81,'R4_G3'!$A$8:$AB$17, 28,false)),"yes","no"),
if(countif('R4_G2'!$A$8:$A$17,$A81)=1, if(and(BA81=Z81,BA81=vlookup($A81,'R4_G2'!$A$8:$AB$17, 28,false)),"yes","no"),
if(countif('R4_G4'!$A$8:$A$17,$A81)=1, if(and(BA81=Z81,BA81=vlookup($A81,'R4_G4'!$A$8:$AB$17, 28,false)),"yes","no"),
"?"))))
</f>
        <v>yes</v>
      </c>
      <c r="BC81" s="1567"/>
      <c r="BD81" s="1441">
        <f t="shared" si="125"/>
        <v>7</v>
      </c>
      <c r="BE81" s="1442">
        <f t="shared" si="126"/>
        <v>8.866666667</v>
      </c>
      <c r="BF81" s="1442">
        <f t="shared" si="127"/>
        <v>0</v>
      </c>
      <c r="BG81" s="1442">
        <f t="shared" si="128"/>
        <v>3</v>
      </c>
      <c r="BH81" s="1442">
        <f t="shared" si="129"/>
        <v>8</v>
      </c>
      <c r="BI81" s="1442">
        <f t="shared" si="130"/>
        <v>4</v>
      </c>
      <c r="BJ81" s="1442">
        <f t="shared" si="131"/>
        <v>3</v>
      </c>
    </row>
    <row r="82" ht="14.25" customHeight="1">
      <c r="A82" s="1434" t="str">
        <f t="shared" si="118"/>
        <v>DK</v>
      </c>
      <c r="B82" s="1435">
        <f>VLOOKUP(A82,'Master Input'!$A$11:$L$27,12,false)</f>
        <v>12</v>
      </c>
      <c r="C82" s="1436"/>
      <c r="D82" s="1401"/>
      <c r="E82" s="1437">
        <f>if(countif('R4_G1'!$A$8:$A$17,$A82)=1,vlookup($A82,'R4_G1'!$A$8:$Y$17, E$2+4,false),if(countif('R4_G3'!$A$8:$A$17,$A82)=1,vlookup($A82,'R4_G3'!$A$8:$Y$17, E$2+4,false),if(countif('R4_G2'!$A$8:$A$17,$A82)=1,vlookup($A82,'R4_G2'!$A$8:$Y$17, E$2+4,false),if(countif('R4_G4'!$A$8:$A$17,$A82)=1,vlookup($A82,'R4_G4'!$A$8:$Y$17, E$2+4,false),""))))</f>
        <v>5</v>
      </c>
      <c r="F82" s="1437">
        <f>if(countif('R4_G1'!$A$8:$A$17,$A82)=1,vlookup($A82,'R4_G1'!$A$8:$Y$17, F$2+4,false),if(countif('R4_G3'!$A$8:$A$17,$A82)=1,vlookup($A82,'R4_G3'!$A$8:$Y$17, F$2+4,false),if(countif('R4_G2'!$A$8:$A$17,$A82)=1,vlookup($A82,'R4_G2'!$A$8:$Y$17, F$2+4,false),if(countif('R4_G4'!$A$8:$A$17,$A82)=1,vlookup($A82,'R4_G4'!$A$8:$Y$17, F$2+4,false),""))))</f>
        <v>4</v>
      </c>
      <c r="G82" s="1437">
        <f>if(countif('R4_G1'!$A$8:$A$17,$A82)=1,vlookup($A82,'R4_G1'!$A$8:$Y$17, G$2+4,false),if(countif('R4_G3'!$A$8:$A$17,$A82)=1,vlookup($A82,'R4_G3'!$A$8:$Y$17, G$2+4,false),if(countif('R4_G2'!$A$8:$A$17,$A82)=1,vlookup($A82,'R4_G2'!$A$8:$Y$17, G$2+4,false),if(countif('R4_G4'!$A$8:$A$17,$A82)=1,vlookup($A82,'R4_G4'!$A$8:$Y$17, G$2+4,false),""))))</f>
        <v>6</v>
      </c>
      <c r="H82" s="1437">
        <f>if(countif('R4_G1'!$A$8:$A$17,$A82)=1,vlookup($A82,'R4_G1'!$A$8:$Y$17, H$2+4,false),if(countif('R4_G3'!$A$8:$A$17,$A82)=1,vlookup($A82,'R4_G3'!$A$8:$Y$17, H$2+4,false),if(countif('R4_G2'!$A$8:$A$17,$A82)=1,vlookup($A82,'R4_G2'!$A$8:$Y$17, H$2+4,false),if(countif('R4_G4'!$A$8:$A$17,$A82)=1,vlookup($A82,'R4_G4'!$A$8:$Y$17, H$2+4,false),""))))</f>
        <v>4</v>
      </c>
      <c r="I82" s="1437">
        <f>if(countif('R4_G1'!$A$8:$A$17,$A82)=1,vlookup($A82,'R4_G1'!$A$8:$Y$17, I$2+4,false),if(countif('R4_G3'!$A$8:$A$17,$A82)=1,vlookup($A82,'R4_G3'!$A$8:$Y$17, I$2+4,false),if(countif('R4_G2'!$A$8:$A$17,$A82)=1,vlookup($A82,'R4_G2'!$A$8:$Y$17, I$2+4,false),if(countif('R4_G4'!$A$8:$A$17,$A82)=1,vlookup($A82,'R4_G4'!$A$8:$Y$17, I$2+4,false),""))))</f>
        <v>5</v>
      </c>
      <c r="J82" s="1437">
        <f>if(countif('R4_G1'!$A$8:$A$17,$A82)=1,vlookup($A82,'R4_G1'!$A$8:$Y$17, J$2+4,false),if(countif('R4_G3'!$A$8:$A$17,$A82)=1,vlookup($A82,'R4_G3'!$A$8:$Y$17, J$2+4,false),if(countif('R4_G2'!$A$8:$A$17,$A82)=1,vlookup($A82,'R4_G2'!$A$8:$Y$17, J$2+4,false),if(countif('R4_G4'!$A$8:$A$17,$A82)=1,vlookup($A82,'R4_G4'!$A$8:$Y$17, J$2+4,false),""))))</f>
        <v>7</v>
      </c>
      <c r="K82" s="1437">
        <f>if(countif('R4_G1'!$A$8:$A$17,$A82)=1,vlookup($A82,'R4_G1'!$A$8:$Y$17, K$2+4,false),if(countif('R4_G3'!$A$8:$A$17,$A82)=1,vlookup($A82,'R4_G3'!$A$8:$Y$17, K$2+4,false),if(countif('R4_G2'!$A$8:$A$17,$A82)=1,vlookup($A82,'R4_G2'!$A$8:$Y$17, K$2+4,false),if(countif('R4_G4'!$A$8:$A$17,$A82)=1,vlookup($A82,'R4_G4'!$A$8:$Y$17, K$2+4,false),""))))</f>
        <v>4</v>
      </c>
      <c r="L82" s="1437">
        <f>if(countif('R4_G1'!$A$8:$A$17,$A82)=1,vlookup($A82,'R4_G1'!$A$8:$Y$17, L$2+4,false),if(countif('R4_G3'!$A$8:$A$17,$A82)=1,vlookup($A82,'R4_G3'!$A$8:$Y$17, L$2+4,false),if(countif('R4_G2'!$A$8:$A$17,$A82)=1,vlookup($A82,'R4_G2'!$A$8:$Y$17, L$2+4,false),if(countif('R4_G4'!$A$8:$A$17,$A82)=1,vlookup($A82,'R4_G4'!$A$8:$Y$17, L$2+4,false),""))))</f>
        <v>5</v>
      </c>
      <c r="M82" s="1437">
        <f>if(countif('R4_G1'!$A$8:$A$17,$A82)=1,vlookup($A82,'R4_G1'!$A$8:$Y$17, M$2+4,false),if(countif('R4_G3'!$A$8:$A$17,$A82)=1,vlookup($A82,'R4_G3'!$A$8:$Y$17, M$2+4,false),if(countif('R4_G2'!$A$8:$A$17,$A82)=1,vlookup($A82,'R4_G2'!$A$8:$Y$17, M$2+4,false),if(countif('R4_G4'!$A$8:$A$17,$A82)=1,vlookup($A82,'R4_G4'!$A$8:$Y$17, M$2+4,false),""))))</f>
        <v>5</v>
      </c>
      <c r="N82" s="1426">
        <f>if(countif('R4_G1'!$A$8:$A$17,$A82)=1,vlookup($A82,'R4_G1'!$A$8:$Y$17, N$2+7,false),if(countif('R4_G3'!$A$8:$A$17,$A82)=1,vlookup($A82,'R4_G3'!$A$8:$Y$17, N$2+7,false),if(countif('R4_G2'!$A$8:$A$17,$A82)=1,vlookup($A82,'R4_G2'!$A$8:$Y$17, N$2+7,false),if(countif('R4_G4'!$A$8:$A$17,$A82)=1,vlookup($A82,'R4_G4'!$A$8:$Y$17, N$2+7,false),""))))</f>
        <v>5</v>
      </c>
      <c r="O82" s="1426">
        <f>if(countif('R4_G1'!$A$8:$A$17,$A82)=1,vlookup($A82,'R4_G1'!$A$8:$Y$17, O$2+7,false),if(countif('R4_G3'!$A$8:$A$17,$A82)=1,vlookup($A82,'R4_G3'!$A$8:$Y$17, O$2+7,false),if(countif('R4_G2'!$A$8:$A$17,$A82)=1,vlookup($A82,'R4_G2'!$A$8:$Y$17, O$2+7,false),if(countif('R4_G4'!$A$8:$A$17,$A82)=1,vlookup($A82,'R4_G4'!$A$8:$Y$17, O$2+7,false),""))))</f>
        <v>6</v>
      </c>
      <c r="P82" s="1426">
        <f>if(countif('R4_G1'!$A$8:$A$17,$A82)=1,vlookup($A82,'R4_G1'!$A$8:$Y$17, P$2+7,false),if(countif('R4_G3'!$A$8:$A$17,$A82)=1,vlookup($A82,'R4_G3'!$A$8:$Y$17, P$2+7,false),if(countif('R4_G2'!$A$8:$A$17,$A82)=1,vlookup($A82,'R4_G2'!$A$8:$Y$17, P$2+7,false),if(countif('R4_G4'!$A$8:$A$17,$A82)=1,vlookup($A82,'R4_G4'!$A$8:$Y$17, P$2+7,false),""))))</f>
        <v>3</v>
      </c>
      <c r="Q82" s="1426">
        <f>if(countif('R4_G1'!$A$8:$A$17,$A82)=1,vlookup($A82,'R4_G1'!$A$8:$Y$17, Q$2+7,false),if(countif('R4_G3'!$A$8:$A$17,$A82)=1,vlookup($A82,'R4_G3'!$A$8:$Y$17, Q$2+7,false),if(countif('R4_G2'!$A$8:$A$17,$A82)=1,vlookup($A82,'R4_G2'!$A$8:$Y$17, Q$2+7,false),if(countif('R4_G4'!$A$8:$A$17,$A82)=1,vlookup($A82,'R4_G4'!$A$8:$Y$17, Q$2+7,false),""))))</f>
        <v>5</v>
      </c>
      <c r="R82" s="1426">
        <f>if(countif('R4_G1'!$A$8:$A$17,$A82)=1,vlookup($A82,'R4_G1'!$A$8:$Y$17, R$2+7,false),if(countif('R4_G3'!$A$8:$A$17,$A82)=1,vlookup($A82,'R4_G3'!$A$8:$Y$17, R$2+7,false),if(countif('R4_G2'!$A$8:$A$17,$A82)=1,vlookup($A82,'R4_G2'!$A$8:$Y$17, R$2+7,false),if(countif('R4_G4'!$A$8:$A$17,$A82)=1,vlookup($A82,'R4_G4'!$A$8:$Y$17, R$2+7,false),""))))</f>
        <v>4</v>
      </c>
      <c r="S82" s="1426">
        <f>if(countif('R4_G1'!$A$8:$A$17,$A82)=1,vlookup($A82,'R4_G1'!$A$8:$Y$17, S$2+7,false),if(countif('R4_G3'!$A$8:$A$17,$A82)=1,vlookup($A82,'R4_G3'!$A$8:$Y$17, S$2+7,false),if(countif('R4_G2'!$A$8:$A$17,$A82)=1,vlookup($A82,'R4_G2'!$A$8:$Y$17, S$2+7,false),if(countif('R4_G4'!$A$8:$A$17,$A82)=1,vlookup($A82,'R4_G4'!$A$8:$Y$17, S$2+7,false),""))))</f>
        <v>6</v>
      </c>
      <c r="T82" s="1426">
        <f>if(countif('R4_G1'!$A$8:$A$17,$A82)=1,vlookup($A82,'R4_G1'!$A$8:$Y$17, T$2+7,false),if(countif('R4_G3'!$A$8:$A$17,$A82)=1,vlookup($A82,'R4_G3'!$A$8:$Y$17, T$2+7,false),if(countif('R4_G2'!$A$8:$A$17,$A82)=1,vlookup($A82,'R4_G2'!$A$8:$Y$17, T$2+7,false),if(countif('R4_G4'!$A$8:$A$17,$A82)=1,vlookup($A82,'R4_G4'!$A$8:$Y$17, T$2+7,false),""))))</f>
        <v>5</v>
      </c>
      <c r="U82" s="1426">
        <f>if(countif('R4_G1'!$A$8:$A$17,$A82)=1,vlookup($A82,'R4_G1'!$A$8:$Y$17, U$2+7,false),if(countif('R4_G3'!$A$8:$A$17,$A82)=1,vlookup($A82,'R4_G3'!$A$8:$Y$17, U$2+7,false),if(countif('R4_G2'!$A$8:$A$17,$A82)=1,vlookup($A82,'R4_G2'!$A$8:$Y$17, U$2+7,false),if(countif('R4_G4'!$A$8:$A$17,$A82)=1,vlookup($A82,'R4_G4'!$A$8:$Y$17, U$2+7,false),""))))</f>
        <v>5</v>
      </c>
      <c r="V82" s="1426">
        <f>if(countif('R4_G1'!$A$8:$A$17,$A82)=1,vlookup($A82,'R4_G1'!$A$8:$Y$17, V$2+7,false),if(countif('R4_G3'!$A$8:$A$17,$A82)=1,vlookup($A82,'R4_G3'!$A$8:$Y$17, V$2+7,false),if(countif('R4_G2'!$A$8:$A$17,$A82)=1,vlookup($A82,'R4_G2'!$A$8:$Y$17, V$2+7,false),if(countif('R4_G4'!$A$8:$A$17,$A82)=1,vlookup($A82,'R4_G4'!$A$8:$Y$17, V$2+7,false),""))))</f>
        <v>6</v>
      </c>
      <c r="W82" s="1438">
        <f t="shared" si="113"/>
        <v>45</v>
      </c>
      <c r="X82" s="1438">
        <f t="shared" si="114"/>
        <v>45</v>
      </c>
      <c r="Y82" s="1438">
        <f t="shared" si="119"/>
        <v>90</v>
      </c>
      <c r="Z82" s="1438">
        <f t="shared" si="120"/>
        <v>78</v>
      </c>
      <c r="AA82" s="1438">
        <f t="shared" si="121"/>
        <v>90</v>
      </c>
      <c r="AB82" s="1567"/>
      <c r="AC82" s="1434" t="str">
        <f t="shared" si="122"/>
        <v>DK</v>
      </c>
      <c r="AD82" s="1435">
        <f>VLOOKUP(AC82,'Master Input'!$A$11:$L$27,12,false)</f>
        <v>12</v>
      </c>
      <c r="AE82" s="1434" t="s">
        <v>266</v>
      </c>
      <c r="AF82" s="1401"/>
      <c r="AG82" s="1438">
        <f t="shared" ref="AG82:AX82" si="135">if(E82="","",E82-IF($B82&gt;0,FLOOR($B82/18,1),0)-IF(AND(MOD($B82,18)&gt;=E$75,$B82&gt;0),1,0)+IF(E$75-18&gt;$B82,1,0))</f>
        <v>4</v>
      </c>
      <c r="AH82" s="1438">
        <f t="shared" si="135"/>
        <v>4</v>
      </c>
      <c r="AI82" s="1438">
        <f t="shared" si="135"/>
        <v>5</v>
      </c>
      <c r="AJ82" s="1438">
        <f t="shared" si="135"/>
        <v>4</v>
      </c>
      <c r="AK82" s="1438">
        <f t="shared" si="135"/>
        <v>4</v>
      </c>
      <c r="AL82" s="1438">
        <f t="shared" si="135"/>
        <v>6</v>
      </c>
      <c r="AM82" s="1438">
        <f t="shared" si="135"/>
        <v>4</v>
      </c>
      <c r="AN82" s="1438">
        <f t="shared" si="135"/>
        <v>4</v>
      </c>
      <c r="AO82" s="1438">
        <f t="shared" si="135"/>
        <v>4</v>
      </c>
      <c r="AP82" s="1426">
        <f t="shared" si="135"/>
        <v>4</v>
      </c>
      <c r="AQ82" s="1426">
        <f t="shared" si="135"/>
        <v>6</v>
      </c>
      <c r="AR82" s="1426">
        <f t="shared" si="135"/>
        <v>3</v>
      </c>
      <c r="AS82" s="1426">
        <f t="shared" si="135"/>
        <v>4</v>
      </c>
      <c r="AT82" s="1426">
        <f t="shared" si="135"/>
        <v>3</v>
      </c>
      <c r="AU82" s="1426">
        <f t="shared" si="135"/>
        <v>5</v>
      </c>
      <c r="AV82" s="1426">
        <f t="shared" si="135"/>
        <v>4</v>
      </c>
      <c r="AW82" s="1426">
        <f t="shared" si="135"/>
        <v>4</v>
      </c>
      <c r="AX82" s="1426">
        <f t="shared" si="135"/>
        <v>6</v>
      </c>
      <c r="AY82" s="1438">
        <f t="shared" si="116"/>
        <v>39</v>
      </c>
      <c r="AZ82" s="1438">
        <f t="shared" si="117"/>
        <v>39</v>
      </c>
      <c r="BA82" s="1438">
        <f t="shared" si="124"/>
        <v>78</v>
      </c>
      <c r="BB82" s="1436" t="str">
        <f>if(countif('R4_G1'!$A$8:$A$17,$A82)=1, if(and(BA82=Z82,BA82=vlookup($A82,'R4_G1'!$A$8:$AB$17, 28,false)),"yes","no"),
if(countif('R4_G3'!$A$8:$A$17,$A82)=1, if(and(BA82=Z82,BA82=vlookup($A82,'R4_G3'!$A$8:$AB$17, 28,false)),"yes","no"),
if(countif('R4_G2'!$A$8:$A$17,$A82)=1, if(and(BA82=Z82,BA82=vlookup($A82,'R4_G2'!$A$8:$AB$17, 28,false)),"yes","no"),
if(countif('R4_G4'!$A$8:$A$17,$A82)=1, if(and(BA82=Z82,BA82=vlookup($A82,'R4_G4'!$A$8:$AB$17, 28,false)),"yes","no"),
"?"))))
</f>
        <v>yes</v>
      </c>
      <c r="BC82" s="1567"/>
      <c r="BD82" s="1439">
        <f t="shared" si="125"/>
        <v>7</v>
      </c>
      <c r="BE82" s="1440">
        <f t="shared" si="126"/>
        <v>8.833333333</v>
      </c>
      <c r="BF82" s="1440">
        <f t="shared" si="127"/>
        <v>0</v>
      </c>
      <c r="BG82" s="1440">
        <f t="shared" si="128"/>
        <v>3</v>
      </c>
      <c r="BH82" s="1440">
        <f t="shared" si="129"/>
        <v>8</v>
      </c>
      <c r="BI82" s="1440">
        <f t="shared" si="130"/>
        <v>5</v>
      </c>
      <c r="BJ82" s="1440">
        <f t="shared" si="131"/>
        <v>2</v>
      </c>
    </row>
    <row r="83" ht="14.25" customHeight="1">
      <c r="A83" s="1423" t="str">
        <f t="shared" si="118"/>
        <v>Carp</v>
      </c>
      <c r="B83" s="1424">
        <f>VLOOKUP(A83,'Master Input'!$A$11:$L$27,12,false)</f>
        <v>18</v>
      </c>
      <c r="C83" s="1430"/>
      <c r="D83" s="1401"/>
      <c r="E83" s="1426">
        <f>if(countif('R4_G1'!$A$8:$A$17,$A83)=1,vlookup($A83,'R4_G1'!$A$8:$Y$17, E$2+4,false),if(countif('R4_G3'!$A$8:$A$17,$A83)=1,vlookup($A83,'R4_G3'!$A$8:$Y$17, E$2+4,false),if(countif('R4_G2'!$A$8:$A$17,$A83)=1,vlookup($A83,'R4_G2'!$A$8:$Y$17, E$2+4,false),if(countif('R4_G4'!$A$8:$A$17,$A83)=1,vlookup($A83,'R4_G4'!$A$8:$Y$17, E$2+4,false),""))))</f>
        <v>4</v>
      </c>
      <c r="F83" s="1426">
        <f>if(countif('R4_G1'!$A$8:$A$17,$A83)=1,vlookup($A83,'R4_G1'!$A$8:$Y$17, F$2+4,false),if(countif('R4_G3'!$A$8:$A$17,$A83)=1,vlookup($A83,'R4_G3'!$A$8:$Y$17, F$2+4,false),if(countif('R4_G2'!$A$8:$A$17,$A83)=1,vlookup($A83,'R4_G2'!$A$8:$Y$17, F$2+4,false),if(countif('R4_G4'!$A$8:$A$17,$A83)=1,vlookup($A83,'R4_G4'!$A$8:$Y$17, F$2+4,false),""))))</f>
        <v>7</v>
      </c>
      <c r="G83" s="1426">
        <f>if(countif('R4_G1'!$A$8:$A$17,$A83)=1,vlookup($A83,'R4_G1'!$A$8:$Y$17, G$2+4,false),if(countif('R4_G3'!$A$8:$A$17,$A83)=1,vlookup($A83,'R4_G3'!$A$8:$Y$17, G$2+4,false),if(countif('R4_G2'!$A$8:$A$17,$A83)=1,vlookup($A83,'R4_G2'!$A$8:$Y$17, G$2+4,false),if(countif('R4_G4'!$A$8:$A$17,$A83)=1,vlookup($A83,'R4_G4'!$A$8:$Y$17, G$2+4,false),""))))</f>
        <v>9</v>
      </c>
      <c r="H83" s="1426">
        <f>if(countif('R4_G1'!$A$8:$A$17,$A83)=1,vlookup($A83,'R4_G1'!$A$8:$Y$17, H$2+4,false),if(countif('R4_G3'!$A$8:$A$17,$A83)=1,vlookup($A83,'R4_G3'!$A$8:$Y$17, H$2+4,false),if(countif('R4_G2'!$A$8:$A$17,$A83)=1,vlookup($A83,'R4_G2'!$A$8:$Y$17, H$2+4,false),if(countif('R4_G4'!$A$8:$A$17,$A83)=1,vlookup($A83,'R4_G4'!$A$8:$Y$17, H$2+4,false),""))))</f>
        <v>3</v>
      </c>
      <c r="I83" s="1426">
        <f>if(countif('R4_G1'!$A$8:$A$17,$A83)=1,vlookup($A83,'R4_G1'!$A$8:$Y$17, I$2+4,false),if(countif('R4_G3'!$A$8:$A$17,$A83)=1,vlookup($A83,'R4_G3'!$A$8:$Y$17, I$2+4,false),if(countif('R4_G2'!$A$8:$A$17,$A83)=1,vlookup($A83,'R4_G2'!$A$8:$Y$17, I$2+4,false),if(countif('R4_G4'!$A$8:$A$17,$A83)=1,vlookup($A83,'R4_G4'!$A$8:$Y$17, I$2+4,false),""))))</f>
        <v>5</v>
      </c>
      <c r="J83" s="1426">
        <f>if(countif('R4_G1'!$A$8:$A$17,$A83)=1,vlookup($A83,'R4_G1'!$A$8:$Y$17, J$2+4,false),if(countif('R4_G3'!$A$8:$A$17,$A83)=1,vlookup($A83,'R4_G3'!$A$8:$Y$17, J$2+4,false),if(countif('R4_G2'!$A$8:$A$17,$A83)=1,vlookup($A83,'R4_G2'!$A$8:$Y$17, J$2+4,false),if(countif('R4_G4'!$A$8:$A$17,$A83)=1,vlookup($A83,'R4_G4'!$A$8:$Y$17, J$2+4,false),""))))</f>
        <v>5</v>
      </c>
      <c r="K83" s="1426">
        <f>if(countif('R4_G1'!$A$8:$A$17,$A83)=1,vlookup($A83,'R4_G1'!$A$8:$Y$17, K$2+4,false),if(countif('R4_G3'!$A$8:$A$17,$A83)=1,vlookup($A83,'R4_G3'!$A$8:$Y$17, K$2+4,false),if(countif('R4_G2'!$A$8:$A$17,$A83)=1,vlookup($A83,'R4_G2'!$A$8:$Y$17, K$2+4,false),if(countif('R4_G4'!$A$8:$A$17,$A83)=1,vlookup($A83,'R4_G4'!$A$8:$Y$17, K$2+4,false),""))))</f>
        <v>4</v>
      </c>
      <c r="L83" s="1426">
        <f>if(countif('R4_G1'!$A$8:$A$17,$A83)=1,vlookup($A83,'R4_G1'!$A$8:$Y$17, L$2+4,false),if(countif('R4_G3'!$A$8:$A$17,$A83)=1,vlookup($A83,'R4_G3'!$A$8:$Y$17, L$2+4,false),if(countif('R4_G2'!$A$8:$A$17,$A83)=1,vlookup($A83,'R4_G2'!$A$8:$Y$17, L$2+4,false),if(countif('R4_G4'!$A$8:$A$17,$A83)=1,vlookup($A83,'R4_G4'!$A$8:$Y$17, L$2+4,false),""))))</f>
        <v>6</v>
      </c>
      <c r="M83" s="1426">
        <f>if(countif('R4_G1'!$A$8:$A$17,$A83)=1,vlookup($A83,'R4_G1'!$A$8:$Y$17, M$2+4,false),if(countif('R4_G3'!$A$8:$A$17,$A83)=1,vlookup($A83,'R4_G3'!$A$8:$Y$17, M$2+4,false),if(countif('R4_G2'!$A$8:$A$17,$A83)=1,vlookup($A83,'R4_G2'!$A$8:$Y$17, M$2+4,false),if(countif('R4_G4'!$A$8:$A$17,$A83)=1,vlookup($A83,'R4_G4'!$A$8:$Y$17, M$2+4,false),""))))</f>
        <v>4</v>
      </c>
      <c r="N83" s="1427">
        <f>if(countif('R4_G1'!$A$8:$A$17,$A83)=1,vlookup($A83,'R4_G1'!$A$8:$Y$17, N$2+7,false),if(countif('R4_G3'!$A$8:$A$17,$A83)=1,vlookup($A83,'R4_G3'!$A$8:$Y$17, N$2+7,false),if(countif('R4_G2'!$A$8:$A$17,$A83)=1,vlookup($A83,'R4_G2'!$A$8:$Y$17, N$2+7,false),if(countif('R4_G4'!$A$8:$A$17,$A83)=1,vlookup($A83,'R4_G4'!$A$8:$Y$17, N$2+7,false),""))))</f>
        <v>6</v>
      </c>
      <c r="O83" s="1427">
        <f>if(countif('R4_G1'!$A$8:$A$17,$A83)=1,vlookup($A83,'R4_G1'!$A$8:$Y$17, O$2+7,false),if(countif('R4_G3'!$A$8:$A$17,$A83)=1,vlookup($A83,'R4_G3'!$A$8:$Y$17, O$2+7,false),if(countif('R4_G2'!$A$8:$A$17,$A83)=1,vlookup($A83,'R4_G2'!$A$8:$Y$17, O$2+7,false),if(countif('R4_G4'!$A$8:$A$17,$A83)=1,vlookup($A83,'R4_G4'!$A$8:$Y$17, O$2+7,false),""))))</f>
        <v>5</v>
      </c>
      <c r="P83" s="1427">
        <f>if(countif('R4_G1'!$A$8:$A$17,$A83)=1,vlookup($A83,'R4_G1'!$A$8:$Y$17, P$2+7,false),if(countif('R4_G3'!$A$8:$A$17,$A83)=1,vlookup($A83,'R4_G3'!$A$8:$Y$17, P$2+7,false),if(countif('R4_G2'!$A$8:$A$17,$A83)=1,vlookup($A83,'R4_G2'!$A$8:$Y$17, P$2+7,false),if(countif('R4_G4'!$A$8:$A$17,$A83)=1,vlookup($A83,'R4_G4'!$A$8:$Y$17, P$2+7,false),""))))</f>
        <v>4</v>
      </c>
      <c r="Q83" s="1427">
        <f>if(countif('R4_G1'!$A$8:$A$17,$A83)=1,vlookup($A83,'R4_G1'!$A$8:$Y$17, Q$2+7,false),if(countif('R4_G3'!$A$8:$A$17,$A83)=1,vlookup($A83,'R4_G3'!$A$8:$Y$17, Q$2+7,false),if(countif('R4_G2'!$A$8:$A$17,$A83)=1,vlookup($A83,'R4_G2'!$A$8:$Y$17, Q$2+7,false),if(countif('R4_G4'!$A$8:$A$17,$A83)=1,vlookup($A83,'R4_G4'!$A$8:$Y$17, Q$2+7,false),""))))</f>
        <v>7</v>
      </c>
      <c r="R83" s="1427">
        <f>if(countif('R4_G1'!$A$8:$A$17,$A83)=1,vlookup($A83,'R4_G1'!$A$8:$Y$17, R$2+7,false),if(countif('R4_G3'!$A$8:$A$17,$A83)=1,vlookup($A83,'R4_G3'!$A$8:$Y$17, R$2+7,false),if(countif('R4_G2'!$A$8:$A$17,$A83)=1,vlookup($A83,'R4_G2'!$A$8:$Y$17, R$2+7,false),if(countif('R4_G4'!$A$8:$A$17,$A83)=1,vlookup($A83,'R4_G4'!$A$8:$Y$17, R$2+7,false),""))))</f>
        <v>7</v>
      </c>
      <c r="S83" s="1427">
        <f>if(countif('R4_G1'!$A$8:$A$17,$A83)=1,vlookup($A83,'R4_G1'!$A$8:$Y$17, S$2+7,false),if(countif('R4_G3'!$A$8:$A$17,$A83)=1,vlookup($A83,'R4_G3'!$A$8:$Y$17, S$2+7,false),if(countif('R4_G2'!$A$8:$A$17,$A83)=1,vlookup($A83,'R4_G2'!$A$8:$Y$17, S$2+7,false),if(countif('R4_G4'!$A$8:$A$17,$A83)=1,vlookup($A83,'R4_G4'!$A$8:$Y$17, S$2+7,false),""))))</f>
        <v>3</v>
      </c>
      <c r="T83" s="1427">
        <f>if(countif('R4_G1'!$A$8:$A$17,$A83)=1,vlookup($A83,'R4_G1'!$A$8:$Y$17, T$2+7,false),if(countif('R4_G3'!$A$8:$A$17,$A83)=1,vlookup($A83,'R4_G3'!$A$8:$Y$17, T$2+7,false),if(countif('R4_G2'!$A$8:$A$17,$A83)=1,vlookup($A83,'R4_G2'!$A$8:$Y$17, T$2+7,false),if(countif('R4_G4'!$A$8:$A$17,$A83)=1,vlookup($A83,'R4_G4'!$A$8:$Y$17, T$2+7,false),""))))</f>
        <v>7</v>
      </c>
      <c r="U83" s="1427">
        <f>if(countif('R4_G1'!$A$8:$A$17,$A83)=1,vlookup($A83,'R4_G1'!$A$8:$Y$17, U$2+7,false),if(countif('R4_G3'!$A$8:$A$17,$A83)=1,vlookup($A83,'R4_G3'!$A$8:$Y$17, U$2+7,false),if(countif('R4_G2'!$A$8:$A$17,$A83)=1,vlookup($A83,'R4_G2'!$A$8:$Y$17, U$2+7,false),if(countif('R4_G4'!$A$8:$A$17,$A83)=1,vlookup($A83,'R4_G4'!$A$8:$Y$17, U$2+7,false),""))))</f>
        <v>5</v>
      </c>
      <c r="V83" s="1427">
        <f>if(countif('R4_G1'!$A$8:$A$17,$A83)=1,vlookup($A83,'R4_G1'!$A$8:$Y$17, V$2+7,false),if(countif('R4_G3'!$A$8:$A$17,$A83)=1,vlookup($A83,'R4_G3'!$A$8:$Y$17, V$2+7,false),if(countif('R4_G2'!$A$8:$A$17,$A83)=1,vlookup($A83,'R4_G2'!$A$8:$Y$17, V$2+7,false),if(countif('R4_G4'!$A$8:$A$17,$A83)=1,vlookup($A83,'R4_G4'!$A$8:$Y$17, V$2+7,false),""))))</f>
        <v>7</v>
      </c>
      <c r="W83" s="1428">
        <f t="shared" si="113"/>
        <v>47</v>
      </c>
      <c r="X83" s="1428">
        <f t="shared" si="114"/>
        <v>51</v>
      </c>
      <c r="Y83" s="1428">
        <f t="shared" si="119"/>
        <v>98</v>
      </c>
      <c r="Z83" s="1428">
        <f t="shared" si="120"/>
        <v>80</v>
      </c>
      <c r="AA83" s="1438">
        <f t="shared" si="121"/>
        <v>98</v>
      </c>
      <c r="AB83" s="1567"/>
      <c r="AC83" s="1423" t="str">
        <f t="shared" si="122"/>
        <v>Carp</v>
      </c>
      <c r="AD83" s="1424">
        <f>VLOOKUP(AC83,'Master Input'!$A$11:$L$27,12,false)</f>
        <v>18</v>
      </c>
      <c r="AE83" s="1423" t="s">
        <v>266</v>
      </c>
      <c r="AF83" s="1401"/>
      <c r="AG83" s="1428">
        <f t="shared" ref="AG83:AX83" si="136">if(E83="","",E83-IF($B83&gt;0,FLOOR($B83/18,1),0)-IF(AND(MOD($B83,18)&gt;=E$75,$B83&gt;0),1,0)+IF(E$75-18&gt;$B83,1,0))</f>
        <v>3</v>
      </c>
      <c r="AH83" s="1428">
        <f t="shared" si="136"/>
        <v>6</v>
      </c>
      <c r="AI83" s="1428">
        <f t="shared" si="136"/>
        <v>8</v>
      </c>
      <c r="AJ83" s="1428">
        <f t="shared" si="136"/>
        <v>2</v>
      </c>
      <c r="AK83" s="1428">
        <f t="shared" si="136"/>
        <v>4</v>
      </c>
      <c r="AL83" s="1428">
        <f t="shared" si="136"/>
        <v>4</v>
      </c>
      <c r="AM83" s="1428">
        <f t="shared" si="136"/>
        <v>3</v>
      </c>
      <c r="AN83" s="1428">
        <f t="shared" si="136"/>
        <v>5</v>
      </c>
      <c r="AO83" s="1428">
        <f t="shared" si="136"/>
        <v>3</v>
      </c>
      <c r="AP83" s="1429">
        <f t="shared" si="136"/>
        <v>5</v>
      </c>
      <c r="AQ83" s="1429">
        <f t="shared" si="136"/>
        <v>4</v>
      </c>
      <c r="AR83" s="1429">
        <f t="shared" si="136"/>
        <v>3</v>
      </c>
      <c r="AS83" s="1429">
        <f t="shared" si="136"/>
        <v>6</v>
      </c>
      <c r="AT83" s="1429">
        <f t="shared" si="136"/>
        <v>6</v>
      </c>
      <c r="AU83" s="1429">
        <f t="shared" si="136"/>
        <v>2</v>
      </c>
      <c r="AV83" s="1429">
        <f t="shared" si="136"/>
        <v>6</v>
      </c>
      <c r="AW83" s="1429">
        <f t="shared" si="136"/>
        <v>4</v>
      </c>
      <c r="AX83" s="1429">
        <f t="shared" si="136"/>
        <v>6</v>
      </c>
      <c r="AY83" s="1428">
        <f t="shared" si="116"/>
        <v>38</v>
      </c>
      <c r="AZ83" s="1428">
        <f t="shared" si="117"/>
        <v>42</v>
      </c>
      <c r="BA83" s="1428">
        <f t="shared" si="124"/>
        <v>80</v>
      </c>
      <c r="BB83" s="1430" t="str">
        <f>if(countif('R4_G1'!$A$8:$A$17,$A83)=1, if(and(BA83=Z83,BA83=vlookup($A83,'R4_G1'!$A$8:$AB$17, 28,false)),"yes","no"),
if(countif('R4_G3'!$A$8:$A$17,$A83)=1, if(and(BA83=Z83,BA83=vlookup($A83,'R4_G3'!$A$8:$AB$17, 28,false)),"yes","no"),
if(countif('R4_G2'!$A$8:$A$17,$A83)=1, if(and(BA83=Z83,BA83=vlookup($A83,'R4_G2'!$A$8:$AB$17, 28,false)),"yes","no"),
if(countif('R4_G4'!$A$8:$A$17,$A83)=1, if(and(BA83=Z83,BA83=vlookup($A83,'R4_G4'!$A$8:$AB$17, 28,false)),"yes","no"),
"?"))))
</f>
        <v>yes</v>
      </c>
      <c r="BC83" s="1567"/>
      <c r="BD83" s="1441">
        <f t="shared" si="125"/>
        <v>7.5</v>
      </c>
      <c r="BE83" s="1442">
        <f t="shared" si="126"/>
        <v>8.933333333</v>
      </c>
      <c r="BF83" s="1442">
        <f t="shared" si="127"/>
        <v>0</v>
      </c>
      <c r="BG83" s="1442">
        <f t="shared" si="128"/>
        <v>5</v>
      </c>
      <c r="BH83" s="1442">
        <f t="shared" si="129"/>
        <v>5</v>
      </c>
      <c r="BI83" s="1442">
        <f t="shared" si="130"/>
        <v>5</v>
      </c>
      <c r="BJ83" s="1442">
        <f t="shared" si="131"/>
        <v>3</v>
      </c>
    </row>
    <row r="84" ht="14.25" customHeight="1">
      <c r="A84" s="1434" t="str">
        <f t="shared" si="118"/>
        <v>Saugy</v>
      </c>
      <c r="B84" s="1435">
        <f>VLOOKUP(A84,'Master Input'!$A$11:$L$27,12,false)</f>
        <v>34</v>
      </c>
      <c r="C84" s="1436"/>
      <c r="D84" s="1401"/>
      <c r="E84" s="1437">
        <f>if(countif('R4_G1'!$A$8:$A$17,$A84)=1,vlookup($A84,'R4_G1'!$A$8:$Y$17, E$2+4,false),if(countif('R4_G3'!$A$8:$A$17,$A84)=1,vlookup($A84,'R4_G3'!$A$8:$Y$17, E$2+4,false),if(countif('R4_G2'!$A$8:$A$17,$A84)=1,vlookup($A84,'R4_G2'!$A$8:$Y$17, E$2+4,false),if(countif('R4_G4'!$A$8:$A$17,$A84)=1,vlookup($A84,'R4_G4'!$A$8:$Y$17, E$2+4,false),""))))</f>
        <v>7</v>
      </c>
      <c r="F84" s="1437">
        <f>if(countif('R4_G1'!$A$8:$A$17,$A84)=1,vlookup($A84,'R4_G1'!$A$8:$Y$17, F$2+4,false),if(countif('R4_G3'!$A$8:$A$17,$A84)=1,vlookup($A84,'R4_G3'!$A$8:$Y$17, F$2+4,false),if(countif('R4_G2'!$A$8:$A$17,$A84)=1,vlookup($A84,'R4_G2'!$A$8:$Y$17, F$2+4,false),if(countif('R4_G4'!$A$8:$A$17,$A84)=1,vlookup($A84,'R4_G4'!$A$8:$Y$17, F$2+4,false),""))))</f>
        <v>9</v>
      </c>
      <c r="G84" s="1437">
        <f>if(countif('R4_G1'!$A$8:$A$17,$A84)=1,vlookup($A84,'R4_G1'!$A$8:$Y$17, G$2+4,false),if(countif('R4_G3'!$A$8:$A$17,$A84)=1,vlookup($A84,'R4_G3'!$A$8:$Y$17, G$2+4,false),if(countif('R4_G2'!$A$8:$A$17,$A84)=1,vlookup($A84,'R4_G2'!$A$8:$Y$17, G$2+4,false),if(countif('R4_G4'!$A$8:$A$17,$A84)=1,vlookup($A84,'R4_G4'!$A$8:$Y$17, G$2+4,false),""))))</f>
        <v>4</v>
      </c>
      <c r="H84" s="1437">
        <f>if(countif('R4_G1'!$A$8:$A$17,$A84)=1,vlookup($A84,'R4_G1'!$A$8:$Y$17, H$2+4,false),if(countif('R4_G3'!$A$8:$A$17,$A84)=1,vlookup($A84,'R4_G3'!$A$8:$Y$17, H$2+4,false),if(countif('R4_G2'!$A$8:$A$17,$A84)=1,vlookup($A84,'R4_G2'!$A$8:$Y$17, H$2+4,false),if(countif('R4_G4'!$A$8:$A$17,$A84)=1,vlookup($A84,'R4_G4'!$A$8:$Y$17, H$2+4,false),""))))</f>
        <v>6</v>
      </c>
      <c r="I84" s="1437">
        <f>if(countif('R4_G1'!$A$8:$A$17,$A84)=1,vlookup($A84,'R4_G1'!$A$8:$Y$17, I$2+4,false),if(countif('R4_G3'!$A$8:$A$17,$A84)=1,vlookup($A84,'R4_G3'!$A$8:$Y$17, I$2+4,false),if(countif('R4_G2'!$A$8:$A$17,$A84)=1,vlookup($A84,'R4_G2'!$A$8:$Y$17, I$2+4,false),if(countif('R4_G4'!$A$8:$A$17,$A84)=1,vlookup($A84,'R4_G4'!$A$8:$Y$17, I$2+4,false),""))))</f>
        <v>6</v>
      </c>
      <c r="J84" s="1437">
        <f>if(countif('R4_G1'!$A$8:$A$17,$A84)=1,vlookup($A84,'R4_G1'!$A$8:$Y$17, J$2+4,false),if(countif('R4_G3'!$A$8:$A$17,$A84)=1,vlookup($A84,'R4_G3'!$A$8:$Y$17, J$2+4,false),if(countif('R4_G2'!$A$8:$A$17,$A84)=1,vlookup($A84,'R4_G2'!$A$8:$Y$17, J$2+4,false),if(countif('R4_G4'!$A$8:$A$17,$A84)=1,vlookup($A84,'R4_G4'!$A$8:$Y$17, J$2+4,false),""))))</f>
        <v>8</v>
      </c>
      <c r="K84" s="1437">
        <f>if(countif('R4_G1'!$A$8:$A$17,$A84)=1,vlookup($A84,'R4_G1'!$A$8:$Y$17, K$2+4,false),if(countif('R4_G3'!$A$8:$A$17,$A84)=1,vlookup($A84,'R4_G3'!$A$8:$Y$17, K$2+4,false),if(countif('R4_G2'!$A$8:$A$17,$A84)=1,vlookup($A84,'R4_G2'!$A$8:$Y$17, K$2+4,false),if(countif('R4_G4'!$A$8:$A$17,$A84)=1,vlookup($A84,'R4_G4'!$A$8:$Y$17, K$2+4,false),""))))</f>
        <v>3</v>
      </c>
      <c r="L84" s="1437">
        <f>if(countif('R4_G1'!$A$8:$A$17,$A84)=1,vlookup($A84,'R4_G1'!$A$8:$Y$17, L$2+4,false),if(countif('R4_G3'!$A$8:$A$17,$A84)=1,vlookup($A84,'R4_G3'!$A$8:$Y$17, L$2+4,false),if(countif('R4_G2'!$A$8:$A$17,$A84)=1,vlookup($A84,'R4_G2'!$A$8:$Y$17, L$2+4,false),if(countif('R4_G4'!$A$8:$A$17,$A84)=1,vlookup($A84,'R4_G4'!$A$8:$Y$17, L$2+4,false),""))))</f>
        <v>7</v>
      </c>
      <c r="M84" s="1437">
        <f>if(countif('R4_G1'!$A$8:$A$17,$A84)=1,vlookup($A84,'R4_G1'!$A$8:$Y$17, M$2+4,false),if(countif('R4_G3'!$A$8:$A$17,$A84)=1,vlookup($A84,'R4_G3'!$A$8:$Y$17, M$2+4,false),if(countif('R4_G2'!$A$8:$A$17,$A84)=1,vlookup($A84,'R4_G2'!$A$8:$Y$17, M$2+4,false),if(countif('R4_G4'!$A$8:$A$17,$A84)=1,vlookup($A84,'R4_G4'!$A$8:$Y$17, M$2+4,false),""))))</f>
        <v>8</v>
      </c>
      <c r="N84" s="1426">
        <f>if(countif('R4_G1'!$A$8:$A$17,$A84)=1,vlookup($A84,'R4_G1'!$A$8:$Y$17, N$2+7,false),if(countif('R4_G3'!$A$8:$A$17,$A84)=1,vlookup($A84,'R4_G3'!$A$8:$Y$17, N$2+7,false),if(countif('R4_G2'!$A$8:$A$17,$A84)=1,vlookup($A84,'R4_G2'!$A$8:$Y$17, N$2+7,false),if(countif('R4_G4'!$A$8:$A$17,$A84)=1,vlookup($A84,'R4_G4'!$A$8:$Y$17, N$2+7,false),""))))</f>
        <v>7</v>
      </c>
      <c r="O84" s="1426">
        <f>if(countif('R4_G1'!$A$8:$A$17,$A84)=1,vlookup($A84,'R4_G1'!$A$8:$Y$17, O$2+7,false),if(countif('R4_G3'!$A$8:$A$17,$A84)=1,vlookup($A84,'R4_G3'!$A$8:$Y$17, O$2+7,false),if(countif('R4_G2'!$A$8:$A$17,$A84)=1,vlookup($A84,'R4_G2'!$A$8:$Y$17, O$2+7,false),if(countif('R4_G4'!$A$8:$A$17,$A84)=1,vlookup($A84,'R4_G4'!$A$8:$Y$17, O$2+7,false),""))))</f>
        <v>4</v>
      </c>
      <c r="P84" s="1426">
        <f>if(countif('R4_G1'!$A$8:$A$17,$A84)=1,vlookup($A84,'R4_G1'!$A$8:$Y$17, P$2+7,false),if(countif('R4_G3'!$A$8:$A$17,$A84)=1,vlookup($A84,'R4_G3'!$A$8:$Y$17, P$2+7,false),if(countif('R4_G2'!$A$8:$A$17,$A84)=1,vlookup($A84,'R4_G2'!$A$8:$Y$17, P$2+7,false),if(countif('R4_G4'!$A$8:$A$17,$A84)=1,vlookup($A84,'R4_G4'!$A$8:$Y$17, P$2+7,false),""))))</f>
        <v>4</v>
      </c>
      <c r="Q84" s="1426">
        <f>if(countif('R4_G1'!$A$8:$A$17,$A84)=1,vlookup($A84,'R4_G1'!$A$8:$Y$17, Q$2+7,false),if(countif('R4_G3'!$A$8:$A$17,$A84)=1,vlookup($A84,'R4_G3'!$A$8:$Y$17, Q$2+7,false),if(countif('R4_G2'!$A$8:$A$17,$A84)=1,vlookup($A84,'R4_G2'!$A$8:$Y$17, Q$2+7,false),if(countif('R4_G4'!$A$8:$A$17,$A84)=1,vlookup($A84,'R4_G4'!$A$8:$Y$17, Q$2+7,false),""))))</f>
        <v>8</v>
      </c>
      <c r="R84" s="1426">
        <f>if(countif('R4_G1'!$A$8:$A$17,$A84)=1,vlookup($A84,'R4_G1'!$A$8:$Y$17, R$2+7,false),if(countif('R4_G3'!$A$8:$A$17,$A84)=1,vlookup($A84,'R4_G3'!$A$8:$Y$17, R$2+7,false),if(countif('R4_G2'!$A$8:$A$17,$A84)=1,vlookup($A84,'R4_G2'!$A$8:$Y$17, R$2+7,false),if(countif('R4_G4'!$A$8:$A$17,$A84)=1,vlookup($A84,'R4_G4'!$A$8:$Y$17, R$2+7,false),""))))</f>
        <v>5</v>
      </c>
      <c r="S84" s="1426">
        <f>if(countif('R4_G1'!$A$8:$A$17,$A84)=1,vlookup($A84,'R4_G1'!$A$8:$Y$17, S$2+7,false),if(countif('R4_G3'!$A$8:$A$17,$A84)=1,vlookup($A84,'R4_G3'!$A$8:$Y$17, S$2+7,false),if(countif('R4_G2'!$A$8:$A$17,$A84)=1,vlookup($A84,'R4_G2'!$A$8:$Y$17, S$2+7,false),if(countif('R4_G4'!$A$8:$A$17,$A84)=1,vlookup($A84,'R4_G4'!$A$8:$Y$17, S$2+7,false),""))))</f>
        <v>3</v>
      </c>
      <c r="T84" s="1426">
        <f>if(countif('R4_G1'!$A$8:$A$17,$A84)=1,vlookup($A84,'R4_G1'!$A$8:$Y$17, T$2+7,false),if(countif('R4_G3'!$A$8:$A$17,$A84)=1,vlookup($A84,'R4_G3'!$A$8:$Y$17, T$2+7,false),if(countif('R4_G2'!$A$8:$A$17,$A84)=1,vlookup($A84,'R4_G2'!$A$8:$Y$17, T$2+7,false),if(countif('R4_G4'!$A$8:$A$17,$A84)=1,vlookup($A84,'R4_G4'!$A$8:$Y$17, T$2+7,false),""))))</f>
        <v>6</v>
      </c>
      <c r="U84" s="1426">
        <f>if(countif('R4_G1'!$A$8:$A$17,$A84)=1,vlookup($A84,'R4_G1'!$A$8:$Y$17, U$2+7,false),if(countif('R4_G3'!$A$8:$A$17,$A84)=1,vlookup($A84,'R4_G3'!$A$8:$Y$17, U$2+7,false),if(countif('R4_G2'!$A$8:$A$17,$A84)=1,vlookup($A84,'R4_G2'!$A$8:$Y$17, U$2+7,false),if(countif('R4_G4'!$A$8:$A$17,$A84)=1,vlookup($A84,'R4_G4'!$A$8:$Y$17, U$2+7,false),""))))</f>
        <v>6</v>
      </c>
      <c r="V84" s="1426">
        <f>if(countif('R4_G1'!$A$8:$A$17,$A84)=1,vlookup($A84,'R4_G1'!$A$8:$Y$17, V$2+7,false),if(countif('R4_G3'!$A$8:$A$17,$A84)=1,vlookup($A84,'R4_G3'!$A$8:$Y$17, V$2+7,false),if(countif('R4_G2'!$A$8:$A$17,$A84)=1,vlookup($A84,'R4_G2'!$A$8:$Y$17, V$2+7,false),if(countif('R4_G4'!$A$8:$A$17,$A84)=1,vlookup($A84,'R4_G4'!$A$8:$Y$17, V$2+7,false),""))))</f>
        <v>5</v>
      </c>
      <c r="W84" s="1438">
        <f t="shared" si="113"/>
        <v>58</v>
      </c>
      <c r="X84" s="1438">
        <f t="shared" si="114"/>
        <v>48</v>
      </c>
      <c r="Y84" s="1438">
        <f t="shared" si="119"/>
        <v>106</v>
      </c>
      <c r="Z84" s="1438">
        <f t="shared" si="120"/>
        <v>72</v>
      </c>
      <c r="AA84" s="1438">
        <f t="shared" si="121"/>
        <v>106</v>
      </c>
      <c r="AB84" s="1567"/>
      <c r="AC84" s="1434" t="str">
        <f t="shared" si="122"/>
        <v>Saugy</v>
      </c>
      <c r="AD84" s="1435">
        <f>VLOOKUP(AC84,'Master Input'!$A$11:$L$27,12,false)</f>
        <v>34</v>
      </c>
      <c r="AE84" s="1434" t="s">
        <v>266</v>
      </c>
      <c r="AF84" s="1401"/>
      <c r="AG84" s="1438">
        <f t="shared" ref="AG84:AX84" si="137">if(E84="","",E84-IF($B84&gt;0,FLOOR($B84/18,1),0)-IF(AND(MOD($B84,18)&gt;=E$75,$B84&gt;0),1,0)+IF(E$75-18&gt;$B84,1,0))</f>
        <v>5</v>
      </c>
      <c r="AH84" s="1438">
        <f t="shared" si="137"/>
        <v>8</v>
      </c>
      <c r="AI84" s="1438">
        <f t="shared" si="137"/>
        <v>2</v>
      </c>
      <c r="AJ84" s="1438">
        <f t="shared" si="137"/>
        <v>4</v>
      </c>
      <c r="AK84" s="1438">
        <f t="shared" si="137"/>
        <v>4</v>
      </c>
      <c r="AL84" s="1438">
        <f t="shared" si="137"/>
        <v>6</v>
      </c>
      <c r="AM84" s="1438">
        <f t="shared" si="137"/>
        <v>1</v>
      </c>
      <c r="AN84" s="1438">
        <f t="shared" si="137"/>
        <v>5</v>
      </c>
      <c r="AO84" s="1438">
        <f t="shared" si="137"/>
        <v>6</v>
      </c>
      <c r="AP84" s="1426">
        <f t="shared" si="137"/>
        <v>5</v>
      </c>
      <c r="AQ84" s="1426">
        <f t="shared" si="137"/>
        <v>2</v>
      </c>
      <c r="AR84" s="1426">
        <f t="shared" si="137"/>
        <v>2</v>
      </c>
      <c r="AS84" s="1426">
        <f t="shared" si="137"/>
        <v>6</v>
      </c>
      <c r="AT84" s="1426">
        <f t="shared" si="137"/>
        <v>3</v>
      </c>
      <c r="AU84" s="1426">
        <f t="shared" si="137"/>
        <v>1</v>
      </c>
      <c r="AV84" s="1426">
        <f t="shared" si="137"/>
        <v>4</v>
      </c>
      <c r="AW84" s="1426">
        <f t="shared" si="137"/>
        <v>4</v>
      </c>
      <c r="AX84" s="1426">
        <f t="shared" si="137"/>
        <v>4</v>
      </c>
      <c r="AY84" s="1438">
        <f t="shared" si="116"/>
        <v>41</v>
      </c>
      <c r="AZ84" s="1438">
        <f t="shared" si="117"/>
        <v>31</v>
      </c>
      <c r="BA84" s="1438">
        <f t="shared" si="124"/>
        <v>72</v>
      </c>
      <c r="BB84" s="1436" t="str">
        <f>if(countif('R4_G1'!$A$8:$A$17,$A84)=1, if(and(BA84=Z84,BA84=vlookup($A84,'R4_G1'!$A$8:$AB$17, 28,false)),"yes","no"),
if(countif('R4_G3'!$A$8:$A$17,$A84)=1, if(and(BA84=Z84,BA84=vlookup($A84,'R4_G3'!$A$8:$AB$17, 28,false)),"yes","no"),
if(countif('R4_G2'!$A$8:$A$17,$A84)=1, if(and(BA84=Z84,BA84=vlookup($A84,'R4_G2'!$A$8:$AB$17, 28,false)),"yes","no"),
if(countif('R4_G4'!$A$8:$A$17,$A84)=1, if(and(BA84=Z84,BA84=vlookup($A84,'R4_G4'!$A$8:$AB$17, 28,false)),"yes","no"),
"?"))))
</f>
        <v>yes</v>
      </c>
      <c r="BC84" s="1567"/>
      <c r="BD84" s="1439">
        <f t="shared" si="125"/>
        <v>8.5</v>
      </c>
      <c r="BE84" s="1440">
        <f t="shared" si="126"/>
        <v>9.866666667</v>
      </c>
      <c r="BF84" s="1440">
        <f t="shared" si="127"/>
        <v>4</v>
      </c>
      <c r="BG84" s="1440">
        <f t="shared" si="128"/>
        <v>3</v>
      </c>
      <c r="BH84" s="1440">
        <f t="shared" si="129"/>
        <v>3</v>
      </c>
      <c r="BI84" s="1440">
        <f t="shared" si="130"/>
        <v>6</v>
      </c>
      <c r="BJ84" s="1440">
        <f t="shared" si="131"/>
        <v>2</v>
      </c>
    </row>
    <row r="85" ht="14.25" customHeight="1">
      <c r="A85" s="1423" t="str">
        <f t="shared" si="118"/>
        <v>Telly</v>
      </c>
      <c r="B85" s="1424">
        <f>VLOOKUP(A85,'Master Input'!$A$11:$L$27,12,false)</f>
        <v>6</v>
      </c>
      <c r="C85" s="1430"/>
      <c r="D85" s="1401"/>
      <c r="E85" s="1426">
        <f>if(countif('R4_G1'!$A$8:$A$17,$A85)=1,vlookup($A85,'R4_G1'!$A$8:$Y$17, E$2+4,false),if(countif('R4_G3'!$A$8:$A$17,$A85)=1,vlookup($A85,'R4_G3'!$A$8:$Y$17, E$2+4,false),if(countif('R4_G2'!$A$8:$A$17,$A85)=1,vlookup($A85,'R4_G2'!$A$8:$Y$17, E$2+4,false),if(countif('R4_G4'!$A$8:$A$17,$A85)=1,vlookup($A85,'R4_G4'!$A$8:$Y$17, E$2+4,false),""))))</f>
        <v>4</v>
      </c>
      <c r="F85" s="1426">
        <f>if(countif('R4_G1'!$A$8:$A$17,$A85)=1,vlookup($A85,'R4_G1'!$A$8:$Y$17, F$2+4,false),if(countif('R4_G3'!$A$8:$A$17,$A85)=1,vlookup($A85,'R4_G3'!$A$8:$Y$17, F$2+4,false),if(countif('R4_G2'!$A$8:$A$17,$A85)=1,vlookup($A85,'R4_G2'!$A$8:$Y$17, F$2+4,false),if(countif('R4_G4'!$A$8:$A$17,$A85)=1,vlookup($A85,'R4_G4'!$A$8:$Y$17, F$2+4,false),""))))</f>
        <v>6</v>
      </c>
      <c r="G85" s="1426">
        <f>if(countif('R4_G1'!$A$8:$A$17,$A85)=1,vlookup($A85,'R4_G1'!$A$8:$Y$17, G$2+4,false),if(countif('R4_G3'!$A$8:$A$17,$A85)=1,vlookup($A85,'R4_G3'!$A$8:$Y$17, G$2+4,false),if(countif('R4_G2'!$A$8:$A$17,$A85)=1,vlookup($A85,'R4_G2'!$A$8:$Y$17, G$2+4,false),if(countif('R4_G4'!$A$8:$A$17,$A85)=1,vlookup($A85,'R4_G4'!$A$8:$Y$17, G$2+4,false),""))))</f>
        <v>6</v>
      </c>
      <c r="H85" s="1426">
        <f>if(countif('R4_G1'!$A$8:$A$17,$A85)=1,vlookup($A85,'R4_G1'!$A$8:$Y$17, H$2+4,false),if(countif('R4_G3'!$A$8:$A$17,$A85)=1,vlookup($A85,'R4_G3'!$A$8:$Y$17, H$2+4,false),if(countif('R4_G2'!$A$8:$A$17,$A85)=1,vlookup($A85,'R4_G2'!$A$8:$Y$17, H$2+4,false),if(countif('R4_G4'!$A$8:$A$17,$A85)=1,vlookup($A85,'R4_G4'!$A$8:$Y$17, H$2+4,false),""))))</f>
        <v>4</v>
      </c>
      <c r="I85" s="1426">
        <f>if(countif('R4_G1'!$A$8:$A$17,$A85)=1,vlookup($A85,'R4_G1'!$A$8:$Y$17, I$2+4,false),if(countif('R4_G3'!$A$8:$A$17,$A85)=1,vlookup($A85,'R4_G3'!$A$8:$Y$17, I$2+4,false),if(countif('R4_G2'!$A$8:$A$17,$A85)=1,vlookup($A85,'R4_G2'!$A$8:$Y$17, I$2+4,false),if(countif('R4_G4'!$A$8:$A$17,$A85)=1,vlookup($A85,'R4_G4'!$A$8:$Y$17, I$2+4,false),""))))</f>
        <v>5</v>
      </c>
      <c r="J85" s="1426">
        <f>if(countif('R4_G1'!$A$8:$A$17,$A85)=1,vlookup($A85,'R4_G1'!$A$8:$Y$17, J$2+4,false),if(countif('R4_G3'!$A$8:$A$17,$A85)=1,vlookup($A85,'R4_G3'!$A$8:$Y$17, J$2+4,false),if(countif('R4_G2'!$A$8:$A$17,$A85)=1,vlookup($A85,'R4_G2'!$A$8:$Y$17, J$2+4,false),if(countif('R4_G4'!$A$8:$A$17,$A85)=1,vlookup($A85,'R4_G4'!$A$8:$Y$17, J$2+4,false),""))))</f>
        <v>7</v>
      </c>
      <c r="K85" s="1426">
        <f>if(countif('R4_G1'!$A$8:$A$17,$A85)=1,vlookup($A85,'R4_G1'!$A$8:$Y$17, K$2+4,false),if(countif('R4_G3'!$A$8:$A$17,$A85)=1,vlookup($A85,'R4_G3'!$A$8:$Y$17, K$2+4,false),if(countif('R4_G2'!$A$8:$A$17,$A85)=1,vlookup($A85,'R4_G2'!$A$8:$Y$17, K$2+4,false),if(countif('R4_G4'!$A$8:$A$17,$A85)=1,vlookup($A85,'R4_G4'!$A$8:$Y$17, K$2+4,false),""))))</f>
        <v>3</v>
      </c>
      <c r="L85" s="1426">
        <f>if(countif('R4_G1'!$A$8:$A$17,$A85)=1,vlookup($A85,'R4_G1'!$A$8:$Y$17, L$2+4,false),if(countif('R4_G3'!$A$8:$A$17,$A85)=1,vlookup($A85,'R4_G3'!$A$8:$Y$17, L$2+4,false),if(countif('R4_G2'!$A$8:$A$17,$A85)=1,vlookup($A85,'R4_G2'!$A$8:$Y$17, L$2+4,false),if(countif('R4_G4'!$A$8:$A$17,$A85)=1,vlookup($A85,'R4_G4'!$A$8:$Y$17, L$2+4,false),""))))</f>
        <v>4</v>
      </c>
      <c r="M85" s="1426">
        <f>if(countif('R4_G1'!$A$8:$A$17,$A85)=1,vlookup($A85,'R4_G1'!$A$8:$Y$17, M$2+4,false),if(countif('R4_G3'!$A$8:$A$17,$A85)=1,vlookup($A85,'R4_G3'!$A$8:$Y$17, M$2+4,false),if(countif('R4_G2'!$A$8:$A$17,$A85)=1,vlookup($A85,'R4_G2'!$A$8:$Y$17, M$2+4,false),if(countif('R4_G4'!$A$8:$A$17,$A85)=1,vlookup($A85,'R4_G4'!$A$8:$Y$17, M$2+4,false),""))))</f>
        <v>6</v>
      </c>
      <c r="N85" s="1427">
        <f>if(countif('R4_G1'!$A$8:$A$17,$A85)=1,vlookup($A85,'R4_G1'!$A$8:$Y$17, N$2+7,false),if(countif('R4_G3'!$A$8:$A$17,$A85)=1,vlookup($A85,'R4_G3'!$A$8:$Y$17, N$2+7,false),if(countif('R4_G2'!$A$8:$A$17,$A85)=1,vlookup($A85,'R4_G2'!$A$8:$Y$17, N$2+7,false),if(countif('R4_G4'!$A$8:$A$17,$A85)=1,vlookup($A85,'R4_G4'!$A$8:$Y$17, N$2+7,false),""))))</f>
        <v>5</v>
      </c>
      <c r="O85" s="1427">
        <f>if(countif('R4_G1'!$A$8:$A$17,$A85)=1,vlookup($A85,'R4_G1'!$A$8:$Y$17, O$2+7,false),if(countif('R4_G3'!$A$8:$A$17,$A85)=1,vlookup($A85,'R4_G3'!$A$8:$Y$17, O$2+7,false),if(countif('R4_G2'!$A$8:$A$17,$A85)=1,vlookup($A85,'R4_G2'!$A$8:$Y$17, O$2+7,false),if(countif('R4_G4'!$A$8:$A$17,$A85)=1,vlookup($A85,'R4_G4'!$A$8:$Y$17, O$2+7,false),""))))</f>
        <v>4</v>
      </c>
      <c r="P85" s="1427">
        <f>if(countif('R4_G1'!$A$8:$A$17,$A85)=1,vlookup($A85,'R4_G1'!$A$8:$Y$17, P$2+7,false),if(countif('R4_G3'!$A$8:$A$17,$A85)=1,vlookup($A85,'R4_G3'!$A$8:$Y$17, P$2+7,false),if(countif('R4_G2'!$A$8:$A$17,$A85)=1,vlookup($A85,'R4_G2'!$A$8:$Y$17, P$2+7,false),if(countif('R4_G4'!$A$8:$A$17,$A85)=1,vlookup($A85,'R4_G4'!$A$8:$Y$17, P$2+7,false),""))))</f>
        <v>3</v>
      </c>
      <c r="Q85" s="1427">
        <f>if(countif('R4_G1'!$A$8:$A$17,$A85)=1,vlookup($A85,'R4_G1'!$A$8:$Y$17, Q$2+7,false),if(countif('R4_G3'!$A$8:$A$17,$A85)=1,vlookup($A85,'R4_G3'!$A$8:$Y$17, Q$2+7,false),if(countif('R4_G2'!$A$8:$A$17,$A85)=1,vlookup($A85,'R4_G2'!$A$8:$Y$17, Q$2+7,false),if(countif('R4_G4'!$A$8:$A$17,$A85)=1,vlookup($A85,'R4_G4'!$A$8:$Y$17, Q$2+7,false),""))))</f>
        <v>5</v>
      </c>
      <c r="R85" s="1427">
        <f>if(countif('R4_G1'!$A$8:$A$17,$A85)=1,vlookup($A85,'R4_G1'!$A$8:$Y$17, R$2+7,false),if(countif('R4_G3'!$A$8:$A$17,$A85)=1,vlookup($A85,'R4_G3'!$A$8:$Y$17, R$2+7,false),if(countif('R4_G2'!$A$8:$A$17,$A85)=1,vlookup($A85,'R4_G2'!$A$8:$Y$17, R$2+7,false),if(countif('R4_G4'!$A$8:$A$17,$A85)=1,vlookup($A85,'R4_G4'!$A$8:$Y$17, R$2+7,false),""))))</f>
        <v>6</v>
      </c>
      <c r="S85" s="1427">
        <f>if(countif('R4_G1'!$A$8:$A$17,$A85)=1,vlookup($A85,'R4_G1'!$A$8:$Y$17, S$2+7,false),if(countif('R4_G3'!$A$8:$A$17,$A85)=1,vlookup($A85,'R4_G3'!$A$8:$Y$17, S$2+7,false),if(countif('R4_G2'!$A$8:$A$17,$A85)=1,vlookup($A85,'R4_G2'!$A$8:$Y$17, S$2+7,false),if(countif('R4_G4'!$A$8:$A$17,$A85)=1,vlookup($A85,'R4_G4'!$A$8:$Y$17, S$2+7,false),""))))</f>
        <v>3</v>
      </c>
      <c r="T85" s="1427">
        <f>if(countif('R4_G1'!$A$8:$A$17,$A85)=1,vlookup($A85,'R4_G1'!$A$8:$Y$17, T$2+7,false),if(countif('R4_G3'!$A$8:$A$17,$A85)=1,vlookup($A85,'R4_G3'!$A$8:$Y$17, T$2+7,false),if(countif('R4_G2'!$A$8:$A$17,$A85)=1,vlookup($A85,'R4_G2'!$A$8:$Y$17, T$2+7,false),if(countif('R4_G4'!$A$8:$A$17,$A85)=1,vlookup($A85,'R4_G4'!$A$8:$Y$17, T$2+7,false),""))))</f>
        <v>4</v>
      </c>
      <c r="U85" s="1427">
        <f>if(countif('R4_G1'!$A$8:$A$17,$A85)=1,vlookup($A85,'R4_G1'!$A$8:$Y$17, U$2+7,false),if(countif('R4_G3'!$A$8:$A$17,$A85)=1,vlookup($A85,'R4_G3'!$A$8:$Y$17, U$2+7,false),if(countif('R4_G2'!$A$8:$A$17,$A85)=1,vlookup($A85,'R4_G2'!$A$8:$Y$17, U$2+7,false),if(countif('R4_G4'!$A$8:$A$17,$A85)=1,vlookup($A85,'R4_G4'!$A$8:$Y$17, U$2+7,false),""))))</f>
        <v>4</v>
      </c>
      <c r="V85" s="1427">
        <f>if(countif('R4_G1'!$A$8:$A$17,$A85)=1,vlookup($A85,'R4_G1'!$A$8:$Y$17, V$2+7,false),if(countif('R4_G3'!$A$8:$A$17,$A85)=1,vlookup($A85,'R4_G3'!$A$8:$Y$17, V$2+7,false),if(countif('R4_G2'!$A$8:$A$17,$A85)=1,vlookup($A85,'R4_G2'!$A$8:$Y$17, V$2+7,false),if(countif('R4_G4'!$A$8:$A$17,$A85)=1,vlookup($A85,'R4_G4'!$A$8:$Y$17, V$2+7,false),""))))</f>
        <v>3</v>
      </c>
      <c r="W85" s="1428">
        <f t="shared" si="113"/>
        <v>45</v>
      </c>
      <c r="X85" s="1428">
        <f t="shared" si="114"/>
        <v>37</v>
      </c>
      <c r="Y85" s="1428">
        <f t="shared" si="119"/>
        <v>82</v>
      </c>
      <c r="Z85" s="1428">
        <f t="shared" si="120"/>
        <v>76</v>
      </c>
      <c r="AA85" s="1438">
        <f t="shared" si="121"/>
        <v>82</v>
      </c>
      <c r="AB85" s="1567"/>
      <c r="AC85" s="1423" t="str">
        <f t="shared" si="122"/>
        <v>Telly</v>
      </c>
      <c r="AD85" s="1424">
        <f>VLOOKUP(AC85,'Master Input'!$A$11:$L$27,12,false)</f>
        <v>6</v>
      </c>
      <c r="AE85" s="1423" t="s">
        <v>266</v>
      </c>
      <c r="AF85" s="1401"/>
      <c r="AG85" s="1428">
        <f t="shared" ref="AG85:AX85" si="138">if(E85="","",E85-IF($B85&gt;0,FLOOR($B85/18,1),0)-IF(AND(MOD($B85,18)&gt;=E$75,$B85&gt;0),1,0)+IF(E$75-18&gt;$B85,1,0))</f>
        <v>4</v>
      </c>
      <c r="AH85" s="1428">
        <f t="shared" si="138"/>
        <v>6</v>
      </c>
      <c r="AI85" s="1428">
        <f t="shared" si="138"/>
        <v>5</v>
      </c>
      <c r="AJ85" s="1428">
        <f t="shared" si="138"/>
        <v>4</v>
      </c>
      <c r="AK85" s="1428">
        <f t="shared" si="138"/>
        <v>4</v>
      </c>
      <c r="AL85" s="1428">
        <f t="shared" si="138"/>
        <v>7</v>
      </c>
      <c r="AM85" s="1428">
        <f t="shared" si="138"/>
        <v>3</v>
      </c>
      <c r="AN85" s="1428">
        <f t="shared" si="138"/>
        <v>3</v>
      </c>
      <c r="AO85" s="1428">
        <f t="shared" si="138"/>
        <v>6</v>
      </c>
      <c r="AP85" s="1429">
        <f t="shared" si="138"/>
        <v>4</v>
      </c>
      <c r="AQ85" s="1429">
        <f t="shared" si="138"/>
        <v>4</v>
      </c>
      <c r="AR85" s="1429">
        <f t="shared" si="138"/>
        <v>3</v>
      </c>
      <c r="AS85" s="1429">
        <f t="shared" si="138"/>
        <v>5</v>
      </c>
      <c r="AT85" s="1429">
        <f t="shared" si="138"/>
        <v>6</v>
      </c>
      <c r="AU85" s="1429">
        <f t="shared" si="138"/>
        <v>3</v>
      </c>
      <c r="AV85" s="1429">
        <f t="shared" si="138"/>
        <v>3</v>
      </c>
      <c r="AW85" s="1429">
        <f t="shared" si="138"/>
        <v>3</v>
      </c>
      <c r="AX85" s="1429">
        <f t="shared" si="138"/>
        <v>3</v>
      </c>
      <c r="AY85" s="1428">
        <f t="shared" si="116"/>
        <v>42</v>
      </c>
      <c r="AZ85" s="1428">
        <f t="shared" si="117"/>
        <v>34</v>
      </c>
      <c r="BA85" s="1428">
        <f t="shared" si="124"/>
        <v>76</v>
      </c>
      <c r="BB85" s="1430" t="str">
        <f>if(countif('R4_G1'!$A$8:$A$17,$A85)=1, if(and(BA85=Z85,BA85=vlookup($A85,'R4_G1'!$A$8:$AB$17, 28,false)),"yes","no"),
if(countif('R4_G3'!$A$8:$A$17,$A85)=1, if(and(BA85=Z85,BA85=vlookup($A85,'R4_G3'!$A$8:$AB$17, 28,false)),"yes","no"),
if(countif('R4_G2'!$A$8:$A$17,$A85)=1, if(and(BA85=Z85,BA85=vlookup($A85,'R4_G2'!$A$8:$AB$17, 28,false)),"yes","no"),
if(countif('R4_G4'!$A$8:$A$17,$A85)=1, if(and(BA85=Z85,BA85=vlookup($A85,'R4_G4'!$A$8:$AB$17, 28,false)),"yes","no"),
"?"))))
</f>
        <v>yes</v>
      </c>
      <c r="BC85" s="1567"/>
      <c r="BD85" s="1441">
        <f t="shared" si="125"/>
        <v>8</v>
      </c>
      <c r="BE85" s="1442">
        <f t="shared" si="126"/>
        <v>9.833333333</v>
      </c>
      <c r="BF85" s="1442">
        <f t="shared" si="127"/>
        <v>1</v>
      </c>
      <c r="BG85" s="1442">
        <f t="shared" si="128"/>
        <v>3</v>
      </c>
      <c r="BH85" s="1442">
        <f t="shared" si="129"/>
        <v>8</v>
      </c>
      <c r="BI85" s="1442">
        <f t="shared" si="130"/>
        <v>3</v>
      </c>
      <c r="BJ85" s="1442">
        <f t="shared" si="131"/>
        <v>3</v>
      </c>
    </row>
    <row r="86" ht="14.25" customHeight="1">
      <c r="A86" s="1434" t="str">
        <f t="shared" si="118"/>
        <v>KJ</v>
      </c>
      <c r="B86" s="1435">
        <f>VLOOKUP(A86,'Master Input'!$A$11:$L$27,12,false)</f>
        <v>8</v>
      </c>
      <c r="C86" s="1436"/>
      <c r="D86" s="1401"/>
      <c r="E86" s="1437">
        <f>if(countif('R4_G1'!$A$8:$A$17,$A86)=1,vlookup($A86,'R4_G1'!$A$8:$Y$17, E$2+4,false),if(countif('R4_G3'!$A$8:$A$17,$A86)=1,vlookup($A86,'R4_G3'!$A$8:$Y$17, E$2+4,false),if(countif('R4_G2'!$A$8:$A$17,$A86)=1,vlookup($A86,'R4_G2'!$A$8:$Y$17, E$2+4,false),if(countif('R4_G4'!$A$8:$A$17,$A86)=1,vlookup($A86,'R4_G4'!$A$8:$Y$17, E$2+4,false),""))))</f>
        <v>4</v>
      </c>
      <c r="F86" s="1437">
        <f>if(countif('R4_G1'!$A$8:$A$17,$A86)=1,vlookup($A86,'R4_G1'!$A$8:$Y$17, F$2+4,false),if(countif('R4_G3'!$A$8:$A$17,$A86)=1,vlookup($A86,'R4_G3'!$A$8:$Y$17, F$2+4,false),if(countif('R4_G2'!$A$8:$A$17,$A86)=1,vlookup($A86,'R4_G2'!$A$8:$Y$17, F$2+4,false),if(countif('R4_G4'!$A$8:$A$17,$A86)=1,vlookup($A86,'R4_G4'!$A$8:$Y$17, F$2+4,false),""))))</f>
        <v>5</v>
      </c>
      <c r="G86" s="1437">
        <f>if(countif('R4_G1'!$A$8:$A$17,$A86)=1,vlookup($A86,'R4_G1'!$A$8:$Y$17, G$2+4,false),if(countif('R4_G3'!$A$8:$A$17,$A86)=1,vlookup($A86,'R4_G3'!$A$8:$Y$17, G$2+4,false),if(countif('R4_G2'!$A$8:$A$17,$A86)=1,vlookup($A86,'R4_G2'!$A$8:$Y$17, G$2+4,false),if(countif('R4_G4'!$A$8:$A$17,$A86)=1,vlookup($A86,'R4_G4'!$A$8:$Y$17, G$2+4,false),""))))</f>
        <v>5</v>
      </c>
      <c r="H86" s="1437">
        <f>if(countif('R4_G1'!$A$8:$A$17,$A86)=1,vlookup($A86,'R4_G1'!$A$8:$Y$17, H$2+4,false),if(countif('R4_G3'!$A$8:$A$17,$A86)=1,vlookup($A86,'R4_G3'!$A$8:$Y$17, H$2+4,false),if(countif('R4_G2'!$A$8:$A$17,$A86)=1,vlookup($A86,'R4_G2'!$A$8:$Y$17, H$2+4,false),if(countif('R4_G4'!$A$8:$A$17,$A86)=1,vlookup($A86,'R4_G4'!$A$8:$Y$17, H$2+4,false),""))))</f>
        <v>4</v>
      </c>
      <c r="I86" s="1437">
        <f>if(countif('R4_G1'!$A$8:$A$17,$A86)=1,vlookup($A86,'R4_G1'!$A$8:$Y$17, I$2+4,false),if(countif('R4_G3'!$A$8:$A$17,$A86)=1,vlookup($A86,'R4_G3'!$A$8:$Y$17, I$2+4,false),if(countif('R4_G2'!$A$8:$A$17,$A86)=1,vlookup($A86,'R4_G2'!$A$8:$Y$17, I$2+4,false),if(countif('R4_G4'!$A$8:$A$17,$A86)=1,vlookup($A86,'R4_G4'!$A$8:$Y$17, I$2+4,false),""))))</f>
        <v>5</v>
      </c>
      <c r="J86" s="1437">
        <f>if(countif('R4_G1'!$A$8:$A$17,$A86)=1,vlookup($A86,'R4_G1'!$A$8:$Y$17, J$2+4,false),if(countif('R4_G3'!$A$8:$A$17,$A86)=1,vlookup($A86,'R4_G3'!$A$8:$Y$17, J$2+4,false),if(countif('R4_G2'!$A$8:$A$17,$A86)=1,vlookup($A86,'R4_G2'!$A$8:$Y$17, J$2+4,false),if(countif('R4_G4'!$A$8:$A$17,$A86)=1,vlookup($A86,'R4_G4'!$A$8:$Y$17, J$2+4,false),""))))</f>
        <v>5</v>
      </c>
      <c r="K86" s="1437">
        <f>if(countif('R4_G1'!$A$8:$A$17,$A86)=1,vlookup($A86,'R4_G1'!$A$8:$Y$17, K$2+4,false),if(countif('R4_G3'!$A$8:$A$17,$A86)=1,vlookup($A86,'R4_G3'!$A$8:$Y$17, K$2+4,false),if(countif('R4_G2'!$A$8:$A$17,$A86)=1,vlookup($A86,'R4_G2'!$A$8:$Y$17, K$2+4,false),if(countif('R4_G4'!$A$8:$A$17,$A86)=1,vlookup($A86,'R4_G4'!$A$8:$Y$17, K$2+4,false),""))))</f>
        <v>2</v>
      </c>
      <c r="L86" s="1437">
        <f>if(countif('R4_G1'!$A$8:$A$17,$A86)=1,vlookup($A86,'R4_G1'!$A$8:$Y$17, L$2+4,false),if(countif('R4_G3'!$A$8:$A$17,$A86)=1,vlookup($A86,'R4_G3'!$A$8:$Y$17, L$2+4,false),if(countif('R4_G2'!$A$8:$A$17,$A86)=1,vlookup($A86,'R4_G2'!$A$8:$Y$17, L$2+4,false),if(countif('R4_G4'!$A$8:$A$17,$A86)=1,vlookup($A86,'R4_G4'!$A$8:$Y$17, L$2+4,false),""))))</f>
        <v>4</v>
      </c>
      <c r="M86" s="1437">
        <f>if(countif('R4_G1'!$A$8:$A$17,$A86)=1,vlookup($A86,'R4_G1'!$A$8:$Y$17, M$2+4,false),if(countif('R4_G3'!$A$8:$A$17,$A86)=1,vlookup($A86,'R4_G3'!$A$8:$Y$17, M$2+4,false),if(countif('R4_G2'!$A$8:$A$17,$A86)=1,vlookup($A86,'R4_G2'!$A$8:$Y$17, M$2+4,false),if(countif('R4_G4'!$A$8:$A$17,$A86)=1,vlookup($A86,'R4_G4'!$A$8:$Y$17, M$2+4,false),""))))</f>
        <v>3</v>
      </c>
      <c r="N86" s="1426">
        <f>if(countif('R4_G1'!$A$8:$A$17,$A86)=1,vlookup($A86,'R4_G1'!$A$8:$Y$17, N$2+7,false),if(countif('R4_G3'!$A$8:$A$17,$A86)=1,vlookup($A86,'R4_G3'!$A$8:$Y$17, N$2+7,false),if(countif('R4_G2'!$A$8:$A$17,$A86)=1,vlookup($A86,'R4_G2'!$A$8:$Y$17, N$2+7,false),if(countif('R4_G4'!$A$8:$A$17,$A86)=1,vlookup($A86,'R4_G4'!$A$8:$Y$17, N$2+7,false),""))))</f>
        <v>4</v>
      </c>
      <c r="O86" s="1426">
        <f>if(countif('R4_G1'!$A$8:$A$17,$A86)=1,vlookup($A86,'R4_G1'!$A$8:$Y$17, O$2+7,false),if(countif('R4_G3'!$A$8:$A$17,$A86)=1,vlookup($A86,'R4_G3'!$A$8:$Y$17, O$2+7,false),if(countif('R4_G2'!$A$8:$A$17,$A86)=1,vlookup($A86,'R4_G2'!$A$8:$Y$17, O$2+7,false),if(countif('R4_G4'!$A$8:$A$17,$A86)=1,vlookup($A86,'R4_G4'!$A$8:$Y$17, O$2+7,false),""))))</f>
        <v>4</v>
      </c>
      <c r="P86" s="1426">
        <f>if(countif('R4_G1'!$A$8:$A$17,$A86)=1,vlookup($A86,'R4_G1'!$A$8:$Y$17, P$2+7,false),if(countif('R4_G3'!$A$8:$A$17,$A86)=1,vlookup($A86,'R4_G3'!$A$8:$Y$17, P$2+7,false),if(countif('R4_G2'!$A$8:$A$17,$A86)=1,vlookup($A86,'R4_G2'!$A$8:$Y$17, P$2+7,false),if(countif('R4_G4'!$A$8:$A$17,$A86)=1,vlookup($A86,'R4_G4'!$A$8:$Y$17, P$2+7,false),""))))</f>
        <v>4</v>
      </c>
      <c r="Q86" s="1426">
        <f>if(countif('R4_G1'!$A$8:$A$17,$A86)=1,vlookup($A86,'R4_G1'!$A$8:$Y$17, Q$2+7,false),if(countif('R4_G3'!$A$8:$A$17,$A86)=1,vlookup($A86,'R4_G3'!$A$8:$Y$17, Q$2+7,false),if(countif('R4_G2'!$A$8:$A$17,$A86)=1,vlookup($A86,'R4_G2'!$A$8:$Y$17, Q$2+7,false),if(countif('R4_G4'!$A$8:$A$17,$A86)=1,vlookup($A86,'R4_G4'!$A$8:$Y$17, Q$2+7,false),""))))</f>
        <v>6</v>
      </c>
      <c r="R86" s="1426">
        <f>if(countif('R4_G1'!$A$8:$A$17,$A86)=1,vlookup($A86,'R4_G1'!$A$8:$Y$17, R$2+7,false),if(countif('R4_G3'!$A$8:$A$17,$A86)=1,vlookup($A86,'R4_G3'!$A$8:$Y$17, R$2+7,false),if(countif('R4_G2'!$A$8:$A$17,$A86)=1,vlookup($A86,'R4_G2'!$A$8:$Y$17, R$2+7,false),if(countif('R4_G4'!$A$8:$A$17,$A86)=1,vlookup($A86,'R4_G4'!$A$8:$Y$17, R$2+7,false),""))))</f>
        <v>6</v>
      </c>
      <c r="S86" s="1426">
        <f>if(countif('R4_G1'!$A$8:$A$17,$A86)=1,vlookup($A86,'R4_G1'!$A$8:$Y$17, S$2+7,false),if(countif('R4_G3'!$A$8:$A$17,$A86)=1,vlookup($A86,'R4_G3'!$A$8:$Y$17, S$2+7,false),if(countif('R4_G2'!$A$8:$A$17,$A86)=1,vlookup($A86,'R4_G2'!$A$8:$Y$17, S$2+7,false),if(countif('R4_G4'!$A$8:$A$17,$A86)=1,vlookup($A86,'R4_G4'!$A$8:$Y$17, S$2+7,false),""))))</f>
        <v>4</v>
      </c>
      <c r="T86" s="1426">
        <f>if(countif('R4_G1'!$A$8:$A$17,$A86)=1,vlookup($A86,'R4_G1'!$A$8:$Y$17, T$2+7,false),if(countif('R4_G3'!$A$8:$A$17,$A86)=1,vlookup($A86,'R4_G3'!$A$8:$Y$17, T$2+7,false),if(countif('R4_G2'!$A$8:$A$17,$A86)=1,vlookup($A86,'R4_G2'!$A$8:$Y$17, T$2+7,false),if(countif('R4_G4'!$A$8:$A$17,$A86)=1,vlookup($A86,'R4_G4'!$A$8:$Y$17, T$2+7,false),""))))</f>
        <v>5</v>
      </c>
      <c r="U86" s="1426">
        <f>if(countif('R4_G1'!$A$8:$A$17,$A86)=1,vlookup($A86,'R4_G1'!$A$8:$Y$17, U$2+7,false),if(countif('R4_G3'!$A$8:$A$17,$A86)=1,vlookup($A86,'R4_G3'!$A$8:$Y$17, U$2+7,false),if(countif('R4_G2'!$A$8:$A$17,$A86)=1,vlookup($A86,'R4_G2'!$A$8:$Y$17, U$2+7,false),if(countif('R4_G4'!$A$8:$A$17,$A86)=1,vlookup($A86,'R4_G4'!$A$8:$Y$17, U$2+7,false),""))))</f>
        <v>5</v>
      </c>
      <c r="V86" s="1426">
        <f>if(countif('R4_G1'!$A$8:$A$17,$A86)=1,vlookup($A86,'R4_G1'!$A$8:$Y$17, V$2+7,false),if(countif('R4_G3'!$A$8:$A$17,$A86)=1,vlookup($A86,'R4_G3'!$A$8:$Y$17, V$2+7,false),if(countif('R4_G2'!$A$8:$A$17,$A86)=1,vlookup($A86,'R4_G2'!$A$8:$Y$17, V$2+7,false),if(countif('R4_G4'!$A$8:$A$17,$A86)=1,vlookup($A86,'R4_G4'!$A$8:$Y$17, V$2+7,false),""))))</f>
        <v>4</v>
      </c>
      <c r="W86" s="1438">
        <f t="shared" si="113"/>
        <v>37</v>
      </c>
      <c r="X86" s="1438">
        <f t="shared" si="114"/>
        <v>42</v>
      </c>
      <c r="Y86" s="1438">
        <f t="shared" si="119"/>
        <v>79</v>
      </c>
      <c r="Z86" s="1438">
        <f t="shared" si="120"/>
        <v>71</v>
      </c>
      <c r="AA86" s="1438">
        <f t="shared" si="121"/>
        <v>79</v>
      </c>
      <c r="AB86" s="1567"/>
      <c r="AC86" s="1434" t="str">
        <f t="shared" si="122"/>
        <v>KJ</v>
      </c>
      <c r="AD86" s="1435">
        <f>VLOOKUP(AC86,'Master Input'!$A$11:$L$27,12,false)</f>
        <v>8</v>
      </c>
      <c r="AE86" s="1434" t="s">
        <v>266</v>
      </c>
      <c r="AF86" s="1401"/>
      <c r="AG86" s="1438">
        <f t="shared" ref="AG86:AX86" si="139">if(E86="","",E86-IF($B86&gt;0,FLOOR($B86/18,1),0)-IF(AND(MOD($B86,18)&gt;=E$75,$B86&gt;0),1,0)+IF(E$75-18&gt;$B86,1,0))</f>
        <v>4</v>
      </c>
      <c r="AH86" s="1438">
        <f t="shared" si="139"/>
        <v>5</v>
      </c>
      <c r="AI86" s="1438">
        <f t="shared" si="139"/>
        <v>4</v>
      </c>
      <c r="AJ86" s="1438">
        <f t="shared" si="139"/>
        <v>4</v>
      </c>
      <c r="AK86" s="1438">
        <f t="shared" si="139"/>
        <v>4</v>
      </c>
      <c r="AL86" s="1438">
        <f t="shared" si="139"/>
        <v>5</v>
      </c>
      <c r="AM86" s="1438">
        <f t="shared" si="139"/>
        <v>2</v>
      </c>
      <c r="AN86" s="1438">
        <f t="shared" si="139"/>
        <v>3</v>
      </c>
      <c r="AO86" s="1438">
        <f t="shared" si="139"/>
        <v>2</v>
      </c>
      <c r="AP86" s="1426">
        <f t="shared" si="139"/>
        <v>3</v>
      </c>
      <c r="AQ86" s="1426">
        <f t="shared" si="139"/>
        <v>4</v>
      </c>
      <c r="AR86" s="1426">
        <f t="shared" si="139"/>
        <v>4</v>
      </c>
      <c r="AS86" s="1426">
        <f t="shared" si="139"/>
        <v>6</v>
      </c>
      <c r="AT86" s="1426">
        <f t="shared" si="139"/>
        <v>5</v>
      </c>
      <c r="AU86" s="1426">
        <f t="shared" si="139"/>
        <v>4</v>
      </c>
      <c r="AV86" s="1426">
        <f t="shared" si="139"/>
        <v>4</v>
      </c>
      <c r="AW86" s="1426">
        <f t="shared" si="139"/>
        <v>4</v>
      </c>
      <c r="AX86" s="1426">
        <f t="shared" si="139"/>
        <v>4</v>
      </c>
      <c r="AY86" s="1438">
        <f t="shared" si="116"/>
        <v>33</v>
      </c>
      <c r="AZ86" s="1438">
        <f t="shared" si="117"/>
        <v>38</v>
      </c>
      <c r="BA86" s="1438">
        <f t="shared" si="124"/>
        <v>71</v>
      </c>
      <c r="BB86" s="1436" t="str">
        <f>if(countif('R4_G1'!$A$8:$A$17,$A86)=1, if(and(BA86=Z86,BA86=vlookup($A86,'R4_G1'!$A$8:$AB$17, 28,false)),"yes","no"),
if(countif('R4_G3'!$A$8:$A$17,$A86)=1, if(and(BA86=Z86,BA86=vlookup($A86,'R4_G3'!$A$8:$AB$17, 28,false)),"yes","no"),
if(countif('R4_G2'!$A$8:$A$17,$A86)=1, if(and(BA86=Z86,BA86=vlookup($A86,'R4_G2'!$A$8:$AB$17, 28,false)),"yes","no"),
if(countif('R4_G4'!$A$8:$A$17,$A86)=1, if(and(BA86=Z86,BA86=vlookup($A86,'R4_G4'!$A$8:$AB$17, 28,false)),"yes","no"),
"?"))))
</f>
        <v>yes</v>
      </c>
      <c r="BC86" s="1567"/>
      <c r="BD86" s="1439">
        <f t="shared" si="125"/>
        <v>9</v>
      </c>
      <c r="BE86" s="1440">
        <f t="shared" si="126"/>
        <v>10.9</v>
      </c>
      <c r="BF86" s="1440">
        <f t="shared" si="127"/>
        <v>1</v>
      </c>
      <c r="BG86" s="1440">
        <f t="shared" si="128"/>
        <v>4</v>
      </c>
      <c r="BH86" s="1440">
        <f t="shared" si="129"/>
        <v>8</v>
      </c>
      <c r="BI86" s="1440">
        <f t="shared" si="130"/>
        <v>5</v>
      </c>
      <c r="BJ86" s="1440">
        <f t="shared" si="131"/>
        <v>0</v>
      </c>
    </row>
    <row r="87" ht="14.25" customHeight="1">
      <c r="A87" s="1423" t="str">
        <f t="shared" si="118"/>
        <v>R-Mac</v>
      </c>
      <c r="B87" s="1424">
        <f>VLOOKUP(A87,'Master Input'!$A$11:$L$27,12,false)</f>
        <v>9</v>
      </c>
      <c r="C87" s="1430"/>
      <c r="D87" s="1401"/>
      <c r="E87" s="1426">
        <f>if(countif('R4_G1'!$A$8:$A$17,$A87)=1,vlookup($A87,'R4_G1'!$A$8:$Y$17, E$2+4,false),if(countif('R4_G3'!$A$8:$A$17,$A87)=1,vlookup($A87,'R4_G3'!$A$8:$Y$17, E$2+4,false),if(countif('R4_G2'!$A$8:$A$17,$A87)=1,vlookup($A87,'R4_G2'!$A$8:$Y$17, E$2+4,false),if(countif('R4_G4'!$A$8:$A$17,$A87)=1,vlookup($A87,'R4_G4'!$A$8:$Y$17, E$2+4,false),""))))</f>
        <v>3</v>
      </c>
      <c r="F87" s="1426">
        <f>if(countif('R4_G1'!$A$8:$A$17,$A87)=1,vlookup($A87,'R4_G1'!$A$8:$Y$17, F$2+4,false),if(countif('R4_G3'!$A$8:$A$17,$A87)=1,vlookup($A87,'R4_G3'!$A$8:$Y$17, F$2+4,false),if(countif('R4_G2'!$A$8:$A$17,$A87)=1,vlookup($A87,'R4_G2'!$A$8:$Y$17, F$2+4,false),if(countif('R4_G4'!$A$8:$A$17,$A87)=1,vlookup($A87,'R4_G4'!$A$8:$Y$17, F$2+4,false),""))))</f>
        <v>6</v>
      </c>
      <c r="G87" s="1426">
        <f>if(countif('R4_G1'!$A$8:$A$17,$A87)=1,vlookup($A87,'R4_G1'!$A$8:$Y$17, G$2+4,false),if(countif('R4_G3'!$A$8:$A$17,$A87)=1,vlookup($A87,'R4_G3'!$A$8:$Y$17, G$2+4,false),if(countif('R4_G2'!$A$8:$A$17,$A87)=1,vlookup($A87,'R4_G2'!$A$8:$Y$17, G$2+4,false),if(countif('R4_G4'!$A$8:$A$17,$A87)=1,vlookup($A87,'R4_G4'!$A$8:$Y$17, G$2+4,false),""))))</f>
        <v>7</v>
      </c>
      <c r="H87" s="1426">
        <f>if(countif('R4_G1'!$A$8:$A$17,$A87)=1,vlookup($A87,'R4_G1'!$A$8:$Y$17, H$2+4,false),if(countif('R4_G3'!$A$8:$A$17,$A87)=1,vlookup($A87,'R4_G3'!$A$8:$Y$17, H$2+4,false),if(countif('R4_G2'!$A$8:$A$17,$A87)=1,vlookup($A87,'R4_G2'!$A$8:$Y$17, H$2+4,false),if(countif('R4_G4'!$A$8:$A$17,$A87)=1,vlookup($A87,'R4_G4'!$A$8:$Y$17, H$2+4,false),""))))</f>
        <v>3</v>
      </c>
      <c r="I87" s="1426">
        <f>if(countif('R4_G1'!$A$8:$A$17,$A87)=1,vlookup($A87,'R4_G1'!$A$8:$Y$17, I$2+4,false),if(countif('R4_G3'!$A$8:$A$17,$A87)=1,vlookup($A87,'R4_G3'!$A$8:$Y$17, I$2+4,false),if(countif('R4_G2'!$A$8:$A$17,$A87)=1,vlookup($A87,'R4_G2'!$A$8:$Y$17, I$2+4,false),if(countif('R4_G4'!$A$8:$A$17,$A87)=1,vlookup($A87,'R4_G4'!$A$8:$Y$17, I$2+4,false),""))))</f>
        <v>6</v>
      </c>
      <c r="J87" s="1426">
        <f>if(countif('R4_G1'!$A$8:$A$17,$A87)=1,vlookup($A87,'R4_G1'!$A$8:$Y$17, J$2+4,false),if(countif('R4_G3'!$A$8:$A$17,$A87)=1,vlookup($A87,'R4_G3'!$A$8:$Y$17, J$2+4,false),if(countif('R4_G2'!$A$8:$A$17,$A87)=1,vlookup($A87,'R4_G2'!$A$8:$Y$17, J$2+4,false),if(countif('R4_G4'!$A$8:$A$17,$A87)=1,vlookup($A87,'R4_G4'!$A$8:$Y$17, J$2+4,false),""))))</f>
        <v>5</v>
      </c>
      <c r="K87" s="1426">
        <f>if(countif('R4_G1'!$A$8:$A$17,$A87)=1,vlookup($A87,'R4_G1'!$A$8:$Y$17, K$2+4,false),if(countif('R4_G3'!$A$8:$A$17,$A87)=1,vlookup($A87,'R4_G3'!$A$8:$Y$17, K$2+4,false),if(countif('R4_G2'!$A$8:$A$17,$A87)=1,vlookup($A87,'R4_G2'!$A$8:$Y$17, K$2+4,false),if(countif('R4_G4'!$A$8:$A$17,$A87)=1,vlookup($A87,'R4_G4'!$A$8:$Y$17, K$2+4,false),""))))</f>
        <v>4</v>
      </c>
      <c r="L87" s="1426">
        <f>if(countif('R4_G1'!$A$8:$A$17,$A87)=1,vlookup($A87,'R4_G1'!$A$8:$Y$17, L$2+4,false),if(countif('R4_G3'!$A$8:$A$17,$A87)=1,vlookup($A87,'R4_G3'!$A$8:$Y$17, L$2+4,false),if(countif('R4_G2'!$A$8:$A$17,$A87)=1,vlookup($A87,'R4_G2'!$A$8:$Y$17, L$2+4,false),if(countif('R4_G4'!$A$8:$A$17,$A87)=1,vlookup($A87,'R4_G4'!$A$8:$Y$17, L$2+4,false),""))))</f>
        <v>6</v>
      </c>
      <c r="M87" s="1426">
        <f>if(countif('R4_G1'!$A$8:$A$17,$A87)=1,vlookup($A87,'R4_G1'!$A$8:$Y$17, M$2+4,false),if(countif('R4_G3'!$A$8:$A$17,$A87)=1,vlookup($A87,'R4_G3'!$A$8:$Y$17, M$2+4,false),if(countif('R4_G2'!$A$8:$A$17,$A87)=1,vlookup($A87,'R4_G2'!$A$8:$Y$17, M$2+4,false),if(countif('R4_G4'!$A$8:$A$17,$A87)=1,vlookup($A87,'R4_G4'!$A$8:$Y$17, M$2+4,false),""))))</f>
        <v>5</v>
      </c>
      <c r="N87" s="1427">
        <f>if(countif('R4_G1'!$A$8:$A$17,$A87)=1,vlookup($A87,'R4_G1'!$A$8:$Y$17, N$2+7,false),if(countif('R4_G3'!$A$8:$A$17,$A87)=1,vlookup($A87,'R4_G3'!$A$8:$Y$17, N$2+7,false),if(countif('R4_G2'!$A$8:$A$17,$A87)=1,vlookup($A87,'R4_G2'!$A$8:$Y$17, N$2+7,false),if(countif('R4_G4'!$A$8:$A$17,$A87)=1,vlookup($A87,'R4_G4'!$A$8:$Y$17, N$2+7,false),""))))</f>
        <v>4</v>
      </c>
      <c r="O87" s="1427">
        <f>if(countif('R4_G1'!$A$8:$A$17,$A87)=1,vlookup($A87,'R4_G1'!$A$8:$Y$17, O$2+7,false),if(countif('R4_G3'!$A$8:$A$17,$A87)=1,vlookup($A87,'R4_G3'!$A$8:$Y$17, O$2+7,false),if(countif('R4_G2'!$A$8:$A$17,$A87)=1,vlookup($A87,'R4_G2'!$A$8:$Y$17, O$2+7,false),if(countif('R4_G4'!$A$8:$A$17,$A87)=1,vlookup($A87,'R4_G4'!$A$8:$Y$17, O$2+7,false),""))))</f>
        <v>5</v>
      </c>
      <c r="P87" s="1427">
        <f>if(countif('R4_G1'!$A$8:$A$17,$A87)=1,vlookup($A87,'R4_G1'!$A$8:$Y$17, P$2+7,false),if(countif('R4_G3'!$A$8:$A$17,$A87)=1,vlookup($A87,'R4_G3'!$A$8:$Y$17, P$2+7,false),if(countif('R4_G2'!$A$8:$A$17,$A87)=1,vlookup($A87,'R4_G2'!$A$8:$Y$17, P$2+7,false),if(countif('R4_G4'!$A$8:$A$17,$A87)=1,vlookup($A87,'R4_G4'!$A$8:$Y$17, P$2+7,false),""))))</f>
        <v>3</v>
      </c>
      <c r="Q87" s="1427">
        <f>if(countif('R4_G1'!$A$8:$A$17,$A87)=1,vlookup($A87,'R4_G1'!$A$8:$Y$17, Q$2+7,false),if(countif('R4_G3'!$A$8:$A$17,$A87)=1,vlookup($A87,'R4_G3'!$A$8:$Y$17, Q$2+7,false),if(countif('R4_G2'!$A$8:$A$17,$A87)=1,vlookup($A87,'R4_G2'!$A$8:$Y$17, Q$2+7,false),if(countif('R4_G4'!$A$8:$A$17,$A87)=1,vlookup($A87,'R4_G4'!$A$8:$Y$17, Q$2+7,false),""))))</f>
        <v>6</v>
      </c>
      <c r="R87" s="1427">
        <f>if(countif('R4_G1'!$A$8:$A$17,$A87)=1,vlookup($A87,'R4_G1'!$A$8:$Y$17, R$2+7,false),if(countif('R4_G3'!$A$8:$A$17,$A87)=1,vlookup($A87,'R4_G3'!$A$8:$Y$17, R$2+7,false),if(countif('R4_G2'!$A$8:$A$17,$A87)=1,vlookup($A87,'R4_G2'!$A$8:$Y$17, R$2+7,false),if(countif('R4_G4'!$A$8:$A$17,$A87)=1,vlookup($A87,'R4_G4'!$A$8:$Y$17, R$2+7,false),""))))</f>
        <v>5</v>
      </c>
      <c r="S87" s="1427">
        <f>if(countif('R4_G1'!$A$8:$A$17,$A87)=1,vlookup($A87,'R4_G1'!$A$8:$Y$17, S$2+7,false),if(countif('R4_G3'!$A$8:$A$17,$A87)=1,vlookup($A87,'R4_G3'!$A$8:$Y$17, S$2+7,false),if(countif('R4_G2'!$A$8:$A$17,$A87)=1,vlookup($A87,'R4_G2'!$A$8:$Y$17, S$2+7,false),if(countif('R4_G4'!$A$8:$A$17,$A87)=1,vlookup($A87,'R4_G4'!$A$8:$Y$17, S$2+7,false),""))))</f>
        <v>3</v>
      </c>
      <c r="T87" s="1427">
        <f>if(countif('R4_G1'!$A$8:$A$17,$A87)=1,vlookup($A87,'R4_G1'!$A$8:$Y$17, T$2+7,false),if(countif('R4_G3'!$A$8:$A$17,$A87)=1,vlookup($A87,'R4_G3'!$A$8:$Y$17, T$2+7,false),if(countif('R4_G2'!$A$8:$A$17,$A87)=1,vlookup($A87,'R4_G2'!$A$8:$Y$17, T$2+7,false),if(countif('R4_G4'!$A$8:$A$17,$A87)=1,vlookup($A87,'R4_G4'!$A$8:$Y$17, T$2+7,false),""))))</f>
        <v>6</v>
      </c>
      <c r="U87" s="1427">
        <f>if(countif('R4_G1'!$A$8:$A$17,$A87)=1,vlookup($A87,'R4_G1'!$A$8:$Y$17, U$2+7,false),if(countif('R4_G3'!$A$8:$A$17,$A87)=1,vlookup($A87,'R4_G3'!$A$8:$Y$17, U$2+7,false),if(countif('R4_G2'!$A$8:$A$17,$A87)=1,vlookup($A87,'R4_G2'!$A$8:$Y$17, U$2+7,false),if(countif('R4_G4'!$A$8:$A$17,$A87)=1,vlookup($A87,'R4_G4'!$A$8:$Y$17, U$2+7,false),""))))</f>
        <v>5</v>
      </c>
      <c r="V87" s="1427">
        <f>if(countif('R4_G1'!$A$8:$A$17,$A87)=1,vlookup($A87,'R4_G1'!$A$8:$Y$17, V$2+7,false),if(countif('R4_G3'!$A$8:$A$17,$A87)=1,vlookup($A87,'R4_G3'!$A$8:$Y$17, V$2+7,false),if(countif('R4_G2'!$A$8:$A$17,$A87)=1,vlookup($A87,'R4_G2'!$A$8:$Y$17, V$2+7,false),if(countif('R4_G4'!$A$8:$A$17,$A87)=1,vlookup($A87,'R4_G4'!$A$8:$Y$17, V$2+7,false),""))))</f>
        <v>8</v>
      </c>
      <c r="W87" s="1428">
        <f t="shared" si="113"/>
        <v>45</v>
      </c>
      <c r="X87" s="1428">
        <f t="shared" si="114"/>
        <v>45</v>
      </c>
      <c r="Y87" s="1428">
        <f t="shared" si="119"/>
        <v>90</v>
      </c>
      <c r="Z87" s="1428">
        <f t="shared" si="120"/>
        <v>81</v>
      </c>
      <c r="AA87" s="1438">
        <f t="shared" si="121"/>
        <v>90</v>
      </c>
      <c r="AB87" s="1567"/>
      <c r="AC87" s="1423" t="str">
        <f t="shared" si="122"/>
        <v>R-Mac</v>
      </c>
      <c r="AD87" s="1424">
        <f>VLOOKUP(AC87,'Master Input'!$A$11:$L$27,12,false)</f>
        <v>9</v>
      </c>
      <c r="AE87" s="1423" t="s">
        <v>266</v>
      </c>
      <c r="AF87" s="1401"/>
      <c r="AG87" s="1428">
        <f t="shared" ref="AG87:AX87" si="140">if(E87="","",E87-IF($B87&gt;0,FLOOR($B87/18,1),0)-IF(AND(MOD($B87,18)&gt;=E$75,$B87&gt;0),1,0)+IF(E$75-18&gt;$B87,1,0))</f>
        <v>3</v>
      </c>
      <c r="AH87" s="1428">
        <f t="shared" si="140"/>
        <v>6</v>
      </c>
      <c r="AI87" s="1428">
        <f t="shared" si="140"/>
        <v>6</v>
      </c>
      <c r="AJ87" s="1428">
        <f t="shared" si="140"/>
        <v>3</v>
      </c>
      <c r="AK87" s="1428">
        <f t="shared" si="140"/>
        <v>5</v>
      </c>
      <c r="AL87" s="1428">
        <f t="shared" si="140"/>
        <v>5</v>
      </c>
      <c r="AM87" s="1428">
        <f t="shared" si="140"/>
        <v>4</v>
      </c>
      <c r="AN87" s="1428">
        <f t="shared" si="140"/>
        <v>5</v>
      </c>
      <c r="AO87" s="1428">
        <f t="shared" si="140"/>
        <v>4</v>
      </c>
      <c r="AP87" s="1429">
        <f t="shared" si="140"/>
        <v>3</v>
      </c>
      <c r="AQ87" s="1429">
        <f t="shared" si="140"/>
        <v>5</v>
      </c>
      <c r="AR87" s="1429">
        <f t="shared" si="140"/>
        <v>3</v>
      </c>
      <c r="AS87" s="1429">
        <f t="shared" si="140"/>
        <v>6</v>
      </c>
      <c r="AT87" s="1429">
        <f t="shared" si="140"/>
        <v>4</v>
      </c>
      <c r="AU87" s="1429">
        <f t="shared" si="140"/>
        <v>2</v>
      </c>
      <c r="AV87" s="1429">
        <f t="shared" si="140"/>
        <v>5</v>
      </c>
      <c r="AW87" s="1429">
        <f t="shared" si="140"/>
        <v>4</v>
      </c>
      <c r="AX87" s="1429">
        <f t="shared" si="140"/>
        <v>8</v>
      </c>
      <c r="AY87" s="1428">
        <f t="shared" si="116"/>
        <v>41</v>
      </c>
      <c r="AZ87" s="1428">
        <f t="shared" si="117"/>
        <v>40</v>
      </c>
      <c r="BA87" s="1428">
        <f t="shared" si="124"/>
        <v>81</v>
      </c>
      <c r="BB87" s="1430" t="str">
        <f>if(countif('R4_G1'!$A$8:$A$17,$A87)=1, if(and(BA87=Z87,BA87=vlookup($A87,'R4_G1'!$A$8:$AB$17, 28,false)),"yes","no"),
if(countif('R4_G3'!$A$8:$A$17,$A87)=1, if(and(BA87=Z87,BA87=vlookup($A87,'R4_G3'!$A$8:$AB$17, 28,false)),"yes","no"),
if(countif('R4_G2'!$A$8:$A$17,$A87)=1, if(and(BA87=Z87,BA87=vlookup($A87,'R4_G2'!$A$8:$AB$17, 28,false)),"yes","no"),
if(countif('R4_G4'!$A$8:$A$17,$A87)=1, if(and(BA87=Z87,BA87=vlookup($A87,'R4_G4'!$A$8:$AB$17, 28,false)),"yes","no"),
"?"))))
</f>
        <v>yes</v>
      </c>
      <c r="BC87" s="1567"/>
      <c r="BD87" s="1441">
        <f t="shared" si="125"/>
        <v>6</v>
      </c>
      <c r="BE87" s="1442">
        <f t="shared" si="126"/>
        <v>8.033333333</v>
      </c>
      <c r="BF87" s="1442">
        <f t="shared" si="127"/>
        <v>0</v>
      </c>
      <c r="BG87" s="1442">
        <f t="shared" si="128"/>
        <v>3</v>
      </c>
      <c r="BH87" s="1442">
        <f t="shared" si="129"/>
        <v>6</v>
      </c>
      <c r="BI87" s="1442">
        <f t="shared" si="130"/>
        <v>7</v>
      </c>
      <c r="BJ87" s="1442">
        <f t="shared" si="131"/>
        <v>2</v>
      </c>
    </row>
    <row r="88" ht="14.25" customHeight="1">
      <c r="A88" s="1434" t="str">
        <f t="shared" si="118"/>
        <v>T-Mo</v>
      </c>
      <c r="B88" s="1435">
        <f>VLOOKUP(A88,'Master Input'!$A$11:$L$27,12,false)</f>
        <v>11</v>
      </c>
      <c r="C88" s="1436"/>
      <c r="D88" s="1401"/>
      <c r="E88" s="1437">
        <f>if(countif('R4_G1'!$A$8:$A$17,$A88)=1,vlookup($A88,'R4_G1'!$A$8:$Y$17, E$2+4,false),if(countif('R4_G3'!$A$8:$A$17,$A88)=1,vlookup($A88,'R4_G3'!$A$8:$Y$17, E$2+4,false),if(countif('R4_G2'!$A$8:$A$17,$A88)=1,vlookup($A88,'R4_G2'!$A$8:$Y$17, E$2+4,false),if(countif('R4_G4'!$A$8:$A$17,$A88)=1,vlookup($A88,'R4_G4'!$A$8:$Y$17, E$2+4,false),""))))</f>
        <v>5</v>
      </c>
      <c r="F88" s="1437">
        <f>if(countif('R4_G1'!$A$8:$A$17,$A88)=1,vlookup($A88,'R4_G1'!$A$8:$Y$17, F$2+4,false),if(countif('R4_G3'!$A$8:$A$17,$A88)=1,vlookup($A88,'R4_G3'!$A$8:$Y$17, F$2+4,false),if(countif('R4_G2'!$A$8:$A$17,$A88)=1,vlookup($A88,'R4_G2'!$A$8:$Y$17, F$2+4,false),if(countif('R4_G4'!$A$8:$A$17,$A88)=1,vlookup($A88,'R4_G4'!$A$8:$Y$17, F$2+4,false),""))))</f>
        <v>7</v>
      </c>
      <c r="G88" s="1437">
        <f>if(countif('R4_G1'!$A$8:$A$17,$A88)=1,vlookup($A88,'R4_G1'!$A$8:$Y$17, G$2+4,false),if(countif('R4_G3'!$A$8:$A$17,$A88)=1,vlookup($A88,'R4_G3'!$A$8:$Y$17, G$2+4,false),if(countif('R4_G2'!$A$8:$A$17,$A88)=1,vlookup($A88,'R4_G2'!$A$8:$Y$17, G$2+4,false),if(countif('R4_G4'!$A$8:$A$17,$A88)=1,vlookup($A88,'R4_G4'!$A$8:$Y$17, G$2+4,false),""))))</f>
        <v>7</v>
      </c>
      <c r="H88" s="1437">
        <f>if(countif('R4_G1'!$A$8:$A$17,$A88)=1,vlookup($A88,'R4_G1'!$A$8:$Y$17, H$2+4,false),if(countif('R4_G3'!$A$8:$A$17,$A88)=1,vlookup($A88,'R4_G3'!$A$8:$Y$17, H$2+4,false),if(countif('R4_G2'!$A$8:$A$17,$A88)=1,vlookup($A88,'R4_G2'!$A$8:$Y$17, H$2+4,false),if(countif('R4_G4'!$A$8:$A$17,$A88)=1,vlookup($A88,'R4_G4'!$A$8:$Y$17, H$2+4,false),""))))</f>
        <v>4</v>
      </c>
      <c r="I88" s="1437">
        <f>if(countif('R4_G1'!$A$8:$A$17,$A88)=1,vlookup($A88,'R4_G1'!$A$8:$Y$17, I$2+4,false),if(countif('R4_G3'!$A$8:$A$17,$A88)=1,vlookup($A88,'R4_G3'!$A$8:$Y$17, I$2+4,false),if(countif('R4_G2'!$A$8:$A$17,$A88)=1,vlookup($A88,'R4_G2'!$A$8:$Y$17, I$2+4,false),if(countif('R4_G4'!$A$8:$A$17,$A88)=1,vlookup($A88,'R4_G4'!$A$8:$Y$17, I$2+4,false),""))))</f>
        <v>7</v>
      </c>
      <c r="J88" s="1437">
        <f>if(countif('R4_G1'!$A$8:$A$17,$A88)=1,vlookup($A88,'R4_G1'!$A$8:$Y$17, J$2+4,false),if(countif('R4_G3'!$A$8:$A$17,$A88)=1,vlookup($A88,'R4_G3'!$A$8:$Y$17, J$2+4,false),if(countif('R4_G2'!$A$8:$A$17,$A88)=1,vlookup($A88,'R4_G2'!$A$8:$Y$17, J$2+4,false),if(countif('R4_G4'!$A$8:$A$17,$A88)=1,vlookup($A88,'R4_G4'!$A$8:$Y$17, J$2+4,false),""))))</f>
        <v>6</v>
      </c>
      <c r="K88" s="1437">
        <f>if(countif('R4_G1'!$A$8:$A$17,$A88)=1,vlookup($A88,'R4_G1'!$A$8:$Y$17, K$2+4,false),if(countif('R4_G3'!$A$8:$A$17,$A88)=1,vlookup($A88,'R4_G3'!$A$8:$Y$17, K$2+4,false),if(countif('R4_G2'!$A$8:$A$17,$A88)=1,vlookup($A88,'R4_G2'!$A$8:$Y$17, K$2+4,false),if(countif('R4_G4'!$A$8:$A$17,$A88)=1,vlookup($A88,'R4_G4'!$A$8:$Y$17, K$2+4,false),""))))</f>
        <v>5</v>
      </c>
      <c r="L88" s="1437">
        <f>if(countif('R4_G1'!$A$8:$A$17,$A88)=1,vlookup($A88,'R4_G1'!$A$8:$Y$17, L$2+4,false),if(countif('R4_G3'!$A$8:$A$17,$A88)=1,vlookup($A88,'R4_G3'!$A$8:$Y$17, L$2+4,false),if(countif('R4_G2'!$A$8:$A$17,$A88)=1,vlookup($A88,'R4_G2'!$A$8:$Y$17, L$2+4,false),if(countif('R4_G4'!$A$8:$A$17,$A88)=1,vlookup($A88,'R4_G4'!$A$8:$Y$17, L$2+4,false),""))))</f>
        <v>5</v>
      </c>
      <c r="M88" s="1437">
        <f>if(countif('R4_G1'!$A$8:$A$17,$A88)=1,vlookup($A88,'R4_G1'!$A$8:$Y$17, M$2+4,false),if(countif('R4_G3'!$A$8:$A$17,$A88)=1,vlookup($A88,'R4_G3'!$A$8:$Y$17, M$2+4,false),if(countif('R4_G2'!$A$8:$A$17,$A88)=1,vlookup($A88,'R4_G2'!$A$8:$Y$17, M$2+4,false),if(countif('R4_G4'!$A$8:$A$17,$A88)=1,vlookup($A88,'R4_G4'!$A$8:$Y$17, M$2+4,false),""))))</f>
        <v>6</v>
      </c>
      <c r="N88" s="1426">
        <f>if(countif('R4_G1'!$A$8:$A$17,$A88)=1,vlookup($A88,'R4_G1'!$A$8:$Y$17, N$2+7,false),if(countif('R4_G3'!$A$8:$A$17,$A88)=1,vlookup($A88,'R4_G3'!$A$8:$Y$17, N$2+7,false),if(countif('R4_G2'!$A$8:$A$17,$A88)=1,vlookup($A88,'R4_G2'!$A$8:$Y$17, N$2+7,false),if(countif('R4_G4'!$A$8:$A$17,$A88)=1,vlookup($A88,'R4_G4'!$A$8:$Y$17, N$2+7,false),""))))</f>
        <v>5</v>
      </c>
      <c r="O88" s="1426">
        <f>if(countif('R4_G1'!$A$8:$A$17,$A88)=1,vlookup($A88,'R4_G1'!$A$8:$Y$17, O$2+7,false),if(countif('R4_G3'!$A$8:$A$17,$A88)=1,vlookup($A88,'R4_G3'!$A$8:$Y$17, O$2+7,false),if(countif('R4_G2'!$A$8:$A$17,$A88)=1,vlookup($A88,'R4_G2'!$A$8:$Y$17, O$2+7,false),if(countif('R4_G4'!$A$8:$A$17,$A88)=1,vlookup($A88,'R4_G4'!$A$8:$Y$17, O$2+7,false),""))))</f>
        <v>4</v>
      </c>
      <c r="P88" s="1426">
        <f>if(countif('R4_G1'!$A$8:$A$17,$A88)=1,vlookup($A88,'R4_G1'!$A$8:$Y$17, P$2+7,false),if(countif('R4_G3'!$A$8:$A$17,$A88)=1,vlookup($A88,'R4_G3'!$A$8:$Y$17, P$2+7,false),if(countif('R4_G2'!$A$8:$A$17,$A88)=1,vlookup($A88,'R4_G2'!$A$8:$Y$17, P$2+7,false),if(countif('R4_G4'!$A$8:$A$17,$A88)=1,vlookup($A88,'R4_G4'!$A$8:$Y$17, P$2+7,false),""))))</f>
        <v>5</v>
      </c>
      <c r="Q88" s="1426">
        <f>if(countif('R4_G1'!$A$8:$A$17,$A88)=1,vlookup($A88,'R4_G1'!$A$8:$Y$17, Q$2+7,false),if(countif('R4_G3'!$A$8:$A$17,$A88)=1,vlookup($A88,'R4_G3'!$A$8:$Y$17, Q$2+7,false),if(countif('R4_G2'!$A$8:$A$17,$A88)=1,vlookup($A88,'R4_G2'!$A$8:$Y$17, Q$2+7,false),if(countif('R4_G4'!$A$8:$A$17,$A88)=1,vlookup($A88,'R4_G4'!$A$8:$Y$17, Q$2+7,false),""))))</f>
        <v>6</v>
      </c>
      <c r="R88" s="1426">
        <f>if(countif('R4_G1'!$A$8:$A$17,$A88)=1,vlookup($A88,'R4_G1'!$A$8:$Y$17, R$2+7,false),if(countif('R4_G3'!$A$8:$A$17,$A88)=1,vlookup($A88,'R4_G3'!$A$8:$Y$17, R$2+7,false),if(countif('R4_G2'!$A$8:$A$17,$A88)=1,vlookup($A88,'R4_G2'!$A$8:$Y$17, R$2+7,false),if(countif('R4_G4'!$A$8:$A$17,$A88)=1,vlookup($A88,'R4_G4'!$A$8:$Y$17, R$2+7,false),""))))</f>
        <v>5</v>
      </c>
      <c r="S88" s="1426">
        <f>if(countif('R4_G1'!$A$8:$A$17,$A88)=1,vlookup($A88,'R4_G1'!$A$8:$Y$17, S$2+7,false),if(countif('R4_G3'!$A$8:$A$17,$A88)=1,vlookup($A88,'R4_G3'!$A$8:$Y$17, S$2+7,false),if(countif('R4_G2'!$A$8:$A$17,$A88)=1,vlookup($A88,'R4_G2'!$A$8:$Y$17, S$2+7,false),if(countif('R4_G4'!$A$8:$A$17,$A88)=1,vlookup($A88,'R4_G4'!$A$8:$Y$17, S$2+7,false),""))))</f>
        <v>4</v>
      </c>
      <c r="T88" s="1426">
        <f>if(countif('R4_G1'!$A$8:$A$17,$A88)=1,vlookup($A88,'R4_G1'!$A$8:$Y$17, T$2+7,false),if(countif('R4_G3'!$A$8:$A$17,$A88)=1,vlookup($A88,'R4_G3'!$A$8:$Y$17, T$2+7,false),if(countif('R4_G2'!$A$8:$A$17,$A88)=1,vlookup($A88,'R4_G2'!$A$8:$Y$17, T$2+7,false),if(countif('R4_G4'!$A$8:$A$17,$A88)=1,vlookup($A88,'R4_G4'!$A$8:$Y$17, T$2+7,false),""))))</f>
        <v>5</v>
      </c>
      <c r="U88" s="1426">
        <f>if(countif('R4_G1'!$A$8:$A$17,$A88)=1,vlookup($A88,'R4_G1'!$A$8:$Y$17, U$2+7,false),if(countif('R4_G3'!$A$8:$A$17,$A88)=1,vlookup($A88,'R4_G3'!$A$8:$Y$17, U$2+7,false),if(countif('R4_G2'!$A$8:$A$17,$A88)=1,vlookup($A88,'R4_G2'!$A$8:$Y$17, U$2+7,false),if(countif('R4_G4'!$A$8:$A$17,$A88)=1,vlookup($A88,'R4_G4'!$A$8:$Y$17, U$2+7,false),""))))</f>
        <v>3</v>
      </c>
      <c r="V88" s="1426">
        <f>if(countif('R4_G1'!$A$8:$A$17,$A88)=1,vlookup($A88,'R4_G1'!$A$8:$Y$17, V$2+7,false),if(countif('R4_G3'!$A$8:$A$17,$A88)=1,vlookup($A88,'R4_G3'!$A$8:$Y$17, V$2+7,false),if(countif('R4_G2'!$A$8:$A$17,$A88)=1,vlookup($A88,'R4_G2'!$A$8:$Y$17, V$2+7,false),if(countif('R4_G4'!$A$8:$A$17,$A88)=1,vlookup($A88,'R4_G4'!$A$8:$Y$17, V$2+7,false),""))))</f>
        <v>6</v>
      </c>
      <c r="W88" s="1438">
        <f t="shared" si="113"/>
        <v>52</v>
      </c>
      <c r="X88" s="1438">
        <f t="shared" si="114"/>
        <v>43</v>
      </c>
      <c r="Y88" s="1438">
        <f t="shared" si="119"/>
        <v>95</v>
      </c>
      <c r="Z88" s="1438">
        <f t="shared" si="120"/>
        <v>84</v>
      </c>
      <c r="AA88" s="1438">
        <f t="shared" si="121"/>
        <v>95</v>
      </c>
      <c r="AB88" s="1567"/>
      <c r="AC88" s="1434" t="str">
        <f t="shared" si="122"/>
        <v>T-Mo</v>
      </c>
      <c r="AD88" s="1435">
        <f>VLOOKUP(AC88,'Master Input'!$A$11:$L$27,12,false)</f>
        <v>11</v>
      </c>
      <c r="AE88" s="1434" t="s">
        <v>266</v>
      </c>
      <c r="AF88" s="1401"/>
      <c r="AG88" s="1438">
        <f t="shared" ref="AG88:AX88" si="141">if(E88="","",E88-IF($B88&gt;0,FLOOR($B88/18,1),0)-IF(AND(MOD($B88,18)&gt;=E$75,$B88&gt;0),1,0)+IF(E$75-18&gt;$B88,1,0))</f>
        <v>4</v>
      </c>
      <c r="AH88" s="1438">
        <f t="shared" si="141"/>
        <v>7</v>
      </c>
      <c r="AI88" s="1438">
        <f t="shared" si="141"/>
        <v>6</v>
      </c>
      <c r="AJ88" s="1438">
        <f t="shared" si="141"/>
        <v>4</v>
      </c>
      <c r="AK88" s="1438">
        <f t="shared" si="141"/>
        <v>6</v>
      </c>
      <c r="AL88" s="1438">
        <f t="shared" si="141"/>
        <v>6</v>
      </c>
      <c r="AM88" s="1438">
        <f t="shared" si="141"/>
        <v>5</v>
      </c>
      <c r="AN88" s="1438">
        <f t="shared" si="141"/>
        <v>4</v>
      </c>
      <c r="AO88" s="1438">
        <f t="shared" si="141"/>
        <v>5</v>
      </c>
      <c r="AP88" s="1426">
        <f t="shared" si="141"/>
        <v>4</v>
      </c>
      <c r="AQ88" s="1426">
        <f t="shared" si="141"/>
        <v>4</v>
      </c>
      <c r="AR88" s="1426">
        <f t="shared" si="141"/>
        <v>5</v>
      </c>
      <c r="AS88" s="1426">
        <f t="shared" si="141"/>
        <v>5</v>
      </c>
      <c r="AT88" s="1426">
        <f t="shared" si="141"/>
        <v>4</v>
      </c>
      <c r="AU88" s="1426">
        <f t="shared" si="141"/>
        <v>3</v>
      </c>
      <c r="AV88" s="1426">
        <f t="shared" si="141"/>
        <v>4</v>
      </c>
      <c r="AW88" s="1426">
        <f t="shared" si="141"/>
        <v>2</v>
      </c>
      <c r="AX88" s="1426">
        <f t="shared" si="141"/>
        <v>6</v>
      </c>
      <c r="AY88" s="1438">
        <f t="shared" si="116"/>
        <v>47</v>
      </c>
      <c r="AZ88" s="1438">
        <f t="shared" si="117"/>
        <v>37</v>
      </c>
      <c r="BA88" s="1438">
        <f t="shared" si="124"/>
        <v>84</v>
      </c>
      <c r="BB88" s="1436" t="str">
        <f>if(countif('R4_G1'!$A$8:$A$17,$A88)=1, if(and(BA88=Z88,BA88=vlookup($A88,'R4_G1'!$A$8:$AB$17, 28,false)),"yes","no"),
if(countif('R4_G3'!$A$8:$A$17,$A88)=1, if(and(BA88=Z88,BA88=vlookup($A88,'R4_G3'!$A$8:$AB$17, 28,false)),"yes","no"),
if(countif('R4_G2'!$A$8:$A$17,$A88)=1, if(and(BA88=Z88,BA88=vlookup($A88,'R4_G2'!$A$8:$AB$17, 28,false)),"yes","no"),
if(countif('R4_G4'!$A$8:$A$17,$A88)=1, if(and(BA88=Z88,BA88=vlookup($A88,'R4_G4'!$A$8:$AB$17, 28,false)),"yes","no"),
"?"))))
</f>
        <v>yes</v>
      </c>
      <c r="BC88" s="1567"/>
      <c r="BD88" s="1439">
        <f t="shared" si="125"/>
        <v>5</v>
      </c>
      <c r="BE88" s="1440">
        <f t="shared" si="126"/>
        <v>7.1</v>
      </c>
      <c r="BF88" s="1440">
        <f t="shared" si="127"/>
        <v>1</v>
      </c>
      <c r="BG88" s="1440">
        <f t="shared" si="128"/>
        <v>0</v>
      </c>
      <c r="BH88" s="1440">
        <f t="shared" si="129"/>
        <v>8</v>
      </c>
      <c r="BI88" s="1440">
        <f t="shared" si="130"/>
        <v>4</v>
      </c>
      <c r="BJ88" s="1440">
        <f t="shared" si="131"/>
        <v>5</v>
      </c>
    </row>
    <row r="89" ht="14.25" customHeight="1">
      <c r="A89" s="1423" t="str">
        <f t="shared" si="118"/>
        <v>TJSC</v>
      </c>
      <c r="B89" s="1424">
        <f>VLOOKUP(A89,'Master Input'!$A$11:$L$27,12,false)</f>
        <v>13</v>
      </c>
      <c r="C89" s="1430"/>
      <c r="D89" s="1401"/>
      <c r="E89" s="1426">
        <f>if(countif('R4_G1'!$A$8:$A$17,$A89)=1,vlookup($A89,'R4_G1'!$A$8:$Y$17, E$2+4,false),if(countif('R4_G3'!$A$8:$A$17,$A89)=1,vlookup($A89,'R4_G3'!$A$8:$Y$17, E$2+4,false),if(countif('R4_G2'!$A$8:$A$17,$A89)=1,vlookup($A89,'R4_G2'!$A$8:$Y$17, E$2+4,false),if(countif('R4_G4'!$A$8:$A$17,$A89)=1,vlookup($A89,'R4_G4'!$A$8:$Y$17, E$2+4,false),""))))</f>
        <v>4</v>
      </c>
      <c r="F89" s="1426">
        <f>if(countif('R4_G1'!$A$8:$A$17,$A89)=1,vlookup($A89,'R4_G1'!$A$8:$Y$17, F$2+4,false),if(countif('R4_G3'!$A$8:$A$17,$A89)=1,vlookup($A89,'R4_G3'!$A$8:$Y$17, F$2+4,false),if(countif('R4_G2'!$A$8:$A$17,$A89)=1,vlookup($A89,'R4_G2'!$A$8:$Y$17, F$2+4,false),if(countif('R4_G4'!$A$8:$A$17,$A89)=1,vlookup($A89,'R4_G4'!$A$8:$Y$17, F$2+4,false),""))))</f>
        <v>5</v>
      </c>
      <c r="G89" s="1426">
        <f>if(countif('R4_G1'!$A$8:$A$17,$A89)=1,vlookup($A89,'R4_G1'!$A$8:$Y$17, G$2+4,false),if(countif('R4_G3'!$A$8:$A$17,$A89)=1,vlookup($A89,'R4_G3'!$A$8:$Y$17, G$2+4,false),if(countif('R4_G2'!$A$8:$A$17,$A89)=1,vlookup($A89,'R4_G2'!$A$8:$Y$17, G$2+4,false),if(countif('R4_G4'!$A$8:$A$17,$A89)=1,vlookup($A89,'R4_G4'!$A$8:$Y$17, G$2+4,false),""))))</f>
        <v>7</v>
      </c>
      <c r="H89" s="1426">
        <f>if(countif('R4_G1'!$A$8:$A$17,$A89)=1,vlookup($A89,'R4_G1'!$A$8:$Y$17, H$2+4,false),if(countif('R4_G3'!$A$8:$A$17,$A89)=1,vlookup($A89,'R4_G3'!$A$8:$Y$17, H$2+4,false),if(countif('R4_G2'!$A$8:$A$17,$A89)=1,vlookup($A89,'R4_G2'!$A$8:$Y$17, H$2+4,false),if(countif('R4_G4'!$A$8:$A$17,$A89)=1,vlookup($A89,'R4_G4'!$A$8:$Y$17, H$2+4,false),""))))</f>
        <v>3</v>
      </c>
      <c r="I89" s="1426">
        <f>if(countif('R4_G1'!$A$8:$A$17,$A89)=1,vlookup($A89,'R4_G1'!$A$8:$Y$17, I$2+4,false),if(countif('R4_G3'!$A$8:$A$17,$A89)=1,vlookup($A89,'R4_G3'!$A$8:$Y$17, I$2+4,false),if(countif('R4_G2'!$A$8:$A$17,$A89)=1,vlookup($A89,'R4_G2'!$A$8:$Y$17, I$2+4,false),if(countif('R4_G4'!$A$8:$A$17,$A89)=1,vlookup($A89,'R4_G4'!$A$8:$Y$17, I$2+4,false),""))))</f>
        <v>3</v>
      </c>
      <c r="J89" s="1426">
        <f>if(countif('R4_G1'!$A$8:$A$17,$A89)=1,vlookup($A89,'R4_G1'!$A$8:$Y$17, J$2+4,false),if(countif('R4_G3'!$A$8:$A$17,$A89)=1,vlookup($A89,'R4_G3'!$A$8:$Y$17, J$2+4,false),if(countif('R4_G2'!$A$8:$A$17,$A89)=1,vlookup($A89,'R4_G2'!$A$8:$Y$17, J$2+4,false),if(countif('R4_G4'!$A$8:$A$17,$A89)=1,vlookup($A89,'R4_G4'!$A$8:$Y$17, J$2+4,false),""))))</f>
        <v>6</v>
      </c>
      <c r="K89" s="1426">
        <f>if(countif('R4_G1'!$A$8:$A$17,$A89)=1,vlookup($A89,'R4_G1'!$A$8:$Y$17, K$2+4,false),if(countif('R4_G3'!$A$8:$A$17,$A89)=1,vlookup($A89,'R4_G3'!$A$8:$Y$17, K$2+4,false),if(countif('R4_G2'!$A$8:$A$17,$A89)=1,vlookup($A89,'R4_G2'!$A$8:$Y$17, K$2+4,false),if(countif('R4_G4'!$A$8:$A$17,$A89)=1,vlookup($A89,'R4_G4'!$A$8:$Y$17, K$2+4,false),""))))</f>
        <v>2</v>
      </c>
      <c r="L89" s="1426">
        <f>if(countif('R4_G1'!$A$8:$A$17,$A89)=1,vlookup($A89,'R4_G1'!$A$8:$Y$17, L$2+4,false),if(countif('R4_G3'!$A$8:$A$17,$A89)=1,vlookup($A89,'R4_G3'!$A$8:$Y$17, L$2+4,false),if(countif('R4_G2'!$A$8:$A$17,$A89)=1,vlookup($A89,'R4_G2'!$A$8:$Y$17, L$2+4,false),if(countif('R4_G4'!$A$8:$A$17,$A89)=1,vlookup($A89,'R4_G4'!$A$8:$Y$17, L$2+4,false),""))))</f>
        <v>6</v>
      </c>
      <c r="M89" s="1426">
        <f>if(countif('R4_G1'!$A$8:$A$17,$A89)=1,vlookup($A89,'R4_G1'!$A$8:$Y$17, M$2+4,false),if(countif('R4_G3'!$A$8:$A$17,$A89)=1,vlookup($A89,'R4_G3'!$A$8:$Y$17, M$2+4,false),if(countif('R4_G2'!$A$8:$A$17,$A89)=1,vlookup($A89,'R4_G2'!$A$8:$Y$17, M$2+4,false),if(countif('R4_G4'!$A$8:$A$17,$A89)=1,vlookup($A89,'R4_G4'!$A$8:$Y$17, M$2+4,false),""))))</f>
        <v>4</v>
      </c>
      <c r="N89" s="1427">
        <f>if(countif('R4_G1'!$A$8:$A$17,$A89)=1,vlookup($A89,'R4_G1'!$A$8:$Y$17, N$2+7,false),if(countif('R4_G3'!$A$8:$A$17,$A89)=1,vlookup($A89,'R4_G3'!$A$8:$Y$17, N$2+7,false),if(countif('R4_G2'!$A$8:$A$17,$A89)=1,vlookup($A89,'R4_G2'!$A$8:$Y$17, N$2+7,false),if(countif('R4_G4'!$A$8:$A$17,$A89)=1,vlookup($A89,'R4_G4'!$A$8:$Y$17, N$2+7,false),""))))</f>
        <v>8</v>
      </c>
      <c r="O89" s="1427">
        <f>if(countif('R4_G1'!$A$8:$A$17,$A89)=1,vlookup($A89,'R4_G1'!$A$8:$Y$17, O$2+7,false),if(countif('R4_G3'!$A$8:$A$17,$A89)=1,vlookup($A89,'R4_G3'!$A$8:$Y$17, O$2+7,false),if(countif('R4_G2'!$A$8:$A$17,$A89)=1,vlookup($A89,'R4_G2'!$A$8:$Y$17, O$2+7,false),if(countif('R4_G4'!$A$8:$A$17,$A89)=1,vlookup($A89,'R4_G4'!$A$8:$Y$17, O$2+7,false),""))))</f>
        <v>7</v>
      </c>
      <c r="P89" s="1427">
        <f>if(countif('R4_G1'!$A$8:$A$17,$A89)=1,vlookup($A89,'R4_G1'!$A$8:$Y$17, P$2+7,false),if(countif('R4_G3'!$A$8:$A$17,$A89)=1,vlookup($A89,'R4_G3'!$A$8:$Y$17, P$2+7,false),if(countif('R4_G2'!$A$8:$A$17,$A89)=1,vlookup($A89,'R4_G2'!$A$8:$Y$17, P$2+7,false),if(countif('R4_G4'!$A$8:$A$17,$A89)=1,vlookup($A89,'R4_G4'!$A$8:$Y$17, P$2+7,false),""))))</f>
        <v>4</v>
      </c>
      <c r="Q89" s="1427">
        <f>if(countif('R4_G1'!$A$8:$A$17,$A89)=1,vlookup($A89,'R4_G1'!$A$8:$Y$17, Q$2+7,false),if(countif('R4_G3'!$A$8:$A$17,$A89)=1,vlookup($A89,'R4_G3'!$A$8:$Y$17, Q$2+7,false),if(countif('R4_G2'!$A$8:$A$17,$A89)=1,vlookup($A89,'R4_G2'!$A$8:$Y$17, Q$2+7,false),if(countif('R4_G4'!$A$8:$A$17,$A89)=1,vlookup($A89,'R4_G4'!$A$8:$Y$17, Q$2+7,false),""))))</f>
        <v>6</v>
      </c>
      <c r="R89" s="1427">
        <f>if(countif('R4_G1'!$A$8:$A$17,$A89)=1,vlookup($A89,'R4_G1'!$A$8:$Y$17, R$2+7,false),if(countif('R4_G3'!$A$8:$A$17,$A89)=1,vlookup($A89,'R4_G3'!$A$8:$Y$17, R$2+7,false),if(countif('R4_G2'!$A$8:$A$17,$A89)=1,vlookup($A89,'R4_G2'!$A$8:$Y$17, R$2+7,false),if(countif('R4_G4'!$A$8:$A$17,$A89)=1,vlookup($A89,'R4_G4'!$A$8:$Y$17, R$2+7,false),""))))</f>
        <v>5</v>
      </c>
      <c r="S89" s="1427">
        <f>if(countif('R4_G1'!$A$8:$A$17,$A89)=1,vlookup($A89,'R4_G1'!$A$8:$Y$17, S$2+7,false),if(countif('R4_G3'!$A$8:$A$17,$A89)=1,vlookup($A89,'R4_G3'!$A$8:$Y$17, S$2+7,false),if(countif('R4_G2'!$A$8:$A$17,$A89)=1,vlookup($A89,'R4_G2'!$A$8:$Y$17, S$2+7,false),if(countif('R4_G4'!$A$8:$A$17,$A89)=1,vlookup($A89,'R4_G4'!$A$8:$Y$17, S$2+7,false),""))))</f>
        <v>3</v>
      </c>
      <c r="T89" s="1427">
        <f>if(countif('R4_G1'!$A$8:$A$17,$A89)=1,vlookup($A89,'R4_G1'!$A$8:$Y$17, T$2+7,false),if(countif('R4_G3'!$A$8:$A$17,$A89)=1,vlookup($A89,'R4_G3'!$A$8:$Y$17, T$2+7,false),if(countif('R4_G2'!$A$8:$A$17,$A89)=1,vlookup($A89,'R4_G2'!$A$8:$Y$17, T$2+7,false),if(countif('R4_G4'!$A$8:$A$17,$A89)=1,vlookup($A89,'R4_G4'!$A$8:$Y$17, T$2+7,false),""))))</f>
        <v>6</v>
      </c>
      <c r="U89" s="1427">
        <f>if(countif('R4_G1'!$A$8:$A$17,$A89)=1,vlookup($A89,'R4_G1'!$A$8:$Y$17, U$2+7,false),if(countif('R4_G3'!$A$8:$A$17,$A89)=1,vlookup($A89,'R4_G3'!$A$8:$Y$17, U$2+7,false),if(countif('R4_G2'!$A$8:$A$17,$A89)=1,vlookup($A89,'R4_G2'!$A$8:$Y$17, U$2+7,false),if(countif('R4_G4'!$A$8:$A$17,$A89)=1,vlookup($A89,'R4_G4'!$A$8:$Y$17, U$2+7,false),""))))</f>
        <v>4</v>
      </c>
      <c r="V89" s="1427">
        <f>if(countif('R4_G1'!$A$8:$A$17,$A89)=1,vlookup($A89,'R4_G1'!$A$8:$Y$17, V$2+7,false),if(countif('R4_G3'!$A$8:$A$17,$A89)=1,vlookup($A89,'R4_G3'!$A$8:$Y$17, V$2+7,false),if(countif('R4_G2'!$A$8:$A$17,$A89)=1,vlookup($A89,'R4_G2'!$A$8:$Y$17, V$2+7,false),if(countif('R4_G4'!$A$8:$A$17,$A89)=1,vlookup($A89,'R4_G4'!$A$8:$Y$17, V$2+7,false),""))))</f>
        <v>6</v>
      </c>
      <c r="W89" s="1428">
        <f t="shared" si="113"/>
        <v>40</v>
      </c>
      <c r="X89" s="1428">
        <f t="shared" si="114"/>
        <v>49</v>
      </c>
      <c r="Y89" s="1428">
        <f t="shared" si="119"/>
        <v>89</v>
      </c>
      <c r="Z89" s="1428">
        <f t="shared" si="120"/>
        <v>76</v>
      </c>
      <c r="AA89" s="1438">
        <f t="shared" si="121"/>
        <v>89</v>
      </c>
      <c r="AB89" s="1567"/>
      <c r="AC89" s="1423" t="str">
        <f t="shared" si="122"/>
        <v>TJSC</v>
      </c>
      <c r="AD89" s="1424">
        <f>VLOOKUP(AC89,'Master Input'!$A$11:$L$27,12,false)</f>
        <v>13</v>
      </c>
      <c r="AE89" s="1423" t="s">
        <v>266</v>
      </c>
      <c r="AF89" s="1401"/>
      <c r="AG89" s="1428">
        <f t="shared" ref="AG89:AX89" si="142">if(E89="","",E89-IF($B89&gt;0,FLOOR($B89/18,1),0)-IF(AND(MOD($B89,18)&gt;=E$75,$B89&gt;0),1,0)+IF(E$75-18&gt;$B89,1,0))</f>
        <v>3</v>
      </c>
      <c r="AH89" s="1428">
        <f t="shared" si="142"/>
        <v>5</v>
      </c>
      <c r="AI89" s="1428">
        <f t="shared" si="142"/>
        <v>6</v>
      </c>
      <c r="AJ89" s="1428">
        <f t="shared" si="142"/>
        <v>3</v>
      </c>
      <c r="AK89" s="1428">
        <f t="shared" si="142"/>
        <v>2</v>
      </c>
      <c r="AL89" s="1428">
        <f t="shared" si="142"/>
        <v>5</v>
      </c>
      <c r="AM89" s="1428">
        <f t="shared" si="142"/>
        <v>2</v>
      </c>
      <c r="AN89" s="1428">
        <f t="shared" si="142"/>
        <v>5</v>
      </c>
      <c r="AO89" s="1428">
        <f t="shared" si="142"/>
        <v>3</v>
      </c>
      <c r="AP89" s="1429">
        <f t="shared" si="142"/>
        <v>7</v>
      </c>
      <c r="AQ89" s="1429">
        <f t="shared" si="142"/>
        <v>6</v>
      </c>
      <c r="AR89" s="1429">
        <f t="shared" si="142"/>
        <v>4</v>
      </c>
      <c r="AS89" s="1429">
        <f t="shared" si="142"/>
        <v>5</v>
      </c>
      <c r="AT89" s="1429">
        <f t="shared" si="142"/>
        <v>4</v>
      </c>
      <c r="AU89" s="1429">
        <f t="shared" si="142"/>
        <v>2</v>
      </c>
      <c r="AV89" s="1429">
        <f t="shared" si="142"/>
        <v>5</v>
      </c>
      <c r="AW89" s="1429">
        <f t="shared" si="142"/>
        <v>3</v>
      </c>
      <c r="AX89" s="1429">
        <f t="shared" si="142"/>
        <v>6</v>
      </c>
      <c r="AY89" s="1428">
        <f t="shared" si="116"/>
        <v>34</v>
      </c>
      <c r="AZ89" s="1428">
        <f t="shared" si="117"/>
        <v>42</v>
      </c>
      <c r="BA89" s="1428">
        <f t="shared" si="124"/>
        <v>76</v>
      </c>
      <c r="BB89" s="1430" t="str">
        <f>if(countif('R4_G1'!$A$8:$A$17,$A89)=1, if(and(BA89=Z89,BA89=vlookup($A89,'R4_G1'!$A$8:$AB$17, 28,false)),"yes","no"),
if(countif('R4_G3'!$A$8:$A$17,$A89)=1, if(and(BA89=Z89,BA89=vlookup($A89,'R4_G3'!$A$8:$AB$17, 28,false)),"yes","no"),
if(countif('R4_G2'!$A$8:$A$17,$A89)=1, if(and(BA89=Z89,BA89=vlookup($A89,'R4_G2'!$A$8:$AB$17, 28,false)),"yes","no"),
if(countif('R4_G4'!$A$8:$A$17,$A89)=1, if(and(BA89=Z89,BA89=vlookup($A89,'R4_G4'!$A$8:$AB$17, 28,false)),"yes","no"),
"?"))))
</f>
        <v>yes</v>
      </c>
      <c r="BC89" s="1567"/>
      <c r="BD89" s="1441">
        <f t="shared" si="125"/>
        <v>8.5</v>
      </c>
      <c r="BE89" s="1442">
        <f t="shared" si="126"/>
        <v>9.766666667</v>
      </c>
      <c r="BF89" s="1442">
        <f t="shared" si="127"/>
        <v>1</v>
      </c>
      <c r="BG89" s="1442">
        <f t="shared" si="128"/>
        <v>5</v>
      </c>
      <c r="BH89" s="1442">
        <f t="shared" si="129"/>
        <v>5</v>
      </c>
      <c r="BI89" s="1442">
        <f t="shared" si="130"/>
        <v>4</v>
      </c>
      <c r="BJ89" s="1442">
        <f t="shared" si="131"/>
        <v>3</v>
      </c>
    </row>
    <row r="90" ht="14.25" customHeight="1">
      <c r="A90" s="1434" t="str">
        <f t="shared" si="118"/>
        <v>Weezy</v>
      </c>
      <c r="B90" s="1435">
        <f>VLOOKUP(A90,'Master Input'!$A$11:$L$27,12,false)</f>
        <v>14</v>
      </c>
      <c r="C90" s="1436"/>
      <c r="D90" s="1401"/>
      <c r="E90" s="1437">
        <f>if(countif('R4_G1'!$A$8:$A$17,$A90)=1,vlookup($A90,'R4_G1'!$A$8:$Y$17, E$2+4,false),if(countif('R4_G3'!$A$8:$A$17,$A90)=1,vlookup($A90,'R4_G3'!$A$8:$Y$17, E$2+4,false),if(countif('R4_G2'!$A$8:$A$17,$A90)=1,vlookup($A90,'R4_G2'!$A$8:$Y$17, E$2+4,false),if(countif('R4_G4'!$A$8:$A$17,$A90)=1,vlookup($A90,'R4_G4'!$A$8:$Y$17, E$2+4,false),""))))</f>
        <v>6</v>
      </c>
      <c r="F90" s="1437">
        <f>if(countif('R4_G1'!$A$8:$A$17,$A90)=1,vlookup($A90,'R4_G1'!$A$8:$Y$17, F$2+4,false),if(countif('R4_G3'!$A$8:$A$17,$A90)=1,vlookup($A90,'R4_G3'!$A$8:$Y$17, F$2+4,false),if(countif('R4_G2'!$A$8:$A$17,$A90)=1,vlookup($A90,'R4_G2'!$A$8:$Y$17, F$2+4,false),if(countif('R4_G4'!$A$8:$A$17,$A90)=1,vlookup($A90,'R4_G4'!$A$8:$Y$17, F$2+4,false),""))))</f>
        <v>5</v>
      </c>
      <c r="G90" s="1437">
        <f>if(countif('R4_G1'!$A$8:$A$17,$A90)=1,vlookup($A90,'R4_G1'!$A$8:$Y$17, G$2+4,false),if(countif('R4_G3'!$A$8:$A$17,$A90)=1,vlookup($A90,'R4_G3'!$A$8:$Y$17, G$2+4,false),if(countif('R4_G2'!$A$8:$A$17,$A90)=1,vlookup($A90,'R4_G2'!$A$8:$Y$17, G$2+4,false),if(countif('R4_G4'!$A$8:$A$17,$A90)=1,vlookup($A90,'R4_G4'!$A$8:$Y$17, G$2+4,false),""))))</f>
        <v>5</v>
      </c>
      <c r="H90" s="1437">
        <f>if(countif('R4_G1'!$A$8:$A$17,$A90)=1,vlookup($A90,'R4_G1'!$A$8:$Y$17, H$2+4,false),if(countif('R4_G3'!$A$8:$A$17,$A90)=1,vlookup($A90,'R4_G3'!$A$8:$Y$17, H$2+4,false),if(countif('R4_G2'!$A$8:$A$17,$A90)=1,vlookup($A90,'R4_G2'!$A$8:$Y$17, H$2+4,false),if(countif('R4_G4'!$A$8:$A$17,$A90)=1,vlookup($A90,'R4_G4'!$A$8:$Y$17, H$2+4,false),""))))</f>
        <v>4</v>
      </c>
      <c r="I90" s="1437">
        <f>if(countif('R4_G1'!$A$8:$A$17,$A90)=1,vlookup($A90,'R4_G1'!$A$8:$Y$17, I$2+4,false),if(countif('R4_G3'!$A$8:$A$17,$A90)=1,vlookup($A90,'R4_G3'!$A$8:$Y$17, I$2+4,false),if(countif('R4_G2'!$A$8:$A$17,$A90)=1,vlookup($A90,'R4_G2'!$A$8:$Y$17, I$2+4,false),if(countif('R4_G4'!$A$8:$A$17,$A90)=1,vlookup($A90,'R4_G4'!$A$8:$Y$17, I$2+4,false),""))))</f>
        <v>6</v>
      </c>
      <c r="J90" s="1437">
        <f>if(countif('R4_G1'!$A$8:$A$17,$A90)=1,vlookup($A90,'R4_G1'!$A$8:$Y$17, J$2+4,false),if(countif('R4_G3'!$A$8:$A$17,$A90)=1,vlookup($A90,'R4_G3'!$A$8:$Y$17, J$2+4,false),if(countif('R4_G2'!$A$8:$A$17,$A90)=1,vlookup($A90,'R4_G2'!$A$8:$Y$17, J$2+4,false),if(countif('R4_G4'!$A$8:$A$17,$A90)=1,vlookup($A90,'R4_G4'!$A$8:$Y$17, J$2+4,false),""))))</f>
        <v>6</v>
      </c>
      <c r="K90" s="1437">
        <f>if(countif('R4_G1'!$A$8:$A$17,$A90)=1,vlookup($A90,'R4_G1'!$A$8:$Y$17, K$2+4,false),if(countif('R4_G3'!$A$8:$A$17,$A90)=1,vlookup($A90,'R4_G3'!$A$8:$Y$17, K$2+4,false),if(countif('R4_G2'!$A$8:$A$17,$A90)=1,vlookup($A90,'R4_G2'!$A$8:$Y$17, K$2+4,false),if(countif('R4_G4'!$A$8:$A$17,$A90)=1,vlookup($A90,'R4_G4'!$A$8:$Y$17, K$2+4,false),""))))</f>
        <v>4</v>
      </c>
      <c r="L90" s="1437">
        <f>if(countif('R4_G1'!$A$8:$A$17,$A90)=1,vlookup($A90,'R4_G1'!$A$8:$Y$17, L$2+4,false),if(countif('R4_G3'!$A$8:$A$17,$A90)=1,vlookup($A90,'R4_G3'!$A$8:$Y$17, L$2+4,false),if(countif('R4_G2'!$A$8:$A$17,$A90)=1,vlookup($A90,'R4_G2'!$A$8:$Y$17, L$2+4,false),if(countif('R4_G4'!$A$8:$A$17,$A90)=1,vlookup($A90,'R4_G4'!$A$8:$Y$17, L$2+4,false),""))))</f>
        <v>5</v>
      </c>
      <c r="M90" s="1437">
        <f>if(countif('R4_G1'!$A$8:$A$17,$A90)=1,vlookup($A90,'R4_G1'!$A$8:$Y$17, M$2+4,false),if(countif('R4_G3'!$A$8:$A$17,$A90)=1,vlookup($A90,'R4_G3'!$A$8:$Y$17, M$2+4,false),if(countif('R4_G2'!$A$8:$A$17,$A90)=1,vlookup($A90,'R4_G2'!$A$8:$Y$17, M$2+4,false),if(countif('R4_G4'!$A$8:$A$17,$A90)=1,vlookup($A90,'R4_G4'!$A$8:$Y$17, M$2+4,false),""))))</f>
        <v>4</v>
      </c>
      <c r="N90" s="1426">
        <f>if(countif('R4_G1'!$A$8:$A$17,$A90)=1,vlookup($A90,'R4_G1'!$A$8:$Y$17, N$2+7,false),if(countif('R4_G3'!$A$8:$A$17,$A90)=1,vlookup($A90,'R4_G3'!$A$8:$Y$17, N$2+7,false),if(countif('R4_G2'!$A$8:$A$17,$A90)=1,vlookup($A90,'R4_G2'!$A$8:$Y$17, N$2+7,false),if(countif('R4_G4'!$A$8:$A$17,$A90)=1,vlookup($A90,'R4_G4'!$A$8:$Y$17, N$2+7,false),""))))</f>
        <v>5</v>
      </c>
      <c r="O90" s="1426">
        <f>if(countif('R4_G1'!$A$8:$A$17,$A90)=1,vlookup($A90,'R4_G1'!$A$8:$Y$17, O$2+7,false),if(countif('R4_G3'!$A$8:$A$17,$A90)=1,vlookup($A90,'R4_G3'!$A$8:$Y$17, O$2+7,false),if(countif('R4_G2'!$A$8:$A$17,$A90)=1,vlookup($A90,'R4_G2'!$A$8:$Y$17, O$2+7,false),if(countif('R4_G4'!$A$8:$A$17,$A90)=1,vlookup($A90,'R4_G4'!$A$8:$Y$17, O$2+7,false),""))))</f>
        <v>4</v>
      </c>
      <c r="P90" s="1426">
        <f>if(countif('R4_G1'!$A$8:$A$17,$A90)=1,vlookup($A90,'R4_G1'!$A$8:$Y$17, P$2+7,false),if(countif('R4_G3'!$A$8:$A$17,$A90)=1,vlookup($A90,'R4_G3'!$A$8:$Y$17, P$2+7,false),if(countif('R4_G2'!$A$8:$A$17,$A90)=1,vlookup($A90,'R4_G2'!$A$8:$Y$17, P$2+7,false),if(countif('R4_G4'!$A$8:$A$17,$A90)=1,vlookup($A90,'R4_G4'!$A$8:$Y$17, P$2+7,false),""))))</f>
        <v>3</v>
      </c>
      <c r="Q90" s="1426">
        <f>if(countif('R4_G1'!$A$8:$A$17,$A90)=1,vlookup($A90,'R4_G1'!$A$8:$Y$17, Q$2+7,false),if(countif('R4_G3'!$A$8:$A$17,$A90)=1,vlookup($A90,'R4_G3'!$A$8:$Y$17, Q$2+7,false),if(countif('R4_G2'!$A$8:$A$17,$A90)=1,vlookup($A90,'R4_G2'!$A$8:$Y$17, Q$2+7,false),if(countif('R4_G4'!$A$8:$A$17,$A90)=1,vlookup($A90,'R4_G4'!$A$8:$Y$17, Q$2+7,false),""))))</f>
        <v>8</v>
      </c>
      <c r="R90" s="1426">
        <f>if(countif('R4_G1'!$A$8:$A$17,$A90)=1,vlookup($A90,'R4_G1'!$A$8:$Y$17, R$2+7,false),if(countif('R4_G3'!$A$8:$A$17,$A90)=1,vlookup($A90,'R4_G3'!$A$8:$Y$17, R$2+7,false),if(countif('R4_G2'!$A$8:$A$17,$A90)=1,vlookup($A90,'R4_G2'!$A$8:$Y$17, R$2+7,false),if(countif('R4_G4'!$A$8:$A$17,$A90)=1,vlookup($A90,'R4_G4'!$A$8:$Y$17, R$2+7,false),""))))</f>
        <v>4</v>
      </c>
      <c r="S90" s="1426">
        <f>if(countif('R4_G1'!$A$8:$A$17,$A90)=1,vlookup($A90,'R4_G1'!$A$8:$Y$17, S$2+7,false),if(countif('R4_G3'!$A$8:$A$17,$A90)=1,vlookup($A90,'R4_G3'!$A$8:$Y$17, S$2+7,false),if(countif('R4_G2'!$A$8:$A$17,$A90)=1,vlookup($A90,'R4_G2'!$A$8:$Y$17, S$2+7,false),if(countif('R4_G4'!$A$8:$A$17,$A90)=1,vlookup($A90,'R4_G4'!$A$8:$Y$17, S$2+7,false),""))))</f>
        <v>5</v>
      </c>
      <c r="T90" s="1426">
        <f>if(countif('R4_G1'!$A$8:$A$17,$A90)=1,vlookup($A90,'R4_G1'!$A$8:$Y$17, T$2+7,false),if(countif('R4_G3'!$A$8:$A$17,$A90)=1,vlookup($A90,'R4_G3'!$A$8:$Y$17, T$2+7,false),if(countif('R4_G2'!$A$8:$A$17,$A90)=1,vlookup($A90,'R4_G2'!$A$8:$Y$17, T$2+7,false),if(countif('R4_G4'!$A$8:$A$17,$A90)=1,vlookup($A90,'R4_G4'!$A$8:$Y$17, T$2+7,false),""))))</f>
        <v>6</v>
      </c>
      <c r="U90" s="1426">
        <f>if(countif('R4_G1'!$A$8:$A$17,$A90)=1,vlookup($A90,'R4_G1'!$A$8:$Y$17, U$2+7,false),if(countif('R4_G3'!$A$8:$A$17,$A90)=1,vlookup($A90,'R4_G3'!$A$8:$Y$17, U$2+7,false),if(countif('R4_G2'!$A$8:$A$17,$A90)=1,vlookup($A90,'R4_G2'!$A$8:$Y$17, U$2+7,false),if(countif('R4_G4'!$A$8:$A$17,$A90)=1,vlookup($A90,'R4_G4'!$A$8:$Y$17, U$2+7,false),""))))</f>
        <v>5</v>
      </c>
      <c r="V90" s="1426">
        <f>if(countif('R4_G1'!$A$8:$A$17,$A90)=1,vlookup($A90,'R4_G1'!$A$8:$Y$17, V$2+7,false),if(countif('R4_G3'!$A$8:$A$17,$A90)=1,vlookup($A90,'R4_G3'!$A$8:$Y$17, V$2+7,false),if(countif('R4_G2'!$A$8:$A$17,$A90)=1,vlookup($A90,'R4_G2'!$A$8:$Y$17, V$2+7,false),if(countif('R4_G4'!$A$8:$A$17,$A90)=1,vlookup($A90,'R4_G4'!$A$8:$Y$17, V$2+7,false),""))))</f>
        <v>8</v>
      </c>
      <c r="W90" s="1438">
        <f t="shared" si="113"/>
        <v>45</v>
      </c>
      <c r="X90" s="1438">
        <f t="shared" si="114"/>
        <v>48</v>
      </c>
      <c r="Y90" s="1438">
        <f t="shared" si="119"/>
        <v>93</v>
      </c>
      <c r="Z90" s="1438">
        <f t="shared" si="120"/>
        <v>79</v>
      </c>
      <c r="AA90" s="1438">
        <f t="shared" si="121"/>
        <v>93</v>
      </c>
      <c r="AB90" s="1567"/>
      <c r="AC90" s="1434" t="str">
        <f t="shared" si="122"/>
        <v>Weezy</v>
      </c>
      <c r="AD90" s="1435">
        <f>VLOOKUP(AC90,'Master Input'!$A$11:$L$27,12,false)</f>
        <v>14</v>
      </c>
      <c r="AE90" s="1434" t="s">
        <v>266</v>
      </c>
      <c r="AF90" s="1401"/>
      <c r="AG90" s="1438">
        <f t="shared" ref="AG90:AX90" si="143">if(E90="","",E90-IF($B90&gt;0,FLOOR($B90/18,1),0)-IF(AND(MOD($B90,18)&gt;=E$75,$B90&gt;0),1,0)+IF(E$75-18&gt;$B90,1,0))</f>
        <v>5</v>
      </c>
      <c r="AH90" s="1438">
        <f t="shared" si="143"/>
        <v>5</v>
      </c>
      <c r="AI90" s="1438">
        <f t="shared" si="143"/>
        <v>4</v>
      </c>
      <c r="AJ90" s="1438">
        <f t="shared" si="143"/>
        <v>3</v>
      </c>
      <c r="AK90" s="1438">
        <f t="shared" si="143"/>
        <v>5</v>
      </c>
      <c r="AL90" s="1438">
        <f t="shared" si="143"/>
        <v>5</v>
      </c>
      <c r="AM90" s="1438">
        <f t="shared" si="143"/>
        <v>4</v>
      </c>
      <c r="AN90" s="1438">
        <f t="shared" si="143"/>
        <v>4</v>
      </c>
      <c r="AO90" s="1438">
        <f t="shared" si="143"/>
        <v>3</v>
      </c>
      <c r="AP90" s="1426">
        <f t="shared" si="143"/>
        <v>4</v>
      </c>
      <c r="AQ90" s="1426">
        <f t="shared" si="143"/>
        <v>3</v>
      </c>
      <c r="AR90" s="1426">
        <f t="shared" si="143"/>
        <v>3</v>
      </c>
      <c r="AS90" s="1426">
        <f t="shared" si="143"/>
        <v>7</v>
      </c>
      <c r="AT90" s="1426">
        <f t="shared" si="143"/>
        <v>3</v>
      </c>
      <c r="AU90" s="1426">
        <f t="shared" si="143"/>
        <v>4</v>
      </c>
      <c r="AV90" s="1426">
        <f t="shared" si="143"/>
        <v>5</v>
      </c>
      <c r="AW90" s="1426">
        <f t="shared" si="143"/>
        <v>4</v>
      </c>
      <c r="AX90" s="1426">
        <f t="shared" si="143"/>
        <v>8</v>
      </c>
      <c r="AY90" s="1438">
        <f t="shared" si="116"/>
        <v>38</v>
      </c>
      <c r="AZ90" s="1438">
        <f t="shared" si="117"/>
        <v>41</v>
      </c>
      <c r="BA90" s="1438">
        <f t="shared" si="124"/>
        <v>79</v>
      </c>
      <c r="BB90" s="1436" t="str">
        <f>if(countif('R4_G1'!$A$8:$A$17,$A90)=1, if(and(BA90=Z90,BA90=vlookup($A90,'R4_G1'!$A$8:$AB$17, 28,false)),"yes","no"),
if(countif('R4_G3'!$A$8:$A$17,$A90)=1, if(and(BA90=Z90,BA90=vlookup($A90,'R4_G3'!$A$8:$AB$17, 28,false)),"yes","no"),
if(countif('R4_G2'!$A$8:$A$17,$A90)=1, if(and(BA90=Z90,BA90=vlookup($A90,'R4_G2'!$A$8:$AB$17, 28,false)),"yes","no"),
if(countif('R4_G4'!$A$8:$A$17,$A90)=1, if(and(BA90=Z90,BA90=vlookup($A90,'R4_G4'!$A$8:$AB$17, 28,false)),"yes","no"),
"?"))))
</f>
        <v>yes</v>
      </c>
      <c r="BC90" s="1567"/>
      <c r="BD90" s="1439">
        <f t="shared" si="125"/>
        <v>7</v>
      </c>
      <c r="BE90" s="1440">
        <f t="shared" si="126"/>
        <v>8.833333333</v>
      </c>
      <c r="BF90" s="1440">
        <f t="shared" si="127"/>
        <v>0</v>
      </c>
      <c r="BG90" s="1440">
        <f t="shared" si="128"/>
        <v>3</v>
      </c>
      <c r="BH90" s="1440">
        <f t="shared" si="129"/>
        <v>8</v>
      </c>
      <c r="BI90" s="1440">
        <f t="shared" si="130"/>
        <v>5</v>
      </c>
      <c r="BJ90" s="1440">
        <f t="shared" si="131"/>
        <v>2</v>
      </c>
    </row>
    <row r="91" ht="14.25" customHeight="1">
      <c r="A91" s="1423" t="str">
        <f t="shared" si="118"/>
        <v>Joe O</v>
      </c>
      <c r="B91" s="1424">
        <f>VLOOKUP(A91,'Master Input'!$A$11:$L$27,12,false)</f>
        <v>15</v>
      </c>
      <c r="C91" s="1430"/>
      <c r="D91" s="1401"/>
      <c r="E91" s="1426">
        <f>if(countif('R4_G1'!$A$8:$A$17,$A91)=1,vlookup($A91,'R4_G1'!$A$8:$Y$17, E$2+4,false),if(countif('R4_G3'!$A$8:$A$17,$A91)=1,vlookup($A91,'R4_G3'!$A$8:$Y$17, E$2+4,false),if(countif('R4_G2'!$A$8:$A$17,$A91)=1,vlookup($A91,'R4_G2'!$A$8:$Y$17, E$2+4,false),if(countif('R4_G4'!$A$8:$A$17,$A91)=1,vlookup($A91,'R4_G4'!$A$8:$Y$17, E$2+4,false),""))))</f>
        <v>4</v>
      </c>
      <c r="F91" s="1426">
        <f>if(countif('R4_G1'!$A$8:$A$17,$A91)=1,vlookup($A91,'R4_G1'!$A$8:$Y$17, F$2+4,false),if(countif('R4_G3'!$A$8:$A$17,$A91)=1,vlookup($A91,'R4_G3'!$A$8:$Y$17, F$2+4,false),if(countif('R4_G2'!$A$8:$A$17,$A91)=1,vlookup($A91,'R4_G2'!$A$8:$Y$17, F$2+4,false),if(countif('R4_G4'!$A$8:$A$17,$A91)=1,vlookup($A91,'R4_G4'!$A$8:$Y$17, F$2+4,false),""))))</f>
        <v>6</v>
      </c>
      <c r="G91" s="1426">
        <f>if(countif('R4_G1'!$A$8:$A$17,$A91)=1,vlookup($A91,'R4_G1'!$A$8:$Y$17, G$2+4,false),if(countif('R4_G3'!$A$8:$A$17,$A91)=1,vlookup($A91,'R4_G3'!$A$8:$Y$17, G$2+4,false),if(countif('R4_G2'!$A$8:$A$17,$A91)=1,vlookup($A91,'R4_G2'!$A$8:$Y$17, G$2+4,false),if(countif('R4_G4'!$A$8:$A$17,$A91)=1,vlookup($A91,'R4_G4'!$A$8:$Y$17, G$2+4,false),""))))</f>
        <v>5</v>
      </c>
      <c r="H91" s="1426">
        <f>if(countif('R4_G1'!$A$8:$A$17,$A91)=1,vlookup($A91,'R4_G1'!$A$8:$Y$17, H$2+4,false),if(countif('R4_G3'!$A$8:$A$17,$A91)=1,vlookup($A91,'R4_G3'!$A$8:$Y$17, H$2+4,false),if(countif('R4_G2'!$A$8:$A$17,$A91)=1,vlookup($A91,'R4_G2'!$A$8:$Y$17, H$2+4,false),if(countif('R4_G4'!$A$8:$A$17,$A91)=1,vlookup($A91,'R4_G4'!$A$8:$Y$17, H$2+4,false),""))))</f>
        <v>5</v>
      </c>
      <c r="I91" s="1426">
        <f>if(countif('R4_G1'!$A$8:$A$17,$A91)=1,vlookup($A91,'R4_G1'!$A$8:$Y$17, I$2+4,false),if(countif('R4_G3'!$A$8:$A$17,$A91)=1,vlookup($A91,'R4_G3'!$A$8:$Y$17, I$2+4,false),if(countif('R4_G2'!$A$8:$A$17,$A91)=1,vlookup($A91,'R4_G2'!$A$8:$Y$17, I$2+4,false),if(countif('R4_G4'!$A$8:$A$17,$A91)=1,vlookup($A91,'R4_G4'!$A$8:$Y$17, I$2+4,false),""))))</f>
        <v>6</v>
      </c>
      <c r="J91" s="1426">
        <f>if(countif('R4_G1'!$A$8:$A$17,$A91)=1,vlookup($A91,'R4_G1'!$A$8:$Y$17, J$2+4,false),if(countif('R4_G3'!$A$8:$A$17,$A91)=1,vlookup($A91,'R4_G3'!$A$8:$Y$17, J$2+4,false),if(countif('R4_G2'!$A$8:$A$17,$A91)=1,vlookup($A91,'R4_G2'!$A$8:$Y$17, J$2+4,false),if(countif('R4_G4'!$A$8:$A$17,$A91)=1,vlookup($A91,'R4_G4'!$A$8:$Y$17, J$2+4,false),""))))</f>
        <v>6</v>
      </c>
      <c r="K91" s="1426">
        <f>if(countif('R4_G1'!$A$8:$A$17,$A91)=1,vlookup($A91,'R4_G1'!$A$8:$Y$17, K$2+4,false),if(countif('R4_G3'!$A$8:$A$17,$A91)=1,vlookup($A91,'R4_G3'!$A$8:$Y$17, K$2+4,false),if(countif('R4_G2'!$A$8:$A$17,$A91)=1,vlookup($A91,'R4_G2'!$A$8:$Y$17, K$2+4,false),if(countif('R4_G4'!$A$8:$A$17,$A91)=1,vlookup($A91,'R4_G4'!$A$8:$Y$17, K$2+4,false),""))))</f>
        <v>4</v>
      </c>
      <c r="L91" s="1426">
        <f>if(countif('R4_G1'!$A$8:$A$17,$A91)=1,vlookup($A91,'R4_G1'!$A$8:$Y$17, L$2+4,false),if(countif('R4_G3'!$A$8:$A$17,$A91)=1,vlookup($A91,'R4_G3'!$A$8:$Y$17, L$2+4,false),if(countif('R4_G2'!$A$8:$A$17,$A91)=1,vlookup($A91,'R4_G2'!$A$8:$Y$17, L$2+4,false),if(countif('R4_G4'!$A$8:$A$17,$A91)=1,vlookup($A91,'R4_G4'!$A$8:$Y$17, L$2+4,false),""))))</f>
        <v>7</v>
      </c>
      <c r="M91" s="1426">
        <f>if(countif('R4_G1'!$A$8:$A$17,$A91)=1,vlookup($A91,'R4_G1'!$A$8:$Y$17, M$2+4,false),if(countif('R4_G3'!$A$8:$A$17,$A91)=1,vlookup($A91,'R4_G3'!$A$8:$Y$17, M$2+4,false),if(countif('R4_G2'!$A$8:$A$17,$A91)=1,vlookup($A91,'R4_G2'!$A$8:$Y$17, M$2+4,false),if(countif('R4_G4'!$A$8:$A$17,$A91)=1,vlookup($A91,'R4_G4'!$A$8:$Y$17, M$2+4,false),""))))</f>
        <v>5</v>
      </c>
      <c r="N91" s="1427">
        <f>if(countif('R4_G1'!$A$8:$A$17,$A91)=1,vlookup($A91,'R4_G1'!$A$8:$Y$17, N$2+7,false),if(countif('R4_G3'!$A$8:$A$17,$A91)=1,vlookup($A91,'R4_G3'!$A$8:$Y$17, N$2+7,false),if(countif('R4_G2'!$A$8:$A$17,$A91)=1,vlookup($A91,'R4_G2'!$A$8:$Y$17, N$2+7,false),if(countif('R4_G4'!$A$8:$A$17,$A91)=1,vlookup($A91,'R4_G4'!$A$8:$Y$17, N$2+7,false),""))))</f>
        <v>7</v>
      </c>
      <c r="O91" s="1427">
        <f>if(countif('R4_G1'!$A$8:$A$17,$A91)=1,vlookup($A91,'R4_G1'!$A$8:$Y$17, O$2+7,false),if(countif('R4_G3'!$A$8:$A$17,$A91)=1,vlookup($A91,'R4_G3'!$A$8:$Y$17, O$2+7,false),if(countif('R4_G2'!$A$8:$A$17,$A91)=1,vlookup($A91,'R4_G2'!$A$8:$Y$17, O$2+7,false),if(countif('R4_G4'!$A$8:$A$17,$A91)=1,vlookup($A91,'R4_G4'!$A$8:$Y$17, O$2+7,false),""))))</f>
        <v>6</v>
      </c>
      <c r="P91" s="1427">
        <f>if(countif('R4_G1'!$A$8:$A$17,$A91)=1,vlookup($A91,'R4_G1'!$A$8:$Y$17, P$2+7,false),if(countif('R4_G3'!$A$8:$A$17,$A91)=1,vlookup($A91,'R4_G3'!$A$8:$Y$17, P$2+7,false),if(countif('R4_G2'!$A$8:$A$17,$A91)=1,vlookup($A91,'R4_G2'!$A$8:$Y$17, P$2+7,false),if(countif('R4_G4'!$A$8:$A$17,$A91)=1,vlookup($A91,'R4_G4'!$A$8:$Y$17, P$2+7,false),""))))</f>
        <v>3</v>
      </c>
      <c r="Q91" s="1427">
        <f>if(countif('R4_G1'!$A$8:$A$17,$A91)=1,vlookup($A91,'R4_G1'!$A$8:$Y$17, Q$2+7,false),if(countif('R4_G3'!$A$8:$A$17,$A91)=1,vlookup($A91,'R4_G3'!$A$8:$Y$17, Q$2+7,false),if(countif('R4_G2'!$A$8:$A$17,$A91)=1,vlookup($A91,'R4_G2'!$A$8:$Y$17, Q$2+7,false),if(countif('R4_G4'!$A$8:$A$17,$A91)=1,vlookup($A91,'R4_G4'!$A$8:$Y$17, Q$2+7,false),""))))</f>
        <v>7</v>
      </c>
      <c r="R91" s="1427">
        <f>if(countif('R4_G1'!$A$8:$A$17,$A91)=1,vlookup($A91,'R4_G1'!$A$8:$Y$17, R$2+7,false),if(countif('R4_G3'!$A$8:$A$17,$A91)=1,vlookup($A91,'R4_G3'!$A$8:$Y$17, R$2+7,false),if(countif('R4_G2'!$A$8:$A$17,$A91)=1,vlookup($A91,'R4_G2'!$A$8:$Y$17, R$2+7,false),if(countif('R4_G4'!$A$8:$A$17,$A91)=1,vlookup($A91,'R4_G4'!$A$8:$Y$17, R$2+7,false),""))))</f>
        <v>4</v>
      </c>
      <c r="S91" s="1427">
        <f>if(countif('R4_G1'!$A$8:$A$17,$A91)=1,vlookup($A91,'R4_G1'!$A$8:$Y$17, S$2+7,false),if(countif('R4_G3'!$A$8:$A$17,$A91)=1,vlookup($A91,'R4_G3'!$A$8:$Y$17, S$2+7,false),if(countif('R4_G2'!$A$8:$A$17,$A91)=1,vlookup($A91,'R4_G2'!$A$8:$Y$17, S$2+7,false),if(countif('R4_G4'!$A$8:$A$17,$A91)=1,vlookup($A91,'R4_G4'!$A$8:$Y$17, S$2+7,false),""))))</f>
        <v>4</v>
      </c>
      <c r="T91" s="1427">
        <f>if(countif('R4_G1'!$A$8:$A$17,$A91)=1,vlookup($A91,'R4_G1'!$A$8:$Y$17, T$2+7,false),if(countif('R4_G3'!$A$8:$A$17,$A91)=1,vlookup($A91,'R4_G3'!$A$8:$Y$17, T$2+7,false),if(countif('R4_G2'!$A$8:$A$17,$A91)=1,vlookup($A91,'R4_G2'!$A$8:$Y$17, T$2+7,false),if(countif('R4_G4'!$A$8:$A$17,$A91)=1,vlookup($A91,'R4_G4'!$A$8:$Y$17, T$2+7,false),""))))</f>
        <v>9</v>
      </c>
      <c r="U91" s="1427">
        <f>if(countif('R4_G1'!$A$8:$A$17,$A91)=1,vlookup($A91,'R4_G1'!$A$8:$Y$17, U$2+7,false),if(countif('R4_G3'!$A$8:$A$17,$A91)=1,vlookup($A91,'R4_G3'!$A$8:$Y$17, U$2+7,false),if(countif('R4_G2'!$A$8:$A$17,$A91)=1,vlookup($A91,'R4_G2'!$A$8:$Y$17, U$2+7,false),if(countif('R4_G4'!$A$8:$A$17,$A91)=1,vlookup($A91,'R4_G4'!$A$8:$Y$17, U$2+7,false),""))))</f>
        <v>5</v>
      </c>
      <c r="V91" s="1427">
        <f>if(countif('R4_G1'!$A$8:$A$17,$A91)=1,vlookup($A91,'R4_G1'!$A$8:$Y$17, V$2+7,false),if(countif('R4_G3'!$A$8:$A$17,$A91)=1,vlookup($A91,'R4_G3'!$A$8:$Y$17, V$2+7,false),if(countif('R4_G2'!$A$8:$A$17,$A91)=1,vlookup($A91,'R4_G2'!$A$8:$Y$17, V$2+7,false),if(countif('R4_G4'!$A$8:$A$17,$A91)=1,vlookup($A91,'R4_G4'!$A$8:$Y$17, V$2+7,false),""))))</f>
        <v>6</v>
      </c>
      <c r="W91" s="1428">
        <f t="shared" si="113"/>
        <v>48</v>
      </c>
      <c r="X91" s="1428">
        <f t="shared" si="114"/>
        <v>51</v>
      </c>
      <c r="Y91" s="1428">
        <f t="shared" si="119"/>
        <v>99</v>
      </c>
      <c r="Z91" s="1428">
        <f t="shared" si="120"/>
        <v>84</v>
      </c>
      <c r="AA91" s="1438">
        <f t="shared" si="121"/>
        <v>99</v>
      </c>
      <c r="AB91" s="1567"/>
      <c r="AC91" s="1423" t="str">
        <f t="shared" si="122"/>
        <v>Joe O</v>
      </c>
      <c r="AD91" s="1424">
        <f>VLOOKUP(AC91,'Master Input'!$A$11:$L$27,12,false)</f>
        <v>15</v>
      </c>
      <c r="AE91" s="1423" t="s">
        <v>266</v>
      </c>
      <c r="AF91" s="1401"/>
      <c r="AG91" s="1428">
        <f t="shared" ref="AG91:AX91" si="144">if(E91="","",E91-IF($B91&gt;0,FLOOR($B91/18,1),0)-IF(AND(MOD($B91,18)&gt;=E$75,$B91&gt;0),1,0)+IF(E$75-18&gt;$B91,1,0))</f>
        <v>3</v>
      </c>
      <c r="AH91" s="1428">
        <f t="shared" si="144"/>
        <v>6</v>
      </c>
      <c r="AI91" s="1428">
        <f t="shared" si="144"/>
        <v>4</v>
      </c>
      <c r="AJ91" s="1428">
        <f t="shared" si="144"/>
        <v>4</v>
      </c>
      <c r="AK91" s="1428">
        <f t="shared" si="144"/>
        <v>5</v>
      </c>
      <c r="AL91" s="1428">
        <f t="shared" si="144"/>
        <v>5</v>
      </c>
      <c r="AM91" s="1428">
        <f t="shared" si="144"/>
        <v>4</v>
      </c>
      <c r="AN91" s="1428">
        <f t="shared" si="144"/>
        <v>6</v>
      </c>
      <c r="AO91" s="1428">
        <f t="shared" si="144"/>
        <v>4</v>
      </c>
      <c r="AP91" s="1429">
        <f t="shared" si="144"/>
        <v>6</v>
      </c>
      <c r="AQ91" s="1429">
        <f t="shared" si="144"/>
        <v>5</v>
      </c>
      <c r="AR91" s="1429">
        <f t="shared" si="144"/>
        <v>2</v>
      </c>
      <c r="AS91" s="1429">
        <f t="shared" si="144"/>
        <v>6</v>
      </c>
      <c r="AT91" s="1429">
        <f t="shared" si="144"/>
        <v>3</v>
      </c>
      <c r="AU91" s="1429">
        <f t="shared" si="144"/>
        <v>3</v>
      </c>
      <c r="AV91" s="1429">
        <f t="shared" si="144"/>
        <v>8</v>
      </c>
      <c r="AW91" s="1429">
        <f t="shared" si="144"/>
        <v>4</v>
      </c>
      <c r="AX91" s="1429">
        <f t="shared" si="144"/>
        <v>6</v>
      </c>
      <c r="AY91" s="1428">
        <f t="shared" si="116"/>
        <v>41</v>
      </c>
      <c r="AZ91" s="1428">
        <f t="shared" si="117"/>
        <v>43</v>
      </c>
      <c r="BA91" s="1428">
        <f t="shared" si="124"/>
        <v>84</v>
      </c>
      <c r="BB91" s="1430" t="str">
        <f>if(countif('R4_G1'!$A$8:$A$17,$A91)=1, if(and(BA91=Z91,BA91=vlookup($A91,'R4_G1'!$A$8:$AB$17, 28,false)),"yes","no"),
if(countif('R4_G3'!$A$8:$A$17,$A91)=1, if(and(BA91=Z91,BA91=vlookup($A91,'R4_G3'!$A$8:$AB$17, 28,false)),"yes","no"),
if(countif('R4_G2'!$A$8:$A$17,$A91)=1, if(and(BA91=Z91,BA91=vlookup($A91,'R4_G2'!$A$8:$AB$17, 28,false)),"yes","no"),
if(countif('R4_G4'!$A$8:$A$17,$A91)=1, if(and(BA91=Z91,BA91=vlookup($A91,'R4_G4'!$A$8:$AB$17, 28,false)),"yes","no"),
"?"))))
</f>
        <v>yes</v>
      </c>
      <c r="BC91" s="1567"/>
      <c r="BD91" s="1441">
        <f t="shared" si="125"/>
        <v>5.5</v>
      </c>
      <c r="BE91" s="1442">
        <f t="shared" si="126"/>
        <v>7.733333333</v>
      </c>
      <c r="BF91" s="1442">
        <f t="shared" si="127"/>
        <v>0</v>
      </c>
      <c r="BG91" s="1442">
        <f t="shared" si="128"/>
        <v>3</v>
      </c>
      <c r="BH91" s="1442">
        <f t="shared" si="129"/>
        <v>5</v>
      </c>
      <c r="BI91" s="1442">
        <f t="shared" si="130"/>
        <v>7</v>
      </c>
      <c r="BJ91" s="1442">
        <f t="shared" si="131"/>
        <v>3</v>
      </c>
    </row>
    <row r="92" ht="14.25" customHeight="1">
      <c r="A92" s="1434" t="str">
        <f t="shared" si="118"/>
        <v>Hile</v>
      </c>
      <c r="B92" s="1435">
        <f>VLOOKUP(A92,'Master Input'!$A$11:$L$27,12,false)</f>
        <v>26</v>
      </c>
      <c r="C92" s="1436"/>
      <c r="D92" s="1401"/>
      <c r="E92" s="1437">
        <f>if(countif('R4_G1'!$A$8:$A$17,$A92)=1,vlookup($A92,'R4_G1'!$A$8:$Y$17, E$2+4,false),if(countif('R4_G3'!$A$8:$A$17,$A92)=1,vlookup($A92,'R4_G3'!$A$8:$Y$17, E$2+4,false),if(countif('R4_G2'!$A$8:$A$17,$A92)=1,vlookup($A92,'R4_G2'!$A$8:$Y$17, E$2+4,false),if(countif('R4_G4'!$A$8:$A$17,$A92)=1,vlookup($A92,'R4_G4'!$A$8:$Y$17, E$2+4,false),""))))</f>
        <v>5</v>
      </c>
      <c r="F92" s="1437">
        <f>if(countif('R4_G1'!$A$8:$A$17,$A92)=1,vlookup($A92,'R4_G1'!$A$8:$Y$17, F$2+4,false),if(countif('R4_G3'!$A$8:$A$17,$A92)=1,vlookup($A92,'R4_G3'!$A$8:$Y$17, F$2+4,false),if(countif('R4_G2'!$A$8:$A$17,$A92)=1,vlookup($A92,'R4_G2'!$A$8:$Y$17, F$2+4,false),if(countif('R4_G4'!$A$8:$A$17,$A92)=1,vlookup($A92,'R4_G4'!$A$8:$Y$17, F$2+4,false),""))))</f>
        <v>5</v>
      </c>
      <c r="G92" s="1437">
        <f>if(countif('R4_G1'!$A$8:$A$17,$A92)=1,vlookup($A92,'R4_G1'!$A$8:$Y$17, G$2+4,false),if(countif('R4_G3'!$A$8:$A$17,$A92)=1,vlookup($A92,'R4_G3'!$A$8:$Y$17, G$2+4,false),if(countif('R4_G2'!$A$8:$A$17,$A92)=1,vlookup($A92,'R4_G2'!$A$8:$Y$17, G$2+4,false),if(countif('R4_G4'!$A$8:$A$17,$A92)=1,vlookup($A92,'R4_G4'!$A$8:$Y$17, G$2+4,false),""))))</f>
        <v>7</v>
      </c>
      <c r="H92" s="1437">
        <f>if(countif('R4_G1'!$A$8:$A$17,$A92)=1,vlookup($A92,'R4_G1'!$A$8:$Y$17, H$2+4,false),if(countif('R4_G3'!$A$8:$A$17,$A92)=1,vlookup($A92,'R4_G3'!$A$8:$Y$17, H$2+4,false),if(countif('R4_G2'!$A$8:$A$17,$A92)=1,vlookup($A92,'R4_G2'!$A$8:$Y$17, H$2+4,false),if(countif('R4_G4'!$A$8:$A$17,$A92)=1,vlookup($A92,'R4_G4'!$A$8:$Y$17, H$2+4,false),""))))</f>
        <v>3</v>
      </c>
      <c r="I92" s="1437">
        <f>if(countif('R4_G1'!$A$8:$A$17,$A92)=1,vlookup($A92,'R4_G1'!$A$8:$Y$17, I$2+4,false),if(countif('R4_G3'!$A$8:$A$17,$A92)=1,vlookup($A92,'R4_G3'!$A$8:$Y$17, I$2+4,false),if(countif('R4_G2'!$A$8:$A$17,$A92)=1,vlookup($A92,'R4_G2'!$A$8:$Y$17, I$2+4,false),if(countif('R4_G4'!$A$8:$A$17,$A92)=1,vlookup($A92,'R4_G4'!$A$8:$Y$17, I$2+4,false),""))))</f>
        <v>5</v>
      </c>
      <c r="J92" s="1437">
        <f>if(countif('R4_G1'!$A$8:$A$17,$A92)=1,vlookup($A92,'R4_G1'!$A$8:$Y$17, J$2+4,false),if(countif('R4_G3'!$A$8:$A$17,$A92)=1,vlookup($A92,'R4_G3'!$A$8:$Y$17, J$2+4,false),if(countif('R4_G2'!$A$8:$A$17,$A92)=1,vlookup($A92,'R4_G2'!$A$8:$Y$17, J$2+4,false),if(countif('R4_G4'!$A$8:$A$17,$A92)=1,vlookup($A92,'R4_G4'!$A$8:$Y$17, J$2+4,false),""))))</f>
        <v>8</v>
      </c>
      <c r="K92" s="1437">
        <f>if(countif('R4_G1'!$A$8:$A$17,$A92)=1,vlookup($A92,'R4_G1'!$A$8:$Y$17, K$2+4,false),if(countif('R4_G3'!$A$8:$A$17,$A92)=1,vlookup($A92,'R4_G3'!$A$8:$Y$17, K$2+4,false),if(countif('R4_G2'!$A$8:$A$17,$A92)=1,vlookup($A92,'R4_G2'!$A$8:$Y$17, K$2+4,false),if(countif('R4_G4'!$A$8:$A$17,$A92)=1,vlookup($A92,'R4_G4'!$A$8:$Y$17, K$2+4,false),""))))</f>
        <v>3</v>
      </c>
      <c r="L92" s="1437">
        <f>if(countif('R4_G1'!$A$8:$A$17,$A92)=1,vlookup($A92,'R4_G1'!$A$8:$Y$17, L$2+4,false),if(countif('R4_G3'!$A$8:$A$17,$A92)=1,vlookup($A92,'R4_G3'!$A$8:$Y$17, L$2+4,false),if(countif('R4_G2'!$A$8:$A$17,$A92)=1,vlookup($A92,'R4_G2'!$A$8:$Y$17, L$2+4,false),if(countif('R4_G4'!$A$8:$A$17,$A92)=1,vlookup($A92,'R4_G4'!$A$8:$Y$17, L$2+4,false),""))))</f>
        <v>6</v>
      </c>
      <c r="M92" s="1437">
        <f>if(countif('R4_G1'!$A$8:$A$17,$A92)=1,vlookup($A92,'R4_G1'!$A$8:$Y$17, M$2+4,false),if(countif('R4_G3'!$A$8:$A$17,$A92)=1,vlookup($A92,'R4_G3'!$A$8:$Y$17, M$2+4,false),if(countif('R4_G2'!$A$8:$A$17,$A92)=1,vlookup($A92,'R4_G2'!$A$8:$Y$17, M$2+4,false),if(countif('R4_G4'!$A$8:$A$17,$A92)=1,vlookup($A92,'R4_G4'!$A$8:$Y$17, M$2+4,false),""))))</f>
        <v>7</v>
      </c>
      <c r="N92" s="1426">
        <f>if(countif('R4_G1'!$A$8:$A$17,$A92)=1,vlookup($A92,'R4_G1'!$A$8:$Y$17, N$2+7,false),if(countif('R4_G3'!$A$8:$A$17,$A92)=1,vlookup($A92,'R4_G3'!$A$8:$Y$17, N$2+7,false),if(countif('R4_G2'!$A$8:$A$17,$A92)=1,vlookup($A92,'R4_G2'!$A$8:$Y$17, N$2+7,false),if(countif('R4_G4'!$A$8:$A$17,$A92)=1,vlookup($A92,'R4_G4'!$A$8:$Y$17, N$2+7,false),""))))</f>
        <v>7</v>
      </c>
      <c r="O92" s="1426">
        <f>if(countif('R4_G1'!$A$8:$A$17,$A92)=1,vlookup($A92,'R4_G1'!$A$8:$Y$17, O$2+7,false),if(countif('R4_G3'!$A$8:$A$17,$A92)=1,vlookup($A92,'R4_G3'!$A$8:$Y$17, O$2+7,false),if(countif('R4_G2'!$A$8:$A$17,$A92)=1,vlookup($A92,'R4_G2'!$A$8:$Y$17, O$2+7,false),if(countif('R4_G4'!$A$8:$A$17,$A92)=1,vlookup($A92,'R4_G4'!$A$8:$Y$17, O$2+7,false),""))))</f>
        <v>6</v>
      </c>
      <c r="P92" s="1426">
        <f>if(countif('R4_G1'!$A$8:$A$17,$A92)=1,vlookup($A92,'R4_G1'!$A$8:$Y$17, P$2+7,false),if(countif('R4_G3'!$A$8:$A$17,$A92)=1,vlookup($A92,'R4_G3'!$A$8:$Y$17, P$2+7,false),if(countif('R4_G2'!$A$8:$A$17,$A92)=1,vlookup($A92,'R4_G2'!$A$8:$Y$17, P$2+7,false),if(countif('R4_G4'!$A$8:$A$17,$A92)=1,vlookup($A92,'R4_G4'!$A$8:$Y$17, P$2+7,false),""))))</f>
        <v>3</v>
      </c>
      <c r="Q92" s="1426">
        <f>if(countif('R4_G1'!$A$8:$A$17,$A92)=1,vlookup($A92,'R4_G1'!$A$8:$Y$17, Q$2+7,false),if(countif('R4_G3'!$A$8:$A$17,$A92)=1,vlookup($A92,'R4_G3'!$A$8:$Y$17, Q$2+7,false),if(countif('R4_G2'!$A$8:$A$17,$A92)=1,vlookup($A92,'R4_G2'!$A$8:$Y$17, Q$2+7,false),if(countif('R4_G4'!$A$8:$A$17,$A92)=1,vlookup($A92,'R4_G4'!$A$8:$Y$17, Q$2+7,false),""))))</f>
        <v>5</v>
      </c>
      <c r="R92" s="1426">
        <f>if(countif('R4_G1'!$A$8:$A$17,$A92)=1,vlookup($A92,'R4_G1'!$A$8:$Y$17, R$2+7,false),if(countif('R4_G3'!$A$8:$A$17,$A92)=1,vlookup($A92,'R4_G3'!$A$8:$Y$17, R$2+7,false),if(countif('R4_G2'!$A$8:$A$17,$A92)=1,vlookup($A92,'R4_G2'!$A$8:$Y$17, R$2+7,false),if(countif('R4_G4'!$A$8:$A$17,$A92)=1,vlookup($A92,'R4_G4'!$A$8:$Y$17, R$2+7,false),""))))</f>
        <v>5</v>
      </c>
      <c r="S92" s="1426">
        <f>if(countif('R4_G1'!$A$8:$A$17,$A92)=1,vlookup($A92,'R4_G1'!$A$8:$Y$17, S$2+7,false),if(countif('R4_G3'!$A$8:$A$17,$A92)=1,vlookup($A92,'R4_G3'!$A$8:$Y$17, S$2+7,false),if(countif('R4_G2'!$A$8:$A$17,$A92)=1,vlookup($A92,'R4_G2'!$A$8:$Y$17, S$2+7,false),if(countif('R4_G4'!$A$8:$A$17,$A92)=1,vlookup($A92,'R4_G4'!$A$8:$Y$17, S$2+7,false),""))))</f>
        <v>5</v>
      </c>
      <c r="T92" s="1426">
        <f>if(countif('R4_G1'!$A$8:$A$17,$A92)=1,vlookup($A92,'R4_G1'!$A$8:$Y$17, T$2+7,false),if(countif('R4_G3'!$A$8:$A$17,$A92)=1,vlookup($A92,'R4_G3'!$A$8:$Y$17, T$2+7,false),if(countif('R4_G2'!$A$8:$A$17,$A92)=1,vlookup($A92,'R4_G2'!$A$8:$Y$17, T$2+7,false),if(countif('R4_G4'!$A$8:$A$17,$A92)=1,vlookup($A92,'R4_G4'!$A$8:$Y$17, T$2+7,false),""))))</f>
        <v>6</v>
      </c>
      <c r="U92" s="1426">
        <f>if(countif('R4_G1'!$A$8:$A$17,$A92)=1,vlookup($A92,'R4_G1'!$A$8:$Y$17, U$2+7,false),if(countif('R4_G3'!$A$8:$A$17,$A92)=1,vlookup($A92,'R4_G3'!$A$8:$Y$17, U$2+7,false),if(countif('R4_G2'!$A$8:$A$17,$A92)=1,vlookup($A92,'R4_G2'!$A$8:$Y$17, U$2+7,false),if(countif('R4_G4'!$A$8:$A$17,$A92)=1,vlookup($A92,'R4_G4'!$A$8:$Y$17, U$2+7,false),""))))</f>
        <v>7</v>
      </c>
      <c r="V92" s="1426">
        <f>if(countif('R4_G1'!$A$8:$A$17,$A92)=1,vlookup($A92,'R4_G1'!$A$8:$Y$17, V$2+7,false),if(countif('R4_G3'!$A$8:$A$17,$A92)=1,vlookup($A92,'R4_G3'!$A$8:$Y$17, V$2+7,false),if(countif('R4_G2'!$A$8:$A$17,$A92)=1,vlookup($A92,'R4_G2'!$A$8:$Y$17, V$2+7,false),if(countif('R4_G4'!$A$8:$A$17,$A92)=1,vlookup($A92,'R4_G4'!$A$8:$Y$17, V$2+7,false),""))))</f>
        <v>6</v>
      </c>
      <c r="W92" s="1438">
        <f t="shared" si="113"/>
        <v>49</v>
      </c>
      <c r="X92" s="1438">
        <f t="shared" si="114"/>
        <v>50</v>
      </c>
      <c r="Y92" s="1438">
        <f t="shared" si="119"/>
        <v>99</v>
      </c>
      <c r="Z92" s="1438">
        <f t="shared" si="120"/>
        <v>73</v>
      </c>
      <c r="AA92" s="1438">
        <f t="shared" si="121"/>
        <v>99</v>
      </c>
      <c r="AB92" s="1567"/>
      <c r="AC92" s="1434" t="str">
        <f t="shared" si="122"/>
        <v>Hile</v>
      </c>
      <c r="AD92" s="1435">
        <f>VLOOKUP(AC92,'Master Input'!$A$11:$L$27,12,false)</f>
        <v>26</v>
      </c>
      <c r="AE92" s="1434" t="s">
        <v>266</v>
      </c>
      <c r="AF92" s="1401"/>
      <c r="AG92" s="1438">
        <f t="shared" ref="AG92:AX92" si="145">if(E92="","",E92-IF($B92&gt;0,FLOOR($B92/18,1),0)-IF(AND(MOD($B92,18)&gt;=E$75,$B92&gt;0),1,0)+IF(E$75-18&gt;$B92,1,0))</f>
        <v>4</v>
      </c>
      <c r="AH92" s="1438">
        <f t="shared" si="145"/>
        <v>4</v>
      </c>
      <c r="AI92" s="1438">
        <f t="shared" si="145"/>
        <v>5</v>
      </c>
      <c r="AJ92" s="1438">
        <f t="shared" si="145"/>
        <v>2</v>
      </c>
      <c r="AK92" s="1438">
        <f t="shared" si="145"/>
        <v>3</v>
      </c>
      <c r="AL92" s="1438">
        <f t="shared" si="145"/>
        <v>7</v>
      </c>
      <c r="AM92" s="1438">
        <f t="shared" si="145"/>
        <v>2</v>
      </c>
      <c r="AN92" s="1438">
        <f t="shared" si="145"/>
        <v>4</v>
      </c>
      <c r="AO92" s="1438">
        <f t="shared" si="145"/>
        <v>5</v>
      </c>
      <c r="AP92" s="1426">
        <f t="shared" si="145"/>
        <v>5</v>
      </c>
      <c r="AQ92" s="1426">
        <f t="shared" si="145"/>
        <v>5</v>
      </c>
      <c r="AR92" s="1426">
        <f t="shared" si="145"/>
        <v>2</v>
      </c>
      <c r="AS92" s="1426">
        <f t="shared" si="145"/>
        <v>4</v>
      </c>
      <c r="AT92" s="1426">
        <f t="shared" si="145"/>
        <v>3</v>
      </c>
      <c r="AU92" s="1426">
        <f t="shared" si="145"/>
        <v>4</v>
      </c>
      <c r="AV92" s="1426">
        <f t="shared" si="145"/>
        <v>4</v>
      </c>
      <c r="AW92" s="1426">
        <f t="shared" si="145"/>
        <v>5</v>
      </c>
      <c r="AX92" s="1426">
        <f t="shared" si="145"/>
        <v>5</v>
      </c>
      <c r="AY92" s="1438">
        <f t="shared" si="116"/>
        <v>36</v>
      </c>
      <c r="AZ92" s="1438">
        <f t="shared" si="117"/>
        <v>37</v>
      </c>
      <c r="BA92" s="1438">
        <f t="shared" si="124"/>
        <v>73</v>
      </c>
      <c r="BB92" s="1436" t="str">
        <f>if(countif('R4_G1'!$A$8:$A$17,$A92)=1, if(and(BA92=Z92,BA92=vlookup($A92,'R4_G1'!$A$8:$AB$17, 28,false)),"yes","no"),
if(countif('R4_G3'!$A$8:$A$17,$A92)=1, if(and(BA92=Z92,BA92=vlookup($A92,'R4_G3'!$A$8:$AB$17, 28,false)),"yes","no"),
if(countif('R4_G2'!$A$8:$A$17,$A92)=1, if(and(BA92=Z92,BA92=vlookup($A92,'R4_G2'!$A$8:$AB$17, 28,false)),"yes","no"),
if(countif('R4_G4'!$A$8:$A$17,$A92)=1, if(and(BA92=Z92,BA92=vlookup($A92,'R4_G4'!$A$8:$AB$17, 28,false)),"yes","no"),
"?"))))
</f>
        <v>yes</v>
      </c>
      <c r="BC92" s="1567"/>
      <c r="BD92" s="1439">
        <f t="shared" si="125"/>
        <v>9</v>
      </c>
      <c r="BE92" s="1440">
        <f t="shared" si="126"/>
        <v>10.3</v>
      </c>
      <c r="BF92" s="1440">
        <f t="shared" si="127"/>
        <v>0</v>
      </c>
      <c r="BG92" s="1440">
        <f t="shared" si="128"/>
        <v>7</v>
      </c>
      <c r="BH92" s="1440">
        <f t="shared" si="129"/>
        <v>4</v>
      </c>
      <c r="BI92" s="1440">
        <f t="shared" si="130"/>
        <v>6</v>
      </c>
      <c r="BJ92" s="1440">
        <f t="shared" si="131"/>
        <v>1</v>
      </c>
    </row>
    <row r="93" ht="14.25" customHeight="1">
      <c r="A93" s="1569"/>
      <c r="B93" s="1556"/>
      <c r="C93" s="1445">
        <f>COUNTIF(C77:C92, "Y")*C75</f>
        <v>0</v>
      </c>
      <c r="D93" s="1446" t="s">
        <v>267</v>
      </c>
      <c r="E93" s="1447" t="str">
        <f t="array" ref="E93">IF(OR(SUM(IF(IF('Locked Bets Setup'!$I$5:$I$20="Y", E77:E92, 10)=MIN(IF('Locked Bets Setup'!$I$5:$I$20="Y", E77:E92, 10)), 1, 0)) &gt; 1, MIN(IF('Locked Bets Setup'!$I$5:$I$20="Y", E77:E92, 10)) &gt; E76), "", INDEX('Locked Bets Setup'!$A$5:$A$20,MATCH(MIN(IF('Locked Bets Setup'!$I$5:$I$20="Y",E77:E92,10)),IF('Locked Bets Setup'!$I$5:$I$20="Y",E77:E92,10),0)))</f>
        <v/>
      </c>
      <c r="F93" s="1447" t="str">
        <f t="array" ref="F93">IF(OR(SUM(IF(IF('Locked Bets Setup'!$I$5:$I$20="Y", F77:F92, 10)=MIN(IF('Locked Bets Setup'!$I$5:$I$20="Y", F77:F92, 10)), 1, 0)) &gt; 1, MIN(IF('Locked Bets Setup'!$I$5:$I$20="Y", F77:F92, 10)) &gt; F76), "", INDEX('Locked Bets Setup'!$A$5:$A$20,MATCH(MIN(IF('Locked Bets Setup'!$I$5:$I$20="Y",F77:F92,10)),IF('Locked Bets Setup'!$I$5:$I$20="Y",F77:F92,10),0)))</f>
        <v>DK</v>
      </c>
      <c r="G93" s="1447" t="str">
        <f t="array" ref="G93">IF(OR(SUM(IF(IF('Locked Bets Setup'!$I$5:$I$20="Y", G77:G92, 10)=MIN(IF('Locked Bets Setup'!$I$5:$I$20="Y", G77:G92, 10)), 1, 0)) &gt; 1, MIN(IF('Locked Bets Setup'!$I$5:$I$20="Y", G77:G92, 10)) &gt; G76), "", INDEX('Locked Bets Setup'!$A$5:$A$20,MATCH(MIN(IF('Locked Bets Setup'!$I$5:$I$20="Y",G77:G92,10)),IF('Locked Bets Setup'!$I$5:$I$20="Y",G77:G92,10),0)))</f>
        <v>Saugy</v>
      </c>
      <c r="H93" s="1447" t="str">
        <f t="array" ref="H93">IF(OR(SUM(IF(IF('Locked Bets Setup'!$I$5:$I$20="Y", H77:H92, 10)=MIN(IF('Locked Bets Setup'!$I$5:$I$20="Y", H77:H92, 10)), 1, 0)) &gt; 1, MIN(IF('Locked Bets Setup'!$I$5:$I$20="Y", H77:H92, 10)) &gt; H76), "", INDEX('Locked Bets Setup'!$A$5:$A$20,MATCH(MIN(IF('Locked Bets Setup'!$I$5:$I$20="Y",H77:H92,10)),IF('Locked Bets Setup'!$I$5:$I$20="Y",H77:H92,10),0)))</f>
        <v/>
      </c>
      <c r="I93" s="1447" t="str">
        <f t="array" ref="I93">IF(OR(SUM(IF(IF('Locked Bets Setup'!$I$5:$I$20="Y", I77:I92, 10)=MIN(IF('Locked Bets Setup'!$I$5:$I$20="Y", I77:I92, 10)), 1, 0)) &gt; 1, MIN(IF('Locked Bets Setup'!$I$5:$I$20="Y", I77:I92, 10)) &gt; I76), "", INDEX('Locked Bets Setup'!$A$5:$A$20,MATCH(MIN(IF('Locked Bets Setup'!$I$5:$I$20="Y",I77:I92,10)),IF('Locked Bets Setup'!$I$5:$I$20="Y",I77:I92,10),0)))</f>
        <v>TJSC</v>
      </c>
      <c r="J93" s="1447" t="str">
        <f t="array" ref="J93">IF(OR(SUM(IF(IF('Locked Bets Setup'!$I$5:$I$20="Y", J77:J92, 10)=MIN(IF('Locked Bets Setup'!$I$5:$I$20="Y", J77:J92, 10)), 1, 0)) &gt; 1, MIN(IF('Locked Bets Setup'!$I$5:$I$20="Y", J77:J92, 10)) &gt; J76), "", INDEX('Locked Bets Setup'!$A$5:$A$20,MATCH(MIN(IF('Locked Bets Setup'!$I$5:$I$20="Y",J77:J92,10)),IF('Locked Bets Setup'!$I$5:$I$20="Y",J77:J92,10),0)))</f>
        <v/>
      </c>
      <c r="K93" s="1447" t="str">
        <f t="array" ref="K93">IF(OR(SUM(IF(IF('Locked Bets Setup'!$I$5:$I$20="Y", K77:K92, 10)=MIN(IF('Locked Bets Setup'!$I$5:$I$20="Y", K77:K92, 10)), 1, 0)) &gt; 1, MIN(IF('Locked Bets Setup'!$I$5:$I$20="Y", K77:K92, 10)) &gt; K76), "", INDEX('Locked Bets Setup'!$A$5:$A$20,MATCH(MIN(IF('Locked Bets Setup'!$I$5:$I$20="Y",K77:K92,10)),IF('Locked Bets Setup'!$I$5:$I$20="Y",K77:K92,10),0)))</f>
        <v/>
      </c>
      <c r="L93" s="1447" t="str">
        <f t="array" ref="L93">IF(OR(SUM(IF(IF('Locked Bets Setup'!$I$5:$I$20="Y", L77:L92, 10)=MIN(IF('Locked Bets Setup'!$I$5:$I$20="Y", L77:L92, 10)), 1, 0)) &gt; 1, MIN(IF('Locked Bets Setup'!$I$5:$I$20="Y", L77:L92, 10)) &gt; L76), "", INDEX('Locked Bets Setup'!$A$5:$A$20,MATCH(MIN(IF('Locked Bets Setup'!$I$5:$I$20="Y",L77:L92,10)),IF('Locked Bets Setup'!$I$5:$I$20="Y",L77:L92,10),0)))</f>
        <v/>
      </c>
      <c r="M93" s="1447" t="str">
        <f t="array" ref="M93">IF(OR(SUM(IF(IF('Locked Bets Setup'!$I$5:$I$20="Y", M77:M92, 10)=MIN(IF('Locked Bets Setup'!$I$5:$I$20="Y", M77:M92, 10)), 1, 0)) &gt; 1, MIN(IF('Locked Bets Setup'!$I$5:$I$20="Y", M77:M92, 10)) &gt; M76), "", INDEX('Locked Bets Setup'!$A$5:$A$20,MATCH(MIN(IF('Locked Bets Setup'!$I$5:$I$20="Y",M77:M92,10)),IF('Locked Bets Setup'!$I$5:$I$20="Y",M77:M92,10),0)))</f>
        <v>KJ</v>
      </c>
      <c r="N93" s="1447" t="str">
        <f t="array" ref="N93">IF(OR(SUM(IF(IF('Locked Bets Setup'!$I$5:$I$20="Y", N77:N92, 10)=MIN(IF('Locked Bets Setup'!$I$5:$I$20="Y", N77:N92, 10)), 1, 0)) &gt; 1, MIN(IF('Locked Bets Setup'!$I$5:$I$20="Y", N77:N92, 10)) &gt; N76), "", INDEX('Locked Bets Setup'!$A$5:$A$20,MATCH(MIN(IF('Locked Bets Setup'!$I$5:$I$20="Y",N77:N92,10)),IF('Locked Bets Setup'!$I$5:$I$20="Y",N77:N92,10),0)))</f>
        <v/>
      </c>
      <c r="O93" s="1447" t="str">
        <f t="array" ref="O93">IF(OR(SUM(IF(IF('Locked Bets Setup'!$I$5:$I$20="Y", O77:O92, 10)=MIN(IF('Locked Bets Setup'!$I$5:$I$20="Y", O77:O92, 10)), 1, 0)) &gt; 1, MIN(IF('Locked Bets Setup'!$I$5:$I$20="Y", O77:O92, 10)) &gt; O76), "", INDEX('Locked Bets Setup'!$A$5:$A$20,MATCH(MIN(IF('Locked Bets Setup'!$I$5:$I$20="Y",O77:O92,10)),IF('Locked Bets Setup'!$I$5:$I$20="Y",O77:O92,10),0)))</f>
        <v/>
      </c>
      <c r="P93" s="1447" t="str">
        <f t="array" ref="P93">IF(OR(SUM(IF(IF('Locked Bets Setup'!$I$5:$I$20="Y", P77:P92, 10)=MIN(IF('Locked Bets Setup'!$I$5:$I$20="Y", P77:P92, 10)), 1, 0)) &gt; 1, MIN(IF('Locked Bets Setup'!$I$5:$I$20="Y", P77:P92, 10)) &gt; P76), "", INDEX('Locked Bets Setup'!$A$5:$A$20,MATCH(MIN(IF('Locked Bets Setup'!$I$5:$I$20="Y",P77:P92,10)),IF('Locked Bets Setup'!$I$5:$I$20="Y",P77:P92,10),0)))</f>
        <v/>
      </c>
      <c r="Q93" s="1447" t="str">
        <f t="array" ref="Q93">IF(OR(SUM(IF(IF('Locked Bets Setup'!$I$5:$I$20="Y", Q77:Q92, 10)=MIN(IF('Locked Bets Setup'!$I$5:$I$20="Y", Q77:Q92, 10)), 1, 0)) &gt; 1, MIN(IF('Locked Bets Setup'!$I$5:$I$20="Y", Q77:Q92, 10)) &gt; Q76), "", INDEX('Locked Bets Setup'!$A$5:$A$20,MATCH(MIN(IF('Locked Bets Setup'!$I$5:$I$20="Y",Q77:Q92,10)),IF('Locked Bets Setup'!$I$5:$I$20="Y",Q77:Q92,10),0)))</f>
        <v/>
      </c>
      <c r="R93" s="1447" t="str">
        <f t="array" ref="R93">IF(OR(SUM(IF(IF('Locked Bets Setup'!$I$5:$I$20="Y", R77:R92, 10)=MIN(IF('Locked Bets Setup'!$I$5:$I$20="Y", R77:R92, 10)), 1, 0)) &gt; 1, MIN(IF('Locked Bets Setup'!$I$5:$I$20="Y", R77:R92, 10)) &gt; R76), "", INDEX('Locked Bets Setup'!$A$5:$A$20,MATCH(MIN(IF('Locked Bets Setup'!$I$5:$I$20="Y",R77:R92,10)),IF('Locked Bets Setup'!$I$5:$I$20="Y",R77:R92,10),0)))</f>
        <v/>
      </c>
      <c r="S93" s="1447" t="str">
        <f t="array" ref="S93">IF(OR(SUM(IF(IF('Locked Bets Setup'!$I$5:$I$20="Y", S77:S92, 10)=MIN(IF('Locked Bets Setup'!$I$5:$I$20="Y", S77:S92, 10)), 1, 0)) &gt; 1, MIN(IF('Locked Bets Setup'!$I$5:$I$20="Y", S77:S92, 10)) &gt; S76), "", INDEX('Locked Bets Setup'!$A$5:$A$20,MATCH(MIN(IF('Locked Bets Setup'!$I$5:$I$20="Y",S77:S92,10)),IF('Locked Bets Setup'!$I$5:$I$20="Y",S77:S92,10),0)))</f>
        <v/>
      </c>
      <c r="T93" s="1447" t="str">
        <f t="array" ref="T93">IF(OR(SUM(IF(IF('Locked Bets Setup'!$I$5:$I$20="Y", T77:T92, 10)=MIN(IF('Locked Bets Setup'!$I$5:$I$20="Y", T77:T92, 10)), 1, 0)) &gt; 1, MIN(IF('Locked Bets Setup'!$I$5:$I$20="Y", T77:T92, 10)) &gt; T76), "", INDEX('Locked Bets Setup'!$A$5:$A$20,MATCH(MIN(IF('Locked Bets Setup'!$I$5:$I$20="Y",T77:T92,10)),IF('Locked Bets Setup'!$I$5:$I$20="Y",T77:T92,10),0)))</f>
        <v>Telly</v>
      </c>
      <c r="U93" s="1447" t="str">
        <f t="array" ref="U93">IF(OR(SUM(IF(IF('Locked Bets Setup'!$I$5:$I$20="Y", U77:U92, 10)=MIN(IF('Locked Bets Setup'!$I$5:$I$20="Y", U77:U92, 10)), 1, 0)) &gt; 1, MIN(IF('Locked Bets Setup'!$I$5:$I$20="Y", U77:U92, 10)) &gt; U76), "", INDEX('Locked Bets Setup'!$A$5:$A$20,MATCH(MIN(IF('Locked Bets Setup'!$I$5:$I$20="Y",U77:U92,10)),IF('Locked Bets Setup'!$I$5:$I$20="Y",U77:U92,10),0)))</f>
        <v>T-Mo</v>
      </c>
      <c r="V93" s="1447" t="str">
        <f t="array" ref="V93">IF(OR(SUM(IF(IF('Locked Bets Setup'!$I$5:$I$20="Y", V77:V92, 10)=MIN(IF('Locked Bets Setup'!$I$5:$I$20="Y", V77:V92, 10)), 1, 0)) &gt; 1, MIN(IF('Locked Bets Setup'!$I$5:$I$20="Y", V77:V92, 10)) &gt; V76), "", INDEX('Locked Bets Setup'!$A$5:$A$20,MATCH(MIN(IF('Locked Bets Setup'!$I$5:$I$20="Y",V77:V92,10)),IF('Locked Bets Setup'!$I$5:$I$20="Y",V77:V92,10),0)))</f>
        <v>Telly</v>
      </c>
      <c r="W93" s="1448"/>
      <c r="X93" s="1448"/>
      <c r="Y93" s="1449">
        <f>18-COUNTBLANK(E93:V93)</f>
        <v>7</v>
      </c>
      <c r="Z93" s="1580"/>
      <c r="AA93" s="1581"/>
      <c r="AB93" s="1582"/>
      <c r="AC93" s="1569"/>
      <c r="AD93" s="1556"/>
      <c r="AE93" s="1445">
        <f>COUNTIF(AE77:AE92, "Y")*AE75</f>
        <v>80</v>
      </c>
      <c r="AF93" s="1446" t="s">
        <v>267</v>
      </c>
      <c r="AG93" s="1447" t="str">
        <f t="array" ref="AG93">IF(OR(SUM(IF(IF('Locked Bets Setup'!$I$5:$I$20="Y", AG77:AG92, 10)=MIN(IF('Locked Bets Setup'!$I$5:$I$20="Y", AG77:AG92, 10)), 1, 0)) &gt; 1, MIN(IF('Locked Bets Setup'!$I$5:$I$20="Y", AG77:AG92, 10)) &gt; AG76), "", INDEX('Locked Bets Setup'!$A$5:$A$20,MATCH(MIN(IF('Locked Bets Setup'!$I$5:$I$20="Y",AG77:AG92,10)),IF('Locked Bets Setup'!$I$5:$I$20="Y",AG77:AG92,10),0)))</f>
        <v/>
      </c>
      <c r="AH93" s="1447" t="str">
        <f t="array" ref="AH93">IF(OR(SUM(IF(IF('Locked Bets Setup'!$I$5:$I$20="Y", AH77:AH92, 10)=MIN(IF('Locked Bets Setup'!$I$5:$I$20="Y", AH77:AH92, 10)), 1, 0)) &gt; 1, MIN(IF('Locked Bets Setup'!$I$5:$I$20="Y", AH77:AH92, 10)) &gt; AH76), "", INDEX('Locked Bets Setup'!$A$5:$A$20,MATCH(MIN(IF('Locked Bets Setup'!$I$5:$I$20="Y",AH77:AH92,10)),IF('Locked Bets Setup'!$I$5:$I$20="Y",AH77:AH92,10),0)))</f>
        <v/>
      </c>
      <c r="AI93" s="1447" t="str">
        <f t="array" ref="AI93">IF(OR(SUM(IF(IF('Locked Bets Setup'!$I$5:$I$20="Y", AI77:AI92, 10)=MIN(IF('Locked Bets Setup'!$I$5:$I$20="Y", AI77:AI92, 10)), 1, 0)) &gt; 1, MIN(IF('Locked Bets Setup'!$I$5:$I$20="Y", AI77:AI92, 10)) &gt; AI76), "", INDEX('Locked Bets Setup'!$A$5:$A$20,MATCH(MIN(IF('Locked Bets Setup'!$I$5:$I$20="Y",AI77:AI92,10)),IF('Locked Bets Setup'!$I$5:$I$20="Y",AI77:AI92,10),0)))</f>
        <v>Saugy</v>
      </c>
      <c r="AJ93" s="1447" t="str">
        <f t="array" ref="AJ93">IF(OR(SUM(IF(IF('Locked Bets Setup'!$I$5:$I$20="Y", AJ77:AJ92, 10)=MIN(IF('Locked Bets Setup'!$I$5:$I$20="Y", AJ77:AJ92, 10)), 1, 0)) &gt; 1, MIN(IF('Locked Bets Setup'!$I$5:$I$20="Y", AJ77:AJ92, 10)) &gt; AJ76), "", INDEX('Locked Bets Setup'!$A$5:$A$20,MATCH(MIN(IF('Locked Bets Setup'!$I$5:$I$20="Y",AJ77:AJ92,10)),IF('Locked Bets Setup'!$I$5:$I$20="Y",AJ77:AJ92,10),0)))</f>
        <v/>
      </c>
      <c r="AK93" s="1447" t="str">
        <f t="array" ref="AK93">IF(OR(SUM(IF(IF('Locked Bets Setup'!$I$5:$I$20="Y", AK77:AK92, 10)=MIN(IF('Locked Bets Setup'!$I$5:$I$20="Y", AK77:AK92, 10)), 1, 0)) &gt; 1, MIN(IF('Locked Bets Setup'!$I$5:$I$20="Y", AK77:AK92, 10)) &gt; AK76), "", INDEX('Locked Bets Setup'!$A$5:$A$20,MATCH(MIN(IF('Locked Bets Setup'!$I$5:$I$20="Y",AK77:AK92,10)),IF('Locked Bets Setup'!$I$5:$I$20="Y",AK77:AK92,10),0)))</f>
        <v>TJSC</v>
      </c>
      <c r="AL93" s="1447" t="str">
        <f t="array" ref="AL93">IF(OR(SUM(IF(IF('Locked Bets Setup'!$I$5:$I$20="Y", AL77:AL92, 10)=MIN(IF('Locked Bets Setup'!$I$5:$I$20="Y", AL77:AL92, 10)), 1, 0)) &gt; 1, MIN(IF('Locked Bets Setup'!$I$5:$I$20="Y", AL77:AL92, 10)) &gt; AL76), "", INDEX('Locked Bets Setup'!$A$5:$A$20,MATCH(MIN(IF('Locked Bets Setup'!$I$5:$I$20="Y",AL77:AL92,10)),IF('Locked Bets Setup'!$I$5:$I$20="Y",AL77:AL92,10),0)))</f>
        <v>Carp</v>
      </c>
      <c r="AM93" s="1447" t="str">
        <f t="array" ref="AM93">IF(OR(SUM(IF(IF('Locked Bets Setup'!$I$5:$I$20="Y", AM77:AM92, 10)=MIN(IF('Locked Bets Setup'!$I$5:$I$20="Y", AM77:AM92, 10)), 1, 0)) &gt; 1, MIN(IF('Locked Bets Setup'!$I$5:$I$20="Y", AM77:AM92, 10)) &gt; AM76), "", INDEX('Locked Bets Setup'!$A$5:$A$20,MATCH(MIN(IF('Locked Bets Setup'!$I$5:$I$20="Y",AM77:AM92,10)),IF('Locked Bets Setup'!$I$5:$I$20="Y",AM77:AM92,10),0)))</f>
        <v>Saugy</v>
      </c>
      <c r="AN93" s="1447" t="str">
        <f t="array" ref="AN93">IF(OR(SUM(IF(IF('Locked Bets Setup'!$I$5:$I$20="Y", AN77:AN92, 10)=MIN(IF('Locked Bets Setup'!$I$5:$I$20="Y", AN77:AN92, 10)), 1, 0)) &gt; 1, MIN(IF('Locked Bets Setup'!$I$5:$I$20="Y", AN77:AN92, 10)) &gt; AN76), "", INDEX('Locked Bets Setup'!$A$5:$A$20,MATCH(MIN(IF('Locked Bets Setup'!$I$5:$I$20="Y",AN77:AN92,10)),IF('Locked Bets Setup'!$I$5:$I$20="Y",AN77:AN92,10),0)))</f>
        <v/>
      </c>
      <c r="AO93" s="1447" t="str">
        <f t="array" ref="AO93">IF(OR(SUM(IF(IF('Locked Bets Setup'!$I$5:$I$20="Y", AO77:AO92, 10)=MIN(IF('Locked Bets Setup'!$I$5:$I$20="Y", AO77:AO92, 10)), 1, 0)) &gt; 1, MIN(IF('Locked Bets Setup'!$I$5:$I$20="Y", AO77:AO92, 10)) &gt; AO76), "", INDEX('Locked Bets Setup'!$A$5:$A$20,MATCH(MIN(IF('Locked Bets Setup'!$I$5:$I$20="Y",AO77:AO92,10)),IF('Locked Bets Setup'!$I$5:$I$20="Y",AO77:AO92,10),0)))</f>
        <v>KJ</v>
      </c>
      <c r="AP93" s="1447" t="str">
        <f t="array" ref="AP93">IF(OR(SUM(IF(IF('Locked Bets Setup'!$I$5:$I$20="Y", AP77:AP92, 10)=MIN(IF('Locked Bets Setup'!$I$5:$I$20="Y", AP77:AP92, 10)), 1, 0)) &gt; 1, MIN(IF('Locked Bets Setup'!$I$5:$I$20="Y", AP77:AP92, 10)) &gt; AP76), "", INDEX('Locked Bets Setup'!$A$5:$A$20,MATCH(MIN(IF('Locked Bets Setup'!$I$5:$I$20="Y",AP77:AP92,10)),IF('Locked Bets Setup'!$I$5:$I$20="Y",AP77:AP92,10),0)))</f>
        <v/>
      </c>
      <c r="AQ93" s="1447" t="str">
        <f t="array" ref="AQ93">IF(OR(SUM(IF(IF('Locked Bets Setup'!$I$5:$I$20="Y", AQ77:AQ92, 10)=MIN(IF('Locked Bets Setup'!$I$5:$I$20="Y", AQ77:AQ92, 10)), 1, 0)) &gt; 1, MIN(IF('Locked Bets Setup'!$I$5:$I$20="Y", AQ77:AQ92, 10)) &gt; AQ76), "", INDEX('Locked Bets Setup'!$A$5:$A$20,MATCH(MIN(IF('Locked Bets Setup'!$I$5:$I$20="Y",AQ77:AQ92,10)),IF('Locked Bets Setup'!$I$5:$I$20="Y",AQ77:AQ92,10),0)))</f>
        <v>Saugy</v>
      </c>
      <c r="AR93" s="1447" t="str">
        <f t="array" ref="AR93">IF(OR(SUM(IF(IF('Locked Bets Setup'!$I$5:$I$20="Y", AR77:AR92, 10)=MIN(IF('Locked Bets Setup'!$I$5:$I$20="Y", AR77:AR92, 10)), 1, 0)) &gt; 1, MIN(IF('Locked Bets Setup'!$I$5:$I$20="Y", AR77:AR92, 10)) &gt; AR76), "", INDEX('Locked Bets Setup'!$A$5:$A$20,MATCH(MIN(IF('Locked Bets Setup'!$I$5:$I$20="Y",AR77:AR92,10)),IF('Locked Bets Setup'!$I$5:$I$20="Y",AR77:AR92,10),0)))</f>
        <v/>
      </c>
      <c r="AS93" s="1447" t="str">
        <f t="array" ref="AS93">IF(OR(SUM(IF(IF('Locked Bets Setup'!$I$5:$I$20="Y", AS77:AS92, 10)=MIN(IF('Locked Bets Setup'!$I$5:$I$20="Y", AS77:AS92, 10)), 1, 0)) &gt; 1, MIN(IF('Locked Bets Setup'!$I$5:$I$20="Y", AS77:AS92, 10)) &gt; AS76), "", INDEX('Locked Bets Setup'!$A$5:$A$20,MATCH(MIN(IF('Locked Bets Setup'!$I$5:$I$20="Y",AS77:AS92,10)),IF('Locked Bets Setup'!$I$5:$I$20="Y",AS77:AS92,10),0)))</f>
        <v/>
      </c>
      <c r="AT93" s="1447" t="str">
        <f t="array" ref="AT93">IF(OR(SUM(IF(IF('Locked Bets Setup'!$I$5:$I$20="Y", AT77:AT92, 10)=MIN(IF('Locked Bets Setup'!$I$5:$I$20="Y", AT77:AT92, 10)), 1, 0)) &gt; 1, MIN(IF('Locked Bets Setup'!$I$5:$I$20="Y", AT77:AT92, 10)) &gt; AT76), "", INDEX('Locked Bets Setup'!$A$5:$A$20,MATCH(MIN(IF('Locked Bets Setup'!$I$5:$I$20="Y",AT77:AT92,10)),IF('Locked Bets Setup'!$I$5:$I$20="Y",AT77:AT92,10),0)))</f>
        <v/>
      </c>
      <c r="AU93" s="1447" t="str">
        <f t="array" ref="AU93">IF(OR(SUM(IF(IF('Locked Bets Setup'!$I$5:$I$20="Y", AU77:AU92, 10)=MIN(IF('Locked Bets Setup'!$I$5:$I$20="Y", AU77:AU92, 10)), 1, 0)) &gt; 1, MIN(IF('Locked Bets Setup'!$I$5:$I$20="Y", AU77:AU92, 10)) &gt; AU76), "", INDEX('Locked Bets Setup'!$A$5:$A$20,MATCH(MIN(IF('Locked Bets Setup'!$I$5:$I$20="Y",AU77:AU92,10)),IF('Locked Bets Setup'!$I$5:$I$20="Y",AU77:AU92,10),0)))</f>
        <v>Saugy</v>
      </c>
      <c r="AV93" s="1447" t="str">
        <f t="array" ref="AV93">IF(OR(SUM(IF(IF('Locked Bets Setup'!$I$5:$I$20="Y", AV77:AV92, 10)=MIN(IF('Locked Bets Setup'!$I$5:$I$20="Y", AV77:AV92, 10)), 1, 0)) &gt; 1, MIN(IF('Locked Bets Setup'!$I$5:$I$20="Y", AV77:AV92, 10)) &gt; AV76), "", INDEX('Locked Bets Setup'!$A$5:$A$20,MATCH(MIN(IF('Locked Bets Setup'!$I$5:$I$20="Y",AV77:AV92,10)),IF('Locked Bets Setup'!$I$5:$I$20="Y",AV77:AV92,10),0)))</f>
        <v>Telly</v>
      </c>
      <c r="AW93" s="1447" t="str">
        <f t="array" ref="AW93">IF(OR(SUM(IF(IF('Locked Bets Setup'!$I$5:$I$20="Y", AW77:AW92, 10)=MIN(IF('Locked Bets Setup'!$I$5:$I$20="Y", AW77:AW92, 10)), 1, 0)) &gt; 1, MIN(IF('Locked Bets Setup'!$I$5:$I$20="Y", AW77:AW92, 10)) &gt; AW76), "", INDEX('Locked Bets Setup'!$A$5:$A$20,MATCH(MIN(IF('Locked Bets Setup'!$I$5:$I$20="Y",AW77:AW92,10)),IF('Locked Bets Setup'!$I$5:$I$20="Y",AW77:AW92,10),0)))</f>
        <v>T-Mo</v>
      </c>
      <c r="AX93" s="1447" t="str">
        <f t="array" ref="AX93">IF(OR(SUM(IF(IF('Locked Bets Setup'!$I$5:$I$20="Y", AX77:AX92, 10)=MIN(IF('Locked Bets Setup'!$I$5:$I$20="Y", AX77:AX92, 10)), 1, 0)) &gt; 1, MIN(IF('Locked Bets Setup'!$I$5:$I$20="Y", AX77:AX92, 10)) &gt; AX76), "", INDEX('Locked Bets Setup'!$A$5:$A$20,MATCH(MIN(IF('Locked Bets Setup'!$I$5:$I$20="Y",AX77:AX92,10)),IF('Locked Bets Setup'!$I$5:$I$20="Y",AX77:AX92,10),0)))</f>
        <v>Telly</v>
      </c>
      <c r="AY93" s="1447"/>
      <c r="AZ93" s="1447"/>
      <c r="BA93" s="1447">
        <f>18-COUNTBLANK(AG93:AX93)</f>
        <v>10</v>
      </c>
      <c r="BB93" s="1562"/>
      <c r="BC93" s="1582"/>
      <c r="BD93" s="1583"/>
      <c r="BE93" s="1583">
        <f>sum(BE77:BE92)</f>
        <v>144</v>
      </c>
      <c r="BF93" s="1584">
        <f>sum(BF77:BJ92)</f>
        <v>288</v>
      </c>
      <c r="BG93" s="1583"/>
      <c r="BH93" s="1583"/>
      <c r="BI93" s="1583"/>
      <c r="BJ93" s="1583"/>
    </row>
    <row r="94" ht="14.25" customHeight="1">
      <c r="A94" s="1569"/>
      <c r="B94" s="1556"/>
      <c r="C94" s="1556"/>
      <c r="D94" s="1505" t="s">
        <v>268</v>
      </c>
      <c r="E94" s="1436"/>
      <c r="F94" s="1436"/>
      <c r="G94" s="1436"/>
      <c r="H94" s="1434" t="s">
        <v>167</v>
      </c>
      <c r="I94" s="1436"/>
      <c r="J94" s="1436"/>
      <c r="K94" s="1434" t="s">
        <v>166</v>
      </c>
      <c r="L94" s="1436"/>
      <c r="M94" s="1436"/>
      <c r="N94" s="1436"/>
      <c r="O94" s="1436"/>
      <c r="P94" s="1434" t="s">
        <v>152</v>
      </c>
      <c r="Q94" s="1436"/>
      <c r="R94" s="1436"/>
      <c r="S94" s="1434" t="s">
        <v>169</v>
      </c>
      <c r="T94" s="1436"/>
      <c r="U94" s="1436"/>
      <c r="V94" s="1436"/>
      <c r="W94" s="1447"/>
      <c r="X94" s="1447"/>
      <c r="Y94" s="1585">
        <f t="shared" ref="Y94:Y95" si="146">counta(E94:V94)</f>
        <v>4</v>
      </c>
      <c r="Z94" s="1586"/>
      <c r="AA94" s="1567"/>
      <c r="AB94" s="1582"/>
      <c r="AC94" s="1569"/>
      <c r="AD94" s="1556"/>
      <c r="AE94" s="1556"/>
      <c r="AF94" s="1556"/>
      <c r="AG94" s="1556"/>
      <c r="AH94" s="1556"/>
      <c r="AI94" s="1556"/>
      <c r="AJ94" s="1556"/>
      <c r="AK94" s="1556"/>
      <c r="AL94" s="1556"/>
      <c r="AM94" s="1556"/>
      <c r="AN94" s="1556"/>
      <c r="AO94" s="1556"/>
      <c r="AP94" s="1556"/>
      <c r="AQ94" s="1556"/>
      <c r="AR94" s="1556"/>
      <c r="AS94" s="1556"/>
      <c r="AT94" s="1556"/>
      <c r="AU94" s="1556"/>
      <c r="AV94" s="1556"/>
      <c r="AW94" s="1556"/>
      <c r="AX94" s="1556"/>
      <c r="AY94" s="1556"/>
      <c r="AZ94" s="1556"/>
      <c r="BA94" s="1556"/>
      <c r="BB94" s="1587"/>
      <c r="BC94" s="1582"/>
      <c r="BD94" s="1588"/>
      <c r="BE94" s="1588"/>
      <c r="BF94" s="1588"/>
      <c r="BG94" s="1588"/>
      <c r="BH94" s="1588"/>
      <c r="BI94" s="1588"/>
      <c r="BJ94" s="1588"/>
    </row>
    <row r="95" ht="14.25" customHeight="1">
      <c r="A95" s="1589"/>
      <c r="B95" s="1590"/>
      <c r="C95" s="1590"/>
      <c r="D95" s="1507" t="s">
        <v>269</v>
      </c>
      <c r="E95" s="1458"/>
      <c r="F95" s="1459" t="s">
        <v>155</v>
      </c>
      <c r="G95" s="1458"/>
      <c r="H95" s="1458"/>
      <c r="I95" s="1458"/>
      <c r="J95" s="1459" t="s">
        <v>162</v>
      </c>
      <c r="K95" s="1458"/>
      <c r="L95" s="1458"/>
      <c r="M95" s="1458"/>
      <c r="N95" s="1458"/>
      <c r="O95" s="1458"/>
      <c r="P95" s="1458"/>
      <c r="Q95" s="1459" t="s">
        <v>149</v>
      </c>
      <c r="R95" s="1458"/>
      <c r="S95" s="1458"/>
      <c r="T95" s="1458"/>
      <c r="U95" s="1458"/>
      <c r="V95" s="1508" t="s">
        <v>171</v>
      </c>
      <c r="W95" s="1447"/>
      <c r="X95" s="1447"/>
      <c r="Y95" s="1585">
        <f t="shared" si="146"/>
        <v>4</v>
      </c>
      <c r="Z95" s="1589"/>
      <c r="AA95" s="1591"/>
      <c r="AB95" s="1592"/>
      <c r="AC95" s="1589"/>
      <c r="AD95" s="1590"/>
      <c r="AE95" s="1590"/>
      <c r="AF95" s="1590"/>
      <c r="AG95" s="1590"/>
      <c r="AH95" s="1590"/>
      <c r="AI95" s="1590"/>
      <c r="AJ95" s="1590"/>
      <c r="AK95" s="1590"/>
      <c r="AL95" s="1590"/>
      <c r="AM95" s="1590"/>
      <c r="AN95" s="1590"/>
      <c r="AO95" s="1590"/>
      <c r="AP95" s="1590"/>
      <c r="AQ95" s="1590"/>
      <c r="AR95" s="1590"/>
      <c r="AS95" s="1590"/>
      <c r="AT95" s="1590"/>
      <c r="AU95" s="1590"/>
      <c r="AV95" s="1590"/>
      <c r="AW95" s="1590"/>
      <c r="AX95" s="1590"/>
      <c r="AY95" s="1590"/>
      <c r="AZ95" s="1590"/>
      <c r="BA95" s="1590"/>
      <c r="BB95" s="1590"/>
      <c r="BC95" s="1592"/>
      <c r="BD95" s="1588"/>
      <c r="BE95" s="1588"/>
      <c r="BF95" s="1588"/>
      <c r="BG95" s="1588"/>
      <c r="BH95" s="1588"/>
      <c r="BI95" s="1588"/>
      <c r="BJ95" s="1588"/>
    </row>
  </sheetData>
  <mergeCells count="8">
    <mergeCell ref="D1:X1"/>
    <mergeCell ref="AF1:AZ1"/>
    <mergeCell ref="D25:X25"/>
    <mergeCell ref="AF25:AZ25"/>
    <mergeCell ref="D49:X49"/>
    <mergeCell ref="AF49:AZ49"/>
    <mergeCell ref="D73:X73"/>
    <mergeCell ref="AF73:AZ73"/>
  </mergeCells>
  <conditionalFormatting sqref="E22:V22">
    <cfRule type="expression" dxfId="2" priority="1">
      <formula>E4&lt;&gt;3</formula>
    </cfRule>
  </conditionalFormatting>
  <conditionalFormatting sqref="E46:V46 Y46">
    <cfRule type="expression" dxfId="2" priority="2">
      <formula>E28&lt;&gt;3</formula>
    </cfRule>
  </conditionalFormatting>
  <conditionalFormatting sqref="E70:V70 E94:V94">
    <cfRule type="expression" dxfId="2" priority="3">
      <formula>E52&lt;&gt;3</formula>
    </cfRule>
  </conditionalFormatting>
  <conditionalFormatting sqref="A1">
    <cfRule type="expression" dxfId="2" priority="4">
      <formula>E4&lt;&gt;5</formula>
    </cfRule>
  </conditionalFormatting>
  <conditionalFormatting sqref="E23:V23 E47:V47 E71:V71 E95:V95">
    <cfRule type="expression" dxfId="2" priority="5">
      <formula>E4&lt;&gt;5</formula>
    </cfRule>
  </conditionalFormatting>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s="1593" t="s">
        <v>270</v>
      </c>
      <c r="B1" s="1594">
        <f>(4-COUNTIF('Master Input'!E6:L6,"Shamble")-COUNTIF('Master Input'!E6:L6,"Pinehurst")-COUNTIF('Master Input'!E6:L6,"2-Man Scramble"))</f>
        <v>4</v>
      </c>
      <c r="C1" s="1595"/>
      <c r="D1" s="1595"/>
      <c r="E1" s="1595"/>
      <c r="F1" s="1595"/>
      <c r="G1" s="1595"/>
      <c r="H1" s="1595"/>
      <c r="I1" s="1595"/>
      <c r="J1" s="1595"/>
      <c r="K1" s="1595"/>
      <c r="L1" s="1595"/>
    </row>
    <row r="2">
      <c r="A2" s="1596" t="s">
        <v>52</v>
      </c>
      <c r="B2" s="1597"/>
      <c r="C2" s="1598"/>
      <c r="D2" s="1597"/>
      <c r="E2" s="1597"/>
      <c r="F2" s="1597"/>
      <c r="G2" s="1598"/>
      <c r="H2" s="1598">
        <v>0.0</v>
      </c>
      <c r="I2" s="1598">
        <v>55.93</v>
      </c>
      <c r="J2" s="1597"/>
      <c r="K2" s="1597"/>
      <c r="L2" s="1598">
        <v>20.0</v>
      </c>
    </row>
    <row r="3">
      <c r="A3" s="1599" t="s">
        <v>271</v>
      </c>
      <c r="B3" s="1600"/>
      <c r="C3" s="1600"/>
      <c r="D3" s="1601" t="s">
        <v>43</v>
      </c>
      <c r="E3" s="1601" t="s">
        <v>43</v>
      </c>
      <c r="F3" s="1601" t="s">
        <v>43</v>
      </c>
      <c r="G3" s="1601" t="s">
        <v>43</v>
      </c>
      <c r="H3" s="1601" t="s">
        <v>43</v>
      </c>
      <c r="I3" s="1601" t="s">
        <v>43</v>
      </c>
      <c r="J3" s="1602">
        <v>5.0</v>
      </c>
      <c r="K3" s="1600"/>
      <c r="L3" s="1600"/>
    </row>
    <row r="4">
      <c r="A4" s="1603" t="s">
        <v>109</v>
      </c>
      <c r="B4" s="1604" t="s">
        <v>272</v>
      </c>
      <c r="C4" s="1605" t="s">
        <v>273</v>
      </c>
      <c r="D4" s="1606" t="s">
        <v>274</v>
      </c>
      <c r="E4" s="1607" t="s">
        <v>275</v>
      </c>
      <c r="F4" s="1608" t="s">
        <v>276</v>
      </c>
      <c r="G4" s="1609" t="s">
        <v>277</v>
      </c>
      <c r="H4" s="1610" t="s">
        <v>278</v>
      </c>
      <c r="I4" s="1611" t="s">
        <v>279</v>
      </c>
      <c r="J4" s="1612" t="s">
        <v>280</v>
      </c>
      <c r="K4" s="1613" t="s">
        <v>281</v>
      </c>
      <c r="L4" s="1614" t="s">
        <v>268</v>
      </c>
    </row>
    <row r="5">
      <c r="A5" s="1615" t="str">
        <f>'Master Input'!A11</f>
        <v>Jensen</v>
      </c>
      <c r="B5" s="1616"/>
      <c r="C5" s="1617"/>
      <c r="D5" s="1616"/>
      <c r="E5" s="1617"/>
      <c r="F5" s="1616"/>
      <c r="G5" s="1617"/>
      <c r="H5" s="1617"/>
      <c r="I5" s="1617" t="s">
        <v>266</v>
      </c>
      <c r="J5" s="1616"/>
      <c r="K5" s="1617"/>
      <c r="L5" s="1617" t="s">
        <v>266</v>
      </c>
    </row>
    <row r="6">
      <c r="A6" s="1615" t="str">
        <f>'Master Input'!A12</f>
        <v>CuzNick</v>
      </c>
      <c r="B6" s="1618"/>
      <c r="C6" s="1619"/>
      <c r="D6" s="1618"/>
      <c r="E6" s="1619"/>
      <c r="F6" s="1618"/>
      <c r="G6" s="1619"/>
      <c r="H6" s="1619"/>
      <c r="I6" s="1619" t="s">
        <v>266</v>
      </c>
      <c r="J6" s="1619"/>
      <c r="K6" s="1619"/>
      <c r="L6" s="1619" t="s">
        <v>266</v>
      </c>
    </row>
    <row r="7">
      <c r="A7" s="1615" t="str">
        <f>'Master Input'!A13</f>
        <v>Andy</v>
      </c>
      <c r="B7" s="1617"/>
      <c r="C7" s="1617"/>
      <c r="D7" s="1617"/>
      <c r="E7" s="1617"/>
      <c r="F7" s="1617"/>
      <c r="G7" s="1617"/>
      <c r="H7" s="1617"/>
      <c r="I7" s="1617" t="s">
        <v>266</v>
      </c>
      <c r="J7" s="1617"/>
      <c r="K7" s="1617"/>
      <c r="L7" s="1617" t="s">
        <v>266</v>
      </c>
    </row>
    <row r="8">
      <c r="A8" s="1615" t="str">
        <f>'Master Input'!A14</f>
        <v>Pace</v>
      </c>
      <c r="B8" s="1619"/>
      <c r="C8" s="1619"/>
      <c r="D8" s="1619"/>
      <c r="E8" s="1619"/>
      <c r="F8" s="1619"/>
      <c r="G8" s="1619"/>
      <c r="H8" s="1619"/>
      <c r="I8" s="1619" t="s">
        <v>266</v>
      </c>
      <c r="J8" s="1619"/>
      <c r="K8" s="1619"/>
      <c r="L8" s="1619" t="s">
        <v>266</v>
      </c>
    </row>
    <row r="9">
      <c r="A9" s="1615" t="str">
        <f>'Master Input'!A15</f>
        <v>House</v>
      </c>
      <c r="B9" s="1617"/>
      <c r="C9" s="1617"/>
      <c r="D9" s="1617"/>
      <c r="E9" s="1617"/>
      <c r="F9" s="1617"/>
      <c r="G9" s="1617"/>
      <c r="H9" s="1617"/>
      <c r="I9" s="1617" t="s">
        <v>266</v>
      </c>
      <c r="J9" s="1617"/>
      <c r="K9" s="1617"/>
      <c r="L9" s="1617" t="s">
        <v>266</v>
      </c>
    </row>
    <row r="10">
      <c r="A10" s="1615" t="str">
        <f>'Master Input'!A16</f>
        <v>DK</v>
      </c>
      <c r="B10" s="1619"/>
      <c r="C10" s="1619"/>
      <c r="D10" s="1619"/>
      <c r="E10" s="1619"/>
      <c r="F10" s="1619"/>
      <c r="G10" s="1619"/>
      <c r="H10" s="1619"/>
      <c r="I10" s="1619" t="s">
        <v>266</v>
      </c>
      <c r="J10" s="1619"/>
      <c r="K10" s="1619"/>
      <c r="L10" s="1619" t="s">
        <v>266</v>
      </c>
    </row>
    <row r="11">
      <c r="A11" s="1615" t="str">
        <f>'Master Input'!A17</f>
        <v>Carp</v>
      </c>
      <c r="B11" s="1617"/>
      <c r="C11" s="1617"/>
      <c r="D11" s="1617"/>
      <c r="E11" s="1617"/>
      <c r="F11" s="1617"/>
      <c r="G11" s="1617"/>
      <c r="H11" s="1617"/>
      <c r="I11" s="1617" t="s">
        <v>266</v>
      </c>
      <c r="J11" s="1617"/>
      <c r="K11" s="1617"/>
      <c r="L11" s="1617" t="s">
        <v>266</v>
      </c>
    </row>
    <row r="12">
      <c r="A12" s="1615" t="str">
        <f>'Master Input'!A18</f>
        <v>Saugy</v>
      </c>
      <c r="B12" s="1619"/>
      <c r="C12" s="1619"/>
      <c r="D12" s="1619"/>
      <c r="E12" s="1619"/>
      <c r="F12" s="1619"/>
      <c r="G12" s="1619"/>
      <c r="H12" s="1619"/>
      <c r="I12" s="1619" t="s">
        <v>266</v>
      </c>
      <c r="J12" s="1619"/>
      <c r="K12" s="1619"/>
      <c r="L12" s="1619" t="s">
        <v>266</v>
      </c>
    </row>
    <row r="13">
      <c r="A13" s="1615" t="str">
        <f>'Master Input'!A20</f>
        <v>Telly</v>
      </c>
      <c r="B13" s="1617"/>
      <c r="C13" s="1617"/>
      <c r="D13" s="1617"/>
      <c r="E13" s="1617"/>
      <c r="F13" s="1617"/>
      <c r="G13" s="1617"/>
      <c r="H13" s="1617"/>
      <c r="I13" s="1617" t="s">
        <v>266</v>
      </c>
      <c r="J13" s="1616"/>
      <c r="K13" s="1617"/>
      <c r="L13" s="1617" t="s">
        <v>266</v>
      </c>
    </row>
    <row r="14">
      <c r="A14" s="1615" t="str">
        <f>'Master Input'!A21</f>
        <v>KJ</v>
      </c>
      <c r="B14" s="1619"/>
      <c r="C14" s="1619"/>
      <c r="D14" s="1619"/>
      <c r="E14" s="1619"/>
      <c r="F14" s="1619"/>
      <c r="G14" s="1619"/>
      <c r="H14" s="1619"/>
      <c r="I14" s="1619" t="s">
        <v>266</v>
      </c>
      <c r="J14" s="1619"/>
      <c r="K14" s="1619"/>
      <c r="L14" s="1619" t="s">
        <v>266</v>
      </c>
    </row>
    <row r="15">
      <c r="A15" s="1615" t="str">
        <f>'Master Input'!A22</f>
        <v>R-Mac</v>
      </c>
      <c r="B15" s="1617"/>
      <c r="C15" s="1617"/>
      <c r="D15" s="1617"/>
      <c r="E15" s="1617"/>
      <c r="F15" s="1617"/>
      <c r="G15" s="1617"/>
      <c r="H15" s="1617"/>
      <c r="I15" s="1617" t="s">
        <v>266</v>
      </c>
      <c r="J15" s="1617"/>
      <c r="K15" s="1617"/>
      <c r="L15" s="1617" t="s">
        <v>266</v>
      </c>
    </row>
    <row r="16">
      <c r="A16" s="1615" t="str">
        <f>'Master Input'!A23</f>
        <v>T-Mo</v>
      </c>
      <c r="B16" s="1619"/>
      <c r="C16" s="1619"/>
      <c r="D16" s="1619"/>
      <c r="E16" s="1619"/>
      <c r="F16" s="1619"/>
      <c r="G16" s="1619"/>
      <c r="H16" s="1619"/>
      <c r="I16" s="1619" t="s">
        <v>266</v>
      </c>
      <c r="J16" s="1619"/>
      <c r="K16" s="1619"/>
      <c r="L16" s="1619" t="s">
        <v>266</v>
      </c>
    </row>
    <row r="17">
      <c r="A17" s="1615" t="str">
        <f>'Master Input'!A24</f>
        <v>TJSC</v>
      </c>
      <c r="B17" s="1617"/>
      <c r="C17" s="1617"/>
      <c r="D17" s="1617"/>
      <c r="E17" s="1617"/>
      <c r="F17" s="1617"/>
      <c r="G17" s="1617"/>
      <c r="H17" s="1617"/>
      <c r="I17" s="1617" t="s">
        <v>266</v>
      </c>
      <c r="J17" s="1617"/>
      <c r="K17" s="1617"/>
      <c r="L17" s="1617" t="s">
        <v>266</v>
      </c>
    </row>
    <row r="18">
      <c r="A18" s="1615" t="str">
        <f>'Master Input'!A25</f>
        <v>Weezy</v>
      </c>
      <c r="B18" s="1619"/>
      <c r="C18" s="1619"/>
      <c r="D18" s="1619"/>
      <c r="E18" s="1619"/>
      <c r="F18" s="1619"/>
      <c r="G18" s="1619"/>
      <c r="H18" s="1619"/>
      <c r="I18" s="1619" t="s">
        <v>266</v>
      </c>
      <c r="J18" s="1619"/>
      <c r="K18" s="1619"/>
      <c r="L18" s="1619" t="s">
        <v>266</v>
      </c>
    </row>
    <row r="19">
      <c r="A19" s="1615" t="str">
        <f>'Master Input'!A26</f>
        <v>Joe O</v>
      </c>
      <c r="B19" s="1617"/>
      <c r="C19" s="1617"/>
      <c r="D19" s="1617"/>
      <c r="E19" s="1617"/>
      <c r="F19" s="1617"/>
      <c r="G19" s="1617"/>
      <c r="H19" s="1617"/>
      <c r="I19" s="1617" t="s">
        <v>266</v>
      </c>
      <c r="J19" s="1617"/>
      <c r="K19" s="1617"/>
      <c r="L19" s="1617" t="s">
        <v>266</v>
      </c>
    </row>
    <row r="20">
      <c r="A20" s="1615" t="str">
        <f>'Master Input'!A27</f>
        <v>Hile</v>
      </c>
      <c r="B20" s="1619"/>
      <c r="C20" s="1619"/>
      <c r="D20" s="1619"/>
      <c r="E20" s="1619"/>
      <c r="F20" s="1619"/>
      <c r="G20" s="1619"/>
      <c r="H20" s="1619"/>
      <c r="I20" s="1619" t="s">
        <v>266</v>
      </c>
      <c r="J20" s="1619"/>
      <c r="K20" s="1619"/>
      <c r="L20" s="1619" t="s">
        <v>266</v>
      </c>
    </row>
    <row r="21">
      <c r="A21" s="1620">
        <f>sum(B21:L21)</f>
        <v>1214.88</v>
      </c>
      <c r="B21" s="1621">
        <f t="shared" ref="B21:L21" si="1">COUNTIF(B5:B20,"Y") *B2</f>
        <v>0</v>
      </c>
      <c r="C21" s="1621">
        <f t="shared" si="1"/>
        <v>0</v>
      </c>
      <c r="D21" s="1621">
        <f t="shared" si="1"/>
        <v>0</v>
      </c>
      <c r="E21" s="1621">
        <f t="shared" si="1"/>
        <v>0</v>
      </c>
      <c r="F21" s="1621">
        <f t="shared" si="1"/>
        <v>0</v>
      </c>
      <c r="G21" s="1621">
        <f t="shared" si="1"/>
        <v>0</v>
      </c>
      <c r="H21" s="1621">
        <f t="shared" si="1"/>
        <v>0</v>
      </c>
      <c r="I21" s="1621">
        <f t="shared" si="1"/>
        <v>894.88</v>
      </c>
      <c r="J21" s="1621">
        <f t="shared" si="1"/>
        <v>0</v>
      </c>
      <c r="K21" s="1621">
        <f t="shared" si="1"/>
        <v>0</v>
      </c>
      <c r="L21" s="1621">
        <f t="shared" si="1"/>
        <v>320</v>
      </c>
    </row>
    <row r="22">
      <c r="I22" s="948">
        <v>415.0</v>
      </c>
    </row>
    <row r="23">
      <c r="B23" s="948" t="s">
        <v>119</v>
      </c>
    </row>
    <row r="24">
      <c r="A24" s="948" t="s">
        <v>268</v>
      </c>
      <c r="B24" s="948" t="s">
        <v>282</v>
      </c>
    </row>
    <row r="25">
      <c r="B25" s="948" t="s">
        <v>283</v>
      </c>
    </row>
    <row r="26">
      <c r="B26" s="948" t="s">
        <v>284</v>
      </c>
    </row>
    <row r="27">
      <c r="B27" s="948" t="s">
        <v>285</v>
      </c>
    </row>
  </sheetData>
  <drawing r:id="rId1"/>
  <tableParts count="8">
    <tablePart r:id="rId10"/>
    <tablePart r:id="rId11"/>
    <tablePart r:id="rId12"/>
    <tablePart r:id="rId13"/>
    <tablePart r:id="rId14"/>
    <tablePart r:id="rId15"/>
    <tablePart r:id="rId16"/>
    <tablePart r:id="rId17"/>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28" width="5.86"/>
    <col customWidth="1" min="29" max="30" width="7.29"/>
    <col customWidth="1" min="31" max="31" width="3.0"/>
    <col customWidth="1" min="32" max="36" width="6.57"/>
    <col customWidth="1" min="37" max="37" width="3.0"/>
    <col customWidth="1" min="38" max="41" width="6.57"/>
    <col customWidth="1" min="42" max="44" width="5.86"/>
    <col customWidth="1" min="45" max="45" width="7.43"/>
  </cols>
  <sheetData>
    <row r="1" ht="12.75" customHeight="1">
      <c r="A1" s="1622"/>
      <c r="B1" s="1623"/>
      <c r="C1" s="1623"/>
      <c r="D1" s="1623" t="s">
        <v>119</v>
      </c>
      <c r="E1" s="1623"/>
      <c r="F1" s="1623"/>
      <c r="G1" s="1624"/>
      <c r="H1" s="1625"/>
      <c r="I1" s="1625"/>
      <c r="J1" s="1625" t="s">
        <v>121</v>
      </c>
      <c r="K1" s="1625"/>
      <c r="L1" s="1625"/>
      <c r="M1" s="1624"/>
      <c r="N1" s="1626"/>
      <c r="O1" s="1626"/>
      <c r="P1" s="1626" t="s">
        <v>122</v>
      </c>
      <c r="Q1" s="1626"/>
      <c r="R1" s="1626"/>
      <c r="S1" s="1624"/>
      <c r="T1" s="1627"/>
      <c r="U1" s="1627"/>
      <c r="V1" s="1627" t="s">
        <v>123</v>
      </c>
      <c r="W1" s="1627"/>
      <c r="X1" s="1627"/>
      <c r="Y1" s="1624"/>
      <c r="Z1" s="1628"/>
      <c r="AA1" s="1628"/>
      <c r="AB1" s="1628"/>
      <c r="AC1" s="1628"/>
      <c r="AD1" s="1628"/>
      <c r="AE1" s="1629"/>
      <c r="AF1" s="1630" t="s">
        <v>286</v>
      </c>
      <c r="AG1" s="1630" t="s">
        <v>287</v>
      </c>
      <c r="AH1" s="1630" t="s">
        <v>288</v>
      </c>
      <c r="AI1" s="1630" t="s">
        <v>289</v>
      </c>
      <c r="AJ1" s="1628"/>
      <c r="AK1" s="1629"/>
      <c r="AL1" s="1630" t="s">
        <v>286</v>
      </c>
      <c r="AM1" s="1630" t="s">
        <v>287</v>
      </c>
      <c r="AN1" s="1630" t="s">
        <v>288</v>
      </c>
      <c r="AO1" s="1630" t="s">
        <v>289</v>
      </c>
      <c r="AP1" s="1628"/>
      <c r="AQ1" s="1628"/>
      <c r="AR1" s="1628"/>
      <c r="AS1" s="1624"/>
    </row>
    <row r="2" ht="12.75" customHeight="1">
      <c r="A2" s="1622"/>
      <c r="B2" s="1623"/>
      <c r="C2" s="1623"/>
      <c r="D2" s="1623" t="str">
        <f>'Master Input'!E6</f>
        <v>GVSU Meadows - Blue</v>
      </c>
      <c r="E2" s="1623"/>
      <c r="F2" s="1623"/>
      <c r="G2" s="1624"/>
      <c r="H2" s="1625"/>
      <c r="I2" s="1625"/>
      <c r="J2" s="1625" t="str">
        <f>'Master Input'!G6</f>
        <v>Ravines GC - White</v>
      </c>
      <c r="K2" s="1625"/>
      <c r="L2" s="1625"/>
      <c r="M2" s="1624"/>
      <c r="N2" s="1631"/>
      <c r="O2" s="1631"/>
      <c r="P2" s="1631" t="str">
        <f>'Master Input'!I6</f>
        <v>Ravines GC - White</v>
      </c>
      <c r="Q2" s="1631"/>
      <c r="R2" s="1631"/>
      <c r="S2" s="1624"/>
      <c r="T2" s="1632"/>
      <c r="U2" s="1632"/>
      <c r="V2" s="1632" t="str">
        <f>'Master Input'!K6</f>
        <v>American Dunes - Freedom/WH</v>
      </c>
      <c r="W2" s="1632"/>
      <c r="X2" s="1632"/>
      <c r="Y2" s="1624"/>
      <c r="Z2" s="1628"/>
      <c r="AA2" s="1628"/>
      <c r="AB2" s="1628"/>
      <c r="AC2" s="1633"/>
      <c r="AD2" s="1633"/>
      <c r="AE2" s="1628"/>
      <c r="AF2" s="1628"/>
      <c r="AG2" s="1628"/>
      <c r="AH2" s="1628"/>
      <c r="AI2" s="1628"/>
      <c r="AJ2" s="1634"/>
      <c r="AK2" s="1628"/>
      <c r="AL2" s="1635"/>
      <c r="AM2" s="1636"/>
      <c r="AN2" s="1636"/>
      <c r="AO2" s="1637"/>
      <c r="AP2" s="1634"/>
      <c r="AQ2" s="1634"/>
      <c r="AR2" s="1628"/>
      <c r="AS2" s="1624"/>
    </row>
    <row r="3" ht="12.75" customHeight="1">
      <c r="A3" s="1622"/>
      <c r="B3" s="1623"/>
      <c r="C3" s="1623"/>
      <c r="D3" s="1623" t="str">
        <f>'Master Input'!F6</f>
        <v>2-Man Best Ball</v>
      </c>
      <c r="E3" s="1623"/>
      <c r="F3" s="1623"/>
      <c r="G3" s="1624"/>
      <c r="H3" s="1625"/>
      <c r="I3" s="1625"/>
      <c r="J3" s="1625" t="str">
        <f>'Master Input'!H6</f>
        <v>Singles Matches</v>
      </c>
      <c r="K3" s="1625"/>
      <c r="L3" s="1625"/>
      <c r="M3" s="1624"/>
      <c r="N3" s="1631"/>
      <c r="O3" s="1638"/>
      <c r="P3" s="1638" t="str">
        <f>'Master Input'!J6</f>
        <v>2-Man Tilt</v>
      </c>
      <c r="Q3" s="1638"/>
      <c r="R3" s="1638"/>
      <c r="S3" s="1624"/>
      <c r="T3" s="1639"/>
      <c r="U3" s="1639"/>
      <c r="V3" s="1639" t="str">
        <f>'Master Input'!L6</f>
        <v>Team Best Ball</v>
      </c>
      <c r="W3" s="1639"/>
      <c r="X3" s="1639"/>
      <c r="Y3" s="1624"/>
      <c r="Z3" s="1640" t="s">
        <v>290</v>
      </c>
      <c r="AA3" s="317"/>
      <c r="AB3" s="1641"/>
      <c r="AC3" s="1642" t="s">
        <v>291</v>
      </c>
      <c r="AD3" s="1641"/>
      <c r="AE3" s="1635"/>
      <c r="AF3" s="1640" t="s">
        <v>292</v>
      </c>
      <c r="AG3" s="317"/>
      <c r="AH3" s="317"/>
      <c r="AI3" s="1643"/>
      <c r="AJ3" s="1644" t="s">
        <v>293</v>
      </c>
      <c r="AK3" s="1628"/>
      <c r="AL3" s="1640" t="s">
        <v>294</v>
      </c>
      <c r="AM3" s="317"/>
      <c r="AN3" s="317"/>
      <c r="AO3" s="1643"/>
      <c r="AP3" s="1645" t="s">
        <v>295</v>
      </c>
      <c r="AQ3" s="1646"/>
      <c r="AR3" s="1647"/>
      <c r="AS3" s="1648"/>
    </row>
    <row r="4" ht="12.75" customHeight="1">
      <c r="A4" s="1649"/>
      <c r="B4" s="1650" t="s">
        <v>84</v>
      </c>
      <c r="C4" s="1651" t="s">
        <v>51</v>
      </c>
      <c r="D4" s="1651" t="s">
        <v>68</v>
      </c>
      <c r="E4" s="1651" t="s">
        <v>69</v>
      </c>
      <c r="F4" s="1651" t="s">
        <v>70</v>
      </c>
      <c r="G4" s="1629"/>
      <c r="H4" s="1650" t="s">
        <v>84</v>
      </c>
      <c r="I4" s="1651" t="s">
        <v>51</v>
      </c>
      <c r="J4" s="1651" t="s">
        <v>68</v>
      </c>
      <c r="K4" s="1651" t="s">
        <v>69</v>
      </c>
      <c r="L4" s="1652" t="s">
        <v>70</v>
      </c>
      <c r="M4" s="1628"/>
      <c r="N4" s="1650" t="s">
        <v>84</v>
      </c>
      <c r="O4" s="1653" t="s">
        <v>51</v>
      </c>
      <c r="P4" s="1653" t="s">
        <v>68</v>
      </c>
      <c r="Q4" s="1653" t="s">
        <v>69</v>
      </c>
      <c r="R4" s="1652" t="s">
        <v>70</v>
      </c>
      <c r="S4" s="1629"/>
      <c r="T4" s="1650" t="s">
        <v>84</v>
      </c>
      <c r="U4" s="1653" t="s">
        <v>51</v>
      </c>
      <c r="V4" s="1653" t="s">
        <v>68</v>
      </c>
      <c r="W4" s="1653" t="s">
        <v>69</v>
      </c>
      <c r="X4" s="1652" t="s">
        <v>70</v>
      </c>
      <c r="Y4" s="1629"/>
      <c r="Z4" s="1654" t="s">
        <v>84</v>
      </c>
      <c r="AA4" s="1655" t="s">
        <v>296</v>
      </c>
      <c r="AB4" s="1656" t="s">
        <v>69</v>
      </c>
      <c r="AC4" s="1657" t="s">
        <v>296</v>
      </c>
      <c r="AD4" s="1658" t="s">
        <v>70</v>
      </c>
      <c r="AE4" s="1659"/>
      <c r="AF4" s="1655" t="s">
        <v>297</v>
      </c>
      <c r="AG4" s="1657" t="s">
        <v>298</v>
      </c>
      <c r="AH4" s="1657" t="s">
        <v>299</v>
      </c>
      <c r="AI4" s="1660" t="s">
        <v>300</v>
      </c>
      <c r="AJ4" s="1661" t="s">
        <v>296</v>
      </c>
      <c r="AK4" s="1659"/>
      <c r="AL4" s="1662" t="s">
        <v>297</v>
      </c>
      <c r="AM4" s="1657" t="s">
        <v>298</v>
      </c>
      <c r="AN4" s="1657" t="s">
        <v>299</v>
      </c>
      <c r="AO4" s="1663" t="s">
        <v>300</v>
      </c>
      <c r="AP4" s="1664" t="s">
        <v>301</v>
      </c>
      <c r="AQ4" s="1643"/>
      <c r="AR4" s="1665" t="s">
        <v>293</v>
      </c>
      <c r="AS4" s="1648"/>
    </row>
    <row r="5" ht="12.75" customHeight="1">
      <c r="A5" s="1666" t="str">
        <f>'Master Input'!A10</f>
        <v>Irons</v>
      </c>
      <c r="B5" s="1667" t="s">
        <v>302</v>
      </c>
      <c r="C5" s="1668" t="s">
        <v>71</v>
      </c>
      <c r="D5" s="1668" t="s">
        <v>72</v>
      </c>
      <c r="E5" s="1668" t="s">
        <v>73</v>
      </c>
      <c r="F5" s="1668" t="s">
        <v>260</v>
      </c>
      <c r="G5" s="1629"/>
      <c r="H5" s="1667" t="s">
        <v>302</v>
      </c>
      <c r="I5" s="1668" t="s">
        <v>71</v>
      </c>
      <c r="J5" s="1668" t="s">
        <v>72</v>
      </c>
      <c r="K5" s="1668" t="s">
        <v>73</v>
      </c>
      <c r="L5" s="1669" t="s">
        <v>260</v>
      </c>
      <c r="M5" s="1628"/>
      <c r="N5" s="1667" t="s">
        <v>302</v>
      </c>
      <c r="O5" s="1670" t="s">
        <v>71</v>
      </c>
      <c r="P5" s="1670" t="s">
        <v>72</v>
      </c>
      <c r="Q5" s="1670" t="s">
        <v>73</v>
      </c>
      <c r="R5" s="1669" t="s">
        <v>260</v>
      </c>
      <c r="S5" s="1629"/>
      <c r="T5" s="1667" t="s">
        <v>302</v>
      </c>
      <c r="U5" s="1670" t="s">
        <v>71</v>
      </c>
      <c r="V5" s="1670" t="s">
        <v>72</v>
      </c>
      <c r="W5" s="1670" t="s">
        <v>73</v>
      </c>
      <c r="X5" s="1669" t="s">
        <v>260</v>
      </c>
      <c r="Y5" s="1629"/>
      <c r="Z5" s="1671" t="s">
        <v>293</v>
      </c>
      <c r="AA5" s="1670" t="s">
        <v>71</v>
      </c>
      <c r="AB5" s="1672" t="s">
        <v>73</v>
      </c>
      <c r="AC5" s="1670" t="s">
        <v>303</v>
      </c>
      <c r="AD5" s="1673" t="s">
        <v>260</v>
      </c>
      <c r="AE5" s="1659"/>
      <c r="AF5" s="1670" t="s">
        <v>304</v>
      </c>
      <c r="AG5" s="1668" t="s">
        <v>304</v>
      </c>
      <c r="AH5" s="1668" t="s">
        <v>304</v>
      </c>
      <c r="AI5" s="1674" t="s">
        <v>304</v>
      </c>
      <c r="AJ5" s="1644" t="s">
        <v>305</v>
      </c>
      <c r="AK5" s="1659"/>
      <c r="AL5" s="1669" t="s">
        <v>306</v>
      </c>
      <c r="AM5" s="1668" t="s">
        <v>306</v>
      </c>
      <c r="AN5" s="1668" t="s">
        <v>306</v>
      </c>
      <c r="AO5" s="1675" t="s">
        <v>306</v>
      </c>
      <c r="AP5" s="1676" t="s">
        <v>293</v>
      </c>
      <c r="AQ5" s="1675" t="s">
        <v>251</v>
      </c>
      <c r="AR5" s="1676" t="s">
        <v>146</v>
      </c>
      <c r="AS5" s="1677" t="str">
        <f t="shared" ref="AS5:AS13" si="1">A5</f>
        <v>Irons</v>
      </c>
    </row>
    <row r="6" ht="12.75" customHeight="1">
      <c r="A6" s="1678" t="str">
        <f>'Master Input'!A16</f>
        <v>DK</v>
      </c>
      <c r="B6" s="1679">
        <f>vlookup($A6,'ALL SCORES'!$A$5:$AA$20,26,false)</f>
        <v>77</v>
      </c>
      <c r="C6" s="1680">
        <f>
if(countif('R1_G1'!$A$25:$A$29,$A6)=1,vlookup($A6,'R1_G1'!$A$25:$AB$29, 26,false),
if(countif('R1_G2'!$A$25:$A$29,$A6)=1,vlookup($A6,'R1_G2'!$A$25:$AB$29, 26,false),
if(countif('R1_G3'!$A$25:$A$29,$A6)=1,vlookup($A6,'R1_G3'!$A$25:$AB$29, 26,false),
if(countif('R1_G4'!$A$25:$A$29,$A6)=1,vlookup($A6,'R1_G4'!$A$25:$AB$29, 26,false), ""))))</f>
        <v>10</v>
      </c>
      <c r="D6" s="1680">
        <f>
if(countif('R1_G1'!$A$25:$A$29,$A6)=1,vlookup($A6,'R1_G1'!$A$25:$AB$29, 27,false),
if(countif('R1_G2'!$A$25:$A$29,$A6)=1,vlookup($A6,'R1_G2'!$A$25:$AB$29, 27,false),
if(countif('R1_G3'!$A$25:$A$29,$A6)=1,vlookup($A6,'R1_G3'!$A$25:$AB$29, 27,false),
if(countif('R1_G4'!$A$25:$A$29,$A6)=1,vlookup($A6,'R1_G4'!$A$25:$AB$29, 27,false), ""))))</f>
        <v>6</v>
      </c>
      <c r="E6" s="1680">
        <f>
if(countif('R1_G1'!$A$25:$A$29,$A6)=1,vlookup($A6,'R1_G1'!$A$25:$AB$29, 28,false),
if(countif('R1_G2'!$A$25:$A$29,$A6)=1,vlookup($A6,'R1_G2'!$A$25:$AB$29, 28,false),
if(countif('R1_G3'!$A$25:$A$29,$A6)=1,vlookup($A6,'R1_G3'!$A$25:$AB$29, 28,false),
if(countif('R1_G4'!$A$25:$A$29,$A6)=1,vlookup($A6,'R1_G4'!$A$25:$AB$29, 28,false), ""))))</f>
        <v>1.939199689</v>
      </c>
      <c r="F6" s="1681">
        <f>if(B6="","",vlookup($A6,'ALL SCORES'!$AC$5:$BE$20,29,false)/18)</f>
        <v>0.5277777778</v>
      </c>
      <c r="G6" s="1629"/>
      <c r="H6" s="1679">
        <f>vlookup($A6,'ALL SCORES'!$A$29:$AB$44,26,false)</f>
        <v>78</v>
      </c>
      <c r="I6" s="1682">
        <f>if(H6="","",
sumif('R2_G1'!$A$29:$A$33,$A6,'R2_G1'!$AA$29:$AA$33)+
sumif('R2_G2'!$A$29:$A$33,$A6,'R2_G2'!$AA$29:$AA$33)+
sumif('R2_G3'!$A$29:$A$33,$A6,'R2_G3'!$AA$29:$AA$33)+
sumif('R2_G4'!$A$29:$A$33,$A6,'R2_G4'!$AA$29:$AA$33))
</f>
        <v>10</v>
      </c>
      <c r="J6" s="1682">
        <f>if(H6="","",
sumif('R2_G1'!$A$29:$A$33,$A6,'R2_G1'!$AA$29:$AA$33)+
sumif('R2_G2'!$A$29:$A$33,$A6,'R2_G2'!$AA$29:$AA$33)+
sumif('R2_G3'!$A$29:$A$33,$A6,'R2_G3'!$AA$29:$AA$33)+
sumif('R2_G4'!$A$29:$A$33,$A6,'R2_G4'!$AA$29:$AA$33))
</f>
        <v>10</v>
      </c>
      <c r="K6" s="1682">
        <f>if(H6="","",
sumif('R2_G1'!$A$29:$A$33,$A6,'R2_G1'!$AB$29:$AB$33)+
sumif('R2_G2'!$A$29:$A$33,$A6,'R2_G2'!$AB$29:$AB$33)+
sumif('R2_G3'!$A$29:$A$33,$A6,'R2_G3'!$AB$29:$AB$33)+
sumif('R2_G4'!$A$29:$A$33,$A6,'R2_G4'!$AB$29:$AB$33))
</f>
        <v>3</v>
      </c>
      <c r="L6" s="1681">
        <f>if(H6="","",vlookup($A6,'ALL SCORES'!$AC$29:$BE$44,29,false)/18)</f>
        <v>0.5018518519</v>
      </c>
      <c r="M6" s="1629"/>
      <c r="N6" s="1679">
        <f>vlookup($A6,'ALL SCORES'!$A$53:$AA$68,26,false)</f>
        <v>67</v>
      </c>
      <c r="O6" s="1682">
        <f>
if(countif('R3_G1'!$A$32:$A$36,$A6)=1,vlookup($A6,'R3_G1'!$A$32:$AC$36, 27,false),
if(countif('R3_G2'!$A$32:$A$36,$A6)=1,vlookup($A6,'R3_G2'!$A$32:$AC$36, 27,false),
if(countif('R3_G3'!$A$32:$A$36,$A6)=1,vlookup($A6,'R3_G3'!$A$32:$AC$36, 27,false),
if(countif('R3_G4'!$A$32:$A$36,$A6)=1,vlookup($A6,'R3_G4'!$A$32:$AC$36, 27,false), ""))))</f>
        <v>10.92857143</v>
      </c>
      <c r="P6" s="1682">
        <f>
if(countif('R3_G1'!$A$32:$A$36,$A6)=1,vlookup($A6,'R3_G1'!$A$32:$AC$36, 28,false),
if(countif('R3_G2'!$A$32:$A$36,$A6)=1,vlookup($A6,'R3_G2'!$A$32:$AC$36, 28,false),
if(countif('R3_G3'!$A$32:$A$36,$A6)=1,vlookup($A6,'R3_G3'!$A$32:$AC$36, 28,false),
if(countif('R3_G4'!$A$32:$A$36,$A6)=1,vlookup($A6,'R3_G4'!$A$32:$AC$36, 28,false), ""))))</f>
        <v>6.287671233</v>
      </c>
      <c r="Q6" s="1683">
        <f>
if(countif('R3_G1'!$A$32:$A$36,$A6)=1,vlookup($A6,'R3_G1'!$A$32:$AC$36, 29,false),
if(countif('R3_G2'!$A$32:$A$36,$A6)=1,vlookup($A6,'R3_G2'!$A$32:$AC$36, 29,false),
if(countif('R3_G3'!$A$32:$A$36,$A6)=1,vlookup($A6,'R3_G3'!$A$32:$AC$36, 29,false),
if(countif('R3_G4'!$A$32:$A$36,$A6)=1,vlookup($A6,'R3_G4'!$A$32:$AC$36, 29,false), ""))))</f>
        <v>2.428571429</v>
      </c>
      <c r="R6" s="1684">
        <f>if(N6="","", vlookup($A6,'ALL SCORES'!$AC$53:$BE$68,29,false)/18)</f>
        <v>0.6962962963</v>
      </c>
      <c r="S6" s="1629"/>
      <c r="T6" s="1679">
        <f>vlookup($A6,'ALL SCORES'!$A$77:$AA$92,26,false)</f>
        <v>78</v>
      </c>
      <c r="U6" s="1685">
        <f>
if(countif('R4_G1'!$A$25:$A$29,$A6)=1,vlookup($A6,'R4_G1'!$A$25:$AB$29, 26,false),
if(countif('R4_G3'!$A$25:$A$29,$A6)=1,vlookup($A6,'R4_G3'!$A$25:$AB$29, 26,false),
if(countif('R4_G2'!$A$25:$A$29,$A6)=1,vlookup($A6,'R4_G2'!$A$25:$AB$29, 26,false),
if(countif('R4_G4'!$A$25:$A$29,$A6)=1,vlookup($A6,'R4_G4'!$A$25:$AB$29, 26,false), ""))))</f>
        <v>12.7</v>
      </c>
      <c r="V6" s="1685">
        <f>
if(countif('R4_G1'!$A$25:$A$29,$A6)=1,vlookup($A6,'R4_G1'!$A$25:$AB$29, 27,false),
if(countif('R4_G3'!$A$25:$A$29,$A6)=1,vlookup($A6,'R4_G3'!$A$25:$AB$29, 27,false),
if(countif('R4_G2'!$A$25:$A$29,$A6)=1,vlookup($A6,'R4_G2'!$A$25:$AB$29, 27,false),
if(countif('R4_G4'!$A$25:$A$29,$A6)=1,vlookup($A6,'R4_G4'!$A$25:$AB$29, 27,false), ""))))</f>
        <v>3.716666667</v>
      </c>
      <c r="W6" s="1685">
        <f>
if(countif('R4_G1'!$A$25:$A$29,$A6)=1,vlookup($A6,'R4_G1'!$A$25:$AB$29, 28,false),
if(countif('R4_G3'!$A$25:$A$29,$A6)=1,vlookup($A6,'R4_G3'!$A$25:$AB$29, 28,false),
if(countif('R4_G2'!$A$25:$A$29,$A6)=1,vlookup($A6,'R4_G2'!$A$25:$AB$29, 28,false),
if(countif('R4_G4'!$A$25:$A$29,$A6)=1,vlookup($A6,'R4_G4'!$A$25:$AB$29, 28,false), ""))))</f>
        <v>1.346969697</v>
      </c>
      <c r="X6" s="1686">
        <f>if(T6="","",vlookup($A6,'ALL SCORES'!$AC$77:$BE$92,29,false)/18)</f>
        <v>0.4907407407</v>
      </c>
      <c r="Y6" s="1629"/>
      <c r="Z6" s="1687">
        <f t="shared" ref="Z6:Z13" si="2">average(B6,H6,N6,T6)</f>
        <v>75</v>
      </c>
      <c r="AA6" s="1688">
        <f t="shared" ref="AA6:AA13" si="3">sum(D6,J6,P6,(U6/$U$25*144)/($U$25/$V$25))</f>
        <v>26.90585305</v>
      </c>
      <c r="AB6" s="1689">
        <f t="shared" ref="AB6:AB13" si="4">sum(E6,K6,Q6,W6)</f>
        <v>8.714740815</v>
      </c>
      <c r="AC6" s="1690">
        <f t="shared" ref="AC6:AC13" si="5">average(D6/9,J6/18,P6/9,(U6/$U$25*144)/($U$25/$V$25)/9)</f>
        <v>0.6084959181</v>
      </c>
      <c r="AD6" s="1691">
        <f t="shared" ref="AD6:AD13" si="6">AVERAGE(F6,L6,R6,X6)</f>
        <v>0.5541666667</v>
      </c>
      <c r="AE6" s="1692"/>
      <c r="AF6" s="1693">
        <f t="shared" ref="AF6:AF13" si="7">(($D6/9)+$F6)/2</f>
        <v>0.5972222222</v>
      </c>
      <c r="AG6" s="1693">
        <f t="shared" ref="AG6:AG13" si="8">(($J6/18)+$L6)/2</f>
        <v>0.5287037037</v>
      </c>
      <c r="AH6" s="1693">
        <f t="shared" ref="AH6:AH13" si="9">(($P6/9)+$R6)/2</f>
        <v>0.6974632166</v>
      </c>
      <c r="AI6" s="1694">
        <f t="shared" ref="AI6:AI13" si="10">if(U6="","",
(((U6/$U$25*144)/($U$25/$V$25)/9)+$X6)/2
)</f>
        <v>0.5019360269</v>
      </c>
      <c r="AJ6" s="1694">
        <f t="shared" ref="AJ6:AJ13" si="11">average(AF6:AI6)</f>
        <v>0.5813312924</v>
      </c>
      <c r="AK6" s="1695"/>
      <c r="AL6" s="1696">
        <f t="shared" ref="AL6:AL13" si="12">$B$25-$B6</f>
        <v>1.4375</v>
      </c>
      <c r="AM6" s="1696">
        <f t="shared" ref="AM6:AM13" si="13">$H$25-$H6</f>
        <v>1.75</v>
      </c>
      <c r="AN6" s="1696">
        <f t="shared" ref="AN6:AN13" si="14">$N$25-$N6</f>
        <v>10.5</v>
      </c>
      <c r="AO6" s="1697">
        <f t="shared" ref="AO6:AO13" si="15">$T$25-$T6</f>
        <v>0.5</v>
      </c>
      <c r="AP6" s="1685">
        <f t="shared" ref="AP6:AP13" si="16">AVERAGE(AL6:AO6)</f>
        <v>3.546875</v>
      </c>
      <c r="AQ6" s="1698">
        <f t="shared" ref="AQ6:AQ13" si="17">SUM(AL6:AO6)</f>
        <v>14.1875</v>
      </c>
      <c r="AR6" s="1685">
        <f>vlookup(AS6,'Master Input'!$A$9:$N$27,'Master Input'!$M$28+1,false)</f>
        <v>12.075</v>
      </c>
      <c r="AS6" s="1677" t="str">
        <f t="shared" si="1"/>
        <v>DK</v>
      </c>
    </row>
    <row r="7" ht="12.75" customHeight="1">
      <c r="A7" s="1678" t="str">
        <f>'Master Input'!A11</f>
        <v>Jensen</v>
      </c>
      <c r="B7" s="1679">
        <f>vlookup($A7,'ALL SCORES'!$A$5:$AA$20,26,false)</f>
        <v>76</v>
      </c>
      <c r="C7" s="1680">
        <f>
if(countif('R1_G1'!$A$25:$A$29,$A7)=1,vlookup($A7,'R1_G1'!$A$25:$AB$29, 26,false),
if(countif('R1_G2'!$A$25:$A$29,$A7)=1,vlookup($A7,'R1_G2'!$A$25:$AB$29, 26,false),
if(countif('R1_G3'!$A$25:$A$29,$A7)=1,vlookup($A7,'R1_G3'!$A$25:$AB$29, 26,false),
if(countif('R1_G4'!$A$25:$A$29,$A7)=1,vlookup($A7,'R1_G4'!$A$25:$AB$29, 26,false), ""))))</f>
        <v>8</v>
      </c>
      <c r="D7" s="1680">
        <f>
if(countif('R1_G1'!$A$25:$A$29,$A7)=1,vlookup($A7,'R1_G1'!$A$25:$AB$29, 27,false),
if(countif('R1_G2'!$A$25:$A$29,$A7)=1,vlookup($A7,'R1_G2'!$A$25:$AB$29, 27,false),
if(countif('R1_G3'!$A$25:$A$29,$A7)=1,vlookup($A7,'R1_G3'!$A$25:$AB$29, 27,false),
if(countif('R1_G4'!$A$25:$A$29,$A7)=1,vlookup($A7,'R1_G4'!$A$25:$AB$29, 27,false), ""))))</f>
        <v>5</v>
      </c>
      <c r="E7" s="1680">
        <f>
if(countif('R1_G1'!$A$25:$A$29,$A7)=1,vlookup($A7,'R1_G1'!$A$25:$AB$29, 28,false),
if(countif('R1_G2'!$A$25:$A$29,$A7)=1,vlookup($A7,'R1_G2'!$A$25:$AB$29, 28,false),
if(countif('R1_G3'!$A$25:$A$29,$A7)=1,vlookup($A7,'R1_G3'!$A$25:$AB$29, 28,false),
if(countif('R1_G4'!$A$25:$A$29,$A7)=1,vlookup($A7,'R1_G4'!$A$25:$AB$29, 28,false), ""))))</f>
        <v>1.560800311</v>
      </c>
      <c r="F7" s="1681">
        <f>if(B7="","",vlookup($A7,'ALL SCORES'!$AC$5:$BE$20,29,false)/18)</f>
        <v>0.5259259259</v>
      </c>
      <c r="G7" s="1629"/>
      <c r="H7" s="1679">
        <f>vlookup($A7,'ALL SCORES'!$A$29:$AB$44,26,false)</f>
        <v>74</v>
      </c>
      <c r="I7" s="1682">
        <f>if(H7="","",
sumif('R2_G1'!$A$29:$A$33,$A7,'R2_G1'!$AA$29:$AA$33)+
sumif('R2_G2'!$A$29:$A$33,$A7,'R2_G2'!$AA$29:$AA$33)+
sumif('R2_G3'!$A$29:$A$33,$A7,'R2_G3'!$AA$29:$AA$33)+
sumif('R2_G4'!$A$29:$A$33,$A7,'R2_G4'!$AA$29:$AA$33))
</f>
        <v>8.5</v>
      </c>
      <c r="J7" s="1682">
        <f>if(H7="","",
sumif('R2_G1'!$A$29:$A$33,$A7,'R2_G1'!$AA$29:$AA$33)+
sumif('R2_G2'!$A$29:$A$33,$A7,'R2_G2'!$AA$29:$AA$33)+
sumif('R2_G3'!$A$29:$A$33,$A7,'R2_G3'!$AA$29:$AA$33)+
sumif('R2_G4'!$A$29:$A$33,$A7,'R2_G4'!$AA$29:$AA$33))
</f>
        <v>8.5</v>
      </c>
      <c r="K7" s="1682">
        <f>if(H7="","",
sumif('R2_G1'!$A$29:$A$33,$A7,'R2_G1'!$AB$29:$AB$33)+
sumif('R2_G2'!$A$29:$A$33,$A7,'R2_G2'!$AB$29:$AB$33)+
sumif('R2_G3'!$A$29:$A$33,$A7,'R2_G3'!$AB$29:$AB$33)+
sumif('R2_G4'!$A$29:$A$33,$A7,'R2_G4'!$AB$29:$AB$33))
</f>
        <v>1</v>
      </c>
      <c r="L7" s="1681">
        <f>if(H7="","",vlookup($A7,'ALL SCORES'!$AC$29:$BE$44,29,false)/18)</f>
        <v>0.5814814815</v>
      </c>
      <c r="M7" s="1629"/>
      <c r="N7" s="1679">
        <f>vlookup($A7,'ALL SCORES'!$A$53:$AA$68,26,false)</f>
        <v>80</v>
      </c>
      <c r="O7" s="1682">
        <f>
if(countif('R3_G1'!$A$32:$A$36,$A7)=1,vlookup($A7,'R3_G1'!$A$32:$AC$36, 27,false),
if(countif('R3_G2'!$A$32:$A$36,$A7)=1,vlookup($A7,'R3_G2'!$A$32:$AC$36, 27,false),
if(countif('R3_G3'!$A$32:$A$36,$A7)=1,vlookup($A7,'R3_G3'!$A$32:$AC$36, 27,false),
if(countif('R3_G4'!$A$32:$A$36,$A7)=1,vlookup($A7,'R3_G4'!$A$32:$AC$36, 27,false), ""))))</f>
        <v>8.15625</v>
      </c>
      <c r="P7" s="1682">
        <f>
if(countif('R3_G1'!$A$32:$A$36,$A7)=1,vlookup($A7,'R3_G1'!$A$32:$AC$36, 28,false),
if(countif('R3_G2'!$A$32:$A$36,$A7)=1,vlookup($A7,'R3_G2'!$A$32:$AC$36, 28,false),
if(countif('R3_G3'!$A$32:$A$36,$A7)=1,vlookup($A7,'R3_G3'!$A$32:$AC$36, 28,false),
if(countif('R3_G4'!$A$32:$A$36,$A7)=1,vlookup($A7,'R3_G4'!$A$32:$AC$36, 28,false), ""))))</f>
        <v>4.660714286</v>
      </c>
      <c r="Q7" s="1683">
        <f>
if(countif('R3_G1'!$A$32:$A$36,$A7)=1,vlookup($A7,'R3_G1'!$A$32:$AC$36, 29,false),
if(countif('R3_G2'!$A$32:$A$36,$A7)=1,vlookup($A7,'R3_G2'!$A$32:$AC$36, 29,false),
if(countif('R3_G3'!$A$32:$A$36,$A7)=1,vlookup($A7,'R3_G3'!$A$32:$AC$36, 29,false),
if(countif('R3_G4'!$A$32:$A$36,$A7)=1,vlookup($A7,'R3_G4'!$A$32:$AC$36, 29,false), ""))))</f>
        <v>1.8125</v>
      </c>
      <c r="R7" s="1684">
        <f>if(N7="","", vlookup($A7,'ALL SCORES'!$AC$53:$BE$68,29,false)/18)</f>
        <v>0.4574074074</v>
      </c>
      <c r="S7" s="1629"/>
      <c r="T7" s="1679">
        <f>vlookup($A7,'ALL SCORES'!$A$77:$AA$92,26,false)</f>
        <v>71</v>
      </c>
      <c r="U7" s="1685">
        <f>
if(countif('R4_G1'!$A$25:$A$29,$A7)=1,vlookup($A7,'R4_G1'!$A$25:$AB$29, 26,false),
if(countif('R4_G3'!$A$25:$A$29,$A7)=1,vlookup($A7,'R4_G3'!$A$25:$AB$29, 26,false),
if(countif('R4_G2'!$A$25:$A$29,$A7)=1,vlookup($A7,'R4_G2'!$A$25:$AB$29, 26,false),
if(countif('R4_G4'!$A$25:$A$29,$A7)=1,vlookup($A7,'R4_G4'!$A$25:$AB$29, 26,false), ""))))</f>
        <v>15.63333333</v>
      </c>
      <c r="V7" s="1685">
        <f>
if(countif('R4_G1'!$A$25:$A$29,$A7)=1,vlookup($A7,'R4_G1'!$A$25:$AB$29, 27,false),
if(countif('R4_G3'!$A$25:$A$29,$A7)=1,vlookup($A7,'R4_G3'!$A$25:$AB$29, 27,false),
if(countif('R4_G2'!$A$25:$A$29,$A7)=1,vlookup($A7,'R4_G2'!$A$25:$AB$29, 27,false),
if(countif('R4_G4'!$A$25:$A$29,$A7)=1,vlookup($A7,'R4_G4'!$A$25:$AB$29, 27,false), ""))))</f>
        <v>6.4</v>
      </c>
      <c r="W7" s="1685">
        <f>
if(countif('R4_G1'!$A$25:$A$29,$A7)=1,vlookup($A7,'R4_G1'!$A$25:$AB$29, 28,false),
if(countif('R4_G3'!$A$25:$A$29,$A7)=1,vlookup($A7,'R4_G3'!$A$25:$AB$29, 28,false),
if(countif('R4_G2'!$A$25:$A$29,$A7)=1,vlookup($A7,'R4_G2'!$A$25:$AB$29, 28,false),
if(countif('R4_G4'!$A$25:$A$29,$A7)=1,vlookup($A7,'R4_G4'!$A$25:$AB$29, 28,false), ""))))</f>
        <v>1.658080808</v>
      </c>
      <c r="X7" s="1686">
        <f>if(T7="","",vlookup($A7,'ALL SCORES'!$AC$77:$BE$92,29,false)/18)</f>
        <v>0.6240740741</v>
      </c>
      <c r="Y7" s="1629"/>
      <c r="Z7" s="1699">
        <f t="shared" si="2"/>
        <v>75.25</v>
      </c>
      <c r="AA7" s="1700">
        <f t="shared" si="3"/>
        <v>23.84556277</v>
      </c>
      <c r="AB7" s="1701">
        <f t="shared" si="4"/>
        <v>6.031381119</v>
      </c>
      <c r="AC7" s="1702">
        <f t="shared" si="5"/>
        <v>0.5443211881</v>
      </c>
      <c r="AD7" s="1703">
        <f t="shared" si="6"/>
        <v>0.5472222222</v>
      </c>
      <c r="AE7" s="1692"/>
      <c r="AF7" s="1693">
        <f t="shared" si="7"/>
        <v>0.5407407407</v>
      </c>
      <c r="AG7" s="1693">
        <f t="shared" si="8"/>
        <v>0.5268518519</v>
      </c>
      <c r="AH7" s="1693">
        <f t="shared" si="9"/>
        <v>0.4876322751</v>
      </c>
      <c r="AI7" s="1694">
        <f t="shared" si="10"/>
        <v>0.6278619529</v>
      </c>
      <c r="AJ7" s="1694">
        <f t="shared" si="11"/>
        <v>0.5457717051</v>
      </c>
      <c r="AK7" s="1695"/>
      <c r="AL7" s="1696">
        <f t="shared" si="12"/>
        <v>2.4375</v>
      </c>
      <c r="AM7" s="1696">
        <f t="shared" si="13"/>
        <v>5.75</v>
      </c>
      <c r="AN7" s="1696">
        <f t="shared" si="14"/>
        <v>-2.5</v>
      </c>
      <c r="AO7" s="1697">
        <f t="shared" si="15"/>
        <v>7.5</v>
      </c>
      <c r="AP7" s="1685">
        <f t="shared" si="16"/>
        <v>3.296875</v>
      </c>
      <c r="AQ7" s="1698">
        <f t="shared" si="17"/>
        <v>13.1875</v>
      </c>
      <c r="AR7" s="1685">
        <f>vlookup(AS7,'Master Input'!$A$9:$N$27,'Master Input'!$M$28+1,false)</f>
        <v>7.625</v>
      </c>
      <c r="AS7" s="1677" t="str">
        <f t="shared" si="1"/>
        <v>Jensen</v>
      </c>
    </row>
    <row r="8" ht="12.75" customHeight="1">
      <c r="A8" s="1678" t="str">
        <f>'Master Input'!A13</f>
        <v>Andy</v>
      </c>
      <c r="B8" s="1679">
        <f>vlookup($A8,'ALL SCORES'!$A$5:$AA$20,26,false)</f>
        <v>78</v>
      </c>
      <c r="C8" s="1680">
        <f>
if(countif('R1_G1'!$A$25:$A$29,$A8)=1,vlookup($A8,'R1_G1'!$A$25:$AB$29, 26,false),
if(countif('R1_G2'!$A$25:$A$29,$A8)=1,vlookup($A8,'R1_G2'!$A$25:$AB$29, 26,false),
if(countif('R1_G3'!$A$25:$A$29,$A8)=1,vlookup($A8,'R1_G3'!$A$25:$AB$29, 26,false),
if(countif('R1_G4'!$A$25:$A$29,$A8)=1,vlookup($A8,'R1_G4'!$A$25:$AB$29, 26,false), ""))))</f>
        <v>8</v>
      </c>
      <c r="D8" s="1680">
        <f>
if(countif('R1_G1'!$A$25:$A$29,$A8)=1,vlookup($A8,'R1_G1'!$A$25:$AB$29, 27,false),
if(countif('R1_G2'!$A$25:$A$29,$A8)=1,vlookup($A8,'R1_G2'!$A$25:$AB$29, 27,false),
if(countif('R1_G3'!$A$25:$A$29,$A8)=1,vlookup($A8,'R1_G3'!$A$25:$AB$29, 27,false),
if(countif('R1_G4'!$A$25:$A$29,$A8)=1,vlookup($A8,'R1_G4'!$A$25:$AB$29, 27,false), ""))))</f>
        <v>4.5</v>
      </c>
      <c r="E8" s="1680">
        <f>
if(countif('R1_G1'!$A$25:$A$29,$A8)=1,vlookup($A8,'R1_G1'!$A$25:$AB$29, 28,false),
if(countif('R1_G2'!$A$25:$A$29,$A8)=1,vlookup($A8,'R1_G2'!$A$25:$AB$29, 28,false),
if(countif('R1_G3'!$A$25:$A$29,$A8)=1,vlookup($A8,'R1_G3'!$A$25:$AB$29, 28,false),
if(countif('R1_G4'!$A$25:$A$29,$A8)=1,vlookup($A8,'R1_G4'!$A$25:$AB$29, 28,false), ""))))</f>
        <v>1.578063241</v>
      </c>
      <c r="F8" s="1681">
        <f>if(B8="","",vlookup($A8,'ALL SCORES'!$AC$5:$BE$20,29,false)/18)</f>
        <v>0.5018518519</v>
      </c>
      <c r="G8" s="1629"/>
      <c r="H8" s="1679">
        <f>vlookup($A8,'ALL SCORES'!$A$29:$AB$44,26,false)</f>
        <v>82</v>
      </c>
      <c r="I8" s="1682">
        <f>if(H8="","",
sumif('R2_G1'!$A$29:$A$33,$A8,'R2_G1'!$AA$29:$AA$33)+
sumif('R2_G2'!$A$29:$A$33,$A8,'R2_G2'!$AA$29:$AA$33)+
sumif('R2_G3'!$A$29:$A$33,$A8,'R2_G3'!$AA$29:$AA$33)+
sumif('R2_G4'!$A$29:$A$33,$A8,'R2_G4'!$AA$29:$AA$33))
</f>
        <v>8</v>
      </c>
      <c r="J8" s="1682">
        <f>if(H8="","",
sumif('R2_G1'!$A$29:$A$33,$A8,'R2_G1'!$AA$29:$AA$33)+
sumif('R2_G2'!$A$29:$A$33,$A8,'R2_G2'!$AA$29:$AA$33)+
sumif('R2_G3'!$A$29:$A$33,$A8,'R2_G3'!$AA$29:$AA$33)+
sumif('R2_G4'!$A$29:$A$33,$A8,'R2_G4'!$AA$29:$AA$33))
</f>
        <v>8</v>
      </c>
      <c r="K8" s="1682">
        <f>if(H8="","",
sumif('R2_G1'!$A$29:$A$33,$A8,'R2_G1'!$AB$29:$AB$33)+
sumif('R2_G2'!$A$29:$A$33,$A8,'R2_G2'!$AB$29:$AB$33)+
sumif('R2_G3'!$A$29:$A$33,$A8,'R2_G3'!$AB$29:$AB$33)+
sumif('R2_G4'!$A$29:$A$33,$A8,'R2_G4'!$AB$29:$AB$33))
</f>
        <v>0.5</v>
      </c>
      <c r="L8" s="1681">
        <f>if(H8="","",vlookup($A8,'ALL SCORES'!$AC$29:$BE$44,29,false)/18)</f>
        <v>0.4962962963</v>
      </c>
      <c r="M8" s="1629"/>
      <c r="N8" s="1679">
        <f>vlookup($A8,'ALL SCORES'!$A$53:$AA$68,26,false)</f>
        <v>74</v>
      </c>
      <c r="O8" s="1682">
        <f>
if(countif('R3_G1'!$A$32:$A$36,$A8)=1,vlookup($A8,'R3_G1'!$A$32:$AC$36, 27,false),
if(countif('R3_G2'!$A$32:$A$36,$A8)=1,vlookup($A8,'R3_G2'!$A$32:$AC$36, 27,false),
if(countif('R3_G3'!$A$32:$A$36,$A8)=1,vlookup($A8,'R3_G3'!$A$32:$AC$36, 27,false),
if(countif('R3_G4'!$A$32:$A$36,$A8)=1,vlookup($A8,'R3_G4'!$A$32:$AC$36, 27,false), ""))))</f>
        <v>12.4</v>
      </c>
      <c r="P8" s="1682">
        <f>
if(countif('R3_G1'!$A$32:$A$36,$A8)=1,vlookup($A8,'R3_G1'!$A$32:$AC$36, 28,false),
if(countif('R3_G2'!$A$32:$A$36,$A8)=1,vlookup($A8,'R3_G2'!$A$32:$AC$36, 28,false),
if(countif('R3_G3'!$A$32:$A$36,$A8)=1,vlookup($A8,'R3_G3'!$A$32:$AC$36, 28,false),
if(countif('R3_G4'!$A$32:$A$36,$A8)=1,vlookup($A8,'R3_G4'!$A$32:$AC$36, 28,false), ""))))</f>
        <v>5.365384615</v>
      </c>
      <c r="Q8" s="1683">
        <f>
if(countif('R3_G1'!$A$32:$A$36,$A8)=1,vlookup($A8,'R3_G1'!$A$32:$AC$36, 29,false),
if(countif('R3_G2'!$A$32:$A$36,$A8)=1,vlookup($A8,'R3_G2'!$A$32:$AC$36, 29,false),
if(countif('R3_G3'!$A$32:$A$36,$A8)=1,vlookup($A8,'R3_G3'!$A$32:$AC$36, 29,false),
if(countif('R3_G4'!$A$32:$A$36,$A8)=1,vlookup($A8,'R3_G4'!$A$32:$AC$36, 29,false), ""))))</f>
        <v>0.3444444444</v>
      </c>
      <c r="R8" s="1684">
        <f>if(N8="","", vlookup($A8,'ALL SCORES'!$AC$53:$BE$68,29,false)/18)</f>
        <v>0.5796296296</v>
      </c>
      <c r="S8" s="1629"/>
      <c r="T8" s="1679">
        <f>vlookup($A8,'ALL SCORES'!$A$77:$AA$92,26,false)</f>
        <v>77</v>
      </c>
      <c r="U8" s="1685">
        <f>
if(countif('R4_G1'!$A$25:$A$29,$A8)=1,vlookup($A8,'R4_G1'!$A$25:$AB$29, 26,false),
if(countif('R4_G3'!$A$25:$A$29,$A8)=1,vlookup($A8,'R4_G3'!$A$25:$AB$29, 26,false),
if(countif('R4_G2'!$A$25:$A$29,$A8)=1,vlookup($A8,'R4_G2'!$A$25:$AB$29, 26,false),
if(countif('R4_G4'!$A$25:$A$29,$A8)=1,vlookup($A8,'R4_G4'!$A$25:$AB$29, 26,false), ""))))</f>
        <v>13.58333333</v>
      </c>
      <c r="V8" s="1685">
        <f>
if(countif('R4_G1'!$A$25:$A$29,$A8)=1,vlookup($A8,'R4_G1'!$A$25:$AB$29, 27,false),
if(countif('R4_G3'!$A$25:$A$29,$A8)=1,vlookup($A8,'R4_G3'!$A$25:$AB$29, 27,false),
if(countif('R4_G2'!$A$25:$A$29,$A8)=1,vlookup($A8,'R4_G2'!$A$25:$AB$29, 27,false),
if(countif('R4_G4'!$A$25:$A$29,$A8)=1,vlookup($A8,'R4_G4'!$A$25:$AB$29, 27,false), ""))))</f>
        <v>4.95</v>
      </c>
      <c r="W8" s="1685">
        <f>
if(countif('R4_G1'!$A$25:$A$29,$A8)=1,vlookup($A8,'R4_G1'!$A$25:$AB$29, 28,false),
if(countif('R4_G3'!$A$25:$A$29,$A8)=1,vlookup($A8,'R4_G3'!$A$25:$AB$29, 28,false),
if(countif('R4_G2'!$A$25:$A$29,$A8)=1,vlookup($A8,'R4_G2'!$A$25:$AB$29, 28,false),
if(countif('R4_G4'!$A$25:$A$29,$A8)=1,vlookup($A8,'R4_G4'!$A$25:$AB$29, 28,false), ""))))</f>
        <v>1.440656566</v>
      </c>
      <c r="X8" s="1686">
        <f>if(T8="","",vlookup($A8,'ALL SCORES'!$AC$77:$BE$92,29,false)/18)</f>
        <v>0.5092592593</v>
      </c>
      <c r="Y8" s="1629"/>
      <c r="Z8" s="1704">
        <f t="shared" si="2"/>
        <v>77.75</v>
      </c>
      <c r="AA8" s="1705">
        <f t="shared" si="3"/>
        <v>22.80477855</v>
      </c>
      <c r="AB8" s="1706">
        <f t="shared" si="4"/>
        <v>3.863164251</v>
      </c>
      <c r="AC8" s="1707">
        <f t="shared" si="5"/>
        <v>0.5223549599</v>
      </c>
      <c r="AD8" s="1708">
        <f t="shared" si="6"/>
        <v>0.5217592593</v>
      </c>
      <c r="AE8" s="1692"/>
      <c r="AF8" s="1693">
        <f t="shared" si="7"/>
        <v>0.5009259259</v>
      </c>
      <c r="AG8" s="1693">
        <f t="shared" si="8"/>
        <v>0.4703703704</v>
      </c>
      <c r="AH8" s="1693">
        <f t="shared" si="9"/>
        <v>0.5878917379</v>
      </c>
      <c r="AI8" s="1694">
        <f t="shared" si="10"/>
        <v>0.529040404</v>
      </c>
      <c r="AJ8" s="1694">
        <f t="shared" si="11"/>
        <v>0.5220571096</v>
      </c>
      <c r="AK8" s="1695"/>
      <c r="AL8" s="1696">
        <f t="shared" si="12"/>
        <v>0.4375</v>
      </c>
      <c r="AM8" s="1696">
        <f t="shared" si="13"/>
        <v>-2.25</v>
      </c>
      <c r="AN8" s="1696">
        <f t="shared" si="14"/>
        <v>3.5</v>
      </c>
      <c r="AO8" s="1697">
        <f t="shared" si="15"/>
        <v>1.5</v>
      </c>
      <c r="AP8" s="1685">
        <f t="shared" si="16"/>
        <v>0.796875</v>
      </c>
      <c r="AQ8" s="1698">
        <f t="shared" si="17"/>
        <v>3.1875</v>
      </c>
      <c r="AR8" s="1685">
        <f>vlookup(AS8,'Master Input'!$A$9:$N$27,'Master Input'!$M$28+1,false)</f>
        <v>7.825</v>
      </c>
      <c r="AS8" s="1677" t="str">
        <f t="shared" si="1"/>
        <v>Andy</v>
      </c>
    </row>
    <row r="9" ht="12.75" customHeight="1">
      <c r="A9" s="1678" t="str">
        <f>'Master Input'!A12</f>
        <v>CuzNick</v>
      </c>
      <c r="B9" s="1679">
        <f>vlookup($A9,'ALL SCORES'!$A$5:$AA$20,26,false)</f>
        <v>69</v>
      </c>
      <c r="C9" s="1680">
        <f>
if(countif('R1_G1'!$A$25:$A$29,$A9)=1,vlookup($A9,'R1_G1'!$A$25:$AB$29, 26,false),
if(countif('R1_G2'!$A$25:$A$29,$A9)=1,vlookup($A9,'R1_G2'!$A$25:$AB$29, 26,false),
if(countif('R1_G3'!$A$25:$A$29,$A9)=1,vlookup($A9,'R1_G3'!$A$25:$AB$29, 26,false),
if(countif('R1_G4'!$A$25:$A$29,$A9)=1,vlookup($A9,'R1_G4'!$A$25:$AB$29, 26,false), ""))))</f>
        <v>9</v>
      </c>
      <c r="D9" s="1680">
        <f>
if(countif('R1_G1'!$A$25:$A$29,$A9)=1,vlookup($A9,'R1_G1'!$A$25:$AB$29, 27,false),
if(countif('R1_G2'!$A$25:$A$29,$A9)=1,vlookup($A9,'R1_G2'!$A$25:$AB$29, 27,false),
if(countif('R1_G3'!$A$25:$A$29,$A9)=1,vlookup($A9,'R1_G3'!$A$25:$AB$29, 27,false),
if(countif('R1_G4'!$A$25:$A$29,$A9)=1,vlookup($A9,'R1_G4'!$A$25:$AB$29, 27,false), ""))))</f>
        <v>5.25</v>
      </c>
      <c r="E9" s="1680">
        <f>
if(countif('R1_G1'!$A$25:$A$29,$A9)=1,vlookup($A9,'R1_G1'!$A$25:$AB$29, 28,false),
if(countif('R1_G2'!$A$25:$A$29,$A9)=1,vlookup($A9,'R1_G2'!$A$25:$AB$29, 28,false),
if(countif('R1_G3'!$A$25:$A$29,$A9)=1,vlookup($A9,'R1_G3'!$A$25:$AB$29, 28,false),
if(countif('R1_G4'!$A$25:$A$29,$A9)=1,vlookup($A9,'R1_G4'!$A$25:$AB$29, 28,false), ""))))</f>
        <v>1.632692308</v>
      </c>
      <c r="F9" s="1681">
        <f>if(B9="","",vlookup($A9,'ALL SCORES'!$AC$5:$BE$20,29,false)/18)</f>
        <v>0.6166666667</v>
      </c>
      <c r="G9" s="1629"/>
      <c r="H9" s="1679">
        <f>vlookup($A9,'ALL SCORES'!$A$29:$AB$44,26,false)</f>
        <v>80</v>
      </c>
      <c r="I9" s="1682">
        <f>if(H9="","",
sumif('R2_G1'!$A$29:$A$33,$A9,'R2_G1'!$AA$29:$AA$33)+
sumif('R2_G2'!$A$29:$A$33,$A9,'R2_G2'!$AA$29:$AA$33)+
sumif('R2_G3'!$A$29:$A$33,$A9,'R2_G3'!$AA$29:$AA$33)+
sumif('R2_G4'!$A$29:$A$33,$A9,'R2_G4'!$AA$29:$AA$33))
</f>
        <v>9</v>
      </c>
      <c r="J9" s="1682">
        <f>if(H9="","",
sumif('R2_G1'!$A$29:$A$33,$A9,'R2_G1'!$AA$29:$AA$33)+
sumif('R2_G2'!$A$29:$A$33,$A9,'R2_G2'!$AA$29:$AA$33)+
sumif('R2_G3'!$A$29:$A$33,$A9,'R2_G3'!$AA$29:$AA$33)+
sumif('R2_G4'!$A$29:$A$33,$A9,'R2_G4'!$AA$29:$AA$33))
</f>
        <v>9</v>
      </c>
      <c r="K9" s="1682">
        <f>if(H9="","",
sumif('R2_G1'!$A$29:$A$33,$A9,'R2_G1'!$AB$29:$AB$33)+
sumif('R2_G2'!$A$29:$A$33,$A9,'R2_G2'!$AB$29:$AB$33)+
sumif('R2_G3'!$A$29:$A$33,$A9,'R2_G3'!$AB$29:$AB$33)+
sumif('R2_G4'!$A$29:$A$33,$A9,'R2_G4'!$AB$29:$AB$33))
</f>
        <v>1.5</v>
      </c>
      <c r="L9" s="1681">
        <f>if(H9="","",vlookup($A9,'ALL SCORES'!$AC$29:$BE$44,29,false)/18)</f>
        <v>0.45</v>
      </c>
      <c r="M9" s="1629"/>
      <c r="N9" s="1679">
        <f>vlookup($A9,'ALL SCORES'!$A$53:$AA$68,26,false)</f>
        <v>77</v>
      </c>
      <c r="O9" s="1682">
        <f>
if(countif('R3_G1'!$A$32:$A$36,$A9)=1,vlookup($A9,'R3_G1'!$A$32:$AC$36, 27,false),
if(countif('R3_G2'!$A$32:$A$36,$A9)=1,vlookup($A9,'R3_G2'!$A$32:$AC$36, 27,false),
if(countif('R3_G3'!$A$32:$A$36,$A9)=1,vlookup($A9,'R3_G3'!$A$32:$AC$36, 27,false),
if(countif('R3_G4'!$A$32:$A$36,$A9)=1,vlookup($A9,'R3_G4'!$A$32:$AC$36, 27,false), ""))))</f>
        <v>7.071428571</v>
      </c>
      <c r="P9" s="1682">
        <f>
if(countif('R3_G1'!$A$32:$A$36,$A9)=1,vlookup($A9,'R3_G1'!$A$32:$AC$36, 28,false),
if(countif('R3_G2'!$A$32:$A$36,$A9)=1,vlookup($A9,'R3_G2'!$A$32:$AC$36, 28,false),
if(countif('R3_G3'!$A$32:$A$36,$A9)=1,vlookup($A9,'R3_G3'!$A$32:$AC$36, 28,false),
if(countif('R3_G4'!$A$32:$A$36,$A9)=1,vlookup($A9,'R3_G4'!$A$32:$AC$36, 28,false), ""))))</f>
        <v>4.068493151</v>
      </c>
      <c r="Q9" s="1683">
        <f>
if(countif('R3_G1'!$A$32:$A$36,$A9)=1,vlookup($A9,'R3_G1'!$A$32:$AC$36, 29,false),
if(countif('R3_G2'!$A$32:$A$36,$A9)=1,vlookup($A9,'R3_G2'!$A$32:$AC$36, 29,false),
if(countif('R3_G3'!$A$32:$A$36,$A9)=1,vlookup($A9,'R3_G3'!$A$32:$AC$36, 29,false),
if(countif('R3_G4'!$A$32:$A$36,$A9)=1,vlookup($A9,'R3_G4'!$A$32:$AC$36, 29,false), ""))))</f>
        <v>1.571428571</v>
      </c>
      <c r="R9" s="1684">
        <f>if(N9="","", vlookup($A9,'ALL SCORES'!$AC$53:$BE$68,29,false)/18)</f>
        <v>0.4925925926</v>
      </c>
      <c r="S9" s="1629"/>
      <c r="T9" s="1679">
        <f>vlookup($A9,'ALL SCORES'!$A$77:$AA$92,26,false)</f>
        <v>86</v>
      </c>
      <c r="U9" s="1685">
        <f>
if(countif('R4_G1'!$A$25:$A$29,$A9)=1,vlookup($A9,'R4_G1'!$A$25:$AB$29, 26,false),
if(countif('R4_G3'!$A$25:$A$29,$A9)=1,vlookup($A9,'R4_G3'!$A$25:$AB$29, 26,false),
if(countif('R4_G2'!$A$25:$A$29,$A9)=1,vlookup($A9,'R4_G2'!$A$25:$AB$29, 26,false),
if(countif('R4_G4'!$A$25:$A$29,$A9)=1,vlookup($A9,'R4_G4'!$A$25:$AB$29, 26,false), ""))))</f>
        <v>9.85</v>
      </c>
      <c r="V9" s="1685">
        <f>
if(countif('R4_G1'!$A$25:$A$29,$A9)=1,vlookup($A9,'R4_G1'!$A$25:$AB$29, 27,false),
if(countif('R4_G3'!$A$25:$A$29,$A9)=1,vlookup($A9,'R4_G3'!$A$25:$AB$29, 27,false),
if(countif('R4_G2'!$A$25:$A$29,$A9)=1,vlookup($A9,'R4_G2'!$A$25:$AB$29, 27,false),
if(countif('R4_G4'!$A$25:$A$29,$A9)=1,vlookup($A9,'R4_G4'!$A$25:$AB$29, 27,false), ""))))</f>
        <v>3.666666667</v>
      </c>
      <c r="W9" s="1685">
        <f>
if(countif('R4_G1'!$A$25:$A$29,$A9)=1,vlookup($A9,'R4_G1'!$A$25:$AB$29, 28,false),
if(countif('R4_G3'!$A$25:$A$29,$A9)=1,vlookup($A9,'R4_G3'!$A$25:$AB$29, 28,false),
if(countif('R4_G2'!$A$25:$A$29,$A9)=1,vlookup($A9,'R4_G2'!$A$25:$AB$29, 28,false),
if(countif('R4_G4'!$A$25:$A$29,$A9)=1,vlookup($A9,'R4_G4'!$A$25:$AB$29, 28,false), ""))))</f>
        <v>1.04469697</v>
      </c>
      <c r="X9" s="1686">
        <f>if(T9="","",vlookup($A9,'ALL SCORES'!$AC$77:$BE$92,29,false)/18)</f>
        <v>0.4092592593</v>
      </c>
      <c r="Y9" s="1629"/>
      <c r="Z9" s="1709">
        <f t="shared" si="2"/>
        <v>78</v>
      </c>
      <c r="AA9" s="1710">
        <f t="shared" si="3"/>
        <v>21.90031133</v>
      </c>
      <c r="AB9" s="1711">
        <f t="shared" si="4"/>
        <v>5.748817849</v>
      </c>
      <c r="AC9" s="1712">
        <f t="shared" si="5"/>
        <v>0.4833419815</v>
      </c>
      <c r="AD9" s="1713">
        <f t="shared" si="6"/>
        <v>0.4921296296</v>
      </c>
      <c r="AE9" s="1692"/>
      <c r="AF9" s="1693">
        <f t="shared" si="7"/>
        <v>0.6</v>
      </c>
      <c r="AG9" s="1693">
        <f t="shared" si="8"/>
        <v>0.475</v>
      </c>
      <c r="AH9" s="1693">
        <f t="shared" si="9"/>
        <v>0.4723236936</v>
      </c>
      <c r="AI9" s="1694">
        <f t="shared" si="10"/>
        <v>0.4036195286</v>
      </c>
      <c r="AJ9" s="1694">
        <f t="shared" si="11"/>
        <v>0.4877358055</v>
      </c>
      <c r="AK9" s="1695"/>
      <c r="AL9" s="1696">
        <f t="shared" si="12"/>
        <v>9.4375</v>
      </c>
      <c r="AM9" s="1696">
        <f t="shared" si="13"/>
        <v>-0.25</v>
      </c>
      <c r="AN9" s="1696">
        <f t="shared" si="14"/>
        <v>0.5</v>
      </c>
      <c r="AO9" s="1697">
        <f t="shared" si="15"/>
        <v>-7.5</v>
      </c>
      <c r="AP9" s="1685">
        <f t="shared" si="16"/>
        <v>0.546875</v>
      </c>
      <c r="AQ9" s="1698">
        <f t="shared" si="17"/>
        <v>2.1875</v>
      </c>
      <c r="AR9" s="1685">
        <f>vlookup(AS9,'Master Input'!$A$9:$N$27,'Master Input'!$M$28+1,false)</f>
        <v>7.25</v>
      </c>
      <c r="AS9" s="1677" t="str">
        <f t="shared" si="1"/>
        <v>CuzNick</v>
      </c>
    </row>
    <row r="10" ht="12.75" customHeight="1">
      <c r="A10" s="1678" t="str">
        <f>'Master Input'!A18</f>
        <v>Saugy</v>
      </c>
      <c r="B10" s="1679">
        <f>vlookup($A10,'ALL SCORES'!$A$5:$AA$20,26,false)</f>
        <v>75</v>
      </c>
      <c r="C10" s="1680">
        <f>
if(countif('R1_G1'!$A$25:$A$29,$A10)=1,vlookup($A10,'R1_G1'!$A$25:$AB$29, 26,false),
if(countif('R1_G2'!$A$25:$A$29,$A10)=1,vlookup($A10,'R1_G2'!$A$25:$AB$29, 26,false),
if(countif('R1_G3'!$A$25:$A$29,$A10)=1,vlookup($A10,'R1_G3'!$A$25:$AB$29, 26,false),
if(countif('R1_G4'!$A$25:$A$29,$A10)=1,vlookup($A10,'R1_G4'!$A$25:$AB$29, 26,false), ""))))</f>
        <v>9</v>
      </c>
      <c r="D10" s="1680">
        <f>
if(countif('R1_G1'!$A$25:$A$29,$A10)=1,vlookup($A10,'R1_G1'!$A$25:$AB$29, 27,false),
if(countif('R1_G2'!$A$25:$A$29,$A10)=1,vlookup($A10,'R1_G2'!$A$25:$AB$29, 27,false),
if(countif('R1_G3'!$A$25:$A$29,$A10)=1,vlookup($A10,'R1_G3'!$A$25:$AB$29, 27,false),
if(countif('R1_G4'!$A$25:$A$29,$A10)=1,vlookup($A10,'R1_G4'!$A$25:$AB$29, 27,false), ""))))</f>
        <v>7.75</v>
      </c>
      <c r="E10" s="1680">
        <f>
if(countif('R1_G1'!$A$25:$A$29,$A10)=1,vlookup($A10,'R1_G1'!$A$25:$AB$29, 28,false),
if(countif('R1_G2'!$A$25:$A$29,$A10)=1,vlookup($A10,'R1_G2'!$A$25:$AB$29, 28,false),
if(countif('R1_G3'!$A$25:$A$29,$A10)=1,vlookup($A10,'R1_G3'!$A$25:$AB$29, 28,false),
if(countif('R1_G4'!$A$25:$A$29,$A10)=1,vlookup($A10,'R1_G4'!$A$25:$AB$29, 28,false), ""))))</f>
        <v>2.367307692</v>
      </c>
      <c r="F10" s="1681">
        <f>if(B10="","",vlookup($A10,'ALL SCORES'!$AC$5:$BE$20,29,false)/18)</f>
        <v>0.5814814815</v>
      </c>
      <c r="G10" s="1629"/>
      <c r="H10" s="1679">
        <f>vlookup($A10,'ALL SCORES'!$A$29:$AB$44,26,false)</f>
        <v>92</v>
      </c>
      <c r="I10" s="1682">
        <f>if(H10="","",
sumif('R2_G1'!$A$29:$A$33,$A10,'R2_G1'!$AA$29:$AA$33)+
sumif('R2_G2'!$A$29:$A$33,$A10,'R2_G2'!$AA$29:$AA$33)+
sumif('R2_G3'!$A$29:$A$33,$A10,'R2_G3'!$AA$29:$AA$33)+
sumif('R2_G4'!$A$29:$A$33,$A10,'R2_G4'!$AA$29:$AA$33))
</f>
        <v>5</v>
      </c>
      <c r="J10" s="1682">
        <f>if(H10="","",
sumif('R2_G1'!$A$29:$A$33,$A10,'R2_G1'!$AA$29:$AA$33)+
sumif('R2_G2'!$A$29:$A$33,$A10,'R2_G2'!$AA$29:$AA$33)+
sumif('R2_G3'!$A$29:$A$33,$A10,'R2_G3'!$AA$29:$AA$33)+
sumif('R2_G4'!$A$29:$A$33,$A10,'R2_G4'!$AA$29:$AA$33))
</f>
        <v>5</v>
      </c>
      <c r="K10" s="1682">
        <f>if(H10="","",
sumif('R2_G1'!$A$29:$A$33,$A10,'R2_G1'!$AB$29:$AB$33)+
sumif('R2_G2'!$A$29:$A$33,$A10,'R2_G2'!$AB$29:$AB$33)+
sumif('R2_G3'!$A$29:$A$33,$A10,'R2_G3'!$AB$29:$AB$33)+
sumif('R2_G4'!$A$29:$A$33,$A10,'R2_G4'!$AB$29:$AB$33))
</f>
        <v>0</v>
      </c>
      <c r="L10" s="1681">
        <f>if(H10="","",vlookup($A10,'ALL SCORES'!$AC$29:$BE$44,29,false)/18)</f>
        <v>0.3703703704</v>
      </c>
      <c r="M10" s="1629"/>
      <c r="N10" s="1679">
        <f>vlookup($A10,'ALL SCORES'!$A$53:$AA$68,26,false)</f>
        <v>77</v>
      </c>
      <c r="O10" s="1682">
        <f>
if(countif('R3_G1'!$A$32:$A$36,$A10)=1,vlookup($A10,'R3_G1'!$A$32:$AC$36, 27,false),
if(countif('R3_G2'!$A$32:$A$36,$A10)=1,vlookup($A10,'R3_G2'!$A$32:$AC$36, 27,false),
if(countif('R3_G3'!$A$32:$A$36,$A10)=1,vlookup($A10,'R3_G3'!$A$32:$AC$36, 27,false),
if(countif('R3_G4'!$A$32:$A$36,$A10)=1,vlookup($A10,'R3_G4'!$A$32:$AC$36, 27,false), ""))))</f>
        <v>9.870967742</v>
      </c>
      <c r="P10" s="1682">
        <f>
if(countif('R3_G1'!$A$32:$A$36,$A10)=1,vlookup($A10,'R3_G1'!$A$32:$AC$36, 28,false),
if(countif('R3_G2'!$A$32:$A$36,$A10)=1,vlookup($A10,'R3_G2'!$A$32:$AC$36, 28,false),
if(countif('R3_G3'!$A$32:$A$36,$A10)=1,vlookup($A10,'R3_G3'!$A$32:$AC$36, 28,false),
if(countif('R3_G4'!$A$32:$A$36,$A10)=1,vlookup($A10,'R3_G4'!$A$32:$AC$36, 28,false), ""))))</f>
        <v>4.10738255</v>
      </c>
      <c r="Q10" s="1683">
        <f>
if(countif('R3_G1'!$A$32:$A$36,$A10)=1,vlookup($A10,'R3_G1'!$A$32:$AC$36, 29,false),
if(countif('R3_G2'!$A$32:$A$36,$A10)=1,vlookup($A10,'R3_G2'!$A$32:$AC$36, 29,false),
if(countif('R3_G3'!$A$32:$A$36,$A10)=1,vlookup($A10,'R3_G3'!$A$32:$AC$36, 29,false),
if(countif('R3_G4'!$A$32:$A$36,$A10)=1,vlookup($A10,'R3_G4'!$A$32:$AC$36, 29,false), ""))))</f>
        <v>0</v>
      </c>
      <c r="R10" s="1684">
        <f>if(N10="","", vlookup($A10,'ALL SCORES'!$AC$53:$BE$68,29,false)/18)</f>
        <v>0.5111111111</v>
      </c>
      <c r="S10" s="1629"/>
      <c r="T10" s="1679">
        <f>vlookup($A10,'ALL SCORES'!$A$77:$AA$92,26,false)</f>
        <v>72</v>
      </c>
      <c r="U10" s="1685">
        <f>
if(countif('R4_G1'!$A$25:$A$29,$A10)=1,vlookup($A10,'R4_G1'!$A$25:$AB$29, 26,false),
if(countif('R4_G3'!$A$25:$A$29,$A10)=1,vlookup($A10,'R4_G3'!$A$25:$AB$29, 26,false),
if(countif('R4_G2'!$A$25:$A$29,$A10)=1,vlookup($A10,'R4_G2'!$A$25:$AB$29, 26,false),
if(countif('R4_G4'!$A$25:$A$29,$A10)=1,vlookup($A10,'R4_G4'!$A$25:$AB$29, 26,false), ""))))</f>
        <v>11.68333333</v>
      </c>
      <c r="V10" s="1685">
        <f>
if(countif('R4_G1'!$A$25:$A$29,$A10)=1,vlookup($A10,'R4_G1'!$A$25:$AB$29, 27,false),
if(countif('R4_G3'!$A$25:$A$29,$A10)=1,vlookup($A10,'R4_G3'!$A$25:$AB$29, 27,false),
if(countif('R4_G2'!$A$25:$A$29,$A10)=1,vlookup($A10,'R4_G2'!$A$25:$AB$29, 27,false),
if(countif('R4_G4'!$A$25:$A$29,$A10)=1,vlookup($A10,'R4_G4'!$A$25:$AB$29, 27,false), ""))))</f>
        <v>5.466666667</v>
      </c>
      <c r="W10" s="1685">
        <f>
if(countif('R4_G1'!$A$25:$A$29,$A10)=1,vlookup($A10,'R4_G1'!$A$25:$AB$29, 28,false),
if(countif('R4_G3'!$A$25:$A$29,$A10)=1,vlookup($A10,'R4_G3'!$A$25:$AB$29, 28,false),
if(countif('R4_G2'!$A$25:$A$29,$A10)=1,vlookup($A10,'R4_G2'!$A$25:$AB$29, 28,false),
if(countif('R4_G4'!$A$25:$A$29,$A10)=1,vlookup($A10,'R4_G4'!$A$25:$AB$29, 28,false), ""))))</f>
        <v>1.239141414</v>
      </c>
      <c r="X10" s="1686">
        <f>if(T10="","",vlookup($A10,'ALL SCORES'!$AC$77:$BE$92,29,false)/18)</f>
        <v>0.5481481481</v>
      </c>
      <c r="Y10" s="1629"/>
      <c r="Z10" s="1714">
        <f t="shared" si="2"/>
        <v>79</v>
      </c>
      <c r="AA10" s="1715">
        <f t="shared" si="3"/>
        <v>21.1058674</v>
      </c>
      <c r="AB10" s="1716">
        <f t="shared" si="4"/>
        <v>3.606449106</v>
      </c>
      <c r="AC10" s="1717">
        <f t="shared" si="5"/>
        <v>0.51682965</v>
      </c>
      <c r="AD10" s="1718">
        <f t="shared" si="6"/>
        <v>0.5027777778</v>
      </c>
      <c r="AE10" s="1692"/>
      <c r="AF10" s="1693">
        <f t="shared" si="7"/>
        <v>0.7212962963</v>
      </c>
      <c r="AG10" s="1693">
        <f t="shared" si="8"/>
        <v>0.3240740741</v>
      </c>
      <c r="AH10" s="1693">
        <f t="shared" si="9"/>
        <v>0.483743475</v>
      </c>
      <c r="AI10" s="1694">
        <f t="shared" si="10"/>
        <v>0.5101010101</v>
      </c>
      <c r="AJ10" s="1694">
        <f t="shared" si="11"/>
        <v>0.5098037139</v>
      </c>
      <c r="AK10" s="1695"/>
      <c r="AL10" s="1696">
        <f t="shared" si="12"/>
        <v>3.4375</v>
      </c>
      <c r="AM10" s="1696">
        <f t="shared" si="13"/>
        <v>-12.25</v>
      </c>
      <c r="AN10" s="1696">
        <f t="shared" si="14"/>
        <v>0.5</v>
      </c>
      <c r="AO10" s="1697">
        <f t="shared" si="15"/>
        <v>6.5</v>
      </c>
      <c r="AP10" s="1685">
        <f t="shared" si="16"/>
        <v>-0.453125</v>
      </c>
      <c r="AQ10" s="1698">
        <f t="shared" si="17"/>
        <v>-1.8125</v>
      </c>
      <c r="AR10" s="1685">
        <f>vlookup(AS10,'Master Input'!$A$9:$N$27,'Master Input'!$M$28+1,false)</f>
        <v>30.1</v>
      </c>
      <c r="AS10" s="1677" t="str">
        <f t="shared" si="1"/>
        <v>Saugy</v>
      </c>
    </row>
    <row r="11" ht="12.75" customHeight="1">
      <c r="A11" s="1678" t="str">
        <f>'Master Input'!A14</f>
        <v>Pace</v>
      </c>
      <c r="B11" s="1679">
        <f>vlookup($A11,'ALL SCORES'!$A$5:$AA$20,26,false)</f>
        <v>73</v>
      </c>
      <c r="C11" s="1680">
        <f>
if(countif('R1_G1'!$A$25:$A$29,$A11)=1,vlookup($A11,'R1_G1'!$A$25:$AB$29, 26,false),
if(countif('R1_G2'!$A$25:$A$29,$A11)=1,vlookup($A11,'R1_G2'!$A$25:$AB$29, 26,false),
if(countif('R1_G3'!$A$25:$A$29,$A11)=1,vlookup($A11,'R1_G3'!$A$25:$AB$29, 26,false),
if(countif('R1_G4'!$A$25:$A$29,$A11)=1,vlookup($A11,'R1_G4'!$A$25:$AB$29, 26,false), ""))))</f>
        <v>10</v>
      </c>
      <c r="D11" s="1680">
        <f>
if(countif('R1_G1'!$A$25:$A$29,$A11)=1,vlookup($A11,'R1_G1'!$A$25:$AB$29, 27,false),
if(countif('R1_G2'!$A$25:$A$29,$A11)=1,vlookup($A11,'R1_G2'!$A$25:$AB$29, 27,false),
if(countif('R1_G3'!$A$25:$A$29,$A11)=1,vlookup($A11,'R1_G3'!$A$25:$AB$29, 27,false),
if(countif('R1_G4'!$A$25:$A$29,$A11)=1,vlookup($A11,'R1_G4'!$A$25:$AB$29, 27,false), ""))))</f>
        <v>7</v>
      </c>
      <c r="E11" s="1680">
        <f>
if(countif('R1_G1'!$A$25:$A$29,$A11)=1,vlookup($A11,'R1_G1'!$A$25:$AB$29, 28,false),
if(countif('R1_G2'!$A$25:$A$29,$A11)=1,vlookup($A11,'R1_G2'!$A$25:$AB$29, 28,false),
if(countif('R1_G3'!$A$25:$A$29,$A11)=1,vlookup($A11,'R1_G3'!$A$25:$AB$29, 28,false),
if(countif('R1_G4'!$A$25:$A$29,$A11)=1,vlookup($A11,'R1_G4'!$A$25:$AB$29, 28,false), ""))))</f>
        <v>2.421936759</v>
      </c>
      <c r="F11" s="1681">
        <f>if(B11="","",vlookup($A11,'ALL SCORES'!$AC$5:$BE$20,29,false)/18)</f>
        <v>0.587037037</v>
      </c>
      <c r="G11" s="1629"/>
      <c r="H11" s="1679">
        <f>vlookup($A11,'ALL SCORES'!$A$29:$AB$44,26,false)</f>
        <v>85</v>
      </c>
      <c r="I11" s="1682">
        <f>if(H11="","",
sumif('R2_G1'!$A$29:$A$33,$A11,'R2_G1'!$AA$29:$AA$33)+
sumif('R2_G2'!$A$29:$A$33,$A11,'R2_G2'!$AA$29:$AA$33)+
sumif('R2_G3'!$A$29:$A$33,$A11,'R2_G3'!$AA$29:$AA$33)+
sumif('R2_G4'!$A$29:$A$33,$A11,'R2_G4'!$AA$29:$AA$33))
</f>
        <v>8.5</v>
      </c>
      <c r="J11" s="1682">
        <f>if(H11="","",
sumif('R2_G1'!$A$29:$A$33,$A11,'R2_G1'!$AA$29:$AA$33)+
sumif('R2_G2'!$A$29:$A$33,$A11,'R2_G2'!$AA$29:$AA$33)+
sumif('R2_G3'!$A$29:$A$33,$A11,'R2_G3'!$AA$29:$AA$33)+
sumif('R2_G4'!$A$29:$A$33,$A11,'R2_G4'!$AA$29:$AA$33))
</f>
        <v>8.5</v>
      </c>
      <c r="K11" s="1682">
        <f>if(H11="","",
sumif('R2_G1'!$A$29:$A$33,$A11,'R2_G1'!$AB$29:$AB$33)+
sumif('R2_G2'!$A$29:$A$33,$A11,'R2_G2'!$AB$29:$AB$33)+
sumif('R2_G3'!$A$29:$A$33,$A11,'R2_G3'!$AB$29:$AB$33)+
sumif('R2_G4'!$A$29:$A$33,$A11,'R2_G4'!$AB$29:$AB$33))
</f>
        <v>0.5</v>
      </c>
      <c r="L11" s="1681">
        <f>if(H11="","",vlookup($A11,'ALL SCORES'!$AC$29:$BE$44,29,false)/18)</f>
        <v>0.412962963</v>
      </c>
      <c r="M11" s="1629"/>
      <c r="N11" s="1679">
        <f>vlookup($A11,'ALL SCORES'!$A$53:$AA$68,26,false)</f>
        <v>83</v>
      </c>
      <c r="O11" s="1682">
        <f>
if(countif('R3_G1'!$A$32:$A$36,$A11)=1,vlookup($A11,'R3_G1'!$A$32:$AC$36, 27,false),
if(countif('R3_G2'!$A$32:$A$36,$A11)=1,vlookup($A11,'R3_G2'!$A$32:$AC$36, 27,false),
if(countif('R3_G3'!$A$32:$A$36,$A11)=1,vlookup($A11,'R3_G3'!$A$32:$AC$36, 27,false),
if(countif('R3_G4'!$A$32:$A$36,$A11)=1,vlookup($A11,'R3_G4'!$A$32:$AC$36, 27,false), ""))))</f>
        <v>8.129032258</v>
      </c>
      <c r="P11" s="1682">
        <f>
if(countif('R3_G1'!$A$32:$A$36,$A11)=1,vlookup($A11,'R3_G1'!$A$32:$AC$36, 28,false),
if(countif('R3_G2'!$A$32:$A$36,$A11)=1,vlookup($A11,'R3_G2'!$A$32:$AC$36, 28,false),
if(countif('R3_G3'!$A$32:$A$36,$A11)=1,vlookup($A11,'R3_G3'!$A$32:$AC$36, 28,false),
if(countif('R3_G4'!$A$32:$A$36,$A11)=1,vlookup($A11,'R3_G4'!$A$32:$AC$36, 28,false), ""))))</f>
        <v>3.382550336</v>
      </c>
      <c r="Q11" s="1683">
        <f>
if(countif('R3_G1'!$A$32:$A$36,$A11)=1,vlookup($A11,'R3_G1'!$A$32:$AC$36, 29,false),
if(countif('R3_G2'!$A$32:$A$36,$A11)=1,vlookup($A11,'R3_G2'!$A$32:$AC$36, 29,false),
if(countif('R3_G3'!$A$32:$A$36,$A11)=1,vlookup($A11,'R3_G3'!$A$32:$AC$36, 29,false),
if(countif('R3_G4'!$A$32:$A$36,$A11)=1,vlookup($A11,'R3_G4'!$A$32:$AC$36, 29,false), ""))))</f>
        <v>0</v>
      </c>
      <c r="R11" s="1684">
        <f>if(N11="","", vlookup($A11,'ALL SCORES'!$AC$53:$BE$68,29,false)/18)</f>
        <v>0.3981481481</v>
      </c>
      <c r="S11" s="1629"/>
      <c r="T11" s="1679">
        <f>vlookup($A11,'ALL SCORES'!$A$77:$AA$92,26,false)</f>
        <v>86</v>
      </c>
      <c r="U11" s="1685">
        <f>
if(countif('R4_G1'!$A$25:$A$29,$A11)=1,vlookup($A11,'R4_G1'!$A$25:$AB$29, 26,false),
if(countif('R4_G3'!$A$25:$A$29,$A11)=1,vlookup($A11,'R4_G3'!$A$25:$AB$29, 26,false),
if(countif('R4_G2'!$A$25:$A$29,$A11)=1,vlookup($A11,'R4_G2'!$A$25:$AB$29, 26,false),
if(countif('R4_G4'!$A$25:$A$29,$A11)=1,vlookup($A11,'R4_G4'!$A$25:$AB$29, 26,false), ""))))</f>
        <v>11.31666667</v>
      </c>
      <c r="V11" s="1685">
        <f>
if(countif('R4_G1'!$A$25:$A$29,$A11)=1,vlookup($A11,'R4_G1'!$A$25:$AB$29, 27,false),
if(countif('R4_G3'!$A$25:$A$29,$A11)=1,vlookup($A11,'R4_G3'!$A$25:$AB$29, 27,false),
if(countif('R4_G2'!$A$25:$A$29,$A11)=1,vlookup($A11,'R4_G2'!$A$25:$AB$29, 27,false),
if(countif('R4_G4'!$A$25:$A$29,$A11)=1,vlookup($A11,'R4_G4'!$A$25:$AB$29, 27,false), ""))))</f>
        <v>4.65</v>
      </c>
      <c r="W11" s="1685">
        <f>
if(countif('R4_G1'!$A$25:$A$29,$A11)=1,vlookup($A11,'R4_G1'!$A$25:$AB$29, 28,false),
if(countif('R4_G3'!$A$25:$A$29,$A11)=1,vlookup($A11,'R4_G3'!$A$25:$AB$29, 28,false),
if(countif('R4_G2'!$A$25:$A$29,$A11)=1,vlookup($A11,'R4_G2'!$A$25:$AB$29, 28,false),
if(countif('R4_G4'!$A$25:$A$29,$A11)=1,vlookup($A11,'R4_G4'!$A$25:$AB$29, 28,false), ""))))</f>
        <v>1.200252525</v>
      </c>
      <c r="X11" s="1686">
        <f>if(T11="","",vlookup($A11,'ALL SCORES'!$AC$77:$BE$92,29,false)/18)</f>
        <v>0.4018518519</v>
      </c>
      <c r="Y11" s="1629"/>
      <c r="Z11" s="1719">
        <f t="shared" si="2"/>
        <v>81.75</v>
      </c>
      <c r="AA11" s="1720">
        <f t="shared" si="3"/>
        <v>22.99770185</v>
      </c>
      <c r="AB11" s="1721">
        <f t="shared" si="4"/>
        <v>4.122189284</v>
      </c>
      <c r="AC11" s="1722">
        <f t="shared" si="5"/>
        <v>0.5207694959</v>
      </c>
      <c r="AD11" s="1723">
        <f t="shared" si="6"/>
        <v>0.45</v>
      </c>
      <c r="AE11" s="1692"/>
      <c r="AF11" s="1693">
        <f t="shared" si="7"/>
        <v>0.6824074074</v>
      </c>
      <c r="AG11" s="1693">
        <f t="shared" si="8"/>
        <v>0.4425925926</v>
      </c>
      <c r="AH11" s="1693">
        <f t="shared" si="9"/>
        <v>0.3869935372</v>
      </c>
      <c r="AI11" s="1694">
        <f t="shared" si="10"/>
        <v>0.4295454545</v>
      </c>
      <c r="AJ11" s="1694">
        <f t="shared" si="11"/>
        <v>0.4853847479</v>
      </c>
      <c r="AK11" s="1695"/>
      <c r="AL11" s="1696">
        <f t="shared" si="12"/>
        <v>5.4375</v>
      </c>
      <c r="AM11" s="1696">
        <f t="shared" si="13"/>
        <v>-5.25</v>
      </c>
      <c r="AN11" s="1696">
        <f t="shared" si="14"/>
        <v>-5.5</v>
      </c>
      <c r="AO11" s="1697">
        <f t="shared" si="15"/>
        <v>-7.5</v>
      </c>
      <c r="AP11" s="1685">
        <f t="shared" si="16"/>
        <v>-3.203125</v>
      </c>
      <c r="AQ11" s="1698">
        <f t="shared" si="17"/>
        <v>-12.8125</v>
      </c>
      <c r="AR11" s="1685">
        <f>vlookup(AS11,'Master Input'!$A$9:$N$27,'Master Input'!$M$28+1,false)</f>
        <v>8.7</v>
      </c>
      <c r="AS11" s="1677" t="str">
        <f t="shared" si="1"/>
        <v>Pace</v>
      </c>
    </row>
    <row r="12" ht="13.5" customHeight="1">
      <c r="A12" s="1678" t="str">
        <f>'Master Input'!A15</f>
        <v>House</v>
      </c>
      <c r="B12" s="1679">
        <f>vlookup($A12,'ALL SCORES'!$A$5:$AA$20,26,false)</f>
        <v>74</v>
      </c>
      <c r="C12" s="1680">
        <f>
if(countif('R1_G1'!$A$25:$A$29,$A12)=1,vlookup($A12,'R1_G1'!$A$25:$AB$29, 26,false),
if(countif('R1_G2'!$A$25:$A$29,$A12)=1,vlookup($A12,'R1_G2'!$A$25:$AB$29, 26,false),
if(countif('R1_G3'!$A$25:$A$29,$A12)=1,vlookup($A12,'R1_G3'!$A$25:$AB$29, 26,false),
if(countif('R1_G4'!$A$25:$A$29,$A12)=1,vlookup($A12,'R1_G4'!$A$25:$AB$29, 26,false), ""))))</f>
        <v>12.5</v>
      </c>
      <c r="D12" s="1680">
        <f>
if(countif('R1_G1'!$A$25:$A$29,$A12)=1,vlookup($A12,'R1_G1'!$A$25:$AB$29, 27,false),
if(countif('R1_G2'!$A$25:$A$29,$A12)=1,vlookup($A12,'R1_G2'!$A$25:$AB$29, 27,false),
if(countif('R1_G3'!$A$25:$A$29,$A12)=1,vlookup($A12,'R1_G3'!$A$25:$AB$29, 27,false),
if(countif('R1_G4'!$A$25:$A$29,$A12)=1,vlookup($A12,'R1_G4'!$A$25:$AB$29, 27,false), ""))))</f>
        <v>5.25</v>
      </c>
      <c r="E12" s="1680">
        <f>
if(countif('R1_G1'!$A$25:$A$29,$A12)=1,vlookup($A12,'R1_G1'!$A$25:$AB$29, 28,false),
if(countif('R1_G2'!$A$25:$A$29,$A12)=1,vlookup($A12,'R1_G2'!$A$25:$AB$29, 28,false),
if(countif('R1_G3'!$A$25:$A$29,$A12)=1,vlookup($A12,'R1_G3'!$A$25:$AB$29, 28,false),
if(countif('R1_G4'!$A$25:$A$29,$A12)=1,vlookup($A12,'R1_G4'!$A$25:$AB$29, 28,false), ""))))</f>
        <v>0</v>
      </c>
      <c r="F12" s="1681">
        <f>if(B12="","",vlookup($A12,'ALL SCORES'!$AC$5:$BE$20,29,false)/18)</f>
        <v>0.5462962963</v>
      </c>
      <c r="G12" s="1629"/>
      <c r="H12" s="1679">
        <f>vlookup($A12,'ALL SCORES'!$A$29:$AB$44,26,false)</f>
        <v>82</v>
      </c>
      <c r="I12" s="1682">
        <f>if(H12="","",
sumif('R2_G1'!$A$29:$A$33,$A12,'R2_G1'!$AA$29:$AA$33)+
sumif('R2_G2'!$A$29:$A$33,$A12,'R2_G2'!$AA$29:$AA$33)+
sumif('R2_G3'!$A$29:$A$33,$A12,'R2_G3'!$AA$29:$AA$33)+
sumif('R2_G4'!$A$29:$A$33,$A12,'R2_G4'!$AA$29:$AA$33))
</f>
        <v>8</v>
      </c>
      <c r="J12" s="1682">
        <f>if(H12="","",
sumif('R2_G1'!$A$29:$A$33,$A12,'R2_G1'!$AA$29:$AA$33)+
sumif('R2_G2'!$A$29:$A$33,$A12,'R2_G2'!$AA$29:$AA$33)+
sumif('R2_G3'!$A$29:$A$33,$A12,'R2_G3'!$AA$29:$AA$33)+
sumif('R2_G4'!$A$29:$A$33,$A12,'R2_G4'!$AA$29:$AA$33))
</f>
        <v>8</v>
      </c>
      <c r="K12" s="1682">
        <f>if(H12="","",
sumif('R2_G1'!$A$29:$A$33,$A12,'R2_G1'!$AB$29:$AB$33)+
sumif('R2_G2'!$A$29:$A$33,$A12,'R2_G2'!$AB$29:$AB$33)+
sumif('R2_G3'!$A$29:$A$33,$A12,'R2_G3'!$AB$29:$AB$33)+
sumif('R2_G4'!$A$29:$A$33,$A12,'R2_G4'!$AB$29:$AB$33))
</f>
        <v>0</v>
      </c>
      <c r="L12" s="1681">
        <f>if(H12="","",vlookup($A12,'ALL SCORES'!$AC$29:$BE$44,29,false)/18)</f>
        <v>0.4314814815</v>
      </c>
      <c r="M12" s="1629"/>
      <c r="N12" s="1679">
        <f>vlookup($A12,'ALL SCORES'!$A$53:$AA$68,26,false)</f>
        <v>85</v>
      </c>
      <c r="O12" s="1682">
        <f>
if(countif('R3_G1'!$A$32:$A$36,$A12)=1,vlookup($A12,'R3_G1'!$A$32:$AC$36, 27,false),
if(countif('R3_G2'!$A$32:$A$36,$A12)=1,vlookup($A12,'R3_G2'!$A$32:$AC$36, 27,false),
if(countif('R3_G3'!$A$32:$A$36,$A12)=1,vlookup($A12,'R3_G3'!$A$32:$AC$36, 27,false),
if(countif('R3_G4'!$A$32:$A$36,$A12)=1,vlookup($A12,'R3_G4'!$A$32:$AC$36, 27,false), ""))))</f>
        <v>5.6</v>
      </c>
      <c r="P12" s="1682">
        <f>
if(countif('R3_G1'!$A$32:$A$36,$A12)=1,vlookup($A12,'R3_G1'!$A$32:$AC$36, 28,false),
if(countif('R3_G2'!$A$32:$A$36,$A12)=1,vlookup($A12,'R3_G2'!$A$32:$AC$36, 28,false),
if(countif('R3_G3'!$A$32:$A$36,$A12)=1,vlookup($A12,'R3_G3'!$A$32:$AC$36, 28,false),
if(countif('R3_G4'!$A$32:$A$36,$A12)=1,vlookup($A12,'R3_G4'!$A$32:$AC$36, 28,false), ""))))</f>
        <v>2.423076923</v>
      </c>
      <c r="Q12" s="1683">
        <f>
if(countif('R3_G1'!$A$32:$A$36,$A12)=1,vlookup($A12,'R3_G1'!$A$32:$AC$36, 29,false),
if(countif('R3_G2'!$A$32:$A$36,$A12)=1,vlookup($A12,'R3_G2'!$A$32:$AC$36, 29,false),
if(countif('R3_G3'!$A$32:$A$36,$A12)=1,vlookup($A12,'R3_G3'!$A$32:$AC$36, 29,false),
if(countif('R3_G4'!$A$32:$A$36,$A12)=1,vlookup($A12,'R3_G4'!$A$32:$AC$36, 29,false), ""))))</f>
        <v>0.1555555556</v>
      </c>
      <c r="R12" s="1684">
        <f>if(N12="","", vlookup($A12,'ALL SCORES'!$AC$53:$BE$68,29,false)/18)</f>
        <v>0.3814814815</v>
      </c>
      <c r="S12" s="1629"/>
      <c r="T12" s="1679">
        <f>vlookup($A12,'ALL SCORES'!$A$77:$AA$92,26,false)</f>
        <v>82</v>
      </c>
      <c r="U12" s="1685">
        <f>
if(countif('R4_G1'!$A$25:$A$29,$A12)=1,vlookup($A12,'R4_G1'!$A$25:$AB$29, 26,false),
if(countif('R4_G3'!$A$25:$A$29,$A12)=1,vlookup($A12,'R4_G3'!$A$25:$AB$29, 26,false),
if(countif('R4_G2'!$A$25:$A$29,$A12)=1,vlookup($A12,'R4_G2'!$A$25:$AB$29, 26,false),
if(countif('R4_G4'!$A$25:$A$29,$A12)=1,vlookup($A12,'R4_G4'!$A$25:$AB$29, 26,false), ""))))</f>
        <v>12.15</v>
      </c>
      <c r="V12" s="1685">
        <f>
if(countif('R4_G1'!$A$25:$A$29,$A12)=1,vlookup($A12,'R4_G1'!$A$25:$AB$29, 27,false),
if(countif('R4_G3'!$A$25:$A$29,$A12)=1,vlookup($A12,'R4_G3'!$A$25:$AB$29, 27,false),
if(countif('R4_G2'!$A$25:$A$29,$A12)=1,vlookup($A12,'R4_G2'!$A$25:$AB$29, 27,false),
if(countif('R4_G4'!$A$25:$A$29,$A12)=1,vlookup($A12,'R4_G4'!$A$25:$AB$29, 27,false), ""))))</f>
        <v>5.45</v>
      </c>
      <c r="W12" s="1685">
        <f>
if(countif('R4_G1'!$A$25:$A$29,$A12)=1,vlookup($A12,'R4_G1'!$A$25:$AB$29, 28,false),
if(countif('R4_G3'!$A$25:$A$29,$A12)=1,vlookup($A12,'R4_G3'!$A$25:$AB$29, 28,false),
if(countif('R4_G2'!$A$25:$A$29,$A12)=1,vlookup($A12,'R4_G2'!$A$25:$AB$29, 28,false),
if(countif('R4_G4'!$A$25:$A$29,$A12)=1,vlookup($A12,'R4_G4'!$A$25:$AB$29, 28,false), ""))))</f>
        <v>1.288636364</v>
      </c>
      <c r="X12" s="1686">
        <f>if(T12="","",vlookup($A12,'ALL SCORES'!$AC$77:$BE$92,29,false)/18)</f>
        <v>0.4925925926</v>
      </c>
      <c r="Y12" s="1629"/>
      <c r="Z12" s="1724">
        <f t="shared" si="2"/>
        <v>80.75</v>
      </c>
      <c r="AA12" s="1725">
        <f t="shared" si="3"/>
        <v>20.09125874</v>
      </c>
      <c r="AB12" s="1726">
        <f t="shared" si="4"/>
        <v>1.444191919</v>
      </c>
      <c r="AC12" s="1727">
        <f t="shared" si="5"/>
        <v>0.4469794095</v>
      </c>
      <c r="AD12" s="1728">
        <f t="shared" si="6"/>
        <v>0.462962963</v>
      </c>
      <c r="AE12" s="1692"/>
      <c r="AF12" s="1693">
        <f t="shared" si="7"/>
        <v>0.5648148148</v>
      </c>
      <c r="AG12" s="1693">
        <f t="shared" si="8"/>
        <v>0.437962963</v>
      </c>
      <c r="AH12" s="1693">
        <f t="shared" si="9"/>
        <v>0.3253561254</v>
      </c>
      <c r="AI12" s="1694">
        <f t="shared" si="10"/>
        <v>0.4917508418</v>
      </c>
      <c r="AJ12" s="1694">
        <f t="shared" si="11"/>
        <v>0.4549711862</v>
      </c>
      <c r="AK12" s="1695"/>
      <c r="AL12" s="1696">
        <f t="shared" si="12"/>
        <v>4.4375</v>
      </c>
      <c r="AM12" s="1696">
        <f t="shared" si="13"/>
        <v>-2.25</v>
      </c>
      <c r="AN12" s="1696">
        <f t="shared" si="14"/>
        <v>-7.5</v>
      </c>
      <c r="AO12" s="1697">
        <f t="shared" si="15"/>
        <v>-3.5</v>
      </c>
      <c r="AP12" s="1685">
        <f t="shared" si="16"/>
        <v>-2.203125</v>
      </c>
      <c r="AQ12" s="1698">
        <f t="shared" si="17"/>
        <v>-8.8125</v>
      </c>
      <c r="AR12" s="1685">
        <f>vlookup(AS12,'Master Input'!$A$9:$N$27,'Master Input'!$M$28+1,false)</f>
        <v>9.9</v>
      </c>
      <c r="AS12" s="1677" t="str">
        <f t="shared" si="1"/>
        <v>House</v>
      </c>
    </row>
    <row r="13" ht="12.75" customHeight="1">
      <c r="A13" s="1678" t="str">
        <f>'Master Input'!A17</f>
        <v>Carp</v>
      </c>
      <c r="B13" s="1679">
        <f>vlookup($A13,'ALL SCORES'!$A$5:$AA$20,26,false)</f>
        <v>92</v>
      </c>
      <c r="C13" s="1680">
        <f>
if(countif('R1_G1'!$A$25:$A$29,$A13)=1,vlookup($A13,'R1_G1'!$A$25:$AB$29, 26,false),
if(countif('R1_G2'!$A$25:$A$29,$A13)=1,vlookup($A13,'R1_G2'!$A$25:$AB$29, 26,false),
if(countif('R1_G3'!$A$25:$A$29,$A13)=1,vlookup($A13,'R1_G3'!$A$25:$AB$29, 26,false),
if(countif('R1_G4'!$A$25:$A$29,$A13)=1,vlookup($A13,'R1_G4'!$A$25:$AB$29, 26,false), ""))))</f>
        <v>5.5</v>
      </c>
      <c r="D13" s="1680">
        <f>
if(countif('R1_G1'!$A$25:$A$29,$A13)=1,vlookup($A13,'R1_G1'!$A$25:$AB$29, 27,false),
if(countif('R1_G2'!$A$25:$A$29,$A13)=1,vlookup($A13,'R1_G2'!$A$25:$AB$29, 27,false),
if(countif('R1_G3'!$A$25:$A$29,$A13)=1,vlookup($A13,'R1_G3'!$A$25:$AB$29, 27,false),
if(countif('R1_G4'!$A$25:$A$29,$A13)=1,vlookup($A13,'R1_G4'!$A$25:$AB$29, 27,false), ""))))</f>
        <v>1.75</v>
      </c>
      <c r="E13" s="1680">
        <f>
if(countif('R1_G1'!$A$25:$A$29,$A13)=1,vlookup($A13,'R1_G1'!$A$25:$AB$29, 28,false),
if(countif('R1_G2'!$A$25:$A$29,$A13)=1,vlookup($A13,'R1_G2'!$A$25:$AB$29, 28,false),
if(countif('R1_G3'!$A$25:$A$29,$A13)=1,vlookup($A13,'R1_G3'!$A$25:$AB$29, 28,false),
if(countif('R1_G4'!$A$25:$A$29,$A13)=1,vlookup($A13,'R1_G4'!$A$25:$AB$29, 28,false), ""))))</f>
        <v>0</v>
      </c>
      <c r="F13" s="1681">
        <f>if(B13="","",vlookup($A13,'ALL SCORES'!$AC$5:$BE$20,29,false)/18)</f>
        <v>0.337037037</v>
      </c>
      <c r="G13" s="1629"/>
      <c r="H13" s="1679">
        <f>vlookup($A13,'ALL SCORES'!$A$29:$AB$44,26,false)</f>
        <v>77</v>
      </c>
      <c r="I13" s="1682">
        <f>if(H13="","",
sumif('R2_G1'!$A$29:$A$33,$A13,'R2_G1'!$AA$29:$AA$33)+
sumif('R2_G2'!$A$29:$A$33,$A13,'R2_G2'!$AA$29:$AA$33)+
sumif('R2_G3'!$A$29:$A$33,$A13,'R2_G3'!$AA$29:$AA$33)+
sumif('R2_G4'!$A$29:$A$33,$A13,'R2_G4'!$AA$29:$AA$33))
</f>
        <v>7.5</v>
      </c>
      <c r="J13" s="1682">
        <f>if(H13="","",
sumif('R2_G1'!$A$29:$A$33,$A13,'R2_G1'!$AA$29:$AA$33)+
sumif('R2_G2'!$A$29:$A$33,$A13,'R2_G2'!$AA$29:$AA$33)+
sumif('R2_G3'!$A$29:$A$33,$A13,'R2_G3'!$AA$29:$AA$33)+
sumif('R2_G4'!$A$29:$A$33,$A13,'R2_G4'!$AA$29:$AA$33))
</f>
        <v>7.5</v>
      </c>
      <c r="K13" s="1682">
        <f>if(H13="","",
sumif('R2_G1'!$A$29:$A$33,$A13,'R2_G1'!$AB$29:$AB$33)+
sumif('R2_G2'!$A$29:$A$33,$A13,'R2_G2'!$AB$29:$AB$33)+
sumif('R2_G3'!$A$29:$A$33,$A13,'R2_G3'!$AB$29:$AB$33)+
sumif('R2_G4'!$A$29:$A$33,$A13,'R2_G4'!$AB$29:$AB$33))
</f>
        <v>0</v>
      </c>
      <c r="L13" s="1681">
        <f>if(H13="","",vlookup($A13,'ALL SCORES'!$AC$29:$BE$44,29,false)/18)</f>
        <v>0.5148148148</v>
      </c>
      <c r="M13" s="1629"/>
      <c r="N13" s="1679">
        <f>vlookup($A13,'ALL SCORES'!$A$53:$AA$68,26,false)</f>
        <v>75</v>
      </c>
      <c r="O13" s="1682">
        <f>
if(countif('R3_G1'!$A$32:$A$36,$A13)=1,vlookup($A13,'R3_G1'!$A$32:$AC$36, 27,false),
if(countif('R3_G2'!$A$32:$A$36,$A13)=1,vlookup($A13,'R3_G2'!$A$32:$AC$36, 27,false),
if(countif('R3_G3'!$A$32:$A$36,$A13)=1,vlookup($A13,'R3_G3'!$A$32:$AC$36, 27,false),
if(countif('R3_G4'!$A$32:$A$36,$A13)=1,vlookup($A13,'R3_G4'!$A$32:$AC$36, 27,false), ""))))</f>
        <v>9.84375</v>
      </c>
      <c r="P13" s="1682">
        <f>
if(countif('R3_G1'!$A$32:$A$36,$A13)=1,vlookup($A13,'R3_G1'!$A$32:$AC$36, 28,false),
if(countif('R3_G2'!$A$32:$A$36,$A13)=1,vlookup($A13,'R3_G2'!$A$32:$AC$36, 28,false),
if(countif('R3_G3'!$A$32:$A$36,$A13)=1,vlookup($A13,'R3_G3'!$A$32:$AC$36, 28,false),
if(countif('R3_G4'!$A$32:$A$36,$A13)=1,vlookup($A13,'R3_G4'!$A$32:$AC$36, 28,false), ""))))</f>
        <v>5.625</v>
      </c>
      <c r="Q13" s="1683">
        <f>
if(countif('R3_G1'!$A$32:$A$36,$A13)=1,vlookup($A13,'R3_G1'!$A$32:$AC$36, 29,false),
if(countif('R3_G2'!$A$32:$A$36,$A13)=1,vlookup($A13,'R3_G2'!$A$32:$AC$36, 29,false),
if(countif('R3_G3'!$A$32:$A$36,$A13)=1,vlookup($A13,'R3_G3'!$A$32:$AC$36, 29,false),
if(countif('R3_G4'!$A$32:$A$36,$A13)=1,vlookup($A13,'R3_G4'!$A$32:$AC$36, 29,false), ""))))</f>
        <v>2.1875</v>
      </c>
      <c r="R13" s="1684">
        <f>if(N13="","", vlookup($A13,'ALL SCORES'!$AC$53:$BE$68,29,false)/18)</f>
        <v>0.5444444444</v>
      </c>
      <c r="S13" s="1629"/>
      <c r="T13" s="1679">
        <f>vlookup($A13,'ALL SCORES'!$A$77:$AA$92,26,false)</f>
        <v>80</v>
      </c>
      <c r="U13" s="1685">
        <f>
if(countif('R4_G1'!$A$25:$A$29,$A13)=1,vlookup($A13,'R4_G1'!$A$25:$AB$29, 26,false),
if(countif('R4_G3'!$A$25:$A$29,$A13)=1,vlookup($A13,'R4_G3'!$A$25:$AB$29, 26,false),
if(countif('R4_G2'!$A$25:$A$29,$A13)=1,vlookup($A13,'R4_G2'!$A$25:$AB$29, 26,false),
if(countif('R4_G4'!$A$25:$A$29,$A13)=1,vlookup($A13,'R4_G4'!$A$25:$AB$29, 26,false), ""))))</f>
        <v>12.08333333</v>
      </c>
      <c r="V13" s="1685">
        <f>
if(countif('R4_G1'!$A$25:$A$29,$A13)=1,vlookup($A13,'R4_G1'!$A$25:$AB$29, 27,false),
if(countif('R4_G3'!$A$25:$A$29,$A13)=1,vlookup($A13,'R4_G3'!$A$25:$AB$29, 27,false),
if(countif('R4_G2'!$A$25:$A$29,$A13)=1,vlookup($A13,'R4_G2'!$A$25:$AB$29, 27,false),
if(countif('R4_G4'!$A$25:$A$29,$A13)=1,vlookup($A13,'R4_G4'!$A$25:$AB$29, 27,false), ""))))</f>
        <v>4.2</v>
      </c>
      <c r="W13" s="1685">
        <f>
if(countif('R4_G1'!$A$25:$A$29,$A13)=1,vlookup($A13,'R4_G1'!$A$25:$AB$29, 28,false),
if(countif('R4_G3'!$A$25:$A$29,$A13)=1,vlookup($A13,'R4_G3'!$A$25:$AB$29, 28,false),
if(countif('R4_G2'!$A$25:$A$29,$A13)=1,vlookup($A13,'R4_G2'!$A$25:$AB$29, 28,false),
if(countif('R4_G4'!$A$25:$A$29,$A13)=1,vlookup($A13,'R4_G4'!$A$25:$AB$29, 28,false), ""))))</f>
        <v>1.281565657</v>
      </c>
      <c r="X13" s="1686">
        <f>if(T13="","",vlookup($A13,'ALL SCORES'!$AC$77:$BE$92,29,false)/18)</f>
        <v>0.4962962963</v>
      </c>
      <c r="Y13" s="1629"/>
      <c r="Z13" s="1729">
        <f t="shared" si="2"/>
        <v>81</v>
      </c>
      <c r="AA13" s="1730">
        <f t="shared" si="3"/>
        <v>19.26893939</v>
      </c>
      <c r="AB13" s="1731">
        <f t="shared" si="4"/>
        <v>3.469065657</v>
      </c>
      <c r="AC13" s="1732">
        <f t="shared" si="5"/>
        <v>0.4310816498</v>
      </c>
      <c r="AD13" s="1733">
        <f t="shared" si="6"/>
        <v>0.4731481481</v>
      </c>
      <c r="AE13" s="1692"/>
      <c r="AF13" s="1693">
        <f t="shared" si="7"/>
        <v>0.2657407407</v>
      </c>
      <c r="AG13" s="1693">
        <f t="shared" si="8"/>
        <v>0.4657407407</v>
      </c>
      <c r="AH13" s="1693">
        <f t="shared" si="9"/>
        <v>0.5847222222</v>
      </c>
      <c r="AI13" s="1694">
        <f t="shared" si="10"/>
        <v>0.4922558923</v>
      </c>
      <c r="AJ13" s="1694">
        <f t="shared" si="11"/>
        <v>0.452114899</v>
      </c>
      <c r="AK13" s="1695"/>
      <c r="AL13" s="1696">
        <f t="shared" si="12"/>
        <v>-13.5625</v>
      </c>
      <c r="AM13" s="1696">
        <f t="shared" si="13"/>
        <v>2.75</v>
      </c>
      <c r="AN13" s="1696">
        <f t="shared" si="14"/>
        <v>2.5</v>
      </c>
      <c r="AO13" s="1697">
        <f t="shared" si="15"/>
        <v>-1.5</v>
      </c>
      <c r="AP13" s="1685">
        <f t="shared" si="16"/>
        <v>-2.453125</v>
      </c>
      <c r="AQ13" s="1698">
        <f t="shared" si="17"/>
        <v>-9.8125</v>
      </c>
      <c r="AR13" s="1685">
        <f>vlookup(AS13,'Master Input'!$A$9:$N$27,'Master Input'!$M$28+1,false)</f>
        <v>16</v>
      </c>
      <c r="AS13" s="1677" t="str">
        <f t="shared" si="1"/>
        <v>Carp</v>
      </c>
    </row>
    <row r="14" ht="12.75" customHeight="1">
      <c r="A14" s="1734" t="s">
        <v>307</v>
      </c>
      <c r="B14" s="1735">
        <f>average(B6:B13)</f>
        <v>76.75</v>
      </c>
      <c r="C14" s="1736">
        <f t="shared" ref="C14:E14" si="18">sum(C6:C13)</f>
        <v>72</v>
      </c>
      <c r="D14" s="1736">
        <f t="shared" si="18"/>
        <v>42.5</v>
      </c>
      <c r="E14" s="1737">
        <f t="shared" si="18"/>
        <v>11.5</v>
      </c>
      <c r="F14" s="1738">
        <f>AVERAGE(F6:F13)</f>
        <v>0.5280092593</v>
      </c>
      <c r="G14" s="1659"/>
      <c r="H14" s="1735">
        <f>average(H6:H13)</f>
        <v>81.25</v>
      </c>
      <c r="I14" s="1739">
        <f t="shared" ref="I14:K14" si="19">sum(I6:I13)</f>
        <v>64.5</v>
      </c>
      <c r="J14" s="1739">
        <f t="shared" si="19"/>
        <v>64.5</v>
      </c>
      <c r="K14" s="1739">
        <f t="shared" si="19"/>
        <v>6.5</v>
      </c>
      <c r="L14" s="1740">
        <f>AVERAGE(L6:L13)</f>
        <v>0.4699074074</v>
      </c>
      <c r="M14" s="1659"/>
      <c r="N14" s="1739">
        <f>average(N6:N13)</f>
        <v>77.25</v>
      </c>
      <c r="O14" s="1739">
        <f t="shared" ref="O14:Q14" si="20">sum(O6:O13)</f>
        <v>72</v>
      </c>
      <c r="P14" s="1739">
        <f t="shared" si="20"/>
        <v>35.92027309</v>
      </c>
      <c r="Q14" s="1739">
        <f t="shared" si="20"/>
        <v>8.5</v>
      </c>
      <c r="R14" s="1741">
        <f>AVERAGE(R6:R13)</f>
        <v>0.5076388889</v>
      </c>
      <c r="S14" s="1659"/>
      <c r="T14" s="1735">
        <f>average(T6:T13)</f>
        <v>79</v>
      </c>
      <c r="U14" s="1737">
        <f t="shared" ref="U14:W14" si="21">sum(U6:U13)</f>
        <v>99</v>
      </c>
      <c r="V14" s="1737">
        <f t="shared" si="21"/>
        <v>38.5</v>
      </c>
      <c r="W14" s="1737">
        <f t="shared" si="21"/>
        <v>10.5</v>
      </c>
      <c r="X14" s="1738">
        <f>if('ALL SCORES'!$AX$77="","",AVERAGE(X6:X13))</f>
        <v>0.4965277778</v>
      </c>
      <c r="Y14" s="1659"/>
      <c r="Z14" s="1742">
        <f>average(Z6:Z13)</f>
        <v>78.5625</v>
      </c>
      <c r="AA14" s="1737">
        <f t="shared" ref="AA14:AB14" si="22">sum(AA6:AA13)</f>
        <v>178.9202731</v>
      </c>
      <c r="AB14" s="1743">
        <f t="shared" si="22"/>
        <v>37</v>
      </c>
      <c r="AC14" s="1744">
        <f t="shared" ref="AC14:AD14" si="23">AVERAGE(AC6:AC13)</f>
        <v>0.5092717816</v>
      </c>
      <c r="AD14" s="1745">
        <f t="shared" si="23"/>
        <v>0.5005208333</v>
      </c>
      <c r="AE14" s="1659"/>
      <c r="AF14" s="1744">
        <f t="shared" ref="AF14:AJ14" si="24">average(AF6:AF13)</f>
        <v>0.5591435185</v>
      </c>
      <c r="AG14" s="1744">
        <f t="shared" si="24"/>
        <v>0.458912037</v>
      </c>
      <c r="AH14" s="1744">
        <f t="shared" si="24"/>
        <v>0.5032657854</v>
      </c>
      <c r="AI14" s="1746">
        <f t="shared" si="24"/>
        <v>0.4982638889</v>
      </c>
      <c r="AJ14" s="1746">
        <f t="shared" si="24"/>
        <v>0.5048963075</v>
      </c>
      <c r="AK14" s="1659"/>
      <c r="AL14" s="1747">
        <f t="shared" ref="AL14:AQ14" si="25">sum(AL6:AL13)</f>
        <v>13.5</v>
      </c>
      <c r="AM14" s="1748">
        <f t="shared" si="25"/>
        <v>-12</v>
      </c>
      <c r="AN14" s="1748">
        <f t="shared" si="25"/>
        <v>2</v>
      </c>
      <c r="AO14" s="1749">
        <f t="shared" si="25"/>
        <v>-4</v>
      </c>
      <c r="AP14" s="1748">
        <f t="shared" si="25"/>
        <v>-0.125</v>
      </c>
      <c r="AQ14" s="1749">
        <f t="shared" si="25"/>
        <v>-0.5</v>
      </c>
      <c r="AR14" s="1737">
        <f>average(AR6:AR13)</f>
        <v>12.434375</v>
      </c>
      <c r="AS14" s="1677"/>
    </row>
    <row r="15" ht="12.75" customHeight="1">
      <c r="A15" s="1750" t="str">
        <f>'Master Input'!A19</f>
        <v>Drivers</v>
      </c>
      <c r="B15" s="1751"/>
      <c r="C15" s="1751"/>
      <c r="D15" s="1751"/>
      <c r="E15" s="1751"/>
      <c r="F15" s="1752"/>
      <c r="G15" s="1629"/>
      <c r="H15" s="1753"/>
      <c r="I15" s="1753"/>
      <c r="J15" s="1753"/>
      <c r="K15" s="1753"/>
      <c r="L15" s="1754"/>
      <c r="M15" s="1629"/>
      <c r="N15" s="1751"/>
      <c r="O15" s="1751"/>
      <c r="P15" s="1751"/>
      <c r="Q15" s="1755"/>
      <c r="R15" s="1756"/>
      <c r="S15" s="1629"/>
      <c r="T15" s="1751"/>
      <c r="U15" s="1757"/>
      <c r="V15" s="1757"/>
      <c r="W15" s="1757"/>
      <c r="X15" s="1758"/>
      <c r="Y15" s="1629"/>
      <c r="Z15" s="1759"/>
      <c r="AA15" s="1757"/>
      <c r="AB15" s="1760"/>
      <c r="AC15" s="1761"/>
      <c r="AD15" s="1762"/>
      <c r="AE15" s="1692"/>
      <c r="AF15" s="1761"/>
      <c r="AG15" s="1761"/>
      <c r="AH15" s="1761"/>
      <c r="AI15" s="1763"/>
      <c r="AJ15" s="1764"/>
      <c r="AK15" s="1629"/>
      <c r="AL15" s="1765"/>
      <c r="AM15" s="1765"/>
      <c r="AN15" s="1765"/>
      <c r="AO15" s="1766"/>
      <c r="AP15" s="1767"/>
      <c r="AQ15" s="1768"/>
      <c r="AR15" s="1769"/>
      <c r="AS15" s="1677" t="str">
        <f t="shared" ref="AS15:AS23" si="26">A15</f>
        <v>Drivers</v>
      </c>
    </row>
    <row r="16" ht="12.75" customHeight="1">
      <c r="A16" s="1770" t="str">
        <f>'Master Input'!A27</f>
        <v>Hile</v>
      </c>
      <c r="B16" s="1679">
        <f>vlookup($A16,'ALL SCORES'!$A$5:$AA$20,26,false)</f>
        <v>85</v>
      </c>
      <c r="C16" s="1680">
        <f>
if(countif('R1_G1'!$A$25:$A$29,$A16)=1,vlookup($A16,'R1_G1'!$A$25:$AB$29, 26,false),
if(countif('R1_G2'!$A$25:$A$29,$A16)=1,vlookup($A16,'R1_G2'!$A$25:$AB$29, 26,false),
if(countif('R1_G3'!$A$25:$A$29,$A16)=1,vlookup($A16,'R1_G3'!$A$25:$AB$29, 26,false),
if(countif('R1_G4'!$A$25:$A$29,$A16)=1,vlookup($A16,'R1_G4'!$A$25:$AB$29, 26,false), ""))))</f>
        <v>8.5</v>
      </c>
      <c r="D16" s="1680">
        <f>
if(countif('R1_G1'!$A$25:$A$29,$A16)=1,vlookup($A16,'R1_G1'!$A$25:$AB$29, 27,false),
if(countif('R1_G2'!$A$25:$A$29,$A16)=1,vlookup($A16,'R1_G2'!$A$25:$AB$29, 27,false),
if(countif('R1_G3'!$A$25:$A$29,$A16)=1,vlookup($A16,'R1_G3'!$A$25:$AB$29, 27,false),
if(countif('R1_G4'!$A$25:$A$29,$A16)=1,vlookup($A16,'R1_G4'!$A$25:$AB$29, 27,false), ""))))</f>
        <v>3</v>
      </c>
      <c r="E16" s="1680">
        <f>
if(countif('R1_G1'!$A$25:$A$29,$A16)=1,vlookup($A16,'R1_G1'!$A$25:$AB$29, 28,false),
if(countif('R1_G2'!$A$25:$A$29,$A16)=1,vlookup($A16,'R1_G2'!$A$25:$AB$29, 28,false),
if(countif('R1_G3'!$A$25:$A$29,$A16)=1,vlookup($A16,'R1_G3'!$A$25:$AB$29, 28,false),
if(countif('R1_G4'!$A$25:$A$29,$A16)=1,vlookup($A16,'R1_G4'!$A$25:$AB$29, 28,false), ""))))</f>
        <v>0.2222222222</v>
      </c>
      <c r="F16" s="1681">
        <f>if(B16="","",vlookup($A16,'ALL SCORES'!$AC$5:$BE$20,29,false)/18)</f>
        <v>0.3925925926</v>
      </c>
      <c r="G16" s="1628"/>
      <c r="H16" s="1679">
        <f>vlookup($A16,'ALL SCORES'!$A$29:$AB$44,26,false)</f>
        <v>72</v>
      </c>
      <c r="I16" s="1682">
        <f>if(H16="","",
sumif('R2_G1'!$A$29:$A$33,$A16,'R2_G1'!$AA$29:$AA$33)+
sumif('R2_G2'!$A$29:$A$33,$A16,'R2_G2'!$AA$29:$AA$33)+
sumif('R2_G3'!$A$29:$A$33,$A16,'R2_G3'!$AA$29:$AA$33)+
sumif('R2_G4'!$A$29:$A$33,$A16,'R2_G4'!$AA$29:$AA$33))
</f>
        <v>13</v>
      </c>
      <c r="J16" s="1682">
        <f>if(H16="","",
sumif('R2_G1'!$A$29:$A$33,$A16,'R2_G1'!$AA$29:$AA$33)+
sumif('R2_G2'!$A$29:$A$33,$A16,'R2_G2'!$AA$29:$AA$33)+
sumif('R2_G3'!$A$29:$A$33,$A16,'R2_G3'!$AA$29:$AA$33)+
sumif('R2_G4'!$A$29:$A$33,$A16,'R2_G4'!$AA$29:$AA$33))
</f>
        <v>13</v>
      </c>
      <c r="K16" s="1682">
        <f>if(H16="","",
sumif('R2_G1'!$A$29:$A$33,$A16,'R2_G1'!$AB$29:$AB$33)+
sumif('R2_G2'!$A$29:$A$33,$A16,'R2_G2'!$AB$29:$AB$33)+
sumif('R2_G3'!$A$29:$A$33,$A16,'R2_G3'!$AB$29:$AB$33)+
sumif('R2_G4'!$A$29:$A$33,$A16,'R2_G4'!$AB$29:$AB$33))
</f>
        <v>3</v>
      </c>
      <c r="L16" s="1681">
        <f>if(H16="","",vlookup($A16,'ALL SCORES'!$AC$29:$BE$44,29,false)/18)</f>
        <v>0.6018518519</v>
      </c>
      <c r="M16" s="1629"/>
      <c r="N16" s="1679">
        <f>vlookup($A16,'ALL SCORES'!$A$53:$AA$68,26,false)</f>
        <v>75</v>
      </c>
      <c r="O16" s="1682">
        <f>
if(countif('R3_G1'!$A$32:$A$36,$A16)=1,vlookup($A16,'R3_G1'!$A$32:$AC$36, 27,false),
if(countif('R3_G2'!$A$32:$A$36,$A16)=1,vlookup($A16,'R3_G2'!$A$32:$AC$36, 27,false),
if(countif('R3_G3'!$A$32:$A$36,$A16)=1,vlookup($A16,'R3_G3'!$A$32:$AC$36, 27,false),
if(countif('R3_G4'!$A$32:$A$36,$A16)=1,vlookup($A16,'R3_G4'!$A$32:$AC$36, 27,false), ""))))</f>
        <v>9.724137931</v>
      </c>
      <c r="P16" s="1682">
        <f>
if(countif('R3_G1'!$A$32:$A$36,$A16)=1,vlookup($A16,'R3_G1'!$A$32:$AC$36, 28,false),
if(countif('R3_G2'!$A$32:$A$36,$A16)=1,vlookup($A16,'R3_G2'!$A$32:$AC$36, 28,false),
if(countif('R3_G3'!$A$32:$A$36,$A16)=1,vlookup($A16,'R3_G3'!$A$32:$AC$36, 28,false),
if(countif('R3_G4'!$A$32:$A$36,$A16)=1,vlookup($A16,'R3_G4'!$A$32:$AC$36, 28,false), ""))))</f>
        <v>5.677852349</v>
      </c>
      <c r="Q16" s="1683">
        <f>
if(countif('R3_G1'!$A$32:$A$36,$A16)=1,vlookup($A16,'R3_G1'!$A$32:$AC$36, 29,false),
if(countif('R3_G2'!$A$32:$A$36,$A16)=1,vlookup($A16,'R3_G2'!$A$32:$AC$36, 29,false),
if(countif('R3_G3'!$A$32:$A$36,$A16)=1,vlookup($A16,'R3_G3'!$A$32:$AC$36, 29,false),
if(countif('R3_G4'!$A$32:$A$36,$A16)=1,vlookup($A16,'R3_G4'!$A$32:$AC$36, 29,false), ""))))</f>
        <v>2.16091954</v>
      </c>
      <c r="R16" s="1684">
        <f>if(N16="","", vlookup($A16,'ALL SCORES'!$AC$53:$BE$68,29,false)/18)</f>
        <v>0.55</v>
      </c>
      <c r="S16" s="1629"/>
      <c r="T16" s="1679">
        <f>vlookup($A16,'ALL SCORES'!$A$77:$AA$92,26,false)</f>
        <v>73</v>
      </c>
      <c r="U16" s="1685">
        <f>
if(countif('R4_G1'!$A$25:$A$29,$A16)=1,vlookup($A16,'R4_G1'!$A$25:$AB$29, 26,false),
if(countif('R4_G3'!$A$25:$A$29,$A16)=1,vlookup($A16,'R4_G3'!$A$25:$AB$29, 26,false),
if(countif('R4_G2'!$A$25:$A$29,$A16)=1,vlookup($A16,'R4_G2'!$A$25:$AB$29, 26,false),
if(countif('R4_G4'!$A$25:$A$29,$A16)=1,vlookup($A16,'R4_G4'!$A$25:$AB$29, 26,false), ""))))</f>
        <v>13.5</v>
      </c>
      <c r="V16" s="1685">
        <f>
if(countif('R4_G1'!$A$25:$A$29,$A16)=1,vlookup($A16,'R4_G1'!$A$25:$AB$29, 27,false),
if(countif('R4_G3'!$A$25:$A$29,$A16)=1,vlookup($A16,'R4_G3'!$A$25:$AB$29, 27,false),
if(countif('R4_G2'!$A$25:$A$29,$A16)=1,vlookup($A16,'R4_G2'!$A$25:$AB$29, 27,false),
if(countif('R4_G4'!$A$25:$A$29,$A16)=1,vlookup($A16,'R4_G4'!$A$25:$AB$29, 27,false), ""))))</f>
        <v>8.25</v>
      </c>
      <c r="W16" s="1685">
        <f>
if(countif('R4_G1'!$A$25:$A$29,$A16)=1,vlookup($A16,'R4_G1'!$A$25:$AB$29, 28,false),
if(countif('R4_G3'!$A$25:$A$29,$A16)=1,vlookup($A16,'R4_G3'!$A$25:$AB$29, 28,false),
if(countif('R4_G2'!$A$25:$A$29,$A16)=1,vlookup($A16,'R4_G2'!$A$25:$AB$29, 28,false),
if(countif('R4_G4'!$A$25:$A$29,$A16)=1,vlookup($A16,'R4_G4'!$A$25:$AB$29, 28,false), ""))))</f>
        <v>2.25</v>
      </c>
      <c r="X16" s="1686">
        <f>if(T16="","",vlookup($A16,'ALL SCORES'!$AC$77:$BE$92,29,false)/18)</f>
        <v>0.5722222222</v>
      </c>
      <c r="Y16" s="1629"/>
      <c r="Z16" s="1771">
        <f t="shared" ref="Z16:Z23" si="27">average(B16,H16,N16,T16)</f>
        <v>76.25</v>
      </c>
      <c r="AA16" s="1772">
        <f t="shared" ref="AA16:AA23" si="28">sum(D16,J16,P16,(U16/$U$25*144)/($U$25/$V$25))</f>
        <v>26.58694326</v>
      </c>
      <c r="AB16" s="1773">
        <f t="shared" ref="AB16:AB23" si="29">sum(E16,K16,Q16,W16)</f>
        <v>7.633141762</v>
      </c>
      <c r="AC16" s="1774">
        <f t="shared" ref="AC16:AC23" si="30">average(D16/9,J16/18,P16/9,(U16/$U$25*144)/($U$25/$V$25)/9)</f>
        <v>0.5579706461</v>
      </c>
      <c r="AD16" s="1775">
        <f t="shared" ref="AD16:AD23" si="31">AVERAGE(F16,L16,R16,X16)</f>
        <v>0.5291666667</v>
      </c>
      <c r="AE16" s="1692"/>
      <c r="AF16" s="1693">
        <f t="shared" ref="AF16:AF23" si="32">(($D16/9)+$F16)/2</f>
        <v>0.362962963</v>
      </c>
      <c r="AG16" s="1693">
        <f t="shared" ref="AG16:AG23" si="33">(($J16/18)+$L16)/2</f>
        <v>0.662037037</v>
      </c>
      <c r="AH16" s="1693">
        <f t="shared" ref="AH16:AH23" si="34">(($P16/9)+$R16)/2</f>
        <v>0.5904362416</v>
      </c>
      <c r="AI16" s="1694">
        <f t="shared" ref="AI16:AI23" si="35">if(U16="","",
(((U16/$U$25*144)/($U$25/$V$25)/9)+$X16)/2
)</f>
        <v>0.5588383838</v>
      </c>
      <c r="AJ16" s="1694">
        <f t="shared" ref="AJ16:AJ23" si="36">average(AF16:AI16)</f>
        <v>0.5435686564</v>
      </c>
      <c r="AK16" s="1695"/>
      <c r="AL16" s="1696">
        <f t="shared" ref="AL16:AL23" si="37">$B$25-$B16</f>
        <v>-6.5625</v>
      </c>
      <c r="AM16" s="1696">
        <f t="shared" ref="AM16:AM23" si="38">$H$25-$H16</f>
        <v>7.75</v>
      </c>
      <c r="AN16" s="1696">
        <f t="shared" ref="AN16:AN23" si="39">$N$25-$N16</f>
        <v>2.5</v>
      </c>
      <c r="AO16" s="1697">
        <f t="shared" ref="AO16:AO23" si="40">$T$25-$T16</f>
        <v>5.5</v>
      </c>
      <c r="AP16" s="1685">
        <f t="shared" ref="AP16:AP23" si="41">AVERAGE(AL16:AO16)</f>
        <v>2.296875</v>
      </c>
      <c r="AQ16" s="1698">
        <f t="shared" ref="AQ16:AQ23" si="42">SUM(AL16:AO16)</f>
        <v>9.1875</v>
      </c>
      <c r="AR16" s="1685">
        <f>vlookup(AS16,'Master Input'!$A$9:$N$27,'Master Input'!$M$28+1,false)</f>
        <v>23.275</v>
      </c>
      <c r="AS16" s="1677" t="str">
        <f t="shared" si="26"/>
        <v>Hile</v>
      </c>
    </row>
    <row r="17" ht="12.75" customHeight="1">
      <c r="A17" s="1776" t="str">
        <f>'Master Input'!A21</f>
        <v>KJ</v>
      </c>
      <c r="B17" s="1679">
        <f>vlookup($A17,'ALL SCORES'!$A$5:$AA$20,26,false)</f>
        <v>75</v>
      </c>
      <c r="C17" s="1680">
        <f>
if(countif('R1_G1'!$A$25:$A$29,$A17)=1,vlookup($A17,'R1_G1'!$A$25:$AB$29, 26,false),
if(countif('R1_G2'!$A$25:$A$29,$A17)=1,vlookup($A17,'R1_G2'!$A$25:$AB$29, 26,false),
if(countif('R1_G3'!$A$25:$A$29,$A17)=1,vlookup($A17,'R1_G3'!$A$25:$AB$29, 26,false),
if(countif('R1_G4'!$A$25:$A$29,$A17)=1,vlookup($A17,'R1_G4'!$A$25:$AB$29, 26,false), ""))))</f>
        <v>9</v>
      </c>
      <c r="D17" s="1680">
        <f>
if(countif('R1_G1'!$A$25:$A$29,$A17)=1,vlookup($A17,'R1_G1'!$A$25:$AB$29, 27,false),
if(countif('R1_G2'!$A$25:$A$29,$A17)=1,vlookup($A17,'R1_G2'!$A$25:$AB$29, 27,false),
if(countif('R1_G3'!$A$25:$A$29,$A17)=1,vlookup($A17,'R1_G3'!$A$25:$AB$29, 27,false),
if(countif('R1_G4'!$A$25:$A$29,$A17)=1,vlookup($A17,'R1_G4'!$A$25:$AB$29, 27,false), ""))))</f>
        <v>5</v>
      </c>
      <c r="E17" s="1680">
        <f>
if(countif('R1_G1'!$A$25:$A$29,$A17)=1,vlookup($A17,'R1_G1'!$A$25:$AB$29, 28,false),
if(countif('R1_G2'!$A$25:$A$29,$A17)=1,vlookup($A17,'R1_G2'!$A$25:$AB$29, 28,false),
if(countif('R1_G3'!$A$25:$A$29,$A17)=1,vlookup($A17,'R1_G3'!$A$25:$AB$29, 28,false),
if(countif('R1_G4'!$A$25:$A$29,$A17)=1,vlookup($A17,'R1_G4'!$A$25:$AB$29, 28,false), ""))))</f>
        <v>1.775757576</v>
      </c>
      <c r="F17" s="1681">
        <f>if(B17="","",vlookup($A17,'ALL SCORES'!$AC$5:$BE$20,29,false)/18)</f>
        <v>0.5425925926</v>
      </c>
      <c r="G17" s="1628"/>
      <c r="H17" s="1679">
        <f>vlookup($A17,'ALL SCORES'!$A$29:$AB$44,26,false)</f>
        <v>73</v>
      </c>
      <c r="I17" s="1682">
        <f>if(H17="","",
sumif('R2_G1'!$A$29:$A$33,$A17,'R2_G1'!$AA$29:$AA$33)+
sumif('R2_G2'!$A$29:$A$33,$A17,'R2_G2'!$AA$29:$AA$33)+
sumif('R2_G3'!$A$29:$A$33,$A17,'R2_G3'!$AA$29:$AA$33)+
sumif('R2_G4'!$A$29:$A$33,$A17,'R2_G4'!$AA$29:$AA$33))
</f>
        <v>9.5</v>
      </c>
      <c r="J17" s="1682">
        <f>if(H17="","",
sumif('R2_G1'!$A$29:$A$33,$A17,'R2_G1'!$AA$29:$AA$33)+
sumif('R2_G2'!$A$29:$A$33,$A17,'R2_G2'!$AA$29:$AA$33)+
sumif('R2_G3'!$A$29:$A$33,$A17,'R2_G3'!$AA$29:$AA$33)+
sumif('R2_G4'!$A$29:$A$33,$A17,'R2_G4'!$AA$29:$AA$33))
</f>
        <v>9.5</v>
      </c>
      <c r="K17" s="1682">
        <f>if(H17="","",
sumif('R2_G1'!$A$29:$A$33,$A17,'R2_G1'!$AB$29:$AB$33)+
sumif('R2_G2'!$A$29:$A$33,$A17,'R2_G2'!$AB$29:$AB$33)+
sumif('R2_G3'!$A$29:$A$33,$A17,'R2_G3'!$AB$29:$AB$33)+
sumif('R2_G4'!$A$29:$A$33,$A17,'R2_G4'!$AB$29:$AB$33))
</f>
        <v>2</v>
      </c>
      <c r="L17" s="1681">
        <f>if(H17="","",vlookup($A17,'ALL SCORES'!$AC$29:$BE$44,29,false)/18)</f>
        <v>0.6</v>
      </c>
      <c r="M17" s="1629"/>
      <c r="N17" s="1679">
        <f>vlookup($A17,'ALL SCORES'!$A$53:$AA$68,26,false)</f>
        <v>85</v>
      </c>
      <c r="O17" s="1682">
        <f>
if(countif('R3_G1'!$A$32:$A$36,$A17)=1,vlookup($A17,'R3_G1'!$A$32:$AC$36, 27,false),
if(countif('R3_G2'!$A$32:$A$36,$A17)=1,vlookup($A17,'R3_G2'!$A$32:$AC$36, 27,false),
if(countif('R3_G3'!$A$32:$A$36,$A17)=1,vlookup($A17,'R3_G3'!$A$32:$AC$36, 27,false),
if(countif('R3_G4'!$A$32:$A$36,$A17)=1,vlookup($A17,'R3_G4'!$A$32:$AC$36, 27,false), ""))))</f>
        <v>6.096774194</v>
      </c>
      <c r="P17" s="1682">
        <f>
if(countif('R3_G1'!$A$32:$A$36,$A17)=1,vlookup($A17,'R3_G1'!$A$32:$AC$36, 28,false),
if(countif('R3_G2'!$A$32:$A$36,$A17)=1,vlookup($A17,'R3_G2'!$A$32:$AC$36, 28,false),
if(countif('R3_G3'!$A$32:$A$36,$A17)=1,vlookup($A17,'R3_G3'!$A$32:$AC$36, 28,false),
if(countif('R3_G4'!$A$32:$A$36,$A17)=1,vlookup($A17,'R3_G4'!$A$32:$AC$36, 28,false), ""))))</f>
        <v>2.589041096</v>
      </c>
      <c r="Q17" s="1683">
        <f>
if(countif('R3_G1'!$A$32:$A$36,$A17)=1,vlookup($A17,'R3_G1'!$A$32:$AC$36, 29,false),
if(countif('R3_G2'!$A$32:$A$36,$A17)=1,vlookup($A17,'R3_G2'!$A$32:$AC$36, 29,false),
if(countif('R3_G3'!$A$32:$A$36,$A17)=1,vlookup($A17,'R3_G3'!$A$32:$AC$36, 29,false),
if(countif('R3_G4'!$A$32:$A$36,$A17)=1,vlookup($A17,'R3_G4'!$A$32:$AC$36, 29,false), ""))))</f>
        <v>0</v>
      </c>
      <c r="R17" s="1684">
        <f>if(N17="","", vlookup($A17,'ALL SCORES'!$AC$53:$BE$68,29,false)/18)</f>
        <v>0.3740740741</v>
      </c>
      <c r="S17" s="1629"/>
      <c r="T17" s="1679">
        <f>vlookup($A17,'ALL SCORES'!$A$77:$AA$92,26,false)</f>
        <v>71</v>
      </c>
      <c r="U17" s="1685">
        <f>
if(countif('R4_G1'!$A$25:$A$29,$A17)=1,vlookup($A17,'R4_G1'!$A$25:$AB$29, 26,false),
if(countif('R4_G3'!$A$25:$A$29,$A17)=1,vlookup($A17,'R4_G3'!$A$25:$AB$29, 26,false),
if(countif('R4_G2'!$A$25:$A$29,$A17)=1,vlookup($A17,'R4_G2'!$A$25:$AB$29, 26,false),
if(countif('R4_G4'!$A$25:$A$29,$A17)=1,vlookup($A17,'R4_G4'!$A$25:$AB$29, 26,false), ""))))</f>
        <v>14</v>
      </c>
      <c r="V17" s="1685">
        <f>
if(countif('R4_G1'!$A$25:$A$29,$A17)=1,vlookup($A17,'R4_G1'!$A$25:$AB$29, 27,false),
if(countif('R4_G3'!$A$25:$A$29,$A17)=1,vlookup($A17,'R4_G3'!$A$25:$AB$29, 27,false),
if(countif('R4_G2'!$A$25:$A$29,$A17)=1,vlookup($A17,'R4_G2'!$A$25:$AB$29, 27,false),
if(countif('R4_G4'!$A$25:$A$29,$A17)=1,vlookup($A17,'R4_G4'!$A$25:$AB$29, 27,false), ""))))</f>
        <v>9.166666667</v>
      </c>
      <c r="W17" s="1685">
        <f>
if(countif('R4_G1'!$A$25:$A$29,$A17)=1,vlookup($A17,'R4_G1'!$A$25:$AB$29, 28,false),
if(countif('R4_G3'!$A$25:$A$29,$A17)=1,vlookup($A17,'R4_G3'!$A$25:$AB$29, 28,false),
if(countif('R4_G2'!$A$25:$A$29,$A17)=1,vlookup($A17,'R4_G2'!$A$25:$AB$29, 28,false),
if(countif('R4_G4'!$A$25:$A$29,$A17)=1,vlookup($A17,'R4_G4'!$A$25:$AB$29, 28,false), ""))))</f>
        <v>2.333333333</v>
      </c>
      <c r="X17" s="1686">
        <f>if(T17="","",vlookup($A17,'ALL SCORES'!$AC$77:$BE$92,29,false)/18)</f>
        <v>0.6055555556</v>
      </c>
      <c r="Y17" s="1629"/>
      <c r="Z17" s="1777">
        <f t="shared" si="27"/>
        <v>76</v>
      </c>
      <c r="AA17" s="1778">
        <f t="shared" si="28"/>
        <v>22.17995019</v>
      </c>
      <c r="AB17" s="1779">
        <f t="shared" si="29"/>
        <v>6.109090909</v>
      </c>
      <c r="AC17" s="1780">
        <f t="shared" si="30"/>
        <v>0.484165283</v>
      </c>
      <c r="AD17" s="1781">
        <f t="shared" si="31"/>
        <v>0.5305555556</v>
      </c>
      <c r="AE17" s="1692"/>
      <c r="AF17" s="1693">
        <f t="shared" si="32"/>
        <v>0.5490740741</v>
      </c>
      <c r="AG17" s="1693">
        <f t="shared" si="33"/>
        <v>0.5638888889</v>
      </c>
      <c r="AH17" s="1693">
        <f t="shared" si="34"/>
        <v>0.3308726535</v>
      </c>
      <c r="AI17" s="1694">
        <f t="shared" si="35"/>
        <v>0.5856060606</v>
      </c>
      <c r="AJ17" s="1694">
        <f t="shared" si="36"/>
        <v>0.5073604193</v>
      </c>
      <c r="AK17" s="1695"/>
      <c r="AL17" s="1696">
        <f t="shared" si="37"/>
        <v>3.4375</v>
      </c>
      <c r="AM17" s="1696">
        <f t="shared" si="38"/>
        <v>6.75</v>
      </c>
      <c r="AN17" s="1696">
        <f t="shared" si="39"/>
        <v>-7.5</v>
      </c>
      <c r="AO17" s="1697">
        <f t="shared" si="40"/>
        <v>7.5</v>
      </c>
      <c r="AP17" s="1685">
        <f t="shared" si="41"/>
        <v>2.546875</v>
      </c>
      <c r="AQ17" s="1698">
        <f t="shared" si="42"/>
        <v>10.1875</v>
      </c>
      <c r="AR17" s="1685">
        <f>vlookup(AS17,'Master Input'!$A$9:$N$27,'Master Input'!$M$28+1,false)</f>
        <v>8.075</v>
      </c>
      <c r="AS17" s="1677" t="str">
        <f t="shared" si="26"/>
        <v>KJ</v>
      </c>
    </row>
    <row r="18" ht="12.75" customHeight="1">
      <c r="A18" s="1782" t="str">
        <f>'Master Input'!A22</f>
        <v>R-Mac</v>
      </c>
      <c r="B18" s="1679">
        <f>vlookup($A18,'ALL SCORES'!$A$5:$AA$20,26,false)</f>
        <v>82</v>
      </c>
      <c r="C18" s="1680">
        <f>
if(countif('R1_G1'!$A$25:$A$29,$A18)=1,vlookup($A18,'R1_G1'!$A$25:$AB$29, 26,false),
if(countif('R1_G2'!$A$25:$A$29,$A18)=1,vlookup($A18,'R1_G2'!$A$25:$AB$29, 26,false),
if(countif('R1_G3'!$A$25:$A$29,$A18)=1,vlookup($A18,'R1_G3'!$A$25:$AB$29, 26,false),
if(countif('R1_G4'!$A$25:$A$29,$A18)=1,vlookup($A18,'R1_G4'!$A$25:$AB$29, 26,false), ""))))</f>
        <v>9</v>
      </c>
      <c r="D18" s="1680">
        <f>
if(countif('R1_G1'!$A$25:$A$29,$A18)=1,vlookup($A18,'R1_G1'!$A$25:$AB$29, 27,false),
if(countif('R1_G2'!$A$25:$A$29,$A18)=1,vlookup($A18,'R1_G2'!$A$25:$AB$29, 27,false),
if(countif('R1_G3'!$A$25:$A$29,$A18)=1,vlookup($A18,'R1_G3'!$A$25:$AB$29, 27,false),
if(countif('R1_G4'!$A$25:$A$29,$A18)=1,vlookup($A18,'R1_G4'!$A$25:$AB$29, 27,false), ""))))</f>
        <v>3.5</v>
      </c>
      <c r="E18" s="1680">
        <f>
if(countif('R1_G1'!$A$25:$A$29,$A18)=1,vlookup($A18,'R1_G1'!$A$25:$AB$29, 28,false),
if(countif('R1_G2'!$A$25:$A$29,$A18)=1,vlookup($A18,'R1_G2'!$A$25:$AB$29, 28,false),
if(countif('R1_G3'!$A$25:$A$29,$A18)=1,vlookup($A18,'R1_G3'!$A$25:$AB$29, 28,false),
if(countif('R1_G4'!$A$25:$A$29,$A18)=1,vlookup($A18,'R1_G4'!$A$25:$AB$29, 28,false), ""))))</f>
        <v>0</v>
      </c>
      <c r="F18" s="1681">
        <f>if(B18="","",vlookup($A18,'ALL SCORES'!$AC$5:$BE$20,29,false)/18)</f>
        <v>0.4277777778</v>
      </c>
      <c r="G18" s="1629"/>
      <c r="H18" s="1679">
        <f>vlookup($A18,'ALL SCORES'!$A$29:$AB$44,26,false)</f>
        <v>77</v>
      </c>
      <c r="I18" s="1682">
        <f>if(H18="","",
sumif('R2_G1'!$A$29:$A$33,$A18,'R2_G1'!$AA$29:$AA$33)+
sumif('R2_G2'!$A$29:$A$33,$A18,'R2_G2'!$AA$29:$AA$33)+
sumif('R2_G3'!$A$29:$A$33,$A18,'R2_G3'!$AA$29:$AA$33)+
sumif('R2_G4'!$A$29:$A$33,$A18,'R2_G4'!$AA$29:$AA$33))
</f>
        <v>10</v>
      </c>
      <c r="J18" s="1682">
        <f>if(H18="","",
sumif('R2_G1'!$A$29:$A$33,$A18,'R2_G1'!$AA$29:$AA$33)+
sumif('R2_G2'!$A$29:$A$33,$A18,'R2_G2'!$AA$29:$AA$33)+
sumif('R2_G3'!$A$29:$A$33,$A18,'R2_G3'!$AA$29:$AA$33)+
sumif('R2_G4'!$A$29:$A$33,$A18,'R2_G4'!$AA$29:$AA$33))
</f>
        <v>10</v>
      </c>
      <c r="K18" s="1682">
        <f>if(H18="","",
sumif('R2_G1'!$A$29:$A$33,$A18,'R2_G1'!$AB$29:$AB$33)+
sumif('R2_G2'!$A$29:$A$33,$A18,'R2_G2'!$AB$29:$AB$33)+
sumif('R2_G3'!$A$29:$A$33,$A18,'R2_G3'!$AB$29:$AB$33)+
sumif('R2_G4'!$A$29:$A$33,$A18,'R2_G4'!$AB$29:$AB$33))
</f>
        <v>2.5</v>
      </c>
      <c r="L18" s="1681">
        <f>if(H18="","",vlookup($A18,'ALL SCORES'!$AC$29:$BE$44,29,false)/18)</f>
        <v>0.5481481481</v>
      </c>
      <c r="M18" s="1629"/>
      <c r="N18" s="1679">
        <f>vlookup($A18,'ALL SCORES'!$A$53:$AA$68,26,false)</f>
        <v>74</v>
      </c>
      <c r="O18" s="1682">
        <f>
if(countif('R3_G1'!$A$32:$A$36,$A18)=1,vlookup($A18,'R3_G1'!$A$32:$AC$36, 27,false),
if(countif('R3_G2'!$A$32:$A$36,$A18)=1,vlookup($A18,'R3_G2'!$A$32:$AC$36, 27,false),
if(countif('R3_G3'!$A$32:$A$36,$A18)=1,vlookup($A18,'R3_G3'!$A$32:$AC$36, 27,false),
if(countif('R3_G4'!$A$32:$A$36,$A18)=1,vlookup($A18,'R3_G4'!$A$32:$AC$36, 27,false), ""))))</f>
        <v>8.275862069</v>
      </c>
      <c r="P18" s="1682">
        <f>
if(countif('R3_G1'!$A$32:$A$36,$A18)=1,vlookup($A18,'R3_G1'!$A$32:$AC$36, 28,false),
if(countif('R3_G2'!$A$32:$A$36,$A18)=1,vlookup($A18,'R3_G2'!$A$32:$AC$36, 28,false),
if(countif('R3_G3'!$A$32:$A$36,$A18)=1,vlookup($A18,'R3_G3'!$A$32:$AC$36, 28,false),
if(countif('R3_G4'!$A$32:$A$36,$A18)=1,vlookup($A18,'R3_G4'!$A$32:$AC$36, 28,false), ""))))</f>
        <v>4.832214765</v>
      </c>
      <c r="Q18" s="1683">
        <f>
if(countif('R3_G1'!$A$32:$A$36,$A18)=1,vlookup($A18,'R3_G1'!$A$32:$AC$36, 29,false),
if(countif('R3_G2'!$A$32:$A$36,$A18)=1,vlookup($A18,'R3_G2'!$A$32:$AC$36, 29,false),
if(countif('R3_G3'!$A$32:$A$36,$A18)=1,vlookup($A18,'R3_G3'!$A$32:$AC$36, 29,false),
if(countif('R3_G4'!$A$32:$A$36,$A18)=1,vlookup($A18,'R3_G4'!$A$32:$AC$36, 29,false), ""))))</f>
        <v>1.83908046</v>
      </c>
      <c r="R18" s="1684">
        <f>if(N18="","", vlookup($A18,'ALL SCORES'!$AC$53:$BE$68,29,false)/18)</f>
        <v>0.5851851852</v>
      </c>
      <c r="S18" s="1629"/>
      <c r="T18" s="1679">
        <f>vlookup($A18,'ALL SCORES'!$A$77:$AA$92,26,false)</f>
        <v>81</v>
      </c>
      <c r="U18" s="1685">
        <f>
if(countif('R4_G1'!$A$25:$A$29,$A18)=1,vlookup($A18,'R4_G1'!$A$25:$AB$29, 26,false),
if(countif('R4_G3'!$A$25:$A$29,$A18)=1,vlookup($A18,'R4_G3'!$A$25:$AB$29, 26,false),
if(countif('R4_G2'!$A$25:$A$29,$A18)=1,vlookup($A18,'R4_G2'!$A$25:$AB$29, 26,false),
if(countif('R4_G4'!$A$25:$A$29,$A18)=1,vlookup($A18,'R4_G4'!$A$25:$AB$29, 26,false), ""))))</f>
        <v>11.75</v>
      </c>
      <c r="V18" s="1685">
        <f>
if(countif('R4_G1'!$A$25:$A$29,$A18)=1,vlookup($A18,'R4_G1'!$A$25:$AB$29, 27,false),
if(countif('R4_G3'!$A$25:$A$29,$A18)=1,vlookup($A18,'R4_G3'!$A$25:$AB$29, 27,false),
if(countif('R4_G2'!$A$25:$A$29,$A18)=1,vlookup($A18,'R4_G2'!$A$25:$AB$29, 27,false),
if(countif('R4_G4'!$A$25:$A$29,$A18)=1,vlookup($A18,'R4_G4'!$A$25:$AB$29, 27,false), ""))))</f>
        <v>7.25</v>
      </c>
      <c r="W18" s="1685">
        <f>
if(countif('R4_G1'!$A$25:$A$29,$A18)=1,vlookup($A18,'R4_G1'!$A$25:$AB$29, 28,false),
if(countif('R4_G3'!$A$25:$A$29,$A18)=1,vlookup($A18,'R4_G3'!$A$25:$AB$29, 28,false),
if(countif('R4_G2'!$A$25:$A$29,$A18)=1,vlookup($A18,'R4_G2'!$A$25:$AB$29, 28,false),
if(countif('R4_G4'!$A$25:$A$29,$A18)=1,vlookup($A18,'R4_G4'!$A$25:$AB$29, 28,false), ""))))</f>
        <v>1.958333333</v>
      </c>
      <c r="X18" s="1686">
        <f>if(T18="","",vlookup($A18,'ALL SCORES'!$AC$77:$BE$92,29,false)/18)</f>
        <v>0.4462962963</v>
      </c>
      <c r="Y18" s="1629"/>
      <c r="Z18" s="1783">
        <f t="shared" si="27"/>
        <v>78.5</v>
      </c>
      <c r="AA18" s="1784">
        <f t="shared" si="28"/>
        <v>22.60494204</v>
      </c>
      <c r="AB18" s="1785">
        <f t="shared" si="29"/>
        <v>6.297413793</v>
      </c>
      <c r="AC18" s="1786">
        <f t="shared" si="30"/>
        <v>0.4890261677</v>
      </c>
      <c r="AD18" s="1728">
        <f t="shared" si="31"/>
        <v>0.5018518519</v>
      </c>
      <c r="AE18" s="1692"/>
      <c r="AF18" s="1693">
        <f t="shared" si="32"/>
        <v>0.4083333333</v>
      </c>
      <c r="AG18" s="1693">
        <f t="shared" si="33"/>
        <v>0.5518518519</v>
      </c>
      <c r="AH18" s="1693">
        <f t="shared" si="34"/>
        <v>0.5610489684</v>
      </c>
      <c r="AI18" s="1694">
        <f t="shared" si="35"/>
        <v>0.4605218855</v>
      </c>
      <c r="AJ18" s="1694">
        <f t="shared" si="36"/>
        <v>0.4954390098</v>
      </c>
      <c r="AK18" s="1695"/>
      <c r="AL18" s="1696">
        <f t="shared" si="37"/>
        <v>-3.5625</v>
      </c>
      <c r="AM18" s="1696">
        <f t="shared" si="38"/>
        <v>2.75</v>
      </c>
      <c r="AN18" s="1696">
        <f t="shared" si="39"/>
        <v>3.5</v>
      </c>
      <c r="AO18" s="1697">
        <f t="shared" si="40"/>
        <v>-2.5</v>
      </c>
      <c r="AP18" s="1685">
        <f t="shared" si="41"/>
        <v>0.046875</v>
      </c>
      <c r="AQ18" s="1698">
        <f t="shared" si="42"/>
        <v>0.1875</v>
      </c>
      <c r="AR18" s="1685">
        <f>vlookup(AS18,'Master Input'!$A$9:$N$27,'Master Input'!$M$28+1,false)</f>
        <v>9.5</v>
      </c>
      <c r="AS18" s="1677" t="str">
        <f t="shared" si="26"/>
        <v>R-Mac</v>
      </c>
    </row>
    <row r="19" ht="12.75" customHeight="1">
      <c r="A19" s="1782" t="str">
        <f>'Master Input'!A25</f>
        <v>Weezy</v>
      </c>
      <c r="B19" s="1679">
        <f>vlookup($A19,'ALL SCORES'!$A$5:$AA$20,26,false)</f>
        <v>75</v>
      </c>
      <c r="C19" s="1680">
        <f>
if(countif('R1_G1'!$A$25:$A$29,$A19)=1,vlookup($A19,'R1_G1'!$A$25:$AB$29, 26,false),
if(countif('R1_G2'!$A$25:$A$29,$A19)=1,vlookup($A19,'R1_G2'!$A$25:$AB$29, 26,false),
if(countif('R1_G3'!$A$25:$A$29,$A19)=1,vlookup($A19,'R1_G3'!$A$25:$AB$29, 26,false),
if(countif('R1_G4'!$A$25:$A$29,$A19)=1,vlookup($A19,'R1_G4'!$A$25:$AB$29, 26,false), ""))))</f>
        <v>9</v>
      </c>
      <c r="D19" s="1680">
        <f>
if(countif('R1_G1'!$A$25:$A$29,$A19)=1,vlookup($A19,'R1_G1'!$A$25:$AB$29, 27,false),
if(countif('R1_G2'!$A$25:$A$29,$A19)=1,vlookup($A19,'R1_G2'!$A$25:$AB$29, 27,false),
if(countif('R1_G3'!$A$25:$A$29,$A19)=1,vlookup($A19,'R1_G3'!$A$25:$AB$29, 27,false),
if(countif('R1_G4'!$A$25:$A$29,$A19)=1,vlookup($A19,'R1_G4'!$A$25:$AB$29, 27,false), ""))))</f>
        <v>6</v>
      </c>
      <c r="E19" s="1680">
        <f>
if(countif('R1_G1'!$A$25:$A$29,$A19)=1,vlookup($A19,'R1_G1'!$A$25:$AB$29, 28,false),
if(countif('R1_G2'!$A$25:$A$29,$A19)=1,vlookup($A19,'R1_G2'!$A$25:$AB$29, 28,false),
if(countif('R1_G3'!$A$25:$A$29,$A19)=1,vlookup($A19,'R1_G3'!$A$25:$AB$29, 28,false),
if(countif('R1_G4'!$A$25:$A$29,$A19)=1,vlookup($A19,'R1_G4'!$A$25:$AB$29, 28,false), ""))))</f>
        <v>2.224242424</v>
      </c>
      <c r="F19" s="1681">
        <f>if(B19="","",vlookup($A19,'ALL SCORES'!$AC$5:$BE$20,29,false)/18)</f>
        <v>0.55</v>
      </c>
      <c r="G19" s="1629"/>
      <c r="H19" s="1679">
        <f>vlookup($A19,'ALL SCORES'!$A$29:$AB$44,26,false)</f>
        <v>85</v>
      </c>
      <c r="I19" s="1682">
        <f>if(H19="","",
sumif('R2_G1'!$A$29:$A$33,$A19,'R2_G1'!$AA$29:$AA$33)+
sumif('R2_G2'!$A$29:$A$33,$A19,'R2_G2'!$AA$29:$AA$33)+
sumif('R2_G3'!$A$29:$A$33,$A19,'R2_G3'!$AA$29:$AA$33)+
sumif('R2_G4'!$A$29:$A$33,$A19,'R2_G4'!$AA$29:$AA$33))
</f>
        <v>9.5</v>
      </c>
      <c r="J19" s="1682">
        <f>if(H19="","",
sumif('R2_G1'!$A$29:$A$33,$A19,'R2_G1'!$AA$29:$AA$33)+
sumif('R2_G2'!$A$29:$A$33,$A19,'R2_G2'!$AA$29:$AA$33)+
sumif('R2_G3'!$A$29:$A$33,$A19,'R2_G3'!$AA$29:$AA$33)+
sumif('R2_G4'!$A$29:$A$33,$A19,'R2_G4'!$AA$29:$AA$33))
</f>
        <v>9.5</v>
      </c>
      <c r="K19" s="1682">
        <f>if(H19="","",
sumif('R2_G1'!$A$29:$A$33,$A19,'R2_G1'!$AB$29:$AB$33)+
sumif('R2_G2'!$A$29:$A$33,$A19,'R2_G2'!$AB$29:$AB$33)+
sumif('R2_G3'!$A$29:$A$33,$A19,'R2_G3'!$AB$29:$AB$33)+
sumif('R2_G4'!$A$29:$A$33,$A19,'R2_G4'!$AB$29:$AB$33))
</f>
        <v>2.5</v>
      </c>
      <c r="L19" s="1681">
        <f>if(H19="","",vlookup($A19,'ALL SCORES'!$AC$29:$BE$44,29,false)/18)</f>
        <v>0.4388888889</v>
      </c>
      <c r="M19" s="1629"/>
      <c r="N19" s="1679">
        <f>vlookup($A19,'ALL SCORES'!$A$53:$AA$68,26,false)</f>
        <v>81</v>
      </c>
      <c r="O19" s="1682">
        <f>
if(countif('R3_G1'!$A$32:$A$36,$A19)=1,vlookup($A19,'R3_G1'!$A$32:$AC$36, 27,false),
if(countif('R3_G2'!$A$32:$A$36,$A19)=1,vlookup($A19,'R3_G2'!$A$32:$AC$36, 27,false),
if(countif('R3_G3'!$A$32:$A$36,$A19)=1,vlookup($A19,'R3_G3'!$A$32:$AC$36, 27,false),
if(countif('R3_G4'!$A$32:$A$36,$A19)=1,vlookup($A19,'R3_G4'!$A$32:$AC$36, 27,false), ""))))</f>
        <v>8.625</v>
      </c>
      <c r="P19" s="1682">
        <f>
if(countif('R3_G1'!$A$32:$A$36,$A19)=1,vlookup($A19,'R3_G1'!$A$32:$AC$36, 28,false),
if(countif('R3_G2'!$A$32:$A$36,$A19)=1,vlookup($A19,'R3_G2'!$A$32:$AC$36, 28,false),
if(countif('R3_G3'!$A$32:$A$36,$A19)=1,vlookup($A19,'R3_G3'!$A$32:$AC$36, 28,false),
if(countif('R3_G4'!$A$32:$A$36,$A19)=1,vlookup($A19,'R3_G4'!$A$32:$AC$36, 28,false), ""))))</f>
        <v>3.696428571</v>
      </c>
      <c r="Q19" s="1683">
        <f>
if(countif('R3_G1'!$A$32:$A$36,$A19)=1,vlookup($A19,'R3_G1'!$A$32:$AC$36, 29,false),
if(countif('R3_G2'!$A$32:$A$36,$A19)=1,vlookup($A19,'R3_G2'!$A$32:$AC$36, 29,false),
if(countif('R3_G3'!$A$32:$A$36,$A19)=1,vlookup($A19,'R3_G3'!$A$32:$AC$36, 29,false),
if(countif('R3_G4'!$A$32:$A$36,$A19)=1,vlookup($A19,'R3_G4'!$A$32:$AC$36, 29,false), ""))))</f>
        <v>0</v>
      </c>
      <c r="R19" s="1684">
        <f>if(N19="","", vlookup($A19,'ALL SCORES'!$AC$53:$BE$68,29,false)/18)</f>
        <v>0.4407407407</v>
      </c>
      <c r="S19" s="1629"/>
      <c r="T19" s="1679">
        <f>vlookup($A19,'ALL SCORES'!$A$77:$AA$92,26,false)</f>
        <v>79</v>
      </c>
      <c r="U19" s="1685">
        <f>
if(countif('R4_G1'!$A$25:$A$29,$A19)=1,vlookup($A19,'R4_G1'!$A$25:$AB$29, 26,false),
if(countif('R4_G3'!$A$25:$A$29,$A19)=1,vlookup($A19,'R4_G3'!$A$25:$AB$29, 26,false),
if(countif('R4_G2'!$A$25:$A$29,$A19)=1,vlookup($A19,'R4_G2'!$A$25:$AB$29, 26,false),
if(countif('R4_G4'!$A$25:$A$29,$A19)=1,vlookup($A19,'R4_G4'!$A$25:$AB$29, 26,false), ""))))</f>
        <v>12.41666667</v>
      </c>
      <c r="V19" s="1685">
        <f>
if(countif('R4_G1'!$A$25:$A$29,$A19)=1,vlookup($A19,'R4_G1'!$A$25:$AB$29, 27,false),
if(countif('R4_G3'!$A$25:$A$29,$A19)=1,vlookup($A19,'R4_G3'!$A$25:$AB$29, 27,false),
if(countif('R4_G2'!$A$25:$A$29,$A19)=1,vlookup($A19,'R4_G2'!$A$25:$AB$29, 27,false),
if(countif('R4_G4'!$A$25:$A$29,$A19)=1,vlookup($A19,'R4_G4'!$A$25:$AB$29, 27,false), ""))))</f>
        <v>7.25</v>
      </c>
      <c r="W19" s="1685">
        <f>
if(countif('R4_G1'!$A$25:$A$29,$A19)=1,vlookup($A19,'R4_G1'!$A$25:$AB$29, 28,false),
if(countif('R4_G3'!$A$25:$A$29,$A19)=1,vlookup($A19,'R4_G3'!$A$25:$AB$29, 28,false),
if(countif('R4_G2'!$A$25:$A$29,$A19)=1,vlookup($A19,'R4_G2'!$A$25:$AB$29, 28,false),
if(countif('R4_G4'!$A$25:$A$29,$A19)=1,vlookup($A19,'R4_G4'!$A$25:$AB$29, 28,false), ""))))</f>
        <v>2.069444444</v>
      </c>
      <c r="X19" s="1686">
        <f>if(T19="","",vlookup($A19,'ALL SCORES'!$AC$77:$BE$92,29,false)/18)</f>
        <v>0.4907407407</v>
      </c>
      <c r="Y19" s="1629"/>
      <c r="Z19" s="1787">
        <f t="shared" si="27"/>
        <v>80</v>
      </c>
      <c r="AA19" s="1788">
        <f t="shared" si="28"/>
        <v>23.71158009</v>
      </c>
      <c r="AB19" s="1789">
        <f t="shared" si="29"/>
        <v>6.793686869</v>
      </c>
      <c r="AC19" s="1790">
        <f t="shared" si="30"/>
        <v>0.526710558</v>
      </c>
      <c r="AD19" s="1791">
        <f t="shared" si="31"/>
        <v>0.4800925926</v>
      </c>
      <c r="AE19" s="1692"/>
      <c r="AF19" s="1693">
        <f t="shared" si="32"/>
        <v>0.6083333333</v>
      </c>
      <c r="AG19" s="1693">
        <f t="shared" si="33"/>
        <v>0.4833333333</v>
      </c>
      <c r="AH19" s="1693">
        <f t="shared" si="34"/>
        <v>0.4257275132</v>
      </c>
      <c r="AI19" s="1694">
        <f t="shared" si="35"/>
        <v>0.4962121212</v>
      </c>
      <c r="AJ19" s="1694">
        <f t="shared" si="36"/>
        <v>0.5034015753</v>
      </c>
      <c r="AK19" s="1695"/>
      <c r="AL19" s="1696">
        <f t="shared" si="37"/>
        <v>3.4375</v>
      </c>
      <c r="AM19" s="1696">
        <f t="shared" si="38"/>
        <v>-5.25</v>
      </c>
      <c r="AN19" s="1696">
        <f t="shared" si="39"/>
        <v>-3.5</v>
      </c>
      <c r="AO19" s="1697">
        <f t="shared" si="40"/>
        <v>-0.5</v>
      </c>
      <c r="AP19" s="1685">
        <f t="shared" si="41"/>
        <v>-1.453125</v>
      </c>
      <c r="AQ19" s="1698">
        <f t="shared" si="42"/>
        <v>-5.8125</v>
      </c>
      <c r="AR19" s="1685">
        <f>vlookup(AS19,'Master Input'!$A$9:$N$27,'Master Input'!$M$28+1,false)</f>
        <v>12.575</v>
      </c>
      <c r="AS19" s="1677" t="str">
        <f t="shared" si="26"/>
        <v>Weezy</v>
      </c>
    </row>
    <row r="20" ht="12.75" customHeight="1">
      <c r="A20" s="1782" t="str">
        <f>'Master Input'!A24</f>
        <v>TJSC</v>
      </c>
      <c r="B20" s="1679">
        <f>vlookup($A20,'ALL SCORES'!$A$5:$AA$20,26,false)</f>
        <v>76</v>
      </c>
      <c r="C20" s="1680">
        <f>
if(countif('R1_G1'!$A$25:$A$29,$A20)=1,vlookup($A20,'R1_G1'!$A$25:$AB$29, 26,false),
if(countif('R1_G2'!$A$25:$A$29,$A20)=1,vlookup($A20,'R1_G2'!$A$25:$AB$29, 26,false),
if(countif('R1_G3'!$A$25:$A$29,$A20)=1,vlookup($A20,'R1_G3'!$A$25:$AB$29, 26,false),
if(countif('R1_G4'!$A$25:$A$29,$A20)=1,vlookup($A20,'R1_G4'!$A$25:$AB$29, 26,false), ""))))</f>
        <v>12</v>
      </c>
      <c r="D20" s="1680">
        <f>
if(countif('R1_G1'!$A$25:$A$29,$A20)=1,vlookup($A20,'R1_G1'!$A$25:$AB$29, 27,false),
if(countif('R1_G2'!$A$25:$A$29,$A20)=1,vlookup($A20,'R1_G2'!$A$25:$AB$29, 27,false),
if(countif('R1_G3'!$A$25:$A$29,$A20)=1,vlookup($A20,'R1_G3'!$A$25:$AB$29, 27,false),
if(countif('R1_G4'!$A$25:$A$29,$A20)=1,vlookup($A20,'R1_G4'!$A$25:$AB$29, 27,false), ""))))</f>
        <v>3.5</v>
      </c>
      <c r="E20" s="1680">
        <f>
if(countif('R1_G1'!$A$25:$A$29,$A20)=1,vlookup($A20,'R1_G1'!$A$25:$AB$29, 28,false),
if(countif('R1_G2'!$A$25:$A$29,$A20)=1,vlookup($A20,'R1_G2'!$A$25:$AB$29, 28,false),
if(countif('R1_G3'!$A$25:$A$29,$A20)=1,vlookup($A20,'R1_G3'!$A$25:$AB$29, 28,false),
if(countif('R1_G4'!$A$25:$A$29,$A20)=1,vlookup($A20,'R1_G4'!$A$25:$AB$29, 28,false), ""))))</f>
        <v>0</v>
      </c>
      <c r="F20" s="1681">
        <f>if(B20="","",vlookup($A20,'ALL SCORES'!$AC$5:$BE$20,29,false)/18)</f>
        <v>0.5314814815</v>
      </c>
      <c r="G20" s="1629"/>
      <c r="H20" s="1679">
        <f>vlookup($A20,'ALL SCORES'!$A$29:$AB$44,26,false)</f>
        <v>80</v>
      </c>
      <c r="I20" s="1682">
        <f>if(H20="","",
sumif('R2_G1'!$A$29:$A$33,$A20,'R2_G1'!$AA$29:$AA$33)+
sumif('R2_G2'!$A$29:$A$33,$A20,'R2_G2'!$AA$29:$AA$33)+
sumif('R2_G3'!$A$29:$A$33,$A20,'R2_G3'!$AA$29:$AA$33)+
sumif('R2_G4'!$A$29:$A$33,$A20,'R2_G4'!$AA$29:$AA$33))
</f>
        <v>8</v>
      </c>
      <c r="J20" s="1682">
        <f>if(H20="","",
sumif('R2_G1'!$A$29:$A$33,$A20,'R2_G1'!$AA$29:$AA$33)+
sumif('R2_G2'!$A$29:$A$33,$A20,'R2_G2'!$AA$29:$AA$33)+
sumif('R2_G3'!$A$29:$A$33,$A20,'R2_G3'!$AA$29:$AA$33)+
sumif('R2_G4'!$A$29:$A$33,$A20,'R2_G4'!$AA$29:$AA$33))
</f>
        <v>8</v>
      </c>
      <c r="K20" s="1682">
        <f>if(H20="","",
sumif('R2_G1'!$A$29:$A$33,$A20,'R2_G1'!$AB$29:$AB$33)+
sumif('R2_G2'!$A$29:$A$33,$A20,'R2_G2'!$AB$29:$AB$33)+
sumif('R2_G3'!$A$29:$A$33,$A20,'R2_G3'!$AB$29:$AB$33)+
sumif('R2_G4'!$A$29:$A$33,$A20,'R2_G4'!$AB$29:$AB$33))
</f>
        <v>0</v>
      </c>
      <c r="L20" s="1681">
        <f>if(H20="","",vlookup($A20,'ALL SCORES'!$AC$29:$BE$44,29,false)/18)</f>
        <v>0.5277777778</v>
      </c>
      <c r="M20" s="1629"/>
      <c r="N20" s="1679">
        <f>vlookup($A20,'ALL SCORES'!$A$53:$AA$68,26,false)</f>
        <v>78</v>
      </c>
      <c r="O20" s="1682">
        <f>
if(countif('R3_G1'!$A$32:$A$36,$A20)=1,vlookup($A20,'R3_G1'!$A$32:$AC$36, 27,false),
if(countif('R3_G2'!$A$32:$A$36,$A20)=1,vlookup($A20,'R3_G2'!$A$32:$AC$36, 27,false),
if(countif('R3_G3'!$A$32:$A$36,$A20)=1,vlookup($A20,'R3_G3'!$A$32:$AC$36, 27,false),
if(countif('R3_G4'!$A$32:$A$36,$A20)=1,vlookup($A20,'R3_G4'!$A$32:$AC$36, 27,false), ""))))</f>
        <v>7.627118644</v>
      </c>
      <c r="P20" s="1682">
        <f>
if(countif('R3_G1'!$A$32:$A$36,$A20)=1,vlookup($A20,'R3_G1'!$A$32:$AC$36, 28,false),
if(countif('R3_G2'!$A$32:$A$36,$A20)=1,vlookup($A20,'R3_G2'!$A$32:$AC$36, 28,false),
if(countif('R3_G3'!$A$32:$A$36,$A20)=1,vlookup($A20,'R3_G3'!$A$32:$AC$36, 28,false),
if(countif('R3_G4'!$A$32:$A$36,$A20)=1,vlookup($A20,'R3_G4'!$A$32:$AC$36, 28,false), ""))))</f>
        <v>4.326923077</v>
      </c>
      <c r="Q20" s="1683">
        <f>
if(countif('R3_G1'!$A$32:$A$36,$A20)=1,vlookup($A20,'R3_G1'!$A$32:$AC$36, 29,false),
if(countif('R3_G2'!$A$32:$A$36,$A20)=1,vlookup($A20,'R3_G2'!$A$32:$AC$36, 29,false),
if(countif('R3_G3'!$A$32:$A$36,$A20)=1,vlookup($A20,'R3_G3'!$A$32:$AC$36, 29,false),
if(countif('R3_G4'!$A$32:$A$36,$A20)=1,vlookup($A20,'R3_G4'!$A$32:$AC$36, 29,false), ""))))</f>
        <v>1.483050847</v>
      </c>
      <c r="R20" s="1684">
        <f>if(N20="","", vlookup($A20,'ALL SCORES'!$AC$53:$BE$68,29,false)/18)</f>
        <v>0.462962963</v>
      </c>
      <c r="S20" s="1629"/>
      <c r="T20" s="1679">
        <f>vlookup($A20,'ALL SCORES'!$A$77:$AA$92,26,false)</f>
        <v>76</v>
      </c>
      <c r="U20" s="1685">
        <f>
if(countif('R4_G1'!$A$25:$A$29,$A20)=1,vlookup($A20,'R4_G1'!$A$25:$AB$29, 26,false),
if(countif('R4_G3'!$A$25:$A$29,$A20)=1,vlookup($A20,'R4_G3'!$A$25:$AB$29, 26,false),
if(countif('R4_G2'!$A$25:$A$29,$A20)=1,vlookup($A20,'R4_G2'!$A$25:$AB$29, 26,false),
if(countif('R4_G4'!$A$25:$A$29,$A20)=1,vlookup($A20,'R4_G4'!$A$25:$AB$29, 26,false), ""))))</f>
        <v>13.16666667</v>
      </c>
      <c r="V20" s="1685">
        <f>
if(countif('R4_G1'!$A$25:$A$29,$A20)=1,vlookup($A20,'R4_G1'!$A$25:$AB$29, 27,false),
if(countif('R4_G3'!$A$25:$A$29,$A20)=1,vlookup($A20,'R4_G3'!$A$25:$AB$29, 27,false),
if(countif('R4_G2'!$A$25:$A$29,$A20)=1,vlookup($A20,'R4_G2'!$A$25:$AB$29, 27,false),
if(countif('R4_G4'!$A$25:$A$29,$A20)=1,vlookup($A20,'R4_G4'!$A$25:$AB$29, 27,false), ""))))</f>
        <v>8.916666667</v>
      </c>
      <c r="W20" s="1685">
        <f>
if(countif('R4_G1'!$A$25:$A$29,$A20)=1,vlookup($A20,'R4_G1'!$A$25:$AB$29, 28,false),
if(countif('R4_G3'!$A$25:$A$29,$A20)=1,vlookup($A20,'R4_G3'!$A$25:$AB$29, 28,false),
if(countif('R4_G2'!$A$25:$A$29,$A20)=1,vlookup($A20,'R4_G2'!$A$25:$AB$29, 28,false),
if(countif('R4_G4'!$A$25:$A$29,$A20)=1,vlookup($A20,'R4_G4'!$A$25:$AB$29, 28,false), ""))))</f>
        <v>2.194444444</v>
      </c>
      <c r="X20" s="1686">
        <f>if(T20="","",vlookup($A20,'ALL SCORES'!$AC$77:$BE$92,29,false)/18)</f>
        <v>0.5425925926</v>
      </c>
      <c r="Y20" s="1629"/>
      <c r="Z20" s="1792">
        <f t="shared" si="27"/>
        <v>77.5</v>
      </c>
      <c r="AA20" s="1793">
        <f t="shared" si="28"/>
        <v>20.61480186</v>
      </c>
      <c r="AB20" s="1794">
        <f t="shared" si="29"/>
        <v>3.677495292</v>
      </c>
      <c r="AC20" s="1795">
        <f t="shared" si="30"/>
        <v>0.461522274</v>
      </c>
      <c r="AD20" s="1796">
        <f t="shared" si="31"/>
        <v>0.5162037037</v>
      </c>
      <c r="AE20" s="1692"/>
      <c r="AF20" s="1693">
        <f t="shared" si="32"/>
        <v>0.4601851852</v>
      </c>
      <c r="AG20" s="1693">
        <f t="shared" si="33"/>
        <v>0.4861111111</v>
      </c>
      <c r="AH20" s="1693">
        <f t="shared" si="34"/>
        <v>0.4718660969</v>
      </c>
      <c r="AI20" s="1694">
        <f t="shared" si="35"/>
        <v>0.5372895623</v>
      </c>
      <c r="AJ20" s="1694">
        <f t="shared" si="36"/>
        <v>0.4888629889</v>
      </c>
      <c r="AK20" s="1695"/>
      <c r="AL20" s="1696">
        <f t="shared" si="37"/>
        <v>2.4375</v>
      </c>
      <c r="AM20" s="1696">
        <f t="shared" si="38"/>
        <v>-0.25</v>
      </c>
      <c r="AN20" s="1696">
        <f t="shared" si="39"/>
        <v>-0.5</v>
      </c>
      <c r="AO20" s="1697">
        <f t="shared" si="40"/>
        <v>2.5</v>
      </c>
      <c r="AP20" s="1685">
        <f t="shared" si="41"/>
        <v>1.046875</v>
      </c>
      <c r="AQ20" s="1698">
        <f t="shared" si="42"/>
        <v>4.1875</v>
      </c>
      <c r="AR20" s="1685">
        <f>vlookup(AS20,'Master Input'!$A$9:$N$27,'Master Input'!$M$28+1,false)</f>
        <v>12.425</v>
      </c>
      <c r="AS20" s="1677" t="str">
        <f t="shared" si="26"/>
        <v>TJSC</v>
      </c>
    </row>
    <row r="21" ht="12.75" customHeight="1">
      <c r="A21" s="1782" t="str">
        <f>'Master Input'!A23</f>
        <v>T-Mo</v>
      </c>
      <c r="B21" s="1679">
        <f>vlookup($A21,'ALL SCORES'!$A$5:$AA$20,26,false)</f>
        <v>77</v>
      </c>
      <c r="C21" s="1680">
        <f>
if(countif('R1_G1'!$A$25:$A$29,$A21)=1,vlookup($A21,'R1_G1'!$A$25:$AB$29, 26,false),
if(countif('R1_G2'!$A$25:$A$29,$A21)=1,vlookup($A21,'R1_G2'!$A$25:$AB$29, 26,false),
if(countif('R1_G3'!$A$25:$A$29,$A21)=1,vlookup($A21,'R1_G3'!$A$25:$AB$29, 26,false),
if(countif('R1_G4'!$A$25:$A$29,$A21)=1,vlookup($A21,'R1_G4'!$A$25:$AB$29, 26,false), ""))))</f>
        <v>9</v>
      </c>
      <c r="D21" s="1680">
        <f>
if(countif('R1_G1'!$A$25:$A$29,$A21)=1,vlookup($A21,'R1_G1'!$A$25:$AB$29, 27,false),
if(countif('R1_G2'!$A$25:$A$29,$A21)=1,vlookup($A21,'R1_G2'!$A$25:$AB$29, 27,false),
if(countif('R1_G3'!$A$25:$A$29,$A21)=1,vlookup($A21,'R1_G3'!$A$25:$AB$29, 27,false),
if(countif('R1_G4'!$A$25:$A$29,$A21)=1,vlookup($A21,'R1_G4'!$A$25:$AB$29, 27,false), ""))))</f>
        <v>3</v>
      </c>
      <c r="E21" s="1680">
        <f>
if(countif('R1_G1'!$A$25:$A$29,$A21)=1,vlookup($A21,'R1_G1'!$A$25:$AB$29, 28,false),
if(countif('R1_G2'!$A$25:$A$29,$A21)=1,vlookup($A21,'R1_G2'!$A$25:$AB$29, 28,false),
if(countif('R1_G3'!$A$25:$A$29,$A21)=1,vlookup($A21,'R1_G3'!$A$25:$AB$29, 28,false),
if(countif('R1_G4'!$A$25:$A$29,$A21)=1,vlookup($A21,'R1_G4'!$A$25:$AB$29, 28,false), ""))))</f>
        <v>0</v>
      </c>
      <c r="F21" s="1681">
        <f>if(B21="","",vlookup($A21,'ALL SCORES'!$AC$5:$BE$20,29,false)/18)</f>
        <v>0.4944444444</v>
      </c>
      <c r="G21" s="1629"/>
      <c r="H21" s="1679">
        <f>vlookup($A21,'ALL SCORES'!$A$29:$AB$44,26,false)</f>
        <v>83</v>
      </c>
      <c r="I21" s="1682">
        <f>if(H21="","",
sumif('R2_G1'!$A$29:$A$33,$A21,'R2_G1'!$AA$29:$AA$33)+
sumif('R2_G2'!$A$29:$A$33,$A21,'R2_G2'!$AA$29:$AA$33)+
sumif('R2_G3'!$A$29:$A$33,$A21,'R2_G3'!$AA$29:$AA$33)+
sumif('R2_G4'!$A$29:$A$33,$A21,'R2_G4'!$AA$29:$AA$33))
</f>
        <v>10</v>
      </c>
      <c r="J21" s="1682">
        <f>if(H21="","",
sumif('R2_G1'!$A$29:$A$33,$A21,'R2_G1'!$AA$29:$AA$33)+
sumif('R2_G2'!$A$29:$A$33,$A21,'R2_G2'!$AA$29:$AA$33)+
sumif('R2_G3'!$A$29:$A$33,$A21,'R2_G3'!$AA$29:$AA$33)+
sumif('R2_G4'!$A$29:$A$33,$A21,'R2_G4'!$AA$29:$AA$33))
</f>
        <v>10</v>
      </c>
      <c r="K21" s="1682">
        <f>if(H21="","",
sumif('R2_G1'!$A$29:$A$33,$A21,'R2_G1'!$AB$29:$AB$33)+
sumif('R2_G2'!$A$29:$A$33,$A21,'R2_G2'!$AB$29:$AB$33)+
sumif('R2_G3'!$A$29:$A$33,$A21,'R2_G3'!$AB$29:$AB$33)+
sumif('R2_G4'!$A$29:$A$33,$A21,'R2_G4'!$AB$29:$AB$33))
</f>
        <v>3</v>
      </c>
      <c r="L21" s="1681">
        <f>if(H21="","",vlookup($A21,'ALL SCORES'!$AC$29:$BE$44,29,false)/18)</f>
        <v>0.4722222222</v>
      </c>
      <c r="M21" s="1628"/>
      <c r="N21" s="1679">
        <f>vlookup($A21,'ALL SCORES'!$A$53:$AA$68,26,false)</f>
        <v>74</v>
      </c>
      <c r="O21" s="1682">
        <f>
if(countif('R3_G1'!$A$32:$A$36,$A21)=1,vlookup($A21,'R3_G1'!$A$32:$AC$36, 27,false),
if(countif('R3_G2'!$A$32:$A$36,$A21)=1,vlookup($A21,'R3_G2'!$A$32:$AC$36, 27,false),
if(countif('R3_G3'!$A$32:$A$36,$A21)=1,vlookup($A21,'R3_G3'!$A$32:$AC$36, 27,false),
if(countif('R3_G4'!$A$32:$A$36,$A21)=1,vlookup($A21,'R3_G4'!$A$32:$AC$36, 27,false), ""))))</f>
        <v>10.37288136</v>
      </c>
      <c r="P21" s="1682">
        <f>
if(countif('R3_G1'!$A$32:$A$36,$A21)=1,vlookup($A21,'R3_G1'!$A$32:$AC$36, 28,false),
if(countif('R3_G2'!$A$32:$A$36,$A21)=1,vlookup($A21,'R3_G2'!$A$32:$AC$36, 28,false),
if(countif('R3_G3'!$A$32:$A$36,$A21)=1,vlookup($A21,'R3_G3'!$A$32:$AC$36, 28,false),
if(countif('R3_G4'!$A$32:$A$36,$A21)=1,vlookup($A21,'R3_G4'!$A$32:$AC$36, 28,false), ""))))</f>
        <v>5.884615385</v>
      </c>
      <c r="Q21" s="1683">
        <f>
if(countif('R3_G1'!$A$32:$A$36,$A21)=1,vlookup($A21,'R3_G1'!$A$32:$AC$36, 29,false),
if(countif('R3_G2'!$A$32:$A$36,$A21)=1,vlookup($A21,'R3_G2'!$A$32:$AC$36, 29,false),
if(countif('R3_G3'!$A$32:$A$36,$A21)=1,vlookup($A21,'R3_G3'!$A$32:$AC$36, 29,false),
if(countif('R3_G4'!$A$32:$A$36,$A21)=1,vlookup($A21,'R3_G4'!$A$32:$AC$36, 29,false), ""))))</f>
        <v>2.016949153</v>
      </c>
      <c r="R21" s="1684">
        <f>if(N21="","", vlookup($A21,'ALL SCORES'!$AC$53:$BE$68,29,false)/18)</f>
        <v>0.5555555556</v>
      </c>
      <c r="S21" s="1629"/>
      <c r="T21" s="1679">
        <f>vlookup($A21,'ALL SCORES'!$A$77:$AA$92,26,false)</f>
        <v>84</v>
      </c>
      <c r="U21" s="1685">
        <f>
if(countif('R4_G1'!$A$25:$A$29,$A21)=1,vlookup($A21,'R4_G1'!$A$25:$AB$29, 26,false),
if(countif('R4_G3'!$A$25:$A$29,$A21)=1,vlookup($A21,'R4_G3'!$A$25:$AB$29, 26,false),
if(countif('R4_G2'!$A$25:$A$29,$A21)=1,vlookup($A21,'R4_G2'!$A$25:$AB$29, 26,false),
if(countif('R4_G4'!$A$25:$A$29,$A21)=1,vlookup($A21,'R4_G4'!$A$25:$AB$29, 26,false), ""))))</f>
        <v>9.75</v>
      </c>
      <c r="V21" s="1685">
        <f>
if(countif('R4_G1'!$A$25:$A$29,$A21)=1,vlookup($A21,'R4_G1'!$A$25:$AB$29, 27,false),
if(countif('R4_G3'!$A$25:$A$29,$A21)=1,vlookup($A21,'R4_G3'!$A$25:$AB$29, 27,false),
if(countif('R4_G2'!$A$25:$A$29,$A21)=1,vlookup($A21,'R4_G2'!$A$25:$AB$29, 27,false),
if(countif('R4_G4'!$A$25:$A$29,$A21)=1,vlookup($A21,'R4_G4'!$A$25:$AB$29, 27,false), ""))))</f>
        <v>6</v>
      </c>
      <c r="W21" s="1685">
        <f>
if(countif('R4_G1'!$A$25:$A$29,$A21)=1,vlookup($A21,'R4_G1'!$A$25:$AB$29, 28,false),
if(countif('R4_G3'!$A$25:$A$29,$A21)=1,vlookup($A21,'R4_G3'!$A$25:$AB$29, 28,false),
if(countif('R4_G2'!$A$25:$A$29,$A21)=1,vlookup($A21,'R4_G2'!$A$25:$AB$29, 28,false),
if(countif('R4_G4'!$A$25:$A$29,$A21)=1,vlookup($A21,'R4_G4'!$A$25:$AB$29, 28,false), ""))))</f>
        <v>1.625</v>
      </c>
      <c r="X21" s="1686">
        <f>if(T21="","",vlookup($A21,'ALL SCORES'!$AC$77:$BE$92,29,false)/18)</f>
        <v>0.3944444444</v>
      </c>
      <c r="Y21" s="1629"/>
      <c r="Z21" s="1797">
        <f t="shared" si="27"/>
        <v>79.5</v>
      </c>
      <c r="AA21" s="1798">
        <f t="shared" si="28"/>
        <v>22.43006993</v>
      </c>
      <c r="AB21" s="1799">
        <f t="shared" si="29"/>
        <v>6.641949153</v>
      </c>
      <c r="AC21" s="1800">
        <f t="shared" si="30"/>
        <v>0.4841686092</v>
      </c>
      <c r="AD21" s="1801">
        <f t="shared" si="31"/>
        <v>0.4791666667</v>
      </c>
      <c r="AE21" s="1692"/>
      <c r="AF21" s="1693">
        <f t="shared" si="32"/>
        <v>0.4138888889</v>
      </c>
      <c r="AG21" s="1693">
        <f t="shared" si="33"/>
        <v>0.5138888889</v>
      </c>
      <c r="AH21" s="1693">
        <f t="shared" si="34"/>
        <v>0.6047008547</v>
      </c>
      <c r="AI21" s="1694">
        <f t="shared" si="35"/>
        <v>0.3941919192</v>
      </c>
      <c r="AJ21" s="1694">
        <f t="shared" si="36"/>
        <v>0.4816676379</v>
      </c>
      <c r="AK21" s="1695"/>
      <c r="AL21" s="1696">
        <f t="shared" si="37"/>
        <v>1.4375</v>
      </c>
      <c r="AM21" s="1696">
        <f t="shared" si="38"/>
        <v>-3.25</v>
      </c>
      <c r="AN21" s="1696">
        <f t="shared" si="39"/>
        <v>3.5</v>
      </c>
      <c r="AO21" s="1697">
        <f t="shared" si="40"/>
        <v>-5.5</v>
      </c>
      <c r="AP21" s="1685">
        <f t="shared" si="41"/>
        <v>-0.953125</v>
      </c>
      <c r="AQ21" s="1698">
        <f t="shared" si="42"/>
        <v>-3.8125</v>
      </c>
      <c r="AR21" s="1685">
        <f>vlookup(AS21,'Master Input'!$A$9:$N$27,'Master Input'!$M$28+1,false)</f>
        <v>10.925</v>
      </c>
      <c r="AS21" s="1677" t="str">
        <f t="shared" si="26"/>
        <v>T-Mo</v>
      </c>
    </row>
    <row r="22" ht="12.75" customHeight="1">
      <c r="A22" s="1782" t="str">
        <f>'Master Input'!A26</f>
        <v>Joe O</v>
      </c>
      <c r="B22" s="1679">
        <f>vlookup($A22,'ALL SCORES'!$A$5:$AA$20,26,false)</f>
        <v>91</v>
      </c>
      <c r="C22" s="1680">
        <f>
if(countif('R1_G1'!$A$25:$A$29,$A22)=1,vlookup($A22,'R1_G1'!$A$25:$AB$29, 26,false),
if(countif('R1_G2'!$A$25:$A$29,$A22)=1,vlookup($A22,'R1_G2'!$A$25:$AB$29, 26,false),
if(countif('R1_G3'!$A$25:$A$29,$A22)=1,vlookup($A22,'R1_G3'!$A$25:$AB$29, 26,false),
if(countif('R1_G4'!$A$25:$A$29,$A22)=1,vlookup($A22,'R1_G4'!$A$25:$AB$29, 26,false), ""))))</f>
        <v>6</v>
      </c>
      <c r="D22" s="1680">
        <f>
if(countif('R1_G1'!$A$25:$A$29,$A22)=1,vlookup($A22,'R1_G1'!$A$25:$AB$29, 27,false),
if(countif('R1_G2'!$A$25:$A$29,$A22)=1,vlookup($A22,'R1_G2'!$A$25:$AB$29, 27,false),
if(countif('R1_G3'!$A$25:$A$29,$A22)=1,vlookup($A22,'R1_G3'!$A$25:$AB$29, 27,false),
if(countif('R1_G4'!$A$25:$A$29,$A22)=1,vlookup($A22,'R1_G4'!$A$25:$AB$29, 27,false), ""))))</f>
        <v>1.5</v>
      </c>
      <c r="E22" s="1680">
        <f>
if(countif('R1_G1'!$A$25:$A$29,$A22)=1,vlookup($A22,'R1_G1'!$A$25:$AB$29, 28,false),
if(countif('R1_G2'!$A$25:$A$29,$A22)=1,vlookup($A22,'R1_G2'!$A$25:$AB$29, 28,false),
if(countif('R1_G3'!$A$25:$A$29,$A22)=1,vlookup($A22,'R1_G3'!$A$25:$AB$29, 28,false),
if(countif('R1_G4'!$A$25:$A$29,$A22)=1,vlookup($A22,'R1_G4'!$A$25:$AB$29, 28,false), ""))))</f>
        <v>0</v>
      </c>
      <c r="F22" s="1681">
        <f>if(B22="","",vlookup($A22,'ALL SCORES'!$AC$5:$BE$20,29,false)/18)</f>
        <v>0.3648148148</v>
      </c>
      <c r="G22" s="1629"/>
      <c r="H22" s="1679">
        <f>vlookup($A22,'ALL SCORES'!$A$29:$AB$44,26,false)</f>
        <v>74</v>
      </c>
      <c r="I22" s="1682">
        <f>if(H22="","",
sumif('R2_G1'!$A$29:$A$33,$A22,'R2_G1'!$AA$29:$AA$33)+
sumif('R2_G2'!$A$29:$A$33,$A22,'R2_G2'!$AA$29:$AA$33)+
sumif('R2_G3'!$A$29:$A$33,$A22,'R2_G3'!$AA$29:$AA$33)+
sumif('R2_G4'!$A$29:$A$33,$A22,'R2_G4'!$AA$29:$AA$33))
</f>
        <v>10.5</v>
      </c>
      <c r="J22" s="1682">
        <f>if(H22="","",
sumif('R2_G1'!$A$29:$A$33,$A22,'R2_G1'!$AA$29:$AA$33)+
sumif('R2_G2'!$A$29:$A$33,$A22,'R2_G2'!$AA$29:$AA$33)+
sumif('R2_G3'!$A$29:$A$33,$A22,'R2_G3'!$AA$29:$AA$33)+
sumif('R2_G4'!$A$29:$A$33,$A22,'R2_G4'!$AA$29:$AA$33))
</f>
        <v>10.5</v>
      </c>
      <c r="K22" s="1682">
        <f>if(H22="","",
sumif('R2_G1'!$A$29:$A$33,$A22,'R2_G1'!$AB$29:$AB$33)+
sumif('R2_G2'!$A$29:$A$33,$A22,'R2_G2'!$AB$29:$AB$33)+
sumif('R2_G3'!$A$29:$A$33,$A22,'R2_G3'!$AB$29:$AB$33)+
sumif('R2_G4'!$A$29:$A$33,$A22,'R2_G4'!$AB$29:$AB$33))
</f>
        <v>3</v>
      </c>
      <c r="L22" s="1681">
        <f>if(H22="","",vlookup($A22,'ALL SCORES'!$AC$29:$BE$44,29,false)/18)</f>
        <v>0.6111111111</v>
      </c>
      <c r="M22" s="1628"/>
      <c r="N22" s="1679">
        <f>vlookup($A22,'ALL SCORES'!$A$53:$AA$68,26,false)</f>
        <v>72</v>
      </c>
      <c r="O22" s="1682">
        <f>
if(countif('R3_G1'!$A$32:$A$36,$A22)=1,vlookup($A22,'R3_G1'!$A$32:$AC$36, 27,false),
if(countif('R3_G2'!$A$32:$A$36,$A22)=1,vlookup($A22,'R3_G2'!$A$32:$AC$36, 27,false),
if(countif('R3_G3'!$A$32:$A$36,$A22)=1,vlookup($A22,'R3_G3'!$A$32:$AC$36, 27,false),
if(countif('R3_G4'!$A$32:$A$36,$A22)=1,vlookup($A22,'R3_G4'!$A$32:$AC$36, 27,false), ""))))</f>
        <v>11.90322581</v>
      </c>
      <c r="P22" s="1682">
        <f>
if(countif('R3_G1'!$A$32:$A$36,$A22)=1,vlookup($A22,'R3_G1'!$A$32:$AC$36, 28,false),
if(countif('R3_G2'!$A$32:$A$36,$A22)=1,vlookup($A22,'R3_G2'!$A$32:$AC$36, 28,false),
if(countif('R3_G3'!$A$32:$A$36,$A22)=1,vlookup($A22,'R3_G3'!$A$32:$AC$36, 28,false),
if(countif('R3_G4'!$A$32:$A$36,$A22)=1,vlookup($A22,'R3_G4'!$A$32:$AC$36, 28,false), ""))))</f>
        <v>5.054794521</v>
      </c>
      <c r="Q22" s="1683">
        <f>
if(countif('R3_G1'!$A$32:$A$36,$A22)=1,vlookup($A22,'R3_G1'!$A$32:$AC$36, 29,false),
if(countif('R3_G2'!$A$32:$A$36,$A22)=1,vlookup($A22,'R3_G2'!$A$32:$AC$36, 29,false),
if(countif('R3_G3'!$A$32:$A$36,$A22)=1,vlookup($A22,'R3_G3'!$A$32:$AC$36, 29,false),
if(countif('R3_G4'!$A$32:$A$36,$A22)=1,vlookup($A22,'R3_G4'!$A$32:$AC$36, 29,false), ""))))</f>
        <v>0</v>
      </c>
      <c r="R22" s="1684">
        <f>if(N22="","", vlookup($A22,'ALL SCORES'!$AC$53:$BE$68,29,false)/18)</f>
        <v>0.5944444444</v>
      </c>
      <c r="S22" s="1629"/>
      <c r="T22" s="1679">
        <f>vlookup($A22,'ALL SCORES'!$A$77:$AA$92,26,false)</f>
        <v>84</v>
      </c>
      <c r="U22" s="1685">
        <f>
if(countif('R4_G1'!$A$25:$A$29,$A22)=1,vlookup($A22,'R4_G1'!$A$25:$AB$29, 26,false),
if(countif('R4_G3'!$A$25:$A$29,$A22)=1,vlookup($A22,'R4_G3'!$A$25:$AB$29, 26,false),
if(countif('R4_G2'!$A$25:$A$29,$A22)=1,vlookup($A22,'R4_G2'!$A$25:$AB$29, 26,false),
if(countif('R4_G4'!$A$25:$A$29,$A22)=1,vlookup($A22,'R4_G4'!$A$25:$AB$29, 26,false), ""))))</f>
        <v>11.33333333</v>
      </c>
      <c r="V22" s="1685">
        <f>
if(countif('R4_G1'!$A$25:$A$29,$A22)=1,vlookup($A22,'R4_G1'!$A$25:$AB$29, 27,false),
if(countif('R4_G3'!$A$25:$A$29,$A22)=1,vlookup($A22,'R4_G3'!$A$25:$AB$29, 27,false),
if(countif('R4_G2'!$A$25:$A$29,$A22)=1,vlookup($A22,'R4_G2'!$A$25:$AB$29, 27,false),
if(countif('R4_G4'!$A$25:$A$29,$A22)=1,vlookup($A22,'R4_G4'!$A$25:$AB$29, 27,false), ""))))</f>
        <v>5.833333333</v>
      </c>
      <c r="W22" s="1685">
        <f>
if(countif('R4_G1'!$A$25:$A$29,$A22)=1,vlookup($A22,'R4_G1'!$A$25:$AB$29, 28,false),
if(countif('R4_G3'!$A$25:$A$29,$A22)=1,vlookup($A22,'R4_G3'!$A$25:$AB$29, 28,false),
if(countif('R4_G2'!$A$25:$A$29,$A22)=1,vlookup($A22,'R4_G2'!$A$25:$AB$29, 28,false),
if(countif('R4_G4'!$A$25:$A$29,$A22)=1,vlookup($A22,'R4_G4'!$A$25:$AB$29, 28,false), ""))))</f>
        <v>1.888888889</v>
      </c>
      <c r="X22" s="1686">
        <f>if(T22="","",vlookup($A22,'ALL SCORES'!$AC$77:$BE$92,29,false)/18)</f>
        <v>0.4296296296</v>
      </c>
      <c r="Y22" s="1629"/>
      <c r="Z22" s="1729">
        <f t="shared" si="27"/>
        <v>80.25</v>
      </c>
      <c r="AA22" s="1802">
        <f t="shared" si="28"/>
        <v>21.17600664</v>
      </c>
      <c r="AB22" s="1803">
        <f t="shared" si="29"/>
        <v>4.888888889</v>
      </c>
      <c r="AC22" s="1804">
        <f t="shared" si="30"/>
        <v>0.4423890734</v>
      </c>
      <c r="AD22" s="1723">
        <f t="shared" si="31"/>
        <v>0.5</v>
      </c>
      <c r="AE22" s="1692"/>
      <c r="AF22" s="1693">
        <f t="shared" si="32"/>
        <v>0.2657407407</v>
      </c>
      <c r="AG22" s="1693">
        <f t="shared" si="33"/>
        <v>0.5972222222</v>
      </c>
      <c r="AH22" s="1693">
        <f t="shared" si="34"/>
        <v>0.57804414</v>
      </c>
      <c r="AI22" s="1694">
        <f t="shared" si="35"/>
        <v>0.4437710438</v>
      </c>
      <c r="AJ22" s="1694">
        <f t="shared" si="36"/>
        <v>0.4711945367</v>
      </c>
      <c r="AK22" s="1695"/>
      <c r="AL22" s="1696">
        <f t="shared" si="37"/>
        <v>-12.5625</v>
      </c>
      <c r="AM22" s="1696">
        <f t="shared" si="38"/>
        <v>5.75</v>
      </c>
      <c r="AN22" s="1696">
        <f t="shared" si="39"/>
        <v>5.5</v>
      </c>
      <c r="AO22" s="1697">
        <f t="shared" si="40"/>
        <v>-5.5</v>
      </c>
      <c r="AP22" s="1685">
        <f t="shared" si="41"/>
        <v>-1.703125</v>
      </c>
      <c r="AQ22" s="1698">
        <f t="shared" si="42"/>
        <v>-6.8125</v>
      </c>
      <c r="AR22" s="1685">
        <f>vlookup(AS22,'Master Input'!$A$9:$N$27,'Master Input'!$M$28+1,false)</f>
        <v>14.35</v>
      </c>
      <c r="AS22" s="1677" t="str">
        <f t="shared" si="26"/>
        <v>Joe O</v>
      </c>
    </row>
    <row r="23" ht="12.75" customHeight="1">
      <c r="A23" s="1776" t="str">
        <f>'Master Input'!A20</f>
        <v>Telly</v>
      </c>
      <c r="B23" s="1679">
        <f>vlookup($A23,'ALL SCORES'!$A$5:$AA$20,26,false)</f>
        <v>80</v>
      </c>
      <c r="C23" s="1680">
        <f>
if(countif('R1_G1'!$A$25:$A$29,$A23)=1,vlookup($A23,'R1_G1'!$A$25:$AB$29, 26,false),
if(countif('R1_G2'!$A$25:$A$29,$A23)=1,vlookup($A23,'R1_G2'!$A$25:$AB$29, 26,false),
if(countif('R1_G3'!$A$25:$A$29,$A23)=1,vlookup($A23,'R1_G3'!$A$25:$AB$29, 26,false),
if(countif('R1_G4'!$A$25:$A$29,$A23)=1,vlookup($A23,'R1_G4'!$A$25:$AB$29, 26,false), ""))))</f>
        <v>9.5</v>
      </c>
      <c r="D23" s="1680">
        <f>
if(countif('R1_G1'!$A$25:$A$29,$A23)=1,vlookup($A23,'R1_G1'!$A$25:$AB$29, 27,false),
if(countif('R1_G2'!$A$25:$A$29,$A23)=1,vlookup($A23,'R1_G2'!$A$25:$AB$29, 27,false),
if(countif('R1_G3'!$A$25:$A$29,$A23)=1,vlookup($A23,'R1_G3'!$A$25:$AB$29, 27,false),
if(countif('R1_G4'!$A$25:$A$29,$A23)=1,vlookup($A23,'R1_G4'!$A$25:$AB$29, 27,false), ""))))</f>
        <v>4</v>
      </c>
      <c r="E23" s="1680">
        <f>
if(countif('R1_G1'!$A$25:$A$29,$A23)=1,vlookup($A23,'R1_G1'!$A$25:$AB$29, 28,false),
if(countif('R1_G2'!$A$25:$A$29,$A23)=1,vlookup($A23,'R1_G2'!$A$25:$AB$29, 28,false),
if(countif('R1_G3'!$A$25:$A$29,$A23)=1,vlookup($A23,'R1_G3'!$A$25:$AB$29, 28,false),
if(countif('R1_G4'!$A$25:$A$29,$A23)=1,vlookup($A23,'R1_G4'!$A$25:$AB$29, 28,false), ""))))</f>
        <v>0.2777777778</v>
      </c>
      <c r="F23" s="1681">
        <f>if(B23="","",vlookup($A23,'ALL SCORES'!$AC$5:$BE$20,29,false)/18)</f>
        <v>0.4722222222</v>
      </c>
      <c r="G23" s="1628"/>
      <c r="H23" s="1679">
        <f>vlookup($A23,'ALL SCORES'!$A$29:$AB$44,26,false)</f>
        <v>82</v>
      </c>
      <c r="I23" s="1682">
        <f>if(H23="","",
sumif('R2_G1'!$A$29:$A$33,$A23,'R2_G1'!$AA$29:$AA$33)+
sumif('R2_G2'!$A$29:$A$33,$A23,'R2_G2'!$AA$29:$AA$33)+
sumif('R2_G3'!$A$29:$A$33,$A23,'R2_G3'!$AA$29:$AA$33)+
sumif('R2_G4'!$A$29:$A$33,$A23,'R2_G4'!$AA$29:$AA$33))
</f>
        <v>9</v>
      </c>
      <c r="J23" s="1682">
        <f>if(H23="","",
sumif('R2_G1'!$A$29:$A$33,$A23,'R2_G1'!$AA$29:$AA$33)+
sumif('R2_G2'!$A$29:$A$33,$A23,'R2_G2'!$AA$29:$AA$33)+
sumif('R2_G3'!$A$29:$A$33,$A23,'R2_G3'!$AA$29:$AA$33)+
sumif('R2_G4'!$A$29:$A$33,$A23,'R2_G4'!$AA$29:$AA$33))
</f>
        <v>9</v>
      </c>
      <c r="K23" s="1682">
        <f>if(H23="","",
sumif('R2_G1'!$A$29:$A$33,$A23,'R2_G1'!$AB$29:$AB$33)+
sumif('R2_G2'!$A$29:$A$33,$A23,'R2_G2'!$AB$29:$AB$33)+
sumif('R2_G3'!$A$29:$A$33,$A23,'R2_G3'!$AB$29:$AB$33)+
sumif('R2_G4'!$A$29:$A$33,$A23,'R2_G4'!$AB$29:$AB$33))
</f>
        <v>1.5</v>
      </c>
      <c r="L23" s="1681">
        <f>if(H23="","",vlookup($A23,'ALL SCORES'!$AC$29:$BE$44,29,false)/18)</f>
        <v>0.4407407407</v>
      </c>
      <c r="M23" s="1628"/>
      <c r="N23" s="1679">
        <f>vlookup($A23,'ALL SCORES'!$A$53:$AA$68,26,false)</f>
        <v>83</v>
      </c>
      <c r="O23" s="1682">
        <f>
if(countif('R3_G1'!$A$32:$A$36,$A23)=1,vlookup($A23,'R3_G1'!$A$32:$AC$36, 27,false),
if(countif('R3_G2'!$A$32:$A$36,$A23)=1,vlookup($A23,'R3_G2'!$A$32:$AC$36, 27,false),
if(countif('R3_G3'!$A$32:$A$36,$A23)=1,vlookup($A23,'R3_G3'!$A$32:$AC$36, 27,false),
if(countif('R3_G4'!$A$32:$A$36,$A23)=1,vlookup($A23,'R3_G4'!$A$32:$AC$36, 27,false), ""))))</f>
        <v>9.375</v>
      </c>
      <c r="P23" s="1682">
        <f>
if(countif('R3_G1'!$A$32:$A$36,$A23)=1,vlookup($A23,'R3_G1'!$A$32:$AC$36, 28,false),
if(countif('R3_G2'!$A$32:$A$36,$A23)=1,vlookup($A23,'R3_G2'!$A$32:$AC$36, 28,false),
if(countif('R3_G3'!$A$32:$A$36,$A23)=1,vlookup($A23,'R3_G3'!$A$32:$AC$36, 28,false),
if(countif('R3_G4'!$A$32:$A$36,$A23)=1,vlookup($A23,'R3_G4'!$A$32:$AC$36, 28,false), ""))))</f>
        <v>4.017857143</v>
      </c>
      <c r="Q23" s="1683">
        <f>
if(countif('R3_G1'!$A$32:$A$36,$A23)=1,vlookup($A23,'R3_G1'!$A$32:$AC$36, 29,false),
if(countif('R3_G2'!$A$32:$A$36,$A23)=1,vlookup($A23,'R3_G2'!$A$32:$AC$36, 29,false),
if(countif('R3_G3'!$A$32:$A$36,$A23)=1,vlookup($A23,'R3_G3'!$A$32:$AC$36, 29,false),
if(countif('R3_G4'!$A$32:$A$36,$A23)=1,vlookup($A23,'R3_G4'!$A$32:$AC$36, 29,false), ""))))</f>
        <v>0</v>
      </c>
      <c r="R23" s="1684">
        <f>if(N23="","", vlookup($A23,'ALL SCORES'!$AC$53:$BE$68,29,false)/18)</f>
        <v>0.3759259259</v>
      </c>
      <c r="S23" s="1628"/>
      <c r="T23" s="1679">
        <f>vlookup($A23,'ALL SCORES'!$A$77:$AA$92,26,false)</f>
        <v>76</v>
      </c>
      <c r="U23" s="1685">
        <f>
if(countif('R4_G1'!$A$25:$A$29,$A23)=1,vlookup($A23,'R4_G1'!$A$25:$AB$29, 26,false),
if(countif('R4_G3'!$A$25:$A$29,$A23)=1,vlookup($A23,'R4_G3'!$A$25:$AB$29, 26,false),
if(countif('R4_G2'!$A$25:$A$29,$A23)=1,vlookup($A23,'R4_G2'!$A$25:$AB$29, 26,false),
if(countif('R4_G4'!$A$25:$A$29,$A23)=1,vlookup($A23,'R4_G4'!$A$25:$AB$29, 26,false), ""))))</f>
        <v>13.08333333</v>
      </c>
      <c r="V23" s="1685">
        <f>
if(countif('R4_G1'!$A$25:$A$29,$A23)=1,vlookup($A23,'R4_G1'!$A$25:$AB$29, 27,false),
if(countif('R4_G3'!$A$25:$A$29,$A23)=1,vlookup($A23,'R4_G3'!$A$25:$AB$29, 27,false),
if(countif('R4_G2'!$A$25:$A$29,$A23)=1,vlookup($A23,'R4_G2'!$A$25:$AB$29, 27,false),
if(countif('R4_G4'!$A$25:$A$29,$A23)=1,vlookup($A23,'R4_G4'!$A$25:$AB$29, 27,false), ""))))</f>
        <v>7.833333333</v>
      </c>
      <c r="W23" s="1685">
        <f>
if(countif('R4_G1'!$A$25:$A$29,$A23)=1,vlookup($A23,'R4_G1'!$A$25:$AB$29, 28,false),
if(countif('R4_G3'!$A$25:$A$29,$A23)=1,vlookup($A23,'R4_G3'!$A$25:$AB$29, 28,false),
if(countif('R4_G2'!$A$25:$A$29,$A23)=1,vlookup($A23,'R4_G2'!$A$25:$AB$29, 28,false),
if(countif('R4_G4'!$A$25:$A$29,$A23)=1,vlookup($A23,'R4_G4'!$A$25:$AB$29, 28,false), ""))))</f>
        <v>2.180555556</v>
      </c>
      <c r="X23" s="1686">
        <f>if(T23="","",vlookup($A23,'ALL SCORES'!$AC$77:$BE$92,29,false)/18)</f>
        <v>0.5462962963</v>
      </c>
      <c r="Y23" s="1628"/>
      <c r="Z23" s="1805">
        <f t="shared" si="27"/>
        <v>80.25</v>
      </c>
      <c r="AA23" s="1806">
        <f t="shared" si="28"/>
        <v>21.7754329</v>
      </c>
      <c r="AB23" s="1807">
        <f t="shared" si="29"/>
        <v>3.958333333</v>
      </c>
      <c r="AC23" s="1808">
        <f t="shared" si="30"/>
        <v>0.4798731361</v>
      </c>
      <c r="AD23" s="1809">
        <f t="shared" si="31"/>
        <v>0.4587962963</v>
      </c>
      <c r="AE23" s="1692"/>
      <c r="AF23" s="1693">
        <f t="shared" si="32"/>
        <v>0.4583333333</v>
      </c>
      <c r="AG23" s="1693">
        <f t="shared" si="33"/>
        <v>0.4703703704</v>
      </c>
      <c r="AH23" s="1693">
        <f t="shared" si="34"/>
        <v>0.4111772487</v>
      </c>
      <c r="AI23" s="1694">
        <f t="shared" si="35"/>
        <v>0.5374579125</v>
      </c>
      <c r="AJ23" s="1694">
        <f t="shared" si="36"/>
        <v>0.4693347162</v>
      </c>
      <c r="AK23" s="1695"/>
      <c r="AL23" s="1696">
        <f t="shared" si="37"/>
        <v>-1.5625</v>
      </c>
      <c r="AM23" s="1696">
        <f t="shared" si="38"/>
        <v>-2.25</v>
      </c>
      <c r="AN23" s="1696">
        <f t="shared" si="39"/>
        <v>-5.5</v>
      </c>
      <c r="AO23" s="1697">
        <f t="shared" si="40"/>
        <v>2.5</v>
      </c>
      <c r="AP23" s="1685">
        <f t="shared" si="41"/>
        <v>-1.703125</v>
      </c>
      <c r="AQ23" s="1698">
        <f t="shared" si="42"/>
        <v>-6.8125</v>
      </c>
      <c r="AR23" s="1685">
        <f>vlookup(AS23,'Master Input'!$A$9:$N$27,'Master Input'!$M$28+1,false)</f>
        <v>5.6</v>
      </c>
      <c r="AS23" s="1677" t="str">
        <f t="shared" si="26"/>
        <v>Telly</v>
      </c>
    </row>
    <row r="24" ht="12.75" customHeight="1">
      <c r="A24" s="1734" t="s">
        <v>307</v>
      </c>
      <c r="B24" s="1810">
        <f>average(B16:B23)</f>
        <v>80.125</v>
      </c>
      <c r="C24" s="1736">
        <f t="shared" ref="C24:E24" si="43">sum(C16:C23)</f>
        <v>72</v>
      </c>
      <c r="D24" s="1736">
        <f t="shared" si="43"/>
        <v>29.5</v>
      </c>
      <c r="E24" s="1737">
        <f t="shared" si="43"/>
        <v>4.5</v>
      </c>
      <c r="F24" s="1738">
        <f>AVERAGE(F16:F23)</f>
        <v>0.4719907407</v>
      </c>
      <c r="G24" s="1659"/>
      <c r="H24" s="1735">
        <f>average(H16:H23)</f>
        <v>78.25</v>
      </c>
      <c r="I24" s="1739">
        <f t="shared" ref="I24:K24" si="44">sum(I16:I23)</f>
        <v>79.5</v>
      </c>
      <c r="J24" s="1739">
        <f t="shared" si="44"/>
        <v>79.5</v>
      </c>
      <c r="K24" s="1739">
        <f t="shared" si="44"/>
        <v>17.5</v>
      </c>
      <c r="L24" s="1740">
        <f>AVERAGE(L16:L23)</f>
        <v>0.5300925926</v>
      </c>
      <c r="M24" s="1659"/>
      <c r="N24" s="1739">
        <f>average(N16:N23)</f>
        <v>77.75</v>
      </c>
      <c r="O24" s="1739">
        <f t="shared" ref="O24:Q24" si="45">sum(O16:O23)</f>
        <v>72</v>
      </c>
      <c r="P24" s="1739">
        <f t="shared" si="45"/>
        <v>36.07972691</v>
      </c>
      <c r="Q24" s="1739">
        <f t="shared" si="45"/>
        <v>7.5</v>
      </c>
      <c r="R24" s="1741">
        <f>AVERAGE(R16:R23)</f>
        <v>0.4923611111</v>
      </c>
      <c r="S24" s="1659"/>
      <c r="T24" s="1735">
        <f>average(T16:T23)</f>
        <v>78</v>
      </c>
      <c r="U24" s="1739">
        <f t="shared" ref="U24:W24" si="46">sum(U16:U23)</f>
        <v>99</v>
      </c>
      <c r="V24" s="1739">
        <f t="shared" si="46"/>
        <v>60.5</v>
      </c>
      <c r="W24" s="1739">
        <f t="shared" si="46"/>
        <v>16.5</v>
      </c>
      <c r="X24" s="1740">
        <f>AVERAGE(X16:X23)</f>
        <v>0.5034722222</v>
      </c>
      <c r="Y24" s="1659"/>
      <c r="Z24" s="1742">
        <f>average(Z16:Z23)</f>
        <v>78.53125</v>
      </c>
      <c r="AA24" s="1737">
        <f t="shared" ref="AA24:AB24" si="47">sum(AA16:AA23)</f>
        <v>181.0797269</v>
      </c>
      <c r="AB24" s="1743">
        <f t="shared" si="47"/>
        <v>46</v>
      </c>
      <c r="AC24" s="1744">
        <f t="shared" ref="AC24:AD24" si="48">AVERAGE(AC16:AC23)</f>
        <v>0.4907282184</v>
      </c>
      <c r="AD24" s="1745">
        <f t="shared" si="48"/>
        <v>0.4994791667</v>
      </c>
      <c r="AE24" s="1659"/>
      <c r="AF24" s="1744">
        <f t="shared" ref="AF24:AJ24" si="49">average(AF16:AF23)</f>
        <v>0.4408564815</v>
      </c>
      <c r="AG24" s="1744">
        <f t="shared" si="49"/>
        <v>0.541087963</v>
      </c>
      <c r="AH24" s="1744">
        <f t="shared" si="49"/>
        <v>0.4967342146</v>
      </c>
      <c r="AI24" s="1746">
        <f t="shared" si="49"/>
        <v>0.5017361111</v>
      </c>
      <c r="AJ24" s="1746">
        <f t="shared" si="49"/>
        <v>0.4951036925</v>
      </c>
      <c r="AK24" s="1659"/>
      <c r="AL24" s="1747">
        <f t="shared" ref="AL24:AQ24" si="50">sum(AL16:AL23)</f>
        <v>-13.5</v>
      </c>
      <c r="AM24" s="1748">
        <f t="shared" si="50"/>
        <v>12</v>
      </c>
      <c r="AN24" s="1748">
        <f t="shared" si="50"/>
        <v>-2</v>
      </c>
      <c r="AO24" s="1749">
        <f t="shared" si="50"/>
        <v>4</v>
      </c>
      <c r="AP24" s="1748">
        <f t="shared" si="50"/>
        <v>0.125</v>
      </c>
      <c r="AQ24" s="1749">
        <f t="shared" si="50"/>
        <v>0.5</v>
      </c>
      <c r="AR24" s="1737">
        <f>average(AR16:AR23)</f>
        <v>12.090625</v>
      </c>
      <c r="AS24" s="1648"/>
    </row>
    <row r="25" ht="12.75" customHeight="1">
      <c r="A25" s="1811" t="s">
        <v>308</v>
      </c>
      <c r="B25" s="1812">
        <f>average(B6:B13,B16:B23)</f>
        <v>78.4375</v>
      </c>
      <c r="C25" s="1813">
        <f t="shared" ref="C25:F25" si="51">sum(C14,C24)</f>
        <v>144</v>
      </c>
      <c r="D25" s="1813">
        <f t="shared" si="51"/>
        <v>72</v>
      </c>
      <c r="E25" s="1813">
        <f t="shared" si="51"/>
        <v>16</v>
      </c>
      <c r="F25" s="1814">
        <f t="shared" si="51"/>
        <v>1</v>
      </c>
      <c r="G25" s="1815"/>
      <c r="H25" s="1812">
        <f>average(H6:H13,H16:H23)</f>
        <v>79.75</v>
      </c>
      <c r="I25" s="1813">
        <f t="shared" ref="I25:L25" si="52">sum(I14,I24)</f>
        <v>144</v>
      </c>
      <c r="J25" s="1813">
        <f t="shared" si="52"/>
        <v>144</v>
      </c>
      <c r="K25" s="1813">
        <f t="shared" si="52"/>
        <v>24</v>
      </c>
      <c r="L25" s="1814">
        <f t="shared" si="52"/>
        <v>1</v>
      </c>
      <c r="M25" s="1816"/>
      <c r="N25" s="1812">
        <f>average(N6:N13,N16:N23)</f>
        <v>77.5</v>
      </c>
      <c r="O25" s="1817">
        <f t="shared" ref="O25:R25" si="53">sum(O14,O24)</f>
        <v>144</v>
      </c>
      <c r="P25" s="1817">
        <f t="shared" si="53"/>
        <v>72</v>
      </c>
      <c r="Q25" s="1817">
        <f t="shared" si="53"/>
        <v>16</v>
      </c>
      <c r="R25" s="1818">
        <f t="shared" si="53"/>
        <v>1</v>
      </c>
      <c r="S25" s="1819"/>
      <c r="T25" s="1812">
        <f>average(T6:T13,T16:T23)</f>
        <v>78.5</v>
      </c>
      <c r="U25" s="1813">
        <f t="shared" ref="U25:X25" si="54">sum(U14,U24)</f>
        <v>198</v>
      </c>
      <c r="V25" s="1813">
        <f t="shared" si="54"/>
        <v>99</v>
      </c>
      <c r="W25" s="1806">
        <f t="shared" si="54"/>
        <v>27</v>
      </c>
      <c r="X25" s="1814">
        <f t="shared" si="54"/>
        <v>1</v>
      </c>
      <c r="Y25" s="1819"/>
      <c r="Z25" s="1812">
        <f>average(Z6:Z13,Z16:Z23)</f>
        <v>78.546875</v>
      </c>
      <c r="AA25" s="1813">
        <f t="shared" ref="AA25:AD25" si="55">sum(AA14,AA24)</f>
        <v>360</v>
      </c>
      <c r="AB25" s="1731">
        <f t="shared" si="55"/>
        <v>83</v>
      </c>
      <c r="AC25" s="1820">
        <f t="shared" si="55"/>
        <v>1</v>
      </c>
      <c r="AD25" s="1821">
        <f t="shared" si="55"/>
        <v>1</v>
      </c>
      <c r="AE25" s="1692"/>
      <c r="AF25" s="1808">
        <f t="shared" ref="AF25:AI25" si="56">sum(AF14,AF24)</f>
        <v>1</v>
      </c>
      <c r="AG25" s="1808">
        <f t="shared" si="56"/>
        <v>1</v>
      </c>
      <c r="AH25" s="1808">
        <f t="shared" si="56"/>
        <v>1</v>
      </c>
      <c r="AI25" s="1822">
        <f t="shared" si="56"/>
        <v>1</v>
      </c>
      <c r="AJ25" s="1823">
        <f>average(AJ24,AJ14)</f>
        <v>0.5</v>
      </c>
      <c r="AK25" s="1819"/>
      <c r="AL25" s="1824">
        <f>sum(AL14,AL24)</f>
        <v>0</v>
      </c>
      <c r="AM25" s="1825">
        <f>average(AM14,AM24)</f>
        <v>0</v>
      </c>
      <c r="AN25" s="1825">
        <f t="shared" ref="AN25:AO25" si="57">sum(AN14,AN24)</f>
        <v>0</v>
      </c>
      <c r="AO25" s="1826">
        <f t="shared" si="57"/>
        <v>0</v>
      </c>
      <c r="AP25" s="1827">
        <f>AVERAGE(AP24,AP14)</f>
        <v>0</v>
      </c>
      <c r="AQ25" s="1828">
        <f>average(AQ14,AQ24)</f>
        <v>0</v>
      </c>
      <c r="AR25" s="1806">
        <f>average(AR6:AR13,AR16:AR23)</f>
        <v>12.2625</v>
      </c>
      <c r="AS25" s="1829"/>
    </row>
    <row r="26" ht="12.75" customHeight="1">
      <c r="A26" s="472"/>
      <c r="B26" s="472"/>
      <c r="C26" s="472"/>
      <c r="D26" s="472"/>
      <c r="E26" s="472"/>
      <c r="F26" s="472"/>
      <c r="G26" s="472"/>
      <c r="H26" s="472"/>
      <c r="I26" s="472"/>
      <c r="J26" s="472"/>
      <c r="K26" s="472"/>
      <c r="L26" s="472"/>
      <c r="M26" s="472"/>
      <c r="N26" s="472"/>
      <c r="O26" s="472"/>
      <c r="P26" s="472"/>
      <c r="Q26" s="472"/>
      <c r="R26" s="472"/>
      <c r="S26" s="472"/>
      <c r="T26" s="472"/>
      <c r="U26" s="472"/>
      <c r="V26" s="472"/>
      <c r="W26" s="472"/>
      <c r="X26" s="472"/>
      <c r="Y26" s="472"/>
      <c r="Z26" s="472"/>
      <c r="AA26" s="472"/>
      <c r="AB26" s="472"/>
      <c r="AC26" s="472"/>
      <c r="AD26" s="472"/>
      <c r="AE26" s="472"/>
      <c r="AF26" s="472"/>
      <c r="AG26" s="472"/>
      <c r="AH26" s="472"/>
      <c r="AI26" s="472"/>
      <c r="AJ26" s="472"/>
      <c r="AK26" s="472"/>
    </row>
    <row r="27" ht="12.75" customHeight="1">
      <c r="A27" s="1830" t="s">
        <v>309</v>
      </c>
      <c r="B27" s="472"/>
      <c r="C27" s="472"/>
      <c r="D27" s="472"/>
      <c r="E27" s="472"/>
      <c r="F27" s="472"/>
      <c r="G27" s="472"/>
      <c r="H27" s="472"/>
      <c r="I27" s="472"/>
      <c r="J27" s="472"/>
      <c r="K27" s="472"/>
      <c r="L27" s="472"/>
      <c r="M27" s="472"/>
      <c r="N27" s="472"/>
      <c r="O27" s="472"/>
      <c r="P27" s="472"/>
      <c r="Q27" s="1831" t="s">
        <v>310</v>
      </c>
      <c r="R27" s="472"/>
      <c r="S27" s="472"/>
      <c r="T27" s="472"/>
      <c r="U27" s="472"/>
      <c r="V27" s="472"/>
      <c r="W27" s="472"/>
      <c r="X27" s="472"/>
      <c r="Y27" s="472"/>
      <c r="Z27" s="472"/>
      <c r="AA27" s="472"/>
      <c r="AB27" s="472"/>
      <c r="AC27" s="472"/>
      <c r="AD27" s="1832"/>
      <c r="AE27" s="1832"/>
      <c r="AF27" s="959"/>
      <c r="AG27" s="1833" t="s">
        <v>311</v>
      </c>
      <c r="AH27" s="1834"/>
      <c r="AI27" s="1834"/>
      <c r="AJ27" s="472"/>
      <c r="AK27" s="472"/>
      <c r="AL27" s="472"/>
      <c r="AM27" s="472"/>
      <c r="AN27" s="472"/>
      <c r="AO27" s="472"/>
      <c r="AP27" s="472"/>
      <c r="AQ27" s="472"/>
      <c r="AR27" s="472"/>
      <c r="AS27" s="472"/>
    </row>
    <row r="28" ht="12.75" customHeight="1">
      <c r="A28" s="472"/>
      <c r="B28" s="472"/>
      <c r="C28" s="472"/>
      <c r="D28" s="472"/>
      <c r="E28" s="472"/>
      <c r="F28" s="472"/>
      <c r="G28" s="472"/>
      <c r="H28" s="472"/>
      <c r="I28" s="472"/>
      <c r="J28" s="472"/>
      <c r="K28" s="472"/>
      <c r="L28" s="472"/>
      <c r="M28" s="472"/>
      <c r="N28" s="472"/>
      <c r="O28" s="472"/>
      <c r="P28" s="472"/>
      <c r="Q28" s="959" t="s">
        <v>312</v>
      </c>
      <c r="R28" s="472"/>
      <c r="S28" s="472"/>
      <c r="T28" s="472"/>
      <c r="U28" s="472"/>
      <c r="V28" s="472"/>
      <c r="W28" s="472"/>
      <c r="X28" s="472"/>
      <c r="Y28" s="472"/>
      <c r="Z28" s="472"/>
      <c r="AA28" s="472"/>
      <c r="AB28" s="472"/>
      <c r="AC28" s="472"/>
      <c r="AD28" s="1835"/>
      <c r="AE28" s="1835"/>
      <c r="AF28" s="959"/>
      <c r="AG28" s="475" t="s">
        <v>313</v>
      </c>
      <c r="AH28" s="1834"/>
      <c r="AI28" s="1834"/>
      <c r="AJ28" s="472"/>
      <c r="AK28" s="472"/>
      <c r="AL28" s="472"/>
      <c r="AM28" s="472"/>
      <c r="AN28" s="472"/>
      <c r="AO28" s="472"/>
      <c r="AP28" s="472"/>
      <c r="AQ28" s="472"/>
      <c r="AR28" s="472"/>
      <c r="AS28" s="472"/>
    </row>
    <row r="29" ht="12.75" customHeight="1">
      <c r="A29" s="472"/>
      <c r="B29" s="472"/>
      <c r="C29" s="472"/>
      <c r="D29" s="472"/>
      <c r="E29" s="472"/>
      <c r="F29" s="472"/>
      <c r="G29" s="472"/>
      <c r="H29" s="472"/>
      <c r="I29" s="472"/>
      <c r="J29" s="472"/>
      <c r="K29" s="472"/>
      <c r="L29" s="472"/>
      <c r="M29" s="472"/>
      <c r="N29" s="959"/>
      <c r="O29" s="959"/>
      <c r="P29" s="472"/>
      <c r="Q29" s="1836" t="s">
        <v>314</v>
      </c>
      <c r="R29" s="472"/>
      <c r="S29" s="472"/>
      <c r="T29" s="472"/>
      <c r="U29" s="472"/>
      <c r="V29" s="472"/>
      <c r="W29" s="472"/>
      <c r="X29" s="472"/>
      <c r="Y29" s="472"/>
      <c r="Z29" s="472"/>
      <c r="AA29" s="472"/>
      <c r="AB29" s="472"/>
      <c r="AC29" s="472"/>
      <c r="AD29" s="1835"/>
      <c r="AE29" s="1835"/>
      <c r="AF29" s="959"/>
      <c r="AG29" s="661" t="s">
        <v>315</v>
      </c>
      <c r="AH29" s="1834"/>
      <c r="AI29" s="1834"/>
      <c r="AJ29" s="472"/>
      <c r="AK29" s="472"/>
      <c r="AL29" s="472"/>
      <c r="AM29" s="472"/>
      <c r="AN29" s="472"/>
      <c r="AO29" s="472"/>
      <c r="AP29" s="472"/>
      <c r="AQ29" s="472"/>
      <c r="AR29" s="472"/>
      <c r="AS29" s="472"/>
    </row>
    <row r="30" ht="12.75" customHeight="1">
      <c r="A30" s="472"/>
      <c r="B30" s="472"/>
      <c r="C30" s="472"/>
      <c r="D30" s="472"/>
      <c r="E30" s="472"/>
      <c r="F30" s="472"/>
      <c r="G30" s="472"/>
      <c r="H30" s="472"/>
      <c r="I30" s="472"/>
      <c r="J30" s="472"/>
      <c r="K30" s="472"/>
      <c r="L30" s="472"/>
      <c r="M30" s="472"/>
      <c r="N30" s="959"/>
      <c r="O30" s="959"/>
      <c r="P30" s="472"/>
      <c r="Q30" s="959"/>
      <c r="R30" s="472"/>
      <c r="S30" s="472"/>
      <c r="T30" s="472"/>
      <c r="U30" s="472"/>
      <c r="V30" s="472"/>
      <c r="W30" s="472"/>
      <c r="X30" s="472"/>
      <c r="Y30" s="472"/>
      <c r="Z30" s="472"/>
      <c r="AA30" s="472"/>
      <c r="AB30" s="472"/>
      <c r="AC30" s="472"/>
      <c r="AD30" s="1835"/>
      <c r="AE30" s="1835"/>
      <c r="AF30" s="959"/>
      <c r="AG30" s="661" t="s">
        <v>316</v>
      </c>
      <c r="AH30" s="1834"/>
      <c r="AI30" s="1834"/>
      <c r="AJ30" s="472"/>
      <c r="AK30" s="472"/>
      <c r="AL30" s="472"/>
      <c r="AM30" s="472"/>
      <c r="AN30" s="472"/>
      <c r="AO30" s="472"/>
      <c r="AP30" s="472"/>
      <c r="AQ30" s="472"/>
      <c r="AR30" s="472"/>
      <c r="AS30" s="472"/>
    </row>
    <row r="31" ht="12.75" customHeight="1">
      <c r="A31" s="472"/>
      <c r="B31" s="472"/>
      <c r="C31" s="472"/>
      <c r="D31" s="472"/>
      <c r="E31" s="472"/>
      <c r="F31" s="472"/>
      <c r="G31" s="472"/>
      <c r="H31" s="472"/>
      <c r="I31" s="472"/>
      <c r="J31" s="472"/>
      <c r="K31" s="472"/>
      <c r="L31" s="472"/>
      <c r="M31" s="472"/>
      <c r="N31" s="959"/>
      <c r="O31" s="959"/>
      <c r="P31" s="472"/>
      <c r="Q31" s="959" t="s">
        <v>317</v>
      </c>
      <c r="R31" s="472"/>
      <c r="S31" s="472"/>
      <c r="T31" s="472"/>
      <c r="U31" s="472"/>
      <c r="V31" s="472"/>
      <c r="W31" s="472"/>
      <c r="X31" s="472"/>
      <c r="Y31" s="472"/>
      <c r="Z31" s="472"/>
      <c r="AA31" s="472"/>
      <c r="AB31" s="472"/>
      <c r="AC31" s="472"/>
      <c r="AD31" s="1835"/>
      <c r="AE31" s="1835"/>
      <c r="AF31" s="959"/>
      <c r="AG31" s="661" t="s">
        <v>318</v>
      </c>
      <c r="AH31" s="1834"/>
      <c r="AI31" s="1834"/>
      <c r="AJ31" s="472"/>
      <c r="AK31" s="472"/>
      <c r="AL31" s="472"/>
      <c r="AM31" s="472"/>
      <c r="AN31" s="472"/>
      <c r="AO31" s="472"/>
      <c r="AP31" s="472"/>
      <c r="AQ31" s="472"/>
      <c r="AR31" s="472"/>
      <c r="AS31" s="472"/>
    </row>
    <row r="32" ht="12.75" customHeight="1">
      <c r="A32" s="472"/>
      <c r="B32" s="472"/>
      <c r="C32" s="472"/>
      <c r="D32" s="472"/>
      <c r="E32" s="472"/>
      <c r="F32" s="472"/>
      <c r="G32" s="472"/>
      <c r="H32" s="472"/>
      <c r="I32" s="472"/>
      <c r="J32" s="472"/>
      <c r="K32" s="472"/>
      <c r="L32" s="472"/>
      <c r="M32" s="472"/>
      <c r="N32" s="959"/>
      <c r="O32" s="959"/>
      <c r="P32" s="472"/>
      <c r="Q32" s="959" t="s">
        <v>319</v>
      </c>
      <c r="R32" s="472"/>
      <c r="S32" s="472"/>
      <c r="T32" s="472"/>
      <c r="U32" s="472"/>
      <c r="V32" s="472"/>
      <c r="W32" s="472"/>
      <c r="X32" s="472"/>
      <c r="Y32" s="472"/>
      <c r="Z32" s="472"/>
      <c r="AA32" s="472"/>
      <c r="AB32" s="472"/>
      <c r="AC32" s="472"/>
      <c r="AD32" s="1835"/>
      <c r="AE32" s="1835"/>
      <c r="AF32" s="959"/>
      <c r="AG32" s="475"/>
      <c r="AH32" s="959"/>
      <c r="AI32" s="959"/>
      <c r="AJ32" s="472"/>
      <c r="AK32" s="472"/>
      <c r="AL32" s="472"/>
      <c r="AM32" s="472"/>
      <c r="AN32" s="472"/>
      <c r="AO32" s="472"/>
      <c r="AP32" s="472"/>
      <c r="AQ32" s="472"/>
      <c r="AR32" s="472"/>
      <c r="AS32" s="472"/>
    </row>
    <row r="33" ht="12.75" customHeight="1">
      <c r="A33" s="472"/>
      <c r="B33" s="472"/>
      <c r="C33" s="472"/>
      <c r="D33" s="472"/>
      <c r="E33" s="472"/>
      <c r="F33" s="472"/>
      <c r="G33" s="472"/>
      <c r="H33" s="472"/>
      <c r="I33" s="472"/>
      <c r="J33" s="472"/>
      <c r="K33" s="472"/>
      <c r="L33" s="472"/>
      <c r="M33" s="472"/>
      <c r="N33" s="959"/>
      <c r="O33" s="959"/>
      <c r="P33" s="472"/>
      <c r="Q33" s="1836" t="s">
        <v>320</v>
      </c>
      <c r="R33" s="472"/>
      <c r="S33" s="472"/>
      <c r="T33" s="472"/>
      <c r="U33" s="472"/>
      <c r="V33" s="472"/>
      <c r="W33" s="472"/>
      <c r="X33" s="472"/>
      <c r="Y33" s="472"/>
      <c r="Z33" s="472"/>
      <c r="AA33" s="472"/>
      <c r="AB33" s="472"/>
      <c r="AC33" s="472"/>
      <c r="AD33" s="1832"/>
      <c r="AE33" s="1832"/>
      <c r="AF33" s="959"/>
      <c r="AG33" s="475" t="s">
        <v>321</v>
      </c>
      <c r="AH33" s="1834"/>
      <c r="AI33" s="1834"/>
      <c r="AJ33" s="472"/>
      <c r="AK33" s="472"/>
      <c r="AL33" s="472"/>
      <c r="AM33" s="472"/>
      <c r="AN33" s="472"/>
      <c r="AO33" s="472"/>
      <c r="AP33" s="472"/>
      <c r="AQ33" s="472"/>
      <c r="AR33" s="472"/>
      <c r="AS33" s="472"/>
    </row>
    <row r="34" ht="12.75" customHeight="1">
      <c r="A34" s="472"/>
      <c r="B34" s="472"/>
      <c r="C34" s="472"/>
      <c r="D34" s="472"/>
      <c r="E34" s="472"/>
      <c r="F34" s="472"/>
      <c r="G34" s="472"/>
      <c r="H34" s="472"/>
      <c r="I34" s="472"/>
      <c r="J34" s="472"/>
      <c r="K34" s="472"/>
      <c r="L34" s="472"/>
      <c r="M34" s="472"/>
      <c r="N34" s="959"/>
      <c r="O34" s="959"/>
      <c r="P34" s="472"/>
      <c r="Q34" s="959"/>
      <c r="R34" s="472"/>
      <c r="S34" s="472"/>
      <c r="T34" s="472"/>
      <c r="U34" s="472"/>
      <c r="V34" s="472"/>
      <c r="W34" s="472"/>
      <c r="X34" s="472"/>
      <c r="Y34" s="472"/>
      <c r="Z34" s="472"/>
      <c r="AA34" s="472"/>
      <c r="AB34" s="472"/>
      <c r="AC34" s="472"/>
      <c r="AD34" s="1835"/>
      <c r="AE34" s="1835"/>
      <c r="AF34" s="959"/>
      <c r="AG34" s="1837" t="s">
        <v>322</v>
      </c>
      <c r="AH34" s="1834"/>
      <c r="AI34" s="1834"/>
      <c r="AJ34" s="472"/>
      <c r="AK34" s="472"/>
      <c r="AL34" s="472"/>
      <c r="AM34" s="472"/>
      <c r="AN34" s="472"/>
      <c r="AO34" s="472"/>
      <c r="AP34" s="472"/>
      <c r="AQ34" s="472"/>
      <c r="AR34" s="472"/>
      <c r="AS34" s="472"/>
    </row>
    <row r="35" ht="12.75" customHeight="1">
      <c r="A35" s="472"/>
      <c r="B35" s="472"/>
      <c r="C35" s="472"/>
      <c r="D35" s="472"/>
      <c r="E35" s="472"/>
      <c r="F35" s="472"/>
      <c r="G35" s="472"/>
      <c r="H35" s="472"/>
      <c r="I35" s="472"/>
      <c r="J35" s="472"/>
      <c r="K35" s="472"/>
      <c r="L35" s="472"/>
      <c r="M35" s="472"/>
      <c r="N35" s="959"/>
      <c r="O35" s="959"/>
      <c r="P35" s="472"/>
      <c r="Q35" s="1831" t="s">
        <v>323</v>
      </c>
      <c r="R35" s="472"/>
      <c r="S35" s="472"/>
      <c r="T35" s="472"/>
      <c r="U35" s="472"/>
      <c r="V35" s="472"/>
      <c r="W35" s="472"/>
      <c r="X35" s="472"/>
      <c r="Y35" s="472"/>
      <c r="Z35" s="472"/>
      <c r="AA35" s="472"/>
      <c r="AB35" s="472"/>
      <c r="AC35" s="472"/>
      <c r="AD35" s="1835"/>
      <c r="AE35" s="1835"/>
      <c r="AF35" s="959"/>
      <c r="AG35" s="1836" t="s">
        <v>324</v>
      </c>
      <c r="AH35" s="1834"/>
      <c r="AI35" s="1834"/>
      <c r="AJ35" s="472"/>
      <c r="AK35" s="472"/>
      <c r="AL35" s="472"/>
      <c r="AM35" s="472"/>
      <c r="AN35" s="472"/>
      <c r="AO35" s="472"/>
      <c r="AP35" s="472"/>
      <c r="AQ35" s="472"/>
      <c r="AR35" s="472"/>
      <c r="AS35" s="472"/>
    </row>
    <row r="36" ht="12.75" customHeight="1">
      <c r="A36" s="472"/>
      <c r="B36" s="472"/>
      <c r="C36" s="472"/>
      <c r="D36" s="472"/>
      <c r="E36" s="472"/>
      <c r="F36" s="472"/>
      <c r="G36" s="472"/>
      <c r="H36" s="472"/>
      <c r="I36" s="472"/>
      <c r="J36" s="472"/>
      <c r="K36" s="472"/>
      <c r="L36" s="472"/>
      <c r="M36" s="472"/>
      <c r="N36" s="959"/>
      <c r="O36" s="959"/>
      <c r="P36" s="472"/>
      <c r="Q36" s="1838" t="s">
        <v>325</v>
      </c>
      <c r="R36" s="472"/>
      <c r="S36" s="472"/>
      <c r="T36" s="472"/>
      <c r="U36" s="472"/>
      <c r="V36" s="472"/>
      <c r="W36" s="472"/>
      <c r="X36" s="472"/>
      <c r="Y36" s="472"/>
      <c r="Z36" s="472"/>
      <c r="AA36" s="472"/>
      <c r="AB36" s="472"/>
      <c r="AC36" s="472"/>
      <c r="AD36" s="1835"/>
      <c r="AE36" s="1835"/>
      <c r="AF36" s="959"/>
      <c r="AG36" s="1836" t="s">
        <v>326</v>
      </c>
      <c r="AH36" s="959"/>
      <c r="AI36" s="959"/>
      <c r="AJ36" s="472"/>
      <c r="AK36" s="472"/>
      <c r="AL36" s="472"/>
      <c r="AM36" s="472"/>
      <c r="AN36" s="472"/>
      <c r="AO36" s="472"/>
      <c r="AP36" s="472"/>
      <c r="AQ36" s="472"/>
      <c r="AR36" s="472"/>
      <c r="AS36" s="472"/>
    </row>
    <row r="37" ht="12.75" customHeight="1">
      <c r="A37" s="472"/>
      <c r="B37" s="472"/>
      <c r="C37" s="472"/>
      <c r="D37" s="472"/>
      <c r="E37" s="472"/>
      <c r="F37" s="472"/>
      <c r="G37" s="472"/>
      <c r="H37" s="472"/>
      <c r="I37" s="472"/>
      <c r="J37" s="472"/>
      <c r="K37" s="472"/>
      <c r="L37" s="472"/>
      <c r="M37" s="472"/>
      <c r="N37" s="959"/>
      <c r="O37" s="959"/>
      <c r="P37" s="472"/>
      <c r="Q37" s="1838" t="s">
        <v>327</v>
      </c>
      <c r="R37" s="472"/>
      <c r="S37" s="472"/>
      <c r="T37" s="472"/>
      <c r="U37" s="472"/>
      <c r="V37" s="472"/>
      <c r="W37" s="472"/>
      <c r="X37" s="472"/>
      <c r="Y37" s="472"/>
      <c r="Z37" s="472"/>
      <c r="AA37" s="472"/>
      <c r="AB37" s="472"/>
      <c r="AC37" s="472"/>
      <c r="AD37" s="472"/>
      <c r="AE37" s="472"/>
      <c r="AF37" s="959"/>
      <c r="AG37" s="1836" t="s">
        <v>328</v>
      </c>
      <c r="AH37" s="1834"/>
      <c r="AI37" s="1834"/>
      <c r="AJ37" s="472"/>
      <c r="AK37" s="472"/>
      <c r="AL37" s="472"/>
      <c r="AM37" s="472"/>
      <c r="AN37" s="472"/>
      <c r="AO37" s="472"/>
      <c r="AP37" s="472"/>
      <c r="AQ37" s="472"/>
      <c r="AR37" s="472"/>
      <c r="AS37" s="472"/>
    </row>
    <row r="38" ht="12.75" customHeight="1">
      <c r="A38" s="472"/>
      <c r="B38" s="472"/>
      <c r="C38" s="472"/>
      <c r="D38" s="472"/>
      <c r="E38" s="472"/>
      <c r="F38" s="472"/>
      <c r="G38" s="472"/>
      <c r="H38" s="472"/>
      <c r="I38" s="472"/>
      <c r="J38" s="472"/>
      <c r="K38" s="472"/>
      <c r="L38" s="472"/>
      <c r="M38" s="472"/>
      <c r="N38" s="959"/>
      <c r="O38" s="959"/>
      <c r="P38" s="472"/>
      <c r="Q38" s="959" t="s">
        <v>329</v>
      </c>
      <c r="R38" s="472"/>
      <c r="S38" s="472"/>
      <c r="T38" s="472"/>
      <c r="U38" s="472"/>
      <c r="V38" s="472"/>
      <c r="W38" s="472"/>
      <c r="X38" s="472"/>
      <c r="Y38" s="472"/>
      <c r="Z38" s="472"/>
      <c r="AA38" s="472"/>
      <c r="AB38" s="472"/>
      <c r="AC38" s="472"/>
      <c r="AD38" s="959"/>
      <c r="AE38" s="959"/>
      <c r="AF38" s="959"/>
      <c r="AG38" s="1836" t="s">
        <v>330</v>
      </c>
      <c r="AH38" s="1834"/>
      <c r="AI38" s="1834"/>
      <c r="AJ38" s="472"/>
      <c r="AK38" s="472"/>
      <c r="AL38" s="472"/>
      <c r="AM38" s="472"/>
      <c r="AN38" s="472"/>
      <c r="AO38" s="472"/>
      <c r="AP38" s="472"/>
      <c r="AQ38" s="472"/>
      <c r="AR38" s="472"/>
      <c r="AS38" s="472"/>
    </row>
    <row r="39" ht="12.75" customHeight="1">
      <c r="A39" s="1839"/>
      <c r="B39" s="472"/>
      <c r="C39" s="472"/>
      <c r="D39" s="472"/>
      <c r="E39" s="472"/>
      <c r="F39" s="472"/>
      <c r="G39" s="472"/>
      <c r="H39" s="472"/>
      <c r="I39" s="472"/>
      <c r="J39" s="472"/>
      <c r="K39" s="472"/>
      <c r="L39" s="472"/>
      <c r="M39" s="472"/>
      <c r="N39" s="959"/>
      <c r="O39" s="959"/>
      <c r="P39" s="472"/>
      <c r="Q39" s="959"/>
      <c r="R39" s="472"/>
      <c r="S39" s="472"/>
      <c r="T39" s="472"/>
      <c r="U39" s="472"/>
      <c r="V39" s="472"/>
      <c r="W39" s="472"/>
      <c r="X39" s="472"/>
      <c r="Y39" s="472"/>
      <c r="Z39" s="472"/>
      <c r="AA39" s="472"/>
      <c r="AB39" s="472"/>
      <c r="AC39" s="472"/>
      <c r="AD39" s="959"/>
      <c r="AE39" s="959"/>
      <c r="AF39" s="959"/>
      <c r="AG39" s="959"/>
      <c r="AH39" s="1834"/>
      <c r="AI39" s="1834"/>
      <c r="AJ39" s="472"/>
      <c r="AK39" s="472"/>
      <c r="AL39" s="472"/>
      <c r="AM39" s="472"/>
      <c r="AN39" s="472"/>
      <c r="AO39" s="472"/>
      <c r="AP39" s="472"/>
      <c r="AQ39" s="472"/>
      <c r="AR39" s="472"/>
      <c r="AS39" s="472"/>
    </row>
    <row r="40" ht="12.75" customHeight="1">
      <c r="A40" s="1840"/>
      <c r="B40" s="472"/>
      <c r="C40" s="472"/>
      <c r="D40" s="472"/>
      <c r="E40" s="472"/>
      <c r="F40" s="472"/>
      <c r="G40" s="472"/>
      <c r="H40" s="472"/>
      <c r="I40" s="472"/>
      <c r="J40" s="472"/>
      <c r="K40" s="472"/>
      <c r="L40" s="472"/>
      <c r="M40" s="472"/>
      <c r="N40" s="959"/>
      <c r="O40" s="959"/>
      <c r="P40" s="472"/>
      <c r="Q40" s="1831" t="s">
        <v>331</v>
      </c>
      <c r="R40" s="472"/>
      <c r="S40" s="472"/>
      <c r="T40" s="472"/>
      <c r="U40" s="472"/>
      <c r="V40" s="472"/>
      <c r="W40" s="472"/>
      <c r="X40" s="472"/>
      <c r="Y40" s="472"/>
      <c r="Z40" s="472"/>
      <c r="AA40" s="472"/>
      <c r="AB40" s="472"/>
      <c r="AC40" s="472"/>
      <c r="AD40" s="959"/>
      <c r="AE40" s="959"/>
      <c r="AF40" s="959"/>
      <c r="AG40" s="959" t="s">
        <v>332</v>
      </c>
      <c r="AH40" s="959"/>
      <c r="AI40" s="959"/>
      <c r="AJ40" s="472"/>
      <c r="AK40" s="472"/>
      <c r="AL40" s="472"/>
      <c r="AM40" s="472"/>
      <c r="AN40" s="472"/>
      <c r="AO40" s="472"/>
      <c r="AP40" s="472"/>
      <c r="AQ40" s="472"/>
      <c r="AR40" s="472"/>
      <c r="AS40" s="472"/>
    </row>
    <row r="41" ht="12.75" customHeight="1">
      <c r="A41" s="472"/>
      <c r="B41" s="472"/>
      <c r="C41" s="472"/>
      <c r="D41" s="472"/>
      <c r="E41" s="472"/>
      <c r="F41" s="472"/>
      <c r="G41" s="472"/>
      <c r="H41" s="472"/>
      <c r="I41" s="472"/>
      <c r="J41" s="472"/>
      <c r="K41" s="472"/>
      <c r="L41" s="472"/>
      <c r="M41" s="472"/>
      <c r="N41" s="959"/>
      <c r="O41" s="959"/>
      <c r="P41" s="472"/>
      <c r="Q41" s="959" t="s">
        <v>333</v>
      </c>
      <c r="R41" s="472"/>
      <c r="S41" s="472"/>
      <c r="T41" s="472"/>
      <c r="U41" s="472"/>
      <c r="V41" s="472"/>
      <c r="W41" s="472"/>
      <c r="X41" s="472"/>
      <c r="Y41" s="472"/>
      <c r="Z41" s="472"/>
      <c r="AA41" s="472"/>
      <c r="AB41" s="472"/>
      <c r="AC41" s="472"/>
      <c r="AD41" s="959"/>
      <c r="AE41" s="959"/>
      <c r="AF41" s="959"/>
      <c r="AG41" s="1836" t="s">
        <v>334</v>
      </c>
      <c r="AH41" s="472"/>
      <c r="AI41" s="472"/>
      <c r="AJ41" s="472"/>
      <c r="AK41" s="472"/>
      <c r="AL41" s="472"/>
      <c r="AM41" s="472"/>
      <c r="AN41" s="472"/>
      <c r="AO41" s="472"/>
      <c r="AP41" s="472"/>
      <c r="AQ41" s="472"/>
      <c r="AR41" s="472"/>
      <c r="AS41" s="472"/>
    </row>
    <row r="42" ht="12.75" customHeight="1">
      <c r="J42" s="472"/>
      <c r="K42" s="472"/>
      <c r="L42" s="472"/>
      <c r="M42" s="472"/>
      <c r="N42" s="959"/>
      <c r="O42" s="959"/>
      <c r="P42" s="472"/>
      <c r="Q42" s="959" t="s">
        <v>335</v>
      </c>
      <c r="R42" s="472"/>
      <c r="S42" s="472"/>
      <c r="T42" s="472"/>
      <c r="U42" s="472"/>
      <c r="V42" s="472"/>
      <c r="W42" s="472"/>
      <c r="X42" s="472"/>
      <c r="Y42" s="472"/>
      <c r="Z42" s="472"/>
      <c r="AA42" s="472"/>
      <c r="AB42" s="472"/>
      <c r="AC42" s="472"/>
      <c r="AD42" s="1831"/>
      <c r="AE42" s="1831"/>
      <c r="AF42" s="959"/>
      <c r="AG42" s="1836" t="s">
        <v>336</v>
      </c>
      <c r="AH42" s="472"/>
      <c r="AI42" s="472"/>
      <c r="AJ42" s="472"/>
      <c r="AK42" s="472"/>
      <c r="AL42" s="472"/>
      <c r="AM42" s="472"/>
      <c r="AN42" s="472"/>
      <c r="AO42" s="472"/>
      <c r="AP42" s="472"/>
      <c r="AQ42" s="472"/>
      <c r="AR42" s="472"/>
      <c r="AS42" s="472"/>
    </row>
    <row r="43" ht="12.75" customHeight="1">
      <c r="A43" s="1839"/>
      <c r="B43" s="472"/>
      <c r="C43" s="472"/>
      <c r="D43" s="472"/>
      <c r="E43" s="472"/>
      <c r="F43" s="472"/>
      <c r="G43" s="472"/>
      <c r="H43" s="472"/>
      <c r="I43" s="472"/>
      <c r="J43" s="472"/>
      <c r="K43" s="472"/>
      <c r="L43" s="472"/>
      <c r="M43" s="472"/>
      <c r="N43" s="472"/>
      <c r="O43" s="472"/>
      <c r="P43" s="472"/>
      <c r="Q43" s="959" t="s">
        <v>337</v>
      </c>
      <c r="R43" s="472"/>
      <c r="S43" s="472"/>
      <c r="T43" s="472"/>
      <c r="U43" s="472"/>
      <c r="V43" s="472"/>
      <c r="W43" s="472"/>
      <c r="X43" s="472"/>
      <c r="Y43" s="472"/>
      <c r="Z43" s="472"/>
      <c r="AA43" s="472"/>
      <c r="AB43" s="472"/>
      <c r="AC43" s="472"/>
      <c r="AD43" s="959"/>
      <c r="AE43" s="959"/>
      <c r="AF43" s="959"/>
      <c r="AG43" s="1836" t="s">
        <v>338</v>
      </c>
      <c r="AH43" s="472"/>
      <c r="AI43" s="472"/>
      <c r="AJ43" s="472"/>
      <c r="AK43" s="472"/>
      <c r="AL43" s="472"/>
      <c r="AM43" s="472"/>
      <c r="AN43" s="472"/>
      <c r="AO43" s="472"/>
      <c r="AP43" s="472"/>
      <c r="AQ43" s="472"/>
      <c r="AR43" s="472"/>
      <c r="AS43" s="472"/>
    </row>
    <row r="44">
      <c r="A44" s="1840"/>
      <c r="B44" s="472"/>
      <c r="C44" s="472"/>
      <c r="D44" s="472"/>
      <c r="E44" s="472"/>
      <c r="F44" s="472"/>
      <c r="G44" s="472"/>
      <c r="H44" s="472"/>
      <c r="I44" s="472"/>
      <c r="J44" s="472"/>
      <c r="K44" s="472"/>
      <c r="L44" s="472"/>
      <c r="M44" s="472"/>
      <c r="N44" s="472"/>
      <c r="O44" s="472"/>
      <c r="P44" s="472"/>
      <c r="Q44" s="1836" t="s">
        <v>339</v>
      </c>
      <c r="R44" s="472"/>
      <c r="S44" s="472"/>
      <c r="T44" s="472"/>
      <c r="U44" s="472"/>
      <c r="V44" s="472"/>
      <c r="W44" s="472"/>
      <c r="X44" s="472"/>
      <c r="Y44" s="472"/>
      <c r="Z44" s="472"/>
      <c r="AA44" s="472"/>
      <c r="AB44" s="472"/>
      <c r="AC44" s="472"/>
      <c r="AD44" s="959"/>
      <c r="AE44" s="959"/>
      <c r="AF44" s="959"/>
      <c r="AG44" s="1836" t="s">
        <v>340</v>
      </c>
      <c r="AH44" s="472"/>
      <c r="AI44" s="472"/>
      <c r="AJ44" s="472"/>
      <c r="AK44" s="472"/>
      <c r="AL44" s="472"/>
      <c r="AM44" s="472"/>
      <c r="AN44" s="472"/>
      <c r="AO44" s="472"/>
      <c r="AP44" s="472"/>
      <c r="AQ44" s="472"/>
      <c r="AR44" s="472"/>
      <c r="AS44" s="472"/>
    </row>
    <row r="45">
      <c r="A45" s="472"/>
      <c r="B45" s="472"/>
      <c r="C45" s="472"/>
      <c r="D45" s="472"/>
      <c r="E45" s="472"/>
      <c r="F45" s="472"/>
      <c r="G45" s="472"/>
      <c r="H45" s="472"/>
      <c r="I45" s="472"/>
      <c r="J45" s="472"/>
      <c r="K45" s="472"/>
      <c r="L45" s="472"/>
      <c r="M45" s="472"/>
      <c r="N45" s="472"/>
      <c r="O45" s="472"/>
      <c r="P45" s="472"/>
      <c r="Q45" s="1836" t="s">
        <v>341</v>
      </c>
      <c r="R45" s="472"/>
      <c r="S45" s="472"/>
      <c r="T45" s="472"/>
      <c r="U45" s="472"/>
      <c r="V45" s="472"/>
      <c r="W45" s="472"/>
      <c r="X45" s="472"/>
      <c r="Y45" s="472"/>
      <c r="Z45" s="472"/>
      <c r="AA45" s="472"/>
      <c r="AB45" s="472"/>
      <c r="AC45" s="472"/>
      <c r="AD45" s="959"/>
      <c r="AE45" s="959"/>
      <c r="AF45" s="959"/>
      <c r="AG45" s="1841"/>
      <c r="AH45" s="472"/>
      <c r="AI45" s="472"/>
      <c r="AJ45" s="472"/>
      <c r="AK45" s="472"/>
      <c r="AL45" s="472"/>
      <c r="AM45" s="472"/>
      <c r="AN45" s="472"/>
      <c r="AO45" s="472"/>
      <c r="AP45" s="472"/>
      <c r="AQ45" s="472"/>
      <c r="AR45" s="472"/>
      <c r="AS45" s="472"/>
    </row>
    <row r="46">
      <c r="A46" s="1839"/>
      <c r="B46" s="472"/>
      <c r="C46" s="472"/>
      <c r="D46" s="472"/>
      <c r="E46" s="472"/>
      <c r="F46" s="472"/>
      <c r="G46" s="472"/>
      <c r="H46" s="472"/>
      <c r="I46" s="472"/>
      <c r="J46" s="472"/>
      <c r="K46" s="472"/>
      <c r="L46" s="472"/>
      <c r="M46" s="472"/>
      <c r="N46" s="472"/>
      <c r="O46" s="472"/>
      <c r="P46" s="472"/>
      <c r="Q46" s="959"/>
      <c r="R46" s="472"/>
      <c r="S46" s="472"/>
      <c r="T46" s="472"/>
      <c r="U46" s="472"/>
      <c r="V46" s="472"/>
      <c r="W46" s="472"/>
      <c r="X46" s="472"/>
      <c r="Y46" s="472"/>
      <c r="Z46" s="472"/>
      <c r="AA46" s="472"/>
      <c r="AB46" s="472"/>
      <c r="AC46" s="472"/>
      <c r="AD46" s="472"/>
      <c r="AE46" s="472"/>
      <c r="AF46" s="472"/>
      <c r="AG46" s="472"/>
      <c r="AH46" s="472"/>
      <c r="AI46" s="472"/>
      <c r="AJ46" s="472"/>
      <c r="AK46" s="472"/>
      <c r="AL46" s="472"/>
      <c r="AM46" s="472"/>
      <c r="AN46" s="472"/>
      <c r="AO46" s="472"/>
      <c r="AP46" s="472"/>
      <c r="AQ46" s="472"/>
      <c r="AR46" s="472"/>
      <c r="AS46" s="472"/>
    </row>
    <row r="47">
      <c r="A47" s="1840"/>
      <c r="B47" s="472"/>
      <c r="C47" s="472"/>
      <c r="D47" s="472"/>
      <c r="E47" s="472"/>
      <c r="F47" s="472"/>
      <c r="G47" s="472"/>
      <c r="H47" s="472"/>
      <c r="I47" s="472"/>
      <c r="J47" s="472"/>
      <c r="K47" s="472"/>
      <c r="L47" s="472"/>
      <c r="M47" s="472"/>
      <c r="N47" s="472"/>
      <c r="O47" s="472"/>
      <c r="P47" s="472"/>
      <c r="Q47" s="1831" t="s">
        <v>342</v>
      </c>
      <c r="R47" s="472"/>
      <c r="S47" s="472"/>
      <c r="T47" s="472"/>
      <c r="U47" s="472"/>
      <c r="V47" s="472"/>
      <c r="W47" s="472"/>
      <c r="X47" s="472"/>
      <c r="Y47" s="472"/>
      <c r="Z47" s="472"/>
      <c r="AA47" s="472"/>
      <c r="AB47" s="472"/>
      <c r="AC47" s="472"/>
      <c r="AD47" s="472"/>
      <c r="AE47" s="472"/>
      <c r="AF47" s="472"/>
      <c r="AG47" s="472"/>
      <c r="AH47" s="472"/>
      <c r="AI47" s="472"/>
      <c r="AJ47" s="472"/>
      <c r="AK47" s="472"/>
      <c r="AL47" s="472"/>
      <c r="AM47" s="472"/>
      <c r="AN47" s="472"/>
      <c r="AO47" s="472"/>
      <c r="AP47" s="472"/>
      <c r="AQ47" s="472"/>
      <c r="AR47" s="472"/>
      <c r="AS47" s="472"/>
    </row>
    <row r="48">
      <c r="A48" s="472"/>
      <c r="B48" s="472"/>
      <c r="C48" s="472"/>
      <c r="D48" s="472"/>
      <c r="E48" s="472"/>
      <c r="F48" s="472"/>
      <c r="G48" s="472"/>
      <c r="H48" s="472"/>
      <c r="I48" s="472"/>
      <c r="J48" s="472"/>
      <c r="K48" s="472"/>
      <c r="L48" s="472"/>
      <c r="M48" s="472"/>
      <c r="N48" s="472"/>
      <c r="O48" s="472"/>
      <c r="P48" s="472"/>
      <c r="Q48" s="959" t="s">
        <v>343</v>
      </c>
      <c r="R48" s="472"/>
      <c r="S48" s="472"/>
      <c r="T48" s="472"/>
      <c r="U48" s="472"/>
      <c r="V48" s="472"/>
      <c r="W48" s="472"/>
      <c r="X48" s="472"/>
      <c r="Y48" s="472"/>
      <c r="Z48" s="472"/>
      <c r="AA48" s="472"/>
      <c r="AB48" s="472"/>
      <c r="AC48" s="472"/>
      <c r="AD48" s="472"/>
      <c r="AE48" s="472"/>
      <c r="AF48" s="472"/>
      <c r="AG48" s="472"/>
      <c r="AH48" s="472"/>
      <c r="AI48" s="472"/>
      <c r="AJ48" s="472"/>
      <c r="AK48" s="472"/>
      <c r="AL48" s="472"/>
      <c r="AM48" s="472"/>
      <c r="AN48" s="472"/>
      <c r="AO48" s="472"/>
      <c r="AP48" s="472"/>
      <c r="AQ48" s="472"/>
      <c r="AR48" s="472"/>
      <c r="AS48" s="472"/>
    </row>
    <row r="49">
      <c r="A49" s="1839"/>
      <c r="B49" s="472"/>
      <c r="C49" s="472"/>
      <c r="D49" s="472"/>
      <c r="E49" s="472"/>
      <c r="F49" s="472"/>
      <c r="G49" s="472"/>
      <c r="H49" s="472"/>
      <c r="I49" s="472"/>
      <c r="J49" s="472"/>
      <c r="K49" s="472"/>
      <c r="L49" s="472"/>
      <c r="M49" s="472"/>
      <c r="N49" s="472"/>
      <c r="O49" s="472"/>
      <c r="P49" s="472"/>
      <c r="Q49" s="1836" t="s">
        <v>344</v>
      </c>
      <c r="R49" s="472"/>
      <c r="S49" s="472"/>
      <c r="T49" s="472"/>
      <c r="U49" s="472"/>
      <c r="V49" s="472"/>
      <c r="W49" s="472"/>
      <c r="X49" s="472"/>
      <c r="Y49" s="472"/>
      <c r="Z49" s="472"/>
      <c r="AA49" s="472"/>
      <c r="AB49" s="472"/>
      <c r="AC49" s="472"/>
      <c r="AD49" s="472"/>
      <c r="AE49" s="472"/>
      <c r="AF49" s="472"/>
      <c r="AG49" s="472"/>
      <c r="AH49" s="472"/>
      <c r="AI49" s="472"/>
      <c r="AJ49" s="472"/>
      <c r="AK49" s="472"/>
      <c r="AL49" s="472"/>
      <c r="AM49" s="472"/>
      <c r="AN49" s="472"/>
      <c r="AO49" s="472"/>
      <c r="AP49" s="472"/>
      <c r="AQ49" s="472"/>
      <c r="AR49" s="472"/>
      <c r="AS49" s="472"/>
    </row>
    <row r="50">
      <c r="A50" s="1840"/>
      <c r="B50" s="472"/>
      <c r="C50" s="472"/>
      <c r="D50" s="472"/>
      <c r="E50" s="472"/>
      <c r="F50" s="472"/>
      <c r="G50" s="472"/>
      <c r="H50" s="472"/>
      <c r="I50" s="472"/>
      <c r="J50" s="472"/>
      <c r="K50" s="472"/>
      <c r="L50" s="472"/>
      <c r="M50" s="472"/>
      <c r="N50" s="472"/>
      <c r="O50" s="472"/>
      <c r="P50" s="472"/>
      <c r="Q50" s="1836" t="s">
        <v>345</v>
      </c>
      <c r="R50" s="472"/>
      <c r="S50" s="472"/>
      <c r="T50" s="472"/>
      <c r="U50" s="472"/>
      <c r="V50" s="472"/>
      <c r="W50" s="472"/>
      <c r="X50" s="472"/>
      <c r="Y50" s="472"/>
      <c r="Z50" s="472"/>
      <c r="AA50" s="472"/>
      <c r="AB50" s="472"/>
      <c r="AC50" s="472"/>
      <c r="AD50" s="472"/>
      <c r="AE50" s="472"/>
      <c r="AF50" s="472"/>
      <c r="AG50" s="472"/>
      <c r="AH50" s="472"/>
      <c r="AI50" s="472"/>
      <c r="AJ50" s="472"/>
      <c r="AK50" s="472"/>
      <c r="AL50" s="472"/>
      <c r="AM50" s="472"/>
      <c r="AN50" s="472"/>
      <c r="AO50" s="472"/>
      <c r="AP50" s="472"/>
      <c r="AQ50" s="472"/>
      <c r="AR50" s="472"/>
      <c r="AS50" s="472"/>
    </row>
    <row r="51">
      <c r="A51" s="472"/>
      <c r="B51" s="472"/>
      <c r="C51" s="472"/>
      <c r="D51" s="472"/>
      <c r="E51" s="472"/>
      <c r="F51" s="472"/>
      <c r="G51" s="472"/>
      <c r="H51" s="472"/>
      <c r="I51" s="472"/>
      <c r="J51" s="472"/>
      <c r="K51" s="472"/>
      <c r="L51" s="472"/>
      <c r="M51" s="472"/>
      <c r="N51" s="472"/>
      <c r="O51" s="472"/>
      <c r="P51" s="472"/>
      <c r="Q51" s="1836" t="s">
        <v>346</v>
      </c>
      <c r="R51" s="472"/>
      <c r="S51" s="472"/>
      <c r="T51" s="472"/>
      <c r="U51" s="472"/>
      <c r="V51" s="472"/>
      <c r="W51" s="472"/>
      <c r="X51" s="472"/>
      <c r="Y51" s="472"/>
      <c r="Z51" s="472"/>
      <c r="AA51" s="472"/>
      <c r="AB51" s="472"/>
      <c r="AC51" s="472"/>
      <c r="AD51" s="472"/>
      <c r="AE51" s="472"/>
      <c r="AF51" s="472"/>
      <c r="AG51" s="472"/>
      <c r="AH51" s="472"/>
      <c r="AI51" s="472"/>
      <c r="AJ51" s="472"/>
      <c r="AK51" s="472"/>
      <c r="AL51" s="472"/>
      <c r="AM51" s="472"/>
      <c r="AN51" s="472"/>
      <c r="AO51" s="472"/>
      <c r="AP51" s="472"/>
      <c r="AQ51" s="472"/>
      <c r="AR51" s="472"/>
      <c r="AS51" s="472"/>
    </row>
    <row r="52">
      <c r="A52" s="472"/>
      <c r="B52" s="472"/>
      <c r="C52" s="472"/>
      <c r="D52" s="472"/>
      <c r="E52" s="472"/>
      <c r="F52" s="472"/>
      <c r="G52" s="472"/>
      <c r="H52" s="472"/>
      <c r="I52" s="472"/>
      <c r="J52" s="472"/>
      <c r="K52" s="472"/>
      <c r="L52" s="472"/>
      <c r="M52" s="472"/>
      <c r="N52" s="472"/>
      <c r="O52" s="472"/>
      <c r="P52" s="472"/>
      <c r="Q52" s="1836" t="s">
        <v>347</v>
      </c>
      <c r="R52" s="472"/>
      <c r="S52" s="472"/>
      <c r="T52" s="472"/>
      <c r="U52" s="472"/>
      <c r="V52" s="472"/>
      <c r="W52" s="472"/>
      <c r="X52" s="472"/>
      <c r="Y52" s="472"/>
      <c r="Z52" s="472"/>
      <c r="AA52" s="472"/>
      <c r="AB52" s="472"/>
      <c r="AC52" s="472"/>
      <c r="AD52" s="472"/>
      <c r="AE52" s="472"/>
      <c r="AF52" s="472"/>
      <c r="AG52" s="472"/>
      <c r="AH52" s="472"/>
      <c r="AI52" s="472"/>
      <c r="AJ52" s="472"/>
      <c r="AK52" s="472"/>
      <c r="AL52" s="472"/>
      <c r="AM52" s="472"/>
      <c r="AN52" s="472"/>
      <c r="AO52" s="472"/>
      <c r="AP52" s="472"/>
      <c r="AQ52" s="472"/>
      <c r="AR52" s="472"/>
      <c r="AS52" s="472"/>
    </row>
    <row r="53">
      <c r="A53" s="1624"/>
      <c r="B53" s="1624"/>
      <c r="C53" s="1624"/>
      <c r="D53" s="1624"/>
      <c r="E53" s="1624"/>
      <c r="F53" s="1624"/>
      <c r="G53" s="1624"/>
      <c r="H53" s="1624"/>
      <c r="I53" s="1624"/>
      <c r="J53" s="1624"/>
      <c r="K53" s="1624"/>
      <c r="L53" s="1624"/>
      <c r="M53" s="1624"/>
      <c r="N53" s="1624"/>
      <c r="O53" s="1624"/>
      <c r="P53" s="1624"/>
      <c r="Q53" s="1624"/>
      <c r="R53" s="1624"/>
      <c r="S53" s="1624"/>
      <c r="T53" s="1624"/>
      <c r="U53" s="1624"/>
      <c r="V53" s="1624"/>
      <c r="W53" s="1624"/>
      <c r="X53" s="1624"/>
      <c r="Y53" s="1624"/>
      <c r="Z53" s="1624"/>
      <c r="AA53" s="1624"/>
      <c r="AB53" s="1624"/>
      <c r="AC53" s="1624"/>
      <c r="AD53" s="1624"/>
      <c r="AE53" s="1624"/>
      <c r="AF53" s="1624"/>
      <c r="AG53" s="1624"/>
      <c r="AH53" s="1624"/>
      <c r="AI53" s="1624"/>
      <c r="AJ53" s="1624"/>
      <c r="AK53" s="1624"/>
      <c r="AL53" s="1624"/>
      <c r="AM53" s="1624"/>
      <c r="AN53" s="1624"/>
      <c r="AO53" s="1624"/>
      <c r="AP53" s="1624"/>
      <c r="AQ53" s="1624"/>
      <c r="AR53" s="1624"/>
      <c r="AS53" s="1624"/>
    </row>
    <row r="57">
      <c r="A57" s="1842" t="s">
        <v>113</v>
      </c>
      <c r="B57" s="1843">
        <v>1.0</v>
      </c>
      <c r="C57" s="1843">
        <v>2.0</v>
      </c>
      <c r="D57" s="1843">
        <v>3.0</v>
      </c>
      <c r="E57" s="1843">
        <v>4.0</v>
      </c>
      <c r="F57" s="1843">
        <v>5.0</v>
      </c>
      <c r="G57" s="1843">
        <v>6.0</v>
      </c>
      <c r="H57" s="1843">
        <v>7.0</v>
      </c>
      <c r="I57" s="1843">
        <v>8.0</v>
      </c>
      <c r="J57" s="1843">
        <v>9.0</v>
      </c>
      <c r="K57" s="1843">
        <v>10.0</v>
      </c>
      <c r="L57" s="1843">
        <v>11.0</v>
      </c>
      <c r="M57" s="1843">
        <v>12.0</v>
      </c>
      <c r="N57" s="1843">
        <v>13.0</v>
      </c>
      <c r="O57" s="1843">
        <v>14.0</v>
      </c>
      <c r="P57" s="1843">
        <v>15.0</v>
      </c>
      <c r="Q57" s="1843">
        <v>16.0</v>
      </c>
      <c r="R57" s="1843">
        <v>17.0</v>
      </c>
      <c r="S57" s="1843">
        <v>18.0</v>
      </c>
      <c r="T57" s="1844" t="s">
        <v>61</v>
      </c>
      <c r="U57" s="1844" t="s">
        <v>348</v>
      </c>
    </row>
    <row r="58">
      <c r="A58" s="1842" t="s">
        <v>349</v>
      </c>
      <c r="B58" s="1842">
        <v>12.0</v>
      </c>
      <c r="C58" s="1842">
        <v>14.0</v>
      </c>
      <c r="D58" s="1842">
        <v>8.0</v>
      </c>
      <c r="E58" s="1842">
        <v>16.0</v>
      </c>
      <c r="F58" s="1842">
        <v>10.0</v>
      </c>
      <c r="G58" s="1842">
        <v>18.0</v>
      </c>
      <c r="H58" s="1842">
        <v>4.0</v>
      </c>
      <c r="I58" s="1842">
        <v>6.0</v>
      </c>
      <c r="J58" s="1842">
        <v>2.0</v>
      </c>
      <c r="K58" s="1842">
        <v>5.0</v>
      </c>
      <c r="L58" s="1842">
        <v>11.0</v>
      </c>
      <c r="M58" s="1842">
        <v>15.0</v>
      </c>
      <c r="N58" s="1842">
        <v>7.0</v>
      </c>
      <c r="O58" s="1842">
        <v>1.0</v>
      </c>
      <c r="P58" s="1842">
        <v>17.0</v>
      </c>
      <c r="Q58" s="1842">
        <v>13.0</v>
      </c>
      <c r="R58" s="1842">
        <v>3.0</v>
      </c>
      <c r="S58" s="1842">
        <v>9.0</v>
      </c>
      <c r="T58" s="1845"/>
      <c r="U58" s="1845"/>
    </row>
    <row r="59">
      <c r="A59" s="1842" t="s">
        <v>114</v>
      </c>
      <c r="B59" s="1842">
        <v>4.0</v>
      </c>
      <c r="C59" s="1842">
        <v>4.0</v>
      </c>
      <c r="D59" s="1842">
        <v>5.0</v>
      </c>
      <c r="E59" s="1842">
        <v>3.0</v>
      </c>
      <c r="F59" s="1842">
        <v>4.0</v>
      </c>
      <c r="G59" s="1842">
        <v>3.0</v>
      </c>
      <c r="H59" s="1842">
        <v>5.0</v>
      </c>
      <c r="I59" s="1842">
        <v>4.0</v>
      </c>
      <c r="J59" s="1842">
        <v>4.0</v>
      </c>
      <c r="K59" s="1842">
        <v>4.0</v>
      </c>
      <c r="L59" s="1842">
        <v>4.0</v>
      </c>
      <c r="M59" s="1842">
        <v>3.0</v>
      </c>
      <c r="N59" s="1842">
        <v>5.0</v>
      </c>
      <c r="O59" s="1842">
        <v>4.0</v>
      </c>
      <c r="P59" s="1842">
        <v>3.0</v>
      </c>
      <c r="Q59" s="1842">
        <v>4.0</v>
      </c>
      <c r="R59" s="1842">
        <v>4.0</v>
      </c>
      <c r="S59" s="1842">
        <v>5.0</v>
      </c>
      <c r="T59" s="1842">
        <v>36.0</v>
      </c>
      <c r="U59" s="1842">
        <v>72.0</v>
      </c>
    </row>
  </sheetData>
  <mergeCells count="6">
    <mergeCell ref="Z3:AB3"/>
    <mergeCell ref="AC3:AD3"/>
    <mergeCell ref="AF3:AI3"/>
    <mergeCell ref="AL3:AO3"/>
    <mergeCell ref="AP3:AQ3"/>
    <mergeCell ref="AP4:AQ4"/>
  </mergeCells>
  <conditionalFormatting sqref="D6:D13 D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K23">
    <cfRule type="colorScale" priority="4">
      <colorScale>
        <cfvo type="formula" val="4"/>
        <cfvo type="formula" val="14"/>
        <color rgb="FFFFFFFF"/>
        <color rgb="FFC9DAF8"/>
      </colorScale>
    </cfRule>
  </conditionalFormatting>
  <conditionalFormatting sqref="O6:O13 O16:O23">
    <cfRule type="colorScale" priority="5">
      <colorScale>
        <cfvo type="formula" val="4"/>
        <cfvo type="formula" val="14"/>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3"/>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AD6:AD13 AD16:AD23">
    <cfRule type="colorScale" priority="12">
      <colorScale>
        <cfvo type="min"/>
        <cfvo type="max"/>
        <color rgb="FFFFFFFF"/>
        <color rgb="FFFFD666"/>
      </colorScale>
    </cfRule>
  </conditionalFormatting>
  <conditionalFormatting sqref="L6:L13 L16:L23">
    <cfRule type="colorScale" priority="13">
      <colorScale>
        <cfvo type="min"/>
        <cfvo type="max"/>
        <color rgb="FFFFFFFF"/>
        <color rgb="FFC9DAF8"/>
      </colorScale>
    </cfRule>
  </conditionalFormatting>
  <conditionalFormatting sqref="R6:R13 R16:R23">
    <cfRule type="colorScale" priority="14">
      <colorScale>
        <cfvo type="min"/>
        <cfvo type="max"/>
        <color rgb="FFFFFFFF"/>
        <color rgb="FFFCE5CD"/>
      </colorScale>
    </cfRule>
  </conditionalFormatting>
  <conditionalFormatting sqref="X6:X13 X16:X23">
    <cfRule type="colorScale" priority="15">
      <colorScale>
        <cfvo type="min"/>
        <cfvo type="max"/>
        <color rgb="FFFFFFFF"/>
        <color rgb="FFD9EAD3"/>
      </colorScale>
    </cfRule>
  </conditionalFormatting>
  <conditionalFormatting sqref="Z6:Z13 Z16:Z23">
    <cfRule type="colorScale" priority="16">
      <colorScale>
        <cfvo type="min"/>
        <cfvo type="max"/>
        <color rgb="FFFFD666"/>
        <color rgb="FFFFFFFF"/>
      </colorScale>
    </cfRule>
  </conditionalFormatting>
  <conditionalFormatting sqref="H6:H13 H16:H23">
    <cfRule type="colorScale" priority="17">
      <colorScale>
        <cfvo type="min"/>
        <cfvo type="max"/>
        <color rgb="FFC9DAF8"/>
        <color rgb="FFFFFFFF"/>
      </colorScale>
    </cfRule>
  </conditionalFormatting>
  <conditionalFormatting sqref="N6:N13 N16:N23">
    <cfRule type="colorScale" priority="18">
      <colorScale>
        <cfvo type="min"/>
        <cfvo type="max"/>
        <color rgb="FFFCE5CD"/>
        <color rgb="FFFFFFFF"/>
      </colorScale>
    </cfRule>
  </conditionalFormatting>
  <conditionalFormatting sqref="T6:T13 T16:T23">
    <cfRule type="colorScale" priority="19">
      <colorScale>
        <cfvo type="min"/>
        <cfvo type="max"/>
        <color rgb="FFD9EAD3"/>
        <color rgb="FFFFFFFF"/>
      </colorScale>
    </cfRule>
  </conditionalFormatting>
  <conditionalFormatting sqref="B6:B13 B16:B23">
    <cfRule type="colorScale" priority="20">
      <colorScale>
        <cfvo type="min"/>
        <cfvo type="max"/>
        <color rgb="FFF4CCCC"/>
        <color rgb="FFFFFFFF"/>
      </colorScale>
    </cfRule>
  </conditionalFormatting>
  <conditionalFormatting sqref="AA6:AA13 AA16:AA23">
    <cfRule type="colorScale" priority="21">
      <colorScale>
        <cfvo type="min"/>
        <cfvo type="max"/>
        <color rgb="FFFFFFFF"/>
        <color rgb="FFFFD666"/>
      </colorScale>
    </cfRule>
  </conditionalFormatting>
  <conditionalFormatting sqref="AB6:AB13 AB16:AB23">
    <cfRule type="colorScale" priority="22">
      <colorScale>
        <cfvo type="min"/>
        <cfvo type="max"/>
        <color rgb="FFFFFFFF"/>
        <color rgb="FFFFD666"/>
      </colorScale>
    </cfRule>
  </conditionalFormatting>
  <conditionalFormatting sqref="AC6:AC13 AC16:AC23">
    <cfRule type="colorScale" priority="23">
      <colorScale>
        <cfvo type="min"/>
        <cfvo type="max"/>
        <color rgb="FFFFFFFF"/>
        <color rgb="FFFFD666"/>
      </colorScale>
    </cfRule>
  </conditionalFormatting>
  <conditionalFormatting sqref="AE6:AE13 AE16:AE23">
    <cfRule type="colorScale" priority="24">
      <colorScale>
        <cfvo type="min"/>
        <cfvo type="max"/>
        <color rgb="FFFFFFFF"/>
        <color rgb="FFFFD666"/>
      </colorScale>
    </cfRule>
  </conditionalFormatting>
  <conditionalFormatting sqref="C6:C13 C16:C23">
    <cfRule type="colorScale" priority="25">
      <colorScale>
        <cfvo type="formula" val="4"/>
        <cfvo type="formula" val="14"/>
        <color rgb="FFFFFFFF"/>
        <color rgb="FFF4CCCC"/>
      </colorScale>
    </cfRule>
  </conditionalFormatting>
  <conditionalFormatting sqref="AF6:AI13 AF16:AI23">
    <cfRule type="colorScale" priority="26">
      <colorScale>
        <cfvo type="min"/>
        <cfvo type="formula" val="0.5"/>
        <cfvo type="max"/>
        <color rgb="FFE67C73"/>
        <color rgb="FFFFFFFF"/>
        <color rgb="FF57BB8A"/>
      </colorScale>
    </cfRule>
  </conditionalFormatting>
  <conditionalFormatting sqref="AJ6:AJ13 AJ16:AJ23">
    <cfRule type="colorScale" priority="27">
      <colorScale>
        <cfvo type="formula" val="0.3"/>
        <cfvo type="formula" val="0.5"/>
        <cfvo type="formula" val="0.7"/>
        <color rgb="FFE67C73"/>
        <color rgb="FFFFFFFF"/>
        <color rgb="FF57BB8A"/>
      </colorScale>
    </cfRule>
  </conditionalFormatting>
  <conditionalFormatting sqref="AL6:AO13 AL16:AO23">
    <cfRule type="colorScale" priority="28">
      <colorScale>
        <cfvo type="min"/>
        <cfvo type="formula" val="0"/>
        <cfvo type="max"/>
        <color rgb="FFE67C73"/>
        <color rgb="FFFFFFFF"/>
        <color rgb="FF57BB8A"/>
      </colorScale>
    </cfRule>
  </conditionalFormatting>
  <conditionalFormatting sqref="AP6:AP13 AP16:AP23">
    <cfRule type="colorScale" priority="29">
      <colorScale>
        <cfvo type="formula" val="-12"/>
        <cfvo type="formula" val="0"/>
        <cfvo type="formula" val="12"/>
        <color rgb="FFE67C73"/>
        <color rgb="FFFFFFFF"/>
        <color rgb="FF57BB8A"/>
      </colorScale>
    </cfRule>
  </conditionalFormatting>
  <conditionalFormatting sqref="AQ6:AQ13 AQ16:AQ23">
    <cfRule type="colorScale" priority="30">
      <colorScale>
        <cfvo type="formula" val="-48"/>
        <cfvo type="formula" val="0"/>
        <cfvo type="formula" val="48"/>
        <color rgb="FFE67C73"/>
        <color rgb="FFFFFFFF"/>
        <color rgb="FF57BB8A"/>
      </colorScale>
    </cfRule>
  </conditionalFormatting>
  <printOptions gridLines="1" horizontalCentered="1"/>
  <pageMargins bottom="0.5" footer="0.0" header="0.0" left="0.25" right="0.25" top="0.5"/>
  <pageSetup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2" max="2" width="13.43"/>
    <col hidden="1" min="3" max="3" width="17.29"/>
    <col customWidth="1" min="4" max="4" width="21.0"/>
    <col customWidth="1" min="5" max="5" width="20.43"/>
  </cols>
  <sheetData>
    <row r="1">
      <c r="A1" s="948" t="s">
        <v>350</v>
      </c>
      <c r="B1" s="1846" t="s">
        <v>351</v>
      </c>
    </row>
    <row r="3">
      <c r="A3" s="1847" t="s">
        <v>352</v>
      </c>
      <c r="D3" s="948" t="s">
        <v>353</v>
      </c>
      <c r="E3" s="948" t="s">
        <v>354</v>
      </c>
      <c r="H3" s="948" t="s">
        <v>355</v>
      </c>
      <c r="I3" s="948" t="s">
        <v>356</v>
      </c>
    </row>
    <row r="4">
      <c r="A4" s="1848" t="s">
        <v>357</v>
      </c>
      <c r="B4" s="1849"/>
      <c r="C4" s="948" t="s">
        <v>357</v>
      </c>
      <c r="D4" s="948" t="s">
        <v>358</v>
      </c>
      <c r="F4" s="948" t="s">
        <v>359</v>
      </c>
      <c r="H4" s="948" t="s">
        <v>360</v>
      </c>
    </row>
    <row r="5">
      <c r="A5" s="1848" t="s">
        <v>361</v>
      </c>
      <c r="B5" s="1850">
        <v>871.9057221895524</v>
      </c>
      <c r="C5" s="948" t="s">
        <v>361</v>
      </c>
      <c r="D5" s="1851" t="s">
        <v>361</v>
      </c>
      <c r="E5" s="1850">
        <v>159.981744353102</v>
      </c>
      <c r="F5">
        <f>rank(E5,E$5:E$13)</f>
        <v>3</v>
      </c>
      <c r="G5">
        <v>75.16840427160409</v>
      </c>
      <c r="H5" s="1851" t="s">
        <v>362</v>
      </c>
      <c r="I5" s="1852" t="s">
        <v>363</v>
      </c>
    </row>
    <row r="6">
      <c r="A6" s="1848" t="s">
        <v>363</v>
      </c>
      <c r="B6" s="1850">
        <v>75.16840427160409</v>
      </c>
      <c r="C6" s="948" t="s">
        <v>363</v>
      </c>
      <c r="G6">
        <v>581.2962902402074</v>
      </c>
      <c r="H6" s="1851" t="s">
        <v>364</v>
      </c>
      <c r="I6" s="1852" t="s">
        <v>365</v>
      </c>
    </row>
    <row r="7">
      <c r="A7" s="1853"/>
      <c r="B7" s="1849"/>
      <c r="G7">
        <v>118.9383033642546</v>
      </c>
      <c r="H7" s="1851" t="s">
        <v>366</v>
      </c>
      <c r="I7" s="1852" t="s">
        <v>367</v>
      </c>
    </row>
    <row r="8">
      <c r="A8" s="1848" t="s">
        <v>368</v>
      </c>
      <c r="B8" s="1849"/>
      <c r="C8" s="948" t="s">
        <v>368</v>
      </c>
      <c r="D8" s="948" t="s">
        <v>369</v>
      </c>
      <c r="G8">
        <v>118.2495985435732</v>
      </c>
      <c r="H8" s="1851" t="s">
        <v>370</v>
      </c>
      <c r="I8" s="1854" t="s">
        <v>371</v>
      </c>
    </row>
    <row r="9">
      <c r="A9" s="1848" t="s">
        <v>284</v>
      </c>
      <c r="B9" s="1850">
        <v>760.9504064556496</v>
      </c>
      <c r="C9" s="948" t="s">
        <v>284</v>
      </c>
      <c r="D9" s="1851" t="s">
        <v>284</v>
      </c>
      <c r="E9" s="1850">
        <v>383.49797670878706</v>
      </c>
      <c r="F9">
        <f>rank(E9,E$5:E$13)</f>
        <v>2</v>
      </c>
    </row>
    <row r="10">
      <c r="A10" s="1848" t="s">
        <v>365</v>
      </c>
      <c r="B10" s="1850">
        <v>581.2962902402074</v>
      </c>
      <c r="C10" s="948" t="s">
        <v>365</v>
      </c>
      <c r="F10" s="1855"/>
    </row>
    <row r="11">
      <c r="A11" s="1853"/>
      <c r="B11" s="1849"/>
      <c r="F11" s="1855"/>
    </row>
    <row r="12">
      <c r="A12" s="1848" t="s">
        <v>372</v>
      </c>
      <c r="B12" s="1849"/>
      <c r="C12" s="948" t="s">
        <v>372</v>
      </c>
      <c r="D12" s="948" t="s">
        <v>373</v>
      </c>
      <c r="F12" s="1855"/>
    </row>
    <row r="13">
      <c r="A13" s="1848" t="s">
        <v>367</v>
      </c>
      <c r="B13" s="1850">
        <v>118.9383033642546</v>
      </c>
      <c r="C13" s="948" t="s">
        <v>367</v>
      </c>
      <c r="D13" s="1847" t="s">
        <v>374</v>
      </c>
      <c r="E13" s="1850">
        <v>592.0551300150287</v>
      </c>
      <c r="F13">
        <f>rank(E13,E$5:E$13)</f>
        <v>1</v>
      </c>
    </row>
    <row r="14">
      <c r="A14" s="1848" t="s">
        <v>374</v>
      </c>
      <c r="B14" s="1850">
        <v>605.495294273854</v>
      </c>
      <c r="C14" s="948" t="s">
        <v>374</v>
      </c>
    </row>
    <row r="15">
      <c r="A15" s="1848" t="s">
        <v>371</v>
      </c>
      <c r="B15" s="1850">
        <v>118.2495985435732</v>
      </c>
      <c r="C15" s="948" t="s">
        <v>371</v>
      </c>
      <c r="F15" s="1855"/>
    </row>
  </sheetData>
  <mergeCells count="2">
    <mergeCell ref="B1:D1"/>
    <mergeCell ref="A3:C3"/>
  </mergeCells>
  <drawing r:id="rId1"/>
</worksheet>
</file>