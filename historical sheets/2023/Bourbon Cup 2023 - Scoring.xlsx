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2.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morseandco-my.sharepoint.com/personal/aaron_smorseandco_onmicrosoft_com/Documents/Desktop/Apps/bourbon-cup/historical sheets/2023/"/>
    </mc:Choice>
  </mc:AlternateContent>
  <xr:revisionPtr revIDLastSave="1" documentId="11_C6BD7BF26DEB03AA74BC8EB68ADBC8B9BD98FB12" xr6:coauthVersionLast="47" xr6:coauthVersionMax="47" xr10:uidLastSave="{92684048-095C-45A8-9331-D5FBC6279B9D}"/>
  <bookViews>
    <workbookView xWindow="1900" yWindow="1900" windowWidth="14400" windowHeight="8250" xr2:uid="{00000000-000D-0000-FFFF-FFFF00000000}"/>
  </bookViews>
  <sheets>
    <sheet name="SCOREBOARD" sheetId="1" r:id="rId1"/>
    <sheet name="R1_G1" sheetId="2" r:id="rId2"/>
    <sheet name="R1_G2" sheetId="3" r:id="rId3"/>
    <sheet name="R1_G3" sheetId="4" r:id="rId4"/>
    <sheet name="R1_G4" sheetId="5" r:id="rId5"/>
    <sheet name="R2_G1" sheetId="6" r:id="rId6"/>
    <sheet name="R2_G2" sheetId="7" r:id="rId7"/>
    <sheet name="R2_G3" sheetId="8" r:id="rId8"/>
    <sheet name="R2_G4" sheetId="9" r:id="rId9"/>
    <sheet name="R3_G1" sheetId="10" r:id="rId10"/>
    <sheet name="R3_G2" sheetId="11" r:id="rId11"/>
    <sheet name="R3_G3" sheetId="12" r:id="rId12"/>
    <sheet name="R3_G4" sheetId="13" r:id="rId13"/>
    <sheet name="R4_G1" sheetId="14" r:id="rId14"/>
    <sheet name="R4_G2" sheetId="15" r:id="rId15"/>
    <sheet name="R4_G3" sheetId="16" r:id="rId16"/>
    <sheet name="R4_G4" sheetId="17" r:id="rId17"/>
    <sheet name="Captains Card 1" sheetId="18" state="hidden" r:id="rId18"/>
    <sheet name="Captains Card 2" sheetId="19" state="hidden" r:id="rId19"/>
    <sheet name="Master Input" sheetId="20" r:id="rId20"/>
    <sheet name="Match Selection" sheetId="21" r:id="rId21"/>
    <sheet name="FINAL COUNTDOWN" sheetId="22" r:id="rId22"/>
    <sheet name="Grint Handis" sheetId="23" r:id="rId23"/>
    <sheet name="Course List" sheetId="24" r:id="rId24"/>
    <sheet name="ALL SCORES" sheetId="25" r:id="rId25"/>
    <sheet name="Locked Bets Setup" sheetId="26" state="hidden" r:id="rId26"/>
    <sheet name="Player Analytics" sheetId="27" r:id="rId27"/>
    <sheet name="Ghost Selection" sheetId="28" state="hidden" r:id="rId28"/>
  </sheets>
  <definedNames>
    <definedName name="COURSES">'Course List'!$A:$A</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28" l="1"/>
  <c r="F9" i="28"/>
  <c r="F5" i="28"/>
  <c r="A23" i="27"/>
  <c r="A22" i="27"/>
  <c r="AS21" i="27"/>
  <c r="A21" i="27"/>
  <c r="A20" i="27"/>
  <c r="AS19" i="27"/>
  <c r="A19" i="27"/>
  <c r="AS18" i="27"/>
  <c r="A18" i="27"/>
  <c r="AS17" i="27"/>
  <c r="A17" i="27"/>
  <c r="AS16" i="27"/>
  <c r="A16" i="27"/>
  <c r="A15" i="27"/>
  <c r="AS15" i="27" s="1"/>
  <c r="A13" i="27"/>
  <c r="A12" i="27"/>
  <c r="AS12" i="27" s="1"/>
  <c r="AS11" i="27"/>
  <c r="A11" i="27"/>
  <c r="AS10" i="27"/>
  <c r="A10" i="27"/>
  <c r="A9" i="27"/>
  <c r="AS8" i="27"/>
  <c r="A8" i="27"/>
  <c r="A7" i="27"/>
  <c r="AS6" i="27"/>
  <c r="A6" i="27"/>
  <c r="AS5" i="27"/>
  <c r="A5" i="27"/>
  <c r="V3" i="27"/>
  <c r="P3" i="27"/>
  <c r="J3" i="27"/>
  <c r="D3" i="27"/>
  <c r="V2" i="27"/>
  <c r="P2" i="27"/>
  <c r="J2" i="27"/>
  <c r="D2" i="27"/>
  <c r="L21" i="26"/>
  <c r="K21" i="26"/>
  <c r="J21" i="26"/>
  <c r="I21" i="26"/>
  <c r="H21" i="26"/>
  <c r="G21" i="26"/>
  <c r="F21" i="26"/>
  <c r="E21" i="26"/>
  <c r="D21" i="26"/>
  <c r="A21" i="26" s="1"/>
  <c r="C21" i="26"/>
  <c r="B21" i="26"/>
  <c r="A20" i="26"/>
  <c r="A19" i="26"/>
  <c r="A18" i="26"/>
  <c r="A17" i="26"/>
  <c r="A16" i="26"/>
  <c r="A15" i="26"/>
  <c r="A14" i="26"/>
  <c r="A13" i="26"/>
  <c r="A12" i="26"/>
  <c r="A11" i="26"/>
  <c r="A10" i="26"/>
  <c r="A9" i="26"/>
  <c r="A8" i="26"/>
  <c r="A7" i="26"/>
  <c r="A6" i="26"/>
  <c r="A5" i="26"/>
  <c r="B1" i="26"/>
  <c r="Y95" i="25"/>
  <c r="AE93" i="25"/>
  <c r="C93" i="25"/>
  <c r="AF73" i="25"/>
  <c r="D73" i="25"/>
  <c r="Y71" i="25"/>
  <c r="AE69" i="25"/>
  <c r="C69" i="25"/>
  <c r="A57" i="25"/>
  <c r="O52" i="25"/>
  <c r="AQ52" i="25" s="1"/>
  <c r="D49" i="25"/>
  <c r="Y47" i="25"/>
  <c r="AE45" i="25"/>
  <c r="C45" i="25"/>
  <c r="A44" i="25"/>
  <c r="AC41" i="25"/>
  <c r="A41" i="25"/>
  <c r="A33" i="25"/>
  <c r="A31" i="25"/>
  <c r="A30" i="25"/>
  <c r="D25" i="25"/>
  <c r="Y23" i="25"/>
  <c r="AE21" i="25"/>
  <c r="AC20" i="25"/>
  <c r="C20" i="25"/>
  <c r="A20" i="25"/>
  <c r="AC19" i="25"/>
  <c r="A19" i="25"/>
  <c r="AC18" i="25"/>
  <c r="C18" i="25"/>
  <c r="A18" i="25"/>
  <c r="A42" i="25" s="1"/>
  <c r="AC17" i="25"/>
  <c r="C17" i="25"/>
  <c r="A17" i="25"/>
  <c r="AC16" i="25"/>
  <c r="A16" i="25"/>
  <c r="AC15" i="25"/>
  <c r="A15" i="25"/>
  <c r="AC14" i="25"/>
  <c r="C14" i="25"/>
  <c r="A14" i="25"/>
  <c r="AC13" i="25"/>
  <c r="A13" i="25"/>
  <c r="AC12" i="25"/>
  <c r="A12" i="25"/>
  <c r="AC11" i="25"/>
  <c r="C11" i="25"/>
  <c r="A11" i="25"/>
  <c r="AC10" i="25"/>
  <c r="A10" i="25"/>
  <c r="AC9" i="25"/>
  <c r="C9" i="25"/>
  <c r="A9" i="25"/>
  <c r="AC8" i="25"/>
  <c r="C8" i="25"/>
  <c r="A8" i="25"/>
  <c r="AC7" i="25"/>
  <c r="A7" i="25"/>
  <c r="AC6" i="25"/>
  <c r="A6" i="25"/>
  <c r="AC5" i="25"/>
  <c r="C5" i="25"/>
  <c r="A5" i="25"/>
  <c r="AS4" i="25"/>
  <c r="Q4" i="25"/>
  <c r="N4" i="25"/>
  <c r="M4" i="25"/>
  <c r="AO4" i="25" s="1"/>
  <c r="F3" i="25"/>
  <c r="AH3" i="25" s="1"/>
  <c r="AF1" i="25"/>
  <c r="Z1" i="25"/>
  <c r="BB1" i="25" s="1"/>
  <c r="D1" i="25"/>
  <c r="W20" i="24"/>
  <c r="V20" i="24"/>
  <c r="U20" i="24"/>
  <c r="T20" i="24"/>
  <c r="S20" i="24"/>
  <c r="R20" i="24"/>
  <c r="Q20" i="24"/>
  <c r="P20" i="24"/>
  <c r="O20" i="24"/>
  <c r="N20" i="24"/>
  <c r="M20" i="24"/>
  <c r="L20" i="24"/>
  <c r="K20" i="24"/>
  <c r="J20" i="24"/>
  <c r="I20" i="24"/>
  <c r="H20" i="24"/>
  <c r="G20" i="24"/>
  <c r="F20" i="24"/>
  <c r="E20" i="24"/>
  <c r="W19" i="24"/>
  <c r="V19" i="24"/>
  <c r="U19" i="24"/>
  <c r="T19" i="24"/>
  <c r="S19" i="24"/>
  <c r="R19" i="24"/>
  <c r="Q19" i="24"/>
  <c r="P19" i="24"/>
  <c r="O19" i="24"/>
  <c r="N19" i="24"/>
  <c r="M19" i="24"/>
  <c r="L19" i="24"/>
  <c r="K19" i="24"/>
  <c r="J19" i="24"/>
  <c r="I19" i="24"/>
  <c r="H19" i="24"/>
  <c r="G19" i="24"/>
  <c r="F19" i="24"/>
  <c r="E19" i="24"/>
  <c r="D19" i="24"/>
  <c r="C19" i="24"/>
  <c r="B19" i="24"/>
  <c r="A19" i="24"/>
  <c r="W18" i="24"/>
  <c r="V18" i="24"/>
  <c r="U18" i="24"/>
  <c r="T18" i="24"/>
  <c r="S18" i="24"/>
  <c r="R18" i="24"/>
  <c r="Q18" i="24"/>
  <c r="P18" i="24"/>
  <c r="O18" i="24"/>
  <c r="N18" i="24"/>
  <c r="M18" i="24"/>
  <c r="L18" i="24"/>
  <c r="K18" i="24"/>
  <c r="J18" i="24"/>
  <c r="I18" i="24"/>
  <c r="H18" i="24"/>
  <c r="G18" i="24"/>
  <c r="F18" i="24"/>
  <c r="E18" i="24"/>
  <c r="W17" i="24"/>
  <c r="V17" i="24"/>
  <c r="U17" i="24"/>
  <c r="T17" i="24"/>
  <c r="S17" i="24"/>
  <c r="R17" i="24"/>
  <c r="Q17" i="24"/>
  <c r="P17" i="24"/>
  <c r="O17" i="24"/>
  <c r="N17" i="24"/>
  <c r="M17" i="24"/>
  <c r="L17" i="24"/>
  <c r="K17" i="24"/>
  <c r="J17" i="24"/>
  <c r="I17" i="24"/>
  <c r="H17" i="24"/>
  <c r="G17" i="24"/>
  <c r="F17" i="24"/>
  <c r="E17" i="24"/>
  <c r="D17" i="24"/>
  <c r="C17" i="24"/>
  <c r="B17" i="24"/>
  <c r="A17" i="24"/>
  <c r="W16" i="24"/>
  <c r="V16" i="24"/>
  <c r="U16" i="24"/>
  <c r="T16" i="24"/>
  <c r="S16" i="24"/>
  <c r="R16" i="24"/>
  <c r="Q16" i="24"/>
  <c r="P16" i="24"/>
  <c r="O16" i="24"/>
  <c r="N16" i="24"/>
  <c r="M16" i="24"/>
  <c r="L16" i="24"/>
  <c r="K16" i="24"/>
  <c r="J16" i="24"/>
  <c r="I16" i="24"/>
  <c r="H16" i="24"/>
  <c r="G16" i="24"/>
  <c r="F16" i="24"/>
  <c r="E16" i="24"/>
  <c r="W15" i="24"/>
  <c r="V15" i="24"/>
  <c r="U15" i="24"/>
  <c r="T15" i="24"/>
  <c r="S15" i="24"/>
  <c r="R15" i="24"/>
  <c r="Q15" i="24"/>
  <c r="P15" i="24"/>
  <c r="O15" i="24"/>
  <c r="N15" i="24"/>
  <c r="M15" i="24"/>
  <c r="L15" i="24"/>
  <c r="K15" i="24"/>
  <c r="J15" i="24"/>
  <c r="I15" i="24"/>
  <c r="H15" i="24"/>
  <c r="G15" i="24"/>
  <c r="F15" i="24"/>
  <c r="E15" i="24"/>
  <c r="D15" i="24"/>
  <c r="C15" i="24"/>
  <c r="B15" i="24"/>
  <c r="A15" i="24"/>
  <c r="W14" i="24"/>
  <c r="V14" i="24"/>
  <c r="U14" i="24"/>
  <c r="AQ13" i="24" s="1"/>
  <c r="T14" i="24"/>
  <c r="AP13" i="24" s="1"/>
  <c r="S14" i="24"/>
  <c r="AO13" i="24" s="1"/>
  <c r="R14" i="24"/>
  <c r="AN13" i="24" s="1"/>
  <c r="Q14" i="24"/>
  <c r="P14" i="24"/>
  <c r="AL13" i="24" s="1"/>
  <c r="O14" i="24"/>
  <c r="N14" i="24"/>
  <c r="M14" i="24"/>
  <c r="AI13" i="24" s="1"/>
  <c r="L14" i="24"/>
  <c r="AH13" i="24" s="1"/>
  <c r="K14" i="24"/>
  <c r="AG13" i="24" s="1"/>
  <c r="J14" i="24"/>
  <c r="AF13" i="24" s="1"/>
  <c r="I14" i="24"/>
  <c r="H14" i="24"/>
  <c r="AD13" i="24" s="1"/>
  <c r="G14" i="24"/>
  <c r="F14" i="24"/>
  <c r="E14" i="24"/>
  <c r="AS13" i="24"/>
  <c r="AR13" i="24"/>
  <c r="AM13" i="24"/>
  <c r="AK13" i="24"/>
  <c r="AJ13" i="24"/>
  <c r="AE13" i="24"/>
  <c r="AC13" i="24"/>
  <c r="AB13" i="24"/>
  <c r="W13" i="24"/>
  <c r="V13" i="24"/>
  <c r="U13" i="24"/>
  <c r="T13" i="24"/>
  <c r="S13" i="24"/>
  <c r="R13" i="24"/>
  <c r="Q13" i="24"/>
  <c r="P13" i="24"/>
  <c r="O13" i="24"/>
  <c r="N13" i="24"/>
  <c r="M13" i="24"/>
  <c r="L13" i="24"/>
  <c r="K13" i="24"/>
  <c r="J13" i="24"/>
  <c r="I13" i="24"/>
  <c r="H13" i="24"/>
  <c r="G13" i="24"/>
  <c r="F13" i="24"/>
  <c r="E13" i="24"/>
  <c r="D13" i="24"/>
  <c r="C13" i="24"/>
  <c r="B13" i="24"/>
  <c r="A13" i="24"/>
  <c r="W12" i="24"/>
  <c r="AS11" i="24" s="1"/>
  <c r="Y4" i="18" s="1"/>
  <c r="Y33" i="18" s="1"/>
  <c r="V12" i="24"/>
  <c r="AR11" i="24" s="1"/>
  <c r="U12" i="24"/>
  <c r="AQ11" i="24" s="1"/>
  <c r="T12" i="24"/>
  <c r="AP11" i="24" s="1"/>
  <c r="S12" i="24"/>
  <c r="R12" i="24"/>
  <c r="Q12" i="24"/>
  <c r="P12" i="24"/>
  <c r="O12" i="24"/>
  <c r="N12" i="24"/>
  <c r="AJ11" i="24" s="1"/>
  <c r="M4" i="16" s="1"/>
  <c r="M12" i="24"/>
  <c r="AI11" i="24" s="1"/>
  <c r="L4" i="14" s="1"/>
  <c r="L21" i="14" s="1"/>
  <c r="L37" i="18" s="1"/>
  <c r="G10" i="22" s="1"/>
  <c r="L12" i="24"/>
  <c r="K12" i="24"/>
  <c r="J12" i="24"/>
  <c r="I12" i="24"/>
  <c r="H12" i="24"/>
  <c r="G12" i="24"/>
  <c r="AC11" i="24" s="1"/>
  <c r="F4" i="16" s="1"/>
  <c r="F4" i="19" s="1"/>
  <c r="F33" i="19" s="1"/>
  <c r="C28" i="22" s="1"/>
  <c r="F12" i="24"/>
  <c r="E12" i="24"/>
  <c r="AO11" i="24"/>
  <c r="AN11" i="24"/>
  <c r="AM11" i="24"/>
  <c r="AL11" i="24"/>
  <c r="AK11" i="24"/>
  <c r="AH11" i="24"/>
  <c r="K4" i="18" s="1"/>
  <c r="K33" i="18" s="1"/>
  <c r="H33" i="22" s="1"/>
  <c r="AG11" i="24"/>
  <c r="AF11" i="24"/>
  <c r="AE11" i="24"/>
  <c r="AD11" i="24"/>
  <c r="W11" i="24"/>
  <c r="V11" i="24"/>
  <c r="U11" i="24"/>
  <c r="T11" i="24"/>
  <c r="S11" i="24"/>
  <c r="R11" i="24"/>
  <c r="Q11" i="24"/>
  <c r="P11" i="24"/>
  <c r="O11" i="24"/>
  <c r="N11" i="24"/>
  <c r="M11" i="24"/>
  <c r="L11" i="24"/>
  <c r="K11" i="24"/>
  <c r="J11" i="24"/>
  <c r="I11" i="24"/>
  <c r="H11" i="24"/>
  <c r="G11" i="24"/>
  <c r="F11" i="24"/>
  <c r="E11" i="24"/>
  <c r="D11" i="24"/>
  <c r="C11" i="24"/>
  <c r="B11" i="24"/>
  <c r="A11" i="24"/>
  <c r="W10" i="24"/>
  <c r="AS9" i="24" s="1"/>
  <c r="V10" i="24"/>
  <c r="AR9" i="24" s="1"/>
  <c r="U10" i="24"/>
  <c r="AQ9" i="24" s="1"/>
  <c r="T10" i="24"/>
  <c r="S10" i="24"/>
  <c r="AO9" i="24" s="1"/>
  <c r="R10" i="24"/>
  <c r="Q10" i="24"/>
  <c r="P10" i="24"/>
  <c r="O10" i="24"/>
  <c r="N10" i="24"/>
  <c r="AJ9" i="24" s="1"/>
  <c r="M10" i="24"/>
  <c r="AI9" i="24" s="1"/>
  <c r="L10" i="24"/>
  <c r="AH9" i="24" s="1"/>
  <c r="K10" i="24"/>
  <c r="J10" i="24"/>
  <c r="AF9" i="24" s="1"/>
  <c r="I10" i="24"/>
  <c r="H10" i="24"/>
  <c r="G10" i="24"/>
  <c r="F10" i="24"/>
  <c r="E10" i="24"/>
  <c r="AP9" i="24"/>
  <c r="AN9" i="24"/>
  <c r="AM9" i="24"/>
  <c r="AL9" i="24"/>
  <c r="AG9" i="24"/>
  <c r="AE9" i="24"/>
  <c r="AD9" i="24"/>
  <c r="AC9" i="24"/>
  <c r="W9" i="24"/>
  <c r="V9" i="24"/>
  <c r="U9" i="24"/>
  <c r="T9" i="24"/>
  <c r="S9" i="24"/>
  <c r="R9" i="24"/>
  <c r="Q9" i="24"/>
  <c r="P9" i="24"/>
  <c r="O9" i="24"/>
  <c r="N9" i="24"/>
  <c r="M9" i="24"/>
  <c r="L9" i="24"/>
  <c r="K9" i="24"/>
  <c r="J9" i="24"/>
  <c r="I9" i="24"/>
  <c r="H9" i="24"/>
  <c r="G9" i="24"/>
  <c r="F9" i="24"/>
  <c r="E9" i="24"/>
  <c r="D9" i="24"/>
  <c r="C9" i="24"/>
  <c r="B9" i="24"/>
  <c r="A9" i="24"/>
  <c r="W8" i="24"/>
  <c r="AS7" i="24" s="1"/>
  <c r="V8" i="24"/>
  <c r="U8" i="24"/>
  <c r="AQ7" i="24" s="1"/>
  <c r="T8" i="24"/>
  <c r="S8" i="24"/>
  <c r="R8" i="24"/>
  <c r="AN7" i="24" s="1"/>
  <c r="Q8" i="24"/>
  <c r="P8" i="24"/>
  <c r="AL7" i="24" s="1"/>
  <c r="O8" i="24"/>
  <c r="N8" i="24"/>
  <c r="M8" i="24"/>
  <c r="AI7" i="24" s="1"/>
  <c r="L8" i="24"/>
  <c r="K8" i="24"/>
  <c r="J8" i="24"/>
  <c r="I8" i="24"/>
  <c r="H8" i="24"/>
  <c r="G8" i="24"/>
  <c r="AC7" i="24" s="1"/>
  <c r="F8" i="24"/>
  <c r="E8" i="24"/>
  <c r="AR7" i="24"/>
  <c r="AP7" i="24"/>
  <c r="AO7" i="24"/>
  <c r="AM7" i="24"/>
  <c r="AJ7" i="24"/>
  <c r="AH7" i="24"/>
  <c r="AG7" i="24"/>
  <c r="J4" i="7" s="1"/>
  <c r="AF7" i="24"/>
  <c r="AE7" i="24"/>
  <c r="AD7" i="24"/>
  <c r="AB7" i="24"/>
  <c r="W7" i="24"/>
  <c r="V7" i="24"/>
  <c r="U7" i="24"/>
  <c r="T7" i="24"/>
  <c r="V3" i="9" s="1"/>
  <c r="S7" i="24"/>
  <c r="R7" i="24"/>
  <c r="Q7" i="24"/>
  <c r="P7" i="24"/>
  <c r="O7" i="24"/>
  <c r="N7" i="24"/>
  <c r="M7" i="24"/>
  <c r="L7" i="24"/>
  <c r="K3" i="9" s="1"/>
  <c r="K7" i="24"/>
  <c r="J7" i="24"/>
  <c r="I7" i="24"/>
  <c r="H7" i="24"/>
  <c r="G7" i="24"/>
  <c r="F7" i="24"/>
  <c r="E7" i="24"/>
  <c r="D7" i="24"/>
  <c r="C7" i="24"/>
  <c r="H9" i="20" s="1"/>
  <c r="B7" i="24"/>
  <c r="A7" i="24"/>
  <c r="W6" i="24"/>
  <c r="AS5" i="24" s="1"/>
  <c r="V6" i="24"/>
  <c r="U6" i="24"/>
  <c r="AQ5" i="24" s="1"/>
  <c r="T6" i="24"/>
  <c r="S6" i="24"/>
  <c r="R6" i="24"/>
  <c r="Q6" i="24"/>
  <c r="Y6" i="24" s="1"/>
  <c r="P6" i="24"/>
  <c r="O6" i="24"/>
  <c r="AK5" i="24" s="1"/>
  <c r="N6" i="24"/>
  <c r="M6" i="24"/>
  <c r="L6" i="24"/>
  <c r="AH5" i="24" s="1"/>
  <c r="K6" i="24"/>
  <c r="J6" i="24"/>
  <c r="I6" i="24"/>
  <c r="H6" i="24"/>
  <c r="G6" i="24"/>
  <c r="AC5" i="24" s="1"/>
  <c r="F6" i="24"/>
  <c r="E6" i="24"/>
  <c r="AR5" i="24"/>
  <c r="AP5" i="24"/>
  <c r="AO5" i="24"/>
  <c r="AN5" i="24"/>
  <c r="AL5" i="24"/>
  <c r="AJ5" i="24"/>
  <c r="AI5" i="24"/>
  <c r="AG5" i="24"/>
  <c r="AF5" i="24"/>
  <c r="AE5" i="24"/>
  <c r="AD5" i="24"/>
  <c r="W5" i="24"/>
  <c r="V5" i="24"/>
  <c r="U5" i="24"/>
  <c r="T5" i="24"/>
  <c r="S5" i="24"/>
  <c r="R5" i="24"/>
  <c r="Q5" i="24"/>
  <c r="P5" i="24"/>
  <c r="O5" i="24"/>
  <c r="N5" i="24"/>
  <c r="M5" i="24"/>
  <c r="L5" i="24"/>
  <c r="K5" i="24"/>
  <c r="J5" i="24"/>
  <c r="I5" i="24"/>
  <c r="H5" i="24"/>
  <c r="G5" i="24"/>
  <c r="F5" i="24"/>
  <c r="E5" i="24"/>
  <c r="D5" i="24"/>
  <c r="C5" i="24"/>
  <c r="B5" i="24"/>
  <c r="A5" i="24"/>
  <c r="W4" i="24"/>
  <c r="AS3" i="24" s="1"/>
  <c r="V4" i="24"/>
  <c r="AR3" i="24" s="1"/>
  <c r="U4" i="24"/>
  <c r="AQ3" i="24" s="1"/>
  <c r="T4" i="24"/>
  <c r="S4" i="24"/>
  <c r="R4" i="24"/>
  <c r="AN3" i="24" s="1"/>
  <c r="Q4" i="24"/>
  <c r="P4" i="24"/>
  <c r="Y4" i="24" s="1"/>
  <c r="O4" i="24"/>
  <c r="AK3" i="24" s="1"/>
  <c r="N4" i="24"/>
  <c r="M4" i="24"/>
  <c r="AI3" i="24" s="1"/>
  <c r="L4" i="24"/>
  <c r="AH3" i="24" s="1"/>
  <c r="K4" i="24"/>
  <c r="J4" i="24"/>
  <c r="I4" i="24"/>
  <c r="AE3" i="24" s="1"/>
  <c r="H4" i="24"/>
  <c r="AD3" i="24" s="1"/>
  <c r="G4" i="24"/>
  <c r="AC3" i="24" s="1"/>
  <c r="F4" i="24"/>
  <c r="E4" i="24"/>
  <c r="AP3" i="24"/>
  <c r="AO3" i="24"/>
  <c r="AM3" i="24"/>
  <c r="AL3" i="24"/>
  <c r="AJ3" i="24"/>
  <c r="AG3" i="24"/>
  <c r="AF3" i="24"/>
  <c r="AB3" i="24"/>
  <c r="Y3" i="24"/>
  <c r="W3" i="24"/>
  <c r="V3" i="24"/>
  <c r="U3" i="24"/>
  <c r="T3" i="24"/>
  <c r="S3" i="24"/>
  <c r="R3" i="24"/>
  <c r="Q3" i="24"/>
  <c r="P3" i="24"/>
  <c r="O3" i="24"/>
  <c r="N3" i="24"/>
  <c r="M3" i="24"/>
  <c r="L3" i="24"/>
  <c r="K3" i="24"/>
  <c r="J3" i="24"/>
  <c r="I3" i="24"/>
  <c r="H3" i="24"/>
  <c r="X3" i="24" s="1"/>
  <c r="Z3" i="24" s="1"/>
  <c r="G3" i="24"/>
  <c r="F3" i="24"/>
  <c r="E3" i="24"/>
  <c r="D3" i="24"/>
  <c r="C3" i="24"/>
  <c r="B3" i="24"/>
  <c r="A3" i="24"/>
  <c r="G210" i="23"/>
  <c r="F210" i="23"/>
  <c r="G209" i="23"/>
  <c r="F209" i="23"/>
  <c r="F208" i="23"/>
  <c r="G208" i="23" s="1"/>
  <c r="F207" i="23"/>
  <c r="G207" i="23" s="1"/>
  <c r="G206" i="23"/>
  <c r="F206" i="23"/>
  <c r="G205" i="23"/>
  <c r="F205" i="23"/>
  <c r="F204" i="23"/>
  <c r="G204" i="23" s="1"/>
  <c r="G203" i="23"/>
  <c r="F203" i="23"/>
  <c r="G202" i="23"/>
  <c r="F202" i="23"/>
  <c r="G201" i="23"/>
  <c r="F201" i="23"/>
  <c r="F200" i="23"/>
  <c r="G200" i="23" s="1"/>
  <c r="F199" i="23"/>
  <c r="G199" i="23" s="1"/>
  <c r="G198" i="23"/>
  <c r="F198" i="23"/>
  <c r="G197" i="23"/>
  <c r="F197" i="23"/>
  <c r="F196" i="23"/>
  <c r="G196" i="23" s="1"/>
  <c r="G195" i="23"/>
  <c r="F195" i="23"/>
  <c r="G194" i="23"/>
  <c r="F194" i="23"/>
  <c r="F193" i="23"/>
  <c r="G193" i="23" s="1"/>
  <c r="F192" i="23"/>
  <c r="G192" i="23" s="1"/>
  <c r="G191" i="23"/>
  <c r="F191" i="23"/>
  <c r="F190" i="23"/>
  <c r="G190" i="23" s="1"/>
  <c r="G189" i="23"/>
  <c r="F189" i="23"/>
  <c r="F188" i="23"/>
  <c r="G188" i="23" s="1"/>
  <c r="G187" i="23"/>
  <c r="F187" i="23"/>
  <c r="G186" i="23"/>
  <c r="F186" i="23"/>
  <c r="F185" i="23"/>
  <c r="G185" i="23" s="1"/>
  <c r="F184" i="23"/>
  <c r="G184" i="23" s="1"/>
  <c r="G183" i="23"/>
  <c r="F183" i="23"/>
  <c r="G182" i="23"/>
  <c r="F182" i="23"/>
  <c r="F181" i="23"/>
  <c r="G181" i="23" s="1"/>
  <c r="F180" i="23"/>
  <c r="G180" i="23" s="1"/>
  <c r="F179" i="23"/>
  <c r="G179" i="23" s="1"/>
  <c r="G178" i="23"/>
  <c r="F178" i="23"/>
  <c r="G177" i="23"/>
  <c r="F177" i="23"/>
  <c r="F176" i="23"/>
  <c r="G176" i="23" s="1"/>
  <c r="F175" i="23"/>
  <c r="G175" i="23" s="1"/>
  <c r="F174" i="23"/>
  <c r="G174" i="23" s="1"/>
  <c r="G173" i="23"/>
  <c r="F173" i="23"/>
  <c r="F172" i="23"/>
  <c r="G172" i="23" s="1"/>
  <c r="G171" i="23"/>
  <c r="F171" i="23"/>
  <c r="G170" i="23"/>
  <c r="F170" i="23"/>
  <c r="G169" i="23"/>
  <c r="F169" i="23"/>
  <c r="F168" i="23"/>
  <c r="G168" i="23" s="1"/>
  <c r="F167" i="23"/>
  <c r="G167" i="23" s="1"/>
  <c r="G166" i="23"/>
  <c r="F166" i="23"/>
  <c r="G165" i="23"/>
  <c r="F165" i="23"/>
  <c r="F164" i="23"/>
  <c r="G164" i="23" s="1"/>
  <c r="G163" i="23"/>
  <c r="F163" i="23"/>
  <c r="G162" i="23"/>
  <c r="F162" i="23"/>
  <c r="F161" i="23"/>
  <c r="G161" i="23" s="1"/>
  <c r="F160" i="23"/>
  <c r="G160" i="23" s="1"/>
  <c r="F159" i="23"/>
  <c r="G159" i="23" s="1"/>
  <c r="F158" i="23"/>
  <c r="G158" i="23" s="1"/>
  <c r="G157" i="23"/>
  <c r="F157" i="23"/>
  <c r="F156" i="23"/>
  <c r="G156" i="23" s="1"/>
  <c r="G155" i="23"/>
  <c r="F155" i="23"/>
  <c r="G154" i="23"/>
  <c r="F154" i="23"/>
  <c r="G153" i="23"/>
  <c r="F153" i="23"/>
  <c r="F152" i="23"/>
  <c r="G152" i="23" s="1"/>
  <c r="F151" i="23"/>
  <c r="G151" i="23" s="1"/>
  <c r="G150" i="23"/>
  <c r="F150" i="23"/>
  <c r="F149" i="23"/>
  <c r="G149" i="23" s="1"/>
  <c r="F148" i="23"/>
  <c r="G148" i="23" s="1"/>
  <c r="G147" i="23"/>
  <c r="F147" i="23"/>
  <c r="F146" i="23"/>
  <c r="G146" i="23" s="1"/>
  <c r="G145" i="23"/>
  <c r="F145" i="23"/>
  <c r="F144" i="23"/>
  <c r="G144" i="23" s="1"/>
  <c r="G143" i="23"/>
  <c r="F143" i="23"/>
  <c r="G142" i="23"/>
  <c r="F142" i="23"/>
  <c r="G141" i="23"/>
  <c r="F141" i="23"/>
  <c r="F140" i="23"/>
  <c r="G140" i="23" s="1"/>
  <c r="G139" i="23"/>
  <c r="F139" i="23"/>
  <c r="G138" i="23"/>
  <c r="F138" i="23"/>
  <c r="F137" i="23"/>
  <c r="G137" i="23" s="1"/>
  <c r="F136" i="23"/>
  <c r="G136" i="23" s="1"/>
  <c r="F135" i="23"/>
  <c r="G135" i="23" s="1"/>
  <c r="F134" i="23"/>
  <c r="G134" i="23" s="1"/>
  <c r="G133" i="23"/>
  <c r="F133" i="23"/>
  <c r="F132" i="23"/>
  <c r="G132" i="23" s="1"/>
  <c r="G131" i="23"/>
  <c r="F131" i="23"/>
  <c r="F130" i="23"/>
  <c r="G130" i="23" s="1"/>
  <c r="G129" i="23"/>
  <c r="F129" i="23"/>
  <c r="F128" i="23"/>
  <c r="G128" i="23" s="1"/>
  <c r="F127" i="23"/>
  <c r="G127" i="23" s="1"/>
  <c r="F126" i="23"/>
  <c r="G126" i="23" s="1"/>
  <c r="G125" i="23"/>
  <c r="F125" i="23"/>
  <c r="F124" i="23"/>
  <c r="G124" i="23" s="1"/>
  <c r="G123" i="23"/>
  <c r="F123" i="23"/>
  <c r="G122" i="23"/>
  <c r="F122" i="23"/>
  <c r="F121" i="23"/>
  <c r="G121" i="23" s="1"/>
  <c r="F120" i="23"/>
  <c r="G120" i="23" s="1"/>
  <c r="G119" i="23"/>
  <c r="F119" i="23"/>
  <c r="G118" i="23"/>
  <c r="F118" i="23"/>
  <c r="F117" i="23"/>
  <c r="G117" i="23" s="1"/>
  <c r="F116" i="23"/>
  <c r="G116" i="23" s="1"/>
  <c r="G115" i="23"/>
  <c r="F115" i="23"/>
  <c r="G114" i="23"/>
  <c r="F114" i="23"/>
  <c r="G113" i="23"/>
  <c r="F113" i="23"/>
  <c r="F112" i="23"/>
  <c r="G112" i="23" s="1"/>
  <c r="F111" i="23"/>
  <c r="G111" i="23" s="1"/>
  <c r="F110" i="23"/>
  <c r="G110" i="23" s="1"/>
  <c r="G109" i="23"/>
  <c r="F109" i="23"/>
  <c r="F108" i="23"/>
  <c r="G108" i="23" s="1"/>
  <c r="G107" i="23"/>
  <c r="F107" i="23"/>
  <c r="G106" i="23"/>
  <c r="F106" i="23"/>
  <c r="G105" i="23"/>
  <c r="F105" i="23"/>
  <c r="F104" i="23"/>
  <c r="G104" i="23" s="1"/>
  <c r="F103" i="23"/>
  <c r="G103" i="23" s="1"/>
  <c r="G102" i="23"/>
  <c r="F102" i="23"/>
  <c r="G101" i="23"/>
  <c r="F101" i="23"/>
  <c r="F100" i="23"/>
  <c r="G100" i="23" s="1"/>
  <c r="G99" i="23"/>
  <c r="F99" i="23"/>
  <c r="F98" i="23"/>
  <c r="G98" i="23" s="1"/>
  <c r="G97" i="23"/>
  <c r="F97" i="23"/>
  <c r="F96" i="23"/>
  <c r="G96" i="23" s="1"/>
  <c r="G95" i="23"/>
  <c r="F95" i="23"/>
  <c r="F94" i="23"/>
  <c r="G94" i="23" s="1"/>
  <c r="F93" i="23"/>
  <c r="G93" i="23" s="1"/>
  <c r="F92" i="23"/>
  <c r="G92" i="23" s="1"/>
  <c r="G91" i="23"/>
  <c r="F91" i="23"/>
  <c r="G90" i="23"/>
  <c r="F90" i="23"/>
  <c r="G89" i="23"/>
  <c r="F89" i="23"/>
  <c r="F88" i="23"/>
  <c r="G88" i="23" s="1"/>
  <c r="G87" i="23"/>
  <c r="F87" i="23"/>
  <c r="F86" i="23"/>
  <c r="G86" i="23" s="1"/>
  <c r="F85" i="23"/>
  <c r="G85" i="23" s="1"/>
  <c r="F84" i="23"/>
  <c r="G84" i="23" s="1"/>
  <c r="F83" i="23"/>
  <c r="G83" i="23" s="1"/>
  <c r="F82" i="23"/>
  <c r="G82" i="23" s="1"/>
  <c r="G81" i="23"/>
  <c r="F81" i="23"/>
  <c r="F80" i="23"/>
  <c r="G80" i="23" s="1"/>
  <c r="G79" i="23"/>
  <c r="F79" i="23"/>
  <c r="G78" i="23"/>
  <c r="F78" i="23"/>
  <c r="G77" i="23"/>
  <c r="F77" i="23"/>
  <c r="F76" i="23"/>
  <c r="G76" i="23" s="1"/>
  <c r="G75" i="23"/>
  <c r="F75" i="23"/>
  <c r="F74" i="23"/>
  <c r="G74" i="23" s="1"/>
  <c r="G73" i="23"/>
  <c r="F73" i="23"/>
  <c r="F72" i="23"/>
  <c r="G72" i="23" s="1"/>
  <c r="F71" i="23"/>
  <c r="G71" i="23" s="1"/>
  <c r="G70" i="23"/>
  <c r="F70" i="23"/>
  <c r="F69" i="23"/>
  <c r="G69" i="23" s="1"/>
  <c r="F68" i="23"/>
  <c r="G68" i="23" s="1"/>
  <c r="G67" i="23"/>
  <c r="F67" i="23"/>
  <c r="G66" i="23"/>
  <c r="F66" i="23"/>
  <c r="G65" i="23"/>
  <c r="F65" i="23"/>
  <c r="F64" i="23"/>
  <c r="G64" i="23" s="1"/>
  <c r="F63" i="23"/>
  <c r="G63" i="23" s="1"/>
  <c r="F62" i="23"/>
  <c r="G62" i="23" s="1"/>
  <c r="G61" i="23"/>
  <c r="F61" i="23"/>
  <c r="F60" i="23"/>
  <c r="G60" i="23" s="1"/>
  <c r="F59" i="23"/>
  <c r="G59" i="23" s="1"/>
  <c r="G58" i="23"/>
  <c r="F58" i="23"/>
  <c r="F57" i="23"/>
  <c r="G57" i="23" s="1"/>
  <c r="F56" i="23"/>
  <c r="G56" i="23" s="1"/>
  <c r="G55" i="23"/>
  <c r="F55" i="23"/>
  <c r="G54" i="23"/>
  <c r="F54" i="23"/>
  <c r="F53" i="23"/>
  <c r="G53" i="23" s="1"/>
  <c r="F52" i="23"/>
  <c r="G52" i="23" s="1"/>
  <c r="G51" i="23"/>
  <c r="F51" i="23"/>
  <c r="G50" i="23"/>
  <c r="F50" i="23"/>
  <c r="G49" i="23"/>
  <c r="F49" i="23"/>
  <c r="F48" i="23"/>
  <c r="G48" i="23" s="1"/>
  <c r="B21" i="23"/>
  <c r="A21" i="23"/>
  <c r="B20" i="23"/>
  <c r="A20" i="23"/>
  <c r="B19" i="23"/>
  <c r="A19" i="23"/>
  <c r="B18" i="23"/>
  <c r="A18" i="23"/>
  <c r="B17" i="23"/>
  <c r="A17" i="23"/>
  <c r="B16" i="23"/>
  <c r="A16" i="23"/>
  <c r="B15" i="23"/>
  <c r="A15" i="23"/>
  <c r="B14" i="23"/>
  <c r="A14" i="23"/>
  <c r="B13" i="23"/>
  <c r="A13" i="23"/>
  <c r="B12" i="23"/>
  <c r="A12" i="23"/>
  <c r="B11" i="23"/>
  <c r="A11" i="23"/>
  <c r="B10" i="23"/>
  <c r="A10" i="23"/>
  <c r="B9" i="23"/>
  <c r="A9" i="23"/>
  <c r="B8" i="23"/>
  <c r="A8" i="23"/>
  <c r="B7" i="23"/>
  <c r="A7" i="23"/>
  <c r="B6" i="23"/>
  <c r="A6" i="23"/>
  <c r="B5" i="23"/>
  <c r="A5" i="23"/>
  <c r="C23" i="20" s="1"/>
  <c r="B4" i="23"/>
  <c r="A4" i="23"/>
  <c r="B3" i="23"/>
  <c r="A3" i="23"/>
  <c r="B2" i="23"/>
  <c r="A2" i="23"/>
  <c r="H44" i="22"/>
  <c r="V27" i="22"/>
  <c r="H21" i="22"/>
  <c r="C21" i="22"/>
  <c r="J20" i="22"/>
  <c r="B20" i="22"/>
  <c r="J19" i="22"/>
  <c r="B19" i="22"/>
  <c r="J18" i="22"/>
  <c r="B18" i="22"/>
  <c r="J17" i="22"/>
  <c r="B17" i="22"/>
  <c r="J16" i="22"/>
  <c r="B16" i="22"/>
  <c r="U24" i="15" s="1"/>
  <c r="J15" i="22"/>
  <c r="B15" i="22"/>
  <c r="J14" i="22"/>
  <c r="B14" i="22"/>
  <c r="J13" i="22"/>
  <c r="R24" i="14" s="1"/>
  <c r="B13" i="22"/>
  <c r="R24" i="17" s="1"/>
  <c r="J12" i="22"/>
  <c r="B12" i="22"/>
  <c r="J11" i="22"/>
  <c r="B11" i="22"/>
  <c r="J10" i="22"/>
  <c r="B10" i="22"/>
  <c r="J9" i="22"/>
  <c r="K24" i="16" s="1"/>
  <c r="B9" i="22"/>
  <c r="J8" i="22"/>
  <c r="B8" i="22"/>
  <c r="J7" i="22"/>
  <c r="B7" i="22"/>
  <c r="J6" i="22"/>
  <c r="B6" i="22"/>
  <c r="J5" i="22"/>
  <c r="B5" i="22"/>
  <c r="G24" i="17" s="1"/>
  <c r="J4" i="22"/>
  <c r="B4" i="22"/>
  <c r="J3" i="22"/>
  <c r="B3" i="22"/>
  <c r="G1" i="22"/>
  <c r="B1" i="22"/>
  <c r="AV23" i="21"/>
  <c r="AU23" i="21"/>
  <c r="AT23" i="21"/>
  <c r="AS23" i="21"/>
  <c r="AQ23" i="21"/>
  <c r="AP23" i="21"/>
  <c r="AO23" i="21"/>
  <c r="AN23" i="21"/>
  <c r="AL23" i="21"/>
  <c r="AK23" i="21"/>
  <c r="AJ23" i="21"/>
  <c r="AI23" i="21"/>
  <c r="AG23" i="21"/>
  <c r="AF23" i="21"/>
  <c r="AE23" i="21"/>
  <c r="AD23" i="21"/>
  <c r="AV22" i="21"/>
  <c r="AU22" i="21"/>
  <c r="AT22" i="21"/>
  <c r="AS22" i="21"/>
  <c r="AQ22" i="21"/>
  <c r="AP22" i="21"/>
  <c r="AO22" i="21"/>
  <c r="AN22" i="21"/>
  <c r="AL22" i="21"/>
  <c r="AK22" i="21"/>
  <c r="AJ22" i="21"/>
  <c r="AI22" i="21"/>
  <c r="AG22" i="21"/>
  <c r="AF22" i="21"/>
  <c r="AE22" i="21"/>
  <c r="AD22" i="21"/>
  <c r="AV21" i="21"/>
  <c r="AU21" i="21"/>
  <c r="AT21" i="21"/>
  <c r="AS21" i="21"/>
  <c r="AQ21" i="21"/>
  <c r="AP21" i="21"/>
  <c r="AO21" i="21"/>
  <c r="AN21" i="21"/>
  <c r="AL21" i="21"/>
  <c r="AK21" i="21"/>
  <c r="AJ21" i="21"/>
  <c r="AI21" i="21"/>
  <c r="AG21" i="21"/>
  <c r="AF21" i="21"/>
  <c r="AE21" i="21"/>
  <c r="AD21" i="21"/>
  <c r="AV20" i="21"/>
  <c r="AU20" i="21"/>
  <c r="AT20" i="21"/>
  <c r="AS20" i="21"/>
  <c r="AQ20" i="21"/>
  <c r="AP20" i="21"/>
  <c r="AO20" i="21"/>
  <c r="AN20" i="21"/>
  <c r="AL20" i="21"/>
  <c r="AK20" i="21"/>
  <c r="AJ20" i="21"/>
  <c r="AI20" i="21"/>
  <c r="AG20" i="21"/>
  <c r="AF20" i="21"/>
  <c r="AE20" i="21"/>
  <c r="AD20" i="21"/>
  <c r="AB20" i="21"/>
  <c r="X20" i="21"/>
  <c r="F19" i="21"/>
  <c r="B19" i="21"/>
  <c r="L20" i="21" s="1"/>
  <c r="S18" i="21"/>
  <c r="P18" i="21"/>
  <c r="B18" i="21"/>
  <c r="AB23" i="21" s="1"/>
  <c r="Y17" i="21"/>
  <c r="S17" i="21"/>
  <c r="M17" i="21"/>
  <c r="G17" i="21"/>
  <c r="D16" i="21"/>
  <c r="AB15" i="21"/>
  <c r="AB14" i="21"/>
  <c r="B14" i="21"/>
  <c r="AB13" i="21"/>
  <c r="B13" i="21"/>
  <c r="AB22" i="21" s="1"/>
  <c r="AT12" i="21"/>
  <c r="AS12" i="21"/>
  <c r="AO12" i="21"/>
  <c r="AN12" i="21"/>
  <c r="AJ12" i="21"/>
  <c r="AI12" i="21"/>
  <c r="AE12" i="21"/>
  <c r="AD12" i="21"/>
  <c r="AB12" i="21"/>
  <c r="Y12" i="21"/>
  <c r="S12" i="21"/>
  <c r="M12" i="21"/>
  <c r="G12" i="21"/>
  <c r="AB11" i="21"/>
  <c r="D11" i="21"/>
  <c r="AT10" i="21"/>
  <c r="AS10" i="21"/>
  <c r="AO10" i="21"/>
  <c r="AN10" i="21"/>
  <c r="AJ10" i="21"/>
  <c r="AI10" i="21"/>
  <c r="AE10" i="21"/>
  <c r="AD10" i="21"/>
  <c r="AB10" i="21"/>
  <c r="B10" i="21"/>
  <c r="AT9" i="21"/>
  <c r="AS9" i="21"/>
  <c r="AO9" i="21"/>
  <c r="AN9" i="21"/>
  <c r="AJ9" i="21"/>
  <c r="AI9" i="21"/>
  <c r="AE9" i="21"/>
  <c r="AD9" i="21"/>
  <c r="AB9" i="21"/>
  <c r="P3" i="21" s="1"/>
  <c r="B9" i="21"/>
  <c r="AT8" i="21"/>
  <c r="AS8" i="21"/>
  <c r="AO8" i="21"/>
  <c r="AN8" i="21"/>
  <c r="AJ8" i="21"/>
  <c r="AI8" i="21"/>
  <c r="AE8" i="21"/>
  <c r="AD8" i="21"/>
  <c r="AB8" i="21"/>
  <c r="P8" i="21"/>
  <c r="M8" i="21"/>
  <c r="J8" i="21"/>
  <c r="B8" i="21"/>
  <c r="AB21" i="21" s="1"/>
  <c r="AT7" i="21"/>
  <c r="AS7" i="21"/>
  <c r="AO7" i="21"/>
  <c r="AN7" i="21"/>
  <c r="AJ7" i="21"/>
  <c r="AI7" i="21"/>
  <c r="AE7" i="21"/>
  <c r="AD7" i="21"/>
  <c r="AB7" i="21"/>
  <c r="Y7" i="21"/>
  <c r="V7" i="21"/>
  <c r="AR21" i="21" s="1"/>
  <c r="S7" i="21"/>
  <c r="P7" i="21"/>
  <c r="AM21" i="21" s="1"/>
  <c r="M7" i="21"/>
  <c r="G7" i="21"/>
  <c r="AT6" i="21"/>
  <c r="AS6" i="21"/>
  <c r="AO6" i="21"/>
  <c r="AN6" i="21"/>
  <c r="AJ6" i="21"/>
  <c r="AI6" i="21"/>
  <c r="AE6" i="21"/>
  <c r="AD6" i="21"/>
  <c r="AB6" i="21"/>
  <c r="D6" i="21"/>
  <c r="AT5" i="21"/>
  <c r="AS5" i="21"/>
  <c r="AO5" i="21"/>
  <c r="AN5" i="21"/>
  <c r="AJ5" i="21"/>
  <c r="AI5" i="21"/>
  <c r="AE5" i="21"/>
  <c r="AD5" i="21"/>
  <c r="AB5" i="21"/>
  <c r="B5" i="21"/>
  <c r="AT4" i="21"/>
  <c r="AS4" i="21"/>
  <c r="AO4" i="21"/>
  <c r="AN4" i="21"/>
  <c r="AJ4" i="21"/>
  <c r="AI4" i="21"/>
  <c r="AE4" i="21"/>
  <c r="AD4" i="21"/>
  <c r="AB4" i="21"/>
  <c r="B4" i="21"/>
  <c r="B3" i="21"/>
  <c r="Y2" i="21"/>
  <c r="S2" i="21"/>
  <c r="M2" i="21"/>
  <c r="G2" i="21"/>
  <c r="D1" i="21"/>
  <c r="M27" i="20"/>
  <c r="AR17" i="27" s="1"/>
  <c r="B27" i="20"/>
  <c r="M26" i="20"/>
  <c r="B26" i="20"/>
  <c r="M25" i="20"/>
  <c r="B25" i="20"/>
  <c r="M24" i="20"/>
  <c r="B24" i="20"/>
  <c r="M23" i="20"/>
  <c r="AR19" i="27" s="1"/>
  <c r="B23" i="20"/>
  <c r="B14" i="16" s="1"/>
  <c r="B26" i="18" s="1"/>
  <c r="M22" i="20"/>
  <c r="AR16" i="27" s="1"/>
  <c r="B22" i="20"/>
  <c r="M21" i="20"/>
  <c r="B21" i="20"/>
  <c r="S20" i="20"/>
  <c r="M20" i="20"/>
  <c r="B20" i="20"/>
  <c r="S19" i="20"/>
  <c r="S18" i="20"/>
  <c r="B15" i="21" s="1"/>
  <c r="M18" i="20"/>
  <c r="AR8" i="27" s="1"/>
  <c r="B18" i="20"/>
  <c r="S17" i="20"/>
  <c r="M17" i="20"/>
  <c r="AR6" i="27" s="1"/>
  <c r="B17" i="20"/>
  <c r="S16" i="20"/>
  <c r="M16" i="20"/>
  <c r="B16" i="20"/>
  <c r="S15" i="20"/>
  <c r="B20" i="21" s="1"/>
  <c r="M15" i="20"/>
  <c r="B15" i="20"/>
  <c r="S14" i="20"/>
  <c r="M14" i="20"/>
  <c r="B14" i="20"/>
  <c r="S13" i="20"/>
  <c r="M13" i="20"/>
  <c r="B13" i="20"/>
  <c r="S12" i="20"/>
  <c r="M12" i="20"/>
  <c r="B12" i="20"/>
  <c r="M11" i="20"/>
  <c r="AR10" i="27" s="1"/>
  <c r="B11" i="20"/>
  <c r="F9" i="20"/>
  <c r="L8" i="20"/>
  <c r="J8" i="20"/>
  <c r="P45" i="19"/>
  <c r="A45" i="19"/>
  <c r="D45" i="19" s="1"/>
  <c r="P40" i="19"/>
  <c r="D40" i="19"/>
  <c r="N37" i="19"/>
  <c r="I35" i="19"/>
  <c r="V34" i="19"/>
  <c r="U34" i="19"/>
  <c r="Q34" i="19"/>
  <c r="L33" i="19"/>
  <c r="C34" i="22" s="1"/>
  <c r="Y29" i="19"/>
  <c r="X29" i="19"/>
  <c r="W29" i="19"/>
  <c r="V29" i="19"/>
  <c r="U29" i="19"/>
  <c r="T29" i="19"/>
  <c r="S29" i="19"/>
  <c r="R29" i="19"/>
  <c r="Q29" i="19"/>
  <c r="N29" i="19"/>
  <c r="M29" i="19"/>
  <c r="L29" i="19"/>
  <c r="K29" i="19"/>
  <c r="J29" i="19"/>
  <c r="I29" i="19"/>
  <c r="H29" i="19"/>
  <c r="G29" i="19"/>
  <c r="F29" i="19"/>
  <c r="E29" i="19"/>
  <c r="AB28" i="19"/>
  <c r="AA28" i="19"/>
  <c r="Z28" i="19"/>
  <c r="AB27" i="19"/>
  <c r="AA27" i="19"/>
  <c r="Z27" i="19"/>
  <c r="Y26" i="19"/>
  <c r="X26" i="19"/>
  <c r="W26" i="19"/>
  <c r="V26" i="19"/>
  <c r="U26" i="19"/>
  <c r="T26" i="19"/>
  <c r="S26" i="19"/>
  <c r="R26" i="19"/>
  <c r="Q26" i="19"/>
  <c r="M26" i="19"/>
  <c r="L26" i="19"/>
  <c r="K26" i="19"/>
  <c r="J26" i="19"/>
  <c r="I26" i="19"/>
  <c r="H26" i="19"/>
  <c r="G26" i="19"/>
  <c r="F26" i="19"/>
  <c r="E26" i="19"/>
  <c r="B26" i="19"/>
  <c r="A26" i="19"/>
  <c r="AB25" i="19"/>
  <c r="AA25" i="19"/>
  <c r="Z25" i="19"/>
  <c r="AB24" i="19"/>
  <c r="AA24" i="19"/>
  <c r="Z24" i="19"/>
  <c r="Z23" i="19"/>
  <c r="Y23" i="19"/>
  <c r="X23" i="19"/>
  <c r="W23" i="19"/>
  <c r="V23" i="19"/>
  <c r="U23" i="19"/>
  <c r="T23" i="19"/>
  <c r="S23" i="19"/>
  <c r="R23" i="19"/>
  <c r="Q23" i="19"/>
  <c r="M23" i="19"/>
  <c r="L23" i="19"/>
  <c r="K23" i="19"/>
  <c r="J23" i="19"/>
  <c r="I23" i="19"/>
  <c r="H23" i="19"/>
  <c r="G23" i="19"/>
  <c r="F23" i="19"/>
  <c r="E23" i="19"/>
  <c r="AB22" i="19"/>
  <c r="AA22" i="19"/>
  <c r="Z22" i="19"/>
  <c r="AB21" i="19"/>
  <c r="AA21" i="19"/>
  <c r="Z21" i="19"/>
  <c r="Z20" i="19"/>
  <c r="Y20" i="19"/>
  <c r="X20" i="19"/>
  <c r="W20" i="19"/>
  <c r="V20" i="19"/>
  <c r="U20" i="19"/>
  <c r="T20" i="19"/>
  <c r="S20" i="19"/>
  <c r="R20" i="19"/>
  <c r="Q20" i="19"/>
  <c r="M20" i="19"/>
  <c r="L20" i="19"/>
  <c r="K20" i="19"/>
  <c r="J20" i="19"/>
  <c r="I20" i="19"/>
  <c r="H20" i="19"/>
  <c r="G20" i="19"/>
  <c r="F20" i="19"/>
  <c r="E20" i="19"/>
  <c r="AB19" i="19"/>
  <c r="AA19" i="19"/>
  <c r="Z19" i="19"/>
  <c r="AB18" i="19"/>
  <c r="AA18" i="19"/>
  <c r="Z18" i="19"/>
  <c r="Z17" i="19"/>
  <c r="Y17" i="19"/>
  <c r="X17" i="19"/>
  <c r="W17" i="19"/>
  <c r="V17" i="19"/>
  <c r="U17" i="19"/>
  <c r="T17" i="19"/>
  <c r="S17" i="19"/>
  <c r="R17" i="19"/>
  <c r="Q17" i="19"/>
  <c r="O17" i="19"/>
  <c r="M17" i="19"/>
  <c r="L17" i="19"/>
  <c r="K17" i="19"/>
  <c r="J17" i="19"/>
  <c r="I17" i="19"/>
  <c r="H17" i="19"/>
  <c r="G17" i="19"/>
  <c r="F17" i="19"/>
  <c r="E17" i="19"/>
  <c r="AB16" i="19"/>
  <c r="AA16" i="19"/>
  <c r="Z16" i="19"/>
  <c r="P16" i="19"/>
  <c r="O16" i="19"/>
  <c r="N16" i="19"/>
  <c r="D16" i="19"/>
  <c r="C16" i="19"/>
  <c r="B16" i="19"/>
  <c r="A16" i="19"/>
  <c r="AB15" i="19"/>
  <c r="AA15" i="19"/>
  <c r="Z15" i="19"/>
  <c r="P15" i="19"/>
  <c r="O15" i="19"/>
  <c r="N15" i="19"/>
  <c r="D15" i="19"/>
  <c r="C15" i="19"/>
  <c r="Y14" i="19"/>
  <c r="X14" i="19"/>
  <c r="W14" i="19"/>
  <c r="V14" i="19"/>
  <c r="U14" i="19"/>
  <c r="T14" i="19"/>
  <c r="S14" i="19"/>
  <c r="R14" i="19"/>
  <c r="Q14" i="19"/>
  <c r="O14" i="19"/>
  <c r="N14" i="19"/>
  <c r="M14" i="19"/>
  <c r="L14" i="19"/>
  <c r="K14" i="19"/>
  <c r="J14" i="19"/>
  <c r="I14" i="19"/>
  <c r="H14" i="19"/>
  <c r="G14" i="19"/>
  <c r="F14" i="19"/>
  <c r="E14" i="19"/>
  <c r="AB13" i="19"/>
  <c r="AA13" i="19"/>
  <c r="Z13" i="19"/>
  <c r="P13" i="19"/>
  <c r="O13" i="19"/>
  <c r="N13" i="19"/>
  <c r="D13" i="19"/>
  <c r="C13" i="19"/>
  <c r="A13" i="19"/>
  <c r="AB12" i="19"/>
  <c r="AA12" i="19"/>
  <c r="Z12" i="19"/>
  <c r="P12" i="19"/>
  <c r="O12" i="19"/>
  <c r="N12" i="19"/>
  <c r="D12" i="19"/>
  <c r="C12" i="19"/>
  <c r="Y11" i="19"/>
  <c r="X11" i="19"/>
  <c r="W11" i="19"/>
  <c r="V11" i="19"/>
  <c r="U11" i="19"/>
  <c r="T11" i="19"/>
  <c r="S11" i="19"/>
  <c r="R11" i="19"/>
  <c r="Q11" i="19"/>
  <c r="O11" i="19"/>
  <c r="M11" i="19"/>
  <c r="L11" i="19"/>
  <c r="K11" i="19"/>
  <c r="J11" i="19"/>
  <c r="I11" i="19"/>
  <c r="H11" i="19"/>
  <c r="G11" i="19"/>
  <c r="F11" i="19"/>
  <c r="E11" i="19"/>
  <c r="AB10" i="19"/>
  <c r="AA10" i="19"/>
  <c r="Z10" i="19"/>
  <c r="P10" i="19"/>
  <c r="O10" i="19"/>
  <c r="N10" i="19"/>
  <c r="D10" i="19"/>
  <c r="C10" i="19"/>
  <c r="B10" i="19"/>
  <c r="A10" i="19"/>
  <c r="AB9" i="19"/>
  <c r="AA9" i="19"/>
  <c r="Z9" i="19"/>
  <c r="P9" i="19"/>
  <c r="O9" i="19"/>
  <c r="N9" i="19"/>
  <c r="D9" i="19"/>
  <c r="C9" i="19"/>
  <c r="Y8" i="19"/>
  <c r="X8" i="19"/>
  <c r="W8" i="19"/>
  <c r="V8" i="19"/>
  <c r="U8" i="19"/>
  <c r="T8" i="19"/>
  <c r="S8" i="19"/>
  <c r="R8" i="19"/>
  <c r="Q8" i="19"/>
  <c r="O8" i="19"/>
  <c r="M8" i="19"/>
  <c r="L8" i="19"/>
  <c r="K8" i="19"/>
  <c r="J8" i="19"/>
  <c r="I8" i="19"/>
  <c r="H8" i="19"/>
  <c r="G8" i="19"/>
  <c r="F8" i="19"/>
  <c r="E8" i="19"/>
  <c r="AB7" i="19"/>
  <c r="AA7" i="19"/>
  <c r="Z7" i="19"/>
  <c r="P7" i="19"/>
  <c r="O7" i="19"/>
  <c r="N7" i="19"/>
  <c r="D7" i="19"/>
  <c r="C7" i="19"/>
  <c r="AB6" i="19"/>
  <c r="AA6" i="19"/>
  <c r="Z6" i="19"/>
  <c r="P6" i="19"/>
  <c r="O6" i="19"/>
  <c r="N6" i="19"/>
  <c r="D6" i="19"/>
  <c r="C6" i="19"/>
  <c r="T4" i="19"/>
  <c r="T33" i="19" s="1"/>
  <c r="C39" i="22" s="1"/>
  <c r="S4" i="19"/>
  <c r="S33" i="19" s="1"/>
  <c r="C38" i="22" s="1"/>
  <c r="M4" i="19"/>
  <c r="M33" i="19" s="1"/>
  <c r="C35" i="22" s="1"/>
  <c r="D4" i="19"/>
  <c r="C4" i="19"/>
  <c r="Y3" i="19"/>
  <c r="D3" i="19"/>
  <c r="C3" i="19"/>
  <c r="J2" i="19"/>
  <c r="I2" i="19"/>
  <c r="H2" i="19"/>
  <c r="G2" i="19"/>
  <c r="F2" i="19"/>
  <c r="E2" i="19"/>
  <c r="D2" i="19"/>
  <c r="C2" i="19"/>
  <c r="P1" i="19"/>
  <c r="C1" i="19"/>
  <c r="B1" i="19"/>
  <c r="P45" i="18"/>
  <c r="A45" i="18"/>
  <c r="D45" i="18" s="1"/>
  <c r="D42" i="18"/>
  <c r="P42" i="18" s="1"/>
  <c r="A42" i="18"/>
  <c r="W35" i="18"/>
  <c r="V35" i="18"/>
  <c r="G35" i="18"/>
  <c r="Y34" i="18"/>
  <c r="X34" i="18"/>
  <c r="W34" i="18"/>
  <c r="V34" i="18"/>
  <c r="U34" i="18"/>
  <c r="T34" i="18"/>
  <c r="S34" i="18"/>
  <c r="R34" i="18"/>
  <c r="Q34" i="18"/>
  <c r="M34" i="18"/>
  <c r="L34" i="18"/>
  <c r="K34" i="18"/>
  <c r="J34" i="18"/>
  <c r="I34" i="18"/>
  <c r="H34" i="18"/>
  <c r="G34" i="18"/>
  <c r="F34" i="18"/>
  <c r="E34" i="18"/>
  <c r="Y29" i="18"/>
  <c r="X29" i="18"/>
  <c r="W29" i="18"/>
  <c r="V29" i="18"/>
  <c r="U29" i="18"/>
  <c r="T29" i="18"/>
  <c r="S29" i="18"/>
  <c r="R29" i="18"/>
  <c r="Q29" i="18"/>
  <c r="O29" i="18"/>
  <c r="M29" i="18"/>
  <c r="L29" i="18"/>
  <c r="K29" i="18"/>
  <c r="J29" i="18"/>
  <c r="I29" i="18"/>
  <c r="H29" i="18"/>
  <c r="G29" i="18"/>
  <c r="F29" i="18"/>
  <c r="E29" i="18"/>
  <c r="AB28" i="18"/>
  <c r="AA28" i="18"/>
  <c r="Z28" i="18"/>
  <c r="P28" i="18"/>
  <c r="O28" i="18"/>
  <c r="N28" i="18"/>
  <c r="D28" i="18"/>
  <c r="C28" i="18"/>
  <c r="AB27" i="18"/>
  <c r="AA27" i="18"/>
  <c r="Z27" i="18"/>
  <c r="P27" i="18"/>
  <c r="O27" i="18"/>
  <c r="N27" i="18"/>
  <c r="D27" i="18"/>
  <c r="C27" i="18"/>
  <c r="Y26" i="18"/>
  <c r="X26" i="18"/>
  <c r="W26" i="18"/>
  <c r="V26" i="18"/>
  <c r="U26" i="18"/>
  <c r="T26" i="18"/>
  <c r="S26" i="18"/>
  <c r="R26" i="18"/>
  <c r="Q26" i="18"/>
  <c r="P26" i="18"/>
  <c r="O26" i="18"/>
  <c r="M26" i="18"/>
  <c r="L26" i="18"/>
  <c r="K26" i="18"/>
  <c r="J26" i="18"/>
  <c r="I26" i="18"/>
  <c r="H26" i="18"/>
  <c r="G26" i="18"/>
  <c r="F26" i="18"/>
  <c r="E26" i="18"/>
  <c r="AB25" i="18"/>
  <c r="AA25" i="18"/>
  <c r="Z25" i="18"/>
  <c r="P25" i="18"/>
  <c r="O25" i="18"/>
  <c r="N25" i="18"/>
  <c r="D25" i="18"/>
  <c r="C25" i="18"/>
  <c r="AB24" i="18"/>
  <c r="AA24" i="18"/>
  <c r="Z24" i="18"/>
  <c r="P24" i="18"/>
  <c r="O24" i="18"/>
  <c r="N24" i="18"/>
  <c r="D24" i="18"/>
  <c r="C24" i="18"/>
  <c r="Y23" i="18"/>
  <c r="X23" i="18"/>
  <c r="W23" i="18"/>
  <c r="V23" i="18"/>
  <c r="U23" i="18"/>
  <c r="T23" i="18"/>
  <c r="S23" i="18"/>
  <c r="R23" i="18"/>
  <c r="Q23" i="18"/>
  <c r="O23" i="18"/>
  <c r="N23" i="18"/>
  <c r="M23" i="18"/>
  <c r="L23" i="18"/>
  <c r="K23" i="18"/>
  <c r="J23" i="18"/>
  <c r="I23" i="18"/>
  <c r="H23" i="18"/>
  <c r="G23" i="18"/>
  <c r="F23" i="18"/>
  <c r="E23" i="18"/>
  <c r="AB22" i="18"/>
  <c r="AA22" i="18"/>
  <c r="Z22" i="18"/>
  <c r="P22" i="18"/>
  <c r="O22" i="18"/>
  <c r="N22" i="18"/>
  <c r="D22" i="18"/>
  <c r="C22" i="18"/>
  <c r="AB21" i="18"/>
  <c r="AA21" i="18"/>
  <c r="Z21" i="18"/>
  <c r="P21" i="18"/>
  <c r="O21" i="18"/>
  <c r="N21" i="18"/>
  <c r="D21" i="18"/>
  <c r="C21" i="18"/>
  <c r="Y20" i="18"/>
  <c r="X20" i="18"/>
  <c r="W20" i="18"/>
  <c r="V20" i="18"/>
  <c r="U20" i="18"/>
  <c r="T20" i="18"/>
  <c r="S20" i="18"/>
  <c r="R20" i="18"/>
  <c r="Q20" i="18"/>
  <c r="O20" i="18"/>
  <c r="M20" i="18"/>
  <c r="L20" i="18"/>
  <c r="K20" i="18"/>
  <c r="J20" i="18"/>
  <c r="I20" i="18"/>
  <c r="H20" i="18"/>
  <c r="G20" i="18"/>
  <c r="F20" i="18"/>
  <c r="E20" i="18"/>
  <c r="AB19" i="18"/>
  <c r="AA19" i="18"/>
  <c r="Z19" i="18"/>
  <c r="P19" i="18"/>
  <c r="O19" i="18"/>
  <c r="N19" i="18"/>
  <c r="D19" i="18"/>
  <c r="C19" i="18"/>
  <c r="B19" i="18"/>
  <c r="A19" i="18"/>
  <c r="AB18" i="18"/>
  <c r="AA18" i="18"/>
  <c r="Z18" i="18"/>
  <c r="P18" i="18"/>
  <c r="O18" i="18"/>
  <c r="N18" i="18"/>
  <c r="D18" i="18"/>
  <c r="C18" i="18"/>
  <c r="Y17" i="18"/>
  <c r="X17" i="18"/>
  <c r="W17" i="18"/>
  <c r="V17" i="18"/>
  <c r="U17" i="18"/>
  <c r="T17" i="18"/>
  <c r="S17" i="18"/>
  <c r="R17" i="18"/>
  <c r="Q17" i="18"/>
  <c r="O17" i="18"/>
  <c r="M17" i="18"/>
  <c r="L17" i="18"/>
  <c r="K17" i="18"/>
  <c r="J17" i="18"/>
  <c r="I17" i="18"/>
  <c r="H17" i="18"/>
  <c r="G17" i="18"/>
  <c r="F17" i="18"/>
  <c r="E17" i="18"/>
  <c r="AB16" i="18"/>
  <c r="AA16" i="18"/>
  <c r="Z16" i="18"/>
  <c r="P16" i="18"/>
  <c r="O16" i="18"/>
  <c r="N16" i="18"/>
  <c r="D16" i="18"/>
  <c r="C16" i="18"/>
  <c r="B16" i="18"/>
  <c r="A16" i="18"/>
  <c r="AB15" i="18"/>
  <c r="AA15" i="18"/>
  <c r="Z15" i="18"/>
  <c r="P15" i="18"/>
  <c r="O15" i="18"/>
  <c r="N15" i="18"/>
  <c r="D15" i="18"/>
  <c r="C15" i="18"/>
  <c r="Y14" i="18"/>
  <c r="X14" i="18"/>
  <c r="W14" i="18"/>
  <c r="V14" i="18"/>
  <c r="U14" i="18"/>
  <c r="T14" i="18"/>
  <c r="S14" i="18"/>
  <c r="R14" i="18"/>
  <c r="Q14" i="18"/>
  <c r="O14" i="18"/>
  <c r="M14" i="18"/>
  <c r="L14" i="18"/>
  <c r="K14" i="18"/>
  <c r="J14" i="18"/>
  <c r="I14" i="18"/>
  <c r="H14" i="18"/>
  <c r="G14" i="18"/>
  <c r="F14" i="18"/>
  <c r="E14" i="18"/>
  <c r="AB13" i="18"/>
  <c r="AA13" i="18"/>
  <c r="Z13" i="18"/>
  <c r="P13" i="18"/>
  <c r="O13" i="18"/>
  <c r="N13" i="18"/>
  <c r="D13" i="18"/>
  <c r="C13" i="18"/>
  <c r="B13" i="18"/>
  <c r="A13" i="18"/>
  <c r="AB12" i="18"/>
  <c r="AA12" i="18"/>
  <c r="Z12" i="18"/>
  <c r="P12" i="18"/>
  <c r="O12" i="18"/>
  <c r="N12" i="18"/>
  <c r="D12" i="18"/>
  <c r="C12" i="18"/>
  <c r="Z11" i="18"/>
  <c r="Y11" i="18"/>
  <c r="X11" i="18"/>
  <c r="W11" i="18"/>
  <c r="V11" i="18"/>
  <c r="U11" i="18"/>
  <c r="T11" i="18"/>
  <c r="S11" i="18"/>
  <c r="R11" i="18"/>
  <c r="Q11" i="18"/>
  <c r="O11" i="18"/>
  <c r="M11" i="18"/>
  <c r="L11" i="18"/>
  <c r="K11" i="18"/>
  <c r="J11" i="18"/>
  <c r="I11" i="18"/>
  <c r="H11" i="18"/>
  <c r="G11" i="18"/>
  <c r="F11" i="18"/>
  <c r="E11" i="18"/>
  <c r="AB10" i="18"/>
  <c r="AA10" i="18"/>
  <c r="Z10" i="18"/>
  <c r="P10" i="18"/>
  <c r="O10" i="18"/>
  <c r="N10" i="18"/>
  <c r="D10" i="18"/>
  <c r="C10" i="18"/>
  <c r="B10" i="18"/>
  <c r="A10" i="18"/>
  <c r="AB9" i="18"/>
  <c r="AA9" i="18"/>
  <c r="Z9" i="18"/>
  <c r="P9" i="18"/>
  <c r="O9" i="18"/>
  <c r="N9" i="18"/>
  <c r="D9" i="18"/>
  <c r="C9" i="18"/>
  <c r="Z8" i="18"/>
  <c r="Y8" i="18"/>
  <c r="X8" i="18"/>
  <c r="W8" i="18"/>
  <c r="V8" i="18"/>
  <c r="U8" i="18"/>
  <c r="T8" i="18"/>
  <c r="S8" i="18"/>
  <c r="R8" i="18"/>
  <c r="Q8" i="18"/>
  <c r="O8" i="18"/>
  <c r="M8" i="18"/>
  <c r="L8" i="18"/>
  <c r="K8" i="18"/>
  <c r="J8" i="18"/>
  <c r="I8" i="18"/>
  <c r="H8" i="18"/>
  <c r="G8" i="18"/>
  <c r="F8" i="18"/>
  <c r="E8" i="18"/>
  <c r="A8" i="18"/>
  <c r="A39" i="18" s="1"/>
  <c r="D39" i="18" s="1"/>
  <c r="P39" i="18" s="1"/>
  <c r="AB7" i="18"/>
  <c r="AA7" i="18"/>
  <c r="Z7" i="18"/>
  <c r="P7" i="18"/>
  <c r="O7" i="18"/>
  <c r="N7" i="18"/>
  <c r="D7" i="18"/>
  <c r="C7" i="18"/>
  <c r="B7" i="18"/>
  <c r="A7" i="18"/>
  <c r="AB6" i="18"/>
  <c r="AA6" i="18"/>
  <c r="Z6" i="18"/>
  <c r="P6" i="18"/>
  <c r="O6" i="18"/>
  <c r="N6" i="18"/>
  <c r="D6" i="18"/>
  <c r="C6" i="18"/>
  <c r="X4" i="18"/>
  <c r="X33" i="18" s="1"/>
  <c r="H43" i="22" s="1"/>
  <c r="U4" i="18"/>
  <c r="U33" i="18" s="1"/>
  <c r="H40" i="22" s="1"/>
  <c r="T4" i="18"/>
  <c r="T33" i="18" s="1"/>
  <c r="H39" i="22" s="1"/>
  <c r="S4" i="18"/>
  <c r="S33" i="18" s="1"/>
  <c r="H38" i="22" s="1"/>
  <c r="J4" i="18"/>
  <c r="J33" i="18" s="1"/>
  <c r="H32" i="22" s="1"/>
  <c r="I4" i="18"/>
  <c r="I33" i="18" s="1"/>
  <c r="H31" i="22" s="1"/>
  <c r="H4" i="18"/>
  <c r="H33" i="18" s="1"/>
  <c r="H30" i="22" s="1"/>
  <c r="G4" i="18"/>
  <c r="G33" i="18" s="1"/>
  <c r="H29" i="22" s="1"/>
  <c r="V3" i="18"/>
  <c r="U3" i="18"/>
  <c r="T3" i="18"/>
  <c r="S3" i="18"/>
  <c r="K3" i="18"/>
  <c r="I3" i="18"/>
  <c r="H3" i="18"/>
  <c r="B2" i="18"/>
  <c r="P1" i="18"/>
  <c r="C1" i="18"/>
  <c r="W3" i="18" s="1"/>
  <c r="B1" i="18"/>
  <c r="A28" i="17"/>
  <c r="A33" i="17" s="1"/>
  <c r="A27" i="17"/>
  <c r="A32" i="17" s="1"/>
  <c r="Y24" i="17"/>
  <c r="X24" i="17"/>
  <c r="W24" i="17"/>
  <c r="V24" i="17"/>
  <c r="U24" i="17"/>
  <c r="T24" i="17"/>
  <c r="S24" i="17"/>
  <c r="Q24" i="17"/>
  <c r="M24" i="17"/>
  <c r="L24" i="17"/>
  <c r="K24" i="17"/>
  <c r="J24" i="17"/>
  <c r="I24" i="17"/>
  <c r="H24" i="17"/>
  <c r="F24" i="17"/>
  <c r="E24" i="17"/>
  <c r="Y23" i="17"/>
  <c r="X23" i="17"/>
  <c r="W23" i="17"/>
  <c r="V23" i="17"/>
  <c r="U23" i="17"/>
  <c r="T23" i="17"/>
  <c r="S23" i="17"/>
  <c r="R23" i="17"/>
  <c r="Q23" i="17"/>
  <c r="M23" i="17"/>
  <c r="L23" i="17"/>
  <c r="K23" i="17"/>
  <c r="J23" i="17"/>
  <c r="I23" i="17"/>
  <c r="H23" i="17"/>
  <c r="G23" i="17"/>
  <c r="F23" i="17"/>
  <c r="E23" i="17"/>
  <c r="G21" i="17"/>
  <c r="G37" i="19" s="1"/>
  <c r="E5" i="22" s="1"/>
  <c r="S20" i="17"/>
  <c r="S35" i="19" s="1"/>
  <c r="H20" i="17"/>
  <c r="H35" i="19" s="1"/>
  <c r="Y19" i="17"/>
  <c r="Y34" i="19" s="1"/>
  <c r="X19" i="17"/>
  <c r="X34" i="19" s="1"/>
  <c r="W19" i="17"/>
  <c r="W34" i="19" s="1"/>
  <c r="V19" i="17"/>
  <c r="U19" i="17"/>
  <c r="T19" i="17"/>
  <c r="T34" i="19" s="1"/>
  <c r="S19" i="17"/>
  <c r="S34" i="19" s="1"/>
  <c r="R19" i="17"/>
  <c r="R34" i="19" s="1"/>
  <c r="Q19" i="17"/>
  <c r="M19" i="17"/>
  <c r="M34" i="19" s="1"/>
  <c r="L19" i="17"/>
  <c r="L34" i="19" s="1"/>
  <c r="K19" i="17"/>
  <c r="K34" i="19" s="1"/>
  <c r="J19" i="17"/>
  <c r="J34" i="19" s="1"/>
  <c r="I19" i="17"/>
  <c r="I34" i="19" s="1"/>
  <c r="H19" i="17"/>
  <c r="H34" i="19" s="1"/>
  <c r="G19" i="17"/>
  <c r="G34" i="19" s="1"/>
  <c r="F19" i="17"/>
  <c r="F34" i="19" s="1"/>
  <c r="E19" i="17"/>
  <c r="E34" i="19" s="1"/>
  <c r="AA17" i="17"/>
  <c r="AA29" i="19" s="1"/>
  <c r="Z17" i="17"/>
  <c r="Z29" i="19" s="1"/>
  <c r="N17" i="17"/>
  <c r="B17" i="17"/>
  <c r="B29" i="19" s="1"/>
  <c r="A17" i="17"/>
  <c r="Z14" i="17"/>
  <c r="P14" i="17"/>
  <c r="P26" i="19" s="1"/>
  <c r="N14" i="17"/>
  <c r="N26" i="19" s="1"/>
  <c r="B14" i="17"/>
  <c r="A14" i="17"/>
  <c r="AA11" i="17"/>
  <c r="AA23" i="19" s="1"/>
  <c r="Z11" i="17"/>
  <c r="N11" i="17"/>
  <c r="N23" i="19" s="1"/>
  <c r="B11" i="17"/>
  <c r="B23" i="19" s="1"/>
  <c r="A11" i="17"/>
  <c r="A23" i="19" s="1"/>
  <c r="A44" i="19" s="1"/>
  <c r="D44" i="19" s="1"/>
  <c r="P44" i="19" s="1"/>
  <c r="Z8" i="17"/>
  <c r="AA8" i="17" s="1"/>
  <c r="N8" i="17"/>
  <c r="N20" i="19" s="1"/>
  <c r="A8" i="17"/>
  <c r="P8" i="17" s="1"/>
  <c r="P20" i="19" s="1"/>
  <c r="K4" i="17"/>
  <c r="J4" i="17"/>
  <c r="X3" i="17"/>
  <c r="B2" i="17"/>
  <c r="U1" i="17"/>
  <c r="P1" i="17"/>
  <c r="E1" i="17"/>
  <c r="C1" i="17"/>
  <c r="B1" i="17"/>
  <c r="A28" i="16"/>
  <c r="A33" i="16" s="1"/>
  <c r="A27" i="16"/>
  <c r="A32" i="16" s="1"/>
  <c r="Y24" i="16"/>
  <c r="X24" i="16"/>
  <c r="W24" i="16"/>
  <c r="V24" i="16"/>
  <c r="U24" i="16"/>
  <c r="T24" i="16"/>
  <c r="S24" i="16"/>
  <c r="Q24" i="16"/>
  <c r="M24" i="16"/>
  <c r="L24" i="16"/>
  <c r="J24" i="16"/>
  <c r="I24" i="16"/>
  <c r="H24" i="16"/>
  <c r="G24" i="16"/>
  <c r="E24" i="16"/>
  <c r="Y23" i="16"/>
  <c r="X23" i="16"/>
  <c r="W23" i="16"/>
  <c r="V23" i="16"/>
  <c r="U23" i="16"/>
  <c r="T23" i="16"/>
  <c r="S23" i="16"/>
  <c r="R23" i="16"/>
  <c r="Q23" i="16"/>
  <c r="M23" i="16"/>
  <c r="L23" i="16"/>
  <c r="K23" i="16"/>
  <c r="J23" i="16"/>
  <c r="I23" i="16"/>
  <c r="H23" i="16"/>
  <c r="G23" i="16"/>
  <c r="F23" i="16"/>
  <c r="E23" i="16"/>
  <c r="L21" i="16"/>
  <c r="G20" i="16"/>
  <c r="F20" i="16"/>
  <c r="Y19" i="16"/>
  <c r="X19" i="16"/>
  <c r="W19" i="16"/>
  <c r="V19" i="16"/>
  <c r="U19" i="16"/>
  <c r="T19" i="16"/>
  <c r="S19" i="16"/>
  <c r="R19" i="16"/>
  <c r="Q19" i="16"/>
  <c r="M19" i="16"/>
  <c r="L19" i="16"/>
  <c r="K19" i="16"/>
  <c r="J19" i="16"/>
  <c r="I19" i="16"/>
  <c r="H19" i="16"/>
  <c r="G19" i="16"/>
  <c r="F19" i="16"/>
  <c r="E19" i="16"/>
  <c r="Z17" i="16"/>
  <c r="Z29" i="18" s="1"/>
  <c r="P17" i="16"/>
  <c r="P29" i="18" s="1"/>
  <c r="N17" i="16"/>
  <c r="N29" i="18" s="1"/>
  <c r="A17" i="16"/>
  <c r="Z14" i="16"/>
  <c r="P14" i="16"/>
  <c r="N14" i="16"/>
  <c r="N26" i="18" s="1"/>
  <c r="A14" i="16"/>
  <c r="A26" i="18" s="1"/>
  <c r="AA11" i="16"/>
  <c r="AA23" i="18" s="1"/>
  <c r="Z11" i="16"/>
  <c r="Z23" i="18" s="1"/>
  <c r="N11" i="16"/>
  <c r="A11" i="16"/>
  <c r="Z8" i="16"/>
  <c r="Z20" i="18" s="1"/>
  <c r="N8" i="16"/>
  <c r="A8" i="16"/>
  <c r="X4" i="16"/>
  <c r="X4" i="19" s="1"/>
  <c r="X33" i="19" s="1"/>
  <c r="C43" i="22" s="1"/>
  <c r="W4" i="16"/>
  <c r="W4" i="19" s="1"/>
  <c r="W33" i="19" s="1"/>
  <c r="C42" i="22" s="1"/>
  <c r="V4" i="16"/>
  <c r="V4" i="19" s="1"/>
  <c r="V33" i="19" s="1"/>
  <c r="C41" i="22" s="1"/>
  <c r="U4" i="16"/>
  <c r="U4" i="19" s="1"/>
  <c r="U33" i="19" s="1"/>
  <c r="C40" i="22" s="1"/>
  <c r="T4" i="16"/>
  <c r="S4" i="16"/>
  <c r="L4" i="16"/>
  <c r="L4" i="19" s="1"/>
  <c r="K4" i="16"/>
  <c r="K4" i="19" s="1"/>
  <c r="K33" i="19" s="1"/>
  <c r="C33" i="22" s="1"/>
  <c r="J4" i="16"/>
  <c r="J4" i="19" s="1"/>
  <c r="J33" i="19" s="1"/>
  <c r="C32" i="22" s="1"/>
  <c r="I4" i="16"/>
  <c r="I4" i="19" s="1"/>
  <c r="I33" i="19" s="1"/>
  <c r="C31" i="22" s="1"/>
  <c r="Y3" i="16"/>
  <c r="W3" i="16"/>
  <c r="W3" i="19" s="1"/>
  <c r="V3" i="16"/>
  <c r="V3" i="19" s="1"/>
  <c r="S3" i="16"/>
  <c r="S3" i="19" s="1"/>
  <c r="R3" i="16"/>
  <c r="R3" i="19" s="1"/>
  <c r="Q3" i="16"/>
  <c r="Q3" i="19" s="1"/>
  <c r="L3" i="16"/>
  <c r="L3" i="19" s="1"/>
  <c r="K3" i="16"/>
  <c r="K3" i="19" s="1"/>
  <c r="H3" i="16"/>
  <c r="H3" i="19" s="1"/>
  <c r="G3" i="16"/>
  <c r="G3" i="19" s="1"/>
  <c r="F3" i="16"/>
  <c r="F3" i="19" s="1"/>
  <c r="E3" i="16"/>
  <c r="E3" i="19" s="1"/>
  <c r="B2" i="16"/>
  <c r="B2" i="19" s="1"/>
  <c r="U1" i="16"/>
  <c r="P1" i="16"/>
  <c r="E1" i="16"/>
  <c r="C1" i="16"/>
  <c r="B1" i="16"/>
  <c r="A26" i="15"/>
  <c r="A31" i="15" s="1"/>
  <c r="A25" i="15"/>
  <c r="A30" i="15" s="1"/>
  <c r="AB24" i="15"/>
  <c r="Y24" i="15"/>
  <c r="X24" i="15"/>
  <c r="W24" i="15"/>
  <c r="V24" i="15"/>
  <c r="T24" i="15"/>
  <c r="S24" i="15"/>
  <c r="R24" i="15"/>
  <c r="Q24" i="15"/>
  <c r="M24" i="15"/>
  <c r="L24" i="15"/>
  <c r="K24" i="15"/>
  <c r="J24" i="15"/>
  <c r="I24" i="15"/>
  <c r="H24" i="15"/>
  <c r="G24" i="15"/>
  <c r="F24" i="15"/>
  <c r="E24" i="15"/>
  <c r="W20" i="15"/>
  <c r="W20" i="17" s="1"/>
  <c r="W35" i="19" s="1"/>
  <c r="V20" i="15"/>
  <c r="V20" i="17" s="1"/>
  <c r="V35" i="19" s="1"/>
  <c r="U20" i="15"/>
  <c r="U20" i="17" s="1"/>
  <c r="U35" i="19" s="1"/>
  <c r="T20" i="15"/>
  <c r="T20" i="17" s="1"/>
  <c r="T35" i="19" s="1"/>
  <c r="Q20" i="15"/>
  <c r="Q20" i="17" s="1"/>
  <c r="Q35" i="19" s="1"/>
  <c r="J20" i="15"/>
  <c r="J20" i="17" s="1"/>
  <c r="J35" i="19" s="1"/>
  <c r="F20" i="15"/>
  <c r="F20" i="17" s="1"/>
  <c r="F35" i="19" s="1"/>
  <c r="E20" i="15"/>
  <c r="E20" i="17" s="1"/>
  <c r="E35" i="19" s="1"/>
  <c r="Y19" i="15"/>
  <c r="Y20" i="15" s="1"/>
  <c r="Y20" i="17" s="1"/>
  <c r="Y35" i="19" s="1"/>
  <c r="X19" i="15"/>
  <c r="X20" i="15" s="1"/>
  <c r="X20" i="17" s="1"/>
  <c r="X35" i="19" s="1"/>
  <c r="W19" i="15"/>
  <c r="V19" i="15"/>
  <c r="U19" i="15"/>
  <c r="T19" i="15"/>
  <c r="S19" i="15"/>
  <c r="S20" i="15" s="1"/>
  <c r="R19" i="15"/>
  <c r="Q19" i="15"/>
  <c r="M19" i="15"/>
  <c r="M20" i="15" s="1"/>
  <c r="M20" i="17" s="1"/>
  <c r="M35" i="19" s="1"/>
  <c r="L19" i="15"/>
  <c r="L20" i="15" s="1"/>
  <c r="L20" i="17" s="1"/>
  <c r="L35" i="19" s="1"/>
  <c r="K19" i="15"/>
  <c r="K20" i="15" s="1"/>
  <c r="K20" i="17" s="1"/>
  <c r="K35" i="19" s="1"/>
  <c r="J19" i="15"/>
  <c r="I19" i="15"/>
  <c r="I20" i="15" s="1"/>
  <c r="I20" i="17" s="1"/>
  <c r="H19" i="15"/>
  <c r="H20" i="15" s="1"/>
  <c r="G19" i="15"/>
  <c r="G20" i="15" s="1"/>
  <c r="G20" i="17" s="1"/>
  <c r="G35" i="19" s="1"/>
  <c r="F19" i="15"/>
  <c r="E19" i="15"/>
  <c r="AA17" i="15"/>
  <c r="Z17" i="15"/>
  <c r="N17" i="15"/>
  <c r="N17" i="19" s="1"/>
  <c r="A17" i="15"/>
  <c r="Z14" i="15"/>
  <c r="P14" i="15"/>
  <c r="P14" i="19" s="1"/>
  <c r="N14" i="15"/>
  <c r="A14" i="15"/>
  <c r="Z11" i="15"/>
  <c r="P11" i="15"/>
  <c r="P11" i="19" s="1"/>
  <c r="N11" i="15"/>
  <c r="N11" i="19" s="1"/>
  <c r="B11" i="15"/>
  <c r="B11" i="19" s="1"/>
  <c r="A11" i="15"/>
  <c r="A11" i="19" s="1"/>
  <c r="A40" i="19" s="1"/>
  <c r="AA8" i="15"/>
  <c r="Z8" i="15"/>
  <c r="Z8" i="19" s="1"/>
  <c r="N8" i="15"/>
  <c r="N8" i="19" s="1"/>
  <c r="A8" i="15"/>
  <c r="Y4" i="15"/>
  <c r="Y21" i="15" s="1"/>
  <c r="Y21" i="17" s="1"/>
  <c r="Y37" i="19" s="1"/>
  <c r="E20" i="22" s="1"/>
  <c r="X4" i="15"/>
  <c r="X21" i="15" s="1"/>
  <c r="X21" i="17" s="1"/>
  <c r="X37" i="19" s="1"/>
  <c r="E19" i="22" s="1"/>
  <c r="W4" i="15"/>
  <c r="W21" i="15" s="1"/>
  <c r="W21" i="17" s="1"/>
  <c r="W37" i="19" s="1"/>
  <c r="E18" i="22" s="1"/>
  <c r="T4" i="15"/>
  <c r="T21" i="15" s="1"/>
  <c r="T21" i="17" s="1"/>
  <c r="T37" i="19" s="1"/>
  <c r="E15" i="22" s="1"/>
  <c r="R4" i="15"/>
  <c r="M4" i="15"/>
  <c r="M21" i="15" s="1"/>
  <c r="M21" i="17" s="1"/>
  <c r="M37" i="19" s="1"/>
  <c r="E11" i="22" s="1"/>
  <c r="L4" i="15"/>
  <c r="L21" i="15" s="1"/>
  <c r="L21" i="17" s="1"/>
  <c r="L37" i="19" s="1"/>
  <c r="E10" i="22" s="1"/>
  <c r="I4" i="15"/>
  <c r="I21" i="15" s="1"/>
  <c r="I21" i="17" s="1"/>
  <c r="I37" i="19" s="1"/>
  <c r="E7" i="22" s="1"/>
  <c r="G4" i="15"/>
  <c r="G21" i="15" s="1"/>
  <c r="F4" i="15"/>
  <c r="F21" i="15" s="1"/>
  <c r="F21" i="17" s="1"/>
  <c r="F37" i="19" s="1"/>
  <c r="E4" i="22" s="1"/>
  <c r="Y3" i="15"/>
  <c r="W3" i="15"/>
  <c r="U3" i="15"/>
  <c r="S3" i="15"/>
  <c r="R3" i="15"/>
  <c r="Q3" i="15"/>
  <c r="L3" i="15"/>
  <c r="K3" i="15"/>
  <c r="I3" i="15"/>
  <c r="G3" i="15"/>
  <c r="F3" i="15"/>
  <c r="B2" i="15"/>
  <c r="U1" i="15"/>
  <c r="P1" i="15"/>
  <c r="E1" i="15"/>
  <c r="S4" i="15" s="1"/>
  <c r="S21" i="15" s="1"/>
  <c r="S21" i="17" s="1"/>
  <c r="S37" i="19" s="1"/>
  <c r="E14" i="22" s="1"/>
  <c r="C1" i="15"/>
  <c r="B1" i="15"/>
  <c r="B13" i="19" s="1"/>
  <c r="A28" i="14"/>
  <c r="A33" i="14" s="1"/>
  <c r="A25" i="14"/>
  <c r="A30" i="14" s="1"/>
  <c r="Y24" i="14"/>
  <c r="X24" i="14"/>
  <c r="W24" i="14"/>
  <c r="V24" i="14"/>
  <c r="U24" i="14"/>
  <c r="T24" i="14"/>
  <c r="S24" i="14"/>
  <c r="Q24" i="14"/>
  <c r="M24" i="14"/>
  <c r="L24" i="14"/>
  <c r="K24" i="14"/>
  <c r="J24" i="14"/>
  <c r="I24" i="14"/>
  <c r="H24" i="14"/>
  <c r="G24" i="14"/>
  <c r="F24" i="14"/>
  <c r="E24" i="14"/>
  <c r="B24" i="14"/>
  <c r="Y21" i="14"/>
  <c r="Y37" i="18" s="1"/>
  <c r="G20" i="22" s="1"/>
  <c r="V21" i="14"/>
  <c r="R21" i="14"/>
  <c r="R21" i="16" s="1"/>
  <c r="K21" i="14"/>
  <c r="Y20" i="14"/>
  <c r="Y35" i="18" s="1"/>
  <c r="X20" i="14"/>
  <c r="W20" i="14"/>
  <c r="W20" i="16" s="1"/>
  <c r="V20" i="14"/>
  <c r="V20" i="16" s="1"/>
  <c r="U20" i="14"/>
  <c r="U35" i="18" s="1"/>
  <c r="T20" i="14"/>
  <c r="T35" i="18" s="1"/>
  <c r="S20" i="14"/>
  <c r="S35" i="18" s="1"/>
  <c r="R20" i="14"/>
  <c r="R35" i="18" s="1"/>
  <c r="Q20" i="14"/>
  <c r="Q35" i="18" s="1"/>
  <c r="M20" i="14"/>
  <c r="L20" i="14"/>
  <c r="L20" i="16" s="1"/>
  <c r="K20" i="14"/>
  <c r="K20" i="16" s="1"/>
  <c r="J20" i="14"/>
  <c r="J20" i="16" s="1"/>
  <c r="I20" i="14"/>
  <c r="H20" i="14"/>
  <c r="G20" i="14"/>
  <c r="F20" i="14"/>
  <c r="F35" i="18" s="1"/>
  <c r="E20" i="14"/>
  <c r="Z17" i="14"/>
  <c r="P17" i="14"/>
  <c r="P17" i="18" s="1"/>
  <c r="N17" i="14"/>
  <c r="N17" i="18" s="1"/>
  <c r="B17" i="14"/>
  <c r="B17" i="18" s="1"/>
  <c r="A17" i="14"/>
  <c r="A17" i="18" s="1"/>
  <c r="Z14" i="14"/>
  <c r="N14" i="14"/>
  <c r="N14" i="18" s="1"/>
  <c r="B14" i="14"/>
  <c r="B14" i="18" s="1"/>
  <c r="A14" i="14"/>
  <c r="AA11" i="14"/>
  <c r="AA11" i="18" s="1"/>
  <c r="Z11" i="14"/>
  <c r="N11" i="14"/>
  <c r="N11" i="18" s="1"/>
  <c r="A11" i="14"/>
  <c r="Z8" i="14"/>
  <c r="AA8" i="14" s="1"/>
  <c r="AA8" i="18" s="1"/>
  <c r="P8" i="14"/>
  <c r="P8" i="18" s="1"/>
  <c r="N8" i="14"/>
  <c r="N8" i="18" s="1"/>
  <c r="A8" i="14"/>
  <c r="B8" i="14" s="1"/>
  <c r="B8" i="18" s="1"/>
  <c r="X4" i="14"/>
  <c r="X21" i="14" s="1"/>
  <c r="V4" i="14"/>
  <c r="U4" i="14"/>
  <c r="U21" i="14" s="1"/>
  <c r="T4" i="14"/>
  <c r="T21" i="14" s="1"/>
  <c r="S4" i="14"/>
  <c r="S21" i="14" s="1"/>
  <c r="R4" i="14"/>
  <c r="K4" i="14"/>
  <c r="J4" i="14"/>
  <c r="J21" i="14" s="1"/>
  <c r="I4" i="14"/>
  <c r="I21" i="14" s="1"/>
  <c r="I37" i="18" s="1"/>
  <c r="G7" i="22" s="1"/>
  <c r="H4" i="14"/>
  <c r="H21" i="14" s="1"/>
  <c r="H37" i="18" s="1"/>
  <c r="G6" i="22" s="1"/>
  <c r="F4" i="14"/>
  <c r="F21" i="14" s="1"/>
  <c r="Y3" i="14"/>
  <c r="W3" i="14"/>
  <c r="V3" i="14"/>
  <c r="U3" i="14"/>
  <c r="S3" i="14"/>
  <c r="Q3" i="14"/>
  <c r="M3" i="14"/>
  <c r="L3" i="14"/>
  <c r="K3" i="14"/>
  <c r="J3" i="14"/>
  <c r="H3" i="14"/>
  <c r="F3" i="14"/>
  <c r="B2" i="14"/>
  <c r="U1" i="14"/>
  <c r="P1" i="14"/>
  <c r="E1" i="14"/>
  <c r="Y4" i="14" s="1"/>
  <c r="C1" i="14"/>
  <c r="B1" i="14"/>
  <c r="A29" i="13"/>
  <c r="A28" i="13"/>
  <c r="X23" i="13"/>
  <c r="Y17" i="13"/>
  <c r="X17" i="13"/>
  <c r="W17" i="13"/>
  <c r="V17" i="13"/>
  <c r="U17" i="13"/>
  <c r="T17" i="13"/>
  <c r="S17" i="13"/>
  <c r="R17" i="13"/>
  <c r="Q17" i="13"/>
  <c r="M17" i="13"/>
  <c r="L17" i="13"/>
  <c r="K17" i="13"/>
  <c r="J17" i="13"/>
  <c r="I17" i="13"/>
  <c r="H17" i="13"/>
  <c r="G17" i="13"/>
  <c r="F17" i="13"/>
  <c r="N17" i="13" s="1"/>
  <c r="E17" i="13"/>
  <c r="D17" i="13"/>
  <c r="A17" i="13"/>
  <c r="B17" i="13" s="1"/>
  <c r="Y16" i="13"/>
  <c r="Y15" i="13" s="1"/>
  <c r="X16" i="13"/>
  <c r="X15" i="13" s="1"/>
  <c r="W16" i="13"/>
  <c r="W15" i="13" s="1"/>
  <c r="L16" i="13"/>
  <c r="J16" i="13"/>
  <c r="J15" i="13" s="1"/>
  <c r="G16" i="13"/>
  <c r="L15" i="13"/>
  <c r="G15" i="13"/>
  <c r="Z14" i="13"/>
  <c r="AA14" i="13" s="1"/>
  <c r="P14" i="13"/>
  <c r="N14" i="13"/>
  <c r="B14" i="13"/>
  <c r="B27" i="13" s="1"/>
  <c r="A14" i="13"/>
  <c r="V13" i="13"/>
  <c r="V12" i="13" s="1"/>
  <c r="U13" i="13"/>
  <c r="U12" i="13" s="1"/>
  <c r="S13" i="13"/>
  <c r="S12" i="13" s="1"/>
  <c r="J13" i="13"/>
  <c r="J23" i="13" s="1"/>
  <c r="X12" i="13"/>
  <c r="L12" i="13"/>
  <c r="K12" i="13"/>
  <c r="Y11" i="13"/>
  <c r="X11" i="13"/>
  <c r="W11" i="13"/>
  <c r="V11" i="13"/>
  <c r="U11" i="13"/>
  <c r="T11" i="13"/>
  <c r="S11" i="13"/>
  <c r="R11" i="13"/>
  <c r="Q11" i="13"/>
  <c r="M11" i="13"/>
  <c r="L11" i="13"/>
  <c r="K11" i="13"/>
  <c r="J11" i="13"/>
  <c r="I11" i="13"/>
  <c r="H11" i="13"/>
  <c r="G11" i="13"/>
  <c r="F11" i="13"/>
  <c r="E11" i="13"/>
  <c r="D11" i="13"/>
  <c r="A11" i="13"/>
  <c r="U10" i="13"/>
  <c r="U9" i="13"/>
  <c r="AA8" i="13"/>
  <c r="Z8" i="13"/>
  <c r="N8" i="13"/>
  <c r="A8" i="13"/>
  <c r="X7" i="13"/>
  <c r="W7" i="13"/>
  <c r="V7" i="13"/>
  <c r="M7" i="13"/>
  <c r="X6" i="13"/>
  <c r="S6" i="13"/>
  <c r="X4" i="13"/>
  <c r="W4" i="13"/>
  <c r="V4" i="13"/>
  <c r="U4" i="13"/>
  <c r="T4" i="13"/>
  <c r="S4" i="13"/>
  <c r="R4" i="13"/>
  <c r="M4" i="13"/>
  <c r="L4" i="13"/>
  <c r="K4" i="13"/>
  <c r="J4" i="13"/>
  <c r="I4" i="13"/>
  <c r="H4" i="13"/>
  <c r="Y3" i="13"/>
  <c r="Y13" i="13" s="1"/>
  <c r="Y12" i="13" s="1"/>
  <c r="X3" i="13"/>
  <c r="X13" i="13" s="1"/>
  <c r="W3" i="13"/>
  <c r="W13" i="13" s="1"/>
  <c r="W12" i="13" s="1"/>
  <c r="V3" i="13"/>
  <c r="U3" i="13"/>
  <c r="S3" i="13"/>
  <c r="S7" i="13" s="1"/>
  <c r="R3" i="13"/>
  <c r="Q3" i="13"/>
  <c r="M3" i="13"/>
  <c r="M13" i="13" s="1"/>
  <c r="M12" i="13" s="1"/>
  <c r="L3" i="13"/>
  <c r="L13" i="13" s="1"/>
  <c r="K3" i="13"/>
  <c r="K13" i="13" s="1"/>
  <c r="J3" i="13"/>
  <c r="J7" i="13" s="1"/>
  <c r="J6" i="13" s="1"/>
  <c r="H3" i="13"/>
  <c r="G3" i="13"/>
  <c r="G13" i="13" s="1"/>
  <c r="G12" i="13" s="1"/>
  <c r="F3" i="13"/>
  <c r="F16" i="13" s="1"/>
  <c r="F15" i="13" s="1"/>
  <c r="E3" i="13"/>
  <c r="B2" i="13"/>
  <c r="U1" i="13"/>
  <c r="P1" i="13"/>
  <c r="E1" i="13"/>
  <c r="Y4" i="13" s="1"/>
  <c r="C1" i="13"/>
  <c r="B1" i="13"/>
  <c r="A29" i="12"/>
  <c r="A19" i="12"/>
  <c r="Y17" i="12"/>
  <c r="X17" i="12"/>
  <c r="W17" i="12"/>
  <c r="V17" i="12"/>
  <c r="U17" i="12"/>
  <c r="T17" i="12"/>
  <c r="S17" i="12"/>
  <c r="R17" i="12"/>
  <c r="Q17" i="12"/>
  <c r="M17" i="12"/>
  <c r="L17" i="12"/>
  <c r="K17" i="12"/>
  <c r="J17" i="12"/>
  <c r="I17" i="12"/>
  <c r="H17" i="12"/>
  <c r="G17" i="12"/>
  <c r="F17" i="12"/>
  <c r="E17" i="12"/>
  <c r="D17" i="12"/>
  <c r="W16" i="12" s="1"/>
  <c r="W15" i="12" s="1"/>
  <c r="B17" i="12"/>
  <c r="A17" i="12"/>
  <c r="P17" i="12" s="1"/>
  <c r="K16" i="12"/>
  <c r="K15" i="12" s="1"/>
  <c r="AA14" i="12"/>
  <c r="Z14" i="12"/>
  <c r="N14" i="12"/>
  <c r="A14" i="12"/>
  <c r="Y11" i="12"/>
  <c r="X11" i="12"/>
  <c r="W11" i="12"/>
  <c r="V11" i="12"/>
  <c r="U11" i="12"/>
  <c r="T11" i="12"/>
  <c r="S11" i="12"/>
  <c r="R11" i="12"/>
  <c r="Q11" i="12"/>
  <c r="P11" i="12"/>
  <c r="M11" i="12"/>
  <c r="L11" i="12"/>
  <c r="K11" i="12"/>
  <c r="J11" i="12"/>
  <c r="I11" i="12"/>
  <c r="H11" i="12"/>
  <c r="G11" i="12"/>
  <c r="F11" i="12"/>
  <c r="N11" i="12" s="1"/>
  <c r="E11" i="12"/>
  <c r="D11" i="12"/>
  <c r="A11" i="12"/>
  <c r="B11" i="12" s="1"/>
  <c r="W10" i="12"/>
  <c r="W9" i="12" s="1"/>
  <c r="F10" i="12"/>
  <c r="F9" i="12" s="1"/>
  <c r="Z8" i="12"/>
  <c r="P8" i="12"/>
  <c r="N8" i="12"/>
  <c r="AA8" i="12" s="1"/>
  <c r="B8" i="12"/>
  <c r="B24" i="12" s="1"/>
  <c r="A8" i="12"/>
  <c r="A25" i="12" s="1"/>
  <c r="T4" i="12"/>
  <c r="S4" i="12"/>
  <c r="R4" i="12"/>
  <c r="G4" i="12"/>
  <c r="Y3" i="12"/>
  <c r="Y13" i="12" s="1"/>
  <c r="Y12" i="12" s="1"/>
  <c r="W3" i="12"/>
  <c r="V3" i="12"/>
  <c r="K3" i="12"/>
  <c r="J3" i="12"/>
  <c r="I3" i="12"/>
  <c r="F3" i="12"/>
  <c r="F7" i="12" s="1"/>
  <c r="B2" i="12"/>
  <c r="U1" i="12"/>
  <c r="P1" i="12"/>
  <c r="E1" i="12"/>
  <c r="C1" i="12"/>
  <c r="B1" i="12"/>
  <c r="A29" i="11"/>
  <c r="A28" i="11"/>
  <c r="K23" i="11"/>
  <c r="Y17" i="11"/>
  <c r="X17" i="11"/>
  <c r="W17" i="11"/>
  <c r="V17" i="11"/>
  <c r="U17" i="11"/>
  <c r="T17" i="11"/>
  <c r="S17" i="11"/>
  <c r="R17" i="11"/>
  <c r="Q17" i="11"/>
  <c r="P17" i="11"/>
  <c r="M17" i="11"/>
  <c r="L17" i="11"/>
  <c r="K17" i="11"/>
  <c r="J17" i="11"/>
  <c r="I17" i="11"/>
  <c r="H17" i="11"/>
  <c r="G17" i="11"/>
  <c r="F17" i="11"/>
  <c r="E17" i="11"/>
  <c r="D17" i="11"/>
  <c r="B17" i="11"/>
  <c r="A17" i="11"/>
  <c r="S16" i="11"/>
  <c r="Q16" i="11"/>
  <c r="Q15" i="11" s="1"/>
  <c r="M16" i="11"/>
  <c r="M15" i="11" s="1"/>
  <c r="L16" i="11"/>
  <c r="L15" i="11" s="1"/>
  <c r="E16" i="11"/>
  <c r="U15" i="11"/>
  <c r="S15" i="11"/>
  <c r="E15" i="11"/>
  <c r="Z14" i="11"/>
  <c r="N14" i="11"/>
  <c r="A14" i="11"/>
  <c r="P14" i="11" s="1"/>
  <c r="U13" i="11"/>
  <c r="U12" i="11" s="1"/>
  <c r="J13" i="11"/>
  <c r="H13" i="11"/>
  <c r="H12" i="11" s="1"/>
  <c r="K12" i="11"/>
  <c r="J12" i="11"/>
  <c r="Y11" i="11"/>
  <c r="X11" i="11"/>
  <c r="W11" i="11"/>
  <c r="V11" i="11"/>
  <c r="U11" i="11"/>
  <c r="T11" i="11"/>
  <c r="S11" i="11"/>
  <c r="R11" i="11"/>
  <c r="Q11" i="11"/>
  <c r="M11" i="11"/>
  <c r="L11" i="11"/>
  <c r="K11" i="11"/>
  <c r="J11" i="11"/>
  <c r="I11" i="11"/>
  <c r="H11" i="11"/>
  <c r="G11" i="11"/>
  <c r="F11" i="11"/>
  <c r="E11" i="11"/>
  <c r="D11" i="11"/>
  <c r="B11" i="11"/>
  <c r="A11" i="11"/>
  <c r="S10" i="11"/>
  <c r="S9" i="11" s="1"/>
  <c r="F10" i="11"/>
  <c r="F9" i="11" s="1"/>
  <c r="Z8" i="11"/>
  <c r="N8" i="11"/>
  <c r="AA8" i="11" s="1"/>
  <c r="A8" i="11"/>
  <c r="X7" i="11"/>
  <c r="U7" i="11"/>
  <c r="M7" i="11"/>
  <c r="L7" i="11"/>
  <c r="K7" i="11"/>
  <c r="K6" i="11" s="1"/>
  <c r="J7" i="11"/>
  <c r="M6" i="11"/>
  <c r="X4" i="11"/>
  <c r="V4" i="11"/>
  <c r="U4" i="11"/>
  <c r="T4" i="11"/>
  <c r="S4" i="11"/>
  <c r="R4" i="11"/>
  <c r="L4" i="11"/>
  <c r="K4" i="11"/>
  <c r="J4" i="11"/>
  <c r="I4" i="11"/>
  <c r="H4" i="11"/>
  <c r="Y3" i="11"/>
  <c r="X3" i="11"/>
  <c r="W3" i="11"/>
  <c r="W16" i="11" s="1"/>
  <c r="W15" i="11" s="1"/>
  <c r="V3" i="11"/>
  <c r="U3" i="11"/>
  <c r="U16" i="11" s="1"/>
  <c r="S3" i="11"/>
  <c r="S7" i="11" s="1"/>
  <c r="S6" i="11" s="1"/>
  <c r="Q3" i="11"/>
  <c r="M3" i="11"/>
  <c r="L3" i="11"/>
  <c r="L10" i="11" s="1"/>
  <c r="L9" i="11" s="1"/>
  <c r="K3" i="11"/>
  <c r="K13" i="11" s="1"/>
  <c r="J3" i="11"/>
  <c r="J16" i="11" s="1"/>
  <c r="J15" i="11" s="1"/>
  <c r="H3" i="11"/>
  <c r="F3" i="11"/>
  <c r="E3" i="11"/>
  <c r="B2" i="11"/>
  <c r="U1" i="11"/>
  <c r="P1" i="11"/>
  <c r="E1" i="11"/>
  <c r="Y4" i="11" s="1"/>
  <c r="C1" i="11"/>
  <c r="B1" i="11"/>
  <c r="A29" i="10"/>
  <c r="A28" i="10"/>
  <c r="B27" i="10"/>
  <c r="A25" i="10"/>
  <c r="Y17" i="10"/>
  <c r="X17" i="10"/>
  <c r="W17" i="10"/>
  <c r="V17" i="10"/>
  <c r="U17" i="10"/>
  <c r="T17" i="10"/>
  <c r="S17" i="10"/>
  <c r="R17" i="10"/>
  <c r="Q17" i="10"/>
  <c r="P17" i="10"/>
  <c r="M17" i="10"/>
  <c r="L17" i="10"/>
  <c r="K17" i="10"/>
  <c r="J17" i="10"/>
  <c r="I17" i="10"/>
  <c r="H17" i="10"/>
  <c r="G17" i="10"/>
  <c r="F17" i="10"/>
  <c r="E17" i="10"/>
  <c r="D17" i="10"/>
  <c r="B17" i="10"/>
  <c r="A17" i="10"/>
  <c r="Z14" i="10"/>
  <c r="AA14" i="10" s="1"/>
  <c r="P14" i="10"/>
  <c r="N14" i="10"/>
  <c r="B14" i="10"/>
  <c r="A14" i="10"/>
  <c r="Y13" i="10"/>
  <c r="Y12" i="10" s="1"/>
  <c r="W13" i="10"/>
  <c r="W12" i="10" s="1"/>
  <c r="L13" i="10"/>
  <c r="L12" i="10" s="1"/>
  <c r="J13" i="10"/>
  <c r="J12" i="10" s="1"/>
  <c r="Y11" i="10"/>
  <c r="X11" i="10"/>
  <c r="W11" i="10"/>
  <c r="V11" i="10"/>
  <c r="U11" i="10"/>
  <c r="T11" i="10"/>
  <c r="S11" i="10"/>
  <c r="R11" i="10"/>
  <c r="Z11" i="10" s="1"/>
  <c r="Q11" i="10"/>
  <c r="P11" i="10"/>
  <c r="M11" i="10"/>
  <c r="L11" i="10"/>
  <c r="K11" i="10"/>
  <c r="J11" i="10"/>
  <c r="I11" i="10"/>
  <c r="H11" i="10"/>
  <c r="G11" i="10"/>
  <c r="F11" i="10"/>
  <c r="E11" i="10"/>
  <c r="D11" i="10"/>
  <c r="B11" i="10"/>
  <c r="A11" i="10"/>
  <c r="A26" i="10" s="1"/>
  <c r="X10" i="10"/>
  <c r="X9" i="10" s="1"/>
  <c r="J10" i="10"/>
  <c r="J9" i="10" s="1"/>
  <c r="H10" i="10"/>
  <c r="H9" i="10" s="1"/>
  <c r="Z8" i="10"/>
  <c r="AA8" i="10" s="1"/>
  <c r="N8" i="10"/>
  <c r="A8" i="10"/>
  <c r="X7" i="10"/>
  <c r="X6" i="10" s="1"/>
  <c r="W7" i="10"/>
  <c r="L7" i="10"/>
  <c r="X4" i="10"/>
  <c r="W4" i="10"/>
  <c r="V4" i="10"/>
  <c r="U4" i="10"/>
  <c r="T4" i="10"/>
  <c r="R4" i="10"/>
  <c r="M4" i="10"/>
  <c r="L4" i="10"/>
  <c r="K4" i="10"/>
  <c r="J4" i="10"/>
  <c r="H4" i="10"/>
  <c r="F4" i="10"/>
  <c r="Y3" i="10"/>
  <c r="Y7" i="10" s="1"/>
  <c r="Y23" i="10" s="1"/>
  <c r="Y27" i="10" s="1"/>
  <c r="Y28" i="10" s="1"/>
  <c r="X3" i="10"/>
  <c r="X13" i="10" s="1"/>
  <c r="X12" i="10" s="1"/>
  <c r="W3" i="10"/>
  <c r="U3" i="10"/>
  <c r="U7" i="10" s="1"/>
  <c r="U6" i="10" s="1"/>
  <c r="S3" i="10"/>
  <c r="S10" i="10" s="1"/>
  <c r="S9" i="10" s="1"/>
  <c r="R3" i="10"/>
  <c r="R13" i="10" s="1"/>
  <c r="R12" i="10" s="1"/>
  <c r="Q3" i="10"/>
  <c r="Q13" i="10" s="1"/>
  <c r="Q12" i="10" s="1"/>
  <c r="M3" i="10"/>
  <c r="L3" i="10"/>
  <c r="J3" i="10"/>
  <c r="J7" i="10" s="1"/>
  <c r="J6" i="10" s="1"/>
  <c r="H3" i="10"/>
  <c r="G3" i="10"/>
  <c r="G13" i="10" s="1"/>
  <c r="G12" i="10" s="1"/>
  <c r="F3" i="10"/>
  <c r="F13" i="10" s="1"/>
  <c r="F12" i="10" s="1"/>
  <c r="E3" i="10"/>
  <c r="B2" i="10"/>
  <c r="U1" i="10"/>
  <c r="P1" i="10"/>
  <c r="E1" i="10"/>
  <c r="S4" i="10" s="1"/>
  <c r="C1" i="10"/>
  <c r="B1" i="10"/>
  <c r="B29" i="9"/>
  <c r="A27" i="9"/>
  <c r="B26" i="9"/>
  <c r="Z17" i="9"/>
  <c r="AA17" i="9" s="1"/>
  <c r="P17" i="9"/>
  <c r="N17" i="9"/>
  <c r="B17" i="9"/>
  <c r="A17" i="9"/>
  <c r="A31" i="9" s="1"/>
  <c r="Z14" i="9"/>
  <c r="N14" i="9"/>
  <c r="B14" i="9"/>
  <c r="A14" i="9"/>
  <c r="A30" i="9" s="1"/>
  <c r="AA11" i="9"/>
  <c r="Z11" i="9"/>
  <c r="N11" i="9"/>
  <c r="A11" i="9"/>
  <c r="Z8" i="9"/>
  <c r="AA8" i="9" s="1"/>
  <c r="P8" i="9"/>
  <c r="N8" i="9"/>
  <c r="A8" i="9"/>
  <c r="X4" i="9"/>
  <c r="W4" i="9"/>
  <c r="V4" i="9"/>
  <c r="U4" i="9"/>
  <c r="T4" i="9"/>
  <c r="S4" i="9"/>
  <c r="M4" i="9"/>
  <c r="L4" i="9"/>
  <c r="K4" i="9"/>
  <c r="J4" i="9"/>
  <c r="I4" i="9"/>
  <c r="F4" i="9"/>
  <c r="E4" i="9"/>
  <c r="Y3" i="9"/>
  <c r="X3" i="9"/>
  <c r="W3" i="9"/>
  <c r="U3" i="9"/>
  <c r="S3" i="9"/>
  <c r="R3" i="9"/>
  <c r="Q3" i="9"/>
  <c r="M3" i="9"/>
  <c r="L3" i="9"/>
  <c r="J3" i="9"/>
  <c r="H3" i="9"/>
  <c r="G3" i="9"/>
  <c r="F3" i="9"/>
  <c r="E3" i="9"/>
  <c r="B2" i="9"/>
  <c r="U1" i="9"/>
  <c r="P1" i="9"/>
  <c r="E1" i="9"/>
  <c r="R4" i="9" s="1"/>
  <c r="C1" i="9"/>
  <c r="B1" i="9"/>
  <c r="A31" i="8"/>
  <c r="A30" i="8"/>
  <c r="B29" i="8"/>
  <c r="A27" i="8"/>
  <c r="B26" i="8"/>
  <c r="Z17" i="8"/>
  <c r="P17" i="8"/>
  <c r="N17" i="8"/>
  <c r="AA17" i="8" s="1"/>
  <c r="B17" i="8"/>
  <c r="A17" i="8"/>
  <c r="Z14" i="8"/>
  <c r="N14" i="8"/>
  <c r="AA14" i="8" s="1"/>
  <c r="B14" i="8"/>
  <c r="A14" i="8"/>
  <c r="P14" i="8" s="1"/>
  <c r="AA11" i="8"/>
  <c r="Z11" i="8"/>
  <c r="P11" i="8"/>
  <c r="N11" i="8"/>
  <c r="B11" i="8"/>
  <c r="A11" i="8"/>
  <c r="Z8" i="8"/>
  <c r="N8" i="8"/>
  <c r="B8" i="8"/>
  <c r="A8" i="8"/>
  <c r="P8" i="8" s="1"/>
  <c r="T4" i="8"/>
  <c r="S4" i="8"/>
  <c r="R4" i="8"/>
  <c r="G4" i="8"/>
  <c r="Y3" i="8"/>
  <c r="W3" i="8"/>
  <c r="K3" i="8"/>
  <c r="J3" i="8"/>
  <c r="I3" i="8"/>
  <c r="B2" i="8"/>
  <c r="U1" i="8"/>
  <c r="P1" i="8"/>
  <c r="E1" i="8"/>
  <c r="V4" i="8" s="1"/>
  <c r="C1" i="8"/>
  <c r="B1" i="8"/>
  <c r="B29" i="7"/>
  <c r="B26" i="7"/>
  <c r="A21" i="7"/>
  <c r="Z17" i="7"/>
  <c r="AA17" i="7" s="1"/>
  <c r="P17" i="7"/>
  <c r="N17" i="7"/>
  <c r="A17" i="7"/>
  <c r="B17" i="7" s="1"/>
  <c r="Z14" i="7"/>
  <c r="AA14" i="7" s="1"/>
  <c r="N14" i="7"/>
  <c r="A14" i="7"/>
  <c r="AA11" i="7"/>
  <c r="Z11" i="7"/>
  <c r="P11" i="7"/>
  <c r="N11" i="7"/>
  <c r="A11" i="7"/>
  <c r="B11" i="7" s="1"/>
  <c r="AA8" i="7"/>
  <c r="Z8" i="7"/>
  <c r="N8" i="7"/>
  <c r="A8" i="7"/>
  <c r="B8" i="7" s="1"/>
  <c r="A19" i="7" s="1"/>
  <c r="Y4" i="7"/>
  <c r="W4" i="7"/>
  <c r="V4" i="7"/>
  <c r="T4" i="7"/>
  <c r="R4" i="7"/>
  <c r="M4" i="7"/>
  <c r="H4" i="7"/>
  <c r="G4" i="7"/>
  <c r="F4" i="7"/>
  <c r="E4" i="7"/>
  <c r="W3" i="7"/>
  <c r="T3" i="7"/>
  <c r="S3" i="7"/>
  <c r="R3" i="7"/>
  <c r="Q3" i="7"/>
  <c r="L3" i="7"/>
  <c r="I3" i="7"/>
  <c r="G3" i="7"/>
  <c r="F3" i="7"/>
  <c r="B2" i="7"/>
  <c r="U1" i="7"/>
  <c r="P1" i="7"/>
  <c r="E1" i="7"/>
  <c r="X4" i="7" s="1"/>
  <c r="C1" i="7"/>
  <c r="B1" i="7"/>
  <c r="B29" i="6"/>
  <c r="A28" i="6"/>
  <c r="A27" i="6"/>
  <c r="B26" i="6"/>
  <c r="Z17" i="6"/>
  <c r="AA17" i="6" s="1"/>
  <c r="N17" i="6"/>
  <c r="A17" i="6"/>
  <c r="Z14" i="6"/>
  <c r="P14" i="6"/>
  <c r="N14" i="6"/>
  <c r="B14" i="6"/>
  <c r="A14" i="6"/>
  <c r="A30" i="6" s="1"/>
  <c r="Z11" i="6"/>
  <c r="AA11" i="6" s="1"/>
  <c r="N11" i="6"/>
  <c r="A11" i="6"/>
  <c r="P11" i="6" s="1"/>
  <c r="Z8" i="6"/>
  <c r="AA8" i="6" s="1"/>
  <c r="P8" i="6"/>
  <c r="N8" i="6"/>
  <c r="A8" i="6"/>
  <c r="X4" i="6"/>
  <c r="W4" i="6"/>
  <c r="V4" i="6"/>
  <c r="U4" i="6"/>
  <c r="M4" i="6"/>
  <c r="L4" i="6"/>
  <c r="K4" i="6"/>
  <c r="F4" i="6"/>
  <c r="E4" i="6"/>
  <c r="Y3" i="6"/>
  <c r="X3" i="6"/>
  <c r="S3" i="6"/>
  <c r="R3" i="6"/>
  <c r="Q3" i="6"/>
  <c r="M3" i="6"/>
  <c r="H3" i="6"/>
  <c r="G3" i="6"/>
  <c r="F3" i="6"/>
  <c r="E3" i="6"/>
  <c r="B2" i="6"/>
  <c r="U1" i="6"/>
  <c r="P1" i="6"/>
  <c r="E1" i="6"/>
  <c r="T4" i="6" s="1"/>
  <c r="C1" i="6"/>
  <c r="B1" i="6"/>
  <c r="Y30" i="5"/>
  <c r="X30" i="5"/>
  <c r="W30" i="5"/>
  <c r="V30" i="5"/>
  <c r="U30" i="5"/>
  <c r="T30" i="5"/>
  <c r="S30" i="5"/>
  <c r="R30" i="5"/>
  <c r="Q30" i="5"/>
  <c r="M30" i="5"/>
  <c r="L30" i="5"/>
  <c r="K30" i="5"/>
  <c r="J30" i="5"/>
  <c r="I30" i="5"/>
  <c r="H30" i="5"/>
  <c r="G30" i="5"/>
  <c r="F30" i="5"/>
  <c r="E30" i="5"/>
  <c r="Z29" i="5"/>
  <c r="Z28" i="5"/>
  <c r="Z27" i="5" s="1"/>
  <c r="AA27" i="5" s="1"/>
  <c r="N27" i="5"/>
  <c r="B27" i="5"/>
  <c r="Z26" i="5"/>
  <c r="Z25" i="5"/>
  <c r="N24" i="5"/>
  <c r="Y20" i="5"/>
  <c r="X20" i="5"/>
  <c r="W20" i="5"/>
  <c r="V20" i="5"/>
  <c r="U20" i="5"/>
  <c r="T20" i="5"/>
  <c r="S20" i="5"/>
  <c r="R20" i="5"/>
  <c r="Q20" i="5"/>
  <c r="Z20" i="5" s="1"/>
  <c r="M20" i="5"/>
  <c r="L20" i="5"/>
  <c r="K20" i="5"/>
  <c r="J20" i="5"/>
  <c r="I20" i="5"/>
  <c r="H20" i="5"/>
  <c r="G20" i="5"/>
  <c r="F20" i="5"/>
  <c r="E20" i="5"/>
  <c r="N20" i="5" s="1"/>
  <c r="A20" i="5"/>
  <c r="Y19" i="5"/>
  <c r="X19" i="5"/>
  <c r="W19" i="5"/>
  <c r="V19" i="5"/>
  <c r="U19" i="5"/>
  <c r="T19" i="5"/>
  <c r="S19" i="5"/>
  <c r="R19" i="5"/>
  <c r="Z19" i="5" s="1"/>
  <c r="Z21" i="5" s="1"/>
  <c r="Q19" i="5"/>
  <c r="M19" i="5"/>
  <c r="L19" i="5"/>
  <c r="K19" i="5"/>
  <c r="J19" i="5"/>
  <c r="I19" i="5"/>
  <c r="H19" i="5"/>
  <c r="G19" i="5"/>
  <c r="F19" i="5"/>
  <c r="E19" i="5"/>
  <c r="Z17" i="5"/>
  <c r="AA17" i="5" s="1"/>
  <c r="N17" i="5"/>
  <c r="A17" i="5"/>
  <c r="Z14" i="5"/>
  <c r="P14" i="5"/>
  <c r="N14" i="5"/>
  <c r="B14" i="5"/>
  <c r="P20" i="5" s="1"/>
  <c r="A14" i="5"/>
  <c r="A28" i="5" s="1"/>
  <c r="Z11" i="5"/>
  <c r="AA11" i="5" s="1"/>
  <c r="N11" i="5"/>
  <c r="B11" i="5"/>
  <c r="A11" i="5"/>
  <c r="Z8" i="5"/>
  <c r="AA8" i="5" s="1"/>
  <c r="P8" i="5"/>
  <c r="N8" i="5"/>
  <c r="A8" i="5"/>
  <c r="B8" i="5" s="1"/>
  <c r="W4" i="5"/>
  <c r="V4" i="5"/>
  <c r="U4" i="5"/>
  <c r="M4" i="5"/>
  <c r="L4" i="5"/>
  <c r="K4" i="5"/>
  <c r="F4" i="5"/>
  <c r="Y3" i="5"/>
  <c r="X3" i="5"/>
  <c r="S3" i="5"/>
  <c r="R3" i="5"/>
  <c r="Q3" i="5"/>
  <c r="M3" i="5"/>
  <c r="H3" i="5"/>
  <c r="G3" i="5"/>
  <c r="F3" i="5"/>
  <c r="E3" i="5"/>
  <c r="B2" i="5"/>
  <c r="U1" i="5"/>
  <c r="P1" i="5"/>
  <c r="E1" i="5"/>
  <c r="T4" i="5" s="1"/>
  <c r="C1" i="5"/>
  <c r="B1" i="5"/>
  <c r="Y30" i="4"/>
  <c r="X30" i="4"/>
  <c r="W30" i="4"/>
  <c r="V30" i="4"/>
  <c r="U30" i="4"/>
  <c r="T30" i="4"/>
  <c r="S30" i="4"/>
  <c r="R30" i="4"/>
  <c r="Q30" i="4"/>
  <c r="M30" i="4"/>
  <c r="L30" i="4"/>
  <c r="K30" i="4"/>
  <c r="J30" i="4"/>
  <c r="I30" i="4"/>
  <c r="H30" i="4"/>
  <c r="G30" i="4"/>
  <c r="F30" i="4"/>
  <c r="E30" i="4"/>
  <c r="Z29" i="4"/>
  <c r="Z28" i="4"/>
  <c r="Z27" i="4" s="1"/>
  <c r="AA27" i="4" s="1"/>
  <c r="N27" i="4"/>
  <c r="B27" i="4"/>
  <c r="Z26" i="4"/>
  <c r="Z24" i="4" s="1"/>
  <c r="AA24" i="4" s="1"/>
  <c r="Z25" i="4"/>
  <c r="N24" i="4"/>
  <c r="Y20" i="4"/>
  <c r="X20" i="4"/>
  <c r="W20" i="4"/>
  <c r="V20" i="4"/>
  <c r="U20" i="4"/>
  <c r="T20" i="4"/>
  <c r="S20" i="4"/>
  <c r="R20" i="4"/>
  <c r="Q20" i="4"/>
  <c r="Z20" i="4" s="1"/>
  <c r="H18" i="1" s="1"/>
  <c r="M20" i="4"/>
  <c r="L20" i="4"/>
  <c r="K20" i="4"/>
  <c r="J20" i="4"/>
  <c r="I20" i="4"/>
  <c r="H20" i="4"/>
  <c r="G20" i="4"/>
  <c r="F20" i="4"/>
  <c r="E20" i="4"/>
  <c r="A20" i="4"/>
  <c r="Y19" i="4"/>
  <c r="X19" i="4"/>
  <c r="W19" i="4"/>
  <c r="V19" i="4"/>
  <c r="U19" i="4"/>
  <c r="T19" i="4"/>
  <c r="S19" i="4"/>
  <c r="R19" i="4"/>
  <c r="Z19" i="4" s="1"/>
  <c r="Z21" i="4" s="1"/>
  <c r="Q19" i="4"/>
  <c r="M19" i="4"/>
  <c r="L19" i="4"/>
  <c r="K19" i="4"/>
  <c r="J19" i="4"/>
  <c r="I19" i="4"/>
  <c r="H19" i="4"/>
  <c r="G19" i="4"/>
  <c r="F19" i="4"/>
  <c r="E19" i="4"/>
  <c r="Z17" i="4"/>
  <c r="AA17" i="4" s="1"/>
  <c r="N17" i="4"/>
  <c r="A17" i="4"/>
  <c r="Z14" i="4"/>
  <c r="AA14" i="4" s="1"/>
  <c r="P14" i="4"/>
  <c r="N14" i="4"/>
  <c r="B14" i="4"/>
  <c r="P20" i="4" s="1"/>
  <c r="A14" i="4"/>
  <c r="A28" i="4" s="1"/>
  <c r="Z11" i="4"/>
  <c r="AA11" i="4" s="1"/>
  <c r="N11" i="4"/>
  <c r="B11" i="4"/>
  <c r="A11" i="4"/>
  <c r="Z8" i="4"/>
  <c r="AA8" i="4" s="1"/>
  <c r="P8" i="4"/>
  <c r="N8" i="4"/>
  <c r="A8" i="4"/>
  <c r="A25" i="4" s="1"/>
  <c r="W4" i="4"/>
  <c r="V4" i="4"/>
  <c r="U4" i="4"/>
  <c r="M4" i="4"/>
  <c r="L4" i="4"/>
  <c r="K4" i="4"/>
  <c r="F4" i="4"/>
  <c r="Y3" i="4"/>
  <c r="X3" i="4"/>
  <c r="S3" i="4"/>
  <c r="R3" i="4"/>
  <c r="Q3" i="4"/>
  <c r="M3" i="4"/>
  <c r="H3" i="4"/>
  <c r="G3" i="4"/>
  <c r="F3" i="4"/>
  <c r="E3" i="4"/>
  <c r="B2" i="4"/>
  <c r="U1" i="4"/>
  <c r="P1" i="4"/>
  <c r="E1" i="4"/>
  <c r="T4" i="4" s="1"/>
  <c r="C1" i="4"/>
  <c r="B1" i="4"/>
  <c r="Y30" i="3"/>
  <c r="X30" i="3"/>
  <c r="W30" i="3"/>
  <c r="V30" i="3"/>
  <c r="U30" i="3"/>
  <c r="T30" i="3"/>
  <c r="S30" i="3"/>
  <c r="R30" i="3"/>
  <c r="Q30" i="3"/>
  <c r="M30" i="3"/>
  <c r="L30" i="3"/>
  <c r="K30" i="3"/>
  <c r="J30" i="3"/>
  <c r="I30" i="3"/>
  <c r="H30" i="3"/>
  <c r="G30" i="3"/>
  <c r="F30" i="3"/>
  <c r="E30" i="3"/>
  <c r="Z29" i="3"/>
  <c r="Z28" i="3"/>
  <c r="Z27" i="3" s="1"/>
  <c r="AA27" i="3" s="1"/>
  <c r="N27" i="3"/>
  <c r="B27" i="3"/>
  <c r="Z26" i="3"/>
  <c r="Z30" i="3" s="1"/>
  <c r="Z25" i="3"/>
  <c r="Z24" i="3"/>
  <c r="AA24" i="3" s="1"/>
  <c r="N24" i="3"/>
  <c r="Y20" i="3"/>
  <c r="X20" i="3"/>
  <c r="W20" i="3"/>
  <c r="V20" i="3"/>
  <c r="U20" i="3"/>
  <c r="T20" i="3"/>
  <c r="S20" i="3"/>
  <c r="R20" i="3"/>
  <c r="Q20" i="3"/>
  <c r="Z20" i="3" s="1"/>
  <c r="M20" i="3"/>
  <c r="L20" i="3"/>
  <c r="K20" i="3"/>
  <c r="J20" i="3"/>
  <c r="I20" i="3"/>
  <c r="H20" i="3"/>
  <c r="G20" i="3"/>
  <c r="F20" i="3"/>
  <c r="E20" i="3"/>
  <c r="A20" i="3"/>
  <c r="Y19" i="3"/>
  <c r="X19" i="3"/>
  <c r="W19" i="3"/>
  <c r="V19" i="3"/>
  <c r="U19" i="3"/>
  <c r="T19" i="3"/>
  <c r="S19" i="3"/>
  <c r="R19" i="3"/>
  <c r="Z19" i="3" s="1"/>
  <c r="Z21" i="3" s="1"/>
  <c r="Q19" i="3"/>
  <c r="M19" i="3"/>
  <c r="L19" i="3"/>
  <c r="K19" i="3"/>
  <c r="J19" i="3"/>
  <c r="I19" i="3"/>
  <c r="H19" i="3"/>
  <c r="G19" i="3"/>
  <c r="F19" i="3"/>
  <c r="E19" i="3"/>
  <c r="Z17" i="3"/>
  <c r="AA17" i="3" s="1"/>
  <c r="N17" i="3"/>
  <c r="A17" i="3"/>
  <c r="Z14" i="3"/>
  <c r="AA14" i="3" s="1"/>
  <c r="P14" i="3"/>
  <c r="N14" i="3"/>
  <c r="B14" i="3"/>
  <c r="P20" i="3" s="1"/>
  <c r="A14" i="3"/>
  <c r="A28" i="3" s="1"/>
  <c r="Z11" i="3"/>
  <c r="AA11" i="3" s="1"/>
  <c r="N11" i="3"/>
  <c r="A11" i="3"/>
  <c r="Z8" i="3"/>
  <c r="AA8" i="3" s="1"/>
  <c r="P8" i="3"/>
  <c r="N8" i="3"/>
  <c r="A8" i="3"/>
  <c r="W4" i="3"/>
  <c r="V4" i="3"/>
  <c r="U4" i="3"/>
  <c r="M4" i="3"/>
  <c r="L4" i="3"/>
  <c r="K4" i="3"/>
  <c r="F4" i="3"/>
  <c r="Y3" i="3"/>
  <c r="X3" i="3"/>
  <c r="S3" i="3"/>
  <c r="R3" i="3"/>
  <c r="Q3" i="3"/>
  <c r="M3" i="3"/>
  <c r="H3" i="3"/>
  <c r="G3" i="3"/>
  <c r="F3" i="3"/>
  <c r="E3" i="3"/>
  <c r="B2" i="3"/>
  <c r="U1" i="3"/>
  <c r="P1" i="3"/>
  <c r="E1" i="3"/>
  <c r="T4" i="3" s="1"/>
  <c r="C1" i="3"/>
  <c r="B1" i="3"/>
  <c r="Y30" i="2"/>
  <c r="X30" i="2"/>
  <c r="W30" i="2"/>
  <c r="V30" i="2"/>
  <c r="U30" i="2"/>
  <c r="T30" i="2"/>
  <c r="S30" i="2"/>
  <c r="R30" i="2"/>
  <c r="Q30" i="2"/>
  <c r="M30" i="2"/>
  <c r="L30" i="2"/>
  <c r="K30" i="2"/>
  <c r="J30" i="2"/>
  <c r="I30" i="2"/>
  <c r="H30" i="2"/>
  <c r="G30" i="2"/>
  <c r="F30" i="2"/>
  <c r="E30" i="2"/>
  <c r="Z29" i="2"/>
  <c r="Z28" i="2"/>
  <c r="Z27" i="2" s="1"/>
  <c r="AA27" i="2" s="1"/>
  <c r="N27" i="2"/>
  <c r="B27" i="2"/>
  <c r="Z26" i="2"/>
  <c r="Z30" i="2" s="1"/>
  <c r="Z25" i="2"/>
  <c r="Z24" i="2"/>
  <c r="AA24" i="2" s="1"/>
  <c r="N24" i="2"/>
  <c r="Y20" i="2"/>
  <c r="X20" i="2"/>
  <c r="W20" i="2"/>
  <c r="V20" i="2"/>
  <c r="U20" i="2"/>
  <c r="T20" i="2"/>
  <c r="S20" i="2"/>
  <c r="R20" i="2"/>
  <c r="Q20" i="2"/>
  <c r="M20" i="2"/>
  <c r="L20" i="2"/>
  <c r="K20" i="2"/>
  <c r="J20" i="2"/>
  <c r="I20" i="2"/>
  <c r="H20" i="2"/>
  <c r="G20" i="2"/>
  <c r="F20" i="2"/>
  <c r="E20" i="2"/>
  <c r="A20" i="2"/>
  <c r="Y19" i="2"/>
  <c r="X19" i="2"/>
  <c r="W19" i="2"/>
  <c r="V19" i="2"/>
  <c r="U19" i="2"/>
  <c r="T19" i="2"/>
  <c r="S19" i="2"/>
  <c r="R19" i="2"/>
  <c r="Z19" i="2" s="1"/>
  <c r="Q19" i="2"/>
  <c r="M19" i="2"/>
  <c r="L19" i="2"/>
  <c r="K19" i="2"/>
  <c r="J19" i="2"/>
  <c r="I19" i="2"/>
  <c r="H19" i="2"/>
  <c r="G19" i="2"/>
  <c r="F19" i="2"/>
  <c r="E19" i="2"/>
  <c r="Z17" i="2"/>
  <c r="AA17" i="2" s="1"/>
  <c r="N17" i="2"/>
  <c r="A17" i="2"/>
  <c r="Z14" i="2"/>
  <c r="P14" i="2"/>
  <c r="N14" i="2"/>
  <c r="B14" i="2"/>
  <c r="P20" i="2" s="1"/>
  <c r="A14" i="2"/>
  <c r="A28" i="2" s="1"/>
  <c r="Z11" i="2"/>
  <c r="AA11" i="2" s="1"/>
  <c r="N11" i="2"/>
  <c r="A11" i="2"/>
  <c r="Z8" i="2"/>
  <c r="AA8" i="2" s="1"/>
  <c r="P8" i="2"/>
  <c r="N8" i="2"/>
  <c r="A8" i="2"/>
  <c r="U18" i="25" s="1"/>
  <c r="X4" i="2"/>
  <c r="W4" i="2"/>
  <c r="V4" i="2"/>
  <c r="U4" i="2"/>
  <c r="M4" i="2"/>
  <c r="L4" i="2"/>
  <c r="K4" i="2"/>
  <c r="F4" i="2"/>
  <c r="Y3" i="2"/>
  <c r="X3" i="2"/>
  <c r="S3" i="2"/>
  <c r="R3" i="2"/>
  <c r="Q3" i="2"/>
  <c r="M3" i="2"/>
  <c r="H3" i="2"/>
  <c r="G3" i="2"/>
  <c r="F3" i="2"/>
  <c r="E3" i="2"/>
  <c r="B2" i="2"/>
  <c r="U1" i="2"/>
  <c r="P1" i="2"/>
  <c r="E1" i="2"/>
  <c r="T4" i="2" s="1"/>
  <c r="C1" i="2"/>
  <c r="B1" i="2"/>
  <c r="J98" i="1"/>
  <c r="H98" i="1"/>
  <c r="C98" i="1"/>
  <c r="B98" i="1"/>
  <c r="J97" i="1"/>
  <c r="H97" i="1"/>
  <c r="C97" i="1"/>
  <c r="B97" i="1"/>
  <c r="J96" i="1"/>
  <c r="H96" i="1"/>
  <c r="C96" i="1"/>
  <c r="B96" i="1"/>
  <c r="J95" i="1"/>
  <c r="H95" i="1"/>
  <c r="C95" i="1"/>
  <c r="B95" i="1"/>
  <c r="J94" i="1"/>
  <c r="H94" i="1"/>
  <c r="C94" i="1"/>
  <c r="B94" i="1"/>
  <c r="J93" i="1"/>
  <c r="H93" i="1"/>
  <c r="C93" i="1"/>
  <c r="B93" i="1"/>
  <c r="J92" i="1"/>
  <c r="H92" i="1"/>
  <c r="C92" i="1"/>
  <c r="B92" i="1"/>
  <c r="J91" i="1"/>
  <c r="H91" i="1"/>
  <c r="C91" i="1"/>
  <c r="B91" i="1"/>
  <c r="J90" i="1"/>
  <c r="H90" i="1"/>
  <c r="C90" i="1"/>
  <c r="B90" i="1"/>
  <c r="J89" i="1"/>
  <c r="H89" i="1"/>
  <c r="C89" i="1"/>
  <c r="B89" i="1"/>
  <c r="J88" i="1"/>
  <c r="H88" i="1"/>
  <c r="C88" i="1"/>
  <c r="B88" i="1"/>
  <c r="J87" i="1"/>
  <c r="H87" i="1"/>
  <c r="C87" i="1"/>
  <c r="B87" i="1"/>
  <c r="J86" i="1"/>
  <c r="H86" i="1"/>
  <c r="C86" i="1"/>
  <c r="B86" i="1"/>
  <c r="J85" i="1"/>
  <c r="H85" i="1"/>
  <c r="C85" i="1"/>
  <c r="B85" i="1"/>
  <c r="J84" i="1"/>
  <c r="H84" i="1"/>
  <c r="C84" i="1"/>
  <c r="B84" i="1"/>
  <c r="J83" i="1"/>
  <c r="H83" i="1"/>
  <c r="C83" i="1"/>
  <c r="B83" i="1"/>
  <c r="J82" i="1"/>
  <c r="H82" i="1"/>
  <c r="C82" i="1"/>
  <c r="B82" i="1"/>
  <c r="J81" i="1"/>
  <c r="J99" i="1" s="1"/>
  <c r="H81" i="1"/>
  <c r="H99" i="1" s="1"/>
  <c r="C81" i="1"/>
  <c r="C99" i="1" s="1"/>
  <c r="C100" i="1" s="1"/>
  <c r="B81" i="1"/>
  <c r="G79" i="1"/>
  <c r="B79" i="1"/>
  <c r="I75" i="1"/>
  <c r="G75" i="1"/>
  <c r="D75" i="1"/>
  <c r="B75" i="1"/>
  <c r="I71" i="1"/>
  <c r="G71" i="1"/>
  <c r="D71" i="1"/>
  <c r="B71" i="1"/>
  <c r="I67" i="1"/>
  <c r="G67" i="1"/>
  <c r="D67" i="1"/>
  <c r="B67" i="1"/>
  <c r="I63" i="1"/>
  <c r="G63" i="1"/>
  <c r="D63" i="1"/>
  <c r="B63" i="1"/>
  <c r="G60" i="1"/>
  <c r="B60" i="1"/>
  <c r="G56" i="1"/>
  <c r="B56" i="1"/>
  <c r="G52" i="1"/>
  <c r="B52" i="1"/>
  <c r="G48" i="1"/>
  <c r="B48" i="1"/>
  <c r="G44" i="1"/>
  <c r="B44" i="1"/>
  <c r="G40" i="1"/>
  <c r="B40" i="1"/>
  <c r="G36" i="1"/>
  <c r="B36" i="1"/>
  <c r="G32" i="1"/>
  <c r="B32" i="1"/>
  <c r="G28" i="1"/>
  <c r="B28" i="1"/>
  <c r="G25" i="1"/>
  <c r="B25" i="1"/>
  <c r="F22" i="1"/>
  <c r="I21" i="1"/>
  <c r="G21" i="1"/>
  <c r="D21" i="1"/>
  <c r="B21" i="1"/>
  <c r="F18" i="1"/>
  <c r="I17" i="1"/>
  <c r="G17" i="1"/>
  <c r="D17" i="1"/>
  <c r="B17" i="1"/>
  <c r="F14" i="1"/>
  <c r="I13" i="1"/>
  <c r="G13" i="1"/>
  <c r="D13" i="1"/>
  <c r="B13" i="1"/>
  <c r="F10" i="1"/>
  <c r="I9" i="1"/>
  <c r="G9" i="1"/>
  <c r="D9" i="1"/>
  <c r="B9" i="1"/>
  <c r="E8" i="1"/>
  <c r="D8" i="1"/>
  <c r="C8" i="1"/>
  <c r="B8" i="1"/>
  <c r="G6" i="1"/>
  <c r="B6" i="1"/>
  <c r="Z21" i="2" l="1"/>
  <c r="D22" i="1"/>
  <c r="J24" i="13"/>
  <c r="J27" i="13"/>
  <c r="AA11" i="10"/>
  <c r="P17" i="3"/>
  <c r="A29" i="3"/>
  <c r="B17" i="3"/>
  <c r="W7" i="11"/>
  <c r="W10" i="11"/>
  <c r="W9" i="11" s="1"/>
  <c r="M6" i="13"/>
  <c r="M23" i="13"/>
  <c r="E20" i="16"/>
  <c r="E35" i="18"/>
  <c r="X20" i="16"/>
  <c r="X35" i="18"/>
  <c r="B11" i="3"/>
  <c r="M13" i="10"/>
  <c r="M12" i="10" s="1"/>
  <c r="M7" i="10"/>
  <c r="M10" i="10"/>
  <c r="M9" i="10" s="1"/>
  <c r="Y29" i="10"/>
  <c r="N11" i="11"/>
  <c r="F21" i="16"/>
  <c r="F37" i="18"/>
  <c r="G4" i="22" s="1"/>
  <c r="AA29" i="4"/>
  <c r="A25" i="11"/>
  <c r="B8" i="11"/>
  <c r="P8" i="11"/>
  <c r="F6" i="12"/>
  <c r="E13" i="10"/>
  <c r="E12" i="10" s="1"/>
  <c r="E10" i="10"/>
  <c r="E9" i="10" s="1"/>
  <c r="I13" i="12"/>
  <c r="I12" i="12" s="1"/>
  <c r="I10" i="12"/>
  <c r="I9" i="12" s="1"/>
  <c r="I7" i="12"/>
  <c r="H21" i="16"/>
  <c r="A26" i="2"/>
  <c r="P11" i="2"/>
  <c r="Z20" i="2"/>
  <c r="AA29" i="2"/>
  <c r="AA26" i="3"/>
  <c r="N19" i="4"/>
  <c r="Z30" i="5"/>
  <c r="AA28" i="5" s="1"/>
  <c r="R16" i="10"/>
  <c r="R15" i="10" s="1"/>
  <c r="Y24" i="10"/>
  <c r="W13" i="11"/>
  <c r="W12" i="11" s="1"/>
  <c r="J10" i="12"/>
  <c r="J9" i="12" s="1"/>
  <c r="J13" i="12"/>
  <c r="J12" i="12" s="1"/>
  <c r="J7" i="12"/>
  <c r="E13" i="13"/>
  <c r="E12" i="13" s="1"/>
  <c r="E16" i="13"/>
  <c r="E15" i="13" s="1"/>
  <c r="E7" i="13"/>
  <c r="Q13" i="13"/>
  <c r="Q12" i="13" s="1"/>
  <c r="Q7" i="13"/>
  <c r="Q16" i="13"/>
  <c r="Q15" i="13" s="1"/>
  <c r="E10" i="13"/>
  <c r="E9" i="13" s="1"/>
  <c r="J12" i="13"/>
  <c r="V21" i="16"/>
  <c r="V37" i="18"/>
  <c r="G17" i="22" s="1"/>
  <c r="AA8" i="19"/>
  <c r="Z14" i="19"/>
  <c r="AA14" i="15"/>
  <c r="I21" i="16"/>
  <c r="Q4" i="18"/>
  <c r="Q4" i="15"/>
  <c r="H22" i="1"/>
  <c r="H100" i="1"/>
  <c r="T37" i="18"/>
  <c r="G15" i="22" s="1"/>
  <c r="T21" i="16"/>
  <c r="AA28" i="3"/>
  <c r="AA25" i="4"/>
  <c r="X23" i="11"/>
  <c r="X6" i="11"/>
  <c r="AA14" i="2"/>
  <c r="AA28" i="2"/>
  <c r="AA25" i="3"/>
  <c r="V23" i="13"/>
  <c r="V6" i="13"/>
  <c r="AA25" i="2"/>
  <c r="AA8" i="8"/>
  <c r="Q16" i="10"/>
  <c r="Q15" i="10" s="1"/>
  <c r="Z11" i="12"/>
  <c r="AA11" i="12" s="1"/>
  <c r="X27" i="13"/>
  <c r="D18" i="1"/>
  <c r="B11" i="2"/>
  <c r="AA26" i="2"/>
  <c r="N19" i="3"/>
  <c r="Z30" i="4"/>
  <c r="AA28" i="4" s="1"/>
  <c r="B24" i="5"/>
  <c r="P19" i="5"/>
  <c r="Y21" i="5" s="1"/>
  <c r="A19" i="5"/>
  <c r="M21" i="5" s="1"/>
  <c r="N4" i="6"/>
  <c r="N4" i="7"/>
  <c r="P11" i="9"/>
  <c r="A28" i="9"/>
  <c r="Q7" i="10"/>
  <c r="T16" i="11"/>
  <c r="T15" i="11" s="1"/>
  <c r="Z17" i="13"/>
  <c r="AA17" i="13" s="1"/>
  <c r="X24" i="13"/>
  <c r="Z11" i="19"/>
  <c r="AA11" i="15"/>
  <c r="A26" i="16"/>
  <c r="A31" i="16" s="1"/>
  <c r="P11" i="16"/>
  <c r="P23" i="18" s="1"/>
  <c r="B11" i="16"/>
  <c r="B23" i="18" s="1"/>
  <c r="X4" i="5"/>
  <c r="X4" i="4"/>
  <c r="X4" i="3"/>
  <c r="F4" i="11"/>
  <c r="F4" i="13"/>
  <c r="E3" i="18"/>
  <c r="E3" i="14"/>
  <c r="M3" i="16"/>
  <c r="M3" i="19" s="1"/>
  <c r="M3" i="18"/>
  <c r="X3" i="18"/>
  <c r="X3" i="16"/>
  <c r="X3" i="19" s="1"/>
  <c r="X3" i="14"/>
  <c r="H14" i="1"/>
  <c r="A26" i="3"/>
  <c r="P11" i="3"/>
  <c r="Y7" i="12"/>
  <c r="Y10" i="12"/>
  <c r="Y9" i="12" s="1"/>
  <c r="A11" i="18"/>
  <c r="A40" i="18" s="1"/>
  <c r="D40" i="18" s="1"/>
  <c r="P40" i="18" s="1"/>
  <c r="A26" i="14"/>
  <c r="A31" i="14" s="1"/>
  <c r="B11" i="14"/>
  <c r="B11" i="18" s="1"/>
  <c r="P11" i="14"/>
  <c r="P11" i="18" s="1"/>
  <c r="M20" i="16"/>
  <c r="M35" i="18"/>
  <c r="P2" i="21"/>
  <c r="AM20" i="21" s="1"/>
  <c r="Y3" i="21"/>
  <c r="S3" i="21"/>
  <c r="R4" i="21"/>
  <c r="P17" i="2"/>
  <c r="A29" i="2"/>
  <c r="B17" i="2"/>
  <c r="N20" i="4"/>
  <c r="AA20" i="4" s="1"/>
  <c r="U37" i="18"/>
  <c r="G16" i="22" s="1"/>
  <c r="U21" i="16"/>
  <c r="N20" i="3"/>
  <c r="AA20" i="3" s="1"/>
  <c r="AA20" i="5"/>
  <c r="Z11" i="11"/>
  <c r="AA11" i="11" s="1"/>
  <c r="S23" i="13"/>
  <c r="N20" i="2"/>
  <c r="AA29" i="3"/>
  <c r="E7" i="10"/>
  <c r="J6" i="11"/>
  <c r="J23" i="11"/>
  <c r="D14" i="1"/>
  <c r="S17" i="25"/>
  <c r="K17" i="25"/>
  <c r="T18" i="25"/>
  <c r="H18" i="25"/>
  <c r="N17" i="25"/>
  <c r="N9" i="25"/>
  <c r="E9" i="25"/>
  <c r="S20" i="25"/>
  <c r="F20" i="25"/>
  <c r="M18" i="25"/>
  <c r="V17" i="25"/>
  <c r="I17" i="25"/>
  <c r="R20" i="25"/>
  <c r="E20" i="25"/>
  <c r="L18" i="25"/>
  <c r="U17" i="25"/>
  <c r="H17" i="25"/>
  <c r="P9" i="25"/>
  <c r="F9" i="25"/>
  <c r="Q7" i="25"/>
  <c r="G7" i="25"/>
  <c r="Q20" i="25"/>
  <c r="V18" i="25"/>
  <c r="K18" i="25"/>
  <c r="T17" i="25"/>
  <c r="G17" i="25"/>
  <c r="M20" i="25"/>
  <c r="T19" i="25"/>
  <c r="S18" i="25"/>
  <c r="E16" i="25"/>
  <c r="I15" i="25"/>
  <c r="L14" i="25"/>
  <c r="S9" i="25"/>
  <c r="G9" i="25"/>
  <c r="P8" i="25"/>
  <c r="E8" i="25"/>
  <c r="O7" i="25"/>
  <c r="O6" i="25"/>
  <c r="K20" i="25"/>
  <c r="S19" i="25"/>
  <c r="P18" i="25"/>
  <c r="Q17" i="25"/>
  <c r="K14" i="25"/>
  <c r="Q9" i="25"/>
  <c r="O8" i="25"/>
  <c r="N7" i="25"/>
  <c r="K6" i="25"/>
  <c r="L5" i="25"/>
  <c r="J20" i="25"/>
  <c r="L19" i="25"/>
  <c r="O18" i="25"/>
  <c r="P17" i="25"/>
  <c r="J14" i="25"/>
  <c r="O9" i="25"/>
  <c r="M7" i="25"/>
  <c r="V6" i="25"/>
  <c r="J6" i="25"/>
  <c r="I20" i="25"/>
  <c r="K19" i="25"/>
  <c r="N18" i="25"/>
  <c r="O17" i="25"/>
  <c r="P16" i="25"/>
  <c r="V15" i="25"/>
  <c r="I14" i="25"/>
  <c r="M9" i="25"/>
  <c r="M8" i="25"/>
  <c r="J7" i="25"/>
  <c r="T6" i="25"/>
  <c r="I6" i="25"/>
  <c r="U5" i="25"/>
  <c r="J5" i="25"/>
  <c r="G18" i="25"/>
  <c r="E17" i="25"/>
  <c r="P15" i="25"/>
  <c r="S14" i="25"/>
  <c r="L9" i="25"/>
  <c r="I8" i="25"/>
  <c r="E7" i="25"/>
  <c r="Q6" i="25"/>
  <c r="E5" i="25"/>
  <c r="F18" i="25"/>
  <c r="N15" i="25"/>
  <c r="Q14" i="25"/>
  <c r="K9" i="25"/>
  <c r="G8" i="25"/>
  <c r="V7" i="25"/>
  <c r="P6" i="25"/>
  <c r="V19" i="25"/>
  <c r="E18" i="25"/>
  <c r="K15" i="25"/>
  <c r="G14" i="25"/>
  <c r="I9" i="25"/>
  <c r="F8" i="25"/>
  <c r="S7" i="25"/>
  <c r="H6" i="25"/>
  <c r="U19" i="25"/>
  <c r="O16" i="25"/>
  <c r="J15" i="25"/>
  <c r="T11" i="25"/>
  <c r="H9" i="25"/>
  <c r="R7" i="25"/>
  <c r="G6" i="25"/>
  <c r="T5" i="25"/>
  <c r="G19" i="25"/>
  <c r="F17" i="25"/>
  <c r="N16" i="25"/>
  <c r="P13" i="25"/>
  <c r="U12" i="25"/>
  <c r="T9" i="25"/>
  <c r="P7" i="25"/>
  <c r="O5" i="25"/>
  <c r="F19" i="25"/>
  <c r="M16" i="25"/>
  <c r="R12" i="25"/>
  <c r="R11" i="25"/>
  <c r="I7" i="25"/>
  <c r="I5" i="25"/>
  <c r="F16" i="25"/>
  <c r="J12" i="25"/>
  <c r="N11" i="25"/>
  <c r="U8" i="25"/>
  <c r="H7" i="25"/>
  <c r="M11" i="25"/>
  <c r="R10" i="25"/>
  <c r="T8" i="25"/>
  <c r="F7" i="25"/>
  <c r="S6" i="25"/>
  <c r="F6" i="25"/>
  <c r="V9" i="25"/>
  <c r="U20" i="25"/>
  <c r="J19" i="25"/>
  <c r="Q13" i="25"/>
  <c r="U9" i="25"/>
  <c r="R8" i="25"/>
  <c r="T20" i="25"/>
  <c r="M17" i="25"/>
  <c r="P10" i="25"/>
  <c r="J8" i="25"/>
  <c r="N20" i="25"/>
  <c r="L17" i="25"/>
  <c r="T14" i="25"/>
  <c r="O10" i="25"/>
  <c r="F10" i="25"/>
  <c r="B8" i="2"/>
  <c r="A25" i="2"/>
  <c r="R6" i="25"/>
  <c r="V12" i="25"/>
  <c r="S5" i="25"/>
  <c r="N19" i="2"/>
  <c r="A26" i="5"/>
  <c r="P11" i="5"/>
  <c r="P17" i="5"/>
  <c r="B17" i="5"/>
  <c r="A29" i="5"/>
  <c r="Z24" i="5"/>
  <c r="AA24" i="5" s="1"/>
  <c r="P17" i="6"/>
  <c r="A31" i="6"/>
  <c r="B17" i="6"/>
  <c r="B11" i="9"/>
  <c r="R7" i="10"/>
  <c r="F13" i="11"/>
  <c r="F12" i="11" s="1"/>
  <c r="F7" i="11"/>
  <c r="F16" i="11"/>
  <c r="F15" i="11" s="1"/>
  <c r="N17" i="11"/>
  <c r="V10" i="12"/>
  <c r="V9" i="12" s="1"/>
  <c r="V13" i="12"/>
  <c r="V12" i="12" s="1"/>
  <c r="V7" i="12"/>
  <c r="N17" i="12"/>
  <c r="A23" i="18"/>
  <c r="A44" i="18" s="1"/>
  <c r="D44" i="18" s="1"/>
  <c r="P44" i="18" s="1"/>
  <c r="Q5" i="25"/>
  <c r="B14" i="7"/>
  <c r="A30" i="7"/>
  <c r="P14" i="7"/>
  <c r="Y6" i="10"/>
  <c r="M16" i="10"/>
  <c r="M15" i="10" s="1"/>
  <c r="K27" i="11"/>
  <c r="K24" i="11"/>
  <c r="N19" i="5"/>
  <c r="B99" i="1"/>
  <c r="A26" i="4"/>
  <c r="P11" i="4"/>
  <c r="P17" i="4"/>
  <c r="A29" i="4"/>
  <c r="B17" i="4"/>
  <c r="AA14" i="5"/>
  <c r="B11" i="6"/>
  <c r="AA14" i="6"/>
  <c r="W16" i="10"/>
  <c r="W15" i="10" s="1"/>
  <c r="L16" i="10"/>
  <c r="L15" i="10" s="1"/>
  <c r="I16" i="10"/>
  <c r="I15" i="10" s="1"/>
  <c r="J16" i="10"/>
  <c r="J15" i="10" s="1"/>
  <c r="Y16" i="10"/>
  <c r="Y15" i="10" s="1"/>
  <c r="H16" i="10"/>
  <c r="H15" i="10" s="1"/>
  <c r="S16" i="10"/>
  <c r="S15" i="10" s="1"/>
  <c r="X16" i="10"/>
  <c r="X15" i="10" s="1"/>
  <c r="G16" i="10"/>
  <c r="G15" i="10" s="1"/>
  <c r="U16" i="10"/>
  <c r="U15" i="10" s="1"/>
  <c r="F16" i="10"/>
  <c r="F15" i="10" s="1"/>
  <c r="E16" i="10"/>
  <c r="E15" i="10" s="1"/>
  <c r="H7" i="11"/>
  <c r="H16" i="11"/>
  <c r="H15" i="11" s="1"/>
  <c r="H10" i="11"/>
  <c r="H9" i="11" s="1"/>
  <c r="V13" i="11"/>
  <c r="V12" i="11" s="1"/>
  <c r="V7" i="11"/>
  <c r="V10" i="11"/>
  <c r="V9" i="11" s="1"/>
  <c r="V16" i="11"/>
  <c r="V15" i="11" s="1"/>
  <c r="W13" i="12"/>
  <c r="W12" i="12" s="1"/>
  <c r="W7" i="12"/>
  <c r="F13" i="12"/>
  <c r="F12" i="12" s="1"/>
  <c r="A26" i="13"/>
  <c r="B11" i="13"/>
  <c r="P11" i="13"/>
  <c r="Z17" i="18"/>
  <c r="AA17" i="14"/>
  <c r="R20" i="15"/>
  <c r="R20" i="17" s="1"/>
  <c r="R35" i="19" s="1"/>
  <c r="R21" i="15"/>
  <c r="R21" i="17" s="1"/>
  <c r="R37" i="19" s="1"/>
  <c r="E13" i="22" s="1"/>
  <c r="S4" i="17"/>
  <c r="I4" i="17"/>
  <c r="V3" i="17"/>
  <c r="K3" i="17"/>
  <c r="R4" i="17"/>
  <c r="H4" i="17"/>
  <c r="U3" i="17"/>
  <c r="J3" i="17"/>
  <c r="U4" i="17"/>
  <c r="G4" i="17"/>
  <c r="R3" i="17"/>
  <c r="E3" i="17"/>
  <c r="T4" i="17"/>
  <c r="F4" i="17"/>
  <c r="Q3" i="17"/>
  <c r="Q4" i="17"/>
  <c r="Z4" i="17" s="1"/>
  <c r="M3" i="17"/>
  <c r="Y3" i="17"/>
  <c r="L3" i="17"/>
  <c r="X4" i="17"/>
  <c r="W3" i="17"/>
  <c r="W4" i="17"/>
  <c r="T3" i="17"/>
  <c r="M4" i="17"/>
  <c r="I3" i="17"/>
  <c r="L4" i="17"/>
  <c r="H3" i="17"/>
  <c r="S3" i="17"/>
  <c r="V4" i="17"/>
  <c r="G3" i="17"/>
  <c r="F3" i="17"/>
  <c r="Y4" i="17"/>
  <c r="A25" i="3"/>
  <c r="O33" i="25"/>
  <c r="J44" i="25"/>
  <c r="K33" i="25"/>
  <c r="N31" i="25"/>
  <c r="H30" i="25"/>
  <c r="I33" i="25"/>
  <c r="K31" i="25"/>
  <c r="R41" i="25"/>
  <c r="F33" i="25"/>
  <c r="H31" i="25"/>
  <c r="P42" i="25"/>
  <c r="O41" i="25"/>
  <c r="G31" i="25"/>
  <c r="R44" i="25"/>
  <c r="O42" i="25"/>
  <c r="M33" i="25"/>
  <c r="M30" i="25"/>
  <c r="O44" i="25"/>
  <c r="N42" i="25"/>
  <c r="N41" i="25"/>
  <c r="I30" i="25"/>
  <c r="L44" i="25"/>
  <c r="G42" i="25"/>
  <c r="J41" i="25"/>
  <c r="F42" i="25"/>
  <c r="I41" i="25"/>
  <c r="U33" i="25"/>
  <c r="N33" i="25"/>
  <c r="O30" i="25"/>
  <c r="V44" i="25"/>
  <c r="V31" i="25"/>
  <c r="O31" i="25"/>
  <c r="F7" i="10"/>
  <c r="X10" i="11"/>
  <c r="X9" i="11" s="1"/>
  <c r="X13" i="11"/>
  <c r="X12" i="11" s="1"/>
  <c r="A28" i="12"/>
  <c r="P14" i="12"/>
  <c r="Y10" i="13"/>
  <c r="Y9" i="13" s="1"/>
  <c r="Q10" i="13"/>
  <c r="Q9" i="13" s="1"/>
  <c r="F10" i="13"/>
  <c r="F9" i="13" s="1"/>
  <c r="W10" i="13"/>
  <c r="W9" i="13" s="1"/>
  <c r="L10" i="13"/>
  <c r="L9" i="13" s="1"/>
  <c r="V10" i="13"/>
  <c r="V9" i="13" s="1"/>
  <c r="M10" i="13"/>
  <c r="M9" i="13" s="1"/>
  <c r="K10" i="13"/>
  <c r="K9" i="13" s="1"/>
  <c r="X10" i="13"/>
  <c r="X9" i="13" s="1"/>
  <c r="I10" i="13"/>
  <c r="I9" i="13" s="1"/>
  <c r="X37" i="18"/>
  <c r="G19" i="22" s="1"/>
  <c r="X21" i="16"/>
  <c r="A28" i="15"/>
  <c r="A33" i="15" s="1"/>
  <c r="B17" i="15"/>
  <c r="B17" i="19" s="1"/>
  <c r="P17" i="15"/>
  <c r="P17" i="19" s="1"/>
  <c r="G4" i="2"/>
  <c r="Y4" i="3"/>
  <c r="B8" i="3"/>
  <c r="Y4" i="4"/>
  <c r="B8" i="4"/>
  <c r="T3" i="6"/>
  <c r="Y4" i="6"/>
  <c r="B8" i="6"/>
  <c r="Y13" i="11"/>
  <c r="Y12" i="11" s="1"/>
  <c r="Y7" i="11"/>
  <c r="Y10" i="11"/>
  <c r="Y9" i="11" s="1"/>
  <c r="X4" i="12"/>
  <c r="F4" i="12"/>
  <c r="S3" i="12"/>
  <c r="H3" i="12"/>
  <c r="H16" i="12" s="1"/>
  <c r="H15" i="12" s="1"/>
  <c r="W4" i="12"/>
  <c r="M4" i="12"/>
  <c r="R3" i="12"/>
  <c r="G3" i="12"/>
  <c r="U4" i="12"/>
  <c r="K4" i="12"/>
  <c r="X3" i="12"/>
  <c r="M3" i="12"/>
  <c r="M16" i="12" s="1"/>
  <c r="M15" i="12" s="1"/>
  <c r="E3" i="12"/>
  <c r="L3" i="12"/>
  <c r="H4" i="12"/>
  <c r="V4" i="12"/>
  <c r="B14" i="12"/>
  <c r="B27" i="12" s="1"/>
  <c r="U16" i="12"/>
  <c r="U15" i="12" s="1"/>
  <c r="F7" i="13"/>
  <c r="H10" i="13"/>
  <c r="H9" i="13" s="1"/>
  <c r="N11" i="13"/>
  <c r="H35" i="18"/>
  <c r="H20" i="16"/>
  <c r="K21" i="16"/>
  <c r="K37" i="18"/>
  <c r="G9" i="22" s="1"/>
  <c r="N30" i="25"/>
  <c r="A25" i="5"/>
  <c r="X4" i="8"/>
  <c r="F4" i="8"/>
  <c r="S3" i="8"/>
  <c r="H3" i="8"/>
  <c r="W4" i="8"/>
  <c r="M4" i="8"/>
  <c r="E4" i="8"/>
  <c r="R3" i="8"/>
  <c r="G3" i="8"/>
  <c r="U4" i="8"/>
  <c r="K4" i="8"/>
  <c r="X3" i="8"/>
  <c r="M3" i="8"/>
  <c r="E3" i="8"/>
  <c r="AA14" i="9"/>
  <c r="N17" i="10"/>
  <c r="G10" i="13"/>
  <c r="G9" i="13" s="1"/>
  <c r="T3" i="2"/>
  <c r="I3" i="3"/>
  <c r="Q4" i="3"/>
  <c r="Q4" i="4"/>
  <c r="T3" i="5"/>
  <c r="Y4" i="5"/>
  <c r="Q4" i="6"/>
  <c r="G7" i="10"/>
  <c r="B14" i="11"/>
  <c r="B27" i="11" s="1"/>
  <c r="J3" i="2"/>
  <c r="U3" i="2"/>
  <c r="H4" i="2"/>
  <c r="R4" i="2"/>
  <c r="J3" i="3"/>
  <c r="U3" i="3"/>
  <c r="H4" i="3"/>
  <c r="R4" i="3"/>
  <c r="J3" i="4"/>
  <c r="U3" i="4"/>
  <c r="H4" i="4"/>
  <c r="R4" i="4"/>
  <c r="J3" i="5"/>
  <c r="U3" i="5"/>
  <c r="H4" i="5"/>
  <c r="R4" i="5"/>
  <c r="J3" i="6"/>
  <c r="U3" i="6"/>
  <c r="H4" i="6"/>
  <c r="R4" i="6"/>
  <c r="H3" i="7"/>
  <c r="U3" i="7"/>
  <c r="L4" i="7"/>
  <c r="A31" i="7"/>
  <c r="T3" i="8"/>
  <c r="J4" i="8"/>
  <c r="B8" i="9"/>
  <c r="H13" i="10"/>
  <c r="H12" i="10" s="1"/>
  <c r="H7" i="10"/>
  <c r="R10" i="10"/>
  <c r="R9" i="10" s="1"/>
  <c r="G10" i="10"/>
  <c r="G9" i="10" s="1"/>
  <c r="Y10" i="10"/>
  <c r="Y9" i="10" s="1"/>
  <c r="Q10" i="10"/>
  <c r="Q9" i="10" s="1"/>
  <c r="F10" i="10"/>
  <c r="F9" i="10" s="1"/>
  <c r="W10" i="10"/>
  <c r="W9" i="10" s="1"/>
  <c r="L10" i="10"/>
  <c r="L9" i="10" s="1"/>
  <c r="Z17" i="10"/>
  <c r="X23" i="10"/>
  <c r="M10" i="11"/>
  <c r="M9" i="11" s="1"/>
  <c r="M13" i="11"/>
  <c r="M12" i="11" s="1"/>
  <c r="P11" i="11"/>
  <c r="A26" i="11"/>
  <c r="L13" i="11"/>
  <c r="L12" i="11" s="1"/>
  <c r="Q3" i="12"/>
  <c r="I4" i="12"/>
  <c r="Y4" i="12"/>
  <c r="F16" i="12"/>
  <c r="F15" i="12" s="1"/>
  <c r="V16" i="12"/>
  <c r="V15" i="12" s="1"/>
  <c r="H7" i="13"/>
  <c r="H13" i="13"/>
  <c r="H12" i="13" s="1"/>
  <c r="U7" i="13"/>
  <c r="U16" i="13"/>
  <c r="U15" i="13" s="1"/>
  <c r="G7" i="13"/>
  <c r="B8" i="13"/>
  <c r="A25" i="13"/>
  <c r="J10" i="13"/>
  <c r="J9" i="13" s="1"/>
  <c r="A17" i="19"/>
  <c r="A42" i="19" s="1"/>
  <c r="D42" i="19" s="1"/>
  <c r="P42" i="19" s="1"/>
  <c r="H4" i="8"/>
  <c r="S13" i="10"/>
  <c r="S12" i="10" s="1"/>
  <c r="S7" i="10"/>
  <c r="K10" i="12"/>
  <c r="K9" i="12" s="1"/>
  <c r="K13" i="12"/>
  <c r="K12" i="12" s="1"/>
  <c r="I3" i="2"/>
  <c r="Q4" i="2"/>
  <c r="G4" i="3"/>
  <c r="I3" i="4"/>
  <c r="T3" i="4"/>
  <c r="I3" i="5"/>
  <c r="Q4" i="5"/>
  <c r="I3" i="6"/>
  <c r="G4" i="6"/>
  <c r="Q3" i="8"/>
  <c r="I4" i="8"/>
  <c r="V3" i="2"/>
  <c r="K3" i="4"/>
  <c r="V3" i="4"/>
  <c r="I4" i="4"/>
  <c r="K3" i="5"/>
  <c r="V3" i="5"/>
  <c r="I4" i="5"/>
  <c r="K3" i="6"/>
  <c r="V3" i="6"/>
  <c r="I4" i="6"/>
  <c r="S4" i="6"/>
  <c r="U3" i="8"/>
  <c r="L4" i="8"/>
  <c r="A21" i="8"/>
  <c r="A19" i="8"/>
  <c r="L6" i="10"/>
  <c r="L23" i="10"/>
  <c r="O57" i="25"/>
  <c r="P8" i="10"/>
  <c r="B8" i="10"/>
  <c r="N11" i="10"/>
  <c r="U13" i="10"/>
  <c r="J23" i="10"/>
  <c r="Q13" i="11"/>
  <c r="Q12" i="11" s="1"/>
  <c r="Q7" i="11"/>
  <c r="U6" i="11"/>
  <c r="U23" i="11"/>
  <c r="K10" i="11"/>
  <c r="K9" i="11" s="1"/>
  <c r="X16" i="11"/>
  <c r="X15" i="11" s="1"/>
  <c r="Z17" i="11"/>
  <c r="AA17" i="11" s="1"/>
  <c r="T3" i="12"/>
  <c r="J4" i="12"/>
  <c r="I16" i="12"/>
  <c r="I15" i="12" s="1"/>
  <c r="Z17" i="12"/>
  <c r="A26" i="12"/>
  <c r="R10" i="13"/>
  <c r="R9" i="13" s="1"/>
  <c r="A29" i="18"/>
  <c r="A46" i="18" s="1"/>
  <c r="D46" i="18" s="1"/>
  <c r="P46" i="18" s="1"/>
  <c r="B17" i="16"/>
  <c r="B29" i="18" s="1"/>
  <c r="S20" i="16"/>
  <c r="R24" i="16"/>
  <c r="AA20" i="19"/>
  <c r="P13" i="21"/>
  <c r="S10" i="25"/>
  <c r="A27" i="7"/>
  <c r="P8" i="7"/>
  <c r="L3" i="8"/>
  <c r="W6" i="10"/>
  <c r="W23" i="10"/>
  <c r="L23" i="11"/>
  <c r="R16" i="12"/>
  <c r="R15" i="12" s="1"/>
  <c r="G16" i="12"/>
  <c r="G15" i="12" s="1"/>
  <c r="E16" i="12"/>
  <c r="E15" i="12" s="1"/>
  <c r="R13" i="13"/>
  <c r="R12" i="13" s="1"/>
  <c r="R7" i="13"/>
  <c r="W6" i="13"/>
  <c r="W23" i="13"/>
  <c r="AB24" i="14"/>
  <c r="A25" i="17"/>
  <c r="A30" i="17" s="1"/>
  <c r="A20" i="19"/>
  <c r="A43" i="19" s="1"/>
  <c r="D43" i="19" s="1"/>
  <c r="P43" i="19" s="1"/>
  <c r="B8" i="17"/>
  <c r="Y4" i="2"/>
  <c r="T3" i="3"/>
  <c r="G4" i="4"/>
  <c r="G4" i="5"/>
  <c r="Y4" i="8"/>
  <c r="K3" i="2"/>
  <c r="I4" i="2"/>
  <c r="K3" i="3"/>
  <c r="V3" i="3"/>
  <c r="I4" i="3"/>
  <c r="S4" i="3"/>
  <c r="L3" i="2"/>
  <c r="W3" i="2"/>
  <c r="J4" i="2"/>
  <c r="L3" i="3"/>
  <c r="W3" i="3"/>
  <c r="J4" i="3"/>
  <c r="L3" i="4"/>
  <c r="W3" i="4"/>
  <c r="J4" i="4"/>
  <c r="L3" i="5"/>
  <c r="W3" i="5"/>
  <c r="J4" i="5"/>
  <c r="L3" i="6"/>
  <c r="W3" i="6"/>
  <c r="J4" i="6"/>
  <c r="U4" i="7"/>
  <c r="K4" i="7"/>
  <c r="X3" i="7"/>
  <c r="M3" i="7"/>
  <c r="E3" i="7"/>
  <c r="S4" i="7"/>
  <c r="I4" i="7"/>
  <c r="V3" i="7"/>
  <c r="K3" i="7"/>
  <c r="J3" i="7"/>
  <c r="Y3" i="7"/>
  <c r="F3" i="8"/>
  <c r="V3" i="8"/>
  <c r="Q4" i="8"/>
  <c r="Z4" i="8" s="1"/>
  <c r="U10" i="10"/>
  <c r="U9" i="10" s="1"/>
  <c r="E10" i="11"/>
  <c r="E9" i="11" s="1"/>
  <c r="E13" i="11"/>
  <c r="E12" i="11" s="1"/>
  <c r="L6" i="11"/>
  <c r="E7" i="11"/>
  <c r="Q10" i="11"/>
  <c r="Q9" i="11" s="1"/>
  <c r="S13" i="11"/>
  <c r="AA14" i="11"/>
  <c r="K16" i="11"/>
  <c r="K15" i="11" s="1"/>
  <c r="Y16" i="11"/>
  <c r="Y15" i="11" s="1"/>
  <c r="U3" i="12"/>
  <c r="L4" i="12"/>
  <c r="K7" i="12"/>
  <c r="J16" i="12"/>
  <c r="J15" i="12" s="1"/>
  <c r="Y16" i="12"/>
  <c r="Y15" i="12" s="1"/>
  <c r="K7" i="13"/>
  <c r="P8" i="13"/>
  <c r="S10" i="13"/>
  <c r="S9" i="13" s="1"/>
  <c r="Z11" i="13"/>
  <c r="AA11" i="13" s="1"/>
  <c r="F13" i="13"/>
  <c r="F12" i="13" s="1"/>
  <c r="S21" i="16"/>
  <c r="S37" i="18"/>
  <c r="G14" i="22" s="1"/>
  <c r="AA17" i="19"/>
  <c r="N20" i="18"/>
  <c r="AA8" i="16"/>
  <c r="Z26" i="18"/>
  <c r="AA14" i="16"/>
  <c r="Z26" i="19"/>
  <c r="AA14" i="17"/>
  <c r="J21" i="16"/>
  <c r="J37" i="18"/>
  <c r="G8" i="22" s="1"/>
  <c r="AA14" i="14"/>
  <c r="Z14" i="18"/>
  <c r="B8" i="16"/>
  <c r="P8" i="16"/>
  <c r="P20" i="18" s="1"/>
  <c r="A25" i="16"/>
  <c r="A30" i="16" s="1"/>
  <c r="A28" i="8"/>
  <c r="P14" i="9"/>
  <c r="I3" i="10"/>
  <c r="T3" i="10"/>
  <c r="T16" i="10" s="1"/>
  <c r="T15" i="10" s="1"/>
  <c r="G4" i="10"/>
  <c r="Y4" i="10"/>
  <c r="G3" i="11"/>
  <c r="G16" i="11" s="1"/>
  <c r="G15" i="11" s="1"/>
  <c r="R3" i="11"/>
  <c r="R16" i="11" s="1"/>
  <c r="R15" i="11" s="1"/>
  <c r="E4" i="11"/>
  <c r="N4" i="11" s="1"/>
  <c r="M4" i="11"/>
  <c r="W4" i="11"/>
  <c r="J10" i="11"/>
  <c r="J9" i="11" s="1"/>
  <c r="U10" i="11"/>
  <c r="U9" i="11" s="1"/>
  <c r="L7" i="13"/>
  <c r="Y7" i="13"/>
  <c r="M16" i="13"/>
  <c r="M15" i="13" s="1"/>
  <c r="V16" i="13"/>
  <c r="V15" i="13" s="1"/>
  <c r="K16" i="13"/>
  <c r="K15" i="13" s="1"/>
  <c r="S16" i="13"/>
  <c r="S15" i="13" s="1"/>
  <c r="H16" i="13"/>
  <c r="H15" i="13" s="1"/>
  <c r="R20" i="16"/>
  <c r="C25" i="20"/>
  <c r="A28" i="7"/>
  <c r="I3" i="9"/>
  <c r="T3" i="9"/>
  <c r="G4" i="9"/>
  <c r="N4" i="9" s="1"/>
  <c r="Y4" i="9"/>
  <c r="K3" i="10"/>
  <c r="K16" i="10" s="1"/>
  <c r="K15" i="10" s="1"/>
  <c r="V3" i="10"/>
  <c r="I4" i="10"/>
  <c r="I3" i="11"/>
  <c r="T3" i="11"/>
  <c r="G4" i="11"/>
  <c r="I16" i="11"/>
  <c r="I15" i="11" s="1"/>
  <c r="R16" i="13"/>
  <c r="R15" i="13" s="1"/>
  <c r="A14" i="18"/>
  <c r="A41" i="18" s="1"/>
  <c r="D41" i="18" s="1"/>
  <c r="P41" i="18" s="1"/>
  <c r="P14" i="14"/>
  <c r="P14" i="18" s="1"/>
  <c r="I35" i="18"/>
  <c r="I20" i="16"/>
  <c r="A27" i="14"/>
  <c r="A32" i="14" s="1"/>
  <c r="T20" i="16"/>
  <c r="J35" i="18"/>
  <c r="R37" i="18"/>
  <c r="G13" i="22" s="1"/>
  <c r="J13" i="21"/>
  <c r="X12" i="24"/>
  <c r="AB11" i="24"/>
  <c r="E4" i="14" s="1"/>
  <c r="H4" i="9"/>
  <c r="P17" i="13"/>
  <c r="U20" i="16"/>
  <c r="Y21" i="16"/>
  <c r="A26" i="17"/>
  <c r="A31" i="17" s="1"/>
  <c r="P11" i="17"/>
  <c r="P23" i="19" s="1"/>
  <c r="A29" i="19"/>
  <c r="A46" i="19" s="1"/>
  <c r="D46" i="19" s="1"/>
  <c r="P46" i="19" s="1"/>
  <c r="P17" i="17"/>
  <c r="P29" i="19" s="1"/>
  <c r="A20" i="18"/>
  <c r="A43" i="18" s="1"/>
  <c r="D43" i="18" s="1"/>
  <c r="P43" i="18" s="1"/>
  <c r="X4" i="24"/>
  <c r="Z4" i="24" s="1"/>
  <c r="Y12" i="24"/>
  <c r="A8" i="19"/>
  <c r="A39" i="19" s="1"/>
  <c r="D39" i="19" s="1"/>
  <c r="P39" i="19" s="1"/>
  <c r="P8" i="15"/>
  <c r="P8" i="19" s="1"/>
  <c r="A27" i="15"/>
  <c r="A32" i="15" s="1"/>
  <c r="A14" i="19"/>
  <c r="A41" i="19" s="1"/>
  <c r="D41" i="19" s="1"/>
  <c r="P41" i="19" s="1"/>
  <c r="Y4" i="16"/>
  <c r="Y4" i="19" s="1"/>
  <c r="Y33" i="19" s="1"/>
  <c r="C44" i="22" s="1"/>
  <c r="K35" i="18"/>
  <c r="C26" i="20"/>
  <c r="C27" i="20"/>
  <c r="C21" i="20"/>
  <c r="C20" i="20"/>
  <c r="C11" i="20"/>
  <c r="C22" i="20"/>
  <c r="C18" i="20"/>
  <c r="C17" i="20"/>
  <c r="C16" i="20"/>
  <c r="C15" i="20"/>
  <c r="C14" i="20"/>
  <c r="C13" i="20"/>
  <c r="C12" i="20"/>
  <c r="C24" i="20"/>
  <c r="R4" i="16"/>
  <c r="R4" i="19" s="1"/>
  <c r="R33" i="19" s="1"/>
  <c r="C37" i="22" s="1"/>
  <c r="H4" i="16"/>
  <c r="H4" i="19" s="1"/>
  <c r="H33" i="19" s="1"/>
  <c r="C30" i="22" s="1"/>
  <c r="U3" i="16"/>
  <c r="U3" i="19" s="1"/>
  <c r="J3" i="16"/>
  <c r="J3" i="19" s="1"/>
  <c r="J9" i="20"/>
  <c r="X10" i="24"/>
  <c r="AB9" i="24"/>
  <c r="Q16" i="25"/>
  <c r="I3" i="13"/>
  <c r="I16" i="13" s="1"/>
  <c r="I15" i="13" s="1"/>
  <c r="T3" i="13"/>
  <c r="T16" i="13" s="1"/>
  <c r="T15" i="13" s="1"/>
  <c r="G4" i="13"/>
  <c r="G3" i="14"/>
  <c r="R3" i="14"/>
  <c r="M4" i="14"/>
  <c r="M21" i="14" s="1"/>
  <c r="W4" i="14"/>
  <c r="W21" i="14" s="1"/>
  <c r="H3" i="15"/>
  <c r="T3" i="15"/>
  <c r="H4" i="15"/>
  <c r="H21" i="15" s="1"/>
  <c r="H21" i="17" s="1"/>
  <c r="H37" i="19" s="1"/>
  <c r="E6" i="22" s="1"/>
  <c r="B8" i="15"/>
  <c r="B14" i="15"/>
  <c r="B14" i="19" s="1"/>
  <c r="AA17" i="16"/>
  <c r="Y20" i="16"/>
  <c r="J3" i="18"/>
  <c r="L35" i="18"/>
  <c r="V3" i="21"/>
  <c r="S8" i="21"/>
  <c r="P17" i="21"/>
  <c r="AM23" i="21" s="1"/>
  <c r="X19" i="21"/>
  <c r="F24" i="16"/>
  <c r="J21" i="22"/>
  <c r="Y10" i="24"/>
  <c r="AK9" i="24"/>
  <c r="Q4" i="12" s="1"/>
  <c r="AP4" i="25"/>
  <c r="P57" i="25"/>
  <c r="H57" i="25"/>
  <c r="AC57" i="25"/>
  <c r="S57" i="25"/>
  <c r="J57" i="25"/>
  <c r="R57" i="25"/>
  <c r="I57" i="25"/>
  <c r="T57" i="25"/>
  <c r="F57" i="25"/>
  <c r="Q57" i="25"/>
  <c r="V57" i="25"/>
  <c r="E57" i="25"/>
  <c r="U57" i="25"/>
  <c r="M57" i="25"/>
  <c r="L57" i="25"/>
  <c r="N57" i="25"/>
  <c r="K57" i="25"/>
  <c r="G57" i="25"/>
  <c r="A81" i="25"/>
  <c r="E51" i="25"/>
  <c r="AG51" i="25" s="1"/>
  <c r="I3" i="14"/>
  <c r="T3" i="14"/>
  <c r="G4" i="14"/>
  <c r="G21" i="14" s="1"/>
  <c r="Q4" i="14"/>
  <c r="U4" i="15"/>
  <c r="U21" i="15" s="1"/>
  <c r="U21" i="17" s="1"/>
  <c r="U37" i="19" s="1"/>
  <c r="E16" i="22" s="1"/>
  <c r="K4" i="15"/>
  <c r="K21" i="15" s="1"/>
  <c r="K21" i="17" s="1"/>
  <c r="K37" i="19" s="1"/>
  <c r="E9" i="22" s="1"/>
  <c r="X3" i="15"/>
  <c r="M3" i="15"/>
  <c r="E3" i="15"/>
  <c r="J3" i="15"/>
  <c r="V3" i="15"/>
  <c r="J4" i="15"/>
  <c r="J21" i="15" s="1"/>
  <c r="J21" i="17" s="1"/>
  <c r="J37" i="19" s="1"/>
  <c r="E8" i="22" s="1"/>
  <c r="V4" i="15"/>
  <c r="V21" i="15" s="1"/>
  <c r="V21" i="17" s="1"/>
  <c r="V37" i="19" s="1"/>
  <c r="E17" i="22" s="1"/>
  <c r="Q20" i="16"/>
  <c r="AB24" i="17"/>
  <c r="W4" i="18"/>
  <c r="W33" i="18" s="1"/>
  <c r="H42" i="22" s="1"/>
  <c r="M4" i="18"/>
  <c r="M33" i="18" s="1"/>
  <c r="H35" i="22" s="1"/>
  <c r="E4" i="18"/>
  <c r="R3" i="18"/>
  <c r="G3" i="18"/>
  <c r="V4" i="18"/>
  <c r="V33" i="18" s="1"/>
  <c r="H41" i="22" s="1"/>
  <c r="L4" i="18"/>
  <c r="L33" i="18" s="1"/>
  <c r="H34" i="22" s="1"/>
  <c r="Y3" i="18"/>
  <c r="Q3" i="18"/>
  <c r="F3" i="18"/>
  <c r="L3" i="18"/>
  <c r="F4" i="18"/>
  <c r="F33" i="18" s="1"/>
  <c r="H28" i="22" s="1"/>
  <c r="R4" i="18"/>
  <c r="R33" i="18" s="1"/>
  <c r="H37" i="22" s="1"/>
  <c r="M18" i="21"/>
  <c r="V12" i="21"/>
  <c r="AR22" i="21" s="1"/>
  <c r="D8" i="21"/>
  <c r="J7" i="21"/>
  <c r="AH21" i="21" s="1"/>
  <c r="R20" i="21"/>
  <c r="L19" i="21"/>
  <c r="J18" i="21"/>
  <c r="D17" i="21"/>
  <c r="AC23" i="21" s="1"/>
  <c r="Y13" i="21"/>
  <c r="D18" i="21"/>
  <c r="V13" i="21"/>
  <c r="F5" i="21"/>
  <c r="L4" i="21"/>
  <c r="V2" i="21"/>
  <c r="AR20" i="21" s="1"/>
  <c r="F20" i="21"/>
  <c r="S13" i="21"/>
  <c r="D12" i="21"/>
  <c r="AC22" i="21" s="1"/>
  <c r="AT13" i="24"/>
  <c r="X5" i="21"/>
  <c r="G3" i="21"/>
  <c r="J2" i="21"/>
  <c r="AH20" i="21" s="1"/>
  <c r="R5" i="21"/>
  <c r="M3" i="21"/>
  <c r="J3" i="21"/>
  <c r="X4" i="21"/>
  <c r="F4" i="21"/>
  <c r="D3" i="21"/>
  <c r="D2" i="21"/>
  <c r="AC20" i="21" s="1"/>
  <c r="C22" i="22"/>
  <c r="T75" i="25"/>
  <c r="AV75" i="25" s="1"/>
  <c r="S75" i="25"/>
  <c r="AU75" i="25" s="1"/>
  <c r="K75" i="25"/>
  <c r="AM75" i="25" s="1"/>
  <c r="S76" i="25"/>
  <c r="AU76" i="25" s="1"/>
  <c r="P76" i="25"/>
  <c r="AR76" i="25" s="1"/>
  <c r="J75" i="25"/>
  <c r="AL75" i="25" s="1"/>
  <c r="O4" i="25"/>
  <c r="AQ4" i="25" s="1"/>
  <c r="F4" i="25"/>
  <c r="AH4" i="25" s="1"/>
  <c r="N3" i="25"/>
  <c r="AP3" i="25" s="1"/>
  <c r="E3" i="25"/>
  <c r="AG3" i="25" s="1"/>
  <c r="I75" i="25"/>
  <c r="AK75" i="25" s="1"/>
  <c r="Q52" i="25"/>
  <c r="AS52" i="25" s="1"/>
  <c r="S51" i="25"/>
  <c r="AU51" i="25" s="1"/>
  <c r="H75" i="25"/>
  <c r="AJ75" i="25" s="1"/>
  <c r="J52" i="25"/>
  <c r="AL52" i="25" s="1"/>
  <c r="G75" i="25"/>
  <c r="AI75" i="25" s="1"/>
  <c r="F52" i="25"/>
  <c r="AH52" i="25" s="1"/>
  <c r="N51" i="25"/>
  <c r="AP51" i="25" s="1"/>
  <c r="U4" i="25"/>
  <c r="AW4" i="25" s="1"/>
  <c r="J4" i="25"/>
  <c r="AL4" i="25" s="1"/>
  <c r="P3" i="25"/>
  <c r="AR3" i="25" s="1"/>
  <c r="O76" i="25"/>
  <c r="AQ76" i="25" s="1"/>
  <c r="E52" i="25"/>
  <c r="M51" i="25"/>
  <c r="AO51" i="25" s="1"/>
  <c r="G76" i="25"/>
  <c r="AI76" i="25" s="1"/>
  <c r="Q28" i="25"/>
  <c r="AS28" i="25" s="1"/>
  <c r="K27" i="25"/>
  <c r="AM27" i="25" s="1"/>
  <c r="L4" i="25"/>
  <c r="AN4" i="25" s="1"/>
  <c r="V3" i="25"/>
  <c r="AX3" i="25" s="1"/>
  <c r="K3" i="25"/>
  <c r="AM3" i="25" s="1"/>
  <c r="Y1" i="25"/>
  <c r="BA1" i="25" s="1"/>
  <c r="H8" i="20"/>
  <c r="O28" i="25"/>
  <c r="AQ28" i="25" s="1"/>
  <c r="G27" i="25"/>
  <c r="AI27" i="25" s="1"/>
  <c r="V4" i="25"/>
  <c r="AX4" i="25" s="1"/>
  <c r="I4" i="25"/>
  <c r="AK4" i="25" s="1"/>
  <c r="U3" i="25"/>
  <c r="AW3" i="25" s="1"/>
  <c r="J3" i="25"/>
  <c r="AL3" i="25" s="1"/>
  <c r="F8" i="20"/>
  <c r="N28" i="25"/>
  <c r="F27" i="25"/>
  <c r="AH27" i="25" s="1"/>
  <c r="T4" i="25"/>
  <c r="AV4" i="25" s="1"/>
  <c r="H4" i="25"/>
  <c r="AJ4" i="25" s="1"/>
  <c r="T3" i="25"/>
  <c r="AV3" i="25" s="1"/>
  <c r="I3" i="25"/>
  <c r="AK3" i="25" s="1"/>
  <c r="L9" i="20"/>
  <c r="P52" i="25"/>
  <c r="AR52" i="25" s="1"/>
  <c r="J51" i="25"/>
  <c r="AL51" i="25" s="1"/>
  <c r="M28" i="25"/>
  <c r="AO28" i="25" s="1"/>
  <c r="E27" i="25"/>
  <c r="AG27" i="25" s="1"/>
  <c r="R4" i="25"/>
  <c r="AT4" i="25" s="1"/>
  <c r="G4" i="25"/>
  <c r="AI4" i="25" s="1"/>
  <c r="S3" i="25"/>
  <c r="AU3" i="25" s="1"/>
  <c r="H3" i="25"/>
  <c r="AJ3" i="25" s="1"/>
  <c r="L3" i="25"/>
  <c r="AN3" i="25" s="1"/>
  <c r="K5" i="25"/>
  <c r="L28" i="25"/>
  <c r="AN28" i="25" s="1"/>
  <c r="G51" i="25"/>
  <c r="AI51" i="25" s="1"/>
  <c r="H76" i="25"/>
  <c r="AJ76" i="25" s="1"/>
  <c r="AT3" i="24"/>
  <c r="AT7" i="24"/>
  <c r="H7" i="20" s="1"/>
  <c r="Y8" i="24"/>
  <c r="AK7" i="24"/>
  <c r="Q4" i="7" s="1"/>
  <c r="M3" i="25"/>
  <c r="AO3" i="25" s="1"/>
  <c r="Q10" i="25"/>
  <c r="I10" i="25"/>
  <c r="U10" i="25"/>
  <c r="L10" i="25"/>
  <c r="A34" i="25"/>
  <c r="V10" i="25"/>
  <c r="K10" i="25"/>
  <c r="T10" i="25"/>
  <c r="J10" i="25"/>
  <c r="N10" i="25"/>
  <c r="M10" i="25"/>
  <c r="H10" i="25"/>
  <c r="G10" i="25"/>
  <c r="P12" i="25"/>
  <c r="H12" i="25"/>
  <c r="A36" i="25"/>
  <c r="O12" i="25"/>
  <c r="G12" i="25"/>
  <c r="N12" i="25"/>
  <c r="C12" i="25"/>
  <c r="T12" i="25"/>
  <c r="I12" i="25"/>
  <c r="S12" i="25"/>
  <c r="F12" i="25"/>
  <c r="Q12" i="25"/>
  <c r="M12" i="25"/>
  <c r="L12" i="25"/>
  <c r="K12" i="25"/>
  <c r="A37" i="25"/>
  <c r="O13" i="25"/>
  <c r="G13" i="25"/>
  <c r="V13" i="25"/>
  <c r="N13" i="25"/>
  <c r="F13" i="25"/>
  <c r="U13" i="25"/>
  <c r="K13" i="25"/>
  <c r="L13" i="25"/>
  <c r="J13" i="25"/>
  <c r="H13" i="25"/>
  <c r="T13" i="25"/>
  <c r="E13" i="25"/>
  <c r="S13" i="25"/>
  <c r="C13" i="25"/>
  <c r="R13" i="25"/>
  <c r="M27" i="25"/>
  <c r="AO27" i="25" s="1"/>
  <c r="I51" i="25"/>
  <c r="AK51" i="25" s="1"/>
  <c r="I3" i="16"/>
  <c r="I3" i="19" s="1"/>
  <c r="T3" i="16"/>
  <c r="T3" i="19" s="1"/>
  <c r="G4" i="16"/>
  <c r="G4" i="19" s="1"/>
  <c r="G33" i="19" s="1"/>
  <c r="C29" i="22" s="1"/>
  <c r="Q4" i="16"/>
  <c r="X6" i="24"/>
  <c r="Z6" i="24" s="1"/>
  <c r="X8" i="24"/>
  <c r="Z8" i="24" s="1"/>
  <c r="Q3" i="25"/>
  <c r="AS3" i="25" s="1"/>
  <c r="C10" i="25"/>
  <c r="P11" i="25"/>
  <c r="H11" i="25"/>
  <c r="S11" i="25"/>
  <c r="J11" i="25"/>
  <c r="A35" i="25"/>
  <c r="Q11" i="25"/>
  <c r="F11" i="25"/>
  <c r="O11" i="25"/>
  <c r="E11" i="25"/>
  <c r="L11" i="25"/>
  <c r="K11" i="25"/>
  <c r="V11" i="25"/>
  <c r="I11" i="25"/>
  <c r="U11" i="25"/>
  <c r="G11" i="25"/>
  <c r="I13" i="25"/>
  <c r="Q27" i="25"/>
  <c r="AS27" i="25" s="1"/>
  <c r="L5" i="21"/>
  <c r="B21" i="22"/>
  <c r="H22" i="22"/>
  <c r="R3" i="25"/>
  <c r="AT3" i="25" s="1"/>
  <c r="E10" i="25"/>
  <c r="E12" i="25"/>
  <c r="M13" i="25"/>
  <c r="U27" i="25"/>
  <c r="AW27" i="25" s="1"/>
  <c r="R9" i="25"/>
  <c r="V8" i="21"/>
  <c r="G13" i="21"/>
  <c r="D13" i="21"/>
  <c r="J12" i="21"/>
  <c r="AH22" i="21" s="1"/>
  <c r="V17" i="21"/>
  <c r="AR23" i="21" s="1"/>
  <c r="V18" i="21"/>
  <c r="AB5" i="24"/>
  <c r="E4" i="25" s="1"/>
  <c r="AM5" i="24"/>
  <c r="P4" i="25" s="1"/>
  <c r="AR4" i="25" s="1"/>
  <c r="Y14" i="24"/>
  <c r="S8" i="25"/>
  <c r="K8" i="25"/>
  <c r="Q8" i="25"/>
  <c r="H8" i="25"/>
  <c r="A32" i="25"/>
  <c r="V8" i="25"/>
  <c r="L8" i="25"/>
  <c r="N8" i="25"/>
  <c r="D7" i="21"/>
  <c r="AC21" i="21" s="1"/>
  <c r="Y8" i="21"/>
  <c r="Y18" i="21"/>
  <c r="R19" i="21"/>
  <c r="X14" i="24"/>
  <c r="S4" i="25"/>
  <c r="AU4" i="25" s="1"/>
  <c r="U15" i="25"/>
  <c r="M15" i="25"/>
  <c r="E15" i="25"/>
  <c r="T15" i="25"/>
  <c r="L15" i="25"/>
  <c r="C15" i="25"/>
  <c r="A39" i="25"/>
  <c r="O15" i="25"/>
  <c r="S15" i="25"/>
  <c r="H15" i="25"/>
  <c r="R15" i="25"/>
  <c r="G15" i="25"/>
  <c r="Q15" i="25"/>
  <c r="F15" i="25"/>
  <c r="T16" i="25"/>
  <c r="L16" i="25"/>
  <c r="C16" i="25"/>
  <c r="S16" i="25"/>
  <c r="K16" i="25"/>
  <c r="U16" i="25"/>
  <c r="I16" i="25"/>
  <c r="J16" i="25"/>
  <c r="V16" i="25"/>
  <c r="H16" i="25"/>
  <c r="R16" i="25"/>
  <c r="G16" i="25"/>
  <c r="R17" i="25"/>
  <c r="T42" i="25"/>
  <c r="A40" i="25"/>
  <c r="G8" i="21"/>
  <c r="P12" i="21"/>
  <c r="AM22" i="21" s="1"/>
  <c r="M13" i="21"/>
  <c r="G18" i="21"/>
  <c r="J17" i="21"/>
  <c r="AH23" i="21" s="1"/>
  <c r="A29" i="25"/>
  <c r="V5" i="25"/>
  <c r="N5" i="25"/>
  <c r="F5" i="25"/>
  <c r="P5" i="25"/>
  <c r="G5" i="25"/>
  <c r="R5" i="25"/>
  <c r="H5" i="25"/>
  <c r="M5" i="25"/>
  <c r="V14" i="25"/>
  <c r="N14" i="25"/>
  <c r="F14" i="25"/>
  <c r="U14" i="25"/>
  <c r="M14" i="25"/>
  <c r="E14" i="25"/>
  <c r="R14" i="25"/>
  <c r="H14" i="25"/>
  <c r="O14" i="25"/>
  <c r="Q19" i="25"/>
  <c r="I19" i="25"/>
  <c r="P19" i="25"/>
  <c r="H19" i="25"/>
  <c r="O19" i="25"/>
  <c r="E19" i="25"/>
  <c r="M19" i="25"/>
  <c r="P28" i="25"/>
  <c r="AR28" i="25" s="1"/>
  <c r="H28" i="25"/>
  <c r="AJ28" i="25" s="1"/>
  <c r="T27" i="25"/>
  <c r="AV27" i="25" s="1"/>
  <c r="L27" i="25"/>
  <c r="AN27" i="25" s="1"/>
  <c r="T28" i="25"/>
  <c r="AV28" i="25" s="1"/>
  <c r="K28" i="25"/>
  <c r="AM28" i="25" s="1"/>
  <c r="S27" i="25"/>
  <c r="AU27" i="25" s="1"/>
  <c r="J27" i="25"/>
  <c r="AL27" i="25" s="1"/>
  <c r="Z25" i="25"/>
  <c r="BB25" i="25" s="1"/>
  <c r="S28" i="25"/>
  <c r="AU28" i="25" s="1"/>
  <c r="J28" i="25"/>
  <c r="AL28" i="25" s="1"/>
  <c r="R27" i="25"/>
  <c r="AT27" i="25" s="1"/>
  <c r="I27" i="25"/>
  <c r="AK27" i="25" s="1"/>
  <c r="Y25" i="25"/>
  <c r="BA25" i="25" s="1"/>
  <c r="V28" i="25"/>
  <c r="AX28" i="25" s="1"/>
  <c r="I28" i="25"/>
  <c r="AK28" i="25" s="1"/>
  <c r="V27" i="25"/>
  <c r="AX27" i="25" s="1"/>
  <c r="H27" i="25"/>
  <c r="AJ27" i="25" s="1"/>
  <c r="N27" i="25"/>
  <c r="AP27" i="25" s="1"/>
  <c r="E28" i="25"/>
  <c r="R28" i="25"/>
  <c r="AT28" i="25" s="1"/>
  <c r="A54" i="25"/>
  <c r="AC30" i="25"/>
  <c r="T30" i="25"/>
  <c r="L30" i="25"/>
  <c r="U30" i="25"/>
  <c r="K30" i="25"/>
  <c r="S30" i="25"/>
  <c r="J30" i="25"/>
  <c r="R30" i="25"/>
  <c r="G30" i="25"/>
  <c r="P30" i="25"/>
  <c r="A55" i="25"/>
  <c r="AC31" i="25"/>
  <c r="T31" i="25"/>
  <c r="L31" i="25"/>
  <c r="S31" i="25"/>
  <c r="J31" i="25"/>
  <c r="R31" i="25"/>
  <c r="I31" i="25"/>
  <c r="M31" i="25"/>
  <c r="P31" i="25"/>
  <c r="T41" i="25"/>
  <c r="L41" i="25"/>
  <c r="Q41" i="25"/>
  <c r="H41" i="25"/>
  <c r="P41" i="25"/>
  <c r="G41" i="25"/>
  <c r="M41" i="25"/>
  <c r="K41" i="25"/>
  <c r="S41" i="25"/>
  <c r="R42" i="25"/>
  <c r="Q44" i="25"/>
  <c r="I44" i="25"/>
  <c r="P44" i="25"/>
  <c r="H44" i="25"/>
  <c r="U44" i="25"/>
  <c r="K44" i="25"/>
  <c r="T44" i="25"/>
  <c r="G44" i="25"/>
  <c r="S44" i="25"/>
  <c r="F44" i="25"/>
  <c r="N44" i="25"/>
  <c r="A68" i="25"/>
  <c r="AC44" i="25"/>
  <c r="M44" i="25"/>
  <c r="U6" i="25"/>
  <c r="M6" i="25"/>
  <c r="E6" i="25"/>
  <c r="N6" i="25"/>
  <c r="C6" i="25"/>
  <c r="L6" i="25"/>
  <c r="P14" i="25"/>
  <c r="N19" i="25"/>
  <c r="AF25" i="25"/>
  <c r="O27" i="25"/>
  <c r="AQ27" i="25" s="1"/>
  <c r="F28" i="25"/>
  <c r="AH28" i="25" s="1"/>
  <c r="U28" i="25"/>
  <c r="AW28" i="25" s="1"/>
  <c r="E30" i="25"/>
  <c r="Q30" i="25"/>
  <c r="E31" i="25"/>
  <c r="Q31" i="25"/>
  <c r="AC33" i="25"/>
  <c r="T33" i="25"/>
  <c r="L33" i="25"/>
  <c r="Q33" i="25"/>
  <c r="H33" i="25"/>
  <c r="P33" i="25"/>
  <c r="G33" i="25"/>
  <c r="V33" i="25"/>
  <c r="J33" i="25"/>
  <c r="R33" i="25"/>
  <c r="A38" i="25"/>
  <c r="E41" i="25"/>
  <c r="U41" i="25"/>
  <c r="A43" i="25"/>
  <c r="Q42" i="25"/>
  <c r="I42" i="25"/>
  <c r="A66" i="25"/>
  <c r="AC42" i="25"/>
  <c r="S42" i="25"/>
  <c r="J42" i="25"/>
  <c r="M42" i="25"/>
  <c r="V42" i="25"/>
  <c r="L42" i="25"/>
  <c r="K42" i="25"/>
  <c r="H42" i="25"/>
  <c r="C19" i="25"/>
  <c r="R19" i="25"/>
  <c r="P27" i="25"/>
  <c r="AR27" i="25" s="1"/>
  <c r="G28" i="25"/>
  <c r="AI28" i="25" s="1"/>
  <c r="F30" i="25"/>
  <c r="V30" i="25"/>
  <c r="F31" i="25"/>
  <c r="U31" i="25"/>
  <c r="E33" i="25"/>
  <c r="S33" i="25"/>
  <c r="F41" i="25"/>
  <c r="V41" i="25"/>
  <c r="E42" i="25"/>
  <c r="U42" i="25"/>
  <c r="E44" i="25"/>
  <c r="A65" i="25"/>
  <c r="T7" i="25"/>
  <c r="L7" i="25"/>
  <c r="C7" i="25"/>
  <c r="K7" i="25"/>
  <c r="U7" i="25"/>
  <c r="P20" i="25"/>
  <c r="H20" i="25"/>
  <c r="O20" i="25"/>
  <c r="G20" i="25"/>
  <c r="L20" i="25"/>
  <c r="V20" i="25"/>
  <c r="T52" i="25"/>
  <c r="AV52" i="25" s="1"/>
  <c r="L52" i="25"/>
  <c r="AN52" i="25" s="1"/>
  <c r="P51" i="25"/>
  <c r="AR51" i="25" s="1"/>
  <c r="H51" i="25"/>
  <c r="AJ51" i="25" s="1"/>
  <c r="Y49" i="25"/>
  <c r="BA49" i="25" s="1"/>
  <c r="V52" i="25"/>
  <c r="AX52" i="25" s="1"/>
  <c r="M52" i="25"/>
  <c r="AO52" i="25" s="1"/>
  <c r="U51" i="25"/>
  <c r="AW51" i="25" s="1"/>
  <c r="L51" i="25"/>
  <c r="AN51" i="25" s="1"/>
  <c r="U52" i="25"/>
  <c r="AW52" i="25" s="1"/>
  <c r="K52" i="25"/>
  <c r="AM52" i="25" s="1"/>
  <c r="T51" i="25"/>
  <c r="AV51" i="25" s="1"/>
  <c r="K51" i="25"/>
  <c r="AM51" i="25" s="1"/>
  <c r="AF49" i="25"/>
  <c r="R52" i="25"/>
  <c r="AT52" i="25" s="1"/>
  <c r="G52" i="25"/>
  <c r="AI52" i="25" s="1"/>
  <c r="R51" i="25"/>
  <c r="AT51" i="25" s="1"/>
  <c r="F51" i="25"/>
  <c r="AH51" i="25" s="1"/>
  <c r="I52" i="25"/>
  <c r="AK52" i="25" s="1"/>
  <c r="Q51" i="25"/>
  <c r="AS51" i="25" s="1"/>
  <c r="H52" i="25"/>
  <c r="AJ52" i="25" s="1"/>
  <c r="O51" i="25"/>
  <c r="AQ51" i="25" s="1"/>
  <c r="Z49" i="25"/>
  <c r="BB49" i="25" s="1"/>
  <c r="V51" i="25"/>
  <c r="AX51" i="25" s="1"/>
  <c r="S52" i="25"/>
  <c r="AU52" i="25" s="1"/>
  <c r="G3" i="25"/>
  <c r="AI3" i="25" s="1"/>
  <c r="O3" i="25"/>
  <c r="AQ3" i="25" s="1"/>
  <c r="K4" i="25"/>
  <c r="AM4" i="25" s="1"/>
  <c r="J9" i="25"/>
  <c r="J17" i="25"/>
  <c r="I18" i="25"/>
  <c r="Q18" i="25"/>
  <c r="J18" i="25"/>
  <c r="R18" i="25"/>
  <c r="R76" i="25"/>
  <c r="AT76" i="25" s="1"/>
  <c r="J76" i="25"/>
  <c r="AL76" i="25" s="1"/>
  <c r="V75" i="25"/>
  <c r="AX75" i="25" s="1"/>
  <c r="N75" i="25"/>
  <c r="AP75" i="25" s="1"/>
  <c r="F75" i="25"/>
  <c r="AH75" i="25" s="1"/>
  <c r="Q76" i="25"/>
  <c r="AS76" i="25" s="1"/>
  <c r="I76" i="25"/>
  <c r="AK76" i="25" s="1"/>
  <c r="U75" i="25"/>
  <c r="AW75" i="25" s="1"/>
  <c r="M75" i="25"/>
  <c r="AO75" i="25" s="1"/>
  <c r="E75" i="25"/>
  <c r="AG75" i="25" s="1"/>
  <c r="V76" i="25"/>
  <c r="AX76" i="25" s="1"/>
  <c r="L76" i="25"/>
  <c r="AN76" i="25" s="1"/>
  <c r="P75" i="25"/>
  <c r="AR75" i="25" s="1"/>
  <c r="U76" i="25"/>
  <c r="AW76" i="25" s="1"/>
  <c r="K76" i="25"/>
  <c r="AM76" i="25" s="1"/>
  <c r="O75" i="25"/>
  <c r="AQ75" i="25" s="1"/>
  <c r="T76" i="25"/>
  <c r="AV76" i="25" s="1"/>
  <c r="F76" i="25"/>
  <c r="AH76" i="25" s="1"/>
  <c r="L75" i="25"/>
  <c r="AN75" i="25" s="1"/>
  <c r="Y73" i="25"/>
  <c r="BA73" i="25" s="1"/>
  <c r="Q75" i="25"/>
  <c r="AS75" i="25" s="1"/>
  <c r="M76" i="25"/>
  <c r="AO76" i="25" s="1"/>
  <c r="Z73" i="25"/>
  <c r="BB73" i="25" s="1"/>
  <c r="R75" i="25"/>
  <c r="AT75" i="25" s="1"/>
  <c r="N76" i="25"/>
  <c r="AR11" i="27"/>
  <c r="AR12" i="27"/>
  <c r="AR18" i="27"/>
  <c r="AR24" i="27" s="1"/>
  <c r="AR21" i="27"/>
  <c r="AS22" i="27"/>
  <c r="AR22" i="27" s="1"/>
  <c r="AS7" i="27"/>
  <c r="AR7" i="27" s="1"/>
  <c r="AR25" i="27" s="1"/>
  <c r="AS23" i="27"/>
  <c r="AR23" i="27" s="1"/>
  <c r="AS20" i="27"/>
  <c r="AR20" i="27" s="1"/>
  <c r="AS9" i="27"/>
  <c r="AR9" i="27" s="1"/>
  <c r="AS13" i="27"/>
  <c r="AR13" i="27" s="1"/>
  <c r="H22" i="20" l="1"/>
  <c r="H16" i="20"/>
  <c r="H15" i="20"/>
  <c r="H14" i="20"/>
  <c r="H25" i="20"/>
  <c r="H12" i="20"/>
  <c r="E21" i="14"/>
  <c r="N4" i="14"/>
  <c r="W4" i="25"/>
  <c r="AG4" i="25"/>
  <c r="X12" i="25"/>
  <c r="L27" i="11"/>
  <c r="L24" i="11"/>
  <c r="W42" i="25"/>
  <c r="Z14" i="24"/>
  <c r="Z4" i="12"/>
  <c r="X7" i="12"/>
  <c r="X10" i="12"/>
  <c r="X9" i="12" s="1"/>
  <c r="X13" i="12"/>
  <c r="X12" i="12" s="1"/>
  <c r="X44" i="25"/>
  <c r="AR14" i="27"/>
  <c r="J27" i="10"/>
  <c r="J24" i="10"/>
  <c r="AA14" i="19"/>
  <c r="M27" i="13"/>
  <c r="M24" i="13"/>
  <c r="X14" i="25"/>
  <c r="T22" i="25" a="1"/>
  <c r="T22" i="25" s="1"/>
  <c r="T21" i="25" a="1"/>
  <c r="T21" i="25" s="1"/>
  <c r="J24" i="11"/>
  <c r="J27" i="11"/>
  <c r="Q21" i="15"/>
  <c r="Q21" i="17" s="1"/>
  <c r="Q37" i="19" s="1"/>
  <c r="E12" i="22" s="1"/>
  <c r="Z4" i="15"/>
  <c r="W31" i="25"/>
  <c r="W6" i="25"/>
  <c r="V22" i="25" a="1"/>
  <c r="V22" i="25" s="1"/>
  <c r="V21" i="25" a="1"/>
  <c r="V21" i="25" s="1"/>
  <c r="W12" i="25"/>
  <c r="Y12" i="25"/>
  <c r="Y11" i="25"/>
  <c r="W11" i="25"/>
  <c r="X28" i="25"/>
  <c r="AP28" i="25"/>
  <c r="AZ28" i="25" s="1"/>
  <c r="H13" i="20"/>
  <c r="H11" i="20"/>
  <c r="H17" i="20"/>
  <c r="E76" i="25"/>
  <c r="F11" i="20"/>
  <c r="X57" i="25"/>
  <c r="AB24" i="16"/>
  <c r="AA29" i="18"/>
  <c r="AT9" i="24"/>
  <c r="J7" i="20" s="1"/>
  <c r="E4" i="10"/>
  <c r="N4" i="10" s="1"/>
  <c r="AA4" i="10" s="1"/>
  <c r="E4" i="13"/>
  <c r="N4" i="13" s="1"/>
  <c r="H21" i="20"/>
  <c r="H26" i="20"/>
  <c r="Z12" i="24"/>
  <c r="Q4" i="11"/>
  <c r="Z4" i="11" s="1"/>
  <c r="Q4" i="10"/>
  <c r="Z4" i="10" s="1"/>
  <c r="B20" i="18"/>
  <c r="B24" i="16"/>
  <c r="AA20" i="18"/>
  <c r="U10" i="12"/>
  <c r="U9" i="12" s="1"/>
  <c r="U7" i="12"/>
  <c r="U13" i="12"/>
  <c r="U12" i="12" s="1"/>
  <c r="S4" i="2"/>
  <c r="Z4" i="2"/>
  <c r="G23" i="13"/>
  <c r="G6" i="13"/>
  <c r="X27" i="10"/>
  <c r="X24" i="10"/>
  <c r="N4" i="8"/>
  <c r="AA4" i="8" s="1"/>
  <c r="X30" i="25"/>
  <c r="G7" i="12"/>
  <c r="G13" i="12"/>
  <c r="G12" i="12" s="1"/>
  <c r="G10" i="12"/>
  <c r="G9" i="12" s="1"/>
  <c r="B24" i="4"/>
  <c r="A19" i="4"/>
  <c r="M21" i="4" s="1"/>
  <c r="P19" i="4"/>
  <c r="Y21" i="4" s="1"/>
  <c r="I22" i="25" a="1"/>
  <c r="I22" i="25" s="1"/>
  <c r="I21" i="25" a="1"/>
  <c r="I21" i="25" s="1"/>
  <c r="Y23" i="12"/>
  <c r="Y6" i="12"/>
  <c r="Q23" i="10"/>
  <c r="Q6" i="10"/>
  <c r="Z4" i="18"/>
  <c r="Q33" i="18"/>
  <c r="H36" i="22" s="1"/>
  <c r="Y26" i="10"/>
  <c r="Y25" i="10"/>
  <c r="Y30" i="10" s="1"/>
  <c r="AA29" i="5"/>
  <c r="J25" i="13"/>
  <c r="J26" i="13"/>
  <c r="AC35" i="25"/>
  <c r="T35" i="25"/>
  <c r="L35" i="25"/>
  <c r="B35" i="25"/>
  <c r="A59" i="25"/>
  <c r="O35" i="25"/>
  <c r="F35" i="25"/>
  <c r="N35" i="25"/>
  <c r="E35" i="25"/>
  <c r="S35" i="25"/>
  <c r="H35" i="25"/>
  <c r="R35" i="25"/>
  <c r="AT35" i="25" s="1"/>
  <c r="Q35" i="25"/>
  <c r="P35" i="25"/>
  <c r="J35" i="25"/>
  <c r="I35" i="25"/>
  <c r="G35" i="25"/>
  <c r="V35" i="25"/>
  <c r="U35" i="25"/>
  <c r="M35" i="25"/>
  <c r="AO35" i="25" s="1"/>
  <c r="K35" i="25"/>
  <c r="AA4" i="11"/>
  <c r="AA26" i="19"/>
  <c r="Q6" i="11"/>
  <c r="Q23" i="11"/>
  <c r="H6" i="13"/>
  <c r="H23" i="13"/>
  <c r="X16" i="25"/>
  <c r="X26" i="13"/>
  <c r="X25" i="13"/>
  <c r="P68" i="25"/>
  <c r="H68" i="25"/>
  <c r="V68" i="25"/>
  <c r="M68" i="25"/>
  <c r="T68" i="25"/>
  <c r="J68" i="25"/>
  <c r="S68" i="25"/>
  <c r="I68" i="25"/>
  <c r="AC68" i="25"/>
  <c r="O68" i="25"/>
  <c r="N68" i="25"/>
  <c r="A92" i="25"/>
  <c r="L68" i="25"/>
  <c r="Q68" i="25"/>
  <c r="K68" i="25"/>
  <c r="E68" i="25"/>
  <c r="G68" i="25"/>
  <c r="F68" i="25"/>
  <c r="U68" i="25"/>
  <c r="R68" i="25"/>
  <c r="A56" i="25"/>
  <c r="AC32" i="25"/>
  <c r="AD32" i="25" s="1"/>
  <c r="T32" i="25"/>
  <c r="AV32" i="25" s="1"/>
  <c r="L32" i="25"/>
  <c r="AN32" i="25" s="1"/>
  <c r="B32" i="25"/>
  <c r="R32" i="25"/>
  <c r="AT32" i="25" s="1"/>
  <c r="I32" i="25"/>
  <c r="AK32" i="25" s="1"/>
  <c r="Q32" i="25"/>
  <c r="AS32" i="25" s="1"/>
  <c r="H32" i="25"/>
  <c r="AJ32" i="25" s="1"/>
  <c r="P32" i="25"/>
  <c r="AR32" i="25" s="1"/>
  <c r="E32" i="25"/>
  <c r="U32" i="25"/>
  <c r="AW32" i="25" s="1"/>
  <c r="F32" i="25"/>
  <c r="AH32" i="25" s="1"/>
  <c r="S32" i="25"/>
  <c r="AU32" i="25" s="1"/>
  <c r="O32" i="25"/>
  <c r="AQ32" i="25" s="1"/>
  <c r="V32" i="25"/>
  <c r="AX32" i="25" s="1"/>
  <c r="N32" i="25"/>
  <c r="M32" i="25"/>
  <c r="AO32" i="25" s="1"/>
  <c r="K32" i="25"/>
  <c r="AM32" i="25" s="1"/>
  <c r="J32" i="25"/>
  <c r="AL32" i="25" s="1"/>
  <c r="G32" i="25"/>
  <c r="AI32" i="25" s="1"/>
  <c r="T13" i="13"/>
  <c r="T12" i="13" s="1"/>
  <c r="T10" i="13"/>
  <c r="T9" i="13" s="1"/>
  <c r="T7" i="13"/>
  <c r="F23" i="13"/>
  <c r="F6" i="13"/>
  <c r="R23" i="10"/>
  <c r="R6" i="10"/>
  <c r="W8" i="25"/>
  <c r="Y8" i="25" s="1"/>
  <c r="V27" i="13"/>
  <c r="V24" i="13"/>
  <c r="P55" i="25"/>
  <c r="H55" i="25"/>
  <c r="U55" i="25"/>
  <c r="L55" i="25"/>
  <c r="A79" i="25"/>
  <c r="T55" i="25"/>
  <c r="K55" i="25"/>
  <c r="V55" i="25"/>
  <c r="I55" i="25"/>
  <c r="S55" i="25"/>
  <c r="F55" i="25"/>
  <c r="R55" i="25"/>
  <c r="E55" i="25"/>
  <c r="N55" i="25"/>
  <c r="AC55" i="25"/>
  <c r="M55" i="25"/>
  <c r="Q55" i="25"/>
  <c r="G55" i="25"/>
  <c r="J55" i="25"/>
  <c r="O55" i="25"/>
  <c r="X10" i="25"/>
  <c r="W37" i="18"/>
  <c r="G18" i="22" s="1"/>
  <c r="W21" i="16"/>
  <c r="K23" i="12"/>
  <c r="K6" i="12"/>
  <c r="S13" i="12"/>
  <c r="S12" i="12" s="1"/>
  <c r="S7" i="12"/>
  <c r="X19" i="25"/>
  <c r="N21" i="25" a="1"/>
  <c r="N21" i="25" s="1"/>
  <c r="X5" i="25"/>
  <c r="N22" i="25" a="1"/>
  <c r="N22" i="25" s="1"/>
  <c r="AC36" i="25"/>
  <c r="T36" i="25"/>
  <c r="L36" i="25"/>
  <c r="N36" i="25"/>
  <c r="E36" i="25"/>
  <c r="V36" i="25"/>
  <c r="M36" i="25"/>
  <c r="K36" i="25"/>
  <c r="R36" i="25"/>
  <c r="F36" i="25"/>
  <c r="Q36" i="25"/>
  <c r="P36" i="25"/>
  <c r="U36" i="25"/>
  <c r="S36" i="25"/>
  <c r="O36" i="25"/>
  <c r="A60" i="25"/>
  <c r="J36" i="25"/>
  <c r="I36" i="25"/>
  <c r="H36" i="25"/>
  <c r="G36" i="25"/>
  <c r="K22" i="25" a="1"/>
  <c r="K22" i="25" s="1"/>
  <c r="K21" i="25" a="1"/>
  <c r="K21" i="25" s="1"/>
  <c r="X16" i="12"/>
  <c r="X15" i="12" s="1"/>
  <c r="B24" i="13"/>
  <c r="A19" i="13"/>
  <c r="Z4" i="6"/>
  <c r="O21" i="25" a="1"/>
  <c r="O21" i="25" s="1"/>
  <c r="O22" i="25" a="1"/>
  <c r="O22" i="25" s="1"/>
  <c r="E22" i="25" a="1"/>
  <c r="E22" i="25" s="1"/>
  <c r="W5" i="25"/>
  <c r="Y5" i="25" s="1"/>
  <c r="E21" i="25" a="1"/>
  <c r="E21" i="25" s="1"/>
  <c r="B18" i="1"/>
  <c r="E18" i="1" s="1"/>
  <c r="Q23" i="13"/>
  <c r="Q6" i="13"/>
  <c r="I6" i="12"/>
  <c r="I23" i="12"/>
  <c r="AA26" i="5"/>
  <c r="A89" i="25"/>
  <c r="P65" i="25"/>
  <c r="H65" i="25"/>
  <c r="AC65" i="25"/>
  <c r="S65" i="25"/>
  <c r="J65" i="25"/>
  <c r="R65" i="25"/>
  <c r="I65" i="25"/>
  <c r="V65" i="25"/>
  <c r="K65" i="25"/>
  <c r="U65" i="25"/>
  <c r="G65" i="25"/>
  <c r="M65" i="25"/>
  <c r="L65" i="25"/>
  <c r="T65" i="25"/>
  <c r="Q65" i="25"/>
  <c r="N65" i="25"/>
  <c r="F65" i="25"/>
  <c r="E65" i="25"/>
  <c r="O65" i="25"/>
  <c r="W33" i="25"/>
  <c r="Y33" i="25" s="1"/>
  <c r="AD30" i="25"/>
  <c r="M22" i="25" a="1"/>
  <c r="M22" i="25" s="1"/>
  <c r="M21" i="25" a="1"/>
  <c r="M21" i="25" s="1"/>
  <c r="AC29" i="25"/>
  <c r="AD29" i="25" s="1"/>
  <c r="T29" i="25"/>
  <c r="L29" i="25"/>
  <c r="B29" i="25"/>
  <c r="V29" i="25"/>
  <c r="M29" i="25"/>
  <c r="U29" i="25"/>
  <c r="K29" i="25"/>
  <c r="O29" i="25"/>
  <c r="S29" i="25"/>
  <c r="G29" i="25"/>
  <c r="R29" i="25"/>
  <c r="F29" i="25"/>
  <c r="Q29" i="25"/>
  <c r="E29" i="25"/>
  <c r="P29" i="25"/>
  <c r="N29" i="25"/>
  <c r="J29" i="25"/>
  <c r="A53" i="25"/>
  <c r="I29" i="25"/>
  <c r="H29" i="25"/>
  <c r="W15" i="25"/>
  <c r="Y15" i="25" s="1"/>
  <c r="W10" i="25"/>
  <c r="Y10" i="25" s="1"/>
  <c r="F25" i="20"/>
  <c r="W52" i="25"/>
  <c r="AG52" i="25"/>
  <c r="Z10" i="24"/>
  <c r="H18" i="20"/>
  <c r="H24" i="20"/>
  <c r="Q4" i="9"/>
  <c r="Z4" i="9" s="1"/>
  <c r="AA4" i="9" s="1"/>
  <c r="B20" i="19"/>
  <c r="B24" i="17"/>
  <c r="W27" i="13"/>
  <c r="W24" i="13"/>
  <c r="AA17" i="12"/>
  <c r="B24" i="10"/>
  <c r="A19" i="10"/>
  <c r="Q7" i="12"/>
  <c r="Q10" i="12"/>
  <c r="Q9" i="12" s="1"/>
  <c r="Q13" i="12"/>
  <c r="Q12" i="12" s="1"/>
  <c r="Q16" i="12"/>
  <c r="Q15" i="12" s="1"/>
  <c r="AA17" i="10"/>
  <c r="H23" i="10"/>
  <c r="H6" i="10"/>
  <c r="R7" i="12"/>
  <c r="R10" i="12"/>
  <c r="R9" i="12" s="1"/>
  <c r="R13" i="12"/>
  <c r="R12" i="12" s="1"/>
  <c r="X33" i="25"/>
  <c r="X41" i="25"/>
  <c r="V6" i="11"/>
  <c r="V23" i="11"/>
  <c r="AA25" i="5"/>
  <c r="X20" i="25"/>
  <c r="Y20" i="25" s="1"/>
  <c r="Y7" i="25"/>
  <c r="W7" i="25"/>
  <c r="L22" i="25" a="1"/>
  <c r="L22" i="25" s="1"/>
  <c r="L21" i="25" a="1"/>
  <c r="L21" i="25" s="1"/>
  <c r="E6" i="10"/>
  <c r="E23" i="10"/>
  <c r="E23" i="13"/>
  <c r="E6" i="13"/>
  <c r="D10" i="1"/>
  <c r="H10" i="1"/>
  <c r="A19" i="11"/>
  <c r="B24" i="11"/>
  <c r="W23" i="11"/>
  <c r="W6" i="11"/>
  <c r="Y23" i="13"/>
  <c r="Y6" i="13"/>
  <c r="S12" i="11"/>
  <c r="S23" i="11"/>
  <c r="L24" i="10"/>
  <c r="L27" i="10"/>
  <c r="S6" i="10"/>
  <c r="S23" i="10"/>
  <c r="M10" i="12"/>
  <c r="M9" i="12" s="1"/>
  <c r="M13" i="12"/>
  <c r="M12" i="12" s="1"/>
  <c r="M7" i="12"/>
  <c r="F23" i="10"/>
  <c r="F6" i="10"/>
  <c r="N21" i="2"/>
  <c r="AA19" i="2"/>
  <c r="AA21" i="2" s="1"/>
  <c r="AB21" i="2" s="1"/>
  <c r="S24" i="13"/>
  <c r="S27" i="13"/>
  <c r="J23" i="12"/>
  <c r="J6" i="12"/>
  <c r="AD31" i="25"/>
  <c r="P22" i="25" a="1"/>
  <c r="P22" i="25" s="1"/>
  <c r="P21" i="25" a="1"/>
  <c r="P21" i="25" s="1"/>
  <c r="P81" i="25"/>
  <c r="H81" i="25"/>
  <c r="O81" i="25"/>
  <c r="G81" i="25"/>
  <c r="U81" i="25"/>
  <c r="M81" i="25"/>
  <c r="E81" i="25"/>
  <c r="T81" i="25"/>
  <c r="I81" i="25"/>
  <c r="S81" i="25"/>
  <c r="F81" i="25"/>
  <c r="K81" i="25"/>
  <c r="J81" i="25"/>
  <c r="R81" i="25"/>
  <c r="Q81" i="25"/>
  <c r="V81" i="25"/>
  <c r="N81" i="25"/>
  <c r="AC81" i="25"/>
  <c r="AD81" i="25" s="1"/>
  <c r="L81" i="25"/>
  <c r="V7" i="10"/>
  <c r="V13" i="10"/>
  <c r="V12" i="10" s="1"/>
  <c r="V10" i="10"/>
  <c r="V9" i="10" s="1"/>
  <c r="L6" i="13"/>
  <c r="L23" i="13"/>
  <c r="W27" i="10"/>
  <c r="W24" i="10"/>
  <c r="T13" i="12"/>
  <c r="T12" i="12" s="1"/>
  <c r="T7" i="12"/>
  <c r="T10" i="12"/>
  <c r="T9" i="12" s="1"/>
  <c r="A19" i="6"/>
  <c r="A21" i="6"/>
  <c r="H6" i="11"/>
  <c r="H23" i="11"/>
  <c r="X11" i="25"/>
  <c r="X15" i="25"/>
  <c r="AA4" i="6"/>
  <c r="AD33" i="25"/>
  <c r="F21" i="25" a="1"/>
  <c r="F21" i="25" s="1"/>
  <c r="F22" i="25" a="1"/>
  <c r="F22" i="25" s="1"/>
  <c r="X13" i="25"/>
  <c r="I13" i="13"/>
  <c r="I12" i="13" s="1"/>
  <c r="I7" i="13"/>
  <c r="S4" i="5"/>
  <c r="AA17" i="18"/>
  <c r="K25" i="11"/>
  <c r="K26" i="11"/>
  <c r="V23" i="12"/>
  <c r="V6" i="12"/>
  <c r="A67" i="25"/>
  <c r="Q43" i="25"/>
  <c r="I43" i="25"/>
  <c r="R43" i="25"/>
  <c r="H43" i="25"/>
  <c r="T43" i="25"/>
  <c r="J43" i="25"/>
  <c r="S43" i="25"/>
  <c r="G43" i="25"/>
  <c r="L43" i="25"/>
  <c r="K43" i="25"/>
  <c r="V43" i="25"/>
  <c r="U43" i="25"/>
  <c r="P43" i="25"/>
  <c r="E43" i="25"/>
  <c r="AC43" i="25"/>
  <c r="O43" i="25"/>
  <c r="N43" i="25"/>
  <c r="M43" i="25"/>
  <c r="F43" i="25"/>
  <c r="N4" i="18"/>
  <c r="AA4" i="18" s="1"/>
  <c r="E33" i="18"/>
  <c r="H27" i="22" s="1"/>
  <c r="M21" i="16"/>
  <c r="M37" i="18"/>
  <c r="G11" i="22" s="1"/>
  <c r="K28" i="11"/>
  <c r="K29" i="11"/>
  <c r="F23" i="12"/>
  <c r="J29" i="13"/>
  <c r="J28" i="13"/>
  <c r="X76" i="25"/>
  <c r="AP76" i="25"/>
  <c r="AZ76" i="25" s="1"/>
  <c r="AD42" i="25"/>
  <c r="P54" i="25"/>
  <c r="H54" i="25"/>
  <c r="V54" i="25"/>
  <c r="M54" i="25"/>
  <c r="U54" i="25"/>
  <c r="L54" i="25"/>
  <c r="AC54" i="25"/>
  <c r="Q54" i="25"/>
  <c r="E54" i="25"/>
  <c r="T54" i="25"/>
  <c r="G54" i="25"/>
  <c r="S54" i="25"/>
  <c r="F54" i="25"/>
  <c r="N54" i="25"/>
  <c r="K54" i="25"/>
  <c r="I54" i="25"/>
  <c r="A78" i="25"/>
  <c r="O54" i="25"/>
  <c r="J54" i="25"/>
  <c r="R54" i="25"/>
  <c r="AC40" i="25"/>
  <c r="T40" i="25"/>
  <c r="L40" i="25"/>
  <c r="B40" i="25"/>
  <c r="A64" i="25"/>
  <c r="R40" i="25"/>
  <c r="AT40" i="25" s="1"/>
  <c r="I40" i="25"/>
  <c r="AK40" i="25" s="1"/>
  <c r="Q40" i="25"/>
  <c r="AS40" i="25" s="1"/>
  <c r="H40" i="25"/>
  <c r="U40" i="25"/>
  <c r="G40" i="25"/>
  <c r="S40" i="25"/>
  <c r="AU40" i="25" s="1"/>
  <c r="F40" i="25"/>
  <c r="AH40" i="25" s="1"/>
  <c r="N40" i="25"/>
  <c r="M40" i="25"/>
  <c r="AO40" i="25" s="1"/>
  <c r="K40" i="25"/>
  <c r="AM40" i="25" s="1"/>
  <c r="E40" i="25"/>
  <c r="V40" i="25"/>
  <c r="P40" i="25"/>
  <c r="AR40" i="25" s="1"/>
  <c r="O40" i="25"/>
  <c r="AQ40" i="25" s="1"/>
  <c r="J40" i="25"/>
  <c r="AL40" i="25" s="1"/>
  <c r="X8" i="25"/>
  <c r="AC37" i="25"/>
  <c r="T37" i="25"/>
  <c r="L37" i="25"/>
  <c r="V37" i="25"/>
  <c r="M37" i="25"/>
  <c r="U37" i="25"/>
  <c r="K37" i="25"/>
  <c r="Q37" i="25"/>
  <c r="F37" i="25"/>
  <c r="A61" i="25"/>
  <c r="R37" i="25"/>
  <c r="E37" i="25"/>
  <c r="P37" i="25"/>
  <c r="O37" i="25"/>
  <c r="I37" i="25"/>
  <c r="H37" i="25"/>
  <c r="G37" i="25"/>
  <c r="J37" i="25"/>
  <c r="S37" i="25"/>
  <c r="N37" i="25"/>
  <c r="L24" i="20"/>
  <c r="L25" i="20"/>
  <c r="L16" i="20"/>
  <c r="L12" i="20"/>
  <c r="L27" i="20"/>
  <c r="L17" i="20"/>
  <c r="L13" i="20"/>
  <c r="L14" i="20"/>
  <c r="L23" i="20"/>
  <c r="L15" i="20"/>
  <c r="L26" i="20"/>
  <c r="L18" i="20"/>
  <c r="L11" i="20"/>
  <c r="L20" i="20"/>
  <c r="Z4" i="14"/>
  <c r="Q21" i="14"/>
  <c r="B24" i="15"/>
  <c r="B8" i="19"/>
  <c r="J23" i="20"/>
  <c r="K15" i="21" s="1"/>
  <c r="J24" i="20"/>
  <c r="J25" i="20"/>
  <c r="Q15" i="21" s="1"/>
  <c r="J22" i="20"/>
  <c r="J16" i="20"/>
  <c r="T15" i="21" s="1"/>
  <c r="J12" i="20"/>
  <c r="H15" i="21" s="1"/>
  <c r="J27" i="20"/>
  <c r="W15" i="21" s="1"/>
  <c r="J17" i="20"/>
  <c r="J13" i="20"/>
  <c r="N15" i="21" s="1"/>
  <c r="J26" i="20"/>
  <c r="J21" i="20"/>
  <c r="E15" i="21" s="1"/>
  <c r="J14" i="20"/>
  <c r="J20" i="20"/>
  <c r="J15" i="20"/>
  <c r="J11" i="20"/>
  <c r="J18" i="20"/>
  <c r="Z15" i="21" s="1"/>
  <c r="H20" i="20"/>
  <c r="B37" i="25" s="1"/>
  <c r="H23" i="20"/>
  <c r="T7" i="11"/>
  <c r="T10" i="11"/>
  <c r="T9" i="11" s="1"/>
  <c r="T13" i="11"/>
  <c r="T12" i="11" s="1"/>
  <c r="T10" i="10"/>
  <c r="T9" i="10" s="1"/>
  <c r="T13" i="10"/>
  <c r="T12" i="10" s="1"/>
  <c r="T7" i="10"/>
  <c r="K23" i="13"/>
  <c r="K6" i="13"/>
  <c r="U27" i="11"/>
  <c r="U24" i="11"/>
  <c r="S4" i="4"/>
  <c r="Z4" i="4" s="1"/>
  <c r="U6" i="13"/>
  <c r="U23" i="13"/>
  <c r="L13" i="12"/>
  <c r="L12" i="12" s="1"/>
  <c r="L7" i="12"/>
  <c r="L10" i="12"/>
  <c r="L9" i="12" s="1"/>
  <c r="L16" i="12"/>
  <c r="L15" i="12" s="1"/>
  <c r="E4" i="12"/>
  <c r="N4" i="12" s="1"/>
  <c r="AA4" i="12" s="1"/>
  <c r="M23" i="11"/>
  <c r="B24" i="3"/>
  <c r="P19" i="3"/>
  <c r="Y21" i="3" s="1"/>
  <c r="A19" i="3"/>
  <c r="M21" i="3" s="1"/>
  <c r="X42" i="25"/>
  <c r="Y42" i="25" s="1"/>
  <c r="V16" i="10"/>
  <c r="V15" i="10" s="1"/>
  <c r="Q22" i="25" a="1"/>
  <c r="Q22" i="25" s="1"/>
  <c r="Q21" i="25" a="1"/>
  <c r="Q21" i="25" s="1"/>
  <c r="J21" i="25" a="1"/>
  <c r="J21" i="25" s="1"/>
  <c r="J22" i="25" a="1"/>
  <c r="J22" i="25" s="1"/>
  <c r="W9" i="25"/>
  <c r="Y9" i="25" s="1"/>
  <c r="AA11" i="19"/>
  <c r="AA26" i="4"/>
  <c r="W28" i="25"/>
  <c r="Y28" i="25" s="1"/>
  <c r="AG28" i="25"/>
  <c r="G21" i="25" a="1"/>
  <c r="G21" i="25" s="1"/>
  <c r="G22" i="25" a="1"/>
  <c r="G22" i="25" s="1"/>
  <c r="AZ4" i="25"/>
  <c r="X28" i="13"/>
  <c r="X29" i="13"/>
  <c r="M6" i="10"/>
  <c r="M23" i="10"/>
  <c r="A63" i="25"/>
  <c r="AC39" i="25"/>
  <c r="AD39" i="25" s="1"/>
  <c r="T39" i="25"/>
  <c r="L39" i="25"/>
  <c r="B39" i="25"/>
  <c r="S39" i="25"/>
  <c r="AU39" i="25" s="1"/>
  <c r="J39" i="25"/>
  <c r="R39" i="25"/>
  <c r="I39" i="25"/>
  <c r="O39" i="25"/>
  <c r="N39" i="25"/>
  <c r="V39" i="25"/>
  <c r="AX39" i="25" s="1"/>
  <c r="F39" i="25"/>
  <c r="AH39" i="25" s="1"/>
  <c r="U39" i="25"/>
  <c r="E39" i="25"/>
  <c r="Q39" i="25"/>
  <c r="K39" i="25"/>
  <c r="H39" i="25"/>
  <c r="G39" i="25"/>
  <c r="P39" i="25"/>
  <c r="AR39" i="25" s="1"/>
  <c r="M39" i="25"/>
  <c r="AO39" i="25" s="1"/>
  <c r="R13" i="11"/>
  <c r="R12" i="11" s="1"/>
  <c r="R7" i="11"/>
  <c r="R10" i="11"/>
  <c r="R9" i="11" s="1"/>
  <c r="H10" i="12"/>
  <c r="H9" i="12" s="1"/>
  <c r="H7" i="12"/>
  <c r="H13" i="12"/>
  <c r="H12" i="12" s="1"/>
  <c r="X31" i="25"/>
  <c r="Y31" i="25" s="1"/>
  <c r="W23" i="12"/>
  <c r="W6" i="12"/>
  <c r="W18" i="25"/>
  <c r="Y18" i="25" s="1"/>
  <c r="X18" i="25"/>
  <c r="X17" i="25"/>
  <c r="X27" i="11"/>
  <c r="X24" i="11"/>
  <c r="C21" i="25"/>
  <c r="AT5" i="24"/>
  <c r="F7" i="20" s="1"/>
  <c r="E4" i="4"/>
  <c r="N4" i="4" s="1"/>
  <c r="E4" i="5"/>
  <c r="N4" i="5" s="1"/>
  <c r="AA4" i="5" s="1"/>
  <c r="E4" i="2"/>
  <c r="N4" i="2" s="1"/>
  <c r="AA4" i="2" s="1"/>
  <c r="E4" i="3"/>
  <c r="N4" i="3" s="1"/>
  <c r="AA4" i="3" s="1"/>
  <c r="W13" i="25"/>
  <c r="Y13" i="25"/>
  <c r="W57" i="25"/>
  <c r="Y57" i="25" s="1"/>
  <c r="K7" i="10"/>
  <c r="K10" i="10"/>
  <c r="K9" i="10" s="1"/>
  <c r="K13" i="10"/>
  <c r="K12" i="10" s="1"/>
  <c r="G10" i="11"/>
  <c r="G9" i="11" s="1"/>
  <c r="G13" i="11"/>
  <c r="G12" i="11" s="1"/>
  <c r="G7" i="11"/>
  <c r="AA26" i="18"/>
  <c r="E23" i="11"/>
  <c r="E6" i="11"/>
  <c r="G23" i="10"/>
  <c r="G6" i="10"/>
  <c r="T16" i="12"/>
  <c r="T15" i="12" s="1"/>
  <c r="S21" i="25" a="1"/>
  <c r="S21" i="25" s="1"/>
  <c r="S22" i="25" a="1"/>
  <c r="S22" i="25" s="1"/>
  <c r="C18" i="1"/>
  <c r="AA19" i="4"/>
  <c r="AA21" i="4" s="1"/>
  <c r="N21" i="4"/>
  <c r="J18" i="1" s="1"/>
  <c r="X6" i="25"/>
  <c r="Y6" i="25" s="1"/>
  <c r="AT11" i="24"/>
  <c r="L7" i="20" s="1"/>
  <c r="L22" i="20" s="1"/>
  <c r="E4" i="16"/>
  <c r="E4" i="15"/>
  <c r="U12" i="10"/>
  <c r="U23" i="10"/>
  <c r="W17" i="25"/>
  <c r="Y17" i="25"/>
  <c r="Y41" i="25"/>
  <c r="W41" i="25"/>
  <c r="W30" i="25"/>
  <c r="Y30" i="25" s="1"/>
  <c r="W19" i="25"/>
  <c r="H22" i="25" a="1"/>
  <c r="H22" i="25" s="1"/>
  <c r="H21" i="25" a="1"/>
  <c r="H21" i="25" s="1"/>
  <c r="W44" i="25"/>
  <c r="Y44" i="25" s="1"/>
  <c r="A90" i="25"/>
  <c r="P66" i="25"/>
  <c r="H66" i="25"/>
  <c r="AC66" i="25"/>
  <c r="R66" i="25"/>
  <c r="I66" i="25"/>
  <c r="Q66" i="25"/>
  <c r="G66" i="25"/>
  <c r="N66" i="25"/>
  <c r="M66" i="25"/>
  <c r="U66" i="25"/>
  <c r="E66" i="25"/>
  <c r="T66" i="25"/>
  <c r="J66" i="25"/>
  <c r="F66" i="25"/>
  <c r="V66" i="25"/>
  <c r="K66" i="25"/>
  <c r="O66" i="25"/>
  <c r="L66" i="25"/>
  <c r="S66" i="25"/>
  <c r="A62" i="25"/>
  <c r="AC38" i="25"/>
  <c r="AD38" i="25" s="1"/>
  <c r="T38" i="25"/>
  <c r="L38" i="25"/>
  <c r="B38" i="25"/>
  <c r="U38" i="25"/>
  <c r="AW38" i="25" s="1"/>
  <c r="K38" i="25"/>
  <c r="S38" i="25"/>
  <c r="J38" i="25"/>
  <c r="I38" i="25"/>
  <c r="Q38" i="25"/>
  <c r="E38" i="25"/>
  <c r="P38" i="25"/>
  <c r="AR38" i="25" s="1"/>
  <c r="O38" i="25"/>
  <c r="AQ38" i="25" s="1"/>
  <c r="V38" i="25"/>
  <c r="R38" i="25"/>
  <c r="N38" i="25"/>
  <c r="M38" i="25"/>
  <c r="H38" i="25"/>
  <c r="G38" i="25"/>
  <c r="F38" i="25"/>
  <c r="AH38" i="25" s="1"/>
  <c r="W14" i="25"/>
  <c r="Y14" i="25" s="1"/>
  <c r="R21" i="25" a="1"/>
  <c r="R21" i="25" s="1"/>
  <c r="R22" i="25" a="1"/>
  <c r="R22" i="25" s="1"/>
  <c r="Q4" i="19"/>
  <c r="Z4" i="16"/>
  <c r="AC34" i="25"/>
  <c r="AD34" i="25" s="1"/>
  <c r="T34" i="25"/>
  <c r="AV34" i="25" s="1"/>
  <c r="L34" i="25"/>
  <c r="AN34" i="25" s="1"/>
  <c r="B34" i="25"/>
  <c r="P34" i="25"/>
  <c r="AR34" i="25" s="1"/>
  <c r="G34" i="25"/>
  <c r="AI34" i="25" s="1"/>
  <c r="O34" i="25"/>
  <c r="AQ34" i="25" s="1"/>
  <c r="F34" i="25"/>
  <c r="A58" i="25"/>
  <c r="N34" i="25"/>
  <c r="S34" i="25"/>
  <c r="AU34" i="25" s="1"/>
  <c r="E34" i="25"/>
  <c r="R34" i="25"/>
  <c r="AT34" i="25" s="1"/>
  <c r="Q34" i="25"/>
  <c r="AS34" i="25" s="1"/>
  <c r="V34" i="25"/>
  <c r="AX34" i="25" s="1"/>
  <c r="U34" i="25"/>
  <c r="M34" i="25"/>
  <c r="AO34" i="25" s="1"/>
  <c r="K34" i="25"/>
  <c r="AM34" i="25" s="1"/>
  <c r="J34" i="25"/>
  <c r="AL34" i="25" s="1"/>
  <c r="I34" i="25"/>
  <c r="AK34" i="25" s="1"/>
  <c r="H34" i="25"/>
  <c r="AJ34" i="25" s="1"/>
  <c r="Z4" i="7"/>
  <c r="AA4" i="7" s="1"/>
  <c r="N52" i="25"/>
  <c r="F27" i="20"/>
  <c r="G37" i="18"/>
  <c r="G5" i="22" s="1"/>
  <c r="G21" i="16"/>
  <c r="X4" i="25"/>
  <c r="Q4" i="13"/>
  <c r="Z4" i="13" s="1"/>
  <c r="H27" i="20"/>
  <c r="I7" i="11"/>
  <c r="I13" i="11"/>
  <c r="I12" i="11" s="1"/>
  <c r="I10" i="11"/>
  <c r="I9" i="11" s="1"/>
  <c r="I7" i="10"/>
  <c r="I10" i="10"/>
  <c r="I9" i="10" s="1"/>
  <c r="I13" i="10"/>
  <c r="I12" i="10" s="1"/>
  <c r="AA14" i="18"/>
  <c r="R23" i="13"/>
  <c r="R6" i="13"/>
  <c r="S16" i="12"/>
  <c r="S15" i="12" s="1"/>
  <c r="S10" i="12"/>
  <c r="S9" i="12" s="1"/>
  <c r="Z4" i="5"/>
  <c r="A21" i="9"/>
  <c r="A19" i="9"/>
  <c r="Z4" i="3"/>
  <c r="E13" i="12"/>
  <c r="E12" i="12" s="1"/>
  <c r="E7" i="12"/>
  <c r="E10" i="12"/>
  <c r="E9" i="12" s="1"/>
  <c r="Y23" i="11"/>
  <c r="Y6" i="11"/>
  <c r="E4" i="17"/>
  <c r="N4" i="17" s="1"/>
  <c r="AA4" i="17" s="1"/>
  <c r="AA19" i="5"/>
  <c r="AA21" i="5" s="1"/>
  <c r="N21" i="5"/>
  <c r="F23" i="11"/>
  <c r="F6" i="11"/>
  <c r="B24" i="2"/>
  <c r="P19" i="2"/>
  <c r="Y21" i="2" s="1"/>
  <c r="A19" i="2"/>
  <c r="M21" i="2" s="1"/>
  <c r="U22" i="25" a="1"/>
  <c r="U22" i="25" s="1"/>
  <c r="U21" i="25" a="1"/>
  <c r="U21" i="25" s="1"/>
  <c r="X7" i="25"/>
  <c r="W16" i="25"/>
  <c r="Y16" i="25"/>
  <c r="W20" i="25"/>
  <c r="X9" i="25"/>
  <c r="AA20" i="2"/>
  <c r="B10" i="1"/>
  <c r="J10" i="1"/>
  <c r="N21" i="3"/>
  <c r="AA19" i="3"/>
  <c r="AA10" i="25" l="1"/>
  <c r="AA20" i="25"/>
  <c r="Z20" i="25"/>
  <c r="B17" i="27" s="1"/>
  <c r="AA30" i="25"/>
  <c r="Z18" i="25"/>
  <c r="B20" i="27" s="1"/>
  <c r="AA18" i="25"/>
  <c r="AA5" i="25"/>
  <c r="AA33" i="25"/>
  <c r="AA9" i="25"/>
  <c r="J22" i="1"/>
  <c r="B22" i="1"/>
  <c r="E22" i="1" s="1"/>
  <c r="I23" i="10"/>
  <c r="I6" i="10"/>
  <c r="X34" i="25"/>
  <c r="AP34" i="25"/>
  <c r="AA14" i="25"/>
  <c r="G27" i="10"/>
  <c r="G24" i="10"/>
  <c r="K24" i="13"/>
  <c r="K27" i="13"/>
  <c r="W19" i="21"/>
  <c r="C8" i="17"/>
  <c r="H20" i="21"/>
  <c r="C17" i="14"/>
  <c r="H27" i="11"/>
  <c r="H24" i="11"/>
  <c r="AW81" i="25"/>
  <c r="P53" i="25"/>
  <c r="H53" i="25"/>
  <c r="N53" i="25"/>
  <c r="E53" i="25"/>
  <c r="V53" i="25"/>
  <c r="M53" i="25"/>
  <c r="A77" i="25"/>
  <c r="K53" i="25"/>
  <c r="T53" i="25"/>
  <c r="G53" i="25"/>
  <c r="S53" i="25"/>
  <c r="F53" i="25"/>
  <c r="O53" i="25"/>
  <c r="L53" i="25"/>
  <c r="Q53" i="25"/>
  <c r="J53" i="25"/>
  <c r="I53" i="25"/>
  <c r="U53" i="25"/>
  <c r="R53" i="25"/>
  <c r="AC53" i="25"/>
  <c r="AD53" i="25" s="1"/>
  <c r="E23" i="12"/>
  <c r="E6" i="12"/>
  <c r="A82" i="25"/>
  <c r="P58" i="25"/>
  <c r="H58" i="25"/>
  <c r="R58" i="25"/>
  <c r="I58" i="25"/>
  <c r="Q58" i="25"/>
  <c r="G58" i="25"/>
  <c r="L58" i="25"/>
  <c r="V58" i="25"/>
  <c r="K58" i="25"/>
  <c r="N58" i="25"/>
  <c r="M58" i="25"/>
  <c r="U58" i="25"/>
  <c r="T58" i="25"/>
  <c r="O58" i="25"/>
  <c r="J58" i="25"/>
  <c r="F58" i="25"/>
  <c r="AC58" i="25"/>
  <c r="E58" i="25"/>
  <c r="S58" i="25"/>
  <c r="AA31" i="25"/>
  <c r="Z31" i="25"/>
  <c r="H13" i="27" s="1"/>
  <c r="C14" i="17"/>
  <c r="Z19" i="21"/>
  <c r="AL37" i="25"/>
  <c r="AI81" i="25"/>
  <c r="I22" i="1"/>
  <c r="Q20" i="21"/>
  <c r="C11" i="16"/>
  <c r="K19" i="21"/>
  <c r="C8" i="15"/>
  <c r="AQ81" i="25"/>
  <c r="AS38" i="25"/>
  <c r="X66" i="25"/>
  <c r="U90" i="25"/>
  <c r="M90" i="25"/>
  <c r="E90" i="25"/>
  <c r="P90" i="25"/>
  <c r="G90" i="25"/>
  <c r="O90" i="25"/>
  <c r="AQ90" i="25" s="1"/>
  <c r="F90" i="25"/>
  <c r="V90" i="25"/>
  <c r="L90" i="25"/>
  <c r="T90" i="25"/>
  <c r="H90" i="25"/>
  <c r="S90" i="25"/>
  <c r="B90" i="25"/>
  <c r="N90" i="25"/>
  <c r="K90" i="25"/>
  <c r="J90" i="25"/>
  <c r="I90" i="25"/>
  <c r="R90" i="25"/>
  <c r="Q90" i="25"/>
  <c r="AC90" i="25"/>
  <c r="AD90" i="25" s="1"/>
  <c r="E21" i="15"/>
  <c r="E21" i="17" s="1"/>
  <c r="E37" i="19" s="1"/>
  <c r="E3" i="22" s="1"/>
  <c r="N4" i="15"/>
  <c r="AA4" i="15" s="1"/>
  <c r="AN39" i="25"/>
  <c r="U25" i="11"/>
  <c r="U26" i="11"/>
  <c r="T14" i="21"/>
  <c r="C14" i="12"/>
  <c r="AB17" i="12" s="1"/>
  <c r="X40" i="25"/>
  <c r="AP40" i="25"/>
  <c r="AZ40" i="25" s="1"/>
  <c r="W10" i="21"/>
  <c r="C14" i="9"/>
  <c r="B43" i="25"/>
  <c r="AM43" i="25" s="1"/>
  <c r="AO38" i="25"/>
  <c r="Y19" i="25"/>
  <c r="AJ39" i="25"/>
  <c r="BJ39" i="25" s="1"/>
  <c r="AK37" i="25"/>
  <c r="AM37" i="25"/>
  <c r="P64" i="25"/>
  <c r="H64" i="25"/>
  <c r="T64" i="25"/>
  <c r="K64" i="25"/>
  <c r="AC64" i="25"/>
  <c r="S64" i="25"/>
  <c r="J64" i="25"/>
  <c r="Q64" i="25"/>
  <c r="E64" i="25"/>
  <c r="O64" i="25"/>
  <c r="A88" i="25"/>
  <c r="U64" i="25"/>
  <c r="R64" i="25"/>
  <c r="L64" i="25"/>
  <c r="I64" i="25"/>
  <c r="V64" i="25"/>
  <c r="N64" i="25"/>
  <c r="M64" i="25"/>
  <c r="G64" i="25"/>
  <c r="F64" i="25"/>
  <c r="B18" i="25"/>
  <c r="Q5" i="21"/>
  <c r="C11" i="4"/>
  <c r="AD18" i="25"/>
  <c r="A83" i="25"/>
  <c r="P59" i="25"/>
  <c r="H59" i="25"/>
  <c r="Q59" i="25"/>
  <c r="G59" i="25"/>
  <c r="O59" i="25"/>
  <c r="F59" i="25"/>
  <c r="R59" i="25"/>
  <c r="B59" i="25"/>
  <c r="AC59" i="25"/>
  <c r="N59" i="25"/>
  <c r="V59" i="25"/>
  <c r="I59" i="25"/>
  <c r="U59" i="25"/>
  <c r="E59" i="25"/>
  <c r="K59" i="25"/>
  <c r="AM59" i="25" s="1"/>
  <c r="J59" i="25"/>
  <c r="S59" i="25"/>
  <c r="M59" i="25"/>
  <c r="L59" i="25"/>
  <c r="T59" i="25"/>
  <c r="AP38" i="25"/>
  <c r="X38" i="25"/>
  <c r="Y38" i="25" s="1"/>
  <c r="AL38" i="25"/>
  <c r="P62" i="25"/>
  <c r="H62" i="25"/>
  <c r="V62" i="25"/>
  <c r="M62" i="25"/>
  <c r="U62" i="25"/>
  <c r="L62" i="25"/>
  <c r="S62" i="25"/>
  <c r="G62" i="25"/>
  <c r="R62" i="25"/>
  <c r="F62" i="25"/>
  <c r="Q62" i="25"/>
  <c r="O62" i="25"/>
  <c r="N62" i="25"/>
  <c r="A86" i="25"/>
  <c r="K62" i="25"/>
  <c r="T62" i="25"/>
  <c r="AC62" i="25"/>
  <c r="J62" i="25"/>
  <c r="I62" i="25"/>
  <c r="E62" i="25"/>
  <c r="AA44" i="25"/>
  <c r="E19" i="21"/>
  <c r="C8" i="14"/>
  <c r="AA13" i="25"/>
  <c r="F26" i="20"/>
  <c r="F22" i="20"/>
  <c r="F23" i="20"/>
  <c r="F16" i="20"/>
  <c r="F15" i="20"/>
  <c r="F14" i="20"/>
  <c r="F20" i="20"/>
  <c r="F24" i="20"/>
  <c r="F13" i="20"/>
  <c r="F21" i="20"/>
  <c r="F12" i="20"/>
  <c r="F18" i="20"/>
  <c r="F17" i="20"/>
  <c r="AM39" i="25"/>
  <c r="U29" i="11"/>
  <c r="U28" i="11"/>
  <c r="N14" i="21"/>
  <c r="C14" i="11"/>
  <c r="B56" i="25" s="1"/>
  <c r="AQ37" i="25"/>
  <c r="AW37" i="25"/>
  <c r="V78" i="25"/>
  <c r="N78" i="25"/>
  <c r="F78" i="25"/>
  <c r="U78" i="25"/>
  <c r="M78" i="25"/>
  <c r="AO78" i="25" s="1"/>
  <c r="E78" i="25"/>
  <c r="AC78" i="25"/>
  <c r="AD78" i="25" s="1"/>
  <c r="R78" i="25"/>
  <c r="H78" i="25"/>
  <c r="Q78" i="25"/>
  <c r="G78" i="25"/>
  <c r="T78" i="25"/>
  <c r="B78" i="25"/>
  <c r="K78" i="25"/>
  <c r="AM78" i="25" s="1"/>
  <c r="J78" i="25"/>
  <c r="O78" i="25"/>
  <c r="L78" i="25"/>
  <c r="I78" i="25"/>
  <c r="S78" i="25"/>
  <c r="P78" i="25"/>
  <c r="AQ43" i="25"/>
  <c r="S28" i="13"/>
  <c r="S29" i="13"/>
  <c r="Q46" i="25" a="1"/>
  <c r="Q46" i="25" s="1"/>
  <c r="Q45" i="25" a="1"/>
  <c r="Q45" i="25" s="1"/>
  <c r="AS29" i="25"/>
  <c r="M46" i="25" a="1"/>
  <c r="M46" i="25" s="1"/>
  <c r="AO29" i="25"/>
  <c r="BJ29" i="25" s="1"/>
  <c r="M45" i="25" a="1"/>
  <c r="M45" i="25" s="1"/>
  <c r="Y22" i="25"/>
  <c r="AA8" i="25"/>
  <c r="Y27" i="12"/>
  <c r="Y24" i="12"/>
  <c r="X28" i="10"/>
  <c r="X29" i="10"/>
  <c r="AA11" i="25"/>
  <c r="W66" i="25"/>
  <c r="Y66" i="25" s="1"/>
  <c r="AT37" i="25"/>
  <c r="E10" i="1"/>
  <c r="AA16" i="25"/>
  <c r="U24" i="10"/>
  <c r="U27" i="10"/>
  <c r="K23" i="10"/>
  <c r="F64" i="1" s="1"/>
  <c r="K6" i="10"/>
  <c r="T6" i="10"/>
  <c r="T23" i="10"/>
  <c r="W20" i="21"/>
  <c r="C11" i="17"/>
  <c r="AM81" i="25"/>
  <c r="AG32" i="25"/>
  <c r="W32" i="25"/>
  <c r="Y32" i="25" s="1"/>
  <c r="B20" i="25"/>
  <c r="K5" i="21"/>
  <c r="AD20" i="25"/>
  <c r="C11" i="3"/>
  <c r="AI38" i="25"/>
  <c r="AN38" i="25"/>
  <c r="E27" i="11"/>
  <c r="E24" i="11"/>
  <c r="E19" i="11"/>
  <c r="F19" i="11" s="1"/>
  <c r="X26" i="11"/>
  <c r="X25" i="11"/>
  <c r="X30" i="11" s="1"/>
  <c r="AX43" i="25"/>
  <c r="J24" i="12"/>
  <c r="J27" i="12"/>
  <c r="L28" i="10"/>
  <c r="L29" i="10"/>
  <c r="R20" i="13"/>
  <c r="S20" i="13" s="1"/>
  <c r="R24" i="13"/>
  <c r="R27" i="13"/>
  <c r="X52" i="25"/>
  <c r="AP52" i="25"/>
  <c r="AZ52" i="25" s="1"/>
  <c r="AJ38" i="25"/>
  <c r="AA17" i="25"/>
  <c r="AP39" i="25"/>
  <c r="X39" i="25"/>
  <c r="Z20" i="21"/>
  <c r="C17" i="17"/>
  <c r="E20" i="21"/>
  <c r="C11" i="14"/>
  <c r="K10" i="21"/>
  <c r="C14" i="7"/>
  <c r="B44" i="25"/>
  <c r="AD44" i="25"/>
  <c r="AA4" i="4"/>
  <c r="H6" i="12"/>
  <c r="H23" i="12"/>
  <c r="AQ39" i="25"/>
  <c r="AA42" i="25"/>
  <c r="E14" i="21"/>
  <c r="C8" i="10"/>
  <c r="AS43" i="25"/>
  <c r="E19" i="10"/>
  <c r="E27" i="10"/>
  <c r="E24" i="10"/>
  <c r="AA7" i="25"/>
  <c r="AA15" i="25"/>
  <c r="T4" i="21"/>
  <c r="AD5" i="25"/>
  <c r="B5" i="25"/>
  <c r="C14" i="4"/>
  <c r="AA21" i="3"/>
  <c r="AB21" i="3" s="1"/>
  <c r="I14" i="1"/>
  <c r="C14" i="1"/>
  <c r="Y34" i="25"/>
  <c r="AG34" i="25"/>
  <c r="W34" i="25"/>
  <c r="AT38" i="25"/>
  <c r="AA41" i="25"/>
  <c r="Z41" i="25"/>
  <c r="H18" i="27" s="1"/>
  <c r="AA6" i="25"/>
  <c r="AS39" i="25"/>
  <c r="AK39" i="25"/>
  <c r="A87" i="25"/>
  <c r="P63" i="25"/>
  <c r="H63" i="25"/>
  <c r="U63" i="25"/>
  <c r="L63" i="25"/>
  <c r="T63" i="25"/>
  <c r="K63" i="25"/>
  <c r="M63" i="25"/>
  <c r="J63" i="25"/>
  <c r="I63" i="25"/>
  <c r="G63" i="25"/>
  <c r="V63" i="25"/>
  <c r="B63" i="25"/>
  <c r="S63" i="25"/>
  <c r="AC63" i="25"/>
  <c r="R63" i="25"/>
  <c r="Q63" i="25"/>
  <c r="O63" i="25"/>
  <c r="E63" i="25"/>
  <c r="N63" i="25"/>
  <c r="F63" i="25"/>
  <c r="L23" i="12"/>
  <c r="L6" i="12"/>
  <c r="AR37" i="25"/>
  <c r="AO37" i="25"/>
  <c r="BI37" i="25" s="1"/>
  <c r="AD43" i="25"/>
  <c r="W25" i="13"/>
  <c r="W26" i="13"/>
  <c r="H46" i="25" a="1"/>
  <c r="H46" i="25" s="1"/>
  <c r="AJ29" i="25"/>
  <c r="H45" i="25" a="1"/>
  <c r="H45" i="25" s="1"/>
  <c r="F45" i="25" a="1"/>
  <c r="F45" i="25" s="1"/>
  <c r="AH29" i="25"/>
  <c r="F46" i="25" a="1"/>
  <c r="F46" i="25" s="1"/>
  <c r="V45" i="25" a="1"/>
  <c r="V45" i="25" s="1"/>
  <c r="AX29" i="25"/>
  <c r="V46" i="25" a="1"/>
  <c r="V46" i="25" s="1"/>
  <c r="AW35" i="25"/>
  <c r="AJ35" i="25"/>
  <c r="E10" i="21"/>
  <c r="C14" i="6"/>
  <c r="AU37" i="25"/>
  <c r="X54" i="25"/>
  <c r="Y54" i="25" s="1"/>
  <c r="F27" i="12"/>
  <c r="F24" i="12"/>
  <c r="V23" i="10"/>
  <c r="V6" i="10"/>
  <c r="AB29" i="2"/>
  <c r="AB25" i="2"/>
  <c r="AB26" i="2"/>
  <c r="AB28" i="2"/>
  <c r="G45" i="25" a="1"/>
  <c r="G45" i="25" s="1"/>
  <c r="G46" i="25" a="1"/>
  <c r="G46" i="25" s="1"/>
  <c r="AI29" i="25"/>
  <c r="W36" i="25"/>
  <c r="Y36" i="25"/>
  <c r="Q24" i="11"/>
  <c r="Q20" i="11"/>
  <c r="Q27" i="11"/>
  <c r="AB21" i="5"/>
  <c r="Z14" i="21"/>
  <c r="C14" i="13"/>
  <c r="AJ43" i="25"/>
  <c r="W25" i="10"/>
  <c r="W26" i="10"/>
  <c r="I10" i="1"/>
  <c r="C10" i="1"/>
  <c r="AG38" i="25"/>
  <c r="W38" i="25"/>
  <c r="AA57" i="25"/>
  <c r="M27" i="11"/>
  <c r="M24" i="11"/>
  <c r="H14" i="21"/>
  <c r="C14" i="10"/>
  <c r="W29" i="10"/>
  <c r="W28" i="10"/>
  <c r="Q23" i="12"/>
  <c r="Q6" i="12"/>
  <c r="C22" i="1"/>
  <c r="AV38" i="25"/>
  <c r="AI39" i="25"/>
  <c r="M27" i="10"/>
  <c r="M24" i="10"/>
  <c r="AO43" i="25"/>
  <c r="X81" i="25"/>
  <c r="AP81" i="25"/>
  <c r="AK38" i="25"/>
  <c r="BH38" i="25" s="1"/>
  <c r="E4" i="19"/>
  <c r="N4" i="16"/>
  <c r="AA4" i="16" s="1"/>
  <c r="G23" i="11"/>
  <c r="G6" i="11"/>
  <c r="X29" i="11"/>
  <c r="X28" i="11"/>
  <c r="AV39" i="25"/>
  <c r="T19" i="21"/>
  <c r="C14" i="16"/>
  <c r="X43" i="25"/>
  <c r="W27" i="11"/>
  <c r="W24" i="11"/>
  <c r="U46" i="25" a="1"/>
  <c r="U46" i="25" s="1"/>
  <c r="U45" i="25" a="1"/>
  <c r="U45" i="25" s="1"/>
  <c r="AW29" i="25"/>
  <c r="V28" i="13"/>
  <c r="V29" i="13"/>
  <c r="AU38" i="25"/>
  <c r="F27" i="11"/>
  <c r="F24" i="11"/>
  <c r="Y24" i="11"/>
  <c r="Y27" i="11"/>
  <c r="Z4" i="19"/>
  <c r="Q33" i="19"/>
  <c r="C36" i="22" s="1"/>
  <c r="W24" i="12"/>
  <c r="W27" i="12"/>
  <c r="R23" i="11"/>
  <c r="R6" i="11"/>
  <c r="AG39" i="25"/>
  <c r="BH39" i="25" s="1"/>
  <c r="W39" i="25"/>
  <c r="Y39" i="25" s="1"/>
  <c r="AT39" i="25"/>
  <c r="BF40" i="25"/>
  <c r="BH40" i="25"/>
  <c r="BJ38" i="25"/>
  <c r="BJ34" i="25"/>
  <c r="BJ40" i="25"/>
  <c r="BH34" i="25"/>
  <c r="BG34" i="25"/>
  <c r="BF34" i="25"/>
  <c r="AY28" i="25"/>
  <c r="BA28" i="25" s="1"/>
  <c r="N19" i="21"/>
  <c r="C14" i="15"/>
  <c r="AP37" i="25"/>
  <c r="X37" i="25"/>
  <c r="AG37" i="25"/>
  <c r="Y37" i="25"/>
  <c r="W37" i="25"/>
  <c r="AX37" i="25"/>
  <c r="B81" i="25"/>
  <c r="AH81" i="25" s="1"/>
  <c r="AO81" i="25"/>
  <c r="S24" i="10"/>
  <c r="S27" i="10"/>
  <c r="Y27" i="13"/>
  <c r="Y24" i="13"/>
  <c r="G10" i="1"/>
  <c r="W29" i="13"/>
  <c r="W28" i="13"/>
  <c r="I46" i="25" a="1"/>
  <c r="I46" i="25" s="1"/>
  <c r="I45" i="25" a="1"/>
  <c r="I45" i="25" s="1"/>
  <c r="AK29" i="25"/>
  <c r="R45" i="25" a="1"/>
  <c r="R45" i="25" s="1"/>
  <c r="R46" i="25" a="1"/>
  <c r="R46" i="25" s="1"/>
  <c r="AT29" i="25"/>
  <c r="U89" i="25"/>
  <c r="AW89" i="25" s="1"/>
  <c r="M89" i="25"/>
  <c r="AO89" i="25" s="1"/>
  <c r="E89" i="25"/>
  <c r="Q89" i="25"/>
  <c r="H89" i="25"/>
  <c r="P89" i="25"/>
  <c r="G89" i="25"/>
  <c r="N89" i="25"/>
  <c r="B89" i="25"/>
  <c r="S89" i="25"/>
  <c r="AU89" i="25" s="1"/>
  <c r="R89" i="25"/>
  <c r="V89" i="25"/>
  <c r="T89" i="25"/>
  <c r="O89" i="25"/>
  <c r="L89" i="25"/>
  <c r="AC89" i="25"/>
  <c r="AD89" i="25" s="1"/>
  <c r="K89" i="25"/>
  <c r="AM89" i="25" s="1"/>
  <c r="I89" i="25"/>
  <c r="AK89" i="25" s="1"/>
  <c r="F89" i="25"/>
  <c r="J89" i="25"/>
  <c r="Q27" i="13"/>
  <c r="Q20" i="13"/>
  <c r="Q24" i="13"/>
  <c r="AU36" i="25"/>
  <c r="U24" i="13"/>
  <c r="U27" i="13"/>
  <c r="Q9" i="21"/>
  <c r="C8" i="8"/>
  <c r="W14" i="21"/>
  <c r="C8" i="13"/>
  <c r="Q14" i="21"/>
  <c r="C8" i="12"/>
  <c r="H19" i="21"/>
  <c r="C14" i="14"/>
  <c r="K20" i="21"/>
  <c r="C11" i="15"/>
  <c r="AS37" i="25"/>
  <c r="AD37" i="25"/>
  <c r="AG40" i="25"/>
  <c r="W40" i="25"/>
  <c r="Y40" i="25" s="1"/>
  <c r="AJ40" i="25"/>
  <c r="AD40" i="25"/>
  <c r="AW43" i="25"/>
  <c r="AL43" i="25"/>
  <c r="K30" i="11"/>
  <c r="T6" i="12"/>
  <c r="T23" i="12"/>
  <c r="AS81" i="25"/>
  <c r="AV81" i="25"/>
  <c r="E19" i="13"/>
  <c r="E27" i="13"/>
  <c r="E24" i="13"/>
  <c r="H27" i="10"/>
  <c r="H24" i="10"/>
  <c r="K9" i="21"/>
  <c r="AD41" i="25"/>
  <c r="B41" i="25"/>
  <c r="C8" i="7"/>
  <c r="AY52" i="25"/>
  <c r="BA52" i="25" s="1"/>
  <c r="P46" i="25" a="1"/>
  <c r="P46" i="25" s="1"/>
  <c r="AR29" i="25"/>
  <c r="P45" i="25" a="1"/>
  <c r="P45" i="25" s="1"/>
  <c r="AN36" i="25"/>
  <c r="AK35" i="25"/>
  <c r="BF35" i="25" s="1"/>
  <c r="X35" i="25"/>
  <c r="AP35" i="25"/>
  <c r="AD35" i="25"/>
  <c r="G27" i="13"/>
  <c r="G24" i="13"/>
  <c r="T9" i="21"/>
  <c r="C11" i="8"/>
  <c r="J28" i="11"/>
  <c r="J29" i="11"/>
  <c r="AV43" i="25"/>
  <c r="AT81" i="25"/>
  <c r="W81" i="25"/>
  <c r="Y81" i="25" s="1"/>
  <c r="AG81" i="25"/>
  <c r="Z10" i="21"/>
  <c r="C17" i="9"/>
  <c r="Y52" i="25"/>
  <c r="E46" i="25" a="1"/>
  <c r="E46" i="25" s="1"/>
  <c r="Y46" i="25" s="1"/>
  <c r="AG29" i="25"/>
  <c r="E45" i="25" a="1"/>
  <c r="E45" i="25" s="1"/>
  <c r="W29" i="25"/>
  <c r="K45" i="25" a="1"/>
  <c r="K45" i="25" s="1"/>
  <c r="AM29" i="25"/>
  <c r="K46" i="25" a="1"/>
  <c r="K46" i="25" s="1"/>
  <c r="X65" i="25"/>
  <c r="Y21" i="25"/>
  <c r="K24" i="12"/>
  <c r="K27" i="12"/>
  <c r="I18" i="1"/>
  <c r="G18" i="1" s="1"/>
  <c r="AL35" i="25"/>
  <c r="AH35" i="25"/>
  <c r="H9" i="21"/>
  <c r="C11" i="6"/>
  <c r="B31" i="25"/>
  <c r="J26" i="11"/>
  <c r="J25" i="11"/>
  <c r="N9" i="21"/>
  <c r="C11" i="7"/>
  <c r="B30" i="25"/>
  <c r="A84" i="25"/>
  <c r="P60" i="25"/>
  <c r="H60" i="25"/>
  <c r="O60" i="25"/>
  <c r="F60" i="25"/>
  <c r="N60" i="25"/>
  <c r="E60" i="25"/>
  <c r="U60" i="25"/>
  <c r="J60" i="25"/>
  <c r="T60" i="25"/>
  <c r="I60" i="25"/>
  <c r="Q60" i="25"/>
  <c r="M60" i="25"/>
  <c r="S60" i="25"/>
  <c r="R60" i="25"/>
  <c r="V60" i="25"/>
  <c r="L60" i="25"/>
  <c r="K60" i="25"/>
  <c r="G60" i="25"/>
  <c r="AC60" i="25"/>
  <c r="AD36" i="25"/>
  <c r="X55" i="25"/>
  <c r="F24" i="13"/>
  <c r="F19" i="13"/>
  <c r="G19" i="13" s="1"/>
  <c r="H19" i="13" s="1"/>
  <c r="F27" i="13"/>
  <c r="AC92" i="25"/>
  <c r="AD92" i="25" s="1"/>
  <c r="T92" i="25"/>
  <c r="L92" i="25"/>
  <c r="B92" i="25"/>
  <c r="P92" i="25"/>
  <c r="AR92" i="25" s="1"/>
  <c r="G92" i="25"/>
  <c r="AI92" i="25" s="1"/>
  <c r="O92" i="25"/>
  <c r="AQ92" i="25" s="1"/>
  <c r="F92" i="25"/>
  <c r="N92" i="25"/>
  <c r="E92" i="25"/>
  <c r="R92" i="25"/>
  <c r="AT92" i="25" s="1"/>
  <c r="Q92" i="25"/>
  <c r="AS92" i="25" s="1"/>
  <c r="K92" i="25"/>
  <c r="AM92" i="25" s="1"/>
  <c r="U92" i="25"/>
  <c r="AW92" i="25" s="1"/>
  <c r="S92" i="25"/>
  <c r="AU92" i="25" s="1"/>
  <c r="I92" i="25"/>
  <c r="H92" i="25"/>
  <c r="V92" i="25"/>
  <c r="M92" i="25"/>
  <c r="AO92" i="25" s="1"/>
  <c r="J92" i="25"/>
  <c r="AL92" i="25" s="1"/>
  <c r="H24" i="13"/>
  <c r="H27" i="13"/>
  <c r="AR35" i="25"/>
  <c r="AQ35" i="25"/>
  <c r="J30" i="13"/>
  <c r="Q27" i="10"/>
  <c r="Q24" i="10"/>
  <c r="Q20" i="10"/>
  <c r="R20" i="10" s="1"/>
  <c r="S20" i="10" s="1"/>
  <c r="M25" i="13"/>
  <c r="M30" i="13" s="1"/>
  <c r="M26" i="13"/>
  <c r="W9" i="21"/>
  <c r="C8" i="9"/>
  <c r="B42" i="25"/>
  <c r="Z42" i="25" s="1"/>
  <c r="H20" i="27" s="1"/>
  <c r="W55" i="25"/>
  <c r="Y55" i="25" s="1"/>
  <c r="O79" i="25"/>
  <c r="AQ79" i="25" s="1"/>
  <c r="G79" i="25"/>
  <c r="AI79" i="25" s="1"/>
  <c r="U79" i="25"/>
  <c r="AW79" i="25" s="1"/>
  <c r="M79" i="25"/>
  <c r="AO79" i="25" s="1"/>
  <c r="E79" i="25"/>
  <c r="T79" i="25"/>
  <c r="AV79" i="25" s="1"/>
  <c r="J79" i="25"/>
  <c r="S79" i="25"/>
  <c r="I79" i="25"/>
  <c r="AK79" i="25" s="1"/>
  <c r="H79" i="25"/>
  <c r="AJ79" i="25" s="1"/>
  <c r="V79" i="25"/>
  <c r="F79" i="25"/>
  <c r="AH79" i="25" s="1"/>
  <c r="AC79" i="25"/>
  <c r="AD79" i="25" s="1"/>
  <c r="L79" i="25"/>
  <c r="B79" i="25"/>
  <c r="N79" i="25"/>
  <c r="K79" i="25"/>
  <c r="AM79" i="25" s="1"/>
  <c r="Q79" i="25"/>
  <c r="AS79" i="25" s="1"/>
  <c r="P79" i="25"/>
  <c r="AR79" i="25" s="1"/>
  <c r="R79" i="25"/>
  <c r="AT79" i="25" s="1"/>
  <c r="V26" i="13"/>
  <c r="V25" i="13"/>
  <c r="T23" i="13"/>
  <c r="T6" i="13"/>
  <c r="X68" i="25"/>
  <c r="AM35" i="25"/>
  <c r="AS35" i="25"/>
  <c r="M29" i="13"/>
  <c r="M28" i="13"/>
  <c r="AY4" i="25"/>
  <c r="BA4" i="25" s="1"/>
  <c r="Z9" i="21"/>
  <c r="C11" i="9"/>
  <c r="X25" i="10"/>
  <c r="X26" i="10"/>
  <c r="U23" i="12"/>
  <c r="U6" i="12"/>
  <c r="J26" i="10"/>
  <c r="J25" i="10"/>
  <c r="J30" i="10" s="1"/>
  <c r="Y4" i="25"/>
  <c r="H10" i="21"/>
  <c r="B33" i="25"/>
  <c r="C17" i="6"/>
  <c r="J28" i="10"/>
  <c r="J29" i="10"/>
  <c r="X23" i="12"/>
  <c r="X6" i="12"/>
  <c r="N10" i="21"/>
  <c r="C17" i="7"/>
  <c r="L25" i="11"/>
  <c r="L26" i="11"/>
  <c r="AA4" i="14"/>
  <c r="E9" i="21"/>
  <c r="C8" i="6"/>
  <c r="K14" i="21"/>
  <c r="C8" i="11"/>
  <c r="Q21" i="16"/>
  <c r="Q37" i="18"/>
  <c r="G12" i="22" s="1"/>
  <c r="N20" i="21"/>
  <c r="C17" i="15"/>
  <c r="T20" i="21"/>
  <c r="C17" i="16"/>
  <c r="AI37" i="25"/>
  <c r="A85" i="25"/>
  <c r="P61" i="25"/>
  <c r="H61" i="25"/>
  <c r="N61" i="25"/>
  <c r="E61" i="25"/>
  <c r="V61" i="25"/>
  <c r="M61" i="25"/>
  <c r="O61" i="25"/>
  <c r="L61" i="25"/>
  <c r="I61" i="25"/>
  <c r="U61" i="25"/>
  <c r="G61" i="25"/>
  <c r="F61" i="25"/>
  <c r="AC61" i="25"/>
  <c r="S61" i="25"/>
  <c r="R61" i="25"/>
  <c r="Q61" i="25"/>
  <c r="J61" i="25"/>
  <c r="T61" i="25"/>
  <c r="K61" i="25"/>
  <c r="AN37" i="25"/>
  <c r="AX40" i="25"/>
  <c r="AI40" i="25"/>
  <c r="AN40" i="25"/>
  <c r="W54" i="25"/>
  <c r="AG43" i="25"/>
  <c r="W43" i="25"/>
  <c r="Y43" i="25" s="1"/>
  <c r="AU43" i="25"/>
  <c r="A91" i="25"/>
  <c r="P67" i="25"/>
  <c r="H67" i="25"/>
  <c r="N67" i="25"/>
  <c r="E67" i="25"/>
  <c r="M67" i="25"/>
  <c r="V67" i="25"/>
  <c r="L67" i="25"/>
  <c r="AN67" i="25" s="1"/>
  <c r="Q67" i="25"/>
  <c r="AC67" i="25"/>
  <c r="O67" i="25"/>
  <c r="K67" i="25"/>
  <c r="F67" i="25"/>
  <c r="U67" i="25"/>
  <c r="B67" i="25"/>
  <c r="J67" i="25"/>
  <c r="AL67" i="25" s="1"/>
  <c r="I67" i="25"/>
  <c r="G67" i="25"/>
  <c r="T67" i="25"/>
  <c r="S67" i="25"/>
  <c r="R67" i="25"/>
  <c r="V24" i="12"/>
  <c r="V27" i="12"/>
  <c r="L27" i="13"/>
  <c r="L24" i="13"/>
  <c r="AU81" i="25"/>
  <c r="AJ81" i="25"/>
  <c r="S26" i="13"/>
  <c r="S25" i="13"/>
  <c r="S30" i="13" s="1"/>
  <c r="F19" i="10"/>
  <c r="G19" i="10" s="1"/>
  <c r="H19" i="10" s="1"/>
  <c r="F24" i="10"/>
  <c r="F27" i="10"/>
  <c r="L26" i="10"/>
  <c r="L25" i="10"/>
  <c r="V27" i="11"/>
  <c r="V24" i="11"/>
  <c r="R6" i="12"/>
  <c r="R23" i="12"/>
  <c r="J45" i="25" a="1"/>
  <c r="J45" i="25" s="1"/>
  <c r="AL29" i="25"/>
  <c r="J46" i="25" a="1"/>
  <c r="J46" i="25" s="1"/>
  <c r="S45" i="25" a="1"/>
  <c r="S45" i="25" s="1"/>
  <c r="AU29" i="25"/>
  <c r="S46" i="25" a="1"/>
  <c r="S46" i="25" s="1"/>
  <c r="L45" i="25" a="1"/>
  <c r="L45" i="25" s="1"/>
  <c r="L46" i="25" a="1"/>
  <c r="L46" i="25" s="1"/>
  <c r="AN29" i="25"/>
  <c r="AP36" i="25"/>
  <c r="X36" i="25"/>
  <c r="S6" i="12"/>
  <c r="S23" i="12"/>
  <c r="Y68" i="25"/>
  <c r="W68" i="25"/>
  <c r="AX35" i="25"/>
  <c r="AU35" i="25"/>
  <c r="AN35" i="25"/>
  <c r="G23" i="12"/>
  <c r="G6" i="12"/>
  <c r="Q10" i="21"/>
  <c r="C14" i="8"/>
  <c r="AG76" i="25"/>
  <c r="W76" i="25"/>
  <c r="Y76" i="25" s="1"/>
  <c r="B14" i="1"/>
  <c r="J14" i="1"/>
  <c r="I23" i="11"/>
  <c r="I6" i="11"/>
  <c r="AW34" i="25"/>
  <c r="AH34" i="25"/>
  <c r="BI34" i="25" s="1"/>
  <c r="AX38" i="25"/>
  <c r="AM38" i="25"/>
  <c r="AB21" i="4"/>
  <c r="AW39" i="25"/>
  <c r="AL39" i="25"/>
  <c r="T23" i="11"/>
  <c r="T6" i="11"/>
  <c r="L21" i="20"/>
  <c r="AJ37" i="25"/>
  <c r="AH37" i="25"/>
  <c r="AV37" i="25"/>
  <c r="BH37" i="25" s="1"/>
  <c r="AW40" i="25"/>
  <c r="AV40" i="25"/>
  <c r="AR43" i="25"/>
  <c r="I23" i="13"/>
  <c r="I6" i="13"/>
  <c r="AX81" i="25"/>
  <c r="AK81" i="25"/>
  <c r="AR81" i="25"/>
  <c r="M6" i="12"/>
  <c r="M23" i="12"/>
  <c r="S24" i="11"/>
  <c r="S27" i="11"/>
  <c r="N45" i="25" a="1"/>
  <c r="N45" i="25" s="1"/>
  <c r="AP29" i="25"/>
  <c r="N46" i="25" a="1"/>
  <c r="N46" i="25" s="1"/>
  <c r="X29" i="25"/>
  <c r="Y29" i="25" s="1"/>
  <c r="O45" i="25" a="1"/>
  <c r="O45" i="25" s="1"/>
  <c r="AQ29" i="25"/>
  <c r="O46" i="25" a="1"/>
  <c r="O46" i="25" s="1"/>
  <c r="T45" i="25" a="1"/>
  <c r="T45" i="25" s="1"/>
  <c r="AV29" i="25"/>
  <c r="T46" i="25" a="1"/>
  <c r="T46" i="25" s="1"/>
  <c r="W65" i="25"/>
  <c r="Y65" i="25" s="1"/>
  <c r="I27" i="12"/>
  <c r="I24" i="12"/>
  <c r="B36" i="25"/>
  <c r="AX36" i="25" s="1"/>
  <c r="R27" i="10"/>
  <c r="R24" i="10"/>
  <c r="X32" i="25"/>
  <c r="AP32" i="25"/>
  <c r="AZ32" i="25" s="1"/>
  <c r="P56" i="25"/>
  <c r="H56" i="25"/>
  <c r="T56" i="25"/>
  <c r="K56" i="25"/>
  <c r="AC56" i="25"/>
  <c r="S56" i="25"/>
  <c r="J56" i="25"/>
  <c r="N56" i="25"/>
  <c r="A80" i="25"/>
  <c r="U56" i="25"/>
  <c r="F56" i="25"/>
  <c r="R56" i="25"/>
  <c r="E56" i="25"/>
  <c r="M56" i="25"/>
  <c r="L56" i="25"/>
  <c r="V56" i="25"/>
  <c r="Q56" i="25"/>
  <c r="O56" i="25"/>
  <c r="I56" i="25"/>
  <c r="G56" i="25"/>
  <c r="X30" i="13"/>
  <c r="AI35" i="25"/>
  <c r="W35" i="25"/>
  <c r="AG35" i="25"/>
  <c r="Y35" i="25"/>
  <c r="AV35" i="25"/>
  <c r="AA4" i="13"/>
  <c r="T10" i="21"/>
  <c r="C17" i="8"/>
  <c r="AA12" i="25"/>
  <c r="L28" i="11"/>
  <c r="L29" i="11"/>
  <c r="E21" i="16"/>
  <c r="E37" i="18"/>
  <c r="G3" i="22" s="1"/>
  <c r="AA81" i="25" l="1"/>
  <c r="Z81" i="25"/>
  <c r="AA32" i="25"/>
  <c r="Z32" i="25"/>
  <c r="H12" i="27" s="1"/>
  <c r="AA43" i="25"/>
  <c r="Z43" i="25"/>
  <c r="H22" i="27" s="1"/>
  <c r="AA40" i="25"/>
  <c r="Z40" i="25"/>
  <c r="H19" i="27" s="1"/>
  <c r="AA38" i="25"/>
  <c r="Z38" i="25"/>
  <c r="H21" i="27" s="1"/>
  <c r="Z29" i="25"/>
  <c r="H10" i="27" s="1"/>
  <c r="AA29" i="25"/>
  <c r="AA65" i="25"/>
  <c r="Z65" i="25"/>
  <c r="N18" i="27" s="1"/>
  <c r="AA55" i="25"/>
  <c r="AA39" i="25"/>
  <c r="Z39" i="25"/>
  <c r="H16" i="27" s="1"/>
  <c r="AA54" i="25"/>
  <c r="AA66" i="25"/>
  <c r="AN56" i="25"/>
  <c r="S25" i="11"/>
  <c r="S26" i="11"/>
  <c r="AB29" i="4"/>
  <c r="AB25" i="4"/>
  <c r="AB28" i="4"/>
  <c r="AB26" i="4"/>
  <c r="AA68" i="25"/>
  <c r="V29" i="12"/>
  <c r="V28" i="12"/>
  <c r="AC91" i="25"/>
  <c r="AD91" i="25" s="1"/>
  <c r="T91" i="25"/>
  <c r="L91" i="25"/>
  <c r="B91" i="25"/>
  <c r="P91" i="25"/>
  <c r="AR91" i="25" s="1"/>
  <c r="G91" i="25"/>
  <c r="O91" i="25"/>
  <c r="F91" i="25"/>
  <c r="U91" i="25"/>
  <c r="I91" i="25"/>
  <c r="S91" i="25"/>
  <c r="AU91" i="25" s="1"/>
  <c r="H91" i="25"/>
  <c r="AJ91" i="25" s="1"/>
  <c r="Q91" i="25"/>
  <c r="M91" i="25"/>
  <c r="K91" i="25"/>
  <c r="J91" i="25"/>
  <c r="E91" i="25"/>
  <c r="R91" i="25"/>
  <c r="N91" i="25"/>
  <c r="V91" i="25"/>
  <c r="W79" i="25"/>
  <c r="AG79" i="25"/>
  <c r="W60" i="25"/>
  <c r="Y60" i="25" s="1"/>
  <c r="BJ37" i="25"/>
  <c r="W25" i="12"/>
  <c r="W26" i="12"/>
  <c r="AA34" i="25"/>
  <c r="Z34" i="25"/>
  <c r="H9" i="27" s="1"/>
  <c r="BD32" i="25"/>
  <c r="AY32" i="25"/>
  <c r="BA32" i="25"/>
  <c r="AG78" i="25"/>
  <c r="W78" i="25"/>
  <c r="Q4" i="21"/>
  <c r="B14" i="25"/>
  <c r="AD14" i="25"/>
  <c r="C8" i="4"/>
  <c r="AU62" i="25"/>
  <c r="U83" i="25"/>
  <c r="M83" i="25"/>
  <c r="E83" i="25"/>
  <c r="O83" i="25"/>
  <c r="F83" i="25"/>
  <c r="AH83" i="25" s="1"/>
  <c r="N83" i="25"/>
  <c r="B83" i="25"/>
  <c r="T83" i="25"/>
  <c r="K83" i="25"/>
  <c r="R83" i="25"/>
  <c r="Q83" i="25"/>
  <c r="H83" i="25"/>
  <c r="G83" i="25"/>
  <c r="AI83" i="25" s="1"/>
  <c r="P83" i="25"/>
  <c r="S83" i="25"/>
  <c r="AU83" i="25" s="1"/>
  <c r="L83" i="25"/>
  <c r="V83" i="25"/>
  <c r="J83" i="25"/>
  <c r="AC83" i="25"/>
  <c r="AD83" i="25" s="1"/>
  <c r="I83" i="25"/>
  <c r="AU64" i="25"/>
  <c r="D11" i="16"/>
  <c r="C23" i="18"/>
  <c r="AB11" i="16"/>
  <c r="AB23" i="18" s="1"/>
  <c r="X58" i="25"/>
  <c r="F70" i="25" a="1"/>
  <c r="F70" i="25" s="1"/>
  <c r="F69" i="25" a="1"/>
  <c r="F69" i="25" s="1"/>
  <c r="AO56" i="25"/>
  <c r="V28" i="11"/>
  <c r="V29" i="11"/>
  <c r="AN33" i="25"/>
  <c r="AJ33" i="25"/>
  <c r="AR33" i="25"/>
  <c r="AT33" i="25"/>
  <c r="AQ33" i="25"/>
  <c r="AU33" i="25"/>
  <c r="AL33" i="25"/>
  <c r="AH33" i="25"/>
  <c r="AP33" i="25"/>
  <c r="AM33" i="25"/>
  <c r="AI33" i="25"/>
  <c r="AW33" i="25"/>
  <c r="AK33" i="25"/>
  <c r="AO33" i="25"/>
  <c r="AG33" i="25"/>
  <c r="AS33" i="25"/>
  <c r="AV33" i="25"/>
  <c r="AX33" i="25"/>
  <c r="AO36" i="25"/>
  <c r="BI38" i="25"/>
  <c r="AX63" i="25"/>
  <c r="AI36" i="25"/>
  <c r="X62" i="25"/>
  <c r="AT59" i="25"/>
  <c r="S70" i="25" a="1"/>
  <c r="S70" i="25" s="1"/>
  <c r="S69" i="25" a="1"/>
  <c r="S69" i="25" s="1"/>
  <c r="D8" i="17"/>
  <c r="C20" i="19"/>
  <c r="AB8" i="17"/>
  <c r="AB20" i="19" s="1"/>
  <c r="V26" i="12"/>
  <c r="V25" i="12"/>
  <c r="V30" i="12" s="1"/>
  <c r="D17" i="7"/>
  <c r="AB17" i="7"/>
  <c r="AQ36" i="25"/>
  <c r="AZ35" i="25"/>
  <c r="BD40" i="25"/>
  <c r="AY40" i="25"/>
  <c r="BA40" i="25" s="1"/>
  <c r="BB40" i="25" s="1"/>
  <c r="Q25" i="13"/>
  <c r="Q26" i="13"/>
  <c r="Q25" i="11"/>
  <c r="Q26" i="11"/>
  <c r="AI63" i="25"/>
  <c r="C11" i="10"/>
  <c r="B62" i="25" s="1"/>
  <c r="AI62" i="25" s="1"/>
  <c r="AB8" i="10"/>
  <c r="AB11" i="10"/>
  <c r="AB11" i="3"/>
  <c r="U29" i="10"/>
  <c r="U28" i="10"/>
  <c r="Y29" i="12"/>
  <c r="Y28" i="12"/>
  <c r="AV78" i="25"/>
  <c r="B17" i="25"/>
  <c r="E5" i="21"/>
  <c r="AD17" i="25"/>
  <c r="C11" i="2"/>
  <c r="AZ38" i="25"/>
  <c r="G22" i="1"/>
  <c r="N69" i="25" a="1"/>
  <c r="N69" i="25" s="1"/>
  <c r="X53" i="25"/>
  <c r="N70" i="25" a="1"/>
  <c r="N70" i="25" s="1"/>
  <c r="AI56" i="25"/>
  <c r="AT56" i="25"/>
  <c r="R25" i="10"/>
  <c r="R26" i="10"/>
  <c r="AJ36" i="25"/>
  <c r="Q19" i="21"/>
  <c r="C8" i="16"/>
  <c r="W67" i="25"/>
  <c r="AG67" i="25"/>
  <c r="U85" i="25"/>
  <c r="AW85" i="25" s="1"/>
  <c r="M85" i="25"/>
  <c r="E85" i="25"/>
  <c r="V85" i="25"/>
  <c r="L85" i="25"/>
  <c r="T85" i="25"/>
  <c r="AV85" i="25" s="1"/>
  <c r="K85" i="25"/>
  <c r="AM85" i="25" s="1"/>
  <c r="R85" i="25"/>
  <c r="AT85" i="25" s="1"/>
  <c r="I85" i="25"/>
  <c r="AK85" i="25" s="1"/>
  <c r="H85" i="25"/>
  <c r="G85" i="25"/>
  <c r="N85" i="25"/>
  <c r="AC85" i="25"/>
  <c r="AD85" i="25" s="1"/>
  <c r="J85" i="25"/>
  <c r="AL85" i="25" s="1"/>
  <c r="F85" i="25"/>
  <c r="AH85" i="25" s="1"/>
  <c r="S85" i="25"/>
  <c r="AU85" i="25" s="1"/>
  <c r="Q85" i="25"/>
  <c r="P85" i="25"/>
  <c r="AR85" i="25" s="1"/>
  <c r="O85" i="25"/>
  <c r="B85" i="25"/>
  <c r="AJ41" i="25"/>
  <c r="AX41" i="25"/>
  <c r="AL41" i="25"/>
  <c r="AR41" i="25"/>
  <c r="AW41" i="25"/>
  <c r="AP41" i="25"/>
  <c r="AN41" i="25"/>
  <c r="AU41" i="25"/>
  <c r="AM41" i="25"/>
  <c r="AQ41" i="25"/>
  <c r="AQ45" i="25" s="1" a="1"/>
  <c r="AQ45" i="25" s="1"/>
  <c r="AH41" i="25"/>
  <c r="AK41" i="25"/>
  <c r="AG41" i="25"/>
  <c r="AO41" i="25"/>
  <c r="AI41" i="25"/>
  <c r="AT41" i="25"/>
  <c r="AV41" i="25"/>
  <c r="AS41" i="25"/>
  <c r="AI89" i="25"/>
  <c r="S25" i="10"/>
  <c r="S26" i="10"/>
  <c r="BJ32" i="25"/>
  <c r="AK63" i="25"/>
  <c r="AB25" i="3"/>
  <c r="AB29" i="3"/>
  <c r="AB26" i="3"/>
  <c r="AB28" i="3"/>
  <c r="AU44" i="25"/>
  <c r="AH44" i="25"/>
  <c r="AO44" i="25"/>
  <c r="AQ44" i="25"/>
  <c r="AS44" i="25"/>
  <c r="AJ44" i="25"/>
  <c r="AP44" i="25"/>
  <c r="AK44" i="25"/>
  <c r="AL44" i="25"/>
  <c r="AR44" i="25"/>
  <c r="AX44" i="25"/>
  <c r="AV44" i="25"/>
  <c r="AM44" i="25"/>
  <c r="AN44" i="25"/>
  <c r="AW44" i="25"/>
  <c r="AT44" i="25"/>
  <c r="AI44" i="25"/>
  <c r="AG44" i="25"/>
  <c r="AI78" i="25"/>
  <c r="AQ59" i="25"/>
  <c r="AV64" i="25"/>
  <c r="AJ90" i="25"/>
  <c r="BI90" i="25" s="1"/>
  <c r="AR90" i="25"/>
  <c r="T69" i="25" a="1"/>
  <c r="T69" i="25" s="1"/>
  <c r="T70" i="25" a="1"/>
  <c r="T70" i="25" s="1"/>
  <c r="AK56" i="25"/>
  <c r="AH56" i="25"/>
  <c r="I26" i="12"/>
  <c r="I25" i="12"/>
  <c r="AP45" i="25" a="1"/>
  <c r="AP45" i="25" s="1"/>
  <c r="AZ29" i="25"/>
  <c r="AM67" i="25"/>
  <c r="E28" i="13"/>
  <c r="E29" i="13"/>
  <c r="AQ89" i="25"/>
  <c r="AB14" i="4"/>
  <c r="D17" i="17"/>
  <c r="C29" i="19"/>
  <c r="AB17" i="17"/>
  <c r="AB29" i="19" s="1"/>
  <c r="AS78" i="25"/>
  <c r="BI78" i="25" s="1"/>
  <c r="C8" i="18"/>
  <c r="D8" i="14"/>
  <c r="AB8" i="14"/>
  <c r="AB8" i="18" s="1"/>
  <c r="AN59" i="25"/>
  <c r="AI59" i="25"/>
  <c r="AT90" i="25"/>
  <c r="W90" i="25"/>
  <c r="Y90" i="25" s="1"/>
  <c r="AG90" i="25"/>
  <c r="AH43" i="25"/>
  <c r="BD43" i="25" s="1"/>
  <c r="E24" i="12"/>
  <c r="E27" i="12"/>
  <c r="E19" i="12"/>
  <c r="F19" i="12" s="1"/>
  <c r="F72" i="1"/>
  <c r="J69" i="25" a="1"/>
  <c r="J69" i="25" s="1"/>
  <c r="J70" i="25" a="1"/>
  <c r="J70" i="25" s="1"/>
  <c r="H69" i="25" a="1"/>
  <c r="H69" i="25" s="1"/>
  <c r="H70" i="25" a="1"/>
  <c r="H70" i="25" s="1"/>
  <c r="AW56" i="25"/>
  <c r="AV56" i="25"/>
  <c r="R29" i="10"/>
  <c r="R28" i="10"/>
  <c r="I28" i="12"/>
  <c r="I29" i="12"/>
  <c r="T24" i="11"/>
  <c r="T27" i="11"/>
  <c r="BH81" i="25"/>
  <c r="BG81" i="25"/>
  <c r="BJ81" i="25"/>
  <c r="AY76" i="25"/>
  <c r="BA76" i="25" s="1"/>
  <c r="BI81" i="25"/>
  <c r="S27" i="12"/>
  <c r="S24" i="12"/>
  <c r="R27" i="12"/>
  <c r="R24" i="12"/>
  <c r="F29" i="10"/>
  <c r="F28" i="10"/>
  <c r="AV67" i="25"/>
  <c r="AQ67" i="25"/>
  <c r="D17" i="16"/>
  <c r="C29" i="18"/>
  <c r="AB17" i="16"/>
  <c r="AB29" i="18" s="1"/>
  <c r="D8" i="6"/>
  <c r="AB8" i="6"/>
  <c r="X27" i="12"/>
  <c r="X24" i="12"/>
  <c r="T20" i="13"/>
  <c r="U20" i="13" s="1"/>
  <c r="V20" i="13" s="1"/>
  <c r="W20" i="13" s="1"/>
  <c r="X20" i="13" s="1"/>
  <c r="Y20" i="13" s="1"/>
  <c r="Z20" i="13" s="1"/>
  <c r="T27" i="13"/>
  <c r="T24" i="13"/>
  <c r="AU79" i="25"/>
  <c r="AX92" i="25"/>
  <c r="Y92" i="25"/>
  <c r="AA92" i="25" s="1"/>
  <c r="W92" i="25"/>
  <c r="AG92" i="25"/>
  <c r="AN92" i="25"/>
  <c r="AI31" i="25"/>
  <c r="AT31" i="25"/>
  <c r="AT45" i="25" s="1" a="1"/>
  <c r="AT45" i="25" s="1"/>
  <c r="AR31" i="25"/>
  <c r="AO31" i="25"/>
  <c r="AL31" i="25"/>
  <c r="AJ31" i="25"/>
  <c r="AS31" i="25"/>
  <c r="AK31" i="25"/>
  <c r="AU31" i="25"/>
  <c r="AX31" i="25"/>
  <c r="AP31" i="25"/>
  <c r="AG31" i="25"/>
  <c r="BE40" i="25" s="1"/>
  <c r="L19" i="27" s="1"/>
  <c r="AM31" i="25"/>
  <c r="AN31" i="25"/>
  <c r="AW31" i="25"/>
  <c r="AQ31" i="25"/>
  <c r="AH31" i="25"/>
  <c r="AV31" i="25"/>
  <c r="D11" i="15"/>
  <c r="C11" i="19"/>
  <c r="AB11" i="15"/>
  <c r="AB11" i="19" s="1"/>
  <c r="D8" i="8"/>
  <c r="AB8" i="8"/>
  <c r="AL89" i="25"/>
  <c r="AV89" i="25"/>
  <c r="AJ89" i="25"/>
  <c r="BJ89" i="25" s="1"/>
  <c r="Y25" i="13"/>
  <c r="Y26" i="13"/>
  <c r="BH32" i="25"/>
  <c r="BJ35" i="25"/>
  <c r="BF37" i="25"/>
  <c r="Y28" i="11"/>
  <c r="Y29" i="11"/>
  <c r="AP43" i="25"/>
  <c r="G24" i="11"/>
  <c r="G27" i="11"/>
  <c r="G19" i="11"/>
  <c r="H19" i="11" s="1"/>
  <c r="M28" i="10"/>
  <c r="M29" i="10"/>
  <c r="M28" i="11"/>
  <c r="M29" i="11"/>
  <c r="AT63" i="25"/>
  <c r="AO63" i="25"/>
  <c r="AP5" i="25"/>
  <c r="AI5" i="25"/>
  <c r="AK5" i="25"/>
  <c r="AQ5" i="25"/>
  <c r="AH5" i="25"/>
  <c r="AV5" i="25"/>
  <c r="AM5" i="25"/>
  <c r="AG5" i="25"/>
  <c r="AS5" i="25"/>
  <c r="AT5" i="25"/>
  <c r="AW5" i="25"/>
  <c r="AN5" i="25"/>
  <c r="AO5" i="25"/>
  <c r="AR5" i="25"/>
  <c r="AU5" i="25"/>
  <c r="AJ5" i="25"/>
  <c r="AX5" i="25"/>
  <c r="AL5" i="25"/>
  <c r="J25" i="12"/>
  <c r="J26" i="12"/>
  <c r="E26" i="11"/>
  <c r="E25" i="11"/>
  <c r="AO20" i="25"/>
  <c r="AH20" i="25"/>
  <c r="AI20" i="25"/>
  <c r="AU20" i="25"/>
  <c r="AQ20" i="25"/>
  <c r="AL20" i="25"/>
  <c r="AT20" i="25"/>
  <c r="AX20" i="25"/>
  <c r="AM20" i="25"/>
  <c r="AV20" i="25"/>
  <c r="AG20" i="25"/>
  <c r="AS20" i="25"/>
  <c r="AN20" i="25"/>
  <c r="AJ20" i="25"/>
  <c r="AW20" i="25"/>
  <c r="AK20" i="25"/>
  <c r="AP20" i="25"/>
  <c r="AR20" i="25"/>
  <c r="AL81" i="25"/>
  <c r="AN78" i="25"/>
  <c r="AJ78" i="25"/>
  <c r="BF78" i="25" s="1"/>
  <c r="AX78" i="25"/>
  <c r="B11" i="25"/>
  <c r="T5" i="21"/>
  <c r="C17" i="4"/>
  <c r="AD11" i="25"/>
  <c r="H5" i="21"/>
  <c r="AD9" i="25"/>
  <c r="B9" i="25"/>
  <c r="C17" i="2"/>
  <c r="AD62" i="25"/>
  <c r="AH62" i="25"/>
  <c r="AX62" i="25"/>
  <c r="AO59" i="25"/>
  <c r="X59" i="25"/>
  <c r="AP59" i="25"/>
  <c r="AZ59" i="25" s="1"/>
  <c r="AS59" i="25"/>
  <c r="AW18" i="25"/>
  <c r="AI18" i="25"/>
  <c r="AK18" i="25"/>
  <c r="AS18" i="25"/>
  <c r="AR18" i="25"/>
  <c r="AU18" i="25"/>
  <c r="AJ18" i="25"/>
  <c r="AM18" i="25"/>
  <c r="AL18" i="25"/>
  <c r="AH18" i="25"/>
  <c r="AT18" i="25"/>
  <c r="AG18" i="25"/>
  <c r="AO18" i="25"/>
  <c r="AQ18" i="25"/>
  <c r="AN18" i="25"/>
  <c r="AV18" i="25"/>
  <c r="AP18" i="25"/>
  <c r="AX18" i="25"/>
  <c r="AG64" i="25"/>
  <c r="W64" i="25"/>
  <c r="Y64" i="25" s="1"/>
  <c r="D14" i="9"/>
  <c r="AB14" i="9"/>
  <c r="AK90" i="25"/>
  <c r="AN90" i="25"/>
  <c r="AO90" i="25"/>
  <c r="AN81" i="25"/>
  <c r="BF81" i="25" s="1"/>
  <c r="Q70" i="25" a="1"/>
  <c r="Q70" i="25" s="1"/>
  <c r="Q69" i="25" a="1"/>
  <c r="Q69" i="25" s="1"/>
  <c r="V77" i="25"/>
  <c r="N77" i="25"/>
  <c r="F77" i="25"/>
  <c r="U77" i="25"/>
  <c r="M77" i="25"/>
  <c r="E77" i="25"/>
  <c r="T77" i="25"/>
  <c r="J77" i="25"/>
  <c r="S77" i="25"/>
  <c r="I77" i="25"/>
  <c r="R77" i="25"/>
  <c r="B77" i="25"/>
  <c r="Q77" i="25"/>
  <c r="P77" i="25"/>
  <c r="G77" i="25"/>
  <c r="L77" i="25"/>
  <c r="K77" i="25"/>
  <c r="AC77" i="25"/>
  <c r="AD77" i="25" s="1"/>
  <c r="O77" i="25"/>
  <c r="H77" i="25"/>
  <c r="T7" i="27"/>
  <c r="P69" i="25" a="1"/>
  <c r="P69" i="25" s="1"/>
  <c r="P70" i="25" a="1"/>
  <c r="P70" i="25" s="1"/>
  <c r="H28" i="11"/>
  <c r="H29" i="11"/>
  <c r="K25" i="13"/>
  <c r="K26" i="13"/>
  <c r="Z33" i="25"/>
  <c r="H7" i="27" s="1"/>
  <c r="D17" i="6"/>
  <c r="AB17" i="6"/>
  <c r="H29" i="13"/>
  <c r="H28" i="13"/>
  <c r="AK30" i="25"/>
  <c r="AX30" i="25"/>
  <c r="AX45" i="25" s="1" a="1"/>
  <c r="AX45" i="25" s="1"/>
  <c r="AS30" i="25"/>
  <c r="AS45" i="25" s="1" a="1"/>
  <c r="AS45" i="25" s="1"/>
  <c r="AO30" i="25"/>
  <c r="AO45" i="25" s="1" a="1"/>
  <c r="AO45" i="25" s="1"/>
  <c r="AI30" i="25"/>
  <c r="AI45" i="25" s="1" a="1"/>
  <c r="AI45" i="25" s="1"/>
  <c r="AV30" i="25"/>
  <c r="AH30" i="25"/>
  <c r="AH45" i="25" s="1" a="1"/>
  <c r="AH45" i="25" s="1"/>
  <c r="AW30" i="25"/>
  <c r="AR30" i="25"/>
  <c r="AT30" i="25"/>
  <c r="AP30" i="25"/>
  <c r="AQ30" i="25"/>
  <c r="AU30" i="25"/>
  <c r="AU45" i="25" s="1" a="1"/>
  <c r="AU45" i="25" s="1"/>
  <c r="AM30" i="25"/>
  <c r="AM45" i="25" s="1" a="1"/>
  <c r="AM45" i="25" s="1"/>
  <c r="AL30" i="25"/>
  <c r="AG30" i="25"/>
  <c r="AN30" i="25"/>
  <c r="AJ30" i="25"/>
  <c r="AJ45" i="25" s="1" a="1"/>
  <c r="AJ45" i="25" s="1"/>
  <c r="K26" i="12"/>
  <c r="K25" i="12"/>
  <c r="G28" i="13"/>
  <c r="G29" i="13"/>
  <c r="T24" i="12"/>
  <c r="T27" i="12"/>
  <c r="U28" i="13"/>
  <c r="U29" i="13"/>
  <c r="AA37" i="25"/>
  <c r="Z37" i="25"/>
  <c r="H23" i="27" s="1"/>
  <c r="BI29" i="25"/>
  <c r="AN63" i="25"/>
  <c r="C17" i="11"/>
  <c r="AB14" i="11"/>
  <c r="AB17" i="11"/>
  <c r="AD15" i="25"/>
  <c r="W4" i="21"/>
  <c r="B15" i="25"/>
  <c r="C8" i="5"/>
  <c r="U86" i="25"/>
  <c r="AW86" i="25" s="1"/>
  <c r="M86" i="25"/>
  <c r="AO86" i="25" s="1"/>
  <c r="E86" i="25"/>
  <c r="T86" i="25"/>
  <c r="AV86" i="25" s="1"/>
  <c r="K86" i="25"/>
  <c r="AC86" i="25"/>
  <c r="AD86" i="25" s="1"/>
  <c r="S86" i="25"/>
  <c r="J86" i="25"/>
  <c r="Q86" i="25"/>
  <c r="AS86" i="25" s="1"/>
  <c r="H86" i="25"/>
  <c r="AJ86" i="25" s="1"/>
  <c r="L86" i="25"/>
  <c r="AN86" i="25" s="1"/>
  <c r="I86" i="25"/>
  <c r="AK86" i="25" s="1"/>
  <c r="O86" i="25"/>
  <c r="AQ86" i="25" s="1"/>
  <c r="N86" i="25"/>
  <c r="B86" i="25"/>
  <c r="P86" i="25"/>
  <c r="AR86" i="25" s="1"/>
  <c r="G86" i="25"/>
  <c r="AI86" i="25" s="1"/>
  <c r="F86" i="25"/>
  <c r="AH86" i="25" s="1"/>
  <c r="V86" i="25"/>
  <c r="R86" i="25"/>
  <c r="X90" i="25"/>
  <c r="AP90" i="25"/>
  <c r="V69" i="25" a="1"/>
  <c r="V69" i="25" s="1"/>
  <c r="V70" i="25" a="1"/>
  <c r="V70" i="25" s="1"/>
  <c r="G28" i="10"/>
  <c r="G29" i="10"/>
  <c r="I24" i="13"/>
  <c r="I27" i="13"/>
  <c r="I19" i="13"/>
  <c r="J19" i="13" s="1"/>
  <c r="K19" i="13" s="1"/>
  <c r="L19" i="13" s="1"/>
  <c r="M19" i="13" s="1"/>
  <c r="I24" i="11"/>
  <c r="I19" i="11"/>
  <c r="J19" i="11" s="1"/>
  <c r="K19" i="11" s="1"/>
  <c r="L19" i="11" s="1"/>
  <c r="M19" i="11" s="1"/>
  <c r="I27" i="11"/>
  <c r="X30" i="10"/>
  <c r="H25" i="13"/>
  <c r="H26" i="13"/>
  <c r="AM36" i="25"/>
  <c r="X60" i="25"/>
  <c r="AH36" i="25"/>
  <c r="C11" i="12"/>
  <c r="AB8" i="12"/>
  <c r="AB11" i="12"/>
  <c r="B65" i="25"/>
  <c r="BG38" i="25"/>
  <c r="F29" i="11"/>
  <c r="F28" i="11"/>
  <c r="W26" i="11"/>
  <c r="W25" i="11"/>
  <c r="AZ81" i="25"/>
  <c r="C17" i="10"/>
  <c r="AB14" i="10"/>
  <c r="W30" i="10"/>
  <c r="W30" i="13"/>
  <c r="AD7" i="25"/>
  <c r="B7" i="25"/>
  <c r="N4" i="21"/>
  <c r="C14" i="3"/>
  <c r="R69" i="25" a="1"/>
  <c r="R69" i="25" s="1"/>
  <c r="R70" i="25" a="1"/>
  <c r="R70" i="25" s="1"/>
  <c r="AT53" i="25"/>
  <c r="AA35" i="25"/>
  <c r="Z35" i="25"/>
  <c r="H6" i="27" s="1"/>
  <c r="AU56" i="25"/>
  <c r="M27" i="12"/>
  <c r="M24" i="12"/>
  <c r="AO67" i="25"/>
  <c r="D17" i="9"/>
  <c r="AB17" i="9"/>
  <c r="AK36" i="25"/>
  <c r="D8" i="7"/>
  <c r="AB8" i="7"/>
  <c r="AP89" i="25"/>
  <c r="X89" i="25"/>
  <c r="AJ63" i="25"/>
  <c r="AW78" i="25"/>
  <c r="AG62" i="25"/>
  <c r="Y62" i="25"/>
  <c r="W62" i="25"/>
  <c r="AH59" i="25"/>
  <c r="AI90" i="25"/>
  <c r="U82" i="25"/>
  <c r="P82" i="25"/>
  <c r="H82" i="25"/>
  <c r="AJ82" i="25" s="1"/>
  <c r="O82" i="25"/>
  <c r="AQ82" i="25" s="1"/>
  <c r="G82" i="25"/>
  <c r="V82" i="25"/>
  <c r="M82" i="25"/>
  <c r="E82" i="25"/>
  <c r="Q82" i="25"/>
  <c r="AC82" i="25"/>
  <c r="AD82" i="25" s="1"/>
  <c r="N82" i="25"/>
  <c r="F82" i="25"/>
  <c r="AH82" i="25" s="1"/>
  <c r="T82" i="25"/>
  <c r="B82" i="25"/>
  <c r="S82" i="25"/>
  <c r="L82" i="25"/>
  <c r="K82" i="25"/>
  <c r="I82" i="25"/>
  <c r="AK82" i="25" s="1"/>
  <c r="R82" i="25"/>
  <c r="AT82" i="25" s="1"/>
  <c r="J82" i="25"/>
  <c r="AL82" i="25" s="1"/>
  <c r="G70" i="25" a="1"/>
  <c r="G70" i="25" s="1"/>
  <c r="G69" i="25" a="1"/>
  <c r="G69" i="25" s="1"/>
  <c r="E14" i="1"/>
  <c r="L30" i="10"/>
  <c r="AH67" i="25"/>
  <c r="C11" i="11"/>
  <c r="B64" i="25" s="1"/>
  <c r="AM64" i="25" s="1"/>
  <c r="AB8" i="11"/>
  <c r="AB11" i="11"/>
  <c r="J30" i="11"/>
  <c r="AL36" i="25"/>
  <c r="AZ37" i="25"/>
  <c r="BG29" i="25"/>
  <c r="BG40" i="25"/>
  <c r="AG36" i="25"/>
  <c r="AS63" i="25"/>
  <c r="AR63" i="25"/>
  <c r="AW36" i="25"/>
  <c r="AU78" i="25"/>
  <c r="E4" i="21"/>
  <c r="AD13" i="25"/>
  <c r="B13" i="25"/>
  <c r="C8" i="2"/>
  <c r="AS62" i="25"/>
  <c r="AK59" i="25"/>
  <c r="AB11" i="4"/>
  <c r="AS90" i="25"/>
  <c r="I70" i="25" a="1"/>
  <c r="I70" i="25" s="1"/>
  <c r="I69" i="25" a="1"/>
  <c r="I69" i="25" s="1"/>
  <c r="K28" i="13"/>
  <c r="K29" i="13"/>
  <c r="Z30" i="25"/>
  <c r="H11" i="27" s="1"/>
  <c r="AM56" i="25"/>
  <c r="AU67" i="25"/>
  <c r="AP79" i="25"/>
  <c r="AZ79" i="25" s="1"/>
  <c r="X79" i="25"/>
  <c r="Y79" i="25" s="1"/>
  <c r="D8" i="9"/>
  <c r="AB8" i="9"/>
  <c r="AB17" i="10"/>
  <c r="BH35" i="25"/>
  <c r="M25" i="10"/>
  <c r="M26" i="10"/>
  <c r="Q27" i="12"/>
  <c r="Q20" i="12"/>
  <c r="R20" i="12" s="1"/>
  <c r="S20" i="12" s="1"/>
  <c r="T20" i="12" s="1"/>
  <c r="U20" i="12" s="1"/>
  <c r="V20" i="12" s="1"/>
  <c r="W20" i="12" s="1"/>
  <c r="X20" i="12" s="1"/>
  <c r="Y20" i="12" s="1"/>
  <c r="Z20" i="12" s="1"/>
  <c r="Q24" i="12"/>
  <c r="M26" i="11"/>
  <c r="M25" i="11"/>
  <c r="M30" i="11" s="1"/>
  <c r="BD38" i="25"/>
  <c r="AY38" i="25"/>
  <c r="BA38" i="25" s="1"/>
  <c r="BB38" i="25" s="1"/>
  <c r="AA36" i="25"/>
  <c r="Z36" i="25"/>
  <c r="H8" i="27" s="1"/>
  <c r="AL63" i="25"/>
  <c r="U87" i="25"/>
  <c r="M87" i="25"/>
  <c r="E87" i="25"/>
  <c r="AC87" i="25"/>
  <c r="AD87" i="25" s="1"/>
  <c r="S87" i="25"/>
  <c r="J87" i="25"/>
  <c r="R87" i="25"/>
  <c r="AT87" i="25" s="1"/>
  <c r="I87" i="25"/>
  <c r="P87" i="25"/>
  <c r="G87" i="25"/>
  <c r="N87" i="25"/>
  <c r="L87" i="25"/>
  <c r="Q87" i="25"/>
  <c r="O87" i="25"/>
  <c r="AQ87" i="25" s="1"/>
  <c r="F87" i="25"/>
  <c r="B87" i="25"/>
  <c r="H87" i="25"/>
  <c r="V87" i="25"/>
  <c r="T87" i="25"/>
  <c r="K87" i="25"/>
  <c r="E25" i="10"/>
  <c r="E26" i="10"/>
  <c r="D14" i="7"/>
  <c r="AB14" i="7"/>
  <c r="J29" i="12"/>
  <c r="J28" i="12"/>
  <c r="F68" i="1"/>
  <c r="C23" i="19"/>
  <c r="D11" i="17"/>
  <c r="AB11" i="17"/>
  <c r="AB23" i="19" s="1"/>
  <c r="U25" i="10"/>
  <c r="U26" i="10"/>
  <c r="AK78" i="25"/>
  <c r="AP78" i="25"/>
  <c r="AZ78" i="25" s="1"/>
  <c r="X78" i="25"/>
  <c r="Y78" i="25" s="1"/>
  <c r="H4" i="21"/>
  <c r="AD8" i="25"/>
  <c r="C14" i="2"/>
  <c r="B8" i="25"/>
  <c r="AL62" i="25"/>
  <c r="AO62" i="25"/>
  <c r="AX59" i="25"/>
  <c r="AJ64" i="25"/>
  <c r="AV90" i="25"/>
  <c r="AI58" i="25"/>
  <c r="K70" i="25" a="1"/>
  <c r="K70" i="25" s="1"/>
  <c r="K69" i="25" a="1"/>
  <c r="K69" i="25" s="1"/>
  <c r="H26" i="11"/>
  <c r="H25" i="11"/>
  <c r="AZ34" i="25"/>
  <c r="AQ56" i="25"/>
  <c r="D17" i="8"/>
  <c r="AB17" i="8"/>
  <c r="AS56" i="25"/>
  <c r="P80" i="25"/>
  <c r="AR80" i="25" s="1"/>
  <c r="H80" i="25"/>
  <c r="O80" i="25"/>
  <c r="AQ80" i="25" s="1"/>
  <c r="G80" i="25"/>
  <c r="U80" i="25"/>
  <c r="AW80" i="25" s="1"/>
  <c r="M80" i="25"/>
  <c r="AO80" i="25" s="1"/>
  <c r="E80" i="25"/>
  <c r="L80" i="25"/>
  <c r="AN80" i="25" s="1"/>
  <c r="K80" i="25"/>
  <c r="Q80" i="25"/>
  <c r="AS80" i="25" s="1"/>
  <c r="N80" i="25"/>
  <c r="S80" i="25"/>
  <c r="AU80" i="25" s="1"/>
  <c r="V80" i="25"/>
  <c r="T80" i="25"/>
  <c r="AV80" i="25" s="1"/>
  <c r="I80" i="25"/>
  <c r="AK80" i="25" s="1"/>
  <c r="F80" i="25"/>
  <c r="AH80" i="25" s="1"/>
  <c r="B80" i="25"/>
  <c r="AC80" i="25"/>
  <c r="AD80" i="25" s="1"/>
  <c r="R80" i="25"/>
  <c r="J80" i="25"/>
  <c r="AL80" i="25" s="1"/>
  <c r="AJ56" i="25"/>
  <c r="S29" i="11"/>
  <c r="S28" i="11"/>
  <c r="D14" i="8"/>
  <c r="AB14" i="8"/>
  <c r="F25" i="10"/>
  <c r="F26" i="10"/>
  <c r="L28" i="13"/>
  <c r="L29" i="13"/>
  <c r="AI67" i="25"/>
  <c r="AD67" i="25"/>
  <c r="AJ67" i="25"/>
  <c r="W61" i="25"/>
  <c r="V30" i="13"/>
  <c r="AN79" i="25"/>
  <c r="BI79" i="25" s="1"/>
  <c r="AL79" i="25"/>
  <c r="BH79" i="25" s="1"/>
  <c r="AJ92" i="25"/>
  <c r="BG92" i="25" s="1"/>
  <c r="X92" i="25"/>
  <c r="AP92" i="25"/>
  <c r="AV92" i="25"/>
  <c r="D11" i="6"/>
  <c r="AB11" i="6"/>
  <c r="Y45" i="25"/>
  <c r="AY81" i="25"/>
  <c r="BD81" i="25"/>
  <c r="BA81" i="25"/>
  <c r="BB81" i="25" s="1"/>
  <c r="AX89" i="25"/>
  <c r="AS89" i="25"/>
  <c r="BG35" i="25"/>
  <c r="BI32" i="25"/>
  <c r="BF38" i="25"/>
  <c r="BI35" i="25"/>
  <c r="BI40" i="25"/>
  <c r="BG32" i="25"/>
  <c r="W28" i="12"/>
  <c r="W29" i="12"/>
  <c r="Y26" i="11"/>
  <c r="Y25" i="11"/>
  <c r="Y30" i="11" s="1"/>
  <c r="AB29" i="5"/>
  <c r="AB25" i="5"/>
  <c r="AB28" i="5"/>
  <c r="AB26" i="5"/>
  <c r="D14" i="6"/>
  <c r="AB14" i="6"/>
  <c r="L24" i="12"/>
  <c r="L27" i="12"/>
  <c r="AD63" i="25"/>
  <c r="AM63" i="25"/>
  <c r="E28" i="10"/>
  <c r="E29" i="10"/>
  <c r="R29" i="13"/>
  <c r="R28" i="13"/>
  <c r="E28" i="11"/>
  <c r="E29" i="11"/>
  <c r="T20" i="10"/>
  <c r="U20" i="10" s="1"/>
  <c r="T24" i="10"/>
  <c r="T27" i="10"/>
  <c r="AQ78" i="25"/>
  <c r="AT78" i="25"/>
  <c r="AD12" i="25"/>
  <c r="N5" i="21"/>
  <c r="C17" i="3"/>
  <c r="B12" i="25"/>
  <c r="Z5" i="21"/>
  <c r="AD10" i="25"/>
  <c r="C17" i="5"/>
  <c r="B10" i="25"/>
  <c r="Z44" i="25"/>
  <c r="H17" i="27" s="1"/>
  <c r="AV62" i="25"/>
  <c r="AT62" i="25"/>
  <c r="AJ62" i="25"/>
  <c r="AU59" i="25"/>
  <c r="AD59" i="25"/>
  <c r="AJ59" i="25"/>
  <c r="AN43" i="25"/>
  <c r="AN64" i="25"/>
  <c r="AS64" i="25"/>
  <c r="U30" i="11"/>
  <c r="AL90" i="25"/>
  <c r="AX90" i="25"/>
  <c r="AW90" i="25"/>
  <c r="C8" i="19"/>
  <c r="D8" i="15"/>
  <c r="AB8" i="15"/>
  <c r="AB8" i="19" s="1"/>
  <c r="AK58" i="25"/>
  <c r="L70" i="25" a="1"/>
  <c r="L70" i="25" s="1"/>
  <c r="L69" i="25" a="1"/>
  <c r="L69" i="25" s="1"/>
  <c r="B53" i="25"/>
  <c r="AU53" i="25" s="1"/>
  <c r="H25" i="10"/>
  <c r="H26" i="10"/>
  <c r="S28" i="10"/>
  <c r="S29" i="10"/>
  <c r="BH29" i="25"/>
  <c r="F25" i="11"/>
  <c r="F26" i="11"/>
  <c r="X63" i="25"/>
  <c r="AP63" i="25"/>
  <c r="AZ63" i="25" s="1"/>
  <c r="AW64" i="25"/>
  <c r="AL56" i="25"/>
  <c r="G27" i="12"/>
  <c r="G19" i="12"/>
  <c r="G24" i="12"/>
  <c r="AR36" i="25"/>
  <c r="AX67" i="25"/>
  <c r="L30" i="11"/>
  <c r="AX79" i="25"/>
  <c r="F28" i="13"/>
  <c r="F29" i="13"/>
  <c r="D11" i="7"/>
  <c r="AB11" i="7"/>
  <c r="AV36" i="25"/>
  <c r="AV45" i="25" s="1" a="1"/>
  <c r="AV45" i="25" s="1"/>
  <c r="H29" i="10"/>
  <c r="H28" i="10"/>
  <c r="BD37" i="25"/>
  <c r="AY37" i="25"/>
  <c r="BA37" i="25"/>
  <c r="BB37" i="25" s="1"/>
  <c r="BD39" i="25"/>
  <c r="AY39" i="25"/>
  <c r="BA39" i="25" s="1"/>
  <c r="BB39" i="25" s="1"/>
  <c r="F26" i="12"/>
  <c r="F25" i="12"/>
  <c r="AG63" i="25"/>
  <c r="Y63" i="25"/>
  <c r="W63" i="25"/>
  <c r="AW63" i="25"/>
  <c r="K24" i="10"/>
  <c r="K19" i="10"/>
  <c r="L19" i="10" s="1"/>
  <c r="M19" i="10" s="1"/>
  <c r="K27" i="10"/>
  <c r="AD19" i="25"/>
  <c r="W5" i="21"/>
  <c r="C11" i="5"/>
  <c r="B19" i="25"/>
  <c r="AG59" i="25"/>
  <c r="W59" i="25"/>
  <c r="Y59" i="25" s="1"/>
  <c r="AA19" i="25"/>
  <c r="Z19" i="25"/>
  <c r="B22" i="27" s="1"/>
  <c r="C26" i="19"/>
  <c r="D14" i="17"/>
  <c r="AB14" i="17"/>
  <c r="AB26" i="19" s="1"/>
  <c r="E70" i="25" a="1"/>
  <c r="E70" i="25" s="1"/>
  <c r="Y70" i="25" s="1"/>
  <c r="E69" i="25" a="1"/>
  <c r="E69" i="25" s="1"/>
  <c r="W53" i="25"/>
  <c r="Y53" i="25"/>
  <c r="AG53" i="25"/>
  <c r="AG56" i="25"/>
  <c r="W56" i="25"/>
  <c r="Y56" i="25" s="1"/>
  <c r="AS36" i="25"/>
  <c r="AZ36" i="25" s="1"/>
  <c r="AW67" i="25"/>
  <c r="D11" i="9"/>
  <c r="AB11" i="9"/>
  <c r="Q26" i="10"/>
  <c r="Q25" i="10"/>
  <c r="AT36" i="25"/>
  <c r="E25" i="13"/>
  <c r="E26" i="13"/>
  <c r="U25" i="13"/>
  <c r="U26" i="13"/>
  <c r="BG37" i="25"/>
  <c r="F29" i="12"/>
  <c r="F28" i="12"/>
  <c r="AQ63" i="25"/>
  <c r="G14" i="1"/>
  <c r="C11" i="18"/>
  <c r="D11" i="14"/>
  <c r="AB11" i="14"/>
  <c r="AB11" i="18" s="1"/>
  <c r="AR78" i="25"/>
  <c r="BG78" i="25" s="1"/>
  <c r="AQ62" i="25"/>
  <c r="AW59" i="25"/>
  <c r="U88" i="25"/>
  <c r="M88" i="25"/>
  <c r="AO88" i="25" s="1"/>
  <c r="E88" i="25"/>
  <c r="R88" i="25"/>
  <c r="I88" i="25"/>
  <c r="AK88" i="25" s="1"/>
  <c r="Q88" i="25"/>
  <c r="AS88" i="25" s="1"/>
  <c r="H88" i="25"/>
  <c r="O88" i="25"/>
  <c r="F88" i="25"/>
  <c r="AH88" i="25" s="1"/>
  <c r="P88" i="25"/>
  <c r="N88" i="25"/>
  <c r="T88" i="25"/>
  <c r="AV88" i="25" s="1"/>
  <c r="S88" i="25"/>
  <c r="AU88" i="25" s="1"/>
  <c r="V88" i="25"/>
  <c r="L88" i="25"/>
  <c r="AN88" i="25" s="1"/>
  <c r="K88" i="25"/>
  <c r="AC88" i="25"/>
  <c r="AD88" i="25" s="1"/>
  <c r="G88" i="25"/>
  <c r="B88" i="25"/>
  <c r="J88" i="25"/>
  <c r="AL88" i="25" s="1"/>
  <c r="AU90" i="25"/>
  <c r="U70" i="25" a="1"/>
  <c r="U70" i="25" s="1"/>
  <c r="U69" i="25" a="1"/>
  <c r="U69" i="25" s="1"/>
  <c r="BD35" i="25"/>
  <c r="AY35" i="25"/>
  <c r="BA35" i="25" s="1"/>
  <c r="BB35" i="25" s="1"/>
  <c r="AD56" i="25"/>
  <c r="AL45" i="25" a="1"/>
  <c r="AL45" i="25" s="1"/>
  <c r="AT67" i="25"/>
  <c r="B61" i="25"/>
  <c r="AK61" i="25" s="1"/>
  <c r="AL42" i="25"/>
  <c r="AS42" i="25"/>
  <c r="AK42" i="25"/>
  <c r="AG42" i="25"/>
  <c r="AV42" i="25"/>
  <c r="AQ42" i="25"/>
  <c r="AH42" i="25"/>
  <c r="AX42" i="25"/>
  <c r="AU42" i="25"/>
  <c r="AW42" i="25"/>
  <c r="AW45" i="25" s="1" a="1"/>
  <c r="AW45" i="25" s="1"/>
  <c r="AJ42" i="25"/>
  <c r="AR42" i="25"/>
  <c r="AR45" i="25" s="1" a="1"/>
  <c r="AR45" i="25" s="1"/>
  <c r="AM42" i="25"/>
  <c r="AO42" i="25"/>
  <c r="AI42" i="25"/>
  <c r="AT42" i="25"/>
  <c r="AP42" i="25"/>
  <c r="AN42" i="25"/>
  <c r="Q28" i="10"/>
  <c r="Q29" i="10"/>
  <c r="F26" i="13"/>
  <c r="F25" i="13"/>
  <c r="F30" i="13" s="1"/>
  <c r="F76" i="1"/>
  <c r="C11" i="13"/>
  <c r="AB8" i="13"/>
  <c r="AB11" i="13"/>
  <c r="AN89" i="25"/>
  <c r="BF32" i="25"/>
  <c r="W28" i="11"/>
  <c r="W29" i="11"/>
  <c r="C17" i="13"/>
  <c r="B60" i="25" s="1"/>
  <c r="AM60" i="25" s="1"/>
  <c r="AB14" i="13"/>
  <c r="AB17" i="13"/>
  <c r="AH78" i="25"/>
  <c r="BH78" i="25" s="1"/>
  <c r="AV59" i="25"/>
  <c r="X64" i="25"/>
  <c r="AP64" i="25"/>
  <c r="AZ64" i="25" s="1"/>
  <c r="C17" i="12"/>
  <c r="B58" i="25" s="1"/>
  <c r="AQ58" i="25" s="1"/>
  <c r="AB14" i="12"/>
  <c r="B57" i="25"/>
  <c r="AD57" i="25"/>
  <c r="AN45" i="25" a="1"/>
  <c r="AN45" i="25" s="1"/>
  <c r="L26" i="13"/>
  <c r="L25" i="13"/>
  <c r="X67" i="25"/>
  <c r="Y67" i="25" s="1"/>
  <c r="AP67" i="25"/>
  <c r="AZ67" i="25" s="1"/>
  <c r="AD61" i="25"/>
  <c r="D11" i="8"/>
  <c r="AB11" i="8"/>
  <c r="Q28" i="13"/>
  <c r="Q29" i="13"/>
  <c r="AR89" i="25"/>
  <c r="D14" i="15"/>
  <c r="C14" i="19"/>
  <c r="AB14" i="15"/>
  <c r="AB14" i="19" s="1"/>
  <c r="BF29" i="25"/>
  <c r="R20" i="11"/>
  <c r="S20" i="11" s="1"/>
  <c r="T20" i="11" s="1"/>
  <c r="U20" i="11" s="1"/>
  <c r="V20" i="11" s="1"/>
  <c r="W20" i="11" s="1"/>
  <c r="X20" i="11" s="1"/>
  <c r="Y20" i="11" s="1"/>
  <c r="Z20" i="11" s="1"/>
  <c r="R24" i="11"/>
  <c r="R27" i="11"/>
  <c r="AX56" i="25"/>
  <c r="X56" i="25"/>
  <c r="AP56" i="25"/>
  <c r="AZ56" i="25" s="1"/>
  <c r="AR56" i="25"/>
  <c r="AD65" i="25"/>
  <c r="V25" i="11"/>
  <c r="V26" i="11"/>
  <c r="AK67" i="25"/>
  <c r="AS67" i="25"/>
  <c r="AR67" i="25"/>
  <c r="AV61" i="25"/>
  <c r="X61" i="25"/>
  <c r="Y61" i="25" s="1"/>
  <c r="C17" i="19"/>
  <c r="D17" i="15"/>
  <c r="AB17" i="15"/>
  <c r="AB17" i="19" s="1"/>
  <c r="U24" i="12"/>
  <c r="U27" i="12"/>
  <c r="AK92" i="25"/>
  <c r="AH92" i="25"/>
  <c r="AW60" i="25"/>
  <c r="U84" i="25"/>
  <c r="AW84" i="25" s="1"/>
  <c r="M84" i="25"/>
  <c r="AO84" i="25" s="1"/>
  <c r="E84" i="25"/>
  <c r="N84" i="25"/>
  <c r="B84" i="25"/>
  <c r="V84" i="25"/>
  <c r="L84" i="25"/>
  <c r="AN84" i="25" s="1"/>
  <c r="AC84" i="25"/>
  <c r="AD84" i="25" s="1"/>
  <c r="S84" i="25"/>
  <c r="AU84" i="25" s="1"/>
  <c r="J84" i="25"/>
  <c r="AL84" i="25" s="1"/>
  <c r="T84" i="25"/>
  <c r="AV84" i="25" s="1"/>
  <c r="G84" i="25"/>
  <c r="AI84" i="25" s="1"/>
  <c r="R84" i="25"/>
  <c r="AT84" i="25" s="1"/>
  <c r="F84" i="25"/>
  <c r="AH84" i="25" s="1"/>
  <c r="I84" i="25"/>
  <c r="AK84" i="25" s="1"/>
  <c r="H84" i="25"/>
  <c r="AJ84" i="25" s="1"/>
  <c r="O84" i="25"/>
  <c r="AQ84" i="25" s="1"/>
  <c r="Q84" i="25"/>
  <c r="AS84" i="25" s="1"/>
  <c r="P84" i="25"/>
  <c r="AR84" i="25" s="1"/>
  <c r="K84" i="25"/>
  <c r="AM84" i="25" s="1"/>
  <c r="K29" i="12"/>
  <c r="K28" i="12"/>
  <c r="BD29" i="25"/>
  <c r="AY29" i="25"/>
  <c r="BA29" i="25"/>
  <c r="BE29" i="25"/>
  <c r="L10" i="27" s="1"/>
  <c r="G26" i="13"/>
  <c r="G25" i="13"/>
  <c r="C14" i="18"/>
  <c r="D14" i="14"/>
  <c r="AB14" i="14"/>
  <c r="AB14" i="18" s="1"/>
  <c r="AH89" i="25"/>
  <c r="AT89" i="25"/>
  <c r="W89" i="25"/>
  <c r="Y89" i="25" s="1"/>
  <c r="AG89" i="25"/>
  <c r="Y28" i="13"/>
  <c r="Y29" i="13"/>
  <c r="BI39" i="25"/>
  <c r="BF39" i="25"/>
  <c r="BG39" i="25"/>
  <c r="C26" i="18"/>
  <c r="D14" i="16"/>
  <c r="AB14" i="16"/>
  <c r="AB26" i="18" s="1"/>
  <c r="E33" i="19"/>
  <c r="C27" i="22" s="1"/>
  <c r="N4" i="19"/>
  <c r="AA4" i="19" s="1"/>
  <c r="AT43" i="25"/>
  <c r="Q28" i="11"/>
  <c r="Q29" i="11"/>
  <c r="V24" i="10"/>
  <c r="V20" i="10"/>
  <c r="W20" i="10" s="1"/>
  <c r="X20" i="10" s="1"/>
  <c r="Y20" i="10" s="1"/>
  <c r="Z20" i="10" s="1"/>
  <c r="V27" i="10"/>
  <c r="AH63" i="25"/>
  <c r="AU63" i="25"/>
  <c r="AV63" i="25"/>
  <c r="BD34" i="25"/>
  <c r="AY34" i="25"/>
  <c r="BA34" i="25" s="1"/>
  <c r="BB34" i="25" s="1"/>
  <c r="H27" i="12"/>
  <c r="H24" i="12"/>
  <c r="H19" i="12"/>
  <c r="I19" i="12" s="1"/>
  <c r="J19" i="12" s="1"/>
  <c r="K19" i="12" s="1"/>
  <c r="L19" i="12" s="1"/>
  <c r="M19" i="12" s="1"/>
  <c r="AK43" i="25"/>
  <c r="AY43" i="25" s="1"/>
  <c r="AZ39" i="25"/>
  <c r="R25" i="13"/>
  <c r="R26" i="13"/>
  <c r="Y25" i="12"/>
  <c r="Y30" i="12" s="1"/>
  <c r="Y26" i="12"/>
  <c r="AI43" i="25"/>
  <c r="AL78" i="25"/>
  <c r="Z4" i="21"/>
  <c r="B6" i="25"/>
  <c r="C14" i="5"/>
  <c r="AD6" i="25"/>
  <c r="K4" i="21"/>
  <c r="AD16" i="25"/>
  <c r="C8" i="3"/>
  <c r="B16" i="25"/>
  <c r="AM62" i="25"/>
  <c r="AR62" i="25"/>
  <c r="AL59" i="25"/>
  <c r="AR59" i="25"/>
  <c r="AT64" i="25"/>
  <c r="AL64" i="25"/>
  <c r="AM90" i="25"/>
  <c r="AH90" i="25"/>
  <c r="W58" i="25"/>
  <c r="Y58" i="25"/>
  <c r="AO58" i="25"/>
  <c r="O70" i="25" a="1"/>
  <c r="O70" i="25" s="1"/>
  <c r="O69" i="25" a="1"/>
  <c r="O69" i="25" s="1"/>
  <c r="AQ53" i="25"/>
  <c r="M69" i="25" a="1"/>
  <c r="M69" i="25" s="1"/>
  <c r="M70" i="25" a="1"/>
  <c r="M70" i="25" s="1"/>
  <c r="C17" i="18"/>
  <c r="D17" i="14"/>
  <c r="AB17" i="14"/>
  <c r="AB17" i="18" s="1"/>
  <c r="G26" i="10"/>
  <c r="G25" i="10"/>
  <c r="G30" i="10" s="1"/>
  <c r="I24" i="10"/>
  <c r="I27" i="10"/>
  <c r="I19" i="10"/>
  <c r="J19" i="10" s="1"/>
  <c r="Z5" i="25"/>
  <c r="B10" i="27" s="1"/>
  <c r="N19" i="12" l="1"/>
  <c r="Q19" i="12"/>
  <c r="R19" i="12" s="1"/>
  <c r="S19" i="12" s="1"/>
  <c r="T19" i="12" s="1"/>
  <c r="U19" i="12" s="1"/>
  <c r="V19" i="12" s="1"/>
  <c r="W19" i="12" s="1"/>
  <c r="X19" i="12" s="1"/>
  <c r="Y19" i="12" s="1"/>
  <c r="Z19" i="12" s="1"/>
  <c r="AB19" i="12" s="1"/>
  <c r="AA90" i="25"/>
  <c r="Z90" i="25"/>
  <c r="T20" i="27" s="1"/>
  <c r="Z60" i="25"/>
  <c r="N8" i="27" s="1"/>
  <c r="AA60" i="25"/>
  <c r="AA67" i="25"/>
  <c r="Z67" i="25"/>
  <c r="N22" i="27" s="1"/>
  <c r="Z56" i="25"/>
  <c r="N12" i="27" s="1"/>
  <c r="AA56" i="25"/>
  <c r="AA78" i="25"/>
  <c r="Z78" i="25"/>
  <c r="T11" i="27" s="1"/>
  <c r="BG84" i="25"/>
  <c r="Z59" i="25"/>
  <c r="N6" i="27" s="1"/>
  <c r="AA59" i="25"/>
  <c r="AA79" i="25"/>
  <c r="Z79" i="25"/>
  <c r="T13" i="27" s="1"/>
  <c r="AA89" i="25"/>
  <c r="Z89" i="25"/>
  <c r="T18" i="27" s="1"/>
  <c r="AA61" i="25"/>
  <c r="Z61" i="25"/>
  <c r="N23" i="27" s="1"/>
  <c r="AA64" i="25"/>
  <c r="Z64" i="25"/>
  <c r="N19" i="27" s="1"/>
  <c r="Y16" i="7"/>
  <c r="Y15" i="7" s="1"/>
  <c r="Q16" i="7"/>
  <c r="Q15" i="7" s="1"/>
  <c r="F16" i="7"/>
  <c r="F15" i="7" s="1"/>
  <c r="X16" i="7"/>
  <c r="X15" i="7" s="1"/>
  <c r="M16" i="7"/>
  <c r="M15" i="7" s="1"/>
  <c r="E16" i="7"/>
  <c r="E15" i="7" s="1"/>
  <c r="V16" i="7"/>
  <c r="V15" i="7" s="1"/>
  <c r="K16" i="7"/>
  <c r="K15" i="7" s="1"/>
  <c r="J16" i="7"/>
  <c r="J15" i="7" s="1"/>
  <c r="I16" i="7"/>
  <c r="I15" i="7" s="1"/>
  <c r="U16" i="7"/>
  <c r="U15" i="7" s="1"/>
  <c r="T16" i="7"/>
  <c r="T15" i="7" s="1"/>
  <c r="W16" i="7"/>
  <c r="W15" i="7" s="1"/>
  <c r="H16" i="7"/>
  <c r="H15" i="7" s="1"/>
  <c r="G16" i="7"/>
  <c r="G15" i="7" s="1"/>
  <c r="R16" i="7"/>
  <c r="R15" i="7" s="1"/>
  <c r="L16" i="7"/>
  <c r="L15" i="7" s="1"/>
  <c r="S16" i="7"/>
  <c r="S15" i="7" s="1"/>
  <c r="BB32" i="25"/>
  <c r="AX91" i="25"/>
  <c r="BE42" i="25"/>
  <c r="L20" i="27" s="1"/>
  <c r="BD42" i="25"/>
  <c r="AY42" i="25"/>
  <c r="E30" i="13"/>
  <c r="N19" i="10"/>
  <c r="Q19" i="10"/>
  <c r="AI12" i="25"/>
  <c r="AU12" i="25"/>
  <c r="AO12" i="25"/>
  <c r="AJ12" i="25"/>
  <c r="AL12" i="25"/>
  <c r="AH12" i="25"/>
  <c r="AP12" i="25"/>
  <c r="AX12" i="25"/>
  <c r="AG12" i="25"/>
  <c r="AK12" i="25"/>
  <c r="AT12" i="25"/>
  <c r="AW12" i="25"/>
  <c r="AR12" i="25"/>
  <c r="AV12" i="25"/>
  <c r="AQ12" i="25"/>
  <c r="AM12" i="25"/>
  <c r="AS12" i="25"/>
  <c r="AS21" i="25" s="1" a="1"/>
  <c r="AS21" i="25" s="1"/>
  <c r="AN12" i="25"/>
  <c r="Z12" i="25"/>
  <c r="B8" i="27" s="1"/>
  <c r="AX87" i="25"/>
  <c r="AZ89" i="25"/>
  <c r="AW7" i="25"/>
  <c r="AK7" i="25"/>
  <c r="AI7" i="25"/>
  <c r="AN7" i="25"/>
  <c r="AQ7" i="25"/>
  <c r="AR7" i="25"/>
  <c r="AH7" i="25"/>
  <c r="AV7" i="25"/>
  <c r="AM7" i="25"/>
  <c r="AU7" i="25"/>
  <c r="AL7" i="25"/>
  <c r="AG7" i="25"/>
  <c r="AT7" i="25"/>
  <c r="AS7" i="25"/>
  <c r="AP7" i="25"/>
  <c r="AJ7" i="25"/>
  <c r="AX7" i="25"/>
  <c r="AO7" i="25"/>
  <c r="AO21" i="25" s="1" a="1"/>
  <c r="AO21" i="25" s="1"/>
  <c r="Z7" i="25"/>
  <c r="B13" i="27" s="1"/>
  <c r="I29" i="11"/>
  <c r="I28" i="11"/>
  <c r="AX86" i="25"/>
  <c r="Q93" i="25" a="1"/>
  <c r="Q93" i="25" s="1"/>
  <c r="Q94" i="25" a="1"/>
  <c r="Q94" i="25" s="1"/>
  <c r="AS77" i="25"/>
  <c r="E94" i="25" a="1"/>
  <c r="E94" i="25" s="1"/>
  <c r="E93" i="25" a="1"/>
  <c r="E93" i="25" s="1"/>
  <c r="AG77" i="25"/>
  <c r="W77" i="25"/>
  <c r="Y77" i="25" s="1"/>
  <c r="AY64" i="25"/>
  <c r="BD18" i="25"/>
  <c r="AY18" i="25"/>
  <c r="D17" i="4"/>
  <c r="AB17" i="4"/>
  <c r="BD5" i="25"/>
  <c r="AY5" i="25"/>
  <c r="BA5" i="25" s="1"/>
  <c r="BB5" i="25" s="1"/>
  <c r="G25" i="11"/>
  <c r="N25" i="11" s="1"/>
  <c r="G26" i="11"/>
  <c r="N26" i="11" s="1"/>
  <c r="BD31" i="25"/>
  <c r="AY31" i="25"/>
  <c r="BA31" i="25" s="1"/>
  <c r="BB31" i="25" s="1"/>
  <c r="BE31" i="25"/>
  <c r="L13" i="27" s="1"/>
  <c r="BD92" i="25"/>
  <c r="AY92" i="25"/>
  <c r="BA92" i="25" s="1"/>
  <c r="BB92" i="25" s="1"/>
  <c r="S28" i="12"/>
  <c r="S29" i="12"/>
  <c r="BJ78" i="25"/>
  <c r="BF79" i="25"/>
  <c r="BH92" i="25"/>
  <c r="D14" i="4"/>
  <c r="BH44" i="25"/>
  <c r="BF44" i="25"/>
  <c r="BI44" i="25"/>
  <c r="BJ44" i="25"/>
  <c r="BG44" i="25"/>
  <c r="S30" i="10"/>
  <c r="BI41" i="25"/>
  <c r="BF41" i="25"/>
  <c r="BH41" i="25"/>
  <c r="BJ41" i="25"/>
  <c r="BG41" i="25"/>
  <c r="AP16" i="25"/>
  <c r="AJ16" i="25"/>
  <c r="AM16" i="25"/>
  <c r="AS16" i="25"/>
  <c r="AR16" i="25"/>
  <c r="AU16" i="25"/>
  <c r="AO16" i="25"/>
  <c r="AQ16" i="25"/>
  <c r="AI16" i="25"/>
  <c r="AH16" i="25"/>
  <c r="AW16" i="25"/>
  <c r="AK16" i="25"/>
  <c r="AL16" i="25"/>
  <c r="AT16" i="25"/>
  <c r="AN16" i="25"/>
  <c r="AX16" i="25"/>
  <c r="AV16" i="25"/>
  <c r="AG16" i="25"/>
  <c r="Z16" i="25"/>
  <c r="B19" i="27" s="1"/>
  <c r="Z19" i="27" s="1"/>
  <c r="BB29" i="25"/>
  <c r="W84" i="25"/>
  <c r="AG84" i="25"/>
  <c r="Y84" i="25"/>
  <c r="AA84" i="25" s="1"/>
  <c r="AW61" i="25"/>
  <c r="U10" i="8"/>
  <c r="U9" i="8" s="1"/>
  <c r="J10" i="8"/>
  <c r="J9" i="8" s="1"/>
  <c r="T10" i="8"/>
  <c r="T9" i="8" s="1"/>
  <c r="I10" i="8"/>
  <c r="I9" i="8" s="1"/>
  <c r="R10" i="8"/>
  <c r="R9" i="8" s="1"/>
  <c r="G10" i="8"/>
  <c r="G9" i="8" s="1"/>
  <c r="V10" i="8"/>
  <c r="V9" i="8" s="1"/>
  <c r="E10" i="8"/>
  <c r="E9" i="8" s="1"/>
  <c r="S10" i="8"/>
  <c r="S9" i="8" s="1"/>
  <c r="M10" i="8"/>
  <c r="M9" i="8" s="1"/>
  <c r="Q10" i="8"/>
  <c r="Q9" i="8" s="1"/>
  <c r="L10" i="8"/>
  <c r="L9" i="8" s="1"/>
  <c r="F10" i="8"/>
  <c r="F9" i="8" s="1"/>
  <c r="X10" i="8"/>
  <c r="X9" i="8" s="1"/>
  <c r="W10" i="8"/>
  <c r="W9" i="8" s="1"/>
  <c r="H10" i="8"/>
  <c r="H9" i="8" s="1"/>
  <c r="Y10" i="8"/>
  <c r="Y9" i="8" s="1"/>
  <c r="K10" i="8"/>
  <c r="K9" i="8" s="1"/>
  <c r="AN58" i="25"/>
  <c r="BG42" i="25"/>
  <c r="BH42" i="25"/>
  <c r="BI42" i="25"/>
  <c r="BF42" i="25"/>
  <c r="BJ42" i="25"/>
  <c r="AW53" i="25"/>
  <c r="AM88" i="25"/>
  <c r="AQ88" i="25"/>
  <c r="AW88" i="25"/>
  <c r="AM58" i="25"/>
  <c r="AY59" i="25"/>
  <c r="BD59" i="25"/>
  <c r="BA59" i="25"/>
  <c r="K25" i="10"/>
  <c r="K26" i="10"/>
  <c r="BE39" i="25"/>
  <c r="L16" i="27" s="1"/>
  <c r="AW58" i="25"/>
  <c r="D17" i="3"/>
  <c r="AB17" i="3"/>
  <c r="AR60" i="25"/>
  <c r="AJ87" i="25"/>
  <c r="AI87" i="25"/>
  <c r="AO87" i="25"/>
  <c r="M30" i="10"/>
  <c r="AL58" i="25"/>
  <c r="X82" i="25"/>
  <c r="AP82" i="25"/>
  <c r="M25" i="12"/>
  <c r="M26" i="12"/>
  <c r="AP60" i="25"/>
  <c r="AZ60" i="25" s="1"/>
  <c r="N19" i="11"/>
  <c r="J68" i="1" s="1"/>
  <c r="G68" i="1" s="1"/>
  <c r="Q19" i="11"/>
  <c r="R19" i="11" s="1"/>
  <c r="S19" i="11" s="1"/>
  <c r="T19" i="11" s="1"/>
  <c r="U19" i="11" s="1"/>
  <c r="V19" i="11" s="1"/>
  <c r="W19" i="11" s="1"/>
  <c r="X19" i="11" s="1"/>
  <c r="Y19" i="11" s="1"/>
  <c r="Z19" i="11" s="1"/>
  <c r="AB19" i="11" s="1"/>
  <c r="AX53" i="25"/>
  <c r="AG86" i="25"/>
  <c r="W86" i="25"/>
  <c r="K30" i="12"/>
  <c r="W16" i="6"/>
  <c r="W15" i="6" s="1"/>
  <c r="L16" i="6"/>
  <c r="L15" i="6" s="1"/>
  <c r="H16" i="6"/>
  <c r="H15" i="6" s="1"/>
  <c r="V16" i="6"/>
  <c r="V15" i="6" s="1"/>
  <c r="K16" i="6"/>
  <c r="K15" i="6" s="1"/>
  <c r="T16" i="6"/>
  <c r="T15" i="6" s="1"/>
  <c r="U16" i="6"/>
  <c r="U15" i="6" s="1"/>
  <c r="J16" i="6"/>
  <c r="J15" i="6" s="1"/>
  <c r="I16" i="6"/>
  <c r="I15" i="6" s="1"/>
  <c r="S16" i="6"/>
  <c r="S15" i="6" s="1"/>
  <c r="F16" i="6"/>
  <c r="F15" i="6" s="1"/>
  <c r="E16" i="6"/>
  <c r="E15" i="6" s="1"/>
  <c r="R16" i="6"/>
  <c r="R15" i="6" s="1"/>
  <c r="Q16" i="6"/>
  <c r="Q15" i="6" s="1"/>
  <c r="Y16" i="6"/>
  <c r="Y15" i="6" s="1"/>
  <c r="G16" i="6"/>
  <c r="G15" i="6" s="1"/>
  <c r="X16" i="6"/>
  <c r="X15" i="6" s="1"/>
  <c r="M16" i="6"/>
  <c r="M15" i="6" s="1"/>
  <c r="AR53" i="25"/>
  <c r="H94" i="25" a="1"/>
  <c r="H94" i="25" s="1"/>
  <c r="H93" i="25" a="1"/>
  <c r="H93" i="25" s="1"/>
  <c r="AJ77" i="25"/>
  <c r="M94" i="25" a="1"/>
  <c r="M94" i="25" s="1"/>
  <c r="M93" i="25" a="1"/>
  <c r="M93" i="25" s="1"/>
  <c r="AO77" i="25"/>
  <c r="AK64" i="25"/>
  <c r="AZ20" i="25"/>
  <c r="AZ43" i="25"/>
  <c r="Y30" i="13"/>
  <c r="R10" i="15"/>
  <c r="G10" i="15"/>
  <c r="D11" i="19"/>
  <c r="U10" i="15"/>
  <c r="I10" i="15"/>
  <c r="S10" i="15"/>
  <c r="F10" i="15"/>
  <c r="Q10" i="15"/>
  <c r="E10" i="15"/>
  <c r="V10" i="15"/>
  <c r="T10" i="15"/>
  <c r="L10" i="15"/>
  <c r="K10" i="15"/>
  <c r="H10" i="15"/>
  <c r="Y10" i="15"/>
  <c r="X10" i="15"/>
  <c r="M10" i="15"/>
  <c r="J10" i="15"/>
  <c r="W10" i="15"/>
  <c r="AZ31" i="25"/>
  <c r="BI84" i="25"/>
  <c r="BG79" i="25"/>
  <c r="BF89" i="25"/>
  <c r="BI92" i="25"/>
  <c r="AL53" i="25"/>
  <c r="BD90" i="25"/>
  <c r="AY90" i="25"/>
  <c r="BA90" i="25" s="1"/>
  <c r="BB90" i="25" s="1"/>
  <c r="S7" i="14"/>
  <c r="H7" i="14"/>
  <c r="D8" i="18"/>
  <c r="Y7" i="14"/>
  <c r="Q7" i="14"/>
  <c r="F7" i="14"/>
  <c r="X7" i="14"/>
  <c r="M7" i="14"/>
  <c r="E7" i="14"/>
  <c r="R7" i="14"/>
  <c r="L7" i="14"/>
  <c r="J7" i="14"/>
  <c r="W7" i="14"/>
  <c r="I7" i="14"/>
  <c r="V7" i="14"/>
  <c r="G7" i="14"/>
  <c r="U7" i="14"/>
  <c r="T7" i="14"/>
  <c r="K7" i="14"/>
  <c r="I30" i="12"/>
  <c r="AZ44" i="25"/>
  <c r="AU61" i="25"/>
  <c r="R30" i="10"/>
  <c r="AO64" i="25"/>
  <c r="BA64" i="25" s="1"/>
  <c r="BB64" i="25" s="1"/>
  <c r="AQ61" i="25"/>
  <c r="BF33" i="25"/>
  <c r="BH33" i="25"/>
  <c r="BG33" i="25"/>
  <c r="BI33" i="25"/>
  <c r="BJ33" i="25"/>
  <c r="W10" i="16"/>
  <c r="L10" i="16"/>
  <c r="D23" i="18"/>
  <c r="V10" i="16"/>
  <c r="K10" i="16"/>
  <c r="U10" i="16"/>
  <c r="H10" i="16"/>
  <c r="T10" i="16"/>
  <c r="G10" i="16"/>
  <c r="S10" i="16"/>
  <c r="F10" i="16"/>
  <c r="R10" i="16"/>
  <c r="E10" i="16"/>
  <c r="I10" i="16"/>
  <c r="Y10" i="16"/>
  <c r="X10" i="16"/>
  <c r="Q10" i="16"/>
  <c r="M10" i="16"/>
  <c r="J10" i="16"/>
  <c r="AR83" i="25"/>
  <c r="X83" i="25"/>
  <c r="AP83" i="25"/>
  <c r="D8" i="4"/>
  <c r="AB8" i="4"/>
  <c r="AG60" i="25"/>
  <c r="X91" i="25"/>
  <c r="AP91" i="25"/>
  <c r="BE32" i="25"/>
  <c r="L12" i="27" s="1"/>
  <c r="AT91" i="25"/>
  <c r="AK91" i="25"/>
  <c r="AN91" i="25"/>
  <c r="H64" i="1"/>
  <c r="X13" i="8"/>
  <c r="M13" i="8"/>
  <c r="E13" i="8"/>
  <c r="W13" i="8"/>
  <c r="L13" i="8"/>
  <c r="U13" i="8"/>
  <c r="J13" i="8"/>
  <c r="I13" i="8"/>
  <c r="Y13" i="8"/>
  <c r="H13" i="8"/>
  <c r="T13" i="8"/>
  <c r="V13" i="8"/>
  <c r="G13" i="8"/>
  <c r="F13" i="8"/>
  <c r="S13" i="8"/>
  <c r="R13" i="8"/>
  <c r="K13" i="8"/>
  <c r="Q13" i="8"/>
  <c r="D8" i="3"/>
  <c r="AB8" i="3"/>
  <c r="H25" i="12"/>
  <c r="H26" i="12"/>
  <c r="AG45" i="25" a="1"/>
  <c r="AG45" i="25" s="1"/>
  <c r="BA45" i="25" s="1"/>
  <c r="U28" i="12"/>
  <c r="U29" i="12"/>
  <c r="AQ60" i="25"/>
  <c r="Q30" i="10"/>
  <c r="N29" i="11"/>
  <c r="L28" i="12"/>
  <c r="L29" i="12"/>
  <c r="AL60" i="25"/>
  <c r="W80" i="25"/>
  <c r="Y80" i="25" s="1"/>
  <c r="AG80" i="25"/>
  <c r="AM53" i="25"/>
  <c r="AR87" i="25"/>
  <c r="AW87" i="25"/>
  <c r="AA62" i="25"/>
  <c r="Z62" i="25"/>
  <c r="N21" i="27" s="1"/>
  <c r="W7" i="7"/>
  <c r="L7" i="7"/>
  <c r="U7" i="7"/>
  <c r="J7" i="7"/>
  <c r="T7" i="7"/>
  <c r="G7" i="7"/>
  <c r="Q7" i="7"/>
  <c r="S7" i="7"/>
  <c r="F7" i="7"/>
  <c r="M7" i="7"/>
  <c r="R7" i="7"/>
  <c r="E7" i="7"/>
  <c r="I7" i="7"/>
  <c r="Y7" i="7"/>
  <c r="H7" i="7"/>
  <c r="X7" i="7"/>
  <c r="V7" i="7"/>
  <c r="K7" i="7"/>
  <c r="I25" i="11"/>
  <c r="I30" i="11" s="1"/>
  <c r="I26" i="11"/>
  <c r="B55" i="25"/>
  <c r="AD55" i="25"/>
  <c r="AZ30" i="25"/>
  <c r="BA30" i="25" s="1"/>
  <c r="BB30" i="25" s="1"/>
  <c r="AL61" i="25"/>
  <c r="O94" i="25" a="1"/>
  <c r="O94" i="25" s="1"/>
  <c r="O93" i="25" a="1"/>
  <c r="O93" i="25" s="1"/>
  <c r="AQ77" i="25"/>
  <c r="R94" i="25" a="1"/>
  <c r="R94" i="25" s="1"/>
  <c r="R93" i="25" a="1"/>
  <c r="R93" i="25" s="1"/>
  <c r="AT77" i="25"/>
  <c r="U94" i="25" a="1"/>
  <c r="U94" i="25" s="1"/>
  <c r="U93" i="25" a="1"/>
  <c r="U93" i="25" s="1"/>
  <c r="AW77" i="25"/>
  <c r="AW93" i="25" s="1" a="1"/>
  <c r="AW93" i="25" s="1"/>
  <c r="AS53" i="25"/>
  <c r="BG18" i="25"/>
  <c r="BI18" i="25"/>
  <c r="BF18" i="25"/>
  <c r="BH18" i="25"/>
  <c r="BJ18" i="25"/>
  <c r="AV11" i="25"/>
  <c r="AG11" i="25"/>
  <c r="AJ11" i="25"/>
  <c r="AL11" i="25"/>
  <c r="AK11" i="25"/>
  <c r="AX11" i="25"/>
  <c r="AQ11" i="25"/>
  <c r="AR11" i="25"/>
  <c r="AO11" i="25"/>
  <c r="AP11" i="25"/>
  <c r="AM11" i="25"/>
  <c r="AI11" i="25"/>
  <c r="AU11" i="25"/>
  <c r="AS11" i="25"/>
  <c r="AN11" i="25"/>
  <c r="AH11" i="25"/>
  <c r="AW11" i="25"/>
  <c r="AT11" i="25"/>
  <c r="Z11" i="25"/>
  <c r="B6" i="27" s="1"/>
  <c r="E30" i="11"/>
  <c r="U16" i="16"/>
  <c r="J16" i="16"/>
  <c r="T16" i="16"/>
  <c r="I16" i="16"/>
  <c r="Y16" i="16"/>
  <c r="L16" i="16"/>
  <c r="X16" i="16"/>
  <c r="K16" i="16"/>
  <c r="W16" i="16"/>
  <c r="H16" i="16"/>
  <c r="D29" i="18"/>
  <c r="V16" i="16"/>
  <c r="G16" i="16"/>
  <c r="Q16" i="16"/>
  <c r="M16" i="16"/>
  <c r="E16" i="16"/>
  <c r="F16" i="16"/>
  <c r="S16" i="16"/>
  <c r="R16" i="16"/>
  <c r="R25" i="12"/>
  <c r="R26" i="12"/>
  <c r="BH89" i="25"/>
  <c r="BI89" i="25"/>
  <c r="N29" i="13"/>
  <c r="AY67" i="25"/>
  <c r="BA67" i="25"/>
  <c r="BB67" i="25" s="1"/>
  <c r="BD67" i="25"/>
  <c r="AR58" i="25"/>
  <c r="BI58" i="25" s="1"/>
  <c r="D17" i="18"/>
  <c r="T16" i="14"/>
  <c r="I16" i="14"/>
  <c r="R16" i="14"/>
  <c r="G16" i="14"/>
  <c r="Y16" i="14"/>
  <c r="Q16" i="14"/>
  <c r="F16" i="14"/>
  <c r="S16" i="14"/>
  <c r="M16" i="14"/>
  <c r="K16" i="14"/>
  <c r="X16" i="14"/>
  <c r="J16" i="14"/>
  <c r="H16" i="14"/>
  <c r="E16" i="14"/>
  <c r="W16" i="14"/>
  <c r="U16" i="14"/>
  <c r="V16" i="14"/>
  <c r="L16" i="14"/>
  <c r="AT58" i="25"/>
  <c r="BG58" i="25" s="1"/>
  <c r="H29" i="12"/>
  <c r="H28" i="12"/>
  <c r="Y13" i="14"/>
  <c r="Q13" i="14"/>
  <c r="F13" i="14"/>
  <c r="W13" i="14"/>
  <c r="L13" i="14"/>
  <c r="V13" i="14"/>
  <c r="K13" i="14"/>
  <c r="J13" i="14"/>
  <c r="I13" i="14"/>
  <c r="U13" i="14"/>
  <c r="G13" i="14"/>
  <c r="T13" i="14"/>
  <c r="E13" i="14"/>
  <c r="R13" i="14"/>
  <c r="M13" i="14"/>
  <c r="H13" i="14"/>
  <c r="D14" i="18"/>
  <c r="S13" i="14"/>
  <c r="X13" i="14"/>
  <c r="U26" i="12"/>
  <c r="U25" i="12"/>
  <c r="AL57" i="25"/>
  <c r="AP57" i="25"/>
  <c r="AZ57" i="25" s="1"/>
  <c r="AS57" i="25"/>
  <c r="AW57" i="25"/>
  <c r="AJ57" i="25"/>
  <c r="AT57" i="25"/>
  <c r="AX57" i="25"/>
  <c r="AI57" i="25"/>
  <c r="AR57" i="25"/>
  <c r="AK57" i="25"/>
  <c r="AQ57" i="25"/>
  <c r="AG57" i="25"/>
  <c r="AM57" i="25"/>
  <c r="AU57" i="25"/>
  <c r="AO57" i="25"/>
  <c r="AV57" i="25"/>
  <c r="AN57" i="25"/>
  <c r="AH57" i="25"/>
  <c r="Z57" i="25"/>
  <c r="N7" i="27" s="1"/>
  <c r="B68" i="25"/>
  <c r="AD68" i="25"/>
  <c r="AZ42" i="25"/>
  <c r="BA42" i="25" s="1"/>
  <c r="BB42" i="25" s="1"/>
  <c r="AX58" i="25"/>
  <c r="Z88" i="25"/>
  <c r="T19" i="27" s="1"/>
  <c r="AX88" i="25"/>
  <c r="AJ88" i="25"/>
  <c r="AY56" i="25"/>
  <c r="BD56" i="25"/>
  <c r="BA56" i="25"/>
  <c r="BB56" i="25" s="1"/>
  <c r="D26" i="19"/>
  <c r="S13" i="17"/>
  <c r="H13" i="17"/>
  <c r="R13" i="17"/>
  <c r="G13" i="17"/>
  <c r="T13" i="17"/>
  <c r="E13" i="17"/>
  <c r="Q13" i="17"/>
  <c r="M13" i="17"/>
  <c r="Y13" i="17"/>
  <c r="L13" i="17"/>
  <c r="J13" i="17"/>
  <c r="I13" i="17"/>
  <c r="X13" i="17"/>
  <c r="W13" i="17"/>
  <c r="F13" i="17"/>
  <c r="V13" i="17"/>
  <c r="U13" i="17"/>
  <c r="K13" i="17"/>
  <c r="AO19" i="25"/>
  <c r="AV19" i="25"/>
  <c r="AR19" i="25"/>
  <c r="AN19" i="25"/>
  <c r="AP19" i="25"/>
  <c r="AX19" i="25"/>
  <c r="AK19" i="25"/>
  <c r="AW19" i="25"/>
  <c r="AM19" i="25"/>
  <c r="AL19" i="25"/>
  <c r="AT19" i="25"/>
  <c r="AU19" i="25"/>
  <c r="AQ19" i="25"/>
  <c r="AI19" i="25"/>
  <c r="AS19" i="25"/>
  <c r="AH19" i="25"/>
  <c r="AG19" i="25"/>
  <c r="AJ19" i="25"/>
  <c r="AN61" i="25"/>
  <c r="H30" i="10"/>
  <c r="W7" i="15"/>
  <c r="L7" i="15"/>
  <c r="T7" i="15"/>
  <c r="H7" i="15"/>
  <c r="R7" i="15"/>
  <c r="F7" i="15"/>
  <c r="D8" i="19"/>
  <c r="Q7" i="15"/>
  <c r="E7" i="15"/>
  <c r="X7" i="15"/>
  <c r="G7" i="15"/>
  <c r="V7" i="15"/>
  <c r="S7" i="15"/>
  <c r="M7" i="15"/>
  <c r="U7" i="15"/>
  <c r="Y7" i="15"/>
  <c r="J7" i="15"/>
  <c r="I7" i="15"/>
  <c r="K7" i="15"/>
  <c r="AN60" i="25"/>
  <c r="AG61" i="25"/>
  <c r="AX80" i="25"/>
  <c r="S16" i="8"/>
  <c r="S15" i="8" s="1"/>
  <c r="H16" i="8"/>
  <c r="H15" i="8" s="1"/>
  <c r="R16" i="8"/>
  <c r="R15" i="8" s="1"/>
  <c r="G16" i="8"/>
  <c r="G15" i="8" s="1"/>
  <c r="X16" i="8"/>
  <c r="X15" i="8" s="1"/>
  <c r="M16" i="8"/>
  <c r="M15" i="8" s="1"/>
  <c r="E16" i="8"/>
  <c r="E15" i="8" s="1"/>
  <c r="Q16" i="8"/>
  <c r="Q15" i="8" s="1"/>
  <c r="Y16" i="8"/>
  <c r="Y15" i="8" s="1"/>
  <c r="L16" i="8"/>
  <c r="L15" i="8" s="1"/>
  <c r="W16" i="8"/>
  <c r="W15" i="8" s="1"/>
  <c r="K16" i="8"/>
  <c r="K15" i="8" s="1"/>
  <c r="J16" i="8"/>
  <c r="J15" i="8" s="1"/>
  <c r="I16" i="8"/>
  <c r="I15" i="8" s="1"/>
  <c r="U16" i="8"/>
  <c r="U15" i="8" s="1"/>
  <c r="V16" i="8"/>
  <c r="V15" i="8" s="1"/>
  <c r="T16" i="8"/>
  <c r="T15" i="8" s="1"/>
  <c r="F16" i="8"/>
  <c r="F15" i="8" s="1"/>
  <c r="AJ8" i="25"/>
  <c r="AJ21" i="25" s="1" a="1"/>
  <c r="AJ21" i="25" s="1"/>
  <c r="AP8" i="25"/>
  <c r="AI8" i="25"/>
  <c r="AN8" i="25"/>
  <c r="AV8" i="25"/>
  <c r="AQ8" i="25"/>
  <c r="AX8" i="25"/>
  <c r="AG8" i="25"/>
  <c r="AR8" i="25"/>
  <c r="AR21" i="25" s="1" a="1"/>
  <c r="AR21" i="25" s="1"/>
  <c r="AO8" i="25"/>
  <c r="AW8" i="25"/>
  <c r="AS8" i="25"/>
  <c r="AK8" i="25"/>
  <c r="AT8" i="25"/>
  <c r="AH8" i="25"/>
  <c r="AL8" i="25"/>
  <c r="AM8" i="25"/>
  <c r="AU8" i="25"/>
  <c r="Z8" i="25"/>
  <c r="B12" i="27" s="1"/>
  <c r="Z12" i="27" s="1"/>
  <c r="U30" i="10"/>
  <c r="V13" i="7"/>
  <c r="K13" i="7"/>
  <c r="U13" i="7"/>
  <c r="J13" i="7"/>
  <c r="S13" i="7"/>
  <c r="H13" i="7"/>
  <c r="W13" i="7"/>
  <c r="F13" i="7"/>
  <c r="T13" i="7"/>
  <c r="E13" i="7"/>
  <c r="Q13" i="7"/>
  <c r="R13" i="7"/>
  <c r="M13" i="7"/>
  <c r="Y13" i="7"/>
  <c r="X13" i="7"/>
  <c r="G13" i="7"/>
  <c r="L13" i="7"/>
  <c r="I13" i="7"/>
  <c r="AH87" i="25"/>
  <c r="AK87" i="25"/>
  <c r="AM82" i="25"/>
  <c r="AS82" i="25"/>
  <c r="AR82" i="25"/>
  <c r="AY62" i="25"/>
  <c r="BH36" i="25"/>
  <c r="BF36" i="25"/>
  <c r="BJ36" i="25"/>
  <c r="BI36" i="25"/>
  <c r="BG36" i="25"/>
  <c r="M28" i="12"/>
  <c r="M29" i="12"/>
  <c r="AD58" i="25"/>
  <c r="N19" i="13"/>
  <c r="J76" i="1" s="1"/>
  <c r="Q19" i="13"/>
  <c r="R19" i="13" s="1"/>
  <c r="S19" i="13" s="1"/>
  <c r="T19" i="13" s="1"/>
  <c r="U19" i="13" s="1"/>
  <c r="V19" i="13" s="1"/>
  <c r="W19" i="13" s="1"/>
  <c r="X19" i="13" s="1"/>
  <c r="Y19" i="13" s="1"/>
  <c r="Z19" i="13" s="1"/>
  <c r="AB19" i="13" s="1"/>
  <c r="AJ58" i="25"/>
  <c r="T29" i="12"/>
  <c r="T28" i="12"/>
  <c r="I94" i="25" a="1"/>
  <c r="I94" i="25" s="1"/>
  <c r="I93" i="25" a="1"/>
  <c r="I93" i="25" s="1"/>
  <c r="AK77" i="25"/>
  <c r="F94" i="25" a="1"/>
  <c r="F94" i="25" s="1"/>
  <c r="F93" i="25" a="1"/>
  <c r="F93" i="25" s="1"/>
  <c r="AH77" i="25"/>
  <c r="AZ18" i="25"/>
  <c r="BA18" i="25" s="1"/>
  <c r="BB18" i="25" s="1"/>
  <c r="D17" i="2"/>
  <c r="AB17" i="2"/>
  <c r="Z92" i="25"/>
  <c r="T17" i="27" s="1"/>
  <c r="X26" i="12"/>
  <c r="X25" i="12"/>
  <c r="AX61" i="25"/>
  <c r="BH90" i="25"/>
  <c r="BJ90" i="25"/>
  <c r="BJ92" i="25"/>
  <c r="T29" i="11"/>
  <c r="T28" i="11"/>
  <c r="D72" i="1"/>
  <c r="J72" i="1"/>
  <c r="C72" i="1"/>
  <c r="B72" i="1"/>
  <c r="E72" i="1" s="1"/>
  <c r="H72" i="1"/>
  <c r="G72" i="1" s="1"/>
  <c r="I72" i="1"/>
  <c r="AW62" i="25"/>
  <c r="AK83" i="25"/>
  <c r="AJ83" i="25"/>
  <c r="AQ83" i="25"/>
  <c r="AU14" i="25"/>
  <c r="AK14" i="25"/>
  <c r="AW14" i="25"/>
  <c r="AJ14" i="25"/>
  <c r="AP14" i="25"/>
  <c r="AQ14" i="25"/>
  <c r="AH14" i="25"/>
  <c r="AN14" i="25"/>
  <c r="AX14" i="25"/>
  <c r="AL14" i="25"/>
  <c r="AS14" i="25"/>
  <c r="AM14" i="25"/>
  <c r="AV14" i="25"/>
  <c r="AI14" i="25"/>
  <c r="AT14" i="25"/>
  <c r="AG14" i="25"/>
  <c r="AR14" i="25"/>
  <c r="AO14" i="25"/>
  <c r="Z14" i="25"/>
  <c r="B21" i="27" s="1"/>
  <c r="AG91" i="25"/>
  <c r="W91" i="25"/>
  <c r="Y91" i="25" s="1"/>
  <c r="AW91" i="25"/>
  <c r="AV91" i="25"/>
  <c r="J64" i="1"/>
  <c r="D11" i="4"/>
  <c r="AN82" i="25"/>
  <c r="AG82" i="25"/>
  <c r="W82" i="25"/>
  <c r="Y82" i="25" s="1"/>
  <c r="AW82" i="25"/>
  <c r="AI64" i="25"/>
  <c r="AV65" i="25"/>
  <c r="AP65" i="25"/>
  <c r="AZ65" i="25" s="1"/>
  <c r="AW65" i="25"/>
  <c r="AN65" i="25"/>
  <c r="AL65" i="25"/>
  <c r="AQ65" i="25"/>
  <c r="AS65" i="25"/>
  <c r="AM65" i="25"/>
  <c r="AK65" i="25"/>
  <c r="AX65" i="25"/>
  <c r="AU65" i="25"/>
  <c r="AH65" i="25"/>
  <c r="AR65" i="25"/>
  <c r="AT65" i="25"/>
  <c r="AJ65" i="25"/>
  <c r="AO65" i="25"/>
  <c r="AG65" i="25"/>
  <c r="AI65" i="25"/>
  <c r="I28" i="13"/>
  <c r="N28" i="13" s="1"/>
  <c r="I29" i="13"/>
  <c r="AZ90" i="25"/>
  <c r="AL86" i="25"/>
  <c r="D8" i="5"/>
  <c r="AB8" i="5"/>
  <c r="BJ30" i="25"/>
  <c r="BG30" i="25"/>
  <c r="BH30" i="25"/>
  <c r="BI30" i="25"/>
  <c r="BF30" i="25"/>
  <c r="BF45" i="25" s="1"/>
  <c r="K94" i="25" a="1"/>
  <c r="K94" i="25" s="1"/>
  <c r="K93" i="25" a="1"/>
  <c r="K93" i="25" s="1"/>
  <c r="AM77" i="25"/>
  <c r="S94" i="25" a="1"/>
  <c r="S94" i="25" s="1"/>
  <c r="S93" i="25" a="1"/>
  <c r="S93" i="25" s="1"/>
  <c r="AU77" i="25"/>
  <c r="N94" i="25" a="1"/>
  <c r="N94" i="25" s="1"/>
  <c r="N93" i="25" a="1"/>
  <c r="N93" i="25" s="1"/>
  <c r="X77" i="25"/>
  <c r="AP77" i="25"/>
  <c r="AS58" i="25"/>
  <c r="R13" i="9"/>
  <c r="G13" i="9"/>
  <c r="Y13" i="9"/>
  <c r="Q13" i="9"/>
  <c r="F13" i="9"/>
  <c r="W13" i="9"/>
  <c r="L13" i="9"/>
  <c r="K13" i="9"/>
  <c r="E13" i="9"/>
  <c r="J13" i="9"/>
  <c r="X13" i="9"/>
  <c r="I13" i="9"/>
  <c r="V13" i="9"/>
  <c r="H13" i="9"/>
  <c r="U13" i="9"/>
  <c r="T13" i="9"/>
  <c r="S13" i="9"/>
  <c r="M13" i="9"/>
  <c r="AW9" i="25"/>
  <c r="AH9" i="25"/>
  <c r="AI9" i="25"/>
  <c r="AQ9" i="25"/>
  <c r="AR9" i="25"/>
  <c r="AV9" i="25"/>
  <c r="AL9" i="25"/>
  <c r="AN9" i="25"/>
  <c r="AU9" i="25"/>
  <c r="AT9" i="25"/>
  <c r="AK9" i="25"/>
  <c r="AO9" i="25"/>
  <c r="AG9" i="25"/>
  <c r="AJ9" i="25"/>
  <c r="AX9" i="25"/>
  <c r="AX21" i="25" s="1" a="1"/>
  <c r="AX21" i="25" s="1"/>
  <c r="AS9" i="25"/>
  <c r="AM9" i="25"/>
  <c r="AP9" i="25"/>
  <c r="Z9" i="25"/>
  <c r="B7" i="27" s="1"/>
  <c r="Z7" i="27" s="1"/>
  <c r="BG31" i="25"/>
  <c r="BJ31" i="25"/>
  <c r="BF31" i="25"/>
  <c r="BH31" i="25"/>
  <c r="BI31" i="25"/>
  <c r="AJ60" i="25"/>
  <c r="X28" i="12"/>
  <c r="X29" i="12"/>
  <c r="AH61" i="25"/>
  <c r="R29" i="12"/>
  <c r="R28" i="12"/>
  <c r="BG89" i="25"/>
  <c r="BF90" i="25"/>
  <c r="AI60" i="25"/>
  <c r="BJ56" i="25"/>
  <c r="BF56" i="25"/>
  <c r="BH56" i="25"/>
  <c r="BI56" i="25"/>
  <c r="BG56" i="25"/>
  <c r="AK62" i="25"/>
  <c r="BG63" i="25"/>
  <c r="BF63" i="25"/>
  <c r="BJ63" i="25"/>
  <c r="BH63" i="25"/>
  <c r="BI63" i="25"/>
  <c r="AP85" i="25"/>
  <c r="X85" i="25"/>
  <c r="AN85" i="25"/>
  <c r="AP53" i="25"/>
  <c r="AZ53" i="25" s="1"/>
  <c r="D11" i="2"/>
  <c r="AB11" i="2"/>
  <c r="Q30" i="11"/>
  <c r="AP62" i="25"/>
  <c r="AZ62" i="25" s="1"/>
  <c r="AH53" i="25"/>
  <c r="AS83" i="25"/>
  <c r="AL91" i="25"/>
  <c r="AH91" i="25"/>
  <c r="B64" i="1"/>
  <c r="BE37" i="25"/>
  <c r="L23" i="27" s="1"/>
  <c r="AU60" i="25"/>
  <c r="D17" i="5"/>
  <c r="AB17" i="5"/>
  <c r="AZ92" i="25"/>
  <c r="AT80" i="25"/>
  <c r="X80" i="25"/>
  <c r="AP80" i="25"/>
  <c r="AZ80" i="25" s="1"/>
  <c r="AI80" i="25"/>
  <c r="X10" i="17"/>
  <c r="M10" i="17"/>
  <c r="E10" i="17"/>
  <c r="W10" i="17"/>
  <c r="L10" i="17"/>
  <c r="D23" i="19"/>
  <c r="V10" i="17"/>
  <c r="I10" i="17"/>
  <c r="U10" i="17"/>
  <c r="H10" i="17"/>
  <c r="T10" i="17"/>
  <c r="G10" i="17"/>
  <c r="S10" i="17"/>
  <c r="F10" i="17"/>
  <c r="Y10" i="17"/>
  <c r="Q10" i="17"/>
  <c r="K10" i="17"/>
  <c r="R10" i="17"/>
  <c r="J10" i="17"/>
  <c r="E30" i="10"/>
  <c r="AL87" i="25"/>
  <c r="BG59" i="25"/>
  <c r="BJ59" i="25"/>
  <c r="BH59" i="25"/>
  <c r="BF59" i="25"/>
  <c r="BI59" i="25"/>
  <c r="AU82" i="25"/>
  <c r="AO82" i="25"/>
  <c r="BI82" i="25" s="1"/>
  <c r="AH58" i="25"/>
  <c r="U16" i="9"/>
  <c r="U15" i="9" s="1"/>
  <c r="J16" i="9"/>
  <c r="J15" i="9" s="1"/>
  <c r="T16" i="9"/>
  <c r="T15" i="9" s="1"/>
  <c r="I16" i="9"/>
  <c r="I15" i="9" s="1"/>
  <c r="R16" i="9"/>
  <c r="R15" i="9" s="1"/>
  <c r="G16" i="9"/>
  <c r="G15" i="9" s="1"/>
  <c r="S16" i="9"/>
  <c r="S15" i="9" s="1"/>
  <c r="K16" i="9"/>
  <c r="K15" i="9" s="1"/>
  <c r="Q16" i="9"/>
  <c r="Q15" i="9" s="1"/>
  <c r="M16" i="9"/>
  <c r="M15" i="9" s="1"/>
  <c r="L16" i="9"/>
  <c r="L15" i="9" s="1"/>
  <c r="Y16" i="9"/>
  <c r="Y15" i="9" s="1"/>
  <c r="V16" i="9"/>
  <c r="V15" i="9" s="1"/>
  <c r="H16" i="9"/>
  <c r="H15" i="9" s="1"/>
  <c r="F16" i="9"/>
  <c r="F15" i="9" s="1"/>
  <c r="X16" i="9"/>
  <c r="X15" i="9" s="1"/>
  <c r="W16" i="9"/>
  <c r="W15" i="9" s="1"/>
  <c r="E16" i="9"/>
  <c r="E15" i="9" s="1"/>
  <c r="H25" i="27"/>
  <c r="H14" i="27"/>
  <c r="AN62" i="25"/>
  <c r="B54" i="25"/>
  <c r="AD54" i="25"/>
  <c r="H30" i="13"/>
  <c r="I25" i="13"/>
  <c r="I30" i="13" s="1"/>
  <c r="I26" i="13"/>
  <c r="AP86" i="25"/>
  <c r="X86" i="25"/>
  <c r="Y86" i="25" s="1"/>
  <c r="AU86" i="25"/>
  <c r="AG15" i="25"/>
  <c r="AP15" i="25"/>
  <c r="AK15" i="25"/>
  <c r="AL15" i="25"/>
  <c r="AT15" i="25"/>
  <c r="AH15" i="25"/>
  <c r="AV15" i="25"/>
  <c r="AJ15" i="25"/>
  <c r="AM15" i="25"/>
  <c r="AS15" i="25"/>
  <c r="AO15" i="25"/>
  <c r="AN15" i="25"/>
  <c r="AQ15" i="25"/>
  <c r="AX15" i="25"/>
  <c r="AR15" i="25"/>
  <c r="AI15" i="25"/>
  <c r="AU15" i="25"/>
  <c r="AW15" i="25"/>
  <c r="Z15" i="25"/>
  <c r="B16" i="27" s="1"/>
  <c r="T26" i="12"/>
  <c r="T25" i="12"/>
  <c r="BD30" i="25"/>
  <c r="AY30" i="25"/>
  <c r="BE30" i="25"/>
  <c r="L11" i="27" s="1"/>
  <c r="AT60" i="25"/>
  <c r="L93" i="25" a="1"/>
  <c r="L93" i="25" s="1"/>
  <c r="L94" i="25" a="1"/>
  <c r="L94" i="25" s="1"/>
  <c r="AN77" i="25"/>
  <c r="V94" i="25" a="1"/>
  <c r="V94" i="25" s="1"/>
  <c r="V93" i="25" a="1"/>
  <c r="V93" i="25" s="1"/>
  <c r="AX77" i="25"/>
  <c r="AV58" i="25"/>
  <c r="AR64" i="25"/>
  <c r="J30" i="12"/>
  <c r="AV60" i="25"/>
  <c r="BJ79" i="25"/>
  <c r="T26" i="11"/>
  <c r="T25" i="11"/>
  <c r="E29" i="12"/>
  <c r="N29" i="12" s="1"/>
  <c r="E28" i="12"/>
  <c r="AQ64" i="25"/>
  <c r="AO61" i="25"/>
  <c r="BI61" i="25" s="1"/>
  <c r="AV53" i="25"/>
  <c r="AQ85" i="25"/>
  <c r="AI85" i="25"/>
  <c r="AX85" i="25"/>
  <c r="Z85" i="25"/>
  <c r="T23" i="27" s="1"/>
  <c r="D8" i="16"/>
  <c r="C20" i="18"/>
  <c r="AB8" i="16"/>
  <c r="AB20" i="18" s="1"/>
  <c r="AD60" i="25"/>
  <c r="AZ33" i="25"/>
  <c r="AP58" i="25"/>
  <c r="AZ58" i="25" s="1"/>
  <c r="AL83" i="25"/>
  <c r="AT83" i="25"/>
  <c r="W83" i="25"/>
  <c r="AG83" i="25"/>
  <c r="Y83" i="25"/>
  <c r="AA83" i="25" s="1"/>
  <c r="AY79" i="25"/>
  <c r="BD79" i="25"/>
  <c r="BA79" i="25"/>
  <c r="BB79" i="25" s="1"/>
  <c r="AM91" i="25"/>
  <c r="AQ91" i="25"/>
  <c r="BF43" i="25"/>
  <c r="BG43" i="25"/>
  <c r="BH43" i="25"/>
  <c r="BI43" i="25"/>
  <c r="BJ43" i="25"/>
  <c r="Z29" i="11"/>
  <c r="AA29" i="11" s="1"/>
  <c r="AP84" i="25"/>
  <c r="X84" i="25"/>
  <c r="G29" i="12"/>
  <c r="G28" i="12"/>
  <c r="BJ58" i="25"/>
  <c r="T26" i="10"/>
  <c r="Z26" i="10" s="1"/>
  <c r="T25" i="10"/>
  <c r="Y10" i="6"/>
  <c r="Y9" i="6" s="1"/>
  <c r="Q10" i="6"/>
  <c r="Q9" i="6" s="1"/>
  <c r="F10" i="6"/>
  <c r="F9" i="6" s="1"/>
  <c r="X10" i="6"/>
  <c r="X9" i="6" s="1"/>
  <c r="M10" i="6"/>
  <c r="M9" i="6" s="1"/>
  <c r="E10" i="6"/>
  <c r="E9" i="6" s="1"/>
  <c r="U10" i="6"/>
  <c r="U9" i="6" s="1"/>
  <c r="W10" i="6"/>
  <c r="W9" i="6" s="1"/>
  <c r="L10" i="6"/>
  <c r="L9" i="6" s="1"/>
  <c r="V10" i="6"/>
  <c r="V9" i="6" s="1"/>
  <c r="K10" i="6"/>
  <c r="K9" i="6" s="1"/>
  <c r="J10" i="6"/>
  <c r="J9" i="6" s="1"/>
  <c r="R10" i="6"/>
  <c r="R9" i="6" s="1"/>
  <c r="G10" i="6"/>
  <c r="G9" i="6" s="1"/>
  <c r="T10" i="6"/>
  <c r="T9" i="6" s="1"/>
  <c r="S10" i="6"/>
  <c r="S9" i="6" s="1"/>
  <c r="I10" i="6"/>
  <c r="I9" i="6" s="1"/>
  <c r="H10" i="6"/>
  <c r="H9" i="6" s="1"/>
  <c r="X87" i="25"/>
  <c r="AP87" i="25"/>
  <c r="AZ87" i="25" s="1"/>
  <c r="Y87" i="25"/>
  <c r="AA87" i="25" s="1"/>
  <c r="AG87" i="25"/>
  <c r="W87" i="25"/>
  <c r="AL13" i="25"/>
  <c r="AK13" i="25"/>
  <c r="AQ13" i="25"/>
  <c r="AW13" i="25"/>
  <c r="AJ13" i="25"/>
  <c r="AU13" i="25"/>
  <c r="AI13" i="25"/>
  <c r="AS13" i="25"/>
  <c r="AH13" i="25"/>
  <c r="AM13" i="25"/>
  <c r="AP13" i="25"/>
  <c r="AG13" i="25"/>
  <c r="AR13" i="25"/>
  <c r="AV13" i="25"/>
  <c r="AX13" i="25"/>
  <c r="AT13" i="25"/>
  <c r="AN13" i="25"/>
  <c r="AO13" i="25"/>
  <c r="Z13" i="25"/>
  <c r="B23" i="27" s="1"/>
  <c r="Z10" i="27"/>
  <c r="V29" i="10"/>
  <c r="V28" i="10"/>
  <c r="U13" i="15"/>
  <c r="J13" i="15"/>
  <c r="T13" i="15"/>
  <c r="H13" i="15"/>
  <c r="R13" i="15"/>
  <c r="F13" i="15"/>
  <c r="Q13" i="15"/>
  <c r="E13" i="15"/>
  <c r="L13" i="15"/>
  <c r="D14" i="19"/>
  <c r="K13" i="15"/>
  <c r="X13" i="15"/>
  <c r="G13" i="15"/>
  <c r="W13" i="15"/>
  <c r="Y13" i="15"/>
  <c r="S13" i="15"/>
  <c r="V13" i="15"/>
  <c r="I13" i="15"/>
  <c r="M13" i="15"/>
  <c r="H76" i="1"/>
  <c r="B76" i="1"/>
  <c r="D76" i="1"/>
  <c r="AY53" i="25"/>
  <c r="BD53" i="25"/>
  <c r="D11" i="5"/>
  <c r="AB11" i="5"/>
  <c r="AA63" i="25"/>
  <c r="Z63" i="25"/>
  <c r="N16" i="27" s="1"/>
  <c r="N24" i="27" s="1"/>
  <c r="S10" i="7"/>
  <c r="S9" i="7" s="1"/>
  <c r="R10" i="7"/>
  <c r="R9" i="7" s="1"/>
  <c r="G10" i="7"/>
  <c r="G9" i="7" s="1"/>
  <c r="X10" i="7"/>
  <c r="X9" i="7" s="1"/>
  <c r="M10" i="7"/>
  <c r="M9" i="7" s="1"/>
  <c r="E10" i="7"/>
  <c r="E9" i="7" s="1"/>
  <c r="T10" i="7"/>
  <c r="T9" i="7" s="1"/>
  <c r="Y10" i="7"/>
  <c r="Y9" i="7" s="1"/>
  <c r="Q10" i="7"/>
  <c r="Q9" i="7" s="1"/>
  <c r="K10" i="7"/>
  <c r="K9" i="7" s="1"/>
  <c r="J10" i="7"/>
  <c r="J9" i="7" s="1"/>
  <c r="L10" i="7"/>
  <c r="L9" i="7" s="1"/>
  <c r="I10" i="7"/>
  <c r="I9" i="7" s="1"/>
  <c r="H10" i="7"/>
  <c r="H9" i="7" s="1"/>
  <c r="W10" i="7"/>
  <c r="W9" i="7" s="1"/>
  <c r="F10" i="7"/>
  <c r="F9" i="7" s="1"/>
  <c r="V10" i="7"/>
  <c r="V9" i="7" s="1"/>
  <c r="U10" i="7"/>
  <c r="U9" i="7" s="1"/>
  <c r="AW10" i="25"/>
  <c r="AT10" i="25"/>
  <c r="AU10" i="25"/>
  <c r="AN10" i="25"/>
  <c r="AP10" i="25"/>
  <c r="AH10" i="25"/>
  <c r="AS10" i="25"/>
  <c r="AO10" i="25"/>
  <c r="AK10" i="25"/>
  <c r="AX10" i="25"/>
  <c r="AL10" i="25"/>
  <c r="AJ10" i="25"/>
  <c r="AR10" i="25"/>
  <c r="AQ10" i="25"/>
  <c r="AM10" i="25"/>
  <c r="AI10" i="25"/>
  <c r="AV10" i="25"/>
  <c r="AG10" i="25"/>
  <c r="Z10" i="25"/>
  <c r="B9" i="27" s="1"/>
  <c r="Z9" i="27" s="1"/>
  <c r="L26" i="12"/>
  <c r="L25" i="12"/>
  <c r="D14" i="2"/>
  <c r="AB14" i="2"/>
  <c r="N26" i="10"/>
  <c r="Q26" i="12"/>
  <c r="Q25" i="12"/>
  <c r="AK60" i="25"/>
  <c r="AO53" i="25"/>
  <c r="AA58" i="25"/>
  <c r="Z58" i="25"/>
  <c r="N9" i="27" s="1"/>
  <c r="BD89" i="25"/>
  <c r="AY89" i="25"/>
  <c r="BA89" i="25" s="1"/>
  <c r="BB89" i="25" s="1"/>
  <c r="AX60" i="25"/>
  <c r="X16" i="15"/>
  <c r="M16" i="15"/>
  <c r="E16" i="15"/>
  <c r="D17" i="19"/>
  <c r="U16" i="15"/>
  <c r="I16" i="15"/>
  <c r="S16" i="15"/>
  <c r="G16" i="15"/>
  <c r="R16" i="15"/>
  <c r="F16" i="15"/>
  <c r="Y16" i="15"/>
  <c r="H16" i="15"/>
  <c r="W16" i="15"/>
  <c r="T16" i="15"/>
  <c r="Q16" i="15"/>
  <c r="J16" i="15"/>
  <c r="L16" i="15"/>
  <c r="K16" i="15"/>
  <c r="V16" i="15"/>
  <c r="BF67" i="25"/>
  <c r="BI67" i="25"/>
  <c r="BH67" i="25"/>
  <c r="BG67" i="25"/>
  <c r="BJ67" i="25"/>
  <c r="R28" i="11"/>
  <c r="Z28" i="11" s="1"/>
  <c r="R29" i="11"/>
  <c r="AS60" i="25"/>
  <c r="BA43" i="25"/>
  <c r="BB43" i="25" s="1"/>
  <c r="BE35" i="25"/>
  <c r="L6" i="27" s="1"/>
  <c r="W10" i="9"/>
  <c r="W9" i="9" s="1"/>
  <c r="L10" i="9"/>
  <c r="L9" i="9" s="1"/>
  <c r="V10" i="9"/>
  <c r="V9" i="9" s="1"/>
  <c r="K10" i="9"/>
  <c r="K9" i="9" s="1"/>
  <c r="T10" i="9"/>
  <c r="T9" i="9" s="1"/>
  <c r="I10" i="9"/>
  <c r="I9" i="9" s="1"/>
  <c r="X10" i="9"/>
  <c r="X9" i="9" s="1"/>
  <c r="G10" i="9"/>
  <c r="G9" i="9" s="1"/>
  <c r="Q10" i="9"/>
  <c r="Q9" i="9" s="1"/>
  <c r="U10" i="9"/>
  <c r="U9" i="9" s="1"/>
  <c r="F10" i="9"/>
  <c r="F9" i="9" s="1"/>
  <c r="S10" i="9"/>
  <c r="S9" i="9" s="1"/>
  <c r="E10" i="9"/>
  <c r="E9" i="9" s="1"/>
  <c r="R10" i="9"/>
  <c r="R9" i="9" s="1"/>
  <c r="J10" i="9"/>
  <c r="J9" i="9" s="1"/>
  <c r="H10" i="9"/>
  <c r="H9" i="9" s="1"/>
  <c r="Y10" i="9"/>
  <c r="Y9" i="9" s="1"/>
  <c r="M10" i="9"/>
  <c r="M9" i="9" s="1"/>
  <c r="AA53" i="25"/>
  <c r="Z53" i="25"/>
  <c r="N10" i="27" s="1"/>
  <c r="Z22" i="27"/>
  <c r="AY63" i="25"/>
  <c r="BA63" i="25"/>
  <c r="BB63" i="25" s="1"/>
  <c r="BD63" i="25"/>
  <c r="I28" i="10"/>
  <c r="N28" i="10" s="1"/>
  <c r="N27" i="10" s="1"/>
  <c r="I29" i="10"/>
  <c r="AG58" i="25"/>
  <c r="D14" i="5"/>
  <c r="AB14" i="5"/>
  <c r="R30" i="13"/>
  <c r="BE34" i="25"/>
  <c r="L9" i="27" s="1"/>
  <c r="V26" i="10"/>
  <c r="V25" i="10"/>
  <c r="R13" i="16"/>
  <c r="G13" i="16"/>
  <c r="Y13" i="16"/>
  <c r="Q13" i="16"/>
  <c r="F13" i="16"/>
  <c r="S13" i="16"/>
  <c r="M13" i="16"/>
  <c r="L13" i="16"/>
  <c r="D26" i="18"/>
  <c r="X13" i="16"/>
  <c r="K13" i="16"/>
  <c r="V13" i="16"/>
  <c r="U13" i="16"/>
  <c r="J13" i="16"/>
  <c r="I13" i="16"/>
  <c r="E13" i="16"/>
  <c r="T13" i="16"/>
  <c r="H13" i="16"/>
  <c r="W13" i="16"/>
  <c r="G30" i="13"/>
  <c r="AX84" i="25"/>
  <c r="Z29" i="13"/>
  <c r="L30" i="13"/>
  <c r="BE43" i="25"/>
  <c r="L22" i="27" s="1"/>
  <c r="X88" i="25"/>
  <c r="AP88" i="25"/>
  <c r="AT88" i="25"/>
  <c r="D11" i="18"/>
  <c r="V10" i="14"/>
  <c r="K10" i="14"/>
  <c r="T10" i="14"/>
  <c r="I10" i="14"/>
  <c r="S10" i="14"/>
  <c r="H10" i="14"/>
  <c r="W10" i="14"/>
  <c r="F10" i="14"/>
  <c r="U10" i="14"/>
  <c r="E10" i="14"/>
  <c r="Q10" i="14"/>
  <c r="M10" i="14"/>
  <c r="X10" i="14"/>
  <c r="R10" i="14"/>
  <c r="L10" i="14"/>
  <c r="G10" i="14"/>
  <c r="J10" i="14"/>
  <c r="Y10" i="14"/>
  <c r="U30" i="13"/>
  <c r="AT61" i="25"/>
  <c r="F30" i="12"/>
  <c r="G25" i="12"/>
  <c r="G26" i="12"/>
  <c r="F30" i="11"/>
  <c r="AN53" i="25"/>
  <c r="BA53" i="25" s="1"/>
  <c r="BB53" i="25" s="1"/>
  <c r="T28" i="10"/>
  <c r="Z28" i="10" s="1"/>
  <c r="Z27" i="10" s="1"/>
  <c r="AA27" i="10" s="1"/>
  <c r="T29" i="10"/>
  <c r="Z29" i="10" s="1"/>
  <c r="N29" i="10"/>
  <c r="AK45" i="25" a="1"/>
  <c r="AK45" i="25" s="1"/>
  <c r="AI61" i="25"/>
  <c r="F30" i="10"/>
  <c r="AM87" i="25"/>
  <c r="AS87" i="25"/>
  <c r="AU87" i="25"/>
  <c r="D11" i="3"/>
  <c r="Z25" i="13"/>
  <c r="Q30" i="13"/>
  <c r="U7" i="17"/>
  <c r="J7" i="17"/>
  <c r="D20" i="19"/>
  <c r="T7" i="17"/>
  <c r="I7" i="17"/>
  <c r="Y7" i="17"/>
  <c r="L7" i="17"/>
  <c r="X7" i="17"/>
  <c r="K7" i="17"/>
  <c r="W7" i="17"/>
  <c r="H7" i="17"/>
  <c r="V7" i="17"/>
  <c r="G7" i="17"/>
  <c r="E7" i="17"/>
  <c r="S7" i="17"/>
  <c r="R7" i="17"/>
  <c r="M7" i="17"/>
  <c r="F7" i="17"/>
  <c r="Q7" i="17"/>
  <c r="AJ61" i="25"/>
  <c r="AX83" i="25"/>
  <c r="Z83" i="25"/>
  <c r="T6" i="27" s="1"/>
  <c r="AM83" i="25"/>
  <c r="AO83" i="25"/>
  <c r="AO91" i="25"/>
  <c r="H24" i="27"/>
  <c r="D64" i="1"/>
  <c r="BE38" i="25"/>
  <c r="L21" i="27" s="1"/>
  <c r="T7" i="9"/>
  <c r="I7" i="9"/>
  <c r="S7" i="9"/>
  <c r="H7" i="9"/>
  <c r="Y7" i="9"/>
  <c r="Q7" i="9"/>
  <c r="F7" i="9"/>
  <c r="M7" i="9"/>
  <c r="G7" i="9"/>
  <c r="L7" i="9"/>
  <c r="K7" i="9"/>
  <c r="X7" i="9"/>
  <c r="J7" i="9"/>
  <c r="W7" i="9"/>
  <c r="U7" i="9"/>
  <c r="R7" i="9"/>
  <c r="E7" i="9"/>
  <c r="V7" i="9"/>
  <c r="AK53" i="25"/>
  <c r="AH60" i="25"/>
  <c r="AI53" i="25"/>
  <c r="AX82" i="25"/>
  <c r="AO60" i="25"/>
  <c r="D14" i="3"/>
  <c r="AB14" i="3"/>
  <c r="AH64" i="25"/>
  <c r="K30" i="13"/>
  <c r="G93" i="25" a="1"/>
  <c r="G93" i="25" s="1"/>
  <c r="G94" i="25" a="1"/>
  <c r="G94" i="25" s="1"/>
  <c r="AI77" i="25"/>
  <c r="J94" i="25" a="1"/>
  <c r="J94" i="25" s="1"/>
  <c r="J93" i="25" a="1"/>
  <c r="J93" i="25" s="1"/>
  <c r="AL77" i="25"/>
  <c r="AL93" i="25" s="1" a="1"/>
  <c r="AL93" i="25" s="1"/>
  <c r="AU58" i="25"/>
  <c r="BF5" i="25"/>
  <c r="BH5" i="25"/>
  <c r="BJ5" i="25"/>
  <c r="BI5" i="25"/>
  <c r="BG5" i="25"/>
  <c r="R7" i="8"/>
  <c r="G7" i="8"/>
  <c r="Y7" i="8"/>
  <c r="Q7" i="8"/>
  <c r="F7" i="8"/>
  <c r="W7" i="8"/>
  <c r="L7" i="8"/>
  <c r="M7" i="8"/>
  <c r="H7" i="8"/>
  <c r="K7" i="8"/>
  <c r="I7" i="8"/>
  <c r="J7" i="8"/>
  <c r="V7" i="8"/>
  <c r="X7" i="8"/>
  <c r="U7" i="8"/>
  <c r="E7" i="8"/>
  <c r="T7" i="8"/>
  <c r="S7" i="8"/>
  <c r="T25" i="13"/>
  <c r="T26" i="13"/>
  <c r="Z26" i="13" s="1"/>
  <c r="AA26" i="13" s="1"/>
  <c r="S25" i="12"/>
  <c r="S26" i="12"/>
  <c r="BF86" i="25"/>
  <c r="BF92" i="25"/>
  <c r="E25" i="12"/>
  <c r="E26" i="12"/>
  <c r="V16" i="17"/>
  <c r="K16" i="17"/>
  <c r="U16" i="17"/>
  <c r="J16" i="17"/>
  <c r="Y16" i="17"/>
  <c r="L16" i="17"/>
  <c r="X16" i="17"/>
  <c r="I16" i="17"/>
  <c r="W16" i="17"/>
  <c r="H16" i="17"/>
  <c r="T16" i="17"/>
  <c r="G16" i="17"/>
  <c r="S16" i="17"/>
  <c r="Q16" i="17"/>
  <c r="M16" i="17"/>
  <c r="D29" i="19"/>
  <c r="F16" i="17"/>
  <c r="R16" i="17"/>
  <c r="E16" i="17"/>
  <c r="AY44" i="25"/>
  <c r="BA44" i="25" s="1"/>
  <c r="BB44" i="25" s="1"/>
  <c r="BE44" i="25"/>
  <c r="L17" i="27" s="1"/>
  <c r="BD44" i="25"/>
  <c r="AZ41" i="25"/>
  <c r="AG85" i="25"/>
  <c r="W85" i="25"/>
  <c r="Y85" i="25"/>
  <c r="AA85" i="25" s="1"/>
  <c r="I25" i="10"/>
  <c r="I30" i="10" s="1"/>
  <c r="I26" i="10"/>
  <c r="AS6" i="25"/>
  <c r="AH6" i="25"/>
  <c r="AX6" i="25"/>
  <c r="AN6" i="25"/>
  <c r="AN21" i="25" s="1" a="1"/>
  <c r="AN21" i="25" s="1"/>
  <c r="AV6" i="25"/>
  <c r="AV21" i="25" s="1" a="1"/>
  <c r="AV21" i="25" s="1"/>
  <c r="AI6" i="25"/>
  <c r="AU6" i="25"/>
  <c r="AU21" i="25" s="1" a="1"/>
  <c r="AU21" i="25" s="1"/>
  <c r="AG6" i="25"/>
  <c r="BE5" i="25" s="1"/>
  <c r="AR6" i="25"/>
  <c r="AL6" i="25"/>
  <c r="AL21" i="25" s="1" a="1"/>
  <c r="AL21" i="25" s="1"/>
  <c r="AO6" i="25"/>
  <c r="AK6" i="25"/>
  <c r="AK21" i="25" s="1" a="1"/>
  <c r="AK21" i="25" s="1"/>
  <c r="AQ6" i="25"/>
  <c r="AQ21" i="25" s="1" a="1"/>
  <c r="AQ21" i="25" s="1"/>
  <c r="AW6" i="25"/>
  <c r="AW21" i="25" s="1" a="1"/>
  <c r="AW21" i="25" s="1"/>
  <c r="AM6" i="25"/>
  <c r="AM21" i="25" s="1" a="1"/>
  <c r="AM21" i="25" s="1"/>
  <c r="AJ6" i="25"/>
  <c r="AP6" i="25"/>
  <c r="AT6" i="25"/>
  <c r="AT21" i="25" s="1" a="1"/>
  <c r="AT21" i="25" s="1"/>
  <c r="Z6" i="25"/>
  <c r="B11" i="27" s="1"/>
  <c r="AP61" i="25"/>
  <c r="AZ61" i="25" s="1"/>
  <c r="V30" i="11"/>
  <c r="R26" i="11"/>
  <c r="Z26" i="11" s="1"/>
  <c r="R25" i="11"/>
  <c r="R30" i="11" s="1"/>
  <c r="AI88" i="25"/>
  <c r="AR88" i="25"/>
  <c r="AG88" i="25"/>
  <c r="W88" i="25"/>
  <c r="Y88" i="25"/>
  <c r="AA88" i="25" s="1"/>
  <c r="N26" i="13"/>
  <c r="Y69" i="25"/>
  <c r="AD64" i="25"/>
  <c r="K29" i="10"/>
  <c r="K28" i="10"/>
  <c r="T13" i="6"/>
  <c r="I13" i="6"/>
  <c r="S13" i="6"/>
  <c r="H13" i="6"/>
  <c r="Q13" i="6"/>
  <c r="F13" i="6"/>
  <c r="E13" i="6"/>
  <c r="R13" i="6"/>
  <c r="G13" i="6"/>
  <c r="Y13" i="6"/>
  <c r="M13" i="6"/>
  <c r="X13" i="6"/>
  <c r="U13" i="6"/>
  <c r="V13" i="6"/>
  <c r="L13" i="6"/>
  <c r="W13" i="6"/>
  <c r="K13" i="6"/>
  <c r="J13" i="6"/>
  <c r="AM61" i="25"/>
  <c r="AM80" i="25"/>
  <c r="AJ80" i="25"/>
  <c r="H30" i="11"/>
  <c r="AX64" i="25"/>
  <c r="B68" i="1"/>
  <c r="I68" i="1"/>
  <c r="H68" i="1"/>
  <c r="D68" i="1"/>
  <c r="AV87" i="25"/>
  <c r="AN87" i="25"/>
  <c r="Q28" i="12"/>
  <c r="Q29" i="12"/>
  <c r="D8" i="2"/>
  <c r="AB8" i="2"/>
  <c r="BD36" i="25"/>
  <c r="AY36" i="25"/>
  <c r="BA36" i="25" s="1"/>
  <c r="BB36" i="25" s="1"/>
  <c r="BE36" i="25"/>
  <c r="L8" i="27" s="1"/>
  <c r="AV82" i="25"/>
  <c r="AI82" i="25"/>
  <c r="AR61" i="25"/>
  <c r="BH61" i="25" s="1"/>
  <c r="W30" i="11"/>
  <c r="B66" i="25"/>
  <c r="AD66" i="25"/>
  <c r="AS61" i="25"/>
  <c r="AT86" i="25"/>
  <c r="AM86" i="25"/>
  <c r="P93" i="25" a="1"/>
  <c r="P93" i="25" s="1"/>
  <c r="P94" i="25" a="1"/>
  <c r="P94" i="25" s="1"/>
  <c r="AR77" i="25"/>
  <c r="AR93" i="25" s="1" a="1"/>
  <c r="AR93" i="25" s="1"/>
  <c r="T94" i="25" a="1"/>
  <c r="T94" i="25" s="1"/>
  <c r="T93" i="25" a="1"/>
  <c r="T93" i="25" s="1"/>
  <c r="AV77" i="25"/>
  <c r="AY20" i="25"/>
  <c r="BD20" i="25"/>
  <c r="BA20" i="25"/>
  <c r="BB20" i="25" s="1"/>
  <c r="BF20" i="25"/>
  <c r="BG20" i="25"/>
  <c r="BH20" i="25"/>
  <c r="BI20" i="25"/>
  <c r="BJ20" i="25"/>
  <c r="E20" i="27"/>
  <c r="D19" i="27"/>
  <c r="C18" i="27"/>
  <c r="E11" i="27"/>
  <c r="D10" i="27"/>
  <c r="C9" i="27"/>
  <c r="E21" i="27"/>
  <c r="D20" i="27"/>
  <c r="C19" i="27"/>
  <c r="E12" i="27"/>
  <c r="D11" i="27"/>
  <c r="C10" i="27"/>
  <c r="E22" i="27"/>
  <c r="D21" i="27"/>
  <c r="C20" i="27"/>
  <c r="E23" i="27"/>
  <c r="D22" i="27"/>
  <c r="C21" i="27"/>
  <c r="D23" i="27"/>
  <c r="E17" i="27"/>
  <c r="E8" i="27"/>
  <c r="E6" i="27"/>
  <c r="C23" i="27"/>
  <c r="D17" i="27"/>
  <c r="C11" i="27"/>
  <c r="D8" i="27"/>
  <c r="E7" i="27"/>
  <c r="D6" i="27"/>
  <c r="C17" i="27"/>
  <c r="E16" i="27"/>
  <c r="C8" i="27"/>
  <c r="D7" i="27"/>
  <c r="C6" i="27"/>
  <c r="C14" i="27" s="1"/>
  <c r="E18" i="27"/>
  <c r="D16" i="27"/>
  <c r="D12" i="27"/>
  <c r="E9" i="27"/>
  <c r="C7" i="27"/>
  <c r="C22" i="27"/>
  <c r="D18" i="27"/>
  <c r="C16" i="27"/>
  <c r="C12" i="27"/>
  <c r="D9" i="27"/>
  <c r="E13" i="27"/>
  <c r="D13" i="27"/>
  <c r="E10" i="27"/>
  <c r="E19" i="27"/>
  <c r="C13" i="27"/>
  <c r="AZ5" i="25"/>
  <c r="G28" i="11"/>
  <c r="N28" i="11" s="1"/>
  <c r="G29" i="11"/>
  <c r="T29" i="13"/>
  <c r="T28" i="13"/>
  <c r="Z28" i="13" s="1"/>
  <c r="V7" i="6"/>
  <c r="K7" i="6"/>
  <c r="H7" i="6"/>
  <c r="R7" i="6"/>
  <c r="U7" i="6"/>
  <c r="J7" i="6"/>
  <c r="T7" i="6"/>
  <c r="I7" i="6"/>
  <c r="S7" i="6"/>
  <c r="G7" i="6"/>
  <c r="L7" i="6"/>
  <c r="F7" i="6"/>
  <c r="W7" i="6"/>
  <c r="E7" i="6"/>
  <c r="X7" i="6"/>
  <c r="Q7" i="6"/>
  <c r="Y7" i="6"/>
  <c r="M7" i="6"/>
  <c r="BG90" i="25"/>
  <c r="AJ53" i="25"/>
  <c r="AY41" i="25"/>
  <c r="BE41" i="25"/>
  <c r="L18" i="27" s="1"/>
  <c r="BD41" i="25"/>
  <c r="BA41" i="25"/>
  <c r="BB41" i="25" s="1"/>
  <c r="AS85" i="25"/>
  <c r="AJ85" i="25"/>
  <c r="AO85" i="25"/>
  <c r="AJ17" i="25"/>
  <c r="AW17" i="25"/>
  <c r="AK17" i="25"/>
  <c r="AI17" i="25"/>
  <c r="AR17" i="25"/>
  <c r="AN17" i="25"/>
  <c r="AH17" i="25"/>
  <c r="AH21" i="25" s="1" a="1"/>
  <c r="AH21" i="25" s="1"/>
  <c r="AV17" i="25"/>
  <c r="AQ17" i="25"/>
  <c r="AT17" i="25"/>
  <c r="AS17" i="25"/>
  <c r="AM17" i="25"/>
  <c r="AU17" i="25"/>
  <c r="AX17" i="25"/>
  <c r="AO17" i="25"/>
  <c r="AL17" i="25"/>
  <c r="AP17" i="25"/>
  <c r="AG17" i="25"/>
  <c r="Z17" i="25"/>
  <c r="B18" i="27" s="1"/>
  <c r="Z18" i="27" s="1"/>
  <c r="BD33" i="25"/>
  <c r="BE33" i="25"/>
  <c r="L7" i="27" s="1"/>
  <c r="AY33" i="25"/>
  <c r="BA33" i="25"/>
  <c r="BB33" i="25" s="1"/>
  <c r="AN83" i="25"/>
  <c r="AV83" i="25"/>
  <c r="AW83" i="25"/>
  <c r="AY78" i="25"/>
  <c r="BA78" i="25" s="1"/>
  <c r="BB78" i="25" s="1"/>
  <c r="BD78" i="25"/>
  <c r="W30" i="12"/>
  <c r="AS91" i="25"/>
  <c r="BF91" i="25" s="1"/>
  <c r="AI91" i="25"/>
  <c r="S30" i="11"/>
  <c r="F10" i="27" l="1"/>
  <c r="AA82" i="25"/>
  <c r="Z82" i="25"/>
  <c r="T9" i="27" s="1"/>
  <c r="AA86" i="25"/>
  <c r="Z86" i="25"/>
  <c r="T21" i="27" s="1"/>
  <c r="N24" i="11"/>
  <c r="N30" i="11"/>
  <c r="AA77" i="25"/>
  <c r="Z77" i="25"/>
  <c r="T10" i="27" s="1"/>
  <c r="AA80" i="25"/>
  <c r="Z80" i="25"/>
  <c r="T12" i="27" s="1"/>
  <c r="AA28" i="13"/>
  <c r="Z27" i="13"/>
  <c r="AA27" i="13" s="1"/>
  <c r="E68" i="1"/>
  <c r="Z27" i="11"/>
  <c r="AA28" i="11"/>
  <c r="AA91" i="25"/>
  <c r="Z91" i="25"/>
  <c r="T22" i="27" s="1"/>
  <c r="E76" i="1"/>
  <c r="N27" i="11"/>
  <c r="AA26" i="11"/>
  <c r="N27" i="13"/>
  <c r="AB28" i="13" s="1"/>
  <c r="V7" i="2"/>
  <c r="V6" i="2" s="1"/>
  <c r="K7" i="2"/>
  <c r="K6" i="2" s="1"/>
  <c r="U7" i="2"/>
  <c r="U6" i="2" s="1"/>
  <c r="J7" i="2"/>
  <c r="J6" i="2" s="1"/>
  <c r="T7" i="2"/>
  <c r="T6" i="2" s="1"/>
  <c r="I7" i="2"/>
  <c r="I6" i="2" s="1"/>
  <c r="H7" i="2"/>
  <c r="H6" i="2" s="1"/>
  <c r="S7" i="2"/>
  <c r="S6" i="2" s="1"/>
  <c r="L7" i="2"/>
  <c r="L6" i="2" s="1"/>
  <c r="W7" i="2"/>
  <c r="W6" i="2" s="1"/>
  <c r="G7" i="2"/>
  <c r="G6" i="2" s="1"/>
  <c r="Y7" i="2"/>
  <c r="Y6" i="2" s="1"/>
  <c r="F7" i="2"/>
  <c r="F6" i="2" s="1"/>
  <c r="R7" i="2"/>
  <c r="R6" i="2" s="1"/>
  <c r="X7" i="2"/>
  <c r="X6" i="2" s="1"/>
  <c r="E7" i="2"/>
  <c r="E6" i="2" s="1"/>
  <c r="Q7" i="2"/>
  <c r="Q6" i="2" s="1"/>
  <c r="M7" i="2"/>
  <c r="M6" i="2" s="1"/>
  <c r="L26" i="9"/>
  <c r="L6" i="9"/>
  <c r="S19" i="19"/>
  <c r="S43" i="19" s="1"/>
  <c r="S6" i="17"/>
  <c r="S18" i="19" s="1"/>
  <c r="T12" i="16"/>
  <c r="T24" i="18" s="1"/>
  <c r="T25" i="18"/>
  <c r="T45" i="18" s="1"/>
  <c r="J16" i="19"/>
  <c r="J42" i="19" s="1"/>
  <c r="J28" i="15" s="1"/>
  <c r="J33" i="15" s="1"/>
  <c r="J15" i="15"/>
  <c r="J15" i="19" s="1"/>
  <c r="BJ60" i="25"/>
  <c r="BH60" i="25"/>
  <c r="BI60" i="25"/>
  <c r="BG60" i="25"/>
  <c r="BF60" i="25"/>
  <c r="Y10" i="5"/>
  <c r="Y9" i="5" s="1"/>
  <c r="Q10" i="5"/>
  <c r="Q9" i="5" s="1"/>
  <c r="F10" i="5"/>
  <c r="F9" i="5" s="1"/>
  <c r="X10" i="5"/>
  <c r="X9" i="5" s="1"/>
  <c r="M10" i="5"/>
  <c r="M9" i="5" s="1"/>
  <c r="E10" i="5"/>
  <c r="E9" i="5" s="1"/>
  <c r="K10" i="5"/>
  <c r="K9" i="5" s="1"/>
  <c r="J10" i="5"/>
  <c r="J9" i="5" s="1"/>
  <c r="W10" i="5"/>
  <c r="W9" i="5" s="1"/>
  <c r="L10" i="5"/>
  <c r="L9" i="5" s="1"/>
  <c r="V10" i="5"/>
  <c r="V9" i="5" s="1"/>
  <c r="U10" i="5"/>
  <c r="U9" i="5" s="1"/>
  <c r="G10" i="5"/>
  <c r="G9" i="5" s="1"/>
  <c r="T10" i="5"/>
  <c r="T9" i="5" s="1"/>
  <c r="R10" i="5"/>
  <c r="R9" i="5" s="1"/>
  <c r="I10" i="5"/>
  <c r="I9" i="5" s="1"/>
  <c r="S10" i="5"/>
  <c r="S9" i="5" s="1"/>
  <c r="H10" i="5"/>
  <c r="H9" i="5" s="1"/>
  <c r="Y22" i="19"/>
  <c r="Y44" i="19" s="1"/>
  <c r="Y9" i="17"/>
  <c r="Y21" i="19" s="1"/>
  <c r="S29" i="9"/>
  <c r="S12" i="9"/>
  <c r="R12" i="9"/>
  <c r="R29" i="9"/>
  <c r="AY65" i="25"/>
  <c r="BD65" i="25"/>
  <c r="BA65" i="25"/>
  <c r="BB65" i="25" s="1"/>
  <c r="M12" i="7"/>
  <c r="M29" i="7"/>
  <c r="G7" i="19"/>
  <c r="G39" i="19" s="1"/>
  <c r="G6" i="15"/>
  <c r="G6" i="19" s="1"/>
  <c r="U12" i="17"/>
  <c r="U24" i="19" s="1"/>
  <c r="U25" i="19"/>
  <c r="U45" i="19" s="1"/>
  <c r="W6" i="7"/>
  <c r="W26" i="7"/>
  <c r="Y29" i="8"/>
  <c r="Y12" i="8"/>
  <c r="L22" i="18"/>
  <c r="L44" i="18" s="1"/>
  <c r="L9" i="16"/>
  <c r="L21" i="18" s="1"/>
  <c r="BE86" i="25"/>
  <c r="X21" i="27" s="1"/>
  <c r="AY86" i="25"/>
  <c r="BA86" i="25" s="1"/>
  <c r="BB86" i="25" s="1"/>
  <c r="BD86" i="25"/>
  <c r="BG86" i="25"/>
  <c r="BJ86" i="25"/>
  <c r="Y94" i="25"/>
  <c r="AF8" i="27"/>
  <c r="M12" i="6"/>
  <c r="M29" i="6"/>
  <c r="BH6" i="25"/>
  <c r="BG6" i="25"/>
  <c r="BI6" i="25"/>
  <c r="BF6" i="25"/>
  <c r="BF21" i="25" s="1"/>
  <c r="BJ6" i="25"/>
  <c r="T28" i="19"/>
  <c r="T46" i="19" s="1"/>
  <c r="T15" i="17"/>
  <c r="T27" i="19" s="1"/>
  <c r="X6" i="8"/>
  <c r="X26" i="8"/>
  <c r="E26" i="9"/>
  <c r="E6" i="9"/>
  <c r="Q30" i="12"/>
  <c r="Z25" i="12"/>
  <c r="G16" i="19"/>
  <c r="G42" i="19" s="1"/>
  <c r="G15" i="15"/>
  <c r="G15" i="19" s="1"/>
  <c r="E12" i="15"/>
  <c r="E12" i="19" s="1"/>
  <c r="E13" i="19"/>
  <c r="E41" i="19" s="1"/>
  <c r="BG65" i="25"/>
  <c r="BH65" i="25"/>
  <c r="BF65" i="25"/>
  <c r="BI65" i="25"/>
  <c r="BJ65" i="25"/>
  <c r="T7" i="19"/>
  <c r="T39" i="19" s="1"/>
  <c r="T25" i="15" s="1"/>
  <c r="T30" i="15" s="1"/>
  <c r="T6" i="15"/>
  <c r="T6" i="19" s="1"/>
  <c r="Y25" i="19"/>
  <c r="Y45" i="19" s="1"/>
  <c r="Y12" i="17"/>
  <c r="Y24" i="19" s="1"/>
  <c r="V13" i="18"/>
  <c r="V41" i="18" s="1"/>
  <c r="V12" i="14"/>
  <c r="V12" i="18" s="1"/>
  <c r="X16" i="18"/>
  <c r="X42" i="18" s="1"/>
  <c r="X15" i="14"/>
  <c r="X15" i="18" s="1"/>
  <c r="T15" i="16"/>
  <c r="T27" i="18" s="1"/>
  <c r="T28" i="18"/>
  <c r="T46" i="18" s="1"/>
  <c r="AZ11" i="25"/>
  <c r="AY11" i="25"/>
  <c r="BA11" i="25" s="1"/>
  <c r="BB11" i="25" s="1"/>
  <c r="BE11" i="25"/>
  <c r="F6" i="27" s="1"/>
  <c r="BD11" i="25"/>
  <c r="V6" i="7"/>
  <c r="V26" i="7"/>
  <c r="X29" i="8"/>
  <c r="X12" i="8"/>
  <c r="S9" i="16"/>
  <c r="S21" i="18" s="1"/>
  <c r="S22" i="18"/>
  <c r="S44" i="18" s="1"/>
  <c r="G6" i="14"/>
  <c r="G6" i="18" s="1"/>
  <c r="G7" i="18"/>
  <c r="G39" i="18" s="1"/>
  <c r="H10" i="19"/>
  <c r="H40" i="19" s="1"/>
  <c r="H9" i="15"/>
  <c r="H9" i="19" s="1"/>
  <c r="S10" i="19"/>
  <c r="S40" i="19" s="1"/>
  <c r="S9" i="15"/>
  <c r="S9" i="19" s="1"/>
  <c r="W16" i="3"/>
  <c r="W15" i="3" s="1"/>
  <c r="L16" i="3"/>
  <c r="L15" i="3" s="1"/>
  <c r="V16" i="3"/>
  <c r="V15" i="3" s="1"/>
  <c r="K16" i="3"/>
  <c r="K15" i="3" s="1"/>
  <c r="T16" i="3"/>
  <c r="T15" i="3" s="1"/>
  <c r="S16" i="3"/>
  <c r="S15" i="3" s="1"/>
  <c r="H16" i="3"/>
  <c r="H15" i="3" s="1"/>
  <c r="I16" i="3"/>
  <c r="I15" i="3" s="1"/>
  <c r="U16" i="3"/>
  <c r="U15" i="3" s="1"/>
  <c r="J16" i="3"/>
  <c r="J15" i="3" s="1"/>
  <c r="Y16" i="3"/>
  <c r="Y15" i="3" s="1"/>
  <c r="X16" i="3"/>
  <c r="X15" i="3" s="1"/>
  <c r="M16" i="3"/>
  <c r="M15" i="3" s="1"/>
  <c r="R16" i="3"/>
  <c r="R15" i="3" s="1"/>
  <c r="G16" i="3"/>
  <c r="G15" i="3" s="1"/>
  <c r="E16" i="3"/>
  <c r="E15" i="3" s="1"/>
  <c r="Q16" i="3"/>
  <c r="Q15" i="3" s="1"/>
  <c r="F16" i="3"/>
  <c r="F15" i="3" s="1"/>
  <c r="BJ16" i="25"/>
  <c r="BG16" i="25"/>
  <c r="BI16" i="25"/>
  <c r="BF16" i="25"/>
  <c r="BH16" i="25"/>
  <c r="AZ16" i="25"/>
  <c r="BJ7" i="25"/>
  <c r="BG7" i="25"/>
  <c r="BI7" i="25"/>
  <c r="BH7" i="25"/>
  <c r="BF7" i="25"/>
  <c r="N25" i="27"/>
  <c r="N14" i="27"/>
  <c r="G26" i="6"/>
  <c r="G6" i="6"/>
  <c r="Z29" i="12"/>
  <c r="AA29" i="12" s="1"/>
  <c r="G26" i="9"/>
  <c r="G6" i="9"/>
  <c r="Y10" i="3"/>
  <c r="Y9" i="3" s="1"/>
  <c r="Q10" i="3"/>
  <c r="Q9" i="3" s="1"/>
  <c r="F10" i="3"/>
  <c r="F9" i="3" s="1"/>
  <c r="X10" i="3"/>
  <c r="X9" i="3" s="1"/>
  <c r="M10" i="3"/>
  <c r="M9" i="3" s="1"/>
  <c r="E10" i="3"/>
  <c r="E9" i="3" s="1"/>
  <c r="V10" i="3"/>
  <c r="V9" i="3" s="1"/>
  <c r="W10" i="3"/>
  <c r="W9" i="3" s="1"/>
  <c r="L10" i="3"/>
  <c r="L9" i="3" s="1"/>
  <c r="J10" i="3"/>
  <c r="J9" i="3" s="1"/>
  <c r="K10" i="3"/>
  <c r="K9" i="3" s="1"/>
  <c r="U10" i="3"/>
  <c r="U9" i="3" s="1"/>
  <c r="T10" i="3"/>
  <c r="T9" i="3" s="1"/>
  <c r="S10" i="3"/>
  <c r="S9" i="3" s="1"/>
  <c r="H10" i="3"/>
  <c r="H9" i="3" s="1"/>
  <c r="R10" i="3"/>
  <c r="R9" i="3" s="1"/>
  <c r="G10" i="3"/>
  <c r="G9" i="3" s="1"/>
  <c r="I10" i="3"/>
  <c r="I9" i="3" s="1"/>
  <c r="T10" i="18"/>
  <c r="T40" i="18" s="1"/>
  <c r="T9" i="14"/>
  <c r="T9" i="18" s="1"/>
  <c r="L25" i="18"/>
  <c r="L45" i="18" s="1"/>
  <c r="L12" i="16"/>
  <c r="L24" i="18" s="1"/>
  <c r="T29" i="9"/>
  <c r="T12" i="9"/>
  <c r="BE14" i="25"/>
  <c r="F21" i="27" s="1"/>
  <c r="AF21" i="27" s="1"/>
  <c r="BA14" i="25"/>
  <c r="BB14" i="25" s="1"/>
  <c r="BD14" i="25"/>
  <c r="AY14" i="25"/>
  <c r="J12" i="7"/>
  <c r="J29" i="7"/>
  <c r="BE8" i="25"/>
  <c r="F12" i="27" s="1"/>
  <c r="BD8" i="25"/>
  <c r="AY8" i="25"/>
  <c r="BA8" i="25" s="1"/>
  <c r="BB8" i="25" s="1"/>
  <c r="L7" i="19"/>
  <c r="L39" i="19" s="1"/>
  <c r="L6" i="15"/>
  <c r="L6" i="19" s="1"/>
  <c r="V25" i="19"/>
  <c r="V45" i="19" s="1"/>
  <c r="V12" i="17"/>
  <c r="V24" i="19" s="1"/>
  <c r="X6" i="7"/>
  <c r="X26" i="7"/>
  <c r="S26" i="7"/>
  <c r="S6" i="7"/>
  <c r="R29" i="8"/>
  <c r="R12" i="8"/>
  <c r="Q9" i="16"/>
  <c r="Q21" i="18" s="1"/>
  <c r="Q22" i="18"/>
  <c r="Q44" i="18" s="1"/>
  <c r="BD64" i="25"/>
  <c r="AS93" i="25" a="1"/>
  <c r="AS93" i="25" s="1"/>
  <c r="R19" i="10"/>
  <c r="S19" i="10" s="1"/>
  <c r="T19" i="10" s="1"/>
  <c r="U19" i="10" s="1"/>
  <c r="V19" i="10" s="1"/>
  <c r="W19" i="10" s="1"/>
  <c r="X19" i="10" s="1"/>
  <c r="Y19" i="10" s="1"/>
  <c r="Z19" i="10" s="1"/>
  <c r="C64" i="1"/>
  <c r="E64" i="1" s="1"/>
  <c r="V6" i="6"/>
  <c r="V26" i="6"/>
  <c r="T16" i="19"/>
  <c r="T42" i="19" s="1"/>
  <c r="T15" i="15"/>
  <c r="T15" i="19" s="1"/>
  <c r="Z26" i="12"/>
  <c r="AA26" i="12" s="1"/>
  <c r="F12" i="15"/>
  <c r="F12" i="19" s="1"/>
  <c r="F13" i="19"/>
  <c r="F41" i="19" s="1"/>
  <c r="BF58" i="25"/>
  <c r="S9" i="17"/>
  <c r="S21" i="19" s="1"/>
  <c r="S22" i="19"/>
  <c r="S44" i="19" s="1"/>
  <c r="BE9" i="25"/>
  <c r="F7" i="27" s="1"/>
  <c r="BD9" i="25"/>
  <c r="AY9" i="25"/>
  <c r="BA9" i="25" s="1"/>
  <c r="BB9" i="25" s="1"/>
  <c r="U12" i="9"/>
  <c r="U29" i="9"/>
  <c r="AP93" i="25" a="1"/>
  <c r="AP93" i="25" s="1"/>
  <c r="AZ77" i="25"/>
  <c r="V7" i="5"/>
  <c r="V6" i="5" s="1"/>
  <c r="K7" i="5"/>
  <c r="K6" i="5" s="1"/>
  <c r="G7" i="5"/>
  <c r="G6" i="5" s="1"/>
  <c r="U7" i="5"/>
  <c r="U6" i="5" s="1"/>
  <c r="J7" i="5"/>
  <c r="J6" i="5" s="1"/>
  <c r="H7" i="5"/>
  <c r="H6" i="5" s="1"/>
  <c r="T7" i="5"/>
  <c r="T6" i="5" s="1"/>
  <c r="I7" i="5"/>
  <c r="I6" i="5" s="1"/>
  <c r="S7" i="5"/>
  <c r="S6" i="5" s="1"/>
  <c r="R7" i="5"/>
  <c r="R6" i="5" s="1"/>
  <c r="L7" i="5"/>
  <c r="L6" i="5" s="1"/>
  <c r="F7" i="5"/>
  <c r="F6" i="5" s="1"/>
  <c r="E7" i="5"/>
  <c r="E6" i="5" s="1"/>
  <c r="X7" i="5"/>
  <c r="X6" i="5" s="1"/>
  <c r="Q7" i="5"/>
  <c r="Q6" i="5" s="1"/>
  <c r="M7" i="5"/>
  <c r="M6" i="5" s="1"/>
  <c r="Y7" i="5"/>
  <c r="Y6" i="5" s="1"/>
  <c r="W7" i="5"/>
  <c r="W6" i="5" s="1"/>
  <c r="BH83" i="25"/>
  <c r="BF83" i="25"/>
  <c r="BI83" i="25"/>
  <c r="BJ83" i="25"/>
  <c r="BG83" i="25"/>
  <c r="U29" i="7"/>
  <c r="U12" i="7"/>
  <c r="W7" i="19"/>
  <c r="W39" i="19" s="1"/>
  <c r="W6" i="15"/>
  <c r="W6" i="19" s="1"/>
  <c r="AZ19" i="25"/>
  <c r="BA19" i="25" s="1"/>
  <c r="BB19" i="25" s="1"/>
  <c r="F25" i="19"/>
  <c r="F45" i="19" s="1"/>
  <c r="F12" i="17"/>
  <c r="F24" i="19" s="1"/>
  <c r="Q25" i="19"/>
  <c r="Q45" i="19" s="1"/>
  <c r="Q12" i="17"/>
  <c r="Q24" i="19" s="1"/>
  <c r="T13" i="18"/>
  <c r="T41" i="18" s="1"/>
  <c r="T12" i="14"/>
  <c r="T12" i="18" s="1"/>
  <c r="T16" i="18"/>
  <c r="T42" i="18" s="1"/>
  <c r="T15" i="14"/>
  <c r="T15" i="18" s="1"/>
  <c r="S12" i="8"/>
  <c r="S29" i="8"/>
  <c r="J29" i="8"/>
  <c r="J12" i="8"/>
  <c r="I7" i="18"/>
  <c r="I39" i="18" s="1"/>
  <c r="I6" i="14"/>
  <c r="I6" i="18" s="1"/>
  <c r="F7" i="18"/>
  <c r="F39" i="18" s="1"/>
  <c r="F6" i="14"/>
  <c r="F6" i="18" s="1"/>
  <c r="U10" i="19"/>
  <c r="U40" i="19" s="1"/>
  <c r="U9" i="15"/>
  <c r="U9" i="19" s="1"/>
  <c r="BE84" i="25"/>
  <c r="AY84" i="25"/>
  <c r="BA84" i="25" s="1"/>
  <c r="BB84" i="25" s="1"/>
  <c r="BD84" i="25"/>
  <c r="G12" i="6"/>
  <c r="G29" i="6"/>
  <c r="V15" i="17"/>
  <c r="V27" i="19" s="1"/>
  <c r="V28" i="19"/>
  <c r="V46" i="19" s="1"/>
  <c r="J6" i="8"/>
  <c r="J26" i="8"/>
  <c r="U6" i="9"/>
  <c r="U26" i="9"/>
  <c r="F26" i="9"/>
  <c r="F6" i="9"/>
  <c r="V6" i="17"/>
  <c r="V18" i="19" s="1"/>
  <c r="V19" i="19"/>
  <c r="V43" i="19" s="1"/>
  <c r="T6" i="17"/>
  <c r="T18" i="19" s="1"/>
  <c r="T19" i="19"/>
  <c r="T43" i="19" s="1"/>
  <c r="J9" i="14"/>
  <c r="J9" i="18" s="1"/>
  <c r="J10" i="18"/>
  <c r="J40" i="18" s="1"/>
  <c r="U10" i="18"/>
  <c r="U40" i="18" s="1"/>
  <c r="U9" i="14"/>
  <c r="U9" i="18" s="1"/>
  <c r="V10" i="18"/>
  <c r="V40" i="18" s="1"/>
  <c r="V9" i="14"/>
  <c r="V9" i="18" s="1"/>
  <c r="Z84" i="25"/>
  <c r="T8" i="27" s="1"/>
  <c r="J25" i="18"/>
  <c r="J45" i="18" s="1"/>
  <c r="J12" i="16"/>
  <c r="J24" i="18" s="1"/>
  <c r="S12" i="16"/>
  <c r="S24" i="18" s="1"/>
  <c r="S25" i="18"/>
  <c r="S45" i="18" s="1"/>
  <c r="G9" i="17"/>
  <c r="G21" i="19" s="1"/>
  <c r="G22" i="19"/>
  <c r="G44" i="19" s="1"/>
  <c r="BI62" i="25"/>
  <c r="BG62" i="25"/>
  <c r="BH62" i="25"/>
  <c r="BJ62" i="25"/>
  <c r="BF62" i="25"/>
  <c r="BJ84" i="25"/>
  <c r="W29" i="9"/>
  <c r="W12" i="9"/>
  <c r="BI14" i="25"/>
  <c r="BG14" i="25"/>
  <c r="BF14" i="25"/>
  <c r="BH14" i="25"/>
  <c r="BJ14" i="25"/>
  <c r="E12" i="7"/>
  <c r="E29" i="7"/>
  <c r="Q6" i="15"/>
  <c r="Q6" i="19" s="1"/>
  <c r="Q7" i="19"/>
  <c r="Q39" i="19" s="1"/>
  <c r="E25" i="19"/>
  <c r="E45" i="19" s="1"/>
  <c r="E12" i="17"/>
  <c r="E24" i="19" s="1"/>
  <c r="F13" i="18"/>
  <c r="F41" i="18" s="1"/>
  <c r="F12" i="14"/>
  <c r="F12" i="18" s="1"/>
  <c r="U16" i="18"/>
  <c r="U42" i="18" s="1"/>
  <c r="U15" i="14"/>
  <c r="U15" i="18" s="1"/>
  <c r="E15" i="16"/>
  <c r="E27" i="18" s="1"/>
  <c r="E28" i="18"/>
  <c r="E46" i="18" s="1"/>
  <c r="AT93" i="25" a="1"/>
  <c r="AT93" i="25" s="1"/>
  <c r="G26" i="7"/>
  <c r="G6" i="7"/>
  <c r="W7" i="18"/>
  <c r="W39" i="18" s="1"/>
  <c r="W6" i="14"/>
  <c r="W6" i="18" s="1"/>
  <c r="Q7" i="18"/>
  <c r="Q39" i="18" s="1"/>
  <c r="Q6" i="14"/>
  <c r="Q6" i="18" s="1"/>
  <c r="W10" i="19"/>
  <c r="W40" i="19" s="1"/>
  <c r="W9" i="15"/>
  <c r="W9" i="19" s="1"/>
  <c r="N25" i="13"/>
  <c r="BF84" i="25"/>
  <c r="BF61" i="25"/>
  <c r="T6" i="6"/>
  <c r="T26" i="6"/>
  <c r="AF17" i="27"/>
  <c r="W29" i="6"/>
  <c r="W12" i="6"/>
  <c r="BE88" i="25"/>
  <c r="AY88" i="25"/>
  <c r="BD88" i="25"/>
  <c r="I28" i="19"/>
  <c r="I46" i="19" s="1"/>
  <c r="I15" i="17"/>
  <c r="I27" i="19" s="1"/>
  <c r="T30" i="13"/>
  <c r="I6" i="8"/>
  <c r="I26" i="8"/>
  <c r="Y6" i="8"/>
  <c r="Y26" i="8"/>
  <c r="AI21" i="25" a="1"/>
  <c r="AI21" i="25" s="1"/>
  <c r="Q6" i="9"/>
  <c r="Q26" i="9"/>
  <c r="Q19" i="19"/>
  <c r="Q43" i="19" s="1"/>
  <c r="Q25" i="17" s="1"/>
  <c r="Q30" i="17" s="1"/>
  <c r="Q6" i="17"/>
  <c r="Q18" i="19" s="1"/>
  <c r="F10" i="18"/>
  <c r="F40" i="18" s="1"/>
  <c r="F9" i="14"/>
  <c r="F9" i="18" s="1"/>
  <c r="H16" i="19"/>
  <c r="H42" i="19" s="1"/>
  <c r="H15" i="15"/>
  <c r="H15" i="19" s="1"/>
  <c r="H12" i="15"/>
  <c r="H12" i="19" s="1"/>
  <c r="H13" i="19"/>
  <c r="H41" i="19" s="1"/>
  <c r="H27" i="15" s="1"/>
  <c r="H32" i="15" s="1"/>
  <c r="T9" i="17"/>
  <c r="T21" i="19" s="1"/>
  <c r="T22" i="19"/>
  <c r="T44" i="19" s="1"/>
  <c r="E9" i="17"/>
  <c r="E21" i="19" s="1"/>
  <c r="E22" i="19"/>
  <c r="E44" i="19" s="1"/>
  <c r="BH84" i="25"/>
  <c r="BH9" i="25"/>
  <c r="BF9" i="25"/>
  <c r="BG9" i="25"/>
  <c r="BJ9" i="25"/>
  <c r="BI9" i="25"/>
  <c r="V29" i="9"/>
  <c r="V12" i="9"/>
  <c r="F12" i="9"/>
  <c r="F29" i="9"/>
  <c r="BE82" i="25"/>
  <c r="X9" i="27" s="1"/>
  <c r="BD82" i="25"/>
  <c r="AY82" i="25"/>
  <c r="BA82" i="25" s="1"/>
  <c r="BB82" i="25" s="1"/>
  <c r="BD91" i="25"/>
  <c r="BE91" i="25"/>
  <c r="X22" i="27" s="1"/>
  <c r="AY91" i="25"/>
  <c r="BA91" i="25" s="1"/>
  <c r="BB91" i="25" s="1"/>
  <c r="AZ14" i="25"/>
  <c r="BF82" i="25"/>
  <c r="L12" i="7"/>
  <c r="L29" i="7"/>
  <c r="V12" i="7"/>
  <c r="V29" i="7"/>
  <c r="X12" i="17"/>
  <c r="X24" i="19" s="1"/>
  <c r="X25" i="19"/>
  <c r="X45" i="19" s="1"/>
  <c r="U13" i="18"/>
  <c r="U41" i="18" s="1"/>
  <c r="U12" i="14"/>
  <c r="U12" i="18" s="1"/>
  <c r="M28" i="18"/>
  <c r="M46" i="18" s="1"/>
  <c r="M15" i="16"/>
  <c r="M27" i="18" s="1"/>
  <c r="X28" i="18"/>
  <c r="X46" i="18" s="1"/>
  <c r="X15" i="16"/>
  <c r="X27" i="18" s="1"/>
  <c r="I26" i="7"/>
  <c r="I6" i="7"/>
  <c r="T26" i="7"/>
  <c r="T6" i="7"/>
  <c r="G12" i="8"/>
  <c r="G29" i="8"/>
  <c r="L12" i="8"/>
  <c r="L29" i="8"/>
  <c r="AZ83" i="25"/>
  <c r="I22" i="18"/>
  <c r="I44" i="18" s="1"/>
  <c r="I9" i="16"/>
  <c r="I21" i="18" s="1"/>
  <c r="U22" i="18"/>
  <c r="U44" i="18" s="1"/>
  <c r="U9" i="16"/>
  <c r="U21" i="18" s="1"/>
  <c r="J7" i="18"/>
  <c r="J39" i="18" s="1"/>
  <c r="J6" i="14"/>
  <c r="J6" i="18" s="1"/>
  <c r="Y7" i="18"/>
  <c r="Y39" i="18" s="1"/>
  <c r="Y6" i="14"/>
  <c r="Y6" i="18" s="1"/>
  <c r="J10" i="19"/>
  <c r="J40" i="19" s="1"/>
  <c r="J9" i="15"/>
  <c r="J9" i="19" s="1"/>
  <c r="V10" i="19"/>
  <c r="V40" i="19" s="1"/>
  <c r="V26" i="15" s="1"/>
  <c r="V31" i="15" s="1"/>
  <c r="V9" i="15"/>
  <c r="V9" i="19" s="1"/>
  <c r="G10" i="19"/>
  <c r="G40" i="19" s="1"/>
  <c r="G9" i="15"/>
  <c r="G9" i="19" s="1"/>
  <c r="T13" i="4"/>
  <c r="T12" i="4" s="1"/>
  <c r="I13" i="4"/>
  <c r="I12" i="4" s="1"/>
  <c r="E13" i="4"/>
  <c r="E12" i="4" s="1"/>
  <c r="S13" i="4"/>
  <c r="S12" i="4" s="1"/>
  <c r="H13" i="4"/>
  <c r="H12" i="4" s="1"/>
  <c r="Q13" i="4"/>
  <c r="Q12" i="4" s="1"/>
  <c r="R13" i="4"/>
  <c r="R12" i="4" s="1"/>
  <c r="G13" i="4"/>
  <c r="G12" i="4" s="1"/>
  <c r="Y13" i="4"/>
  <c r="Y12" i="4" s="1"/>
  <c r="X13" i="4"/>
  <c r="X12" i="4" s="1"/>
  <c r="F13" i="4"/>
  <c r="F12" i="4" s="1"/>
  <c r="M13" i="4"/>
  <c r="M12" i="4" s="1"/>
  <c r="L13" i="4"/>
  <c r="L12" i="4" s="1"/>
  <c r="V13" i="4"/>
  <c r="V12" i="4" s="1"/>
  <c r="K13" i="4"/>
  <c r="K12" i="4" s="1"/>
  <c r="U13" i="4"/>
  <c r="U12" i="4" s="1"/>
  <c r="J13" i="4"/>
  <c r="J12" i="4" s="1"/>
  <c r="W13" i="4"/>
  <c r="W12" i="4" s="1"/>
  <c r="BE92" i="25"/>
  <c r="X17" i="27" s="1"/>
  <c r="AG21" i="25" a="1"/>
  <c r="AG21" i="25" s="1"/>
  <c r="BE18" i="25"/>
  <c r="F20" i="27" s="1"/>
  <c r="AZ7" i="25"/>
  <c r="Z87" i="25"/>
  <c r="T16" i="27" s="1"/>
  <c r="BJ61" i="25"/>
  <c r="BI86" i="25"/>
  <c r="BE78" i="25"/>
  <c r="AF9" i="27"/>
  <c r="L29" i="6"/>
  <c r="L12" i="6"/>
  <c r="E29" i="6"/>
  <c r="E12" i="6"/>
  <c r="M15" i="17"/>
  <c r="M27" i="19" s="1"/>
  <c r="M28" i="19"/>
  <c r="M46" i="19" s="1"/>
  <c r="X15" i="17"/>
  <c r="X27" i="19" s="1"/>
  <c r="X28" i="19"/>
  <c r="X46" i="19" s="1"/>
  <c r="X28" i="17" s="1"/>
  <c r="X33" i="17" s="1"/>
  <c r="E30" i="12"/>
  <c r="N25" i="12"/>
  <c r="S6" i="8"/>
  <c r="S26" i="8"/>
  <c r="K26" i="8"/>
  <c r="K6" i="8"/>
  <c r="G26" i="8"/>
  <c r="G6" i="8"/>
  <c r="J6" i="9"/>
  <c r="J26" i="9"/>
  <c r="Y26" i="9"/>
  <c r="Y6" i="9"/>
  <c r="BJ91" i="25"/>
  <c r="BH91" i="25"/>
  <c r="F6" i="17"/>
  <c r="F18" i="19" s="1"/>
  <c r="F19" i="19"/>
  <c r="F43" i="19" s="1"/>
  <c r="F25" i="17" s="1"/>
  <c r="F30" i="17" s="1"/>
  <c r="W6" i="17"/>
  <c r="W18" i="19" s="1"/>
  <c r="W19" i="19"/>
  <c r="W43" i="19" s="1"/>
  <c r="J19" i="19"/>
  <c r="J43" i="19" s="1"/>
  <c r="J6" i="17"/>
  <c r="J18" i="19" s="1"/>
  <c r="L10" i="18"/>
  <c r="L40" i="18" s="1"/>
  <c r="L9" i="14"/>
  <c r="L9" i="18" s="1"/>
  <c r="W10" i="18"/>
  <c r="W40" i="18" s="1"/>
  <c r="W9" i="14"/>
  <c r="W9" i="18" s="1"/>
  <c r="V25" i="18"/>
  <c r="V45" i="18" s="1"/>
  <c r="V12" i="16"/>
  <c r="V24" i="18" s="1"/>
  <c r="Q12" i="16"/>
  <c r="Q24" i="18" s="1"/>
  <c r="Q25" i="18"/>
  <c r="Q45" i="18" s="1"/>
  <c r="V16" i="19"/>
  <c r="V42" i="19" s="1"/>
  <c r="V15" i="15"/>
  <c r="V15" i="19" s="1"/>
  <c r="Y16" i="19"/>
  <c r="Y42" i="19" s="1"/>
  <c r="Y15" i="15"/>
  <c r="Y15" i="19" s="1"/>
  <c r="E16" i="19"/>
  <c r="E42" i="19" s="1"/>
  <c r="E15" i="15"/>
  <c r="E15" i="19" s="1"/>
  <c r="T13" i="2"/>
  <c r="T12" i="2" s="1"/>
  <c r="I13" i="2"/>
  <c r="I12" i="2" s="1"/>
  <c r="Y13" i="2"/>
  <c r="Y12" i="2" s="1"/>
  <c r="S13" i="2"/>
  <c r="S12" i="2" s="1"/>
  <c r="H13" i="2"/>
  <c r="H12" i="2" s="1"/>
  <c r="Q13" i="2"/>
  <c r="Q12" i="2" s="1"/>
  <c r="X13" i="2"/>
  <c r="X12" i="2" s="1"/>
  <c r="R13" i="2"/>
  <c r="R12" i="2" s="1"/>
  <c r="G13" i="2"/>
  <c r="G12" i="2" s="1"/>
  <c r="F13" i="2"/>
  <c r="F12" i="2" s="1"/>
  <c r="K13" i="2"/>
  <c r="K12" i="2" s="1"/>
  <c r="L13" i="2"/>
  <c r="L12" i="2" s="1"/>
  <c r="J13" i="2"/>
  <c r="J12" i="2" s="1"/>
  <c r="E13" i="2"/>
  <c r="E12" i="2" s="1"/>
  <c r="W13" i="2"/>
  <c r="W12" i="2" s="1"/>
  <c r="V13" i="2"/>
  <c r="V12" i="2" s="1"/>
  <c r="U13" i="2"/>
  <c r="U12" i="2" s="1"/>
  <c r="M13" i="2"/>
  <c r="M12" i="2" s="1"/>
  <c r="C76" i="1"/>
  <c r="M13" i="19"/>
  <c r="M41" i="19" s="1"/>
  <c r="M12" i="15"/>
  <c r="M12" i="19" s="1"/>
  <c r="K13" i="19"/>
  <c r="K41" i="19" s="1"/>
  <c r="K12" i="15"/>
  <c r="K12" i="19" s="1"/>
  <c r="T13" i="19"/>
  <c r="T41" i="19" s="1"/>
  <c r="T12" i="15"/>
  <c r="T12" i="19" s="1"/>
  <c r="T30" i="10"/>
  <c r="BE83" i="25"/>
  <c r="AY83" i="25"/>
  <c r="BA83" i="25" s="1"/>
  <c r="BB83" i="25" s="1"/>
  <c r="BD83" i="25"/>
  <c r="R9" i="17"/>
  <c r="R21" i="19" s="1"/>
  <c r="R22" i="19"/>
  <c r="R44" i="19" s="1"/>
  <c r="H9" i="17"/>
  <c r="H21" i="19" s="1"/>
  <c r="H22" i="19"/>
  <c r="H44" i="19" s="1"/>
  <c r="M22" i="19"/>
  <c r="M44" i="19" s="1"/>
  <c r="M9" i="17"/>
  <c r="M21" i="19" s="1"/>
  <c r="W16" i="5"/>
  <c r="W15" i="5" s="1"/>
  <c r="L16" i="5"/>
  <c r="L15" i="5" s="1"/>
  <c r="I16" i="5"/>
  <c r="I15" i="5" s="1"/>
  <c r="V16" i="5"/>
  <c r="V15" i="5" s="1"/>
  <c r="K16" i="5"/>
  <c r="K15" i="5" s="1"/>
  <c r="H16" i="5"/>
  <c r="H15" i="5" s="1"/>
  <c r="U16" i="5"/>
  <c r="U15" i="5" s="1"/>
  <c r="J16" i="5"/>
  <c r="J15" i="5" s="1"/>
  <c r="T16" i="5"/>
  <c r="T15" i="5" s="1"/>
  <c r="S16" i="5"/>
  <c r="S15" i="5" s="1"/>
  <c r="F16" i="5"/>
  <c r="F15" i="5" s="1"/>
  <c r="G16" i="5"/>
  <c r="G15" i="5" s="1"/>
  <c r="E16" i="5"/>
  <c r="E15" i="5" s="1"/>
  <c r="Y16" i="5"/>
  <c r="Y15" i="5" s="1"/>
  <c r="Q16" i="5"/>
  <c r="Q15" i="5" s="1"/>
  <c r="X16" i="5"/>
  <c r="X15" i="5" s="1"/>
  <c r="R16" i="5"/>
  <c r="R15" i="5" s="1"/>
  <c r="M16" i="5"/>
  <c r="M15" i="5" s="1"/>
  <c r="AZ85" i="25"/>
  <c r="BG82" i="25"/>
  <c r="AZ9" i="25"/>
  <c r="I12" i="9"/>
  <c r="I29" i="9"/>
  <c r="Q29" i="9"/>
  <c r="Q12" i="9"/>
  <c r="W16" i="2"/>
  <c r="W15" i="2" s="1"/>
  <c r="L16" i="2"/>
  <c r="L15" i="2" s="1"/>
  <c r="K16" i="2"/>
  <c r="K15" i="2" s="1"/>
  <c r="H16" i="2"/>
  <c r="H15" i="2" s="1"/>
  <c r="V16" i="2"/>
  <c r="V15" i="2" s="1"/>
  <c r="T16" i="2"/>
  <c r="T15" i="2" s="1"/>
  <c r="U16" i="2"/>
  <c r="U15" i="2" s="1"/>
  <c r="J16" i="2"/>
  <c r="J15" i="2" s="1"/>
  <c r="S16" i="2"/>
  <c r="S15" i="2" s="1"/>
  <c r="I16" i="2"/>
  <c r="I15" i="2" s="1"/>
  <c r="X16" i="2"/>
  <c r="X15" i="2" s="1"/>
  <c r="G16" i="2"/>
  <c r="G15" i="2" s="1"/>
  <c r="R16" i="2"/>
  <c r="R15" i="2" s="1"/>
  <c r="Q16" i="2"/>
  <c r="Q15" i="2" s="1"/>
  <c r="Y16" i="2"/>
  <c r="Y15" i="2" s="1"/>
  <c r="M16" i="2"/>
  <c r="M15" i="2" s="1"/>
  <c r="F16" i="2"/>
  <c r="F15" i="2" s="1"/>
  <c r="E16" i="2"/>
  <c r="E15" i="2" s="1"/>
  <c r="G12" i="7"/>
  <c r="G29" i="7"/>
  <c r="F29" i="7"/>
  <c r="F12" i="7"/>
  <c r="AY61" i="25"/>
  <c r="BA61" i="25"/>
  <c r="BB61" i="25" s="1"/>
  <c r="BD61" i="25"/>
  <c r="M7" i="19"/>
  <c r="M39" i="19" s="1"/>
  <c r="M6" i="15"/>
  <c r="M6" i="19" s="1"/>
  <c r="F6" i="15"/>
  <c r="F6" i="19" s="1"/>
  <c r="F7" i="19"/>
  <c r="F39" i="19" s="1"/>
  <c r="I25" i="19"/>
  <c r="I45" i="19" s="1"/>
  <c r="I12" i="17"/>
  <c r="I24" i="19" s="1"/>
  <c r="G25" i="19"/>
  <c r="G45" i="19" s="1"/>
  <c r="G27" i="17" s="1"/>
  <c r="G32" i="17" s="1"/>
  <c r="G12" i="17"/>
  <c r="G24" i="19" s="1"/>
  <c r="AR68" i="25"/>
  <c r="AI68" i="25"/>
  <c r="AO68" i="25"/>
  <c r="AP68" i="25"/>
  <c r="AZ68" i="25" s="1"/>
  <c r="AG68" i="25"/>
  <c r="AM68" i="25"/>
  <c r="AK68" i="25"/>
  <c r="AH68" i="25"/>
  <c r="AN68" i="25"/>
  <c r="AQ68" i="25"/>
  <c r="AL68" i="25"/>
  <c r="AW68" i="25"/>
  <c r="AS68" i="25"/>
  <c r="AJ68" i="25"/>
  <c r="AX68" i="25"/>
  <c r="AV68" i="25"/>
  <c r="AT68" i="25"/>
  <c r="AU68" i="25"/>
  <c r="Z68" i="25"/>
  <c r="N17" i="27" s="1"/>
  <c r="Z17" i="27" s="1"/>
  <c r="AY57" i="25"/>
  <c r="BD57" i="25"/>
  <c r="BA57" i="25"/>
  <c r="BB57" i="25" s="1"/>
  <c r="I13" i="18"/>
  <c r="I41" i="18" s="1"/>
  <c r="I12" i="14"/>
  <c r="I12" i="18" s="1"/>
  <c r="Y12" i="14"/>
  <c r="Y12" i="18" s="1"/>
  <c r="Y13" i="18"/>
  <c r="Y41" i="18" s="1"/>
  <c r="E16" i="18"/>
  <c r="E42" i="18" s="1"/>
  <c r="E15" i="14"/>
  <c r="E15" i="18" s="1"/>
  <c r="Q15" i="14"/>
  <c r="Q15" i="18" s="1"/>
  <c r="Q16" i="18"/>
  <c r="Q42" i="18" s="1"/>
  <c r="Q28" i="18"/>
  <c r="Q46" i="18" s="1"/>
  <c r="Q15" i="16"/>
  <c r="Q27" i="18" s="1"/>
  <c r="L15" i="16"/>
  <c r="L27" i="18" s="1"/>
  <c r="L28" i="18"/>
  <c r="L46" i="18" s="1"/>
  <c r="E26" i="7"/>
  <c r="E6" i="7"/>
  <c r="J26" i="7"/>
  <c r="J6" i="7"/>
  <c r="Z25" i="10"/>
  <c r="V29" i="8"/>
  <c r="V12" i="8"/>
  <c r="W29" i="8"/>
  <c r="W12" i="8"/>
  <c r="E22" i="18"/>
  <c r="E44" i="18" s="1"/>
  <c r="E9" i="16"/>
  <c r="E21" i="18" s="1"/>
  <c r="K22" i="18"/>
  <c r="K44" i="18" s="1"/>
  <c r="K9" i="16"/>
  <c r="K21" i="18" s="1"/>
  <c r="K7" i="18"/>
  <c r="K39" i="18" s="1"/>
  <c r="K6" i="14"/>
  <c r="K6" i="18" s="1"/>
  <c r="L7" i="18"/>
  <c r="L39" i="18" s="1"/>
  <c r="L6" i="14"/>
  <c r="L6" i="18" s="1"/>
  <c r="M10" i="19"/>
  <c r="M40" i="19" s="1"/>
  <c r="M26" i="15" s="1"/>
  <c r="M31" i="15" s="1"/>
  <c r="M9" i="15"/>
  <c r="M9" i="19" s="1"/>
  <c r="E10" i="19"/>
  <c r="E40" i="19" s="1"/>
  <c r="E9" i="15"/>
  <c r="E9" i="19" s="1"/>
  <c r="R10" i="19"/>
  <c r="R40" i="19" s="1"/>
  <c r="R9" i="15"/>
  <c r="R9" i="19" s="1"/>
  <c r="BH87" i="25"/>
  <c r="BG87" i="25"/>
  <c r="BF87" i="25"/>
  <c r="BI87" i="25"/>
  <c r="BJ87" i="25"/>
  <c r="BB59" i="25"/>
  <c r="BG61" i="25"/>
  <c r="BH82" i="25"/>
  <c r="H26" i="6"/>
  <c r="H6" i="6"/>
  <c r="H29" i="6"/>
  <c r="H12" i="6"/>
  <c r="G28" i="19"/>
  <c r="G46" i="19" s="1"/>
  <c r="G15" i="17"/>
  <c r="G27" i="19" s="1"/>
  <c r="J28" i="19"/>
  <c r="J46" i="19" s="1"/>
  <c r="J15" i="17"/>
  <c r="J27" i="19" s="1"/>
  <c r="V6" i="9"/>
  <c r="V26" i="9"/>
  <c r="T25" i="27"/>
  <c r="T14" i="27"/>
  <c r="Z24" i="13"/>
  <c r="Z30" i="13"/>
  <c r="I9" i="14"/>
  <c r="I9" i="18" s="1"/>
  <c r="I10" i="18"/>
  <c r="I40" i="18" s="1"/>
  <c r="R25" i="18"/>
  <c r="R45" i="18" s="1"/>
  <c r="R12" i="16"/>
  <c r="R24" i="18" s="1"/>
  <c r="S13" i="19"/>
  <c r="S41" i="19" s="1"/>
  <c r="S12" i="15"/>
  <c r="S12" i="19" s="1"/>
  <c r="E29" i="9"/>
  <c r="E12" i="9"/>
  <c r="S12" i="7"/>
  <c r="S29" i="7"/>
  <c r="K7" i="19"/>
  <c r="K39" i="19" s="1"/>
  <c r="K6" i="15"/>
  <c r="K6" i="19" s="1"/>
  <c r="S25" i="19"/>
  <c r="S45" i="19" s="1"/>
  <c r="S12" i="17"/>
  <c r="S24" i="19" s="1"/>
  <c r="R13" i="18"/>
  <c r="R41" i="18" s="1"/>
  <c r="R12" i="14"/>
  <c r="R12" i="18" s="1"/>
  <c r="R15" i="14"/>
  <c r="R15" i="18" s="1"/>
  <c r="R16" i="18"/>
  <c r="R42" i="18" s="1"/>
  <c r="R28" i="18"/>
  <c r="R46" i="18" s="1"/>
  <c r="R15" i="16"/>
  <c r="R27" i="18" s="1"/>
  <c r="BH85" i="25"/>
  <c r="BJ85" i="25"/>
  <c r="BI85" i="25"/>
  <c r="BG85" i="25"/>
  <c r="BF85" i="25"/>
  <c r="K6" i="6"/>
  <c r="K26" i="6"/>
  <c r="Y19" i="19"/>
  <c r="Y43" i="19" s="1"/>
  <c r="Y25" i="17" s="1"/>
  <c r="Y30" i="17" s="1"/>
  <c r="Y6" i="17"/>
  <c r="Y18" i="19" s="1"/>
  <c r="V30" i="10"/>
  <c r="Q16" i="19"/>
  <c r="Q42" i="19" s="1"/>
  <c r="Q15" i="15"/>
  <c r="Q15" i="19" s="1"/>
  <c r="Y12" i="15"/>
  <c r="Y12" i="19" s="1"/>
  <c r="Y13" i="19"/>
  <c r="Y41" i="19" s="1"/>
  <c r="B24" i="27"/>
  <c r="Z16" i="27"/>
  <c r="Z24" i="27" s="1"/>
  <c r="F9" i="17"/>
  <c r="F21" i="19" s="1"/>
  <c r="F22" i="19"/>
  <c r="F44" i="19" s="1"/>
  <c r="K12" i="9"/>
  <c r="K29" i="9"/>
  <c r="X7" i="19"/>
  <c r="X39" i="19" s="1"/>
  <c r="X6" i="15"/>
  <c r="X6" i="19" s="1"/>
  <c r="U30" i="12"/>
  <c r="L13" i="18"/>
  <c r="L41" i="18" s="1"/>
  <c r="L12" i="14"/>
  <c r="L12" i="18" s="1"/>
  <c r="L16" i="18"/>
  <c r="L42" i="18" s="1"/>
  <c r="L15" i="14"/>
  <c r="L15" i="18" s="1"/>
  <c r="I15" i="14"/>
  <c r="I15" i="18" s="1"/>
  <c r="I16" i="18"/>
  <c r="I42" i="18" s="1"/>
  <c r="S28" i="18"/>
  <c r="S46" i="18" s="1"/>
  <c r="S15" i="16"/>
  <c r="S27" i="18" s="1"/>
  <c r="J28" i="18"/>
  <c r="J46" i="18" s="1"/>
  <c r="J15" i="16"/>
  <c r="J27" i="18" s="1"/>
  <c r="I12" i="8"/>
  <c r="I29" i="8"/>
  <c r="AY60" i="25"/>
  <c r="BD60" i="25"/>
  <c r="BA60" i="25"/>
  <c r="BB60" i="25" s="1"/>
  <c r="G22" i="18"/>
  <c r="G44" i="18" s="1"/>
  <c r="G9" i="16"/>
  <c r="G21" i="18" s="1"/>
  <c r="W22" i="18"/>
  <c r="W44" i="18" s="1"/>
  <c r="W9" i="16"/>
  <c r="W21" i="18" s="1"/>
  <c r="V7" i="18"/>
  <c r="V39" i="18" s="1"/>
  <c r="V6" i="14"/>
  <c r="V6" i="18" s="1"/>
  <c r="X7" i="18"/>
  <c r="X39" i="18" s="1"/>
  <c r="X6" i="14"/>
  <c r="X6" i="18" s="1"/>
  <c r="K10" i="19"/>
  <c r="K40" i="19" s="1"/>
  <c r="K9" i="15"/>
  <c r="K9" i="19" s="1"/>
  <c r="I10" i="19"/>
  <c r="I40" i="19" s="1"/>
  <c r="I9" i="15"/>
  <c r="I9" i="19" s="1"/>
  <c r="Q22" i="27"/>
  <c r="P21" i="27"/>
  <c r="O20" i="27"/>
  <c r="Q13" i="27"/>
  <c r="P12" i="27"/>
  <c r="O11" i="27"/>
  <c r="Q23" i="27"/>
  <c r="P22" i="27"/>
  <c r="O21" i="27"/>
  <c r="P13" i="27"/>
  <c r="O12" i="27"/>
  <c r="P23" i="27"/>
  <c r="O22" i="27"/>
  <c r="Q16" i="27"/>
  <c r="Q24" i="27" s="1"/>
  <c r="O23" i="27"/>
  <c r="Q17" i="27"/>
  <c r="O10" i="27"/>
  <c r="Q8" i="27"/>
  <c r="P7" i="27"/>
  <c r="O6" i="27"/>
  <c r="O14" i="27" s="1"/>
  <c r="O25" i="27" s="1"/>
  <c r="Q19" i="27"/>
  <c r="Q11" i="27"/>
  <c r="P8" i="27"/>
  <c r="O7" i="27"/>
  <c r="P19" i="27"/>
  <c r="P11" i="27"/>
  <c r="O8" i="27"/>
  <c r="Q21" i="27"/>
  <c r="O19" i="27"/>
  <c r="P17" i="27"/>
  <c r="Q9" i="27"/>
  <c r="O17" i="27"/>
  <c r="P16" i="27"/>
  <c r="Q12" i="27"/>
  <c r="P9" i="27"/>
  <c r="Q18" i="27"/>
  <c r="O16" i="27"/>
  <c r="O24" i="27" s="1"/>
  <c r="O9" i="27"/>
  <c r="Q20" i="27"/>
  <c r="P18" i="27"/>
  <c r="Q10" i="27"/>
  <c r="Q6" i="27"/>
  <c r="Q14" i="27" s="1"/>
  <c r="Q25" i="27" s="1"/>
  <c r="P20" i="27"/>
  <c r="O18" i="27"/>
  <c r="O13" i="27"/>
  <c r="P10" i="27"/>
  <c r="Q7" i="27"/>
  <c r="P6" i="27"/>
  <c r="Y26" i="6"/>
  <c r="Y6" i="6"/>
  <c r="S26" i="6"/>
  <c r="S6" i="6"/>
  <c r="BE20" i="25"/>
  <c r="F17" i="27" s="1"/>
  <c r="Z28" i="12"/>
  <c r="G6" i="17"/>
  <c r="G18" i="19" s="1"/>
  <c r="G19" i="19"/>
  <c r="G43" i="19" s="1"/>
  <c r="E9" i="14"/>
  <c r="E9" i="18" s="1"/>
  <c r="E10" i="18"/>
  <c r="E40" i="18" s="1"/>
  <c r="AA29" i="13"/>
  <c r="I12" i="16"/>
  <c r="I24" i="18" s="1"/>
  <c r="I25" i="18"/>
  <c r="I45" i="18" s="1"/>
  <c r="M25" i="18"/>
  <c r="M45" i="18" s="1"/>
  <c r="M12" i="16"/>
  <c r="M24" i="18" s="1"/>
  <c r="W12" i="15"/>
  <c r="W12" i="19" s="1"/>
  <c r="W13" i="19"/>
  <c r="W41" i="19" s="1"/>
  <c r="BE13" i="25"/>
  <c r="F23" i="27" s="1"/>
  <c r="AF23" i="27" s="1"/>
  <c r="AY13" i="25"/>
  <c r="BA13" i="25" s="1"/>
  <c r="BB13" i="25" s="1"/>
  <c r="BD13" i="25"/>
  <c r="AZ15" i="25"/>
  <c r="N25" i="10"/>
  <c r="L22" i="19"/>
  <c r="L44" i="19" s="1"/>
  <c r="L9" i="17"/>
  <c r="L21" i="19" s="1"/>
  <c r="L12" i="9"/>
  <c r="L29" i="9"/>
  <c r="AK93" i="25" a="1"/>
  <c r="AK93" i="25" s="1"/>
  <c r="Q29" i="7"/>
  <c r="Q12" i="7"/>
  <c r="E6" i="15"/>
  <c r="E6" i="19" s="1"/>
  <c r="E7" i="19"/>
  <c r="E39" i="19" s="1"/>
  <c r="W13" i="18"/>
  <c r="W41" i="18" s="1"/>
  <c r="W12" i="14"/>
  <c r="W12" i="18" s="1"/>
  <c r="V15" i="14"/>
  <c r="V15" i="18" s="1"/>
  <c r="V16" i="18"/>
  <c r="V42" i="18" s="1"/>
  <c r="M16" i="18"/>
  <c r="M42" i="18" s="1"/>
  <c r="M15" i="14"/>
  <c r="M15" i="18" s="1"/>
  <c r="BJ82" i="25"/>
  <c r="F28" i="18"/>
  <c r="F46" i="18" s="1"/>
  <c r="F15" i="16"/>
  <c r="F27" i="18" s="1"/>
  <c r="W15" i="16"/>
  <c r="W27" i="18" s="1"/>
  <c r="W28" i="18"/>
  <c r="W46" i="18" s="1"/>
  <c r="U15" i="16"/>
  <c r="U27" i="18" s="1"/>
  <c r="U28" i="18"/>
  <c r="U46" i="18" s="1"/>
  <c r="H6" i="7"/>
  <c r="H26" i="7"/>
  <c r="Q6" i="7"/>
  <c r="Q26" i="7"/>
  <c r="X22" i="18"/>
  <c r="X44" i="18" s="1"/>
  <c r="X9" i="16"/>
  <c r="X21" i="18" s="1"/>
  <c r="T22" i="18"/>
  <c r="T44" i="18" s="1"/>
  <c r="T9" i="16"/>
  <c r="T21" i="18" s="1"/>
  <c r="L10" i="19"/>
  <c r="L40" i="19" s="1"/>
  <c r="L9" i="15"/>
  <c r="L9" i="19" s="1"/>
  <c r="AZ12" i="25"/>
  <c r="BA12" i="25" s="1"/>
  <c r="BB12" i="25" s="1"/>
  <c r="I6" i="6"/>
  <c r="I26" i="6"/>
  <c r="K12" i="6"/>
  <c r="K29" i="6"/>
  <c r="BE85" i="25"/>
  <c r="AY85" i="25"/>
  <c r="BD85" i="25"/>
  <c r="BA85" i="25"/>
  <c r="BB85" i="25" s="1"/>
  <c r="W15" i="17"/>
  <c r="W27" i="19" s="1"/>
  <c r="W28" i="19"/>
  <c r="W46" i="19" s="1"/>
  <c r="AI93" i="25" a="1"/>
  <c r="AI93" i="25" s="1"/>
  <c r="L14" i="27"/>
  <c r="BJ10" i="25"/>
  <c r="BG10" i="25"/>
  <c r="BI10" i="25"/>
  <c r="BH10" i="25"/>
  <c r="BF10" i="25"/>
  <c r="G13" i="19"/>
  <c r="G41" i="19" s="1"/>
  <c r="G12" i="15"/>
  <c r="G12" i="19" s="1"/>
  <c r="Z23" i="27"/>
  <c r="BH58" i="25"/>
  <c r="BE15" i="25"/>
  <c r="F16" i="27" s="1"/>
  <c r="BD15" i="25"/>
  <c r="AY15" i="25"/>
  <c r="BA15" i="25" s="1"/>
  <c r="BB15" i="25" s="1"/>
  <c r="W22" i="19"/>
  <c r="W44" i="19" s="1"/>
  <c r="W9" i="17"/>
  <c r="W21" i="19" s="1"/>
  <c r="H12" i="9"/>
  <c r="H29" i="9"/>
  <c r="I12" i="7"/>
  <c r="I29" i="7"/>
  <c r="Y6" i="15"/>
  <c r="Y6" i="19" s="1"/>
  <c r="Y7" i="19"/>
  <c r="Y39" i="19" s="1"/>
  <c r="X12" i="14"/>
  <c r="X12" i="18" s="1"/>
  <c r="X13" i="18"/>
  <c r="X41" i="18" s="1"/>
  <c r="S15" i="14"/>
  <c r="S15" i="18" s="1"/>
  <c r="S16" i="18"/>
  <c r="S42" i="18" s="1"/>
  <c r="K28" i="18"/>
  <c r="K46" i="18" s="1"/>
  <c r="K15" i="16"/>
  <c r="K27" i="18" s="1"/>
  <c r="Y6" i="7"/>
  <c r="Y26" i="7"/>
  <c r="F12" i="8"/>
  <c r="F29" i="8"/>
  <c r="U12" i="8"/>
  <c r="U29" i="8"/>
  <c r="V7" i="4"/>
  <c r="V6" i="4" s="1"/>
  <c r="K7" i="4"/>
  <c r="K6" i="4" s="1"/>
  <c r="U7" i="4"/>
  <c r="U6" i="4" s="1"/>
  <c r="J7" i="4"/>
  <c r="J6" i="4" s="1"/>
  <c r="S7" i="4"/>
  <c r="S6" i="4" s="1"/>
  <c r="T7" i="4"/>
  <c r="T6" i="4" s="1"/>
  <c r="I7" i="4"/>
  <c r="I6" i="4" s="1"/>
  <c r="H7" i="4"/>
  <c r="H6" i="4" s="1"/>
  <c r="R7" i="4"/>
  <c r="R6" i="4" s="1"/>
  <c r="G7" i="4"/>
  <c r="G6" i="4" s="1"/>
  <c r="F7" i="4"/>
  <c r="F6" i="4" s="1"/>
  <c r="E7" i="4"/>
  <c r="E6" i="4" s="1"/>
  <c r="Y7" i="4"/>
  <c r="Y6" i="4" s="1"/>
  <c r="W7" i="4"/>
  <c r="W6" i="4" s="1"/>
  <c r="Q7" i="4"/>
  <c r="Q6" i="4" s="1"/>
  <c r="M7" i="4"/>
  <c r="M6" i="4" s="1"/>
  <c r="L7" i="4"/>
  <c r="L6" i="4" s="1"/>
  <c r="X7" i="4"/>
  <c r="X6" i="4" s="1"/>
  <c r="Y9" i="16"/>
  <c r="Y21" i="18" s="1"/>
  <c r="Y22" i="18"/>
  <c r="Y44" i="18" s="1"/>
  <c r="H22" i="18"/>
  <c r="H44" i="18" s="1"/>
  <c r="H9" i="16"/>
  <c r="H21" i="18" s="1"/>
  <c r="BE90" i="25"/>
  <c r="T9" i="15"/>
  <c r="T9" i="19" s="1"/>
  <c r="T10" i="19"/>
  <c r="T40" i="19" s="1"/>
  <c r="BJ64" i="25"/>
  <c r="BF64" i="25"/>
  <c r="BI64" i="25"/>
  <c r="BH64" i="25"/>
  <c r="BG64" i="25"/>
  <c r="G30" i="11"/>
  <c r="W16" i="4"/>
  <c r="W15" i="4" s="1"/>
  <c r="L16" i="4"/>
  <c r="L15" i="4" s="1"/>
  <c r="I16" i="4"/>
  <c r="I15" i="4" s="1"/>
  <c r="V16" i="4"/>
  <c r="V15" i="4" s="1"/>
  <c r="K16" i="4"/>
  <c r="K15" i="4" s="1"/>
  <c r="H16" i="4"/>
  <c r="H15" i="4" s="1"/>
  <c r="U16" i="4"/>
  <c r="U15" i="4" s="1"/>
  <c r="J16" i="4"/>
  <c r="J15" i="4" s="1"/>
  <c r="T16" i="4"/>
  <c r="T15" i="4" s="1"/>
  <c r="S16" i="4"/>
  <c r="S15" i="4" s="1"/>
  <c r="E16" i="4"/>
  <c r="E15" i="4" s="1"/>
  <c r="M16" i="4"/>
  <c r="M15" i="4" s="1"/>
  <c r="Y16" i="4"/>
  <c r="Y15" i="4" s="1"/>
  <c r="Q16" i="4"/>
  <c r="Q15" i="4" s="1"/>
  <c r="G16" i="4"/>
  <c r="G15" i="4" s="1"/>
  <c r="F16" i="4"/>
  <c r="F15" i="4" s="1"/>
  <c r="X16" i="4"/>
  <c r="X15" i="4" s="1"/>
  <c r="R16" i="4"/>
  <c r="R15" i="4" s="1"/>
  <c r="BH17" i="25"/>
  <c r="BJ17" i="25"/>
  <c r="BF17" i="25"/>
  <c r="BG17" i="25"/>
  <c r="BI17" i="25"/>
  <c r="X6" i="6"/>
  <c r="X26" i="6"/>
  <c r="E24" i="27"/>
  <c r="AF10" i="27"/>
  <c r="AV93" i="25" a="1"/>
  <c r="AV93" i="25" s="1"/>
  <c r="R29" i="6"/>
  <c r="R12" i="6"/>
  <c r="N26" i="12"/>
  <c r="W26" i="9"/>
  <c r="W6" i="9"/>
  <c r="H19" i="19"/>
  <c r="H43" i="19" s="1"/>
  <c r="H6" i="17"/>
  <c r="H18" i="19" s="1"/>
  <c r="G10" i="18"/>
  <c r="G40" i="18" s="1"/>
  <c r="G9" i="14"/>
  <c r="G9" i="18" s="1"/>
  <c r="U25" i="18"/>
  <c r="U45" i="18" s="1"/>
  <c r="U12" i="16"/>
  <c r="U24" i="18" s="1"/>
  <c r="F25" i="18"/>
  <c r="F45" i="18" s="1"/>
  <c r="F12" i="16"/>
  <c r="F24" i="18" s="1"/>
  <c r="BE89" i="25"/>
  <c r="X18" i="27" s="1"/>
  <c r="X13" i="19"/>
  <c r="X41" i="19" s="1"/>
  <c r="X12" i="15"/>
  <c r="X12" i="19" s="1"/>
  <c r="X20" i="27"/>
  <c r="X11" i="27"/>
  <c r="X23" i="27"/>
  <c r="X16" i="27"/>
  <c r="X6" i="27"/>
  <c r="X8" i="27"/>
  <c r="X19" i="27"/>
  <c r="AX93" i="25" a="1"/>
  <c r="AX93" i="25" s="1"/>
  <c r="BF15" i="25"/>
  <c r="BH15" i="25"/>
  <c r="BJ15" i="25"/>
  <c r="BG15" i="25"/>
  <c r="BI15" i="25"/>
  <c r="J22" i="19"/>
  <c r="J44" i="19" s="1"/>
  <c r="J9" i="17"/>
  <c r="J21" i="19" s="1"/>
  <c r="BA62" i="25"/>
  <c r="BB62" i="25" s="1"/>
  <c r="T12" i="7"/>
  <c r="T29" i="7"/>
  <c r="U7" i="19"/>
  <c r="U39" i="19" s="1"/>
  <c r="U6" i="15"/>
  <c r="U6" i="19" s="1"/>
  <c r="T12" i="17"/>
  <c r="T24" i="19" s="1"/>
  <c r="T25" i="19"/>
  <c r="T45" i="19" s="1"/>
  <c r="S13" i="18"/>
  <c r="S41" i="18" s="1"/>
  <c r="S12" i="14"/>
  <c r="S12" i="18" s="1"/>
  <c r="Q13" i="18"/>
  <c r="Q41" i="18" s="1"/>
  <c r="Q12" i="14"/>
  <c r="Q12" i="18" s="1"/>
  <c r="W16" i="18"/>
  <c r="W42" i="18" s="1"/>
  <c r="W15" i="14"/>
  <c r="W15" i="18" s="1"/>
  <c r="F15" i="14"/>
  <c r="F15" i="18" s="1"/>
  <c r="F16" i="18"/>
  <c r="F42" i="18" s="1"/>
  <c r="AQ55" i="25"/>
  <c r="AG55" i="25"/>
  <c r="AK55" i="25"/>
  <c r="AV55" i="25"/>
  <c r="AI55" i="25"/>
  <c r="BE57" i="25" s="1"/>
  <c r="AJ55" i="25"/>
  <c r="AT55" i="25"/>
  <c r="AH55" i="25"/>
  <c r="AX55" i="25"/>
  <c r="AR55" i="25"/>
  <c r="AU55" i="25"/>
  <c r="AL55" i="25"/>
  <c r="AN55" i="25"/>
  <c r="AW55" i="25"/>
  <c r="AM55" i="25"/>
  <c r="AP55" i="25"/>
  <c r="AZ55" i="25" s="1"/>
  <c r="AS55" i="25"/>
  <c r="AO55" i="25"/>
  <c r="Z55" i="25"/>
  <c r="N13" i="27" s="1"/>
  <c r="H30" i="12"/>
  <c r="AO93" i="25" a="1"/>
  <c r="AO93" i="25" s="1"/>
  <c r="K30" i="10"/>
  <c r="E6" i="6"/>
  <c r="E26" i="6"/>
  <c r="J6" i="6"/>
  <c r="J26" i="6"/>
  <c r="AF16" i="27"/>
  <c r="D24" i="27"/>
  <c r="AF22" i="27"/>
  <c r="BE17" i="25"/>
  <c r="F18" i="27" s="1"/>
  <c r="BD17" i="25"/>
  <c r="AY17" i="25"/>
  <c r="BA17" i="25" s="1"/>
  <c r="BB17" i="25" s="1"/>
  <c r="W6" i="6"/>
  <c r="W26" i="6"/>
  <c r="U6" i="6"/>
  <c r="U26" i="6"/>
  <c r="E14" i="27"/>
  <c r="AP66" i="25"/>
  <c r="AZ66" i="25" s="1"/>
  <c r="AR66" i="25"/>
  <c r="AL66" i="25"/>
  <c r="BE60" i="25" s="1"/>
  <c r="AG66" i="25"/>
  <c r="AT66" i="25"/>
  <c r="AM66" i="25"/>
  <c r="AW66" i="25"/>
  <c r="AU66" i="25"/>
  <c r="AK66" i="25"/>
  <c r="AI66" i="25"/>
  <c r="BE64" i="25" s="1"/>
  <c r="AV66" i="25"/>
  <c r="AH66" i="25"/>
  <c r="AX66" i="25"/>
  <c r="AJ66" i="25"/>
  <c r="AN66" i="25"/>
  <c r="AQ66" i="25"/>
  <c r="AS66" i="25"/>
  <c r="AO66" i="25"/>
  <c r="Z66" i="25"/>
  <c r="N20" i="27" s="1"/>
  <c r="Z20" i="27" s="1"/>
  <c r="C68" i="1"/>
  <c r="V29" i="6"/>
  <c r="V12" i="6"/>
  <c r="F29" i="6"/>
  <c r="F12" i="6"/>
  <c r="AZ6" i="25"/>
  <c r="Q28" i="19"/>
  <c r="Q46" i="19" s="1"/>
  <c r="Q15" i="17"/>
  <c r="Q27" i="19" s="1"/>
  <c r="L15" i="17"/>
  <c r="L27" i="19" s="1"/>
  <c r="L28" i="19"/>
  <c r="L46" i="19" s="1"/>
  <c r="T6" i="8"/>
  <c r="T26" i="8"/>
  <c r="H6" i="8"/>
  <c r="H26" i="8"/>
  <c r="R26" i="8"/>
  <c r="R6" i="8"/>
  <c r="X26" i="9"/>
  <c r="X6" i="9"/>
  <c r="H6" i="9"/>
  <c r="H26" i="9"/>
  <c r="M19" i="19"/>
  <c r="M43" i="19" s="1"/>
  <c r="M6" i="17"/>
  <c r="M18" i="19" s="1"/>
  <c r="K6" i="17"/>
  <c r="K18" i="19" s="1"/>
  <c r="K19" i="19"/>
  <c r="K43" i="19" s="1"/>
  <c r="K25" i="17" s="1"/>
  <c r="K30" i="17" s="1"/>
  <c r="U6" i="17"/>
  <c r="U18" i="19" s="1"/>
  <c r="U19" i="19"/>
  <c r="U43" i="19" s="1"/>
  <c r="G30" i="12"/>
  <c r="R10" i="18"/>
  <c r="R40" i="18" s="1"/>
  <c r="R9" i="14"/>
  <c r="R9" i="18" s="1"/>
  <c r="H10" i="18"/>
  <c r="H40" i="18" s="1"/>
  <c r="H9" i="14"/>
  <c r="H9" i="18" s="1"/>
  <c r="AZ88" i="25"/>
  <c r="BA88" i="25" s="1"/>
  <c r="BB88" i="25" s="1"/>
  <c r="W25" i="18"/>
  <c r="W45" i="18" s="1"/>
  <c r="W12" i="16"/>
  <c r="W24" i="18" s="1"/>
  <c r="K25" i="18"/>
  <c r="K45" i="18" s="1"/>
  <c r="K12" i="16"/>
  <c r="K24" i="18" s="1"/>
  <c r="Y12" i="16"/>
  <c r="Y24" i="18" s="1"/>
  <c r="Y25" i="18"/>
  <c r="Y45" i="18" s="1"/>
  <c r="T13" i="5"/>
  <c r="T12" i="5" s="1"/>
  <c r="I13" i="5"/>
  <c r="I12" i="5" s="1"/>
  <c r="E13" i="5"/>
  <c r="E12" i="5" s="1"/>
  <c r="S13" i="5"/>
  <c r="S12" i="5" s="1"/>
  <c r="H13" i="5"/>
  <c r="H12" i="5" s="1"/>
  <c r="Y13" i="5"/>
  <c r="Y12" i="5" s="1"/>
  <c r="X13" i="5"/>
  <c r="X12" i="5" s="1"/>
  <c r="R13" i="5"/>
  <c r="R12" i="5" s="1"/>
  <c r="G13" i="5"/>
  <c r="G12" i="5" s="1"/>
  <c r="Q13" i="5"/>
  <c r="Q12" i="5" s="1"/>
  <c r="M13" i="5"/>
  <c r="M12" i="5" s="1"/>
  <c r="F13" i="5"/>
  <c r="F12" i="5" s="1"/>
  <c r="U13" i="5"/>
  <c r="U12" i="5" s="1"/>
  <c r="L13" i="5"/>
  <c r="L12" i="5" s="1"/>
  <c r="V13" i="5"/>
  <c r="V12" i="5" s="1"/>
  <c r="K13" i="5"/>
  <c r="K12" i="5" s="1"/>
  <c r="J13" i="5"/>
  <c r="J12" i="5" s="1"/>
  <c r="W13" i="5"/>
  <c r="W12" i="5" s="1"/>
  <c r="K16" i="19"/>
  <c r="K42" i="19" s="1"/>
  <c r="K15" i="15"/>
  <c r="K15" i="19" s="1"/>
  <c r="F16" i="19"/>
  <c r="F42" i="19" s="1"/>
  <c r="F15" i="15"/>
  <c r="F15" i="19" s="1"/>
  <c r="M16" i="19"/>
  <c r="M42" i="19" s="1"/>
  <c r="M15" i="15"/>
  <c r="M15" i="19" s="1"/>
  <c r="L30" i="12"/>
  <c r="AZ10" i="25"/>
  <c r="BA10" i="25" s="1"/>
  <c r="BB10" i="25" s="1"/>
  <c r="I13" i="19"/>
  <c r="I41" i="19" s="1"/>
  <c r="I12" i="15"/>
  <c r="I12" i="19" s="1"/>
  <c r="J13" i="19"/>
  <c r="J41" i="19" s="1"/>
  <c r="J12" i="15"/>
  <c r="J12" i="19" s="1"/>
  <c r="AZ86" i="25"/>
  <c r="AM16" i="27"/>
  <c r="AM7" i="27"/>
  <c r="AM17" i="27"/>
  <c r="AM8" i="27"/>
  <c r="AM18" i="27"/>
  <c r="AM19" i="27"/>
  <c r="AM10" i="27"/>
  <c r="AM21" i="27"/>
  <c r="AM13" i="27"/>
  <c r="AM23" i="27"/>
  <c r="AM11" i="27"/>
  <c r="AM20" i="27"/>
  <c r="AM6" i="27"/>
  <c r="AM9" i="27"/>
  <c r="AM22" i="27"/>
  <c r="AM12" i="27"/>
  <c r="K22" i="19"/>
  <c r="K44" i="19" s="1"/>
  <c r="K9" i="17"/>
  <c r="K21" i="19" s="1"/>
  <c r="U22" i="19"/>
  <c r="U44" i="19" s="1"/>
  <c r="U26" i="17" s="1"/>
  <c r="U31" i="17" s="1"/>
  <c r="U9" i="17"/>
  <c r="U21" i="19" s="1"/>
  <c r="X22" i="19"/>
  <c r="X44" i="19" s="1"/>
  <c r="X9" i="17"/>
  <c r="X21" i="19" s="1"/>
  <c r="Z25" i="11"/>
  <c r="X12" i="9"/>
  <c r="X29" i="9"/>
  <c r="Y29" i="9"/>
  <c r="Y12" i="9"/>
  <c r="AU93" i="25" a="1"/>
  <c r="AU93" i="25" s="1"/>
  <c r="Z21" i="27"/>
  <c r="X30" i="12"/>
  <c r="X29" i="7"/>
  <c r="X12" i="7"/>
  <c r="W29" i="7"/>
  <c r="W12" i="7"/>
  <c r="BI8" i="25"/>
  <c r="BH8" i="25"/>
  <c r="BF8" i="25"/>
  <c r="BG8" i="25"/>
  <c r="BJ8" i="25"/>
  <c r="S7" i="19"/>
  <c r="S39" i="19" s="1"/>
  <c r="S6" i="15"/>
  <c r="S6" i="19" s="1"/>
  <c r="R6" i="15"/>
  <c r="R6" i="19" s="1"/>
  <c r="R7" i="19"/>
  <c r="R39" i="19" s="1"/>
  <c r="R25" i="15" s="1"/>
  <c r="R30" i="15" s="1"/>
  <c r="AY19" i="25"/>
  <c r="BE19" i="25"/>
  <c r="F22" i="27" s="1"/>
  <c r="BD19" i="25"/>
  <c r="J25" i="19"/>
  <c r="J45" i="19" s="1"/>
  <c r="J12" i="17"/>
  <c r="J24" i="19" s="1"/>
  <c r="R25" i="19"/>
  <c r="R45" i="19" s="1"/>
  <c r="R12" i="17"/>
  <c r="R24" i="19" s="1"/>
  <c r="H13" i="18"/>
  <c r="H41" i="18" s="1"/>
  <c r="H12" i="14"/>
  <c r="H12" i="18" s="1"/>
  <c r="J13" i="18"/>
  <c r="J41" i="18" s="1"/>
  <c r="J12" i="14"/>
  <c r="J12" i="18" s="1"/>
  <c r="H16" i="18"/>
  <c r="H42" i="18" s="1"/>
  <c r="H15" i="14"/>
  <c r="H15" i="18" s="1"/>
  <c r="Y16" i="18"/>
  <c r="Y42" i="18" s="1"/>
  <c r="Y15" i="14"/>
  <c r="Y15" i="18" s="1"/>
  <c r="G15" i="16"/>
  <c r="G27" i="18" s="1"/>
  <c r="G28" i="18"/>
  <c r="G46" i="18" s="1"/>
  <c r="Y28" i="18"/>
  <c r="Y46" i="18" s="1"/>
  <c r="Y15" i="16"/>
  <c r="Y27" i="18" s="1"/>
  <c r="BH11" i="25"/>
  <c r="BF11" i="25"/>
  <c r="BI11" i="25"/>
  <c r="BJ11" i="25"/>
  <c r="BG11" i="25"/>
  <c r="AQ93" i="25" a="1"/>
  <c r="AQ93" i="25" s="1"/>
  <c r="R6" i="7"/>
  <c r="R26" i="7"/>
  <c r="U26" i="7"/>
  <c r="U6" i="7"/>
  <c r="AY80" i="25"/>
  <c r="BA80" i="25" s="1"/>
  <c r="BB80" i="25" s="1"/>
  <c r="BE80" i="25"/>
  <c r="X12" i="27" s="1"/>
  <c r="BD80" i="25"/>
  <c r="V7" i="3"/>
  <c r="V6" i="3" s="1"/>
  <c r="K7" i="3"/>
  <c r="K6" i="3" s="1"/>
  <c r="J7" i="3"/>
  <c r="J6" i="3" s="1"/>
  <c r="S7" i="3"/>
  <c r="S6" i="3" s="1"/>
  <c r="U7" i="3"/>
  <c r="U6" i="3" s="1"/>
  <c r="H7" i="3"/>
  <c r="H6" i="3" s="1"/>
  <c r="R7" i="3"/>
  <c r="R6" i="3" s="1"/>
  <c r="T7" i="3"/>
  <c r="T6" i="3" s="1"/>
  <c r="I7" i="3"/>
  <c r="I6" i="3" s="1"/>
  <c r="G7" i="3"/>
  <c r="G6" i="3" s="1"/>
  <c r="E7" i="3"/>
  <c r="E6" i="3" s="1"/>
  <c r="L7" i="3"/>
  <c r="L6" i="3" s="1"/>
  <c r="Y7" i="3"/>
  <c r="Y6" i="3" s="1"/>
  <c r="Q7" i="3"/>
  <c r="Q6" i="3" s="1"/>
  <c r="X7" i="3"/>
  <c r="X6" i="3" s="1"/>
  <c r="M7" i="3"/>
  <c r="M6" i="3" s="1"/>
  <c r="F7" i="3"/>
  <c r="F6" i="3" s="1"/>
  <c r="W7" i="3"/>
  <c r="W6" i="3" s="1"/>
  <c r="T12" i="8"/>
  <c r="T29" i="8"/>
  <c r="E29" i="8"/>
  <c r="E12" i="8"/>
  <c r="R9" i="16"/>
  <c r="R21" i="18" s="1"/>
  <c r="R22" i="18"/>
  <c r="R44" i="18" s="1"/>
  <c r="V22" i="18"/>
  <c r="V44" i="18" s="1"/>
  <c r="V9" i="16"/>
  <c r="V21" i="18" s="1"/>
  <c r="T7" i="18"/>
  <c r="T39" i="18" s="1"/>
  <c r="T6" i="14"/>
  <c r="T6" i="18" s="1"/>
  <c r="R7" i="18"/>
  <c r="R39" i="18" s="1"/>
  <c r="R6" i="14"/>
  <c r="R6" i="18" s="1"/>
  <c r="H6" i="14"/>
  <c r="H6" i="18" s="1"/>
  <c r="H7" i="18"/>
  <c r="H39" i="18" s="1"/>
  <c r="X10" i="19"/>
  <c r="X40" i="19" s="1"/>
  <c r="X9" i="15"/>
  <c r="X9" i="19" s="1"/>
  <c r="Q10" i="19"/>
  <c r="Q40" i="19" s="1"/>
  <c r="Q9" i="15"/>
  <c r="Q9" i="19" s="1"/>
  <c r="M30" i="12"/>
  <c r="AG93" i="25" a="1"/>
  <c r="AG93" i="25" s="1"/>
  <c r="BE77" i="25"/>
  <c r="X10" i="27" s="1"/>
  <c r="BD77" i="25"/>
  <c r="AY77" i="25"/>
  <c r="BA77" i="25"/>
  <c r="BB77" i="25" s="1"/>
  <c r="BE81" i="25"/>
  <c r="X7" i="27" s="1"/>
  <c r="Z8" i="27"/>
  <c r="BG91" i="25"/>
  <c r="L26" i="6"/>
  <c r="L6" i="6"/>
  <c r="AF19" i="27"/>
  <c r="X12" i="6"/>
  <c r="X29" i="6"/>
  <c r="U26" i="8"/>
  <c r="U6" i="8"/>
  <c r="L26" i="8"/>
  <c r="L6" i="8"/>
  <c r="I26" i="9"/>
  <c r="I6" i="9"/>
  <c r="L6" i="17"/>
  <c r="L18" i="19" s="1"/>
  <c r="L19" i="19"/>
  <c r="L43" i="19" s="1"/>
  <c r="M9" i="14"/>
  <c r="M9" i="18" s="1"/>
  <c r="M10" i="18"/>
  <c r="M40" i="18" s="1"/>
  <c r="V22" i="19"/>
  <c r="V44" i="19" s="1"/>
  <c r="V9" i="17"/>
  <c r="V21" i="19" s="1"/>
  <c r="F6" i="7"/>
  <c r="F26" i="7"/>
  <c r="K29" i="8"/>
  <c r="K12" i="8"/>
  <c r="M9" i="16"/>
  <c r="M21" i="18" s="1"/>
  <c r="M22" i="18"/>
  <c r="M44" i="18" s="1"/>
  <c r="M7" i="18"/>
  <c r="M39" i="18" s="1"/>
  <c r="M6" i="14"/>
  <c r="M6" i="18" s="1"/>
  <c r="Z13" i="27"/>
  <c r="AY12" i="25"/>
  <c r="BE12" i="25"/>
  <c r="F8" i="27" s="1"/>
  <c r="BD12" i="25"/>
  <c r="BH12" i="25"/>
  <c r="BI12" i="25"/>
  <c r="BJ12" i="25"/>
  <c r="BF12" i="25"/>
  <c r="BG12" i="25"/>
  <c r="M6" i="6"/>
  <c r="M26" i="6"/>
  <c r="S29" i="6"/>
  <c r="S12" i="6"/>
  <c r="E15" i="17"/>
  <c r="E27" i="19" s="1"/>
  <c r="E28" i="19"/>
  <c r="E46" i="19" s="1"/>
  <c r="E28" i="17" s="1"/>
  <c r="U28" i="19"/>
  <c r="U46" i="19" s="1"/>
  <c r="U15" i="17"/>
  <c r="U27" i="19" s="1"/>
  <c r="W26" i="8"/>
  <c r="W6" i="8"/>
  <c r="T13" i="3"/>
  <c r="T12" i="3" s="1"/>
  <c r="I13" i="3"/>
  <c r="I12" i="3" s="1"/>
  <c r="Q13" i="3"/>
  <c r="Q12" i="3" s="1"/>
  <c r="S13" i="3"/>
  <c r="S12" i="3" s="1"/>
  <c r="H13" i="3"/>
  <c r="H12" i="3" s="1"/>
  <c r="Y13" i="3"/>
  <c r="Y12" i="3" s="1"/>
  <c r="X13" i="3"/>
  <c r="X12" i="3" s="1"/>
  <c r="R13" i="3"/>
  <c r="R12" i="3" s="1"/>
  <c r="G13" i="3"/>
  <c r="G12" i="3" s="1"/>
  <c r="M13" i="3"/>
  <c r="M12" i="3" s="1"/>
  <c r="E13" i="3"/>
  <c r="E12" i="3" s="1"/>
  <c r="F13" i="3"/>
  <c r="F12" i="3" s="1"/>
  <c r="K13" i="3"/>
  <c r="K12" i="3" s="1"/>
  <c r="L13" i="3"/>
  <c r="L12" i="3" s="1"/>
  <c r="J13" i="3"/>
  <c r="J12" i="3" s="1"/>
  <c r="W13" i="3"/>
  <c r="W12" i="3" s="1"/>
  <c r="U13" i="3"/>
  <c r="U12" i="3" s="1"/>
  <c r="V13" i="3"/>
  <c r="V12" i="3" s="1"/>
  <c r="T6" i="9"/>
  <c r="T26" i="9"/>
  <c r="E6" i="17"/>
  <c r="E18" i="19" s="1"/>
  <c r="E19" i="19"/>
  <c r="E43" i="19" s="1"/>
  <c r="Q9" i="14"/>
  <c r="Q9" i="18" s="1"/>
  <c r="Q10" i="18"/>
  <c r="Q40" i="18" s="1"/>
  <c r="E25" i="18"/>
  <c r="E45" i="18" s="1"/>
  <c r="E12" i="16"/>
  <c r="E24" i="18" s="1"/>
  <c r="S15" i="15"/>
  <c r="S15" i="19" s="1"/>
  <c r="S16" i="19"/>
  <c r="S42" i="19" s="1"/>
  <c r="S28" i="15" s="1"/>
  <c r="S33" i="15" s="1"/>
  <c r="AY10" i="25"/>
  <c r="BE10" i="25"/>
  <c r="F9" i="27" s="1"/>
  <c r="BD10" i="25"/>
  <c r="Q12" i="15"/>
  <c r="Q12" i="19" s="1"/>
  <c r="Q13" i="19"/>
  <c r="Q41" i="19" s="1"/>
  <c r="T30" i="11"/>
  <c r="Y10" i="2"/>
  <c r="Y9" i="2" s="1"/>
  <c r="Q10" i="2"/>
  <c r="Q9" i="2" s="1"/>
  <c r="F10" i="2"/>
  <c r="F9" i="2" s="1"/>
  <c r="M10" i="2"/>
  <c r="M9" i="2" s="1"/>
  <c r="X10" i="2"/>
  <c r="X9" i="2" s="1"/>
  <c r="E10" i="2"/>
  <c r="E9" i="2" s="1"/>
  <c r="W10" i="2"/>
  <c r="W9" i="2" s="1"/>
  <c r="L10" i="2"/>
  <c r="L9" i="2" s="1"/>
  <c r="V10" i="2"/>
  <c r="V9" i="2" s="1"/>
  <c r="K10" i="2"/>
  <c r="K9" i="2" s="1"/>
  <c r="J10" i="2"/>
  <c r="J9" i="2" s="1"/>
  <c r="I10" i="2"/>
  <c r="I9" i="2" s="1"/>
  <c r="S10" i="2"/>
  <c r="S9" i="2" s="1"/>
  <c r="R10" i="2"/>
  <c r="R9" i="2" s="1"/>
  <c r="H10" i="2"/>
  <c r="H9" i="2" s="1"/>
  <c r="U10" i="2"/>
  <c r="U9" i="2" s="1"/>
  <c r="G10" i="2"/>
  <c r="G9" i="2" s="1"/>
  <c r="T10" i="2"/>
  <c r="T9" i="2" s="1"/>
  <c r="AM93" i="25" a="1"/>
  <c r="AM93" i="25" s="1"/>
  <c r="R29" i="7"/>
  <c r="R12" i="7"/>
  <c r="I7" i="19"/>
  <c r="I39" i="19" s="1"/>
  <c r="I6" i="15"/>
  <c r="I6" i="19" s="1"/>
  <c r="BH19" i="25"/>
  <c r="BG19" i="25"/>
  <c r="BJ19" i="25"/>
  <c r="BI19" i="25"/>
  <c r="BF19" i="25"/>
  <c r="M12" i="17"/>
  <c r="M24" i="19" s="1"/>
  <c r="M25" i="19"/>
  <c r="M45" i="19" s="1"/>
  <c r="E13" i="18"/>
  <c r="E41" i="18" s="1"/>
  <c r="E12" i="14"/>
  <c r="E12" i="18" s="1"/>
  <c r="K15" i="14"/>
  <c r="K15" i="18" s="1"/>
  <c r="K16" i="18"/>
  <c r="K42" i="18" s="1"/>
  <c r="H15" i="16"/>
  <c r="H27" i="18" s="1"/>
  <c r="H28" i="18"/>
  <c r="H46" i="18" s="1"/>
  <c r="J12" i="6"/>
  <c r="J29" i="6"/>
  <c r="Y12" i="6"/>
  <c r="Y29" i="6"/>
  <c r="I12" i="6"/>
  <c r="I29" i="6"/>
  <c r="R28" i="19"/>
  <c r="R46" i="19" s="1"/>
  <c r="R15" i="17"/>
  <c r="R27" i="19" s="1"/>
  <c r="H15" i="17"/>
  <c r="H27" i="19" s="1"/>
  <c r="H28" i="19"/>
  <c r="H46" i="19" s="1"/>
  <c r="K28" i="19"/>
  <c r="K46" i="19" s="1"/>
  <c r="K15" i="17"/>
  <c r="K27" i="19" s="1"/>
  <c r="S30" i="12"/>
  <c r="V26" i="8"/>
  <c r="V6" i="8"/>
  <c r="F6" i="8"/>
  <c r="F26" i="8"/>
  <c r="R6" i="9"/>
  <c r="R26" i="9"/>
  <c r="M26" i="9"/>
  <c r="M6" i="9"/>
  <c r="I19" i="19"/>
  <c r="I43" i="19" s="1"/>
  <c r="I6" i="17"/>
  <c r="I18" i="19" s="1"/>
  <c r="Y10" i="18"/>
  <c r="Y40" i="18" s="1"/>
  <c r="Y9" i="14"/>
  <c r="Y9" i="18" s="1"/>
  <c r="K9" i="14"/>
  <c r="K9" i="18" s="1"/>
  <c r="K10" i="18"/>
  <c r="K40" i="18" s="1"/>
  <c r="I16" i="19"/>
  <c r="I42" i="19" s="1"/>
  <c r="I28" i="15" s="1"/>
  <c r="I33" i="15" s="1"/>
  <c r="I15" i="15"/>
  <c r="I15" i="19" s="1"/>
  <c r="BE79" i="25"/>
  <c r="X13" i="27" s="1"/>
  <c r="J7" i="19"/>
  <c r="J39" i="19" s="1"/>
  <c r="J6" i="15"/>
  <c r="J6" i="19" s="1"/>
  <c r="L24" i="27"/>
  <c r="Q26" i="6"/>
  <c r="Q6" i="6"/>
  <c r="T29" i="6"/>
  <c r="T12" i="6"/>
  <c r="F28" i="19"/>
  <c r="F46" i="19" s="1"/>
  <c r="F15" i="17"/>
  <c r="F27" i="19" s="1"/>
  <c r="Q6" i="8"/>
  <c r="Q26" i="8"/>
  <c r="W16" i="19"/>
  <c r="W42" i="19" s="1"/>
  <c r="W15" i="15"/>
  <c r="W15" i="19" s="1"/>
  <c r="U15" i="15"/>
  <c r="U15" i="19" s="1"/>
  <c r="U16" i="19"/>
  <c r="U42" i="19" s="1"/>
  <c r="R13" i="19"/>
  <c r="R41" i="19" s="1"/>
  <c r="R12" i="15"/>
  <c r="R12" i="19" s="1"/>
  <c r="AZ13" i="25"/>
  <c r="AX54" i="25"/>
  <c r="AL54" i="25"/>
  <c r="AV54" i="25"/>
  <c r="AH54" i="25"/>
  <c r="AN54" i="25"/>
  <c r="AQ54" i="25"/>
  <c r="AW54" i="25"/>
  <c r="AP54" i="25"/>
  <c r="AZ54" i="25" s="1"/>
  <c r="AI54" i="25"/>
  <c r="AT54" i="25"/>
  <c r="AJ54" i="25"/>
  <c r="AM54" i="25"/>
  <c r="AS54" i="25"/>
  <c r="AR54" i="25"/>
  <c r="AK54" i="25"/>
  <c r="AO54" i="25"/>
  <c r="AU54" i="25"/>
  <c r="AG54" i="25"/>
  <c r="Z54" i="25"/>
  <c r="N11" i="27" s="1"/>
  <c r="Z11" i="27" s="1"/>
  <c r="BD62" i="25"/>
  <c r="K29" i="7"/>
  <c r="K12" i="7"/>
  <c r="W25" i="19"/>
  <c r="W45" i="19" s="1"/>
  <c r="W27" i="17" s="1"/>
  <c r="W32" i="17" s="1"/>
  <c r="W12" i="17"/>
  <c r="W24" i="19" s="1"/>
  <c r="G13" i="18"/>
  <c r="G41" i="18" s="1"/>
  <c r="G12" i="14"/>
  <c r="G12" i="18" s="1"/>
  <c r="AZ17" i="25"/>
  <c r="F26" i="6"/>
  <c r="F6" i="6"/>
  <c r="R26" i="6"/>
  <c r="R6" i="6"/>
  <c r="AP21" i="25" a="1"/>
  <c r="AP21" i="25" s="1"/>
  <c r="C24" i="27"/>
  <c r="C25" i="27" s="1"/>
  <c r="D14" i="27"/>
  <c r="AF6" i="27"/>
  <c r="BJ80" i="25"/>
  <c r="BH80" i="25"/>
  <c r="BI80" i="25"/>
  <c r="BG80" i="25"/>
  <c r="BF80" i="25"/>
  <c r="U29" i="6"/>
  <c r="U12" i="6"/>
  <c r="Q29" i="6"/>
  <c r="Q12" i="6"/>
  <c r="BE6" i="25"/>
  <c r="F11" i="27" s="1"/>
  <c r="BA6" i="25"/>
  <c r="BB6" i="25" s="1"/>
  <c r="AY6" i="25"/>
  <c r="BD6" i="25"/>
  <c r="S28" i="19"/>
  <c r="S46" i="19" s="1"/>
  <c r="S15" i="17"/>
  <c r="S27" i="19" s="1"/>
  <c r="Y28" i="19"/>
  <c r="Y46" i="19" s="1"/>
  <c r="Y15" i="17"/>
  <c r="Y27" i="19" s="1"/>
  <c r="BH86" i="25"/>
  <c r="E6" i="8"/>
  <c r="E26" i="8"/>
  <c r="M26" i="8"/>
  <c r="M6" i="8"/>
  <c r="BF53" i="25"/>
  <c r="BH53" i="25"/>
  <c r="BI53" i="25"/>
  <c r="BJ53" i="25"/>
  <c r="BG53" i="25"/>
  <c r="K6" i="9"/>
  <c r="K26" i="9"/>
  <c r="S6" i="9"/>
  <c r="S26" i="9"/>
  <c r="R19" i="19"/>
  <c r="R43" i="19" s="1"/>
  <c r="R6" i="17"/>
  <c r="R18" i="19" s="1"/>
  <c r="X19" i="19"/>
  <c r="X43" i="19" s="1"/>
  <c r="X6" i="17"/>
  <c r="X18" i="19" s="1"/>
  <c r="X10" i="18"/>
  <c r="X40" i="18" s="1"/>
  <c r="X9" i="14"/>
  <c r="X9" i="18" s="1"/>
  <c r="S10" i="18"/>
  <c r="S40" i="18" s="1"/>
  <c r="S9" i="14"/>
  <c r="S9" i="18" s="1"/>
  <c r="H12" i="16"/>
  <c r="H24" i="18" s="1"/>
  <c r="H25" i="18"/>
  <c r="H45" i="18" s="1"/>
  <c r="X25" i="18"/>
  <c r="X45" i="18" s="1"/>
  <c r="X12" i="16"/>
  <c r="X24" i="18" s="1"/>
  <c r="G12" i="16"/>
  <c r="G24" i="18" s="1"/>
  <c r="G25" i="18"/>
  <c r="G45" i="18" s="1"/>
  <c r="AY58" i="25"/>
  <c r="BA58" i="25"/>
  <c r="BB58" i="25" s="1"/>
  <c r="BD58" i="25"/>
  <c r="L16" i="19"/>
  <c r="L42" i="19" s="1"/>
  <c r="L15" i="15"/>
  <c r="L15" i="19" s="1"/>
  <c r="R15" i="15"/>
  <c r="R15" i="19" s="1"/>
  <c r="R16" i="19"/>
  <c r="R42" i="19" s="1"/>
  <c r="X16" i="19"/>
  <c r="X42" i="19" s="1"/>
  <c r="X15" i="15"/>
  <c r="X15" i="19" s="1"/>
  <c r="I76" i="1"/>
  <c r="G76" i="1" s="1"/>
  <c r="V13" i="19"/>
  <c r="V41" i="19" s="1"/>
  <c r="V12" i="15"/>
  <c r="V12" i="19" s="1"/>
  <c r="L13" i="19"/>
  <c r="L41" i="19" s="1"/>
  <c r="L27" i="15" s="1"/>
  <c r="L32" i="15" s="1"/>
  <c r="L12" i="15"/>
  <c r="L12" i="19" s="1"/>
  <c r="U13" i="19"/>
  <c r="U41" i="19" s="1"/>
  <c r="U12" i="15"/>
  <c r="U12" i="19" s="1"/>
  <c r="BH13" i="25"/>
  <c r="BJ13" i="25"/>
  <c r="BI13" i="25"/>
  <c r="BF13" i="25"/>
  <c r="BG13" i="25"/>
  <c r="BE87" i="25"/>
  <c r="BD87" i="25"/>
  <c r="AY87" i="25"/>
  <c r="BA87" i="25" s="1"/>
  <c r="BB87" i="25" s="1"/>
  <c r="AZ84" i="25"/>
  <c r="T7" i="16"/>
  <c r="I7" i="16"/>
  <c r="S7" i="16"/>
  <c r="H7" i="16"/>
  <c r="X7" i="16"/>
  <c r="K7" i="16"/>
  <c r="W7" i="16"/>
  <c r="J7" i="16"/>
  <c r="V7" i="16"/>
  <c r="G7" i="16"/>
  <c r="D20" i="18"/>
  <c r="U7" i="16"/>
  <c r="F7" i="16"/>
  <c r="M7" i="16"/>
  <c r="L7" i="16"/>
  <c r="Y7" i="16"/>
  <c r="R7" i="16"/>
  <c r="Q7" i="16"/>
  <c r="E7" i="16"/>
  <c r="N28" i="12"/>
  <c r="AN93" i="25" a="1"/>
  <c r="AN93" i="25" s="1"/>
  <c r="T30" i="12"/>
  <c r="Q9" i="17"/>
  <c r="Q21" i="19" s="1"/>
  <c r="Q22" i="19"/>
  <c r="Q44" i="19" s="1"/>
  <c r="I22" i="19"/>
  <c r="I44" i="19" s="1"/>
  <c r="I9" i="17"/>
  <c r="I21" i="19" s="1"/>
  <c r="M12" i="9"/>
  <c r="M29" i="9"/>
  <c r="J29" i="9"/>
  <c r="J12" i="9"/>
  <c r="G29" i="9"/>
  <c r="G12" i="9"/>
  <c r="Y10" i="4"/>
  <c r="Y9" i="4" s="1"/>
  <c r="Q10" i="4"/>
  <c r="Q9" i="4" s="1"/>
  <c r="F10" i="4"/>
  <c r="F9" i="4" s="1"/>
  <c r="U10" i="4"/>
  <c r="U9" i="4" s="1"/>
  <c r="X10" i="4"/>
  <c r="X9" i="4" s="1"/>
  <c r="M10" i="4"/>
  <c r="M9" i="4" s="1"/>
  <c r="E10" i="4"/>
  <c r="E9" i="4" s="1"/>
  <c r="V10" i="4"/>
  <c r="V9" i="4" s="1"/>
  <c r="W10" i="4"/>
  <c r="W9" i="4" s="1"/>
  <c r="L10" i="4"/>
  <c r="L9" i="4" s="1"/>
  <c r="J10" i="4"/>
  <c r="J9" i="4" s="1"/>
  <c r="K10" i="4"/>
  <c r="K9" i="4" s="1"/>
  <c r="T10" i="4"/>
  <c r="T9" i="4" s="1"/>
  <c r="S10" i="4"/>
  <c r="S9" i="4" s="1"/>
  <c r="I10" i="4"/>
  <c r="I9" i="4" s="1"/>
  <c r="H10" i="4"/>
  <c r="H9" i="4" s="1"/>
  <c r="G10" i="4"/>
  <c r="G9" i="4" s="1"/>
  <c r="R10" i="4"/>
  <c r="R9" i="4" s="1"/>
  <c r="AH93" i="25" a="1"/>
  <c r="AH93" i="25" s="1"/>
  <c r="Y29" i="7"/>
  <c r="Y12" i="7"/>
  <c r="H29" i="7"/>
  <c r="H12" i="7"/>
  <c r="AZ8" i="25"/>
  <c r="V7" i="19"/>
  <c r="V39" i="19" s="1"/>
  <c r="V6" i="15"/>
  <c r="V6" i="19" s="1"/>
  <c r="H6" i="15"/>
  <c r="H6" i="19" s="1"/>
  <c r="H7" i="19"/>
  <c r="H39" i="19" s="1"/>
  <c r="K25" i="19"/>
  <c r="K45" i="19" s="1"/>
  <c r="K12" i="17"/>
  <c r="K24" i="19" s="1"/>
  <c r="L12" i="17"/>
  <c r="L24" i="19" s="1"/>
  <c r="L25" i="19"/>
  <c r="L45" i="19" s="1"/>
  <c r="H25" i="19"/>
  <c r="H45" i="19" s="1"/>
  <c r="H12" i="17"/>
  <c r="H24" i="19" s="1"/>
  <c r="BI88" i="25"/>
  <c r="BJ88" i="25"/>
  <c r="BH88" i="25"/>
  <c r="BG88" i="25"/>
  <c r="BF88" i="25"/>
  <c r="BG57" i="25"/>
  <c r="BF57" i="25"/>
  <c r="BH57" i="25"/>
  <c r="BJ57" i="25"/>
  <c r="BI57" i="25"/>
  <c r="M12" i="14"/>
  <c r="M12" i="18" s="1"/>
  <c r="M13" i="18"/>
  <c r="M41" i="18" s="1"/>
  <c r="K13" i="18"/>
  <c r="K41" i="18" s="1"/>
  <c r="K12" i="14"/>
  <c r="K12" i="18" s="1"/>
  <c r="J16" i="18"/>
  <c r="J42" i="18" s="1"/>
  <c r="J15" i="14"/>
  <c r="J15" i="18" s="1"/>
  <c r="G15" i="14"/>
  <c r="G15" i="18" s="1"/>
  <c r="G16" i="18"/>
  <c r="G42" i="18" s="1"/>
  <c r="R30" i="12"/>
  <c r="V28" i="18"/>
  <c r="V46" i="18" s="1"/>
  <c r="V15" i="16"/>
  <c r="V27" i="18" s="1"/>
  <c r="I15" i="16"/>
  <c r="I27" i="18" s="1"/>
  <c r="I28" i="18"/>
  <c r="I46" i="18" s="1"/>
  <c r="B25" i="27"/>
  <c r="B14" i="27"/>
  <c r="Z6" i="27"/>
  <c r="Z14" i="27" s="1"/>
  <c r="Z25" i="27" s="1"/>
  <c r="K6" i="7"/>
  <c r="K26" i="7"/>
  <c r="M6" i="7"/>
  <c r="M26" i="7"/>
  <c r="L6" i="7"/>
  <c r="L26" i="7"/>
  <c r="Q29" i="8"/>
  <c r="Q12" i="8"/>
  <c r="H29" i="8"/>
  <c r="H12" i="8"/>
  <c r="M29" i="8"/>
  <c r="M12" i="8"/>
  <c r="AZ91" i="25"/>
  <c r="J9" i="16"/>
  <c r="J21" i="18" s="1"/>
  <c r="J22" i="18"/>
  <c r="J44" i="18" s="1"/>
  <c r="F22" i="18"/>
  <c r="F44" i="18" s="1"/>
  <c r="F9" i="16"/>
  <c r="F21" i="18" s="1"/>
  <c r="U6" i="14"/>
  <c r="U6" i="18" s="1"/>
  <c r="U7" i="18"/>
  <c r="U39" i="18" s="1"/>
  <c r="E7" i="18"/>
  <c r="E39" i="18" s="1"/>
  <c r="E6" i="14"/>
  <c r="E6" i="18" s="1"/>
  <c r="S6" i="14"/>
  <c r="S6" i="18" s="1"/>
  <c r="S7" i="18"/>
  <c r="S39" i="18" s="1"/>
  <c r="BI91" i="25"/>
  <c r="Y10" i="19"/>
  <c r="Y40" i="19" s="1"/>
  <c r="Y9" i="15"/>
  <c r="Y9" i="19" s="1"/>
  <c r="F10" i="19"/>
  <c r="F40" i="19" s="1"/>
  <c r="F9" i="15"/>
  <c r="F9" i="19" s="1"/>
  <c r="AJ93" i="25" a="1"/>
  <c r="AJ93" i="25" s="1"/>
  <c r="BH77" i="25"/>
  <c r="BF77" i="25"/>
  <c r="BF93" i="25" s="1"/>
  <c r="BG77" i="25"/>
  <c r="BJ77" i="25"/>
  <c r="BI77" i="25"/>
  <c r="AZ82" i="25"/>
  <c r="BD16" i="25"/>
  <c r="BE16" i="25"/>
  <c r="F19" i="27" s="1"/>
  <c r="AY16" i="25"/>
  <c r="BA16" i="25" s="1"/>
  <c r="BB16" i="25" s="1"/>
  <c r="Y93" i="25"/>
  <c r="BD7" i="25"/>
  <c r="AY7" i="25"/>
  <c r="BA7" i="25"/>
  <c r="BB7" i="25" s="1"/>
  <c r="BE7" i="25"/>
  <c r="F13" i="27" s="1"/>
  <c r="X24" i="27" l="1"/>
  <c r="X14" i="27"/>
  <c r="X25" i="27" s="1"/>
  <c r="M27" i="9"/>
  <c r="T27" i="9"/>
  <c r="E33" i="17"/>
  <c r="I27" i="9"/>
  <c r="T27" i="6"/>
  <c r="W30" i="9"/>
  <c r="W31" i="9" s="1"/>
  <c r="BJ54" i="25"/>
  <c r="BG54" i="25"/>
  <c r="BF69" i="25" s="1"/>
  <c r="BF54" i="25"/>
  <c r="BI54" i="25"/>
  <c r="BH54" i="25"/>
  <c r="R27" i="9"/>
  <c r="R27" i="17"/>
  <c r="R32" i="17" s="1"/>
  <c r="Y30" i="9"/>
  <c r="Y31" i="9" s="1"/>
  <c r="X27" i="15"/>
  <c r="X32" i="15" s="1"/>
  <c r="I27" i="6"/>
  <c r="X26" i="16"/>
  <c r="X31" i="16" s="1"/>
  <c r="L30" i="9"/>
  <c r="L31" i="9" s="1"/>
  <c r="H30" i="6"/>
  <c r="H31" i="6" s="1"/>
  <c r="J27" i="7"/>
  <c r="BA21" i="25"/>
  <c r="AF11" i="27"/>
  <c r="G30" i="6"/>
  <c r="G31" i="6" s="1"/>
  <c r="S27" i="7"/>
  <c r="Y27" i="17"/>
  <c r="Y32" i="17" s="1"/>
  <c r="BE65" i="25"/>
  <c r="I26" i="17"/>
  <c r="I31" i="17" s="1"/>
  <c r="T6" i="16"/>
  <c r="T18" i="18" s="1"/>
  <c r="T19" i="18"/>
  <c r="T43" i="18" s="1"/>
  <c r="T25" i="16" s="1"/>
  <c r="T30" i="16" s="1"/>
  <c r="V27" i="15"/>
  <c r="V32" i="15" s="1"/>
  <c r="H27" i="16"/>
  <c r="H32" i="16" s="1"/>
  <c r="T30" i="8"/>
  <c r="T31" i="8" s="1"/>
  <c r="X30" i="9"/>
  <c r="X31" i="9" s="1"/>
  <c r="AM24" i="27"/>
  <c r="Y27" i="16"/>
  <c r="Y32" i="16" s="1"/>
  <c r="BH66" i="25"/>
  <c r="BJ66" i="25"/>
  <c r="BI66" i="25"/>
  <c r="BF66" i="25"/>
  <c r="BG66" i="25"/>
  <c r="U25" i="15"/>
  <c r="U30" i="15" s="1"/>
  <c r="H25" i="17"/>
  <c r="H30" i="17" s="1"/>
  <c r="Y26" i="16"/>
  <c r="Y31" i="16" s="1"/>
  <c r="Y27" i="7"/>
  <c r="J26" i="15"/>
  <c r="J31" i="15" s="1"/>
  <c r="T25" i="14"/>
  <c r="T30" i="14" s="1"/>
  <c r="U27" i="7"/>
  <c r="T30" i="7"/>
  <c r="T31" i="7" s="1"/>
  <c r="W27" i="15"/>
  <c r="W32" i="15" s="1"/>
  <c r="Y27" i="6"/>
  <c r="P24" i="27"/>
  <c r="X25" i="15"/>
  <c r="X30" i="15" s="1"/>
  <c r="E19" i="7"/>
  <c r="E27" i="7"/>
  <c r="F25" i="15"/>
  <c r="F30" i="15" s="1"/>
  <c r="I30" i="9"/>
  <c r="I31" i="9" s="1"/>
  <c r="M26" i="17"/>
  <c r="M31" i="17" s="1"/>
  <c r="V28" i="15"/>
  <c r="V33" i="15" s="1"/>
  <c r="K27" i="8"/>
  <c r="W25" i="15"/>
  <c r="W30" i="15" s="1"/>
  <c r="E27" i="15"/>
  <c r="R30" i="9"/>
  <c r="R31" i="9" s="1"/>
  <c r="F19" i="6"/>
  <c r="F27" i="6"/>
  <c r="J25" i="15"/>
  <c r="J30" i="15" s="1"/>
  <c r="R27" i="7"/>
  <c r="Z30" i="11"/>
  <c r="AA25" i="11"/>
  <c r="AA30" i="11" s="1"/>
  <c r="Z24" i="11"/>
  <c r="AA24" i="11" s="1"/>
  <c r="R26" i="14"/>
  <c r="R31" i="14" s="1"/>
  <c r="F30" i="6"/>
  <c r="F31" i="6" s="1"/>
  <c r="W27" i="9"/>
  <c r="I30" i="7"/>
  <c r="I31" i="7" s="1"/>
  <c r="E25" i="15"/>
  <c r="F30" i="7"/>
  <c r="F31" i="7" s="1"/>
  <c r="H26" i="17"/>
  <c r="H31" i="17" s="1"/>
  <c r="S27" i="8"/>
  <c r="L30" i="8"/>
  <c r="L31" i="8" s="1"/>
  <c r="I27" i="7"/>
  <c r="H28" i="15"/>
  <c r="H33" i="15" s="1"/>
  <c r="Y27" i="8"/>
  <c r="N30" i="13"/>
  <c r="N24" i="13"/>
  <c r="AA24" i="13" s="1"/>
  <c r="G27" i="7"/>
  <c r="J27" i="16"/>
  <c r="J32" i="16" s="1"/>
  <c r="T25" i="17"/>
  <c r="T30" i="17" s="1"/>
  <c r="T27" i="14"/>
  <c r="T32" i="14" s="1"/>
  <c r="T28" i="15"/>
  <c r="T33" i="15" s="1"/>
  <c r="J30" i="7"/>
  <c r="J31" i="7" s="1"/>
  <c r="H26" i="15"/>
  <c r="H31" i="15" s="1"/>
  <c r="X27" i="8"/>
  <c r="G25" i="15"/>
  <c r="G30" i="15" s="1"/>
  <c r="E6" i="16"/>
  <c r="E18" i="18" s="1"/>
  <c r="E19" i="18"/>
  <c r="E43" i="18" s="1"/>
  <c r="E25" i="16" s="1"/>
  <c r="S6" i="16"/>
  <c r="S18" i="18" s="1"/>
  <c r="S19" i="18"/>
  <c r="S43" i="18" s="1"/>
  <c r="S25" i="16" s="1"/>
  <c r="S30" i="16" s="1"/>
  <c r="S27" i="17"/>
  <c r="S32" i="17" s="1"/>
  <c r="E26" i="15"/>
  <c r="R23" i="27"/>
  <c r="AH23" i="27" s="1"/>
  <c r="R16" i="27"/>
  <c r="R24" i="27" s="1"/>
  <c r="R17" i="27"/>
  <c r="AH17" i="27" s="1"/>
  <c r="R18" i="27"/>
  <c r="AD18" i="27" s="1"/>
  <c r="R19" i="27"/>
  <c r="R11" i="27"/>
  <c r="AD11" i="27" s="1"/>
  <c r="R21" i="27"/>
  <c r="R9" i="27"/>
  <c r="AH9" i="27" s="1"/>
  <c r="R12" i="27"/>
  <c r="AD12" i="27" s="1"/>
  <c r="R20" i="27"/>
  <c r="AD20" i="27" s="1"/>
  <c r="R10" i="27"/>
  <c r="AH10" i="27" s="1"/>
  <c r="R6" i="27"/>
  <c r="R14" i="27" s="1"/>
  <c r="R13" i="27"/>
  <c r="R7" i="27"/>
  <c r="R22" i="27"/>
  <c r="R8" i="27"/>
  <c r="AD8" i="27" s="1"/>
  <c r="BI68" i="25"/>
  <c r="BJ68" i="25"/>
  <c r="BF68" i="25"/>
  <c r="BG68" i="25"/>
  <c r="BH68" i="25"/>
  <c r="W30" i="6"/>
  <c r="W31" i="6" s="1"/>
  <c r="F27" i="17"/>
  <c r="F32" i="17" s="1"/>
  <c r="AA25" i="12"/>
  <c r="AA30" i="12" s="1"/>
  <c r="Z30" i="12"/>
  <c r="Z24" i="12"/>
  <c r="X25" i="17"/>
  <c r="X30" i="17" s="1"/>
  <c r="K28" i="17"/>
  <c r="K33" i="17" s="1"/>
  <c r="Y28" i="15"/>
  <c r="Y33" i="15" s="1"/>
  <c r="G27" i="8"/>
  <c r="F19" i="9"/>
  <c r="G19" i="9" s="1"/>
  <c r="H19" i="9" s="1"/>
  <c r="I19" i="9" s="1"/>
  <c r="J19" i="9" s="1"/>
  <c r="K19" i="9" s="1"/>
  <c r="L19" i="9" s="1"/>
  <c r="M19" i="9" s="1"/>
  <c r="F27" i="9"/>
  <c r="AB28" i="10"/>
  <c r="AA28" i="10"/>
  <c r="AA26" i="10"/>
  <c r="AB19" i="10"/>
  <c r="AB26" i="10"/>
  <c r="AA29" i="10"/>
  <c r="AB29" i="10" s="1"/>
  <c r="AA25" i="10"/>
  <c r="U27" i="17"/>
  <c r="U32" i="17" s="1"/>
  <c r="I28" i="16"/>
  <c r="V25" i="15"/>
  <c r="V30" i="15" s="1"/>
  <c r="H28" i="17"/>
  <c r="H33" i="17" s="1"/>
  <c r="Q27" i="15"/>
  <c r="Q32" i="15" s="1"/>
  <c r="V26" i="17"/>
  <c r="V31" i="17" s="1"/>
  <c r="AF20" i="27"/>
  <c r="W30" i="7"/>
  <c r="W31" i="7" s="1"/>
  <c r="Y25" i="15"/>
  <c r="Y30" i="15" s="1"/>
  <c r="E26" i="14"/>
  <c r="AH11" i="27"/>
  <c r="AH13" i="27"/>
  <c r="AH21" i="27"/>
  <c r="I27" i="17"/>
  <c r="I32" i="17" s="1"/>
  <c r="Q22" i="9"/>
  <c r="R22" i="9" s="1"/>
  <c r="S22" i="9" s="1"/>
  <c r="T22" i="9" s="1"/>
  <c r="U22" i="9" s="1"/>
  <c r="V22" i="9" s="1"/>
  <c r="W22" i="9" s="1"/>
  <c r="X22" i="9" s="1"/>
  <c r="Y22" i="9" s="1"/>
  <c r="Z22" i="9" s="1"/>
  <c r="Q30" i="9"/>
  <c r="Q31" i="9" s="1"/>
  <c r="I26" i="16"/>
  <c r="T27" i="7"/>
  <c r="X27" i="7"/>
  <c r="X30" i="8"/>
  <c r="X31" i="8" s="1"/>
  <c r="T28" i="16"/>
  <c r="T33" i="16" s="1"/>
  <c r="T27" i="16"/>
  <c r="T32" i="16" s="1"/>
  <c r="J6" i="16"/>
  <c r="J18" i="18" s="1"/>
  <c r="J19" i="18"/>
  <c r="J43" i="18" s="1"/>
  <c r="J25" i="16" s="1"/>
  <c r="J30" i="16" s="1"/>
  <c r="Q22" i="6"/>
  <c r="Q30" i="6"/>
  <c r="Q31" i="6" s="1"/>
  <c r="U28" i="15"/>
  <c r="U33" i="15" s="1"/>
  <c r="M27" i="17"/>
  <c r="M32" i="17" s="1"/>
  <c r="J27" i="17"/>
  <c r="J32" i="17" s="1"/>
  <c r="AH19" i="27"/>
  <c r="V25" i="14"/>
  <c r="V30" i="14" s="1"/>
  <c r="S30" i="7"/>
  <c r="S31" i="7" s="1"/>
  <c r="I26" i="14"/>
  <c r="L26" i="14"/>
  <c r="L31" i="14" s="1"/>
  <c r="AD7" i="27"/>
  <c r="AN17" i="27"/>
  <c r="AN8" i="27"/>
  <c r="AN18" i="27"/>
  <c r="AN9" i="27"/>
  <c r="AN19" i="27"/>
  <c r="AN20" i="27"/>
  <c r="AN21" i="27"/>
  <c r="AN13" i="27"/>
  <c r="AN16" i="27"/>
  <c r="AN24" i="27" s="1"/>
  <c r="AN7" i="27"/>
  <c r="AN23" i="27"/>
  <c r="AN11" i="27"/>
  <c r="AN6" i="27"/>
  <c r="AN14" i="27" s="1"/>
  <c r="AN25" i="27" s="1"/>
  <c r="AN22" i="27"/>
  <c r="AN12" i="27"/>
  <c r="AN10" i="27"/>
  <c r="V27" i="7"/>
  <c r="G30" i="9"/>
  <c r="G31" i="9" s="1"/>
  <c r="W19" i="18"/>
  <c r="W43" i="18" s="1"/>
  <c r="W25" i="16" s="1"/>
  <c r="W30" i="16" s="1"/>
  <c r="W6" i="16"/>
  <c r="W18" i="18" s="1"/>
  <c r="AF14" i="27"/>
  <c r="T27" i="8"/>
  <c r="F27" i="16"/>
  <c r="F32" i="16" s="1"/>
  <c r="G25" i="17"/>
  <c r="G30" i="17" s="1"/>
  <c r="AH6" i="27"/>
  <c r="AH14" i="27" s="1"/>
  <c r="AH25" i="27" s="1"/>
  <c r="P14" i="27"/>
  <c r="P25" i="27" s="1"/>
  <c r="AH22" i="27"/>
  <c r="I30" i="8"/>
  <c r="I31" i="8" s="1"/>
  <c r="K30" i="9"/>
  <c r="K31" i="9" s="1"/>
  <c r="L25" i="14"/>
  <c r="L30" i="14" s="1"/>
  <c r="V28" i="16"/>
  <c r="V33" i="16" s="1"/>
  <c r="X30" i="6"/>
  <c r="X31" i="6" s="1"/>
  <c r="X26" i="15"/>
  <c r="X31" i="15" s="1"/>
  <c r="Y28" i="16"/>
  <c r="Y33" i="16" s="1"/>
  <c r="J27" i="14"/>
  <c r="J32" i="14" s="1"/>
  <c r="F28" i="15"/>
  <c r="F33" i="15" s="1"/>
  <c r="E25" i="27"/>
  <c r="J27" i="6"/>
  <c r="AY55" i="25"/>
  <c r="BA55" i="25"/>
  <c r="BB55" i="25" s="1"/>
  <c r="BD55" i="25"/>
  <c r="BE55" i="25"/>
  <c r="T26" i="15"/>
  <c r="T31" i="15" s="1"/>
  <c r="F24" i="27"/>
  <c r="AD16" i="27"/>
  <c r="AD24" i="27" s="1"/>
  <c r="L26" i="15"/>
  <c r="L31" i="15" s="1"/>
  <c r="H27" i="7"/>
  <c r="N24" i="10"/>
  <c r="AB25" i="10" s="1"/>
  <c r="N30" i="10"/>
  <c r="AH8" i="27"/>
  <c r="I26" i="15"/>
  <c r="I31" i="15" s="1"/>
  <c r="W26" i="16"/>
  <c r="W31" i="16" s="1"/>
  <c r="Q28" i="15"/>
  <c r="Q33" i="15" s="1"/>
  <c r="AA25" i="13"/>
  <c r="AA30" i="13" s="1"/>
  <c r="J28" i="17"/>
  <c r="J33" i="17" s="1"/>
  <c r="G30" i="7"/>
  <c r="G31" i="7" s="1"/>
  <c r="J25" i="17"/>
  <c r="J30" i="17" s="1"/>
  <c r="Y27" i="9"/>
  <c r="E30" i="6"/>
  <c r="E21" i="6"/>
  <c r="F21" i="6" s="1"/>
  <c r="G21" i="6" s="1"/>
  <c r="H21" i="6" s="1"/>
  <c r="I21" i="6" s="1"/>
  <c r="J21" i="6" s="1"/>
  <c r="K21" i="6" s="1"/>
  <c r="L21" i="6" s="1"/>
  <c r="M21" i="6" s="1"/>
  <c r="V30" i="7"/>
  <c r="V31" i="7" s="1"/>
  <c r="E26" i="17"/>
  <c r="E27" i="17"/>
  <c r="J27" i="8"/>
  <c r="U30" i="7"/>
  <c r="U31" i="7" s="1"/>
  <c r="S26" i="17"/>
  <c r="S31" i="17" s="1"/>
  <c r="V27" i="6"/>
  <c r="V27" i="17"/>
  <c r="V32" i="17" s="1"/>
  <c r="L27" i="16"/>
  <c r="L32" i="16" s="1"/>
  <c r="M30" i="6"/>
  <c r="M31" i="6" s="1"/>
  <c r="M30" i="7"/>
  <c r="M31" i="7" s="1"/>
  <c r="S25" i="17"/>
  <c r="S30" i="17" s="1"/>
  <c r="S25" i="14"/>
  <c r="S30" i="14" s="1"/>
  <c r="Q30" i="8"/>
  <c r="Q31" i="8" s="1"/>
  <c r="Q22" i="8"/>
  <c r="R22" i="8" s="1"/>
  <c r="S22" i="8" s="1"/>
  <c r="T22" i="8" s="1"/>
  <c r="U22" i="8" s="1"/>
  <c r="V22" i="8" s="1"/>
  <c r="W22" i="8" s="1"/>
  <c r="X22" i="8" s="1"/>
  <c r="Y22" i="8" s="1"/>
  <c r="Z22" i="8" s="1"/>
  <c r="Y30" i="6"/>
  <c r="Y31" i="6" s="1"/>
  <c r="L27" i="6"/>
  <c r="F21" i="8"/>
  <c r="F30" i="8"/>
  <c r="F31" i="8" s="1"/>
  <c r="X27" i="14"/>
  <c r="X32" i="14" s="1"/>
  <c r="S27" i="15"/>
  <c r="S32" i="15" s="1"/>
  <c r="U26" i="15"/>
  <c r="U31" i="15" s="1"/>
  <c r="AD19" i="27"/>
  <c r="L27" i="7"/>
  <c r="AL23" i="27"/>
  <c r="AL16" i="27"/>
  <c r="AL7" i="27"/>
  <c r="AL17" i="27"/>
  <c r="AL18" i="27"/>
  <c r="AL19" i="27"/>
  <c r="AL10" i="27"/>
  <c r="AL21" i="27"/>
  <c r="AL13" i="27"/>
  <c r="AL8" i="27"/>
  <c r="AL11" i="27"/>
  <c r="AL20" i="27"/>
  <c r="AL6" i="27"/>
  <c r="AL9" i="27"/>
  <c r="AL22" i="27"/>
  <c r="AL12" i="27"/>
  <c r="L28" i="15"/>
  <c r="L33" i="15" s="1"/>
  <c r="R25" i="14"/>
  <c r="R30" i="14" s="1"/>
  <c r="Y28" i="14"/>
  <c r="Y33" i="14" s="1"/>
  <c r="R20" i="8"/>
  <c r="S20" i="8" s="1"/>
  <c r="T20" i="8" s="1"/>
  <c r="U20" i="8" s="1"/>
  <c r="V20" i="8" s="1"/>
  <c r="W20" i="8" s="1"/>
  <c r="X20" i="8" s="1"/>
  <c r="Y20" i="8" s="1"/>
  <c r="Z20" i="8" s="1"/>
  <c r="R27" i="8"/>
  <c r="W27" i="6"/>
  <c r="G27" i="15"/>
  <c r="G32" i="15" s="1"/>
  <c r="W28" i="16"/>
  <c r="W33" i="16" s="1"/>
  <c r="S27" i="6"/>
  <c r="AH7" i="27"/>
  <c r="S28" i="16"/>
  <c r="S33" i="16" s="1"/>
  <c r="AO18" i="27"/>
  <c r="AO9" i="27"/>
  <c r="AO19" i="27"/>
  <c r="AO10" i="27"/>
  <c r="AO20" i="27"/>
  <c r="AO21" i="27"/>
  <c r="AO16" i="27"/>
  <c r="AO7" i="27"/>
  <c r="AO23" i="27"/>
  <c r="AO11" i="27"/>
  <c r="AO17" i="27"/>
  <c r="AO8" i="27"/>
  <c r="AO6" i="27"/>
  <c r="AO22" i="27"/>
  <c r="AO12" i="27"/>
  <c r="AO13" i="27"/>
  <c r="AD21" i="27"/>
  <c r="G19" i="6"/>
  <c r="H19" i="6" s="1"/>
  <c r="I19" i="6" s="1"/>
  <c r="J19" i="6" s="1"/>
  <c r="K19" i="6" s="1"/>
  <c r="L19" i="6" s="1"/>
  <c r="M19" i="6" s="1"/>
  <c r="G27" i="6"/>
  <c r="H27" i="17"/>
  <c r="H32" i="17" s="1"/>
  <c r="R6" i="16"/>
  <c r="R18" i="18" s="1"/>
  <c r="R19" i="18"/>
  <c r="R43" i="18" s="1"/>
  <c r="R25" i="16" s="1"/>
  <c r="R30" i="16" s="1"/>
  <c r="R27" i="6"/>
  <c r="F28" i="17"/>
  <c r="F33" i="17" s="1"/>
  <c r="E27" i="14"/>
  <c r="L27" i="8"/>
  <c r="AB29" i="13"/>
  <c r="Y27" i="15"/>
  <c r="Y32" i="15" s="1"/>
  <c r="K27" i="6"/>
  <c r="K25" i="15"/>
  <c r="K30" i="15" s="1"/>
  <c r="AY68" i="25"/>
  <c r="BA68" i="25"/>
  <c r="BB68" i="25" s="1"/>
  <c r="BD68" i="25"/>
  <c r="BE68" i="25"/>
  <c r="M27" i="15"/>
  <c r="M32" i="15" s="1"/>
  <c r="M28" i="17"/>
  <c r="M33" i="17" s="1"/>
  <c r="I28" i="17"/>
  <c r="I33" i="17" s="1"/>
  <c r="T28" i="14"/>
  <c r="T33" i="14" s="1"/>
  <c r="S26" i="15"/>
  <c r="S31" i="15" s="1"/>
  <c r="M27" i="7"/>
  <c r="Q26" i="17"/>
  <c r="Q31" i="17" s="1"/>
  <c r="R25" i="17"/>
  <c r="R30" i="17" s="1"/>
  <c r="Y28" i="17"/>
  <c r="Y33" i="17" s="1"/>
  <c r="K30" i="7"/>
  <c r="K31" i="7" s="1"/>
  <c r="F27" i="8"/>
  <c r="I25" i="15"/>
  <c r="I30" i="15" s="1"/>
  <c r="E27" i="16"/>
  <c r="S22" i="6"/>
  <c r="T22" i="6" s="1"/>
  <c r="U22" i="6" s="1"/>
  <c r="V22" i="6" s="1"/>
  <c r="W22" i="6" s="1"/>
  <c r="X22" i="6" s="1"/>
  <c r="Y22" i="6" s="1"/>
  <c r="Z22" i="6" s="1"/>
  <c r="S30" i="6"/>
  <c r="S31" i="6" s="1"/>
  <c r="Q26" i="15"/>
  <c r="Q31" i="15" s="1"/>
  <c r="S25" i="15"/>
  <c r="S30" i="15" s="1"/>
  <c r="M28" i="15"/>
  <c r="M33" i="15" s="1"/>
  <c r="M25" i="17"/>
  <c r="M30" i="17" s="1"/>
  <c r="G27" i="9"/>
  <c r="M30" i="8"/>
  <c r="M31" i="8" s="1"/>
  <c r="L19" i="18"/>
  <c r="L43" i="18" s="1"/>
  <c r="L25" i="16" s="1"/>
  <c r="L30" i="16" s="1"/>
  <c r="L6" i="16"/>
  <c r="L18" i="18" s="1"/>
  <c r="BE58" i="25"/>
  <c r="S27" i="9"/>
  <c r="Y26" i="14"/>
  <c r="Y31" i="14" s="1"/>
  <c r="X30" i="7"/>
  <c r="X31" i="7" s="1"/>
  <c r="BF55" i="25"/>
  <c r="BJ55" i="25"/>
  <c r="BH55" i="25"/>
  <c r="BI55" i="25"/>
  <c r="BG55" i="25"/>
  <c r="L26" i="17"/>
  <c r="L31" i="17" s="1"/>
  <c r="AH18" i="27"/>
  <c r="H27" i="6"/>
  <c r="W27" i="8"/>
  <c r="L25" i="17"/>
  <c r="L30" i="17" s="1"/>
  <c r="Y26" i="15"/>
  <c r="Y31" i="15" s="1"/>
  <c r="F19" i="18"/>
  <c r="F43" i="18" s="1"/>
  <c r="F25" i="16" s="1"/>
  <c r="F30" i="16" s="1"/>
  <c r="F6" i="16"/>
  <c r="F18" i="18" s="1"/>
  <c r="X19" i="18"/>
  <c r="X43" i="18" s="1"/>
  <c r="X25" i="16" s="1"/>
  <c r="X30" i="16" s="1"/>
  <c r="X6" i="16"/>
  <c r="X18" i="18" s="1"/>
  <c r="U27" i="15"/>
  <c r="U32" i="15" s="1"/>
  <c r="R28" i="15"/>
  <c r="R33" i="15" s="1"/>
  <c r="K27" i="9"/>
  <c r="M27" i="8"/>
  <c r="AY54" i="25"/>
  <c r="BA54" i="25"/>
  <c r="BB54" i="25" s="1"/>
  <c r="BE54" i="25"/>
  <c r="BD54" i="25"/>
  <c r="BE59" i="25"/>
  <c r="BE67" i="25"/>
  <c r="BE63" i="25"/>
  <c r="BE56" i="25"/>
  <c r="BE62" i="25"/>
  <c r="W28" i="15"/>
  <c r="W33" i="15" s="1"/>
  <c r="BE53" i="25"/>
  <c r="I25" i="17"/>
  <c r="I30" i="17" s="1"/>
  <c r="V27" i="8"/>
  <c r="I30" i="6"/>
  <c r="I31" i="6" s="1"/>
  <c r="AD9" i="27"/>
  <c r="E25" i="17"/>
  <c r="K30" i="8"/>
  <c r="K31" i="8" s="1"/>
  <c r="AF18" i="27"/>
  <c r="H25" i="14"/>
  <c r="H30" i="14" s="1"/>
  <c r="R26" i="16"/>
  <c r="R31" i="16" s="1"/>
  <c r="G28" i="16"/>
  <c r="G33" i="16" s="1"/>
  <c r="AD22" i="27"/>
  <c r="X26" i="17"/>
  <c r="X31" i="17" s="1"/>
  <c r="AM14" i="27"/>
  <c r="U25" i="17"/>
  <c r="U30" i="17" s="1"/>
  <c r="L28" i="17"/>
  <c r="L33" i="17" s="1"/>
  <c r="V30" i="6"/>
  <c r="V31" i="6" s="1"/>
  <c r="S27" i="14"/>
  <c r="S32" i="14" s="1"/>
  <c r="X27" i="6"/>
  <c r="U30" i="8"/>
  <c r="U31" i="8" s="1"/>
  <c r="S28" i="14"/>
  <c r="S33" i="14" s="1"/>
  <c r="H30" i="9"/>
  <c r="H31" i="9" s="1"/>
  <c r="AA28" i="12"/>
  <c r="Z27" i="12"/>
  <c r="L28" i="14"/>
  <c r="L33" i="14" s="1"/>
  <c r="F26" i="17"/>
  <c r="F31" i="17" s="1"/>
  <c r="E21" i="9"/>
  <c r="E30" i="9"/>
  <c r="R26" i="15"/>
  <c r="R31" i="15" s="1"/>
  <c r="V30" i="8"/>
  <c r="V31" i="8" s="1"/>
  <c r="M25" i="15"/>
  <c r="M30" i="15" s="1"/>
  <c r="R26" i="17"/>
  <c r="R31" i="17" s="1"/>
  <c r="T27" i="15"/>
  <c r="T32" i="15" s="1"/>
  <c r="W25" i="17"/>
  <c r="W30" i="17" s="1"/>
  <c r="J27" i="9"/>
  <c r="N30" i="12"/>
  <c r="N24" i="12"/>
  <c r="T24" i="27"/>
  <c r="G26" i="15"/>
  <c r="G31" i="15" s="1"/>
  <c r="G30" i="8"/>
  <c r="G31" i="8" s="1"/>
  <c r="G21" i="8"/>
  <c r="X28" i="16"/>
  <c r="X33" i="16" s="1"/>
  <c r="V30" i="9"/>
  <c r="V31" i="9" s="1"/>
  <c r="F26" i="14"/>
  <c r="F31" i="14" s="1"/>
  <c r="I27" i="8"/>
  <c r="AF12" i="27"/>
  <c r="W26" i="15"/>
  <c r="W31" i="15" s="1"/>
  <c r="Q25" i="15"/>
  <c r="Q30" i="15" s="1"/>
  <c r="V25" i="17"/>
  <c r="V30" i="17" s="1"/>
  <c r="J30" i="8"/>
  <c r="J31" i="8" s="1"/>
  <c r="Q27" i="17"/>
  <c r="Q32" i="17" s="1"/>
  <c r="AF7" i="27"/>
  <c r="G28" i="15"/>
  <c r="G33" i="15" s="1"/>
  <c r="Y30" i="8"/>
  <c r="Y31" i="8" s="1"/>
  <c r="S30" i="9"/>
  <c r="S31" i="9" s="1"/>
  <c r="J26" i="16"/>
  <c r="J31" i="16" s="1"/>
  <c r="BA93" i="25"/>
  <c r="R22" i="6"/>
  <c r="R30" i="6"/>
  <c r="R31" i="6" s="1"/>
  <c r="K27" i="15"/>
  <c r="K32" i="15" s="1"/>
  <c r="M28" i="16"/>
  <c r="M33" i="16" s="1"/>
  <c r="E30" i="7"/>
  <c r="E21" i="7"/>
  <c r="F21" i="7" s="1"/>
  <c r="G21" i="7" s="1"/>
  <c r="H21" i="7" s="1"/>
  <c r="I21" i="7" s="1"/>
  <c r="J21" i="7" s="1"/>
  <c r="K21" i="7" s="1"/>
  <c r="L21" i="7" s="1"/>
  <c r="M21" i="7" s="1"/>
  <c r="F27" i="15"/>
  <c r="F32" i="15" s="1"/>
  <c r="Y26" i="17"/>
  <c r="Y31" i="17" s="1"/>
  <c r="Q19" i="18"/>
  <c r="Q43" i="18" s="1"/>
  <c r="Q25" i="16" s="1"/>
  <c r="Q30" i="16" s="1"/>
  <c r="Q6" i="16"/>
  <c r="Q18" i="18" s="1"/>
  <c r="G6" i="16"/>
  <c r="G18" i="18" s="1"/>
  <c r="G19" i="18"/>
  <c r="G43" i="18" s="1"/>
  <c r="G25" i="16" s="1"/>
  <c r="G30" i="16" s="1"/>
  <c r="I19" i="18"/>
  <c r="I43" i="18" s="1"/>
  <c r="I25" i="16" s="1"/>
  <c r="I6" i="16"/>
  <c r="I18" i="18" s="1"/>
  <c r="Q27" i="6"/>
  <c r="Q20" i="6"/>
  <c r="R20" i="6" s="1"/>
  <c r="S20" i="6" s="1"/>
  <c r="T20" i="6" s="1"/>
  <c r="U20" i="6" s="1"/>
  <c r="V20" i="6" s="1"/>
  <c r="W20" i="6" s="1"/>
  <c r="X20" i="6" s="1"/>
  <c r="Y20" i="6" s="1"/>
  <c r="Z20" i="6" s="1"/>
  <c r="E30" i="8"/>
  <c r="E21" i="8"/>
  <c r="Q28" i="17"/>
  <c r="Q33" i="17" s="1"/>
  <c r="H26" i="16"/>
  <c r="H31" i="16" s="1"/>
  <c r="W26" i="17"/>
  <c r="W31" i="17" s="1"/>
  <c r="W28" i="17"/>
  <c r="W33" i="17" s="1"/>
  <c r="W26" i="14"/>
  <c r="W31" i="14" s="1"/>
  <c r="Q27" i="9"/>
  <c r="Q20" i="9"/>
  <c r="R20" i="9" s="1"/>
  <c r="S20" i="9" s="1"/>
  <c r="T20" i="9" s="1"/>
  <c r="U20" i="9" s="1"/>
  <c r="V20" i="9" s="1"/>
  <c r="W20" i="9" s="1"/>
  <c r="X20" i="9" s="1"/>
  <c r="Y20" i="9" s="1"/>
  <c r="Z20" i="9" s="1"/>
  <c r="S27" i="16"/>
  <c r="S32" i="16" s="1"/>
  <c r="V19" i="18"/>
  <c r="V43" i="18" s="1"/>
  <c r="V25" i="16" s="1"/>
  <c r="V30" i="16" s="1"/>
  <c r="V6" i="16"/>
  <c r="V18" i="18" s="1"/>
  <c r="R27" i="15"/>
  <c r="R32" i="15" s="1"/>
  <c r="J30" i="6"/>
  <c r="J31" i="6" s="1"/>
  <c r="K26" i="17"/>
  <c r="K31" i="17" s="1"/>
  <c r="H26" i="14"/>
  <c r="H31" i="14" s="1"/>
  <c r="H27" i="8"/>
  <c r="W28" i="14"/>
  <c r="W33" i="14" s="1"/>
  <c r="AD23" i="27"/>
  <c r="V27" i="9"/>
  <c r="U27" i="9"/>
  <c r="F25" i="14"/>
  <c r="F30" i="14" s="1"/>
  <c r="AD13" i="27"/>
  <c r="L27" i="17"/>
  <c r="L32" i="17" s="1"/>
  <c r="Y19" i="18"/>
  <c r="Y43" i="18" s="1"/>
  <c r="Y25" i="16" s="1"/>
  <c r="Y30" i="16" s="1"/>
  <c r="Y6" i="16"/>
  <c r="Y18" i="18" s="1"/>
  <c r="Q20" i="7"/>
  <c r="R20" i="7" s="1"/>
  <c r="S20" i="7" s="1"/>
  <c r="T20" i="7" s="1"/>
  <c r="U20" i="7" s="1"/>
  <c r="V20" i="7" s="1"/>
  <c r="W20" i="7" s="1"/>
  <c r="X20" i="7" s="1"/>
  <c r="Y20" i="7" s="1"/>
  <c r="Z20" i="7" s="1"/>
  <c r="Q27" i="7"/>
  <c r="I28" i="14"/>
  <c r="X27" i="17"/>
  <c r="X32" i="17" s="1"/>
  <c r="F21" i="9"/>
  <c r="G21" i="9" s="1"/>
  <c r="H21" i="9" s="1"/>
  <c r="I21" i="9" s="1"/>
  <c r="J21" i="9" s="1"/>
  <c r="K21" i="9" s="1"/>
  <c r="L21" i="9" s="1"/>
  <c r="M21" i="9" s="1"/>
  <c r="F30" i="9"/>
  <c r="F31" i="9" s="1"/>
  <c r="T30" i="9"/>
  <c r="T31" i="9" s="1"/>
  <c r="E19" i="9"/>
  <c r="E27" i="9"/>
  <c r="AF13" i="27"/>
  <c r="F26" i="15"/>
  <c r="F31" i="15" s="1"/>
  <c r="T30" i="6"/>
  <c r="T31" i="6" s="1"/>
  <c r="Q26" i="14"/>
  <c r="Q31" i="14" s="1"/>
  <c r="U27" i="8"/>
  <c r="H27" i="9"/>
  <c r="F28" i="16"/>
  <c r="F33" i="16" s="1"/>
  <c r="W30" i="8"/>
  <c r="W31" i="8" s="1"/>
  <c r="K27" i="7"/>
  <c r="H30" i="7"/>
  <c r="H31" i="7" s="1"/>
  <c r="M19" i="18"/>
  <c r="M43" i="18" s="1"/>
  <c r="M25" i="16" s="1"/>
  <c r="M30" i="16" s="1"/>
  <c r="M6" i="16"/>
  <c r="M18" i="18" s="1"/>
  <c r="K6" i="16"/>
  <c r="K18" i="18" s="1"/>
  <c r="K19" i="18"/>
  <c r="K43" i="18" s="1"/>
  <c r="K25" i="16" s="1"/>
  <c r="K30" i="16" s="1"/>
  <c r="X28" i="15"/>
  <c r="X33" i="15" s="1"/>
  <c r="S26" i="14"/>
  <c r="S31" i="14" s="1"/>
  <c r="S28" i="17"/>
  <c r="S33" i="17" s="1"/>
  <c r="U30" i="6"/>
  <c r="U31" i="6" s="1"/>
  <c r="D25" i="27"/>
  <c r="R28" i="17"/>
  <c r="R33" i="17" s="1"/>
  <c r="R30" i="7"/>
  <c r="R31" i="7" s="1"/>
  <c r="R22" i="7"/>
  <c r="S22" i="7" s="1"/>
  <c r="T22" i="7" s="1"/>
  <c r="U22" i="7" s="1"/>
  <c r="V22" i="7" s="1"/>
  <c r="W22" i="7" s="1"/>
  <c r="X22" i="7" s="1"/>
  <c r="Y22" i="7" s="1"/>
  <c r="Z22" i="7" s="1"/>
  <c r="M27" i="6"/>
  <c r="J27" i="15"/>
  <c r="J32" i="15" s="1"/>
  <c r="H21" i="8"/>
  <c r="I21" i="8" s="1"/>
  <c r="J21" i="8" s="1"/>
  <c r="K21" i="8" s="1"/>
  <c r="L21" i="8" s="1"/>
  <c r="M21" i="8" s="1"/>
  <c r="H30" i="8"/>
  <c r="H31" i="8" s="1"/>
  <c r="K27" i="17"/>
  <c r="K32" i="17" s="1"/>
  <c r="J30" i="9"/>
  <c r="J31" i="9" s="1"/>
  <c r="F26" i="16"/>
  <c r="F31" i="16" s="1"/>
  <c r="G28" i="14"/>
  <c r="G33" i="14" s="1"/>
  <c r="H25" i="15"/>
  <c r="H30" i="15" s="1"/>
  <c r="Y30" i="7"/>
  <c r="Y31" i="7" s="1"/>
  <c r="M30" i="9"/>
  <c r="M31" i="9" s="1"/>
  <c r="N27" i="12"/>
  <c r="U6" i="16"/>
  <c r="U18" i="18" s="1"/>
  <c r="U19" i="18"/>
  <c r="U43" i="18" s="1"/>
  <c r="U25" i="16" s="1"/>
  <c r="U30" i="16" s="1"/>
  <c r="H19" i="18"/>
  <c r="H43" i="18" s="1"/>
  <c r="H25" i="16" s="1"/>
  <c r="H30" i="16" s="1"/>
  <c r="H6" i="16"/>
  <c r="H18" i="18" s="1"/>
  <c r="E27" i="8"/>
  <c r="E19" i="8"/>
  <c r="F19" i="8" s="1"/>
  <c r="G19" i="8" s="1"/>
  <c r="H19" i="8" s="1"/>
  <c r="I19" i="8" s="1"/>
  <c r="J19" i="8" s="1"/>
  <c r="K19" i="8" s="1"/>
  <c r="L19" i="8" s="1"/>
  <c r="M19" i="8" s="1"/>
  <c r="G27" i="14"/>
  <c r="G32" i="14" s="1"/>
  <c r="Q20" i="8"/>
  <c r="Q27" i="8"/>
  <c r="U28" i="17"/>
  <c r="U33" i="17" s="1"/>
  <c r="F27" i="7"/>
  <c r="F19" i="7"/>
  <c r="G19" i="7" s="1"/>
  <c r="H19" i="7" s="1"/>
  <c r="I19" i="7" s="1"/>
  <c r="J19" i="7" s="1"/>
  <c r="K19" i="7" s="1"/>
  <c r="L19" i="7" s="1"/>
  <c r="M19" i="7" s="1"/>
  <c r="H27" i="14"/>
  <c r="H32" i="14" s="1"/>
  <c r="I27" i="15"/>
  <c r="I32" i="15" s="1"/>
  <c r="K28" i="15"/>
  <c r="K33" i="15" s="1"/>
  <c r="X27" i="9"/>
  <c r="AY66" i="25"/>
  <c r="BD66" i="25"/>
  <c r="BE66" i="25"/>
  <c r="BA66" i="25"/>
  <c r="BB66" i="25" s="1"/>
  <c r="U27" i="6"/>
  <c r="E19" i="6"/>
  <c r="E27" i="6"/>
  <c r="F28" i="14"/>
  <c r="F33" i="14" s="1"/>
  <c r="T27" i="17"/>
  <c r="T32" i="17" s="1"/>
  <c r="J26" i="17"/>
  <c r="J31" i="17" s="1"/>
  <c r="L25" i="27"/>
  <c r="K30" i="6"/>
  <c r="K31" i="6" s="1"/>
  <c r="T26" i="16"/>
  <c r="T31" i="16" s="1"/>
  <c r="M28" i="14"/>
  <c r="M33" i="14" s="1"/>
  <c r="Q22" i="7"/>
  <c r="Q30" i="7"/>
  <c r="Q31" i="7" s="1"/>
  <c r="I27" i="16"/>
  <c r="AH12" i="27"/>
  <c r="K26" i="15"/>
  <c r="K31" i="15" s="1"/>
  <c r="G26" i="16"/>
  <c r="G31" i="16" s="1"/>
  <c r="G28" i="17"/>
  <c r="G33" i="17" s="1"/>
  <c r="Z30" i="10"/>
  <c r="Z24" i="10"/>
  <c r="AA24" i="10" s="1"/>
  <c r="Q28" i="16"/>
  <c r="Q33" i="16" s="1"/>
  <c r="I27" i="14"/>
  <c r="BE61" i="25"/>
  <c r="E28" i="15"/>
  <c r="L30" i="6"/>
  <c r="L31" i="6" s="1"/>
  <c r="L30" i="7"/>
  <c r="L31" i="7" s="1"/>
  <c r="T26" i="17"/>
  <c r="T31" i="17" s="1"/>
  <c r="G26" i="17"/>
  <c r="G31" i="17" s="1"/>
  <c r="V28" i="17"/>
  <c r="V33" i="17" s="1"/>
  <c r="S30" i="8"/>
  <c r="S31" i="8" s="1"/>
  <c r="U30" i="9"/>
  <c r="U31" i="9" s="1"/>
  <c r="I64" i="1"/>
  <c r="G64" i="1" s="1"/>
  <c r="R30" i="8"/>
  <c r="R31" i="8" s="1"/>
  <c r="L25" i="15"/>
  <c r="L30" i="15" s="1"/>
  <c r="T26" i="14"/>
  <c r="T31" i="14" s="1"/>
  <c r="S26" i="16"/>
  <c r="S31" i="16" s="1"/>
  <c r="F14" i="27"/>
  <c r="F25" i="27" s="1"/>
  <c r="AD6" i="27"/>
  <c r="AD14" i="27" s="1"/>
  <c r="AD25" i="27" s="1"/>
  <c r="T28" i="17"/>
  <c r="T33" i="17" s="1"/>
  <c r="W27" i="7"/>
  <c r="L27" i="9"/>
  <c r="AA27" i="11"/>
  <c r="AB29" i="11" s="1"/>
  <c r="BE21" i="25"/>
  <c r="N21" i="9" l="1"/>
  <c r="Q21" i="9"/>
  <c r="R21" i="9" s="1"/>
  <c r="S21" i="9" s="1"/>
  <c r="T21" i="9" s="1"/>
  <c r="U21" i="9" s="1"/>
  <c r="V21" i="9" s="1"/>
  <c r="W21" i="9" s="1"/>
  <c r="X21" i="9" s="1"/>
  <c r="Y21" i="9" s="1"/>
  <c r="Z21" i="9" s="1"/>
  <c r="AB21" i="9" s="1"/>
  <c r="N21" i="8"/>
  <c r="Q21" i="8"/>
  <c r="R21" i="8" s="1"/>
  <c r="S21" i="8" s="1"/>
  <c r="T21" i="8" s="1"/>
  <c r="U21" i="8" s="1"/>
  <c r="V21" i="8" s="1"/>
  <c r="W21" i="8" s="1"/>
  <c r="X21" i="8" s="1"/>
  <c r="Y21" i="8" s="1"/>
  <c r="Z21" i="8" s="1"/>
  <c r="AB21" i="8" s="1"/>
  <c r="N21" i="7"/>
  <c r="Q21" i="7"/>
  <c r="R21" i="7" s="1"/>
  <c r="S21" i="7" s="1"/>
  <c r="T21" i="7" s="1"/>
  <c r="U21" i="7" s="1"/>
  <c r="V21" i="7" s="1"/>
  <c r="W21" i="7" s="1"/>
  <c r="X21" i="7" s="1"/>
  <c r="Y21" i="7" s="1"/>
  <c r="Z21" i="7" s="1"/>
  <c r="AB21" i="7" s="1"/>
  <c r="N19" i="8"/>
  <c r="Q19" i="8"/>
  <c r="R19" i="8" s="1"/>
  <c r="S19" i="8" s="1"/>
  <c r="T19" i="8" s="1"/>
  <c r="U19" i="8" s="1"/>
  <c r="V19" i="8" s="1"/>
  <c r="W19" i="8" s="1"/>
  <c r="X19" i="8" s="1"/>
  <c r="Y19" i="8" s="1"/>
  <c r="Z19" i="8" s="1"/>
  <c r="N19" i="9"/>
  <c r="Q19" i="9"/>
  <c r="R19" i="9" s="1"/>
  <c r="S19" i="9" s="1"/>
  <c r="T19" i="9" s="1"/>
  <c r="U19" i="9" s="1"/>
  <c r="V19" i="9" s="1"/>
  <c r="W19" i="9" s="1"/>
  <c r="X19" i="9" s="1"/>
  <c r="Y19" i="9" s="1"/>
  <c r="Z19" i="9" s="1"/>
  <c r="N21" i="6"/>
  <c r="Q21" i="6"/>
  <c r="R21" i="6" s="1"/>
  <c r="S21" i="6" s="1"/>
  <c r="T21" i="6" s="1"/>
  <c r="U21" i="6" s="1"/>
  <c r="V21" i="6" s="1"/>
  <c r="W21" i="6" s="1"/>
  <c r="X21" i="6" s="1"/>
  <c r="Y21" i="6" s="1"/>
  <c r="Z21" i="6" s="1"/>
  <c r="AB21" i="6" s="1"/>
  <c r="N19" i="6"/>
  <c r="Q19" i="6"/>
  <c r="R19" i="6" s="1"/>
  <c r="S19" i="6" s="1"/>
  <c r="T19" i="6" s="1"/>
  <c r="U19" i="6" s="1"/>
  <c r="V19" i="6" s="1"/>
  <c r="W19" i="6" s="1"/>
  <c r="X19" i="6" s="1"/>
  <c r="Y19" i="6" s="1"/>
  <c r="Z19" i="6" s="1"/>
  <c r="AB28" i="12"/>
  <c r="N19" i="7"/>
  <c r="Q19" i="7"/>
  <c r="R19" i="7" s="1"/>
  <c r="S19" i="7" s="1"/>
  <c r="T19" i="7" s="1"/>
  <c r="U19" i="7" s="1"/>
  <c r="V19" i="7" s="1"/>
  <c r="W19" i="7" s="1"/>
  <c r="X19" i="7" s="1"/>
  <c r="Y19" i="7" s="1"/>
  <c r="Z19" i="7" s="1"/>
  <c r="Z27" i="17"/>
  <c r="E32" i="17"/>
  <c r="AA27" i="17"/>
  <c r="V11" i="27" s="1"/>
  <c r="I31" i="16"/>
  <c r="AA26" i="16"/>
  <c r="V22" i="27" s="1"/>
  <c r="Z25" i="15"/>
  <c r="E30" i="15"/>
  <c r="AA25" i="15"/>
  <c r="V9" i="27" s="1"/>
  <c r="U28" i="7"/>
  <c r="U32" i="7" s="1"/>
  <c r="AA28" i="17"/>
  <c r="V7" i="27" s="1"/>
  <c r="I32" i="14"/>
  <c r="AA27" i="14"/>
  <c r="V23" i="27" s="1"/>
  <c r="U28" i="16"/>
  <c r="U33" i="16" s="1"/>
  <c r="N27" i="6"/>
  <c r="E28" i="6"/>
  <c r="E28" i="9"/>
  <c r="N27" i="9"/>
  <c r="AD10" i="27"/>
  <c r="E32" i="16"/>
  <c r="Z28" i="17"/>
  <c r="Q28" i="6"/>
  <c r="Q32" i="6"/>
  <c r="U25" i="14"/>
  <c r="U30" i="14" s="1"/>
  <c r="M28" i="7"/>
  <c r="M32" i="7"/>
  <c r="AQ8" i="27"/>
  <c r="AP8" i="27"/>
  <c r="E28" i="14"/>
  <c r="AD17" i="27"/>
  <c r="X28" i="9"/>
  <c r="X32" i="9" s="1"/>
  <c r="F28" i="7"/>
  <c r="F32" i="7"/>
  <c r="W32" i="8"/>
  <c r="W28" i="8"/>
  <c r="AQ23" i="27"/>
  <c r="AP23" i="27"/>
  <c r="Q28" i="14"/>
  <c r="Q33" i="14" s="1"/>
  <c r="Q26" i="16"/>
  <c r="Q31" i="16" s="1"/>
  <c r="I32" i="16"/>
  <c r="U28" i="6"/>
  <c r="U32" i="6" s="1"/>
  <c r="X26" i="14"/>
  <c r="X31" i="14" s="1"/>
  <c r="V27" i="16"/>
  <c r="V32" i="16" s="1"/>
  <c r="W27" i="16"/>
  <c r="W32" i="16" s="1"/>
  <c r="Q28" i="8"/>
  <c r="Q32" i="8"/>
  <c r="V32" i="9"/>
  <c r="V28" i="9"/>
  <c r="I30" i="16"/>
  <c r="AA25" i="16"/>
  <c r="V21" i="27" s="1"/>
  <c r="M27" i="16"/>
  <c r="M32" i="16" s="1"/>
  <c r="W27" i="14"/>
  <c r="W32" i="14" s="1"/>
  <c r="W25" i="14"/>
  <c r="W30" i="14" s="1"/>
  <c r="E26" i="16"/>
  <c r="AO14" i="27"/>
  <c r="AO25" i="27" s="1"/>
  <c r="AQ9" i="27"/>
  <c r="AP9" i="27"/>
  <c r="AP19" i="27"/>
  <c r="AQ19" i="27"/>
  <c r="K27" i="16"/>
  <c r="K32" i="16" s="1"/>
  <c r="AA24" i="12"/>
  <c r="AB26" i="12" s="1"/>
  <c r="G26" i="14"/>
  <c r="G31" i="14" s="1"/>
  <c r="I25" i="14"/>
  <c r="Y25" i="14"/>
  <c r="Y30" i="14" s="1"/>
  <c r="Y27" i="14"/>
  <c r="Y32" i="14" s="1"/>
  <c r="U28" i="14"/>
  <c r="U33" i="14" s="1"/>
  <c r="AH20" i="27"/>
  <c r="I28" i="9"/>
  <c r="I32" i="9"/>
  <c r="M28" i="9"/>
  <c r="M32" i="9" s="1"/>
  <c r="K26" i="14"/>
  <c r="K31" i="14" s="1"/>
  <c r="Q25" i="14"/>
  <c r="Q30" i="14" s="1"/>
  <c r="W28" i="6"/>
  <c r="W32" i="6"/>
  <c r="AQ13" i="27"/>
  <c r="AP13" i="27"/>
  <c r="X28" i="14"/>
  <c r="X33" i="14" s="1"/>
  <c r="K28" i="16"/>
  <c r="K33" i="16" s="1"/>
  <c r="Q27" i="14"/>
  <c r="Q32" i="14" s="1"/>
  <c r="E25" i="14"/>
  <c r="AB26" i="13"/>
  <c r="H28" i="8"/>
  <c r="H32" i="8" s="1"/>
  <c r="X27" i="16"/>
  <c r="X32" i="16" s="1"/>
  <c r="H28" i="9"/>
  <c r="H32" i="9" s="1"/>
  <c r="V32" i="8"/>
  <c r="V28" i="8"/>
  <c r="V27" i="14"/>
  <c r="V32" i="14" s="1"/>
  <c r="V26" i="14"/>
  <c r="V31" i="14" s="1"/>
  <c r="E33" i="15"/>
  <c r="AA28" i="15"/>
  <c r="V12" i="27" s="1"/>
  <c r="Z28" i="15"/>
  <c r="J28" i="16"/>
  <c r="J33" i="16" s="1"/>
  <c r="H28" i="16"/>
  <c r="H33" i="16" s="1"/>
  <c r="K28" i="7"/>
  <c r="K32" i="7" s="1"/>
  <c r="U28" i="8"/>
  <c r="U32" i="8" s="1"/>
  <c r="Q32" i="9"/>
  <c r="Q28" i="9"/>
  <c r="E31" i="8"/>
  <c r="N31" i="8" s="1"/>
  <c r="N30" i="8"/>
  <c r="E31" i="7"/>
  <c r="N31" i="7" s="1"/>
  <c r="N30" i="7"/>
  <c r="N29" i="7" s="1"/>
  <c r="F41" i="1" s="1"/>
  <c r="E28" i="16"/>
  <c r="R27" i="14"/>
  <c r="R32" i="14" s="1"/>
  <c r="X32" i="6"/>
  <c r="X28" i="6"/>
  <c r="AM25" i="27"/>
  <c r="G27" i="16"/>
  <c r="G32" i="16" s="1"/>
  <c r="V26" i="16"/>
  <c r="V31" i="16" s="1"/>
  <c r="K27" i="14"/>
  <c r="K32" i="14" s="1"/>
  <c r="AF24" i="27"/>
  <c r="AF25" i="27" s="1"/>
  <c r="R27" i="16"/>
  <c r="R32" i="16" s="1"/>
  <c r="M25" i="14"/>
  <c r="M30" i="14" s="1"/>
  <c r="R32" i="8"/>
  <c r="R28" i="8"/>
  <c r="AL14" i="27"/>
  <c r="AQ6" i="27"/>
  <c r="AQ14" i="27" s="1"/>
  <c r="AQ25" i="27" s="1"/>
  <c r="AP6" i="27"/>
  <c r="AP14" i="27" s="1"/>
  <c r="AQ18" i="27"/>
  <c r="AP18" i="27"/>
  <c r="V28" i="6"/>
  <c r="V32" i="6" s="1"/>
  <c r="J32" i="8"/>
  <c r="J28" i="8"/>
  <c r="N30" i="6"/>
  <c r="E31" i="6"/>
  <c r="N31" i="6" s="1"/>
  <c r="H28" i="7"/>
  <c r="H32" i="7" s="1"/>
  <c r="M27" i="14"/>
  <c r="M32" i="14" s="1"/>
  <c r="V28" i="7"/>
  <c r="V32" i="7" s="1"/>
  <c r="R28" i="14"/>
  <c r="R33" i="14" s="1"/>
  <c r="AA30" i="10"/>
  <c r="F28" i="9"/>
  <c r="F32" i="9" s="1"/>
  <c r="R25" i="27"/>
  <c r="X28" i="8"/>
  <c r="X32" i="8" s="1"/>
  <c r="S28" i="8"/>
  <c r="S32" i="8" s="1"/>
  <c r="L28" i="16"/>
  <c r="L33" i="16" s="1"/>
  <c r="F27" i="14"/>
  <c r="F32" i="14" s="1"/>
  <c r="Y28" i="6"/>
  <c r="Y32" i="6" s="1"/>
  <c r="I32" i="7"/>
  <c r="I28" i="7"/>
  <c r="Q27" i="16"/>
  <c r="Q32" i="16" s="1"/>
  <c r="U27" i="14"/>
  <c r="U32" i="14" s="1"/>
  <c r="I28" i="6"/>
  <c r="I32" i="6" s="1"/>
  <c r="L27" i="14"/>
  <c r="L32" i="14" s="1"/>
  <c r="T32" i="9"/>
  <c r="T28" i="9"/>
  <c r="AB26" i="11"/>
  <c r="L28" i="9"/>
  <c r="L32" i="9" s="1"/>
  <c r="U27" i="16"/>
  <c r="U32" i="16" s="1"/>
  <c r="E32" i="14"/>
  <c r="AQ17" i="27"/>
  <c r="AP17" i="27"/>
  <c r="I33" i="14"/>
  <c r="AQ11" i="27"/>
  <c r="AP11" i="27"/>
  <c r="AQ7" i="27"/>
  <c r="AP7" i="27"/>
  <c r="E31" i="17"/>
  <c r="Z26" i="17"/>
  <c r="AA26" i="17"/>
  <c r="V8" i="27" s="1"/>
  <c r="G28" i="7"/>
  <c r="G32" i="7" s="1"/>
  <c r="M28" i="6"/>
  <c r="M32" i="6" s="1"/>
  <c r="AL24" i="27"/>
  <c r="AQ16" i="27"/>
  <c r="AQ24" i="27" s="1"/>
  <c r="AP16" i="27"/>
  <c r="AP24" i="27" s="1"/>
  <c r="AP25" i="27" s="1"/>
  <c r="Y28" i="9"/>
  <c r="Y32" i="9" s="1"/>
  <c r="X28" i="7"/>
  <c r="X32" i="7" s="1"/>
  <c r="U28" i="9"/>
  <c r="U32" i="9" s="1"/>
  <c r="K26" i="16"/>
  <c r="K31" i="16" s="1"/>
  <c r="J25" i="14"/>
  <c r="J30" i="14" s="1"/>
  <c r="S28" i="9"/>
  <c r="S32" i="9"/>
  <c r="R28" i="6"/>
  <c r="R32" i="6" s="1"/>
  <c r="J28" i="6"/>
  <c r="J32" i="6" s="1"/>
  <c r="M26" i="14"/>
  <c r="M31" i="14" s="1"/>
  <c r="W28" i="7"/>
  <c r="W32" i="7"/>
  <c r="N27" i="8"/>
  <c r="E28" i="8"/>
  <c r="E31" i="9"/>
  <c r="N31" i="9" s="1"/>
  <c r="N30" i="9"/>
  <c r="AA27" i="12"/>
  <c r="M28" i="8"/>
  <c r="M32" i="8" s="1"/>
  <c r="H28" i="6"/>
  <c r="H32" i="6" s="1"/>
  <c r="G28" i="9"/>
  <c r="G32" i="9" s="1"/>
  <c r="F28" i="8"/>
  <c r="F32" i="8" s="1"/>
  <c r="AO24" i="27"/>
  <c r="AQ12" i="27"/>
  <c r="AP12" i="27"/>
  <c r="AQ21" i="27"/>
  <c r="AP21" i="27"/>
  <c r="L28" i="6"/>
  <c r="L32" i="6" s="1"/>
  <c r="G25" i="14"/>
  <c r="G30" i="14" s="1"/>
  <c r="J26" i="14"/>
  <c r="J31" i="14" s="1"/>
  <c r="AB25" i="11"/>
  <c r="E31" i="15"/>
  <c r="AA26" i="15"/>
  <c r="V13" i="27" s="1"/>
  <c r="Z26" i="15"/>
  <c r="L26" i="16"/>
  <c r="L31" i="16" s="1"/>
  <c r="W28" i="9"/>
  <c r="W32" i="9" s="1"/>
  <c r="AH16" i="27"/>
  <c r="AH24" i="27" s="1"/>
  <c r="R28" i="16"/>
  <c r="R33" i="16" s="1"/>
  <c r="R28" i="9"/>
  <c r="R32" i="9"/>
  <c r="AB28" i="11"/>
  <c r="Z25" i="17"/>
  <c r="E30" i="17"/>
  <c r="AA25" i="17"/>
  <c r="V10" i="27" s="1"/>
  <c r="G28" i="6"/>
  <c r="G32" i="6"/>
  <c r="S28" i="6"/>
  <c r="S32" i="6" s="1"/>
  <c r="AQ20" i="27"/>
  <c r="AP20" i="27"/>
  <c r="Y28" i="8"/>
  <c r="Y32" i="8" s="1"/>
  <c r="F28" i="6"/>
  <c r="F32" i="6" s="1"/>
  <c r="U26" i="16"/>
  <c r="U31" i="16" s="1"/>
  <c r="J28" i="9"/>
  <c r="J32" i="9"/>
  <c r="E31" i="14"/>
  <c r="G28" i="8"/>
  <c r="G32" i="8"/>
  <c r="E30" i="16"/>
  <c r="Z25" i="16"/>
  <c r="K28" i="8"/>
  <c r="K32" i="8" s="1"/>
  <c r="E28" i="7"/>
  <c r="E32" i="7" s="1"/>
  <c r="N27" i="7"/>
  <c r="S28" i="7"/>
  <c r="S32" i="7"/>
  <c r="J28" i="7"/>
  <c r="J32" i="7" s="1"/>
  <c r="T32" i="6"/>
  <c r="T28" i="6"/>
  <c r="AB29" i="12"/>
  <c r="Q28" i="7"/>
  <c r="Q32" i="7"/>
  <c r="I28" i="8"/>
  <c r="I32" i="8" s="1"/>
  <c r="K25" i="14"/>
  <c r="K30" i="14" s="1"/>
  <c r="K28" i="6"/>
  <c r="K32" i="6" s="1"/>
  <c r="I31" i="14"/>
  <c r="I33" i="16"/>
  <c r="K28" i="14"/>
  <c r="K33" i="14" s="1"/>
  <c r="K28" i="9"/>
  <c r="K32" i="9" s="1"/>
  <c r="M26" i="16"/>
  <c r="M31" i="16" s="1"/>
  <c r="L32" i="8"/>
  <c r="L28" i="8"/>
  <c r="AQ22" i="27"/>
  <c r="AP22" i="27"/>
  <c r="AP10" i="27"/>
  <c r="AQ10" i="27"/>
  <c r="L28" i="7"/>
  <c r="L32" i="7" s="1"/>
  <c r="T32" i="8"/>
  <c r="T28" i="8"/>
  <c r="T28" i="7"/>
  <c r="T32" i="7" s="1"/>
  <c r="AB25" i="13"/>
  <c r="R28" i="7"/>
  <c r="R32" i="7" s="1"/>
  <c r="E32" i="15"/>
  <c r="AA27" i="15"/>
  <c r="V6" i="27" s="1"/>
  <c r="Z27" i="15"/>
  <c r="H28" i="14"/>
  <c r="H33" i="14" s="1"/>
  <c r="Y28" i="7"/>
  <c r="Y32" i="7" s="1"/>
  <c r="J28" i="14"/>
  <c r="J33" i="14" s="1"/>
  <c r="U26" i="14"/>
  <c r="U31" i="14" s="1"/>
  <c r="X25" i="14"/>
  <c r="X30" i="14" s="1"/>
  <c r="V28" i="14"/>
  <c r="V33" i="14" s="1"/>
  <c r="Z28" i="16" l="1"/>
  <c r="E33" i="16"/>
  <c r="E31" i="16"/>
  <c r="Z26" i="16"/>
  <c r="AA27" i="16"/>
  <c r="V19" i="27" s="1"/>
  <c r="AB27" i="6"/>
  <c r="K16" i="27" s="1"/>
  <c r="AB28" i="6"/>
  <c r="K13" i="27" s="1"/>
  <c r="AB13" i="27" s="1"/>
  <c r="AA27" i="6"/>
  <c r="AB30" i="6"/>
  <c r="K23" i="27" s="1"/>
  <c r="AB23" i="27" s="1"/>
  <c r="Z27" i="6"/>
  <c r="Z28" i="6"/>
  <c r="AA28" i="6" s="1"/>
  <c r="AB31" i="6"/>
  <c r="K7" i="27" s="1"/>
  <c r="AB7" i="27" s="1"/>
  <c r="AA30" i="6"/>
  <c r="Z31" i="6"/>
  <c r="AA31" i="6" s="1"/>
  <c r="Z30" i="6"/>
  <c r="AB19" i="6"/>
  <c r="AA28" i="16"/>
  <c r="V18" i="27" s="1"/>
  <c r="N28" i="9"/>
  <c r="N26" i="9" s="1"/>
  <c r="F53" i="1" s="1"/>
  <c r="AB25" i="12"/>
  <c r="AA28" i="14"/>
  <c r="V17" i="27" s="1"/>
  <c r="AL25" i="27"/>
  <c r="N29" i="8"/>
  <c r="F49" i="1" s="1"/>
  <c r="Z25" i="14"/>
  <c r="E30" i="14"/>
  <c r="E32" i="9"/>
  <c r="AB27" i="15"/>
  <c r="U6" i="27"/>
  <c r="AA26" i="14"/>
  <c r="V20" i="27" s="1"/>
  <c r="N26" i="7"/>
  <c r="F37" i="1" s="1"/>
  <c r="N32" i="7"/>
  <c r="AB26" i="17"/>
  <c r="U8" i="27"/>
  <c r="N28" i="6"/>
  <c r="N32" i="6" s="1"/>
  <c r="AB27" i="17"/>
  <c r="U11" i="27"/>
  <c r="Z27" i="9"/>
  <c r="Z28" i="9"/>
  <c r="AA28" i="9" s="1"/>
  <c r="AB31" i="9"/>
  <c r="K8" i="27" s="1"/>
  <c r="AB8" i="27" s="1"/>
  <c r="Z30" i="9"/>
  <c r="Z29" i="9" s="1"/>
  <c r="AA29" i="9" s="1"/>
  <c r="AB19" i="9"/>
  <c r="AB27" i="9" s="1"/>
  <c r="K20" i="27" s="1"/>
  <c r="AB20" i="27" s="1"/>
  <c r="AA31" i="9"/>
  <c r="Z31" i="9"/>
  <c r="AA27" i="9"/>
  <c r="AB30" i="9"/>
  <c r="K22" i="27" s="1"/>
  <c r="AB22" i="27" s="1"/>
  <c r="Z29" i="15"/>
  <c r="AB25" i="15"/>
  <c r="U9" i="27"/>
  <c r="AB26" i="15"/>
  <c r="U13" i="27"/>
  <c r="N28" i="8"/>
  <c r="N26" i="8" s="1"/>
  <c r="F45" i="1" s="1"/>
  <c r="Z27" i="14"/>
  <c r="AB25" i="16"/>
  <c r="Z29" i="16"/>
  <c r="U21" i="27"/>
  <c r="E32" i="8"/>
  <c r="N29" i="6"/>
  <c r="F33" i="1" s="1"/>
  <c r="V14" i="27"/>
  <c r="E33" i="14"/>
  <c r="Z28" i="14"/>
  <c r="AB28" i="17"/>
  <c r="U7" i="27"/>
  <c r="N26" i="6"/>
  <c r="F29" i="1" s="1"/>
  <c r="Z30" i="7"/>
  <c r="Z31" i="7"/>
  <c r="AA31" i="7" s="1"/>
  <c r="AB19" i="7"/>
  <c r="AB27" i="7" s="1"/>
  <c r="K18" i="27" s="1"/>
  <c r="AB18" i="27" s="1"/>
  <c r="AB28" i="7"/>
  <c r="K11" i="27" s="1"/>
  <c r="AB11" i="27" s="1"/>
  <c r="AA27" i="7"/>
  <c r="Z28" i="7"/>
  <c r="AA28" i="7" s="1"/>
  <c r="AB30" i="7"/>
  <c r="K17" i="27" s="1"/>
  <c r="AB17" i="27" s="1"/>
  <c r="AB31" i="7"/>
  <c r="K9" i="27" s="1"/>
  <c r="AB9" i="27" s="1"/>
  <c r="Z27" i="7"/>
  <c r="AB25" i="17"/>
  <c r="Z29" i="17"/>
  <c r="U10" i="27"/>
  <c r="J41" i="1"/>
  <c r="B41" i="1"/>
  <c r="I41" i="1"/>
  <c r="H41" i="1"/>
  <c r="G41" i="1"/>
  <c r="C41" i="1"/>
  <c r="E41" i="1"/>
  <c r="D41" i="1"/>
  <c r="N28" i="7"/>
  <c r="Z26" i="14"/>
  <c r="N29" i="9"/>
  <c r="F57" i="1" s="1"/>
  <c r="AB28" i="15"/>
  <c r="U12" i="27"/>
  <c r="I30" i="14"/>
  <c r="AA25" i="14"/>
  <c r="V16" i="27" s="1"/>
  <c r="V24" i="27" s="1"/>
  <c r="Z27" i="16"/>
  <c r="E32" i="6"/>
  <c r="AB30" i="8"/>
  <c r="K21" i="27" s="1"/>
  <c r="AB21" i="27" s="1"/>
  <c r="AB31" i="8"/>
  <c r="K6" i="27" s="1"/>
  <c r="AA30" i="8"/>
  <c r="Z31" i="8"/>
  <c r="AA31" i="8" s="1"/>
  <c r="AB19" i="8"/>
  <c r="AB27" i="8" s="1"/>
  <c r="K19" i="27" s="1"/>
  <c r="AB19" i="27" s="1"/>
  <c r="AA28" i="8"/>
  <c r="Z28" i="8"/>
  <c r="Z30" i="8"/>
  <c r="Z27" i="8"/>
  <c r="AA27" i="8" s="1"/>
  <c r="J6" i="27" l="1"/>
  <c r="I6" i="27"/>
  <c r="I7" i="27"/>
  <c r="J7" i="27"/>
  <c r="J12" i="27"/>
  <c r="I12" i="27"/>
  <c r="AA32" i="8"/>
  <c r="I19" i="27"/>
  <c r="J19" i="27"/>
  <c r="J11" i="27"/>
  <c r="I11" i="27"/>
  <c r="I13" i="27"/>
  <c r="J13" i="27"/>
  <c r="G45" i="1"/>
  <c r="D45" i="1"/>
  <c r="E45" i="1"/>
  <c r="I45" i="1"/>
  <c r="B45" i="1"/>
  <c r="J45" i="1"/>
  <c r="H45" i="1"/>
  <c r="C45" i="1"/>
  <c r="I53" i="1"/>
  <c r="H53" i="1"/>
  <c r="G53" i="1"/>
  <c r="D53" i="1"/>
  <c r="C53" i="1"/>
  <c r="B53" i="1"/>
  <c r="J53" i="1"/>
  <c r="E53" i="1"/>
  <c r="J9" i="27"/>
  <c r="I9" i="27"/>
  <c r="I10" i="27"/>
  <c r="J10" i="27"/>
  <c r="C29" i="1"/>
  <c r="J29" i="1"/>
  <c r="B29" i="1"/>
  <c r="E29" i="1" s="1"/>
  <c r="H29" i="1"/>
  <c r="I29" i="1"/>
  <c r="D29" i="1"/>
  <c r="G29" i="1"/>
  <c r="AB30" i="15"/>
  <c r="W9" i="27"/>
  <c r="AB32" i="17"/>
  <c r="W11" i="27"/>
  <c r="AB33" i="17"/>
  <c r="W7" i="27"/>
  <c r="AB30" i="16"/>
  <c r="W21" i="27"/>
  <c r="K24" i="27"/>
  <c r="AB16" i="27"/>
  <c r="AB24" i="27" s="1"/>
  <c r="I21" i="27"/>
  <c r="J21" i="27"/>
  <c r="AB33" i="15"/>
  <c r="W12" i="27"/>
  <c r="Z32" i="7"/>
  <c r="Z26" i="7"/>
  <c r="AA26" i="7" s="1"/>
  <c r="AB28" i="14"/>
  <c r="U17" i="27"/>
  <c r="AB27" i="14"/>
  <c r="U23" i="27"/>
  <c r="J20" i="27"/>
  <c r="I20" i="27"/>
  <c r="AB31" i="17"/>
  <c r="W8" i="27"/>
  <c r="AB28" i="9"/>
  <c r="K12" i="27" s="1"/>
  <c r="AB12" i="27" s="1"/>
  <c r="N32" i="8"/>
  <c r="AB28" i="8"/>
  <c r="K10" i="27" s="1"/>
  <c r="AB10" i="27" s="1"/>
  <c r="Z29" i="7"/>
  <c r="AA29" i="7" s="1"/>
  <c r="V25" i="27"/>
  <c r="Z26" i="9"/>
  <c r="AA26" i="9" s="1"/>
  <c r="Z32" i="9"/>
  <c r="D37" i="1"/>
  <c r="E37" i="1" s="1"/>
  <c r="B37" i="1"/>
  <c r="J37" i="1"/>
  <c r="C37" i="1"/>
  <c r="I37" i="1"/>
  <c r="H37" i="1"/>
  <c r="G37" i="1"/>
  <c r="Z32" i="6"/>
  <c r="Z26" i="6"/>
  <c r="AA26" i="6" s="1"/>
  <c r="Z29" i="8"/>
  <c r="AA29" i="8" s="1"/>
  <c r="AA30" i="7"/>
  <c r="H33" i="1"/>
  <c r="D33" i="1"/>
  <c r="I33" i="1"/>
  <c r="G33" i="1" s="1"/>
  <c r="C33" i="1"/>
  <c r="E33" i="1" s="1"/>
  <c r="B33" i="1"/>
  <c r="J33" i="1"/>
  <c r="AB31" i="15"/>
  <c r="W13" i="27"/>
  <c r="AB32" i="15"/>
  <c r="W6" i="27"/>
  <c r="W14" i="27" s="1"/>
  <c r="AA32" i="6"/>
  <c r="I16" i="27"/>
  <c r="J16" i="27"/>
  <c r="Z32" i="8"/>
  <c r="Z26" i="8"/>
  <c r="AA26" i="8" s="1"/>
  <c r="AB30" i="17"/>
  <c r="W10" i="27"/>
  <c r="AA32" i="7"/>
  <c r="J18" i="27"/>
  <c r="I18" i="27"/>
  <c r="I23" i="27"/>
  <c r="J23" i="27"/>
  <c r="AA30" i="9"/>
  <c r="AA32" i="9" s="1"/>
  <c r="N32" i="9"/>
  <c r="Z29" i="14"/>
  <c r="AB25" i="14"/>
  <c r="U16" i="27"/>
  <c r="AB6" i="27"/>
  <c r="AB14" i="27" s="1"/>
  <c r="AB25" i="27" s="1"/>
  <c r="C57" i="1"/>
  <c r="E57" i="1" s="1"/>
  <c r="D57" i="1"/>
  <c r="I57" i="1"/>
  <c r="H57" i="1"/>
  <c r="G57" i="1"/>
  <c r="J57" i="1"/>
  <c r="B57" i="1"/>
  <c r="D49" i="1"/>
  <c r="C49" i="1"/>
  <c r="J49" i="1"/>
  <c r="B49" i="1"/>
  <c r="I49" i="1"/>
  <c r="G49" i="1" s="1"/>
  <c r="E49" i="1"/>
  <c r="H49" i="1"/>
  <c r="AB26" i="16"/>
  <c r="AB29" i="16" s="1"/>
  <c r="U22" i="27"/>
  <c r="AB26" i="14"/>
  <c r="U20" i="27"/>
  <c r="AB27" i="16"/>
  <c r="U19" i="27"/>
  <c r="I8" i="27"/>
  <c r="J8" i="27"/>
  <c r="U14" i="27"/>
  <c r="Z29" i="6"/>
  <c r="AA29" i="6" s="1"/>
  <c r="AB28" i="16"/>
  <c r="U18" i="27"/>
  <c r="H3" i="1" l="1"/>
  <c r="T7" i="22" s="1"/>
  <c r="C3" i="1"/>
  <c r="AG18" i="27"/>
  <c r="AJ18" i="27" s="1"/>
  <c r="U24" i="27"/>
  <c r="U25" i="27" s="1"/>
  <c r="AB32" i="14"/>
  <c r="W23" i="27"/>
  <c r="AB33" i="14"/>
  <c r="W17" i="27"/>
  <c r="AG9" i="27"/>
  <c r="AJ9" i="27" s="1"/>
  <c r="AB31" i="14"/>
  <c r="W20" i="27"/>
  <c r="AG12" i="27"/>
  <c r="AJ12" i="27" s="1"/>
  <c r="AG7" i="27"/>
  <c r="AJ7" i="27" s="1"/>
  <c r="J24" i="27"/>
  <c r="AG16" i="27"/>
  <c r="J17" i="27"/>
  <c r="I17" i="27"/>
  <c r="AG11" i="27"/>
  <c r="AJ11" i="27" s="1"/>
  <c r="I14" i="27"/>
  <c r="AB32" i="16"/>
  <c r="W19" i="27"/>
  <c r="AB30" i="14"/>
  <c r="AB29" i="14"/>
  <c r="W16" i="27"/>
  <c r="AG13" i="27"/>
  <c r="AJ13" i="27" s="1"/>
  <c r="AG8" i="27"/>
  <c r="AJ8" i="27" s="1"/>
  <c r="J22" i="27"/>
  <c r="I22" i="27"/>
  <c r="AB31" i="16"/>
  <c r="W22" i="27"/>
  <c r="AG23" i="27"/>
  <c r="AJ23" i="27" s="1"/>
  <c r="AG20" i="27"/>
  <c r="AJ20" i="27" s="1"/>
  <c r="AB33" i="16"/>
  <c r="W18" i="27"/>
  <c r="K14" i="27"/>
  <c r="K25" i="27" s="1"/>
  <c r="I24" i="27"/>
  <c r="AG21" i="27"/>
  <c r="AJ21" i="27" s="1"/>
  <c r="AG10" i="27"/>
  <c r="AJ10" i="27" s="1"/>
  <c r="AG19" i="27"/>
  <c r="AJ19" i="27" s="1"/>
  <c r="J14" i="27"/>
  <c r="AG6" i="27"/>
  <c r="AI10" i="27" l="1"/>
  <c r="AI13" i="27"/>
  <c r="AI8" i="27"/>
  <c r="AI9" i="27"/>
  <c r="AI21" i="27"/>
  <c r="AI11" i="27"/>
  <c r="AI7" i="27"/>
  <c r="AI12" i="27"/>
  <c r="AI6" i="27"/>
  <c r="AA9" i="27"/>
  <c r="AA7" i="27"/>
  <c r="AC23" i="27"/>
  <c r="AI23" i="27"/>
  <c r="AA19" i="27"/>
  <c r="AC8" i="27"/>
  <c r="AC19" i="27"/>
  <c r="AC7" i="27"/>
  <c r="AA21" i="27"/>
  <c r="AA18" i="27"/>
  <c r="AI17" i="27"/>
  <c r="AI18" i="27"/>
  <c r="AA11" i="27"/>
  <c r="AI20" i="27"/>
  <c r="AA6" i="27"/>
  <c r="AA14" i="27" s="1"/>
  <c r="AA25" i="27" s="1"/>
  <c r="AI19" i="27"/>
  <c r="AA12" i="27"/>
  <c r="AA16" i="27"/>
  <c r="AA24" i="27" s="1"/>
  <c r="AC9" i="27"/>
  <c r="AA20" i="27"/>
  <c r="AC20" i="27"/>
  <c r="AC21" i="27"/>
  <c r="AC18" i="27"/>
  <c r="AC11" i="27"/>
  <c r="AA13" i="27"/>
  <c r="AA10" i="27"/>
  <c r="AC6" i="27"/>
  <c r="AC14" i="27" s="1"/>
  <c r="AC25" i="27" s="1"/>
  <c r="AC12" i="27"/>
  <c r="AC13" i="27"/>
  <c r="AA23" i="27"/>
  <c r="AC10" i="27"/>
  <c r="AI16" i="27"/>
  <c r="AI22" i="27"/>
  <c r="AC16" i="27"/>
  <c r="AC24" i="27" s="1"/>
  <c r="AA8" i="27"/>
  <c r="AG24" i="27"/>
  <c r="AJ16" i="27"/>
  <c r="AJ24" i="27" s="1"/>
  <c r="AJ25" i="27" s="1"/>
  <c r="AG14" i="27"/>
  <c r="AG25" i="27" s="1"/>
  <c r="AJ6" i="27"/>
  <c r="AJ14" i="27" s="1"/>
  <c r="J25" i="27"/>
  <c r="AA22" i="27"/>
  <c r="AG22" i="27"/>
  <c r="AJ22" i="27" s="1"/>
  <c r="AC22" i="27"/>
  <c r="M7" i="22"/>
  <c r="P19" i="22" s="1"/>
  <c r="E4" i="1"/>
  <c r="I25" i="27"/>
  <c r="W24" i="27"/>
  <c r="W25" i="27" s="1"/>
  <c r="AA17" i="27"/>
  <c r="AG17" i="27"/>
  <c r="AJ17" i="27" s="1"/>
  <c r="AC17" i="27"/>
  <c r="T19" i="22" l="1"/>
  <c r="M19" i="22"/>
  <c r="AI24" i="27"/>
  <c r="AI14" i="27"/>
  <c r="AI25" i="27" s="1"/>
</calcChain>
</file>

<file path=xl/sharedStrings.xml><?xml version="1.0" encoding="utf-8"?>
<sst xmlns="http://schemas.openxmlformats.org/spreadsheetml/2006/main" count="1714" uniqueCount="309">
  <si>
    <t>Takes 42 to Win</t>
  </si>
  <si>
    <t>Master</t>
  </si>
  <si>
    <t>Weez</t>
  </si>
  <si>
    <t>Tees</t>
  </si>
  <si>
    <t>Dogs</t>
  </si>
  <si>
    <t>Score Tracking Method: Net Points then BC Points</t>
  </si>
  <si>
    <t xml:space="preserve">Thru </t>
  </si>
  <si>
    <t>Front</t>
  </si>
  <si>
    <t>OA</t>
  </si>
  <si>
    <t>Back</t>
  </si>
  <si>
    <t>TOT</t>
  </si>
  <si>
    <t>Score Tracking Method: Match Status then BC Points</t>
  </si>
  <si>
    <t>Pts</t>
  </si>
  <si>
    <t>Agg Score</t>
  </si>
  <si>
    <t>TOTAL</t>
  </si>
  <si>
    <t>Group 1</t>
  </si>
  <si>
    <t>Hole:</t>
  </si>
  <si>
    <t>OUT</t>
  </si>
  <si>
    <t>IN</t>
  </si>
  <si>
    <t>NET</t>
  </si>
  <si>
    <t>Handicap:</t>
  </si>
  <si>
    <t>Handi:</t>
  </si>
  <si>
    <t>Par:</t>
  </si>
  <si>
    <t>Player</t>
  </si>
  <si>
    <t>Team</t>
  </si>
  <si>
    <t>Tee HCP</t>
  </si>
  <si>
    <t>Net HCP</t>
  </si>
  <si>
    <t>Total Gross</t>
  </si>
  <si>
    <t>Total
Net</t>
  </si>
  <si>
    <t>Overall</t>
  </si>
  <si>
    <t>BC Pt TOTAL</t>
  </si>
  <si>
    <t>BC
Points:</t>
  </si>
  <si>
    <t>Hole</t>
  </si>
  <si>
    <t>Holes</t>
  </si>
  <si>
    <t>Point</t>
  </si>
  <si>
    <t>Match</t>
  </si>
  <si>
    <t>Contr</t>
  </si>
  <si>
    <t>Won</t>
  </si>
  <si>
    <t>Share</t>
  </si>
  <si>
    <t>Group 2</t>
  </si>
  <si>
    <t>Group 3</t>
  </si>
  <si>
    <t>Group 4</t>
  </si>
  <si>
    <t>Total</t>
  </si>
  <si>
    <t>Top - Front</t>
  </si>
  <si>
    <t>Top - Overall</t>
  </si>
  <si>
    <t>Top - Back</t>
  </si>
  <si>
    <t>Bottom - Front</t>
  </si>
  <si>
    <t>Bot - Overall</t>
  </si>
  <si>
    <t>Bottom - Overall</t>
  </si>
  <si>
    <t>Bot - Back</t>
  </si>
  <si>
    <t>Bottom - Back</t>
  </si>
  <si>
    <r>
      <rPr>
        <u/>
        <sz val="9"/>
        <color rgb="FF000000"/>
        <rFont val="Calibri"/>
      </rPr>
      <t>35%</t>
    </r>
    <r>
      <rPr>
        <sz val="9"/>
        <color rgb="FF000000"/>
        <rFont val="Calibri"/>
      </rPr>
      <t xml:space="preserve">
15%</t>
    </r>
  </si>
  <si>
    <t>Total Net</t>
  </si>
  <si>
    <t>Points</t>
  </si>
  <si>
    <t>Only</t>
  </si>
  <si>
    <t>Match - Front</t>
  </si>
  <si>
    <t>Match - Overall</t>
  </si>
  <si>
    <t>Match - Back</t>
  </si>
  <si>
    <r>
      <rPr>
        <u/>
        <sz val="9"/>
        <color rgb="FF000000"/>
        <rFont val="Calibri"/>
      </rPr>
      <t>35%</t>
    </r>
    <r>
      <rPr>
        <sz val="9"/>
        <color rgb="FF000000"/>
        <rFont val="Calibri"/>
      </rPr>
      <t xml:space="preserve">
15%</t>
    </r>
  </si>
  <si>
    <r>
      <rPr>
        <u/>
        <sz val="9"/>
        <color rgb="FF000000"/>
        <rFont val="Calibri"/>
      </rPr>
      <t>35%</t>
    </r>
    <r>
      <rPr>
        <sz val="9"/>
        <color rgb="FF000000"/>
        <rFont val="Calibri"/>
      </rPr>
      <t xml:space="preserve">
15%</t>
    </r>
  </si>
  <si>
    <r>
      <rPr>
        <u/>
        <sz val="9"/>
        <color rgb="FF000000"/>
        <rFont val="Calibri"/>
      </rPr>
      <t>35%</t>
    </r>
    <r>
      <rPr>
        <sz val="9"/>
        <color rgb="FF000000"/>
        <rFont val="Calibri"/>
      </rPr>
      <t xml:space="preserve">
15%</t>
    </r>
  </si>
  <si>
    <t>Contr / Hole</t>
  </si>
  <si>
    <t>Set count of</t>
  </si>
  <si>
    <t>Team
Avg</t>
  </si>
  <si>
    <t>Team Avg</t>
  </si>
  <si>
    <t>Contribs/Hole</t>
  </si>
  <si>
    <t>Team Rel Net</t>
  </si>
  <si>
    <t>in row 23</t>
  </si>
  <si>
    <t>Team Score</t>
  </si>
  <si>
    <t>in Card 1 row 23</t>
  </si>
  <si>
    <t>HOLE</t>
  </si>
  <si>
    <t>PAR</t>
  </si>
  <si>
    <t>Contrib/Hole</t>
  </si>
  <si>
    <t>Average</t>
  </si>
  <si>
    <t>To Par</t>
  </si>
  <si>
    <t>Select Courses/Tees and Games here.  Copy Handi Indices from the Live column and paste into each round AS VALUES.  This will ensure accurate Handicaps are maintained over the course of the competition, even when Indices change as more rounds are added to the Sccore Tracker each day.</t>
  </si>
  <si>
    <t>Round 1</t>
  </si>
  <si>
    <t>Tee Times:</t>
  </si>
  <si>
    <t>Round 2</t>
  </si>
  <si>
    <t>Round 3</t>
  </si>
  <si>
    <t>Round 4</t>
  </si>
  <si>
    <t>Course - Tees :</t>
  </si>
  <si>
    <t>Game:</t>
  </si>
  <si>
    <t>Teams, Players, Courses, &amp; Handis</t>
  </si>
  <si>
    <t>Sundance - Blue</t>
  </si>
  <si>
    <t>Dirty Dozen</t>
  </si>
  <si>
    <t>The Wolverine - White</t>
  </si>
  <si>
    <t>Singles Matches</t>
  </si>
  <si>
    <t>The Wolverine - Blue</t>
  </si>
  <si>
    <t>2-Man Scramble</t>
  </si>
  <si>
    <t>The Bear - White</t>
  </si>
  <si>
    <t>Team Best Ball</t>
  </si>
  <si>
    <t>Add Players and assign a Team.  
Player name must match their name from Grint Handis tab.</t>
  </si>
  <si>
    <t>Source: Bourbon Cup - Grint Handicaps workbook.</t>
  </si>
  <si>
    <t>Course Par:</t>
  </si>
  <si>
    <t>Course Rating:</t>
  </si>
  <si>
    <t>Course Slope:</t>
  </si>
  <si>
    <t>Game Scoring</t>
  </si>
  <si>
    <t>Points Awarded</t>
  </si>
  <si>
    <t>TEES</t>
  </si>
  <si>
    <t>&lt;-- Team Nm</t>
  </si>
  <si>
    <t>Handi Index</t>
  </si>
  <si>
    <t>Handi Index (Values)</t>
  </si>
  <si>
    <t>Course Handi</t>
  </si>
  <si>
    <t>Raw Course Handi</t>
  </si>
  <si>
    <t>Handi</t>
  </si>
  <si>
    <t>Game Name</t>
  </si>
  <si>
    <t>Scoring Description (use formula)</t>
  </si>
  <si>
    <t>Telly</t>
  </si>
  <si>
    <t>Column # 1</t>
  </si>
  <si>
    <t>KJ</t>
  </si>
  <si>
    <t>2-Man Best Ball</t>
  </si>
  <si>
    <t>CuzNick</t>
  </si>
  <si>
    <t>R-Mac</t>
  </si>
  <si>
    <t>Pinehurst</t>
  </si>
  <si>
    <t>House</t>
  </si>
  <si>
    <t>NA</t>
  </si>
  <si>
    <t>Enter count of hole contributions per hole on Scorecard 1</t>
  </si>
  <si>
    <t>TJSC</t>
  </si>
  <si>
    <t>2-Man Hi Lo</t>
  </si>
  <si>
    <t>DK</t>
  </si>
  <si>
    <t>Shamble</t>
  </si>
  <si>
    <t>Saugy</t>
  </si>
  <si>
    <t>WEEZ</t>
  </si>
  <si>
    <t>2-Man Tilt</t>
  </si>
  <si>
    <t>Elger</t>
  </si>
  <si>
    <t>Andy</t>
  </si>
  <si>
    <t>Jensen</t>
  </si>
  <si>
    <t>Pace</t>
  </si>
  <si>
    <t>T-Mo</t>
  </si>
  <si>
    <t>Joe O</t>
  </si>
  <si>
    <t>Hile</t>
  </si>
  <si>
    <t>Weezy</t>
  </si>
  <si>
    <t>Hidden Cols &gt;&gt;</t>
  </si>
  <si>
    <t>Card 1</t>
  </si>
  <si>
    <t>Card 2</t>
  </si>
  <si>
    <t>Card 3</t>
  </si>
  <si>
    <t>Card 4</t>
  </si>
  <si>
    <t>Tee Time:</t>
  </si>
  <si>
    <t>Title</t>
  </si>
  <si>
    <t>Tm 1</t>
  </si>
  <si>
    <t>Tm 2</t>
  </si>
  <si>
    <t>Oper 1</t>
  </si>
  <si>
    <t>Oper 2</t>
  </si>
  <si>
    <t>Op 1</t>
  </si>
  <si>
    <t>Op 2</t>
  </si>
  <si>
    <t>HC</t>
  </si>
  <si>
    <t>Match 1</t>
  </si>
  <si>
    <t>VS</t>
  </si>
  <si>
    <t>Match 2</t>
  </si>
  <si>
    <t>Match 3</t>
  </si>
  <si>
    <t>Match 4</t>
  </si>
  <si>
    <t>Matches 1 &amp; 2</t>
  </si>
  <si>
    <t>Matches 3 &amp; 4</t>
  </si>
  <si>
    <t>Matches 5 &amp; 6</t>
  </si>
  <si>
    <t>Matches 7 &amp; 8</t>
  </si>
  <si>
    <t>Full Cards:</t>
  </si>
  <si>
    <t>WEEZ 1 &amp; 3</t>
  </si>
  <si>
    <t>TEES 2 &amp; 4</t>
  </si>
  <si>
    <r>
      <rPr>
        <b/>
        <sz val="56"/>
        <color rgb="FF666666"/>
        <rFont val="Racing Sans One"/>
      </rPr>
      <t>T</t>
    </r>
    <r>
      <rPr>
        <b/>
        <sz val="46"/>
        <color rgb="FF666666"/>
        <rFont val="Racing Sans One"/>
      </rPr>
      <t>HE</t>
    </r>
    <r>
      <rPr>
        <b/>
        <sz val="56"/>
        <color rgb="FF666666"/>
        <rFont val="Racing Sans One"/>
      </rPr>
      <t xml:space="preserve"> F</t>
    </r>
    <r>
      <rPr>
        <b/>
        <sz val="46"/>
        <color rgb="FF666666"/>
        <rFont val="Racing Sans One"/>
      </rPr>
      <t>INAL</t>
    </r>
    <r>
      <rPr>
        <b/>
        <sz val="56"/>
        <color rgb="FF666666"/>
        <rFont val="Racing Sans One"/>
      </rPr>
      <t xml:space="preserve"> C</t>
    </r>
    <r>
      <rPr>
        <b/>
        <sz val="46"/>
        <color rgb="FF666666"/>
        <rFont val="Racing Sans One"/>
      </rPr>
      <t>OUNTDOWN</t>
    </r>
  </si>
  <si>
    <t>Weezervoir</t>
  </si>
  <si>
    <t>Tie Breaker</t>
  </si>
  <si>
    <t>Tie Breaker is Fewest Team Agg Score Strokes in Final Round. If still tied, then fewest team strokes on hole 18, then 17 and so on until broken.</t>
  </si>
  <si>
    <t>BC Name</t>
  </si>
  <si>
    <t>Handicap</t>
  </si>
  <si>
    <t>Imported at Cell A2 from "Bourbon Cup - Grint Handicaps" workbook.</t>
  </si>
  <si>
    <t>prof_pic</t>
  </si>
  <si>
    <t>Paul Wesenberg</t>
  </si>
  <si>
    <t>Add to a list</t>
  </si>
  <si>
    <t>×</t>
  </si>
  <si>
    <t>Russ Westbury</t>
  </si>
  <si>
    <t>Lake Forest Golf Club</t>
  </si>
  <si>
    <t>Ryan McKenzie</t>
  </si>
  <si>
    <t>Scott Rhoades</t>
  </si>
  <si>
    <t>Shaun Whitehouse</t>
  </si>
  <si>
    <t>Tim Conlin</t>
  </si>
  <si>
    <t>Tj Crawforth</t>
  </si>
  <si>
    <t>Column 1</t>
  </si>
  <si>
    <t>Course - Tees</t>
  </si>
  <si>
    <t>Import @ A3</t>
  </si>
  <si>
    <t>Out</t>
  </si>
  <si>
    <t>In</t>
  </si>
  <si>
    <t>Tot</t>
  </si>
  <si>
    <t>Par</t>
  </si>
  <si>
    <t>GROSS</t>
  </si>
  <si>
    <t>ESC</t>
  </si>
  <si>
    <t>CHECK</t>
  </si>
  <si>
    <t>Net Pars</t>
  </si>
  <si>
    <t>H</t>
  </si>
  <si>
    <t>SK G</t>
  </si>
  <si>
    <t>SK N</t>
  </si>
  <si>
    <t>or Better</t>
  </si>
  <si>
    <t>Royale</t>
  </si>
  <si>
    <t>Eagles+</t>
  </si>
  <si>
    <t>Birdies</t>
  </si>
  <si>
    <t>Pars</t>
  </si>
  <si>
    <t>Bogies</t>
  </si>
  <si>
    <t>Doubles+</t>
  </si>
  <si>
    <t>Y</t>
  </si>
  <si>
    <t>SK C</t>
  </si>
  <si>
    <t>SK P</t>
  </si>
  <si>
    <t>CTP</t>
  </si>
  <si>
    <t>Number of Individual Rounds</t>
  </si>
  <si>
    <t>PER ROUND</t>
  </si>
  <si>
    <t>N/A</t>
  </si>
  <si>
    <t>Low Score - Gross - Per Round</t>
  </si>
  <si>
    <t>Low Score - Net - Per Round</t>
  </si>
  <si>
    <t>Low Round - Gross</t>
  </si>
  <si>
    <t>Low Round - Net</t>
  </si>
  <si>
    <t>Low Cumulative - Gross</t>
  </si>
  <si>
    <t>Low Cumulative - Net</t>
  </si>
  <si>
    <t>Skins - Gross - Cumulative</t>
  </si>
  <si>
    <t>Skins - Net - Cumulative</t>
  </si>
  <si>
    <t>Skins - Gross - Per Round</t>
  </si>
  <si>
    <t>Skins - Net - Per Round</t>
  </si>
  <si>
    <t>Aaron J</t>
  </si>
  <si>
    <t>Nick S</t>
  </si>
  <si>
    <t>Andy H</t>
  </si>
  <si>
    <t>Tim C</t>
  </si>
  <si>
    <t>2M BB</t>
  </si>
  <si>
    <t>SINGLE</t>
  </si>
  <si>
    <t>SHARED</t>
  </si>
  <si>
    <t>TEAM</t>
  </si>
  <si>
    <t>Aggregate</t>
  </si>
  <si>
    <t>Win % Factors</t>
  </si>
  <si>
    <t>Win % by Round</t>
  </si>
  <si>
    <t>Avg</t>
  </si>
  <si>
    <t>Strokes Gained by Round</t>
  </si>
  <si>
    <t>Strokes</t>
  </si>
  <si>
    <t>Net</t>
  </si>
  <si>
    <t>Win</t>
  </si>
  <si>
    <t>Rd 1</t>
  </si>
  <si>
    <t>Rd 2</t>
  </si>
  <si>
    <t>Rd 3</t>
  </si>
  <si>
    <t>Rd 4</t>
  </si>
  <si>
    <t>Gained</t>
  </si>
  <si>
    <t>Score</t>
  </si>
  <si>
    <t>Contr %</t>
  </si>
  <si>
    <t>W%</t>
  </si>
  <si>
    <t>%</t>
  </si>
  <si>
    <t>SG</t>
  </si>
  <si>
    <t>Team Total</t>
  </si>
  <si>
    <t>Group Total</t>
  </si>
  <si>
    <t>Overall Performance Notes</t>
  </si>
  <si>
    <t>Win Contributions</t>
  </si>
  <si>
    <t>WinCon Notes</t>
  </si>
  <si>
    <t>Win Contributions are the number of holes where a player's net score counted toward a win</t>
  </si>
  <si>
    <t>Rd's 1-3 are played with your opponents, so Holes Won measures performance in the face of</t>
  </si>
  <si>
    <t>or a halve in Rounds 1-3 or toward the team score in Round 4.</t>
  </si>
  <si>
    <t>competition. Rd 4 is played with the team, so using Hole Contributions makes more sense</t>
  </si>
  <si>
    <t>since players are not face to face with thier competitors.  But since there are twice as many</t>
  </si>
  <si>
    <t>WinCon % is a player's Win Contributions divided by the max possible Win Contributions.</t>
  </si>
  <si>
    <t>Hole Contributions as Holes Won, I'm dividing it by half.</t>
  </si>
  <si>
    <t>(Which is typically 54.) Multiplied by 18, WinCon % gives the number of holes per round</t>
  </si>
  <si>
    <t>where a player made a (likely scoring) contribution.</t>
  </si>
  <si>
    <t>Further, we must keep the total number of Win Contributions consistent in order for the</t>
  </si>
  <si>
    <t xml:space="preserve">metrics to be loosely comparable year over year. Since we've taken a different number of team </t>
  </si>
  <si>
    <t>Match Royale</t>
  </si>
  <si>
    <t>contributions in the final round in different years there must be an adjustment. So, a player's</t>
  </si>
  <si>
    <t>Other Call Outs  (feel free  to add whatever jumps out to you)</t>
  </si>
  <si>
    <t>Match Royale is a player's winning percentage against every other player on every hole. Think</t>
  </si>
  <si>
    <t>Hole Contribution number in Rd 4 is divided by the number of all players' contributions and</t>
  </si>
  <si>
    <t>of this as an All Play (or W-L-T record) winning percentage across each and every hole.</t>
  </si>
  <si>
    <t>then multiplied by 144. In years where there are 144 final round contributions, a player's max</t>
  </si>
  <si>
    <t>Multiplied by 15, this gives the number of other golfers a player beat on the average hole.</t>
  </si>
  <si>
    <t>WinCon % is 100. In years where there are more, it is slightly less, and vice versa.</t>
  </si>
  <si>
    <t>WinCon MatRoy</t>
  </si>
  <si>
    <t>The average WinCon percentage across the entire group is always 41.67.  This is because</t>
  </si>
  <si>
    <t>Pronounced WIN-con ma-TROY, this is the average of a player's WinCon % and</t>
  </si>
  <si>
    <t>while each player's max Win Contributions is 54 (for a total of 864 potential contributions)</t>
  </si>
  <si>
    <t>MatRoy %. It is the average of the percentage of holes with a win/contribution and the</t>
  </si>
  <si>
    <t>there are actually only 360 winning contributions available.  360/864 = .4167  Note: Each</t>
  </si>
  <si>
    <t>percentage of players beaten per hole. Because WinCon MatRoy is an</t>
  </si>
  <si>
    <t>player's (typical) max of 54 comes from a max of 9 in a shared round (Scramble, Shamble,</t>
  </si>
  <si>
    <t>average of WinCon (group average 41.67) and MatRoy (group avg of 50.00), its group</t>
  </si>
  <si>
    <t>or Pinehurst), 18 in the singles round, 18 in a 2-man best ball, and 9 in the team best ball.</t>
  </si>
  <si>
    <t>average is always 45.835. (41.67 + 50.00) / 2</t>
  </si>
  <si>
    <t>WinCon MatRoy Notes</t>
  </si>
  <si>
    <t>Even though the average score is 45.84, the max possible score here has typically</t>
  </si>
  <si>
    <t>been 100. That would occur if a golfer beat every single other player on every single hole of</t>
  </si>
  <si>
    <t>the weekend. (That assumes the final round used 144 total team contributions.  In 2019 it</t>
  </si>
  <si>
    <t>was 180, so the max possible WinCon % was 96.7 and the max WinCon MatRoy</t>
  </si>
  <si>
    <t>was 98.3. Ask if you really want to, but i'm not explaining why here.)</t>
  </si>
  <si>
    <t>INDEX</t>
  </si>
  <si>
    <t>Ghost Selection</t>
  </si>
  <si>
    <t>Rando</t>
  </si>
  <si>
    <t>Largest Number is the Ghost</t>
  </si>
  <si>
    <t>Rounds 1-3 Ghosts</t>
  </si>
  <si>
    <t>Copy and Save Here:</t>
  </si>
  <si>
    <t>Round 4 Ghosts:</t>
  </si>
  <si>
    <t>Lowest Number = Lowest Hole#</t>
  </si>
  <si>
    <t>Tier 1</t>
  </si>
  <si>
    <t>Tier 1 Ghost:</t>
  </si>
  <si>
    <t>Round</t>
  </si>
  <si>
    <t>Hole #:</t>
  </si>
  <si>
    <t>Ben T</t>
  </si>
  <si>
    <t>#15</t>
  </si>
  <si>
    <t>Scott R</t>
  </si>
  <si>
    <t>#18</t>
  </si>
  <si>
    <t>Shaun W</t>
  </si>
  <si>
    <t>#17</t>
  </si>
  <si>
    <t>Pete C</t>
  </si>
  <si>
    <t>Tier 2</t>
  </si>
  <si>
    <t>Tier 2 Ghost:</t>
  </si>
  <si>
    <t>#16</t>
  </si>
  <si>
    <t>Kyle M</t>
  </si>
  <si>
    <t>Tier 3</t>
  </si>
  <si>
    <t>Tier 3 Ghost:</t>
  </si>
  <si>
    <t>Dave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</si>
</sst>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quot;$&quot;#,##0_);[Red]\(&quot;$&quot;#,##0\)"/>
    <numFmt numFmtId="8" formatCode="&quot;$&quot;#,##0.00_);[Red]\(&quot;$&quot;#,##0.00\)"/>
    <numFmt numFmtId="164" formatCode="0.0"/>
    <numFmt numFmtId="165" formatCode="#,##0.0"/>
    <numFmt numFmtId="166" formatCode="0.0%"/>
    <numFmt numFmtId="167" formatCode="0.000"/>
    <numFmt numFmtId="168" formatCode="&quot;$&quot;#,##0"/>
    <numFmt numFmtId="169" formatCode="m/d"/>
    <numFmt numFmtId="170" formatCode="#,##0.000"/>
  </numFmts>
  <fonts count="104">
    <font>
      <sz val="11"/>
      <color rgb="FF000000"/>
      <name val="Calibri"/>
    </font>
    <font>
      <sz val="8"/>
      <name val="Racing Sans One"/>
    </font>
    <font>
      <b/>
      <sz val="10"/>
      <color rgb="FFFFFF00"/>
      <name val="Racing Sans One"/>
    </font>
    <font>
      <sz val="11"/>
      <name val="Calibri"/>
    </font>
    <font>
      <b/>
      <sz val="10"/>
      <color rgb="FFFFFFFF"/>
      <name val="Racing Sans One"/>
    </font>
    <font>
      <b/>
      <sz val="18"/>
      <color rgb="FFFFFF00"/>
      <name val="Racing Sans One"/>
    </font>
    <font>
      <sz val="11"/>
      <name val="Racing Sans One"/>
    </font>
    <font>
      <b/>
      <sz val="18"/>
      <color rgb="FFFFFFFF"/>
      <name val="Racing Sans One"/>
    </font>
    <font>
      <sz val="8"/>
      <color rgb="FFFFFFFF"/>
      <name val="Racing Sans One"/>
    </font>
    <font>
      <i/>
      <sz val="8"/>
      <color rgb="FFFFFFFF"/>
      <name val="Racing Sans One"/>
    </font>
    <font>
      <b/>
      <sz val="8"/>
      <name val="Racing Sans One"/>
    </font>
    <font>
      <b/>
      <sz val="12"/>
      <name val="Racing Sans One"/>
    </font>
    <font>
      <sz val="7"/>
      <name val="Racing Sans One"/>
    </font>
    <font>
      <b/>
      <sz val="7"/>
      <name val="Racing Sans One"/>
    </font>
    <font>
      <sz val="11"/>
      <name val="Racing Sans One"/>
    </font>
    <font>
      <sz val="10"/>
      <name val="Racing Sans One"/>
    </font>
    <font>
      <b/>
      <sz val="10"/>
      <name val="Racing Sans One"/>
    </font>
    <font>
      <sz val="9"/>
      <name val="Racing Sans One"/>
    </font>
    <font>
      <b/>
      <sz val="10"/>
      <color rgb="FF000000"/>
      <name val="Racing Sans One"/>
    </font>
    <font>
      <sz val="10"/>
      <color rgb="FF000000"/>
      <name val="Racing Sans One"/>
    </font>
    <font>
      <b/>
      <sz val="10"/>
      <color rgb="FF000000"/>
      <name val="Calibri"/>
    </font>
    <font>
      <sz val="10"/>
      <color rgb="FF000000"/>
      <name val="Calibri"/>
    </font>
    <font>
      <sz val="10"/>
      <name val="Calibri"/>
    </font>
    <font>
      <b/>
      <sz val="12"/>
      <color rgb="FF000000"/>
      <name val="Calibri"/>
    </font>
    <font>
      <sz val="12"/>
      <color rgb="FF000000"/>
      <name val="Calibri"/>
    </font>
    <font>
      <sz val="12"/>
      <name val="Calibri"/>
    </font>
    <font>
      <sz val="8"/>
      <color rgb="FF000000"/>
      <name val="Calibri"/>
    </font>
    <font>
      <sz val="9"/>
      <color rgb="FF000000"/>
      <name val="Calibri"/>
    </font>
    <font>
      <b/>
      <sz val="6"/>
      <color rgb="FF000000"/>
      <name val="Impact"/>
    </font>
    <font>
      <sz val="14"/>
      <color rgb="FF000000"/>
      <name val="Calibri"/>
    </font>
    <font>
      <b/>
      <sz val="14"/>
      <color rgb="FF000000"/>
      <name val="Calibri"/>
    </font>
    <font>
      <sz val="6"/>
      <color rgb="FF000000"/>
      <name val="Impact"/>
    </font>
    <font>
      <sz val="9"/>
      <color rgb="FF000000"/>
      <name val="Impact"/>
    </font>
    <font>
      <b/>
      <sz val="14"/>
      <color rgb="FF000000"/>
      <name val="Impact"/>
    </font>
    <font>
      <sz val="11"/>
      <name val="Calibri"/>
    </font>
    <font>
      <b/>
      <sz val="9"/>
      <name val="Calibri"/>
    </font>
    <font>
      <sz val="11"/>
      <name val="Arial"/>
    </font>
    <font>
      <sz val="12"/>
      <name val="Calibri"/>
    </font>
    <font>
      <b/>
      <sz val="12"/>
      <name val="Calibri"/>
    </font>
    <font>
      <sz val="8"/>
      <name val="Calibri"/>
    </font>
    <font>
      <i/>
      <sz val="11"/>
      <color rgb="FFB7B7B7"/>
      <name val="Calibri"/>
    </font>
    <font>
      <b/>
      <sz val="8"/>
      <color rgb="FF000000"/>
      <name val="Calibri"/>
    </font>
    <font>
      <b/>
      <sz val="8"/>
      <name val="Calibri"/>
    </font>
    <font>
      <sz val="6"/>
      <color rgb="FFB7B7B7"/>
      <name val="Impact"/>
    </font>
    <font>
      <b/>
      <sz val="6"/>
      <color rgb="FFB7B7B7"/>
      <name val="Impact"/>
    </font>
    <font>
      <sz val="9"/>
      <color rgb="FFB7B7B7"/>
      <name val="Impact"/>
    </font>
    <font>
      <sz val="14"/>
      <color rgb="FFB7B7B7"/>
      <name val="Calibri"/>
    </font>
    <font>
      <b/>
      <sz val="14"/>
      <color rgb="FFB7B7B7"/>
      <name val="Calibri"/>
    </font>
    <font>
      <sz val="12"/>
      <color rgb="FFB7B7B7"/>
      <name val="Calibri"/>
    </font>
    <font>
      <sz val="6"/>
      <color rgb="FF999999"/>
      <name val="Impact"/>
    </font>
    <font>
      <b/>
      <sz val="6"/>
      <color rgb="FF999999"/>
      <name val="Impact"/>
    </font>
    <font>
      <sz val="9"/>
      <color rgb="FFCCCCCC"/>
      <name val="Impact"/>
    </font>
    <font>
      <sz val="14"/>
      <color rgb="FF999999"/>
      <name val="Calibri"/>
    </font>
    <font>
      <b/>
      <sz val="14"/>
      <color rgb="FF999999"/>
      <name val="Calibri"/>
    </font>
    <font>
      <b/>
      <sz val="14"/>
      <color rgb="FFCCCCCC"/>
      <name val="Calibri"/>
    </font>
    <font>
      <sz val="12"/>
      <color rgb="FF999999"/>
      <name val="Calibri"/>
    </font>
    <font>
      <b/>
      <sz val="9"/>
      <color rgb="FF000000"/>
      <name val="Calibri"/>
    </font>
    <font>
      <b/>
      <sz val="11"/>
      <name val="Calibri"/>
    </font>
    <font>
      <sz val="11"/>
      <color rgb="FF000000"/>
      <name val="Calibri"/>
    </font>
    <font>
      <b/>
      <sz val="11"/>
      <color rgb="FF000000"/>
      <name val="Calibri"/>
    </font>
    <font>
      <sz val="10"/>
      <name val="Calibri"/>
    </font>
    <font>
      <b/>
      <sz val="12"/>
      <name val="Calibri"/>
    </font>
    <font>
      <sz val="9"/>
      <name val="Calibri"/>
    </font>
    <font>
      <b/>
      <sz val="10"/>
      <name val="Calibri"/>
    </font>
    <font>
      <sz val="11"/>
      <name val="Calibri"/>
    </font>
    <font>
      <i/>
      <sz val="10"/>
      <color rgb="FFB7B7B7"/>
      <name val="Calibri"/>
    </font>
    <font>
      <i/>
      <sz val="10"/>
      <color rgb="FF999999"/>
      <name val="Calibri"/>
    </font>
    <font>
      <sz val="10"/>
      <color rgb="FF000000"/>
      <name val="Calibri"/>
    </font>
    <font>
      <sz val="11"/>
      <color rgb="FF96FF96"/>
      <name val="Calibri"/>
    </font>
    <font>
      <sz val="11"/>
      <color rgb="FF00FF00"/>
      <name val="Calibri"/>
    </font>
    <font>
      <b/>
      <sz val="11"/>
      <name val="Calibri"/>
    </font>
    <font>
      <sz val="7"/>
      <name val="Calibri"/>
    </font>
    <font>
      <i/>
      <sz val="11"/>
      <name val="Calibri"/>
    </font>
    <font>
      <i/>
      <sz val="11"/>
      <color rgb="FF999999"/>
      <name val="Calibri"/>
    </font>
    <font>
      <i/>
      <sz val="11"/>
      <name val="Calibri"/>
    </font>
    <font>
      <sz val="8"/>
      <color rgb="FFFFFFFF"/>
      <name val="Calibri"/>
    </font>
    <font>
      <sz val="10"/>
      <color rgb="FFFFFFFF"/>
      <name val="Racing Sans One"/>
    </font>
    <font>
      <b/>
      <sz val="56"/>
      <color rgb="FF666666"/>
      <name val="Racing Sans One"/>
    </font>
    <font>
      <sz val="8"/>
      <color rgb="FFCCCCCC"/>
      <name val="Racing Sans One"/>
    </font>
    <font>
      <b/>
      <sz val="12"/>
      <color rgb="FFFF00FF"/>
      <name val="Racing Sans One"/>
    </font>
    <font>
      <b/>
      <sz val="11"/>
      <color rgb="FFCC0000"/>
      <name val="Calibri"/>
    </font>
    <font>
      <b/>
      <sz val="36"/>
      <color rgb="FFFFFF00"/>
      <name val="Racing Sans One"/>
    </font>
    <font>
      <b/>
      <sz val="36"/>
      <color rgb="FFFFFFFF"/>
      <name val="Racing Sans One"/>
    </font>
    <font>
      <b/>
      <sz val="72"/>
      <color rgb="FFFFFF00"/>
      <name val="Racing Sans One"/>
    </font>
    <font>
      <b/>
      <sz val="72"/>
      <color rgb="FFFFFFFF"/>
      <name val="Racing Sans One"/>
    </font>
    <font>
      <sz val="30"/>
      <color rgb="FF999999"/>
      <name val="Racing Sans One"/>
    </font>
    <font>
      <sz val="24"/>
      <color rgb="FF666666"/>
      <name val="Racing Sans One"/>
    </font>
    <font>
      <b/>
      <sz val="10"/>
      <color rgb="FF000000"/>
      <name val="Inconsolata"/>
    </font>
    <font>
      <sz val="10"/>
      <color rgb="FF666666"/>
      <name val="Racing Sans One"/>
    </font>
    <font>
      <sz val="42"/>
      <name val="Calibri"/>
    </font>
    <font>
      <sz val="10"/>
      <color rgb="FF000000"/>
      <name val="Inconsolata"/>
    </font>
    <font>
      <b/>
      <sz val="11"/>
      <name val="Arial"/>
    </font>
    <font>
      <sz val="11"/>
      <name val="Calibri"/>
    </font>
    <font>
      <sz val="11"/>
      <name val="Arial"/>
    </font>
    <font>
      <i/>
      <sz val="11"/>
      <color rgb="FFB7B7B7"/>
      <name val="Arial"/>
    </font>
    <font>
      <b/>
      <sz val="10"/>
      <color rgb="FFFFFFFF"/>
      <name val="Calibri"/>
    </font>
    <font>
      <sz val="10"/>
      <color rgb="FFFFFFFF"/>
      <name val="Calibri"/>
    </font>
    <font>
      <b/>
      <sz val="10"/>
      <name val="Calibri"/>
    </font>
    <font>
      <sz val="11"/>
      <color rgb="FF383838"/>
      <name val="HelveticaNeue-Light"/>
    </font>
    <font>
      <sz val="12"/>
      <color rgb="FF383838"/>
      <name val="Oswald-Light"/>
    </font>
    <font>
      <sz val="11"/>
      <color rgb="FF383838"/>
      <name val="Oswald-Light"/>
    </font>
    <font>
      <sz val="11"/>
      <color rgb="FF000000"/>
      <name val="Inconsolata"/>
    </font>
    <font>
      <u/>
      <sz val="9"/>
      <color rgb="FF000000"/>
      <name val="Calibri"/>
    </font>
    <font>
      <b/>
      <sz val="46"/>
      <color rgb="FF666666"/>
      <name val="Racing Sans One"/>
    </font>
  </fonts>
  <fills count="43">
    <fill>
      <patternFill patternType="none"/>
    </fill>
    <fill>
      <patternFill patternType="gray125"/>
    </fill>
    <fill>
      <patternFill patternType="solid">
        <fgColor rgb="FFFFFFFF"/>
        <bgColor rgb="FFFFFFFF"/>
      </patternFill>
    </fill>
    <fill>
      <patternFill patternType="solid">
        <fgColor rgb="FF316746"/>
        <bgColor rgb="FF316746"/>
      </patternFill>
    </fill>
    <fill>
      <patternFill patternType="solid">
        <fgColor rgb="FF000000"/>
        <bgColor rgb="FF000000"/>
      </patternFill>
    </fill>
    <fill>
      <patternFill patternType="solid">
        <fgColor rgb="FF387650"/>
        <bgColor rgb="FF387650"/>
      </patternFill>
    </fill>
    <fill>
      <patternFill patternType="solid">
        <fgColor rgb="FF434343"/>
        <bgColor rgb="FF434343"/>
      </patternFill>
    </fill>
    <fill>
      <patternFill patternType="solid">
        <fgColor rgb="FF666666"/>
        <bgColor rgb="FF666666"/>
      </patternFill>
    </fill>
    <fill>
      <patternFill patternType="solid">
        <fgColor rgb="FF93C4A6"/>
        <bgColor rgb="FF93C4A6"/>
      </patternFill>
    </fill>
    <fill>
      <patternFill patternType="solid">
        <fgColor rgb="FFB7B7B7"/>
        <bgColor rgb="FFB7B7B7"/>
      </patternFill>
    </fill>
    <fill>
      <patternFill patternType="solid">
        <fgColor rgb="FF6AA888"/>
        <bgColor rgb="FF6AA888"/>
      </patternFill>
    </fill>
    <fill>
      <patternFill patternType="solid">
        <fgColor rgb="FF999999"/>
        <bgColor rgb="FF999999"/>
      </patternFill>
    </fill>
    <fill>
      <patternFill patternType="solid">
        <fgColor rgb="FFF4CCCC"/>
        <bgColor rgb="FFF4CCCC"/>
      </patternFill>
    </fill>
    <fill>
      <patternFill patternType="solid">
        <fgColor rgb="FFEFEFEF"/>
        <bgColor rgb="FFEFEFEF"/>
      </patternFill>
    </fill>
    <fill>
      <patternFill patternType="solid">
        <fgColor rgb="FFE0F7FA"/>
        <bgColor rgb="FFE0F7FA"/>
      </patternFill>
    </fill>
    <fill>
      <patternFill patternType="solid">
        <fgColor rgb="FFD9D9D9"/>
        <bgColor rgb="FFD9D9D9"/>
      </patternFill>
    </fill>
    <fill>
      <patternFill patternType="solid">
        <fgColor rgb="FFCFE2F3"/>
        <bgColor rgb="FFCFE2F3"/>
      </patternFill>
    </fill>
    <fill>
      <patternFill patternType="solid">
        <fgColor rgb="FFFCE5CD"/>
        <bgColor rgb="FFFCE5CD"/>
      </patternFill>
    </fill>
    <fill>
      <patternFill patternType="solid">
        <fgColor rgb="FFFFFF00"/>
        <bgColor rgb="FFFFFF00"/>
      </patternFill>
    </fill>
    <fill>
      <patternFill patternType="solid">
        <fgColor rgb="FFD9EAD3"/>
        <bgColor rgb="FFD9EAD3"/>
      </patternFill>
    </fill>
    <fill>
      <patternFill patternType="solid">
        <fgColor rgb="FFFFE599"/>
        <bgColor rgb="FFFFE599"/>
      </patternFill>
    </fill>
    <fill>
      <patternFill patternType="solid">
        <fgColor rgb="FFB6D7A8"/>
        <bgColor rgb="FFB6D7A8"/>
      </patternFill>
    </fill>
    <fill>
      <patternFill patternType="solid">
        <fgColor rgb="FF00FF00"/>
        <bgColor rgb="FF00FF00"/>
      </patternFill>
    </fill>
    <fill>
      <patternFill patternType="solid">
        <fgColor rgb="FF00FFFF"/>
        <bgColor rgb="FF00FFFF"/>
      </patternFill>
    </fill>
    <fill>
      <patternFill patternType="solid">
        <fgColor rgb="FFBDBDBD"/>
        <bgColor rgb="FFBDBDBD"/>
      </patternFill>
    </fill>
    <fill>
      <patternFill patternType="solid">
        <fgColor rgb="FFFF8300"/>
        <bgColor rgb="FFFF8300"/>
      </patternFill>
    </fill>
    <fill>
      <patternFill patternType="solid">
        <fgColor rgb="FFF3F3F3"/>
        <bgColor rgb="FFF3F3F3"/>
      </patternFill>
    </fill>
    <fill>
      <patternFill patternType="solid">
        <fgColor rgb="FFC9DAF8"/>
        <bgColor rgb="FFC9DAF8"/>
      </patternFill>
    </fill>
    <fill>
      <patternFill patternType="solid">
        <fgColor rgb="FFEA9999"/>
        <bgColor rgb="FFEA9999"/>
      </patternFill>
    </fill>
    <fill>
      <patternFill patternType="solid">
        <fgColor rgb="FF9FC5E8"/>
        <bgColor rgb="FF9FC5E8"/>
      </patternFill>
    </fill>
    <fill>
      <patternFill patternType="solid">
        <fgColor rgb="FFF9CB9C"/>
        <bgColor rgb="FFF9CB9C"/>
      </patternFill>
    </fill>
    <fill>
      <patternFill patternType="solid">
        <fgColor rgb="FFB6D7CA"/>
        <bgColor rgb="FFB6D7CA"/>
      </patternFill>
    </fill>
    <fill>
      <patternFill patternType="solid">
        <fgColor rgb="FFCCCCCC"/>
        <bgColor rgb="FFCCCCCC"/>
      </patternFill>
    </fill>
    <fill>
      <patternFill patternType="solid">
        <fgColor rgb="FFBFBFBF"/>
        <bgColor rgb="FFBFBFBF"/>
      </patternFill>
    </fill>
    <fill>
      <patternFill patternType="solid">
        <fgColor rgb="FF6FA8DC"/>
        <bgColor rgb="FF6FA8DC"/>
      </patternFill>
    </fill>
    <fill>
      <patternFill patternType="solid">
        <fgColor rgb="FFF6B26B"/>
        <bgColor rgb="FFF6B26B"/>
      </patternFill>
    </fill>
    <fill>
      <patternFill patternType="solid">
        <fgColor rgb="FF93C47D"/>
        <bgColor rgb="FF93C47D"/>
      </patternFill>
    </fill>
    <fill>
      <patternFill patternType="solid">
        <fgColor rgb="FFEAD1DC"/>
        <bgColor rgb="FFEAD1DC"/>
      </patternFill>
    </fill>
    <fill>
      <patternFill patternType="solid">
        <fgColor rgb="FF4A86E8"/>
        <bgColor rgb="FF4A86E8"/>
      </patternFill>
    </fill>
    <fill>
      <patternFill patternType="solid">
        <fgColor rgb="FF6AA84F"/>
        <bgColor rgb="FF6AA84F"/>
      </patternFill>
    </fill>
    <fill>
      <patternFill patternType="solid">
        <fgColor rgb="FFB4A7D6"/>
        <bgColor rgb="FFB4A7D6"/>
      </patternFill>
    </fill>
    <fill>
      <patternFill patternType="solid">
        <fgColor rgb="FF97CC9F"/>
        <bgColor rgb="FF97CC9F"/>
      </patternFill>
    </fill>
    <fill>
      <patternFill patternType="solid">
        <fgColor rgb="FF76C89F"/>
        <bgColor rgb="FF76C89F"/>
      </patternFill>
    </fill>
  </fills>
  <borders count="173">
    <border>
      <left/>
      <right/>
      <top/>
      <bottom/>
      <diagonal/>
    </border>
    <border>
      <left style="thin">
        <color rgb="FFFFFF00"/>
      </left>
      <right/>
      <top style="thin">
        <color rgb="FFFFFF00"/>
      </top>
      <bottom style="thin">
        <color rgb="FFFFFF00"/>
      </bottom>
      <diagonal/>
    </border>
    <border>
      <left/>
      <right style="thin">
        <color rgb="FFFFFF00"/>
      </right>
      <top style="thin">
        <color rgb="FFFFFF00"/>
      </top>
      <bottom style="thin">
        <color rgb="FFFFFF00"/>
      </bottom>
      <diagonal/>
    </border>
    <border>
      <left style="thin">
        <color rgb="FFCCCCCC"/>
      </left>
      <right/>
      <top style="thin">
        <color rgb="FFCCCCCC"/>
      </top>
      <bottom style="thin">
        <color rgb="FFCCCCCC"/>
      </bottom>
      <diagonal/>
    </border>
    <border>
      <left/>
      <right style="thin">
        <color rgb="FFCCCCCC"/>
      </right>
      <top style="thin">
        <color rgb="FFCCCCCC"/>
      </top>
      <bottom style="thin">
        <color rgb="FFCCCCCC"/>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right/>
      <top style="thin">
        <color rgb="FF000000"/>
      </top>
      <bottom/>
      <diagonal/>
    </border>
    <border>
      <left/>
      <right style="thin">
        <color rgb="FF000000"/>
      </right>
      <top/>
      <bottom/>
      <diagonal/>
    </border>
    <border>
      <left/>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C343D"/>
      </bottom>
      <diagonal/>
    </border>
    <border>
      <left style="thin">
        <color rgb="FF000000"/>
      </left>
      <right/>
      <top style="thin">
        <color rgb="FF000000"/>
      </top>
      <bottom style="medium">
        <color rgb="FF0C343D"/>
      </bottom>
      <diagonal/>
    </border>
    <border>
      <left/>
      <right style="thin">
        <color rgb="FF000000"/>
      </right>
      <top style="thin">
        <color rgb="FF000000"/>
      </top>
      <bottom style="medium">
        <color rgb="FF0C343D"/>
      </bottom>
      <diagonal/>
    </border>
    <border>
      <left/>
      <right/>
      <top/>
      <bottom style="medium">
        <color rgb="FF0C343D"/>
      </bottom>
      <diagonal/>
    </border>
    <border>
      <left style="thin">
        <color rgb="FF0C343D"/>
      </left>
      <right style="thin">
        <color rgb="FF0C343D"/>
      </right>
      <top style="thin">
        <color rgb="FF0C343D"/>
      </top>
      <bottom style="medium">
        <color rgb="FF0C343D"/>
      </bottom>
      <diagonal/>
    </border>
    <border>
      <left style="thin">
        <color rgb="FF0C343D"/>
      </left>
      <right style="thin">
        <color rgb="FF0C343D"/>
      </right>
      <top/>
      <bottom style="medium">
        <color rgb="FF0C343D"/>
      </bottom>
      <diagonal/>
    </border>
    <border>
      <left style="thin">
        <color rgb="FF0C343D"/>
      </left>
      <right/>
      <top/>
      <bottom style="medium">
        <color rgb="FF0C343D"/>
      </bottom>
      <diagonal/>
    </border>
    <border>
      <left/>
      <right style="thin">
        <color rgb="FF0C343D"/>
      </right>
      <top/>
      <bottom style="medium">
        <color rgb="FF0C343D"/>
      </bottom>
      <diagonal/>
    </border>
    <border>
      <left style="thin">
        <color rgb="FF0C343D"/>
      </left>
      <right/>
      <top/>
      <bottom style="thin">
        <color rgb="FF0C343D"/>
      </bottom>
      <diagonal/>
    </border>
    <border>
      <left/>
      <right style="thin">
        <color rgb="FF0C343D"/>
      </right>
      <top/>
      <bottom style="thin">
        <color rgb="FF0C343D"/>
      </bottom>
      <diagonal/>
    </border>
    <border>
      <left style="thick">
        <color rgb="FF000000"/>
      </left>
      <right style="thick">
        <color rgb="FF000000"/>
      </right>
      <top/>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style="medium">
        <color rgb="FF000000"/>
      </left>
      <right style="thin">
        <color rgb="FF000000"/>
      </right>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top/>
      <bottom/>
      <diagonal/>
    </border>
    <border>
      <left style="medium">
        <color rgb="FF000000"/>
      </left>
      <right style="thin">
        <color rgb="FF000000"/>
      </right>
      <top style="thin">
        <color rgb="FF000000"/>
      </top>
      <bottom/>
      <diagonal/>
    </border>
    <border>
      <left style="medium">
        <color rgb="FF000000"/>
      </left>
      <right/>
      <top style="thin">
        <color rgb="FF000000"/>
      </top>
      <bottom/>
      <diagonal/>
    </border>
    <border>
      <left style="medium">
        <color rgb="FF000000"/>
      </left>
      <right/>
      <top style="thin">
        <color rgb="FF000000"/>
      </top>
      <bottom style="thin">
        <color rgb="FFCCCCCC"/>
      </bottom>
      <diagonal/>
    </border>
    <border>
      <left style="medium">
        <color rgb="FF000000"/>
      </left>
      <right style="thin">
        <color rgb="FF000000"/>
      </right>
      <top style="thin">
        <color rgb="FF000000"/>
      </top>
      <bottom style="thin">
        <color rgb="FFCCCCCC"/>
      </bottom>
      <diagonal/>
    </border>
    <border>
      <left style="thin">
        <color rgb="FF000000"/>
      </left>
      <right style="thin">
        <color rgb="FF000000"/>
      </right>
      <top style="thin">
        <color rgb="FF000000"/>
      </top>
      <bottom style="thin">
        <color rgb="FFCCCCCC"/>
      </bottom>
      <diagonal/>
    </border>
    <border>
      <left style="medium">
        <color rgb="FF000000"/>
      </left>
      <right/>
      <top/>
      <bottom/>
      <diagonal/>
    </border>
    <border>
      <left style="thin">
        <color rgb="FF000000"/>
      </left>
      <right style="thin">
        <color rgb="FF000000"/>
      </right>
      <top/>
      <bottom/>
      <diagonal/>
    </border>
    <border>
      <left style="thin">
        <color rgb="FF000000"/>
      </left>
      <right/>
      <top style="thin">
        <color rgb="FFEFEFEF"/>
      </top>
      <bottom style="thin">
        <color rgb="FF000000"/>
      </bottom>
      <diagonal/>
    </border>
    <border>
      <left style="medium">
        <color rgb="FF000000"/>
      </left>
      <right/>
      <top style="thin">
        <color rgb="FFEFEFEF"/>
      </top>
      <bottom style="thin">
        <color rgb="FF000000"/>
      </bottom>
      <diagonal/>
    </border>
    <border>
      <left style="thin">
        <color rgb="FF000000"/>
      </left>
      <right style="thin">
        <color rgb="FF000000"/>
      </right>
      <top style="thin">
        <color rgb="FFEFEFEF"/>
      </top>
      <bottom style="thin">
        <color rgb="FF000000"/>
      </bottom>
      <diagonal/>
    </border>
    <border>
      <left/>
      <right/>
      <top style="thin">
        <color rgb="FFEFEFEF"/>
      </top>
      <bottom style="thin">
        <color rgb="FF000000"/>
      </bottom>
      <diagonal/>
    </border>
    <border>
      <left style="medium">
        <color rgb="FF000000"/>
      </left>
      <right/>
      <top style="thin">
        <color rgb="FFCCCCCC"/>
      </top>
      <bottom style="thin">
        <color rgb="FF000000"/>
      </bottom>
      <diagonal/>
    </border>
    <border>
      <left style="thin">
        <color rgb="FF000000"/>
      </left>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medium">
        <color rgb="FF000000"/>
      </left>
      <right/>
      <top/>
      <bottom style="thin">
        <color rgb="FFCCCCCC"/>
      </bottom>
      <diagonal/>
    </border>
    <border>
      <left style="medium">
        <color rgb="FF000000"/>
      </left>
      <right style="thin">
        <color rgb="FF000000"/>
      </right>
      <top/>
      <bottom style="thin">
        <color rgb="FFCCCCCC"/>
      </bottom>
      <diagonal/>
    </border>
    <border>
      <left style="thin">
        <color rgb="FF000000"/>
      </left>
      <right style="thin">
        <color rgb="FF000000"/>
      </right>
      <top/>
      <bottom style="thin">
        <color rgb="FFCCCCCC"/>
      </bottom>
      <diagonal/>
    </border>
    <border>
      <left style="thin">
        <color rgb="FF000000"/>
      </left>
      <right style="thin">
        <color rgb="FF000000"/>
      </right>
      <top style="thin">
        <color rgb="FFEFEFEF"/>
      </top>
      <bottom/>
      <diagonal/>
    </border>
    <border>
      <left/>
      <right/>
      <top style="thin">
        <color rgb="FFEFEFEF"/>
      </top>
      <bottom/>
      <diagonal/>
    </border>
    <border>
      <left style="thin">
        <color rgb="FF000000"/>
      </left>
      <right/>
      <top style="thin">
        <color rgb="FFD9D9D9"/>
      </top>
      <bottom style="thin">
        <color rgb="FF000000"/>
      </bottom>
      <diagonal/>
    </border>
    <border>
      <left style="medium">
        <color rgb="FF000000"/>
      </left>
      <right style="thin">
        <color rgb="FF000000"/>
      </right>
      <top style="thin">
        <color rgb="FFD9D9D9"/>
      </top>
      <bottom style="thin">
        <color rgb="FF000000"/>
      </bottom>
      <diagonal/>
    </border>
    <border>
      <left style="medium">
        <color rgb="FF000000"/>
      </left>
      <right/>
      <top style="thin">
        <color rgb="FFD9D9D9"/>
      </top>
      <bottom style="thin">
        <color rgb="FF000000"/>
      </bottom>
      <diagonal/>
    </border>
    <border>
      <left style="thin">
        <color rgb="FF000000"/>
      </left>
      <right style="thin">
        <color rgb="FF000000"/>
      </right>
      <top style="thin">
        <color rgb="FFD9D9D9"/>
      </top>
      <bottom style="thin">
        <color rgb="FF000000"/>
      </bottom>
      <diagonal/>
    </border>
    <border>
      <left/>
      <right/>
      <top style="thin">
        <color rgb="FFD9D9D9"/>
      </top>
      <bottom style="thin">
        <color rgb="FF000000"/>
      </bottom>
      <diagonal/>
    </border>
    <border>
      <left style="medium">
        <color rgb="FF000000"/>
      </left>
      <right style="thin">
        <color rgb="FF000000"/>
      </right>
      <top style="thin">
        <color rgb="FFCCCCCC"/>
      </top>
      <bottom style="thin">
        <color rgb="FF000000"/>
      </bottom>
      <diagonal/>
    </border>
    <border>
      <left style="thick">
        <color rgb="FF000000"/>
      </left>
      <right style="thin">
        <color rgb="FF000000"/>
      </right>
      <top style="medium">
        <color rgb="FF000000"/>
      </top>
      <bottom style="medium">
        <color rgb="FF000000"/>
      </bottom>
      <diagonal/>
    </border>
    <border>
      <left/>
      <right style="medium">
        <color rgb="FF0C343D"/>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style="thin">
        <color rgb="FF000000"/>
      </right>
      <top/>
      <bottom style="medium">
        <color rgb="FF000000"/>
      </bottom>
      <diagonal/>
    </border>
    <border>
      <left/>
      <right style="medium">
        <color rgb="FF0C343D"/>
      </right>
      <top/>
      <bottom style="medium">
        <color rgb="FF000000"/>
      </bottom>
      <diagonal/>
    </border>
    <border>
      <left/>
      <right style="thin">
        <color rgb="FF000000"/>
      </right>
      <top/>
      <bottom style="medium">
        <color rgb="FF000000"/>
      </bottom>
      <diagonal/>
    </border>
    <border>
      <left/>
      <right style="medium">
        <color rgb="FF0C343D"/>
      </right>
      <top/>
      <bottom/>
      <diagonal/>
    </border>
    <border>
      <left/>
      <right style="medium">
        <color rgb="FF000000"/>
      </right>
      <top/>
      <bottom/>
      <diagonal/>
    </border>
    <border>
      <left style="thick">
        <color rgb="FF000000"/>
      </left>
      <right style="medium">
        <color rgb="FF000000"/>
      </right>
      <top style="thick">
        <color rgb="FF000000"/>
      </top>
      <bottom style="thick">
        <color rgb="FF000000"/>
      </bottom>
      <diagonal/>
    </border>
    <border>
      <left/>
      <right/>
      <top style="thick">
        <color rgb="FF000000"/>
      </top>
      <bottom style="thick">
        <color rgb="FF000000"/>
      </bottom>
      <diagonal/>
    </border>
    <border>
      <left style="medium">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ck">
        <color rgb="FF000000"/>
      </bottom>
      <diagonal/>
    </border>
    <border>
      <left/>
      <right style="thin">
        <color rgb="FF000000"/>
      </right>
      <top style="thin">
        <color rgb="FFEFEFEF"/>
      </top>
      <bottom/>
      <diagonal/>
    </border>
    <border>
      <left/>
      <right style="thick">
        <color rgb="FF000000"/>
      </right>
      <top style="thick">
        <color rgb="FF000000"/>
      </top>
      <bottom style="thick">
        <color rgb="FF000000"/>
      </bottom>
      <diagonal/>
    </border>
    <border>
      <left style="medium">
        <color rgb="FF0C343D"/>
      </left>
      <right/>
      <top/>
      <bottom style="thin">
        <color rgb="FF000000"/>
      </bottom>
      <diagonal/>
    </border>
    <border>
      <left style="medium">
        <color rgb="FF0C343D"/>
      </left>
      <right style="thin">
        <color rgb="FF000000"/>
      </right>
      <top/>
      <bottom style="thin">
        <color rgb="FF000000"/>
      </bottom>
      <diagonal/>
    </border>
    <border>
      <left style="medium">
        <color rgb="FF0C343D"/>
      </left>
      <right/>
      <top style="thin">
        <color rgb="FF000000"/>
      </top>
      <bottom style="thin">
        <color rgb="FF000000"/>
      </bottom>
      <diagonal/>
    </border>
    <border>
      <left style="medium">
        <color rgb="FF0C343D"/>
      </left>
      <right style="thin">
        <color rgb="FF000000"/>
      </right>
      <top style="thin">
        <color rgb="FF000000"/>
      </top>
      <bottom style="thin">
        <color rgb="FF000000"/>
      </bottom>
      <diagonal/>
    </border>
    <border>
      <left style="medium">
        <color rgb="FF0C343D"/>
      </left>
      <right style="thin">
        <color rgb="FF000000"/>
      </right>
      <top/>
      <bottom/>
      <diagonal/>
    </border>
    <border>
      <left style="medium">
        <color rgb="FF0C343D"/>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C343D"/>
      </left>
      <right style="thin">
        <color rgb="FF000000"/>
      </right>
      <top style="thin">
        <color rgb="FFEFEFEF"/>
      </top>
      <bottom style="thin">
        <color rgb="FF000000"/>
      </bottom>
      <diagonal/>
    </border>
    <border>
      <left style="thin">
        <color rgb="FF000000"/>
      </left>
      <right style="medium">
        <color rgb="FF000000"/>
      </right>
      <top style="thin">
        <color rgb="FFEFEFEF"/>
      </top>
      <bottom style="thin">
        <color rgb="FF000000"/>
      </bottom>
      <diagonal/>
    </border>
    <border>
      <left/>
      <right style="thin">
        <color rgb="FF000000"/>
      </right>
      <top style="thin">
        <color rgb="FFEFEFEF"/>
      </top>
      <bottom style="thin">
        <color rgb="FF000000"/>
      </bottom>
      <diagonal/>
    </border>
    <border>
      <left style="medium">
        <color rgb="FF0C343D"/>
      </left>
      <right style="thin">
        <color rgb="FF000000"/>
      </right>
      <top style="thin">
        <color rgb="FFD9D9D9"/>
      </top>
      <bottom style="thin">
        <color rgb="FF000000"/>
      </bottom>
      <diagonal/>
    </border>
    <border>
      <left style="thin">
        <color rgb="FF000000"/>
      </left>
      <right style="medium">
        <color rgb="FF000000"/>
      </right>
      <top style="thin">
        <color rgb="FFD9D9D9"/>
      </top>
      <bottom style="thin">
        <color rgb="FF000000"/>
      </bottom>
      <diagonal/>
    </border>
    <border>
      <left/>
      <right style="thin">
        <color rgb="FF000000"/>
      </right>
      <top style="thin">
        <color rgb="FFD9D9D9"/>
      </top>
      <bottom style="thin">
        <color rgb="FF000000"/>
      </bottom>
      <diagonal/>
    </border>
    <border>
      <left style="medium">
        <color rgb="FF0C343D"/>
      </left>
      <right/>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C343D"/>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top style="thick">
        <color rgb="FF000000"/>
      </top>
      <bottom/>
      <diagonal/>
    </border>
    <border>
      <left style="medium">
        <color rgb="FF0C343D"/>
      </left>
      <right style="thin">
        <color rgb="FF000000"/>
      </right>
      <top style="thick">
        <color rgb="FF000000"/>
      </top>
      <bottom/>
      <diagonal/>
    </border>
    <border>
      <left style="thin">
        <color rgb="FF000000"/>
      </left>
      <right style="thin">
        <color rgb="FF000000"/>
      </right>
      <top style="thick">
        <color rgb="FF000000"/>
      </top>
      <bottom/>
      <diagonal/>
    </border>
    <border>
      <left style="medium">
        <color rgb="FF0C343D"/>
      </left>
      <right style="thick">
        <color rgb="FF000000"/>
      </right>
      <top style="thick">
        <color rgb="FF000000"/>
      </top>
      <bottom/>
      <diagonal/>
    </border>
    <border>
      <left/>
      <right/>
      <top/>
      <bottom style="thick">
        <color rgb="FF000000"/>
      </bottom>
      <diagonal/>
    </border>
    <border>
      <left style="medium">
        <color rgb="FF0C343D"/>
      </left>
      <right/>
      <top/>
      <bottom style="thick">
        <color rgb="FF000000"/>
      </bottom>
      <diagonal/>
    </border>
    <border>
      <left style="thin">
        <color rgb="FF000000"/>
      </left>
      <right/>
      <top style="thin">
        <color rgb="FF000000"/>
      </top>
      <bottom style="thick">
        <color rgb="FF000000"/>
      </bottom>
      <diagonal/>
    </border>
    <border>
      <left style="medium">
        <color rgb="FF0C343D"/>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medium">
        <color rgb="FF0C343D"/>
      </left>
      <right style="thick">
        <color rgb="FF000000"/>
      </right>
      <top style="thin">
        <color rgb="FF000000"/>
      </top>
      <bottom style="thick">
        <color rgb="FF000000"/>
      </bottom>
      <diagonal/>
    </border>
    <border>
      <left style="thick">
        <color rgb="FF000000"/>
      </left>
      <right style="thin">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medium">
        <color rgb="FF0C343D"/>
      </left>
      <right style="thin">
        <color rgb="FF000000"/>
      </right>
      <top style="thin">
        <color rgb="FF000000"/>
      </top>
      <bottom style="thin">
        <color rgb="FFCCCCCC"/>
      </bottom>
      <diagonal/>
    </border>
    <border>
      <left style="medium">
        <color rgb="FF0C343D"/>
      </left>
      <right/>
      <top style="thin">
        <color rgb="FFEFEFEF"/>
      </top>
      <bottom style="thin">
        <color rgb="FF000000"/>
      </bottom>
      <diagonal/>
    </border>
    <border>
      <left style="medium">
        <color rgb="FF0C343D"/>
      </left>
      <right/>
      <top style="thin">
        <color rgb="FFCCCCCC"/>
      </top>
      <bottom style="thin">
        <color rgb="FF000000"/>
      </bottom>
      <diagonal/>
    </border>
    <border>
      <left style="medium">
        <color rgb="FF0C343D"/>
      </left>
      <right style="thin">
        <color rgb="FF000000"/>
      </right>
      <top/>
      <bottom style="thin">
        <color rgb="FFCCCCCC"/>
      </bottom>
      <diagonal/>
    </border>
    <border>
      <left style="thin">
        <color rgb="FF000000"/>
      </left>
      <right style="thin">
        <color rgb="FF000000"/>
      </right>
      <top style="thin">
        <color rgb="FFCCCCCC"/>
      </top>
      <bottom/>
      <diagonal/>
    </border>
    <border>
      <left style="medium">
        <color rgb="FF0C343D"/>
      </left>
      <right style="thin">
        <color rgb="FF000000"/>
      </right>
      <top style="thin">
        <color rgb="FFCCCCCC"/>
      </top>
      <bottom style="thin">
        <color rgb="FF000000"/>
      </bottom>
      <diagonal/>
    </border>
    <border>
      <left style="thin">
        <color rgb="FF000000"/>
      </left>
      <right style="medium">
        <color rgb="FF000000"/>
      </right>
      <top style="thick">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style="thin">
        <color rgb="FF000000"/>
      </top>
      <bottom style="thick">
        <color rgb="FF000000"/>
      </bottom>
      <diagonal/>
    </border>
    <border>
      <left style="medium">
        <color rgb="FF000000"/>
      </left>
      <right style="thin">
        <color rgb="FF000000"/>
      </right>
      <top style="thin">
        <color rgb="FFEFEFEF"/>
      </top>
      <bottom style="thin">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thin">
        <color rgb="FF000000"/>
      </right>
      <top/>
      <bottom style="thin">
        <color rgb="FF000000"/>
      </bottom>
      <diagonal/>
    </border>
    <border>
      <left style="thick">
        <color rgb="FF000000"/>
      </left>
      <right/>
      <top/>
      <bottom/>
      <diagonal/>
    </border>
    <border>
      <left/>
      <right style="thick">
        <color rgb="FF000000"/>
      </right>
      <top/>
      <bottom/>
      <diagonal/>
    </border>
    <border>
      <left style="thick">
        <color rgb="FFFFFF00"/>
      </left>
      <right/>
      <top style="thick">
        <color rgb="FFFFFF00"/>
      </top>
      <bottom/>
      <diagonal/>
    </border>
    <border>
      <left/>
      <right/>
      <top style="thick">
        <color rgb="FFFFFF00"/>
      </top>
      <bottom/>
      <diagonal/>
    </border>
    <border>
      <left/>
      <right style="thick">
        <color rgb="FFFFFF00"/>
      </right>
      <top style="thick">
        <color rgb="FFFFFF00"/>
      </top>
      <bottom/>
      <diagonal/>
    </border>
    <border>
      <left style="thick">
        <color rgb="FFB7B7B7"/>
      </left>
      <right/>
      <top style="thick">
        <color rgb="FFB7B7B7"/>
      </top>
      <bottom/>
      <diagonal/>
    </border>
    <border>
      <left/>
      <right/>
      <top style="thick">
        <color rgb="FFB7B7B7"/>
      </top>
      <bottom/>
      <diagonal/>
    </border>
    <border>
      <left/>
      <right style="thick">
        <color rgb="FFB7B7B7"/>
      </right>
      <top style="thick">
        <color rgb="FFB7B7B7"/>
      </top>
      <bottom/>
      <diagonal/>
    </border>
    <border>
      <left style="thick">
        <color rgb="FFFFFF00"/>
      </left>
      <right/>
      <top/>
      <bottom/>
      <diagonal/>
    </border>
    <border>
      <left/>
      <right style="thick">
        <color rgb="FFFFFF00"/>
      </right>
      <top/>
      <bottom/>
      <diagonal/>
    </border>
    <border>
      <left style="thick">
        <color rgb="FFB7B7B7"/>
      </left>
      <right/>
      <top/>
      <bottom/>
      <diagonal/>
    </border>
    <border>
      <left/>
      <right style="thick">
        <color rgb="FFB7B7B7"/>
      </right>
      <top/>
      <bottom/>
      <diagonal/>
    </border>
    <border>
      <left style="thick">
        <color rgb="FFFFFF00"/>
      </left>
      <right/>
      <top/>
      <bottom style="thick">
        <color rgb="FFFFFF00"/>
      </bottom>
      <diagonal/>
    </border>
    <border>
      <left/>
      <right/>
      <top/>
      <bottom style="thick">
        <color rgb="FFFFFF00"/>
      </bottom>
      <diagonal/>
    </border>
    <border>
      <left/>
      <right style="thick">
        <color rgb="FFFFFF00"/>
      </right>
      <top/>
      <bottom style="thick">
        <color rgb="FFFFFF00"/>
      </bottom>
      <diagonal/>
    </border>
    <border>
      <left style="thick">
        <color rgb="FFB7B7B7"/>
      </left>
      <right/>
      <top/>
      <bottom style="thick">
        <color rgb="FFB7B7B7"/>
      </bottom>
      <diagonal/>
    </border>
    <border>
      <left/>
      <right/>
      <top/>
      <bottom style="thick">
        <color rgb="FFB7B7B7"/>
      </bottom>
      <diagonal/>
    </border>
    <border>
      <left/>
      <right style="thick">
        <color rgb="FFB7B7B7"/>
      </right>
      <top/>
      <bottom style="thick">
        <color rgb="FFB7B7B7"/>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bottom style="medium">
        <color rgb="FF000000"/>
      </bottom>
      <diagonal/>
    </border>
    <border>
      <left style="medium">
        <color rgb="FF0C343D"/>
      </left>
      <right style="medium">
        <color rgb="FF0C343D"/>
      </right>
      <top style="medium">
        <color rgb="FF0C343D"/>
      </top>
      <bottom style="medium">
        <color rgb="FF0C343D"/>
      </bottom>
      <diagonal/>
    </border>
    <border>
      <left style="medium">
        <color rgb="FF0C343D"/>
      </left>
      <right/>
      <top style="medium">
        <color rgb="FF0C343D"/>
      </top>
      <bottom style="medium">
        <color rgb="FF0C343D"/>
      </bottom>
      <diagonal/>
    </border>
    <border>
      <left/>
      <right style="medium">
        <color rgb="FF0C343D"/>
      </right>
      <top style="medium">
        <color rgb="FF0C343D"/>
      </top>
      <bottom style="medium">
        <color rgb="FF0C343D"/>
      </bottom>
      <diagonal/>
    </border>
    <border>
      <left/>
      <right/>
      <top style="thin">
        <color rgb="FF000000"/>
      </top>
      <bottom/>
      <diagonal/>
    </border>
    <border>
      <left/>
      <right/>
      <top/>
      <bottom/>
      <diagonal/>
    </border>
    <border>
      <left style="thick">
        <color rgb="FF000000"/>
      </left>
      <right/>
      <top style="thick">
        <color rgb="FF000000"/>
      </top>
      <bottom/>
      <diagonal/>
    </border>
    <border>
      <left style="thick">
        <color rgb="FF000000"/>
      </left>
      <right style="thick">
        <color rgb="FF000000"/>
      </right>
      <top style="thin">
        <color rgb="FF000000"/>
      </top>
      <bottom/>
      <diagonal/>
    </border>
    <border>
      <left/>
      <right style="medium">
        <color rgb="FF000000"/>
      </right>
      <top/>
      <bottom style="thin">
        <color rgb="FF000000"/>
      </bottom>
      <diagonal/>
    </border>
    <border>
      <left style="thick">
        <color rgb="FF000000"/>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ck">
        <color rgb="FF000000"/>
      </left>
      <right style="thick">
        <color rgb="FF000000"/>
      </right>
      <top/>
      <bottom style="thick">
        <color rgb="FF000000"/>
      </bottom>
      <diagonal/>
    </border>
    <border>
      <left/>
      <right style="thick">
        <color rgb="FF000000"/>
      </right>
      <top/>
      <bottom style="thin">
        <color rgb="FF000000"/>
      </bottom>
      <diagonal/>
    </border>
    <border>
      <left/>
      <right style="thin">
        <color rgb="FF000000"/>
      </right>
      <top/>
      <bottom style="thick">
        <color rgb="FF000000"/>
      </bottom>
      <diagonal/>
    </border>
    <border>
      <left/>
      <right style="thick">
        <color rgb="FF000000"/>
      </right>
      <top/>
      <bottom style="thick">
        <color rgb="FF000000"/>
      </bottom>
      <diagonal/>
    </border>
  </borders>
  <cellStyleXfs count="1">
    <xf numFmtId="0" fontId="0" fillId="0" borderId="0"/>
  </cellStyleXfs>
  <cellXfs count="1234">
    <xf numFmtId="0" fontId="0" fillId="0" borderId="0" xfId="0"/>
    <xf numFmtId="0" fontId="1" fillId="2" borderId="0" xfId="0" applyFont="1" applyFill="1" applyAlignment="1">
      <alignment horizontal="center" wrapText="1"/>
    </xf>
    <xf numFmtId="0" fontId="1" fillId="2" borderId="0" xfId="0" applyFont="1" applyFill="1" applyAlignment="1">
      <alignment horizontal="center"/>
    </xf>
    <xf numFmtId="0" fontId="1" fillId="2" borderId="0" xfId="0" applyFont="1" applyFill="1" applyAlignment="1">
      <alignment horizontal="center" vertical="top"/>
    </xf>
    <xf numFmtId="0" fontId="1" fillId="2" borderId="0" xfId="0" applyFont="1" applyFill="1" applyAlignment="1">
      <alignment horizontal="center" vertical="center" wrapText="1"/>
    </xf>
    <xf numFmtId="0" fontId="6" fillId="2" borderId="0" xfId="0" applyFont="1" applyFill="1"/>
    <xf numFmtId="0" fontId="6" fillId="2" borderId="0" xfId="0" applyFont="1" applyFill="1" applyAlignment="1">
      <alignment horizontal="center"/>
    </xf>
    <xf numFmtId="0" fontId="6" fillId="2" borderId="0" xfId="0" applyFont="1" applyFill="1" applyAlignment="1">
      <alignment vertical="center"/>
    </xf>
    <xf numFmtId="0" fontId="1" fillId="2" borderId="0" xfId="0" applyFont="1" applyFill="1"/>
    <xf numFmtId="0" fontId="6" fillId="0" borderId="0" xfId="0" applyFont="1"/>
    <xf numFmtId="0" fontId="8" fillId="7" borderId="0" xfId="0" applyFont="1" applyFill="1"/>
    <xf numFmtId="0" fontId="8" fillId="7" borderId="0" xfId="0" applyFont="1" applyFill="1" applyAlignment="1">
      <alignment horizontal="center" vertical="center" wrapText="1"/>
    </xf>
    <xf numFmtId="0" fontId="1" fillId="2" borderId="0" xfId="0" applyFont="1" applyFill="1" applyAlignment="1">
      <alignment horizontal="center" vertic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xf numFmtId="0" fontId="1" fillId="2" borderId="11"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12" xfId="0" applyFont="1" applyFill="1" applyBorder="1" applyAlignment="1">
      <alignment horizontal="center" vertical="center"/>
    </xf>
    <xf numFmtId="0" fontId="10" fillId="2" borderId="1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5" xfId="0" applyFont="1" applyFill="1" applyBorder="1" applyAlignment="1">
      <alignment horizontal="center" vertical="top"/>
    </xf>
    <xf numFmtId="0" fontId="10" fillId="2" borderId="5" xfId="0" applyFont="1" applyFill="1" applyBorder="1" applyAlignment="1">
      <alignment horizontal="center" vertical="top"/>
    </xf>
    <xf numFmtId="0" fontId="11" fillId="2" borderId="5" xfId="0" applyFont="1" applyFill="1" applyBorder="1" applyAlignment="1">
      <alignment horizontal="center" vertical="top"/>
    </xf>
    <xf numFmtId="0" fontId="1" fillId="2" borderId="5" xfId="0" applyFont="1" applyFill="1" applyBorder="1"/>
    <xf numFmtId="0" fontId="1" fillId="2" borderId="5" xfId="0" applyFont="1" applyFill="1" applyBorder="1" applyAlignment="1">
      <alignment horizontal="center"/>
    </xf>
    <xf numFmtId="0" fontId="12" fillId="2" borderId="11" xfId="0" applyFont="1" applyFill="1" applyBorder="1" applyAlignment="1">
      <alignment horizontal="center" vertical="center"/>
    </xf>
    <xf numFmtId="0" fontId="12" fillId="2" borderId="6" xfId="0" applyFont="1" applyFill="1" applyBorder="1" applyAlignment="1">
      <alignment horizontal="center" vertical="center"/>
    </xf>
    <xf numFmtId="0" fontId="12" fillId="2" borderId="12" xfId="0" applyFont="1" applyFill="1" applyBorder="1" applyAlignment="1">
      <alignment horizontal="center" vertical="center"/>
    </xf>
    <xf numFmtId="0" fontId="13" fillId="2" borderId="13" xfId="0" applyFont="1" applyFill="1" applyBorder="1" applyAlignment="1">
      <alignment horizontal="center" vertical="center"/>
    </xf>
    <xf numFmtId="0" fontId="12" fillId="2" borderId="0" xfId="0" applyFont="1" applyFill="1" applyAlignment="1">
      <alignment horizontal="center" vertical="center"/>
    </xf>
    <xf numFmtId="0" fontId="12" fillId="2" borderId="7" xfId="0" applyFont="1" applyFill="1" applyBorder="1" applyAlignment="1">
      <alignment horizontal="center" vertical="center"/>
    </xf>
    <xf numFmtId="0" fontId="14" fillId="2" borderId="14" xfId="0" applyFont="1" applyFill="1" applyBorder="1"/>
    <xf numFmtId="0" fontId="14" fillId="2" borderId="0" xfId="0" applyFont="1" applyFill="1"/>
    <xf numFmtId="0" fontId="14" fillId="2" borderId="15" xfId="0" applyFont="1" applyFill="1" applyBorder="1"/>
    <xf numFmtId="0" fontId="14" fillId="0" borderId="0" xfId="0" applyFont="1"/>
    <xf numFmtId="0" fontId="14" fillId="2" borderId="5" xfId="0" applyFont="1" applyFill="1" applyBorder="1" applyAlignment="1">
      <alignment vertical="top"/>
    </xf>
    <xf numFmtId="0" fontId="14" fillId="2" borderId="5" xfId="0" applyFont="1" applyFill="1" applyBorder="1"/>
    <xf numFmtId="0" fontId="12" fillId="2" borderId="0" xfId="0" applyFont="1" applyFill="1" applyAlignment="1">
      <alignment horizontal="center" vertical="center" wrapText="1"/>
    </xf>
    <xf numFmtId="0" fontId="8" fillId="7" borderId="16" xfId="0" applyFont="1" applyFill="1" applyBorder="1"/>
    <xf numFmtId="0" fontId="8" fillId="7" borderId="16"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0" borderId="14" xfId="0" applyFont="1" applyBorder="1" applyAlignment="1">
      <alignment horizontal="center"/>
    </xf>
    <xf numFmtId="0" fontId="1" fillId="0" borderId="14" xfId="0" applyFont="1" applyBorder="1" applyAlignment="1">
      <alignment horizontal="center" vertical="center"/>
    </xf>
    <xf numFmtId="0" fontId="1" fillId="0" borderId="14" xfId="0" applyFont="1" applyBorder="1"/>
    <xf numFmtId="0" fontId="1" fillId="2" borderId="10" xfId="0" applyFont="1" applyFill="1" applyBorder="1" applyAlignment="1">
      <alignment horizontal="center"/>
    </xf>
    <xf numFmtId="0" fontId="1" fillId="2" borderId="14" xfId="0" applyFont="1" applyFill="1" applyBorder="1" applyAlignment="1">
      <alignment horizontal="center"/>
    </xf>
    <xf numFmtId="0" fontId="1" fillId="2" borderId="14" xfId="0" applyFont="1" applyFill="1" applyBorder="1"/>
    <xf numFmtId="0" fontId="15" fillId="2" borderId="11" xfId="0" applyFont="1" applyFill="1" applyBorder="1" applyAlignment="1">
      <alignment horizontal="center" vertical="center"/>
    </xf>
    <xf numFmtId="0" fontId="15" fillId="2" borderId="6" xfId="0" applyFont="1" applyFill="1" applyBorder="1" applyAlignment="1">
      <alignment horizontal="center" vertical="center"/>
    </xf>
    <xf numFmtId="0" fontId="15" fillId="2" borderId="12" xfId="0" applyFont="1" applyFill="1" applyBorder="1" applyAlignment="1">
      <alignment horizontal="center" vertical="center"/>
    </xf>
    <xf numFmtId="0" fontId="16" fillId="2" borderId="13" xfId="0" applyFont="1" applyFill="1" applyBorder="1" applyAlignment="1">
      <alignment horizontal="center" vertical="center"/>
    </xf>
    <xf numFmtId="0" fontId="15" fillId="2" borderId="7" xfId="0" applyFont="1" applyFill="1" applyBorder="1" applyAlignment="1">
      <alignment horizontal="center" vertical="center"/>
    </xf>
    <xf numFmtId="0" fontId="8" fillId="7" borderId="5" xfId="0" applyFont="1" applyFill="1" applyBorder="1"/>
    <xf numFmtId="0" fontId="8" fillId="7" borderId="5" xfId="0" applyFont="1" applyFill="1" applyBorder="1" applyAlignment="1">
      <alignment horizontal="center" vertical="center" wrapText="1"/>
    </xf>
    <xf numFmtId="0" fontId="16" fillId="2" borderId="11" xfId="0" applyFont="1" applyFill="1" applyBorder="1" applyAlignment="1">
      <alignment horizontal="center" vertical="center"/>
    </xf>
    <xf numFmtId="0" fontId="15" fillId="2" borderId="17" xfId="0" applyFont="1" applyFill="1" applyBorder="1" applyAlignment="1">
      <alignment horizontal="center" vertical="center"/>
    </xf>
    <xf numFmtId="0" fontId="16" fillId="2" borderId="18" xfId="0" applyFont="1" applyFill="1" applyBorder="1" applyAlignment="1">
      <alignment horizontal="center" vertical="center"/>
    </xf>
    <xf numFmtId="0" fontId="1" fillId="2" borderId="21" xfId="0" applyFont="1" applyFill="1" applyBorder="1" applyAlignment="1">
      <alignment horizontal="center" vertical="top"/>
    </xf>
    <xf numFmtId="0" fontId="15" fillId="2" borderId="22" xfId="0" applyFont="1" applyFill="1" applyBorder="1" applyAlignment="1">
      <alignment horizontal="center" vertical="center"/>
    </xf>
    <xf numFmtId="0" fontId="18" fillId="10" borderId="23" xfId="0" applyFont="1" applyFill="1" applyBorder="1" applyAlignment="1">
      <alignment horizontal="center" vertical="center"/>
    </xf>
    <xf numFmtId="0" fontId="18" fillId="2" borderId="21" xfId="0" applyFont="1" applyFill="1" applyBorder="1" applyAlignment="1">
      <alignment horizontal="center" vertical="center"/>
    </xf>
    <xf numFmtId="0" fontId="18" fillId="11" borderId="23" xfId="0" applyFont="1" applyFill="1" applyBorder="1" applyAlignment="1">
      <alignment horizontal="center" vertical="center"/>
    </xf>
    <xf numFmtId="0" fontId="19" fillId="2" borderId="0" xfId="0" applyFont="1" applyFill="1" applyAlignment="1">
      <alignment horizontal="center" vertical="center"/>
    </xf>
    <xf numFmtId="0" fontId="20" fillId="12" borderId="6" xfId="0" applyFont="1" applyFill="1" applyBorder="1" applyAlignment="1">
      <alignment horizontal="left"/>
    </xf>
    <xf numFmtId="20" fontId="20" fillId="12" borderId="10" xfId="0" applyNumberFormat="1" applyFont="1" applyFill="1" applyBorder="1" applyAlignment="1">
      <alignment horizontal="center"/>
    </xf>
    <xf numFmtId="6" fontId="20" fillId="12" borderId="10" xfId="0" applyNumberFormat="1" applyFont="1" applyFill="1" applyBorder="1" applyAlignment="1">
      <alignment horizontal="left"/>
    </xf>
    <xf numFmtId="6" fontId="20" fillId="12" borderId="10" xfId="0" applyNumberFormat="1" applyFont="1" applyFill="1" applyBorder="1" applyAlignment="1">
      <alignment horizontal="right"/>
    </xf>
    <xf numFmtId="0" fontId="20" fillId="12" borderId="10" xfId="0" applyFont="1" applyFill="1" applyBorder="1" applyAlignment="1">
      <alignment horizontal="center"/>
    </xf>
    <xf numFmtId="0" fontId="21" fillId="12" borderId="10" xfId="0" applyFont="1" applyFill="1" applyBorder="1" applyAlignment="1">
      <alignment horizontal="center"/>
    </xf>
    <xf numFmtId="6" fontId="20" fillId="0" borderId="28" xfId="0" applyNumberFormat="1" applyFont="1" applyBorder="1" applyAlignment="1">
      <alignment horizontal="right"/>
    </xf>
    <xf numFmtId="0" fontId="22" fillId="12" borderId="10" xfId="0" applyFont="1" applyFill="1" applyBorder="1"/>
    <xf numFmtId="0" fontId="22" fillId="12" borderId="7" xfId="0" applyFont="1" applyFill="1" applyBorder="1"/>
    <xf numFmtId="6" fontId="20" fillId="2" borderId="29" xfId="0" applyNumberFormat="1" applyFont="1" applyFill="1" applyBorder="1" applyAlignment="1">
      <alignment horizontal="right"/>
    </xf>
    <xf numFmtId="6" fontId="20" fillId="2" borderId="30" xfId="0" applyNumberFormat="1" applyFont="1" applyFill="1" applyBorder="1" applyAlignment="1">
      <alignment horizontal="right"/>
    </xf>
    <xf numFmtId="6" fontId="20" fillId="2" borderId="5" xfId="0" applyNumberFormat="1" applyFont="1" applyFill="1" applyBorder="1" applyAlignment="1">
      <alignment horizontal="right"/>
    </xf>
    <xf numFmtId="0" fontId="23" fillId="13" borderId="31" xfId="0" applyFont="1" applyFill="1" applyBorder="1" applyAlignment="1">
      <alignment horizontal="center"/>
    </xf>
    <xf numFmtId="0" fontId="23" fillId="13" borderId="29" xfId="0" applyFont="1" applyFill="1" applyBorder="1" applyAlignment="1">
      <alignment horizontal="center"/>
    </xf>
    <xf numFmtId="0" fontId="23" fillId="13" borderId="12" xfId="0" applyFont="1" applyFill="1" applyBorder="1" applyAlignment="1">
      <alignment horizontal="center"/>
    </xf>
    <xf numFmtId="0" fontId="24" fillId="13" borderId="30" xfId="0" applyFont="1" applyFill="1" applyBorder="1" applyAlignment="1">
      <alignment horizontal="center"/>
    </xf>
    <xf numFmtId="0" fontId="24" fillId="13" borderId="31" xfId="0" applyFont="1" applyFill="1" applyBorder="1" applyAlignment="1">
      <alignment horizontal="center"/>
    </xf>
    <xf numFmtId="0" fontId="21" fillId="13" borderId="29" xfId="0" applyFont="1" applyFill="1" applyBorder="1" applyAlignment="1">
      <alignment horizontal="center"/>
    </xf>
    <xf numFmtId="6" fontId="20" fillId="2" borderId="11" xfId="0" applyNumberFormat="1" applyFont="1" applyFill="1" applyBorder="1" applyAlignment="1">
      <alignment horizontal="right"/>
    </xf>
    <xf numFmtId="6" fontId="20" fillId="2" borderId="32" xfId="0" applyNumberFormat="1" applyFont="1" applyFill="1" applyBorder="1" applyAlignment="1">
      <alignment horizontal="right"/>
    </xf>
    <xf numFmtId="6" fontId="20" fillId="2" borderId="10" xfId="0" applyNumberFormat="1" applyFont="1" applyFill="1" applyBorder="1" applyAlignment="1">
      <alignment horizontal="right"/>
    </xf>
    <xf numFmtId="0" fontId="25" fillId="13" borderId="33" xfId="0" applyFont="1" applyFill="1" applyBorder="1" applyAlignment="1">
      <alignment horizontal="center"/>
    </xf>
    <xf numFmtId="0" fontId="25" fillId="13" borderId="7" xfId="0" applyFont="1" applyFill="1" applyBorder="1" applyAlignment="1">
      <alignment horizontal="center"/>
    </xf>
    <xf numFmtId="0" fontId="25" fillId="13" borderId="10" xfId="0" applyFont="1" applyFill="1" applyBorder="1" applyAlignment="1">
      <alignment horizontal="center"/>
    </xf>
    <xf numFmtId="0" fontId="25" fillId="0" borderId="32" xfId="0" applyFont="1" applyBorder="1"/>
    <xf numFmtId="0" fontId="25" fillId="0" borderId="33" xfId="0" applyFont="1" applyBorder="1"/>
    <xf numFmtId="0" fontId="3" fillId="0" borderId="11" xfId="0" applyFont="1" applyBorder="1"/>
    <xf numFmtId="0" fontId="24" fillId="13" borderId="33" xfId="0" applyFont="1" applyFill="1" applyBorder="1" applyAlignment="1">
      <alignment horizontal="center"/>
    </xf>
    <xf numFmtId="0" fontId="24" fillId="13" borderId="7" xfId="0" applyFont="1" applyFill="1" applyBorder="1" applyAlignment="1">
      <alignment horizontal="center"/>
    </xf>
    <xf numFmtId="0" fontId="24" fillId="13" borderId="10" xfId="0" applyFont="1" applyFill="1" applyBorder="1" applyAlignment="1">
      <alignment horizontal="center"/>
    </xf>
    <xf numFmtId="0" fontId="24" fillId="13" borderId="32" xfId="0" applyFont="1" applyFill="1" applyBorder="1" applyAlignment="1">
      <alignment horizontal="center"/>
    </xf>
    <xf numFmtId="0" fontId="24" fillId="13" borderId="11" xfId="0" applyFont="1" applyFill="1" applyBorder="1" applyAlignment="1">
      <alignment horizontal="center"/>
    </xf>
    <xf numFmtId="0" fontId="21" fillId="13" borderId="11" xfId="0" applyFont="1" applyFill="1" applyBorder="1" applyAlignment="1">
      <alignment horizontal="center"/>
    </xf>
    <xf numFmtId="0" fontId="20" fillId="2" borderId="8" xfId="0" applyFont="1" applyFill="1" applyBorder="1" applyAlignment="1">
      <alignment horizontal="center"/>
    </xf>
    <xf numFmtId="6" fontId="26" fillId="2" borderId="34" xfId="0" applyNumberFormat="1" applyFont="1" applyFill="1" applyBorder="1" applyAlignment="1">
      <alignment horizontal="center" vertical="center" wrapText="1"/>
    </xf>
    <xf numFmtId="0" fontId="27" fillId="2" borderId="35" xfId="0" applyFont="1" applyFill="1" applyBorder="1" applyAlignment="1">
      <alignment horizontal="center" vertical="center" wrapText="1"/>
    </xf>
    <xf numFmtId="0" fontId="23" fillId="13" borderId="36" xfId="0" applyFont="1" applyFill="1" applyBorder="1" applyAlignment="1">
      <alignment horizontal="center" vertical="center"/>
    </xf>
    <xf numFmtId="0" fontId="23" fillId="13" borderId="17" xfId="0" applyFont="1" applyFill="1" applyBorder="1" applyAlignment="1">
      <alignment horizontal="center" vertical="center"/>
    </xf>
    <xf numFmtId="0" fontId="23" fillId="13" borderId="8" xfId="0" applyFont="1" applyFill="1" applyBorder="1" applyAlignment="1">
      <alignment horizontal="center" vertical="center"/>
    </xf>
    <xf numFmtId="0" fontId="24" fillId="13" borderId="37" xfId="0" applyFont="1" applyFill="1" applyBorder="1" applyAlignment="1">
      <alignment horizontal="center" vertical="center"/>
    </xf>
    <xf numFmtId="0" fontId="20" fillId="0" borderId="28" xfId="0" applyFont="1" applyBorder="1" applyAlignment="1">
      <alignment horizontal="center" vertical="center"/>
    </xf>
    <xf numFmtId="0" fontId="20" fillId="2" borderId="14" xfId="0" applyFont="1" applyFill="1" applyBorder="1" applyAlignment="1">
      <alignment horizontal="center" vertical="center"/>
    </xf>
    <xf numFmtId="0" fontId="24" fillId="13" borderId="36" xfId="0" applyFont="1" applyFill="1" applyBorder="1" applyAlignment="1">
      <alignment horizontal="center" vertical="center"/>
    </xf>
    <xf numFmtId="0" fontId="27" fillId="13" borderId="17" xfId="0" applyFont="1" applyFill="1" applyBorder="1" applyAlignment="1">
      <alignment horizontal="center" vertical="center" wrapText="1"/>
    </xf>
    <xf numFmtId="0" fontId="26" fillId="13" borderId="17" xfId="0" applyFont="1" applyFill="1" applyBorder="1" applyAlignment="1">
      <alignment horizontal="center" vertical="center" wrapText="1"/>
    </xf>
    <xf numFmtId="0" fontId="28" fillId="2" borderId="17" xfId="0" applyFont="1" applyFill="1" applyBorder="1" applyAlignment="1">
      <alignment horizontal="center"/>
    </xf>
    <xf numFmtId="0" fontId="28" fillId="2" borderId="8" xfId="0" applyFont="1" applyFill="1" applyBorder="1" applyAlignment="1">
      <alignment horizontal="center"/>
    </xf>
    <xf numFmtId="6" fontId="28" fillId="2" borderId="36" xfId="0" applyNumberFormat="1" applyFont="1" applyFill="1" applyBorder="1" applyAlignment="1">
      <alignment horizontal="center"/>
    </xf>
    <xf numFmtId="3" fontId="28" fillId="2" borderId="36" xfId="0" applyNumberFormat="1" applyFont="1" applyFill="1" applyBorder="1" applyAlignment="1">
      <alignment horizontal="right"/>
    </xf>
    <xf numFmtId="3" fontId="28" fillId="2" borderId="17" xfId="0" applyNumberFormat="1" applyFont="1" applyFill="1" applyBorder="1" applyAlignment="1">
      <alignment horizontal="right"/>
    </xf>
    <xf numFmtId="3" fontId="28" fillId="2" borderId="9" xfId="0" applyNumberFormat="1" applyFont="1" applyFill="1" applyBorder="1" applyAlignment="1">
      <alignment horizontal="right"/>
    </xf>
    <xf numFmtId="0" fontId="21" fillId="12" borderId="38" xfId="0" applyFont="1" applyFill="1" applyBorder="1" applyAlignment="1">
      <alignment horizontal="right"/>
    </xf>
    <xf numFmtId="0" fontId="28" fillId="0" borderId="28" xfId="0" applyFont="1" applyBorder="1" applyAlignment="1">
      <alignment horizontal="right"/>
    </xf>
    <xf numFmtId="0" fontId="28" fillId="2" borderId="14" xfId="0" applyFont="1" applyFill="1" applyBorder="1" applyAlignment="1">
      <alignment horizontal="right"/>
    </xf>
    <xf numFmtId="0" fontId="28" fillId="12" borderId="39" xfId="0" applyFont="1" applyFill="1" applyBorder="1" applyAlignment="1">
      <alignment horizontal="center"/>
    </xf>
    <xf numFmtId="8" fontId="28" fillId="12" borderId="40" xfId="0" applyNumberFormat="1" applyFont="1" applyFill="1" applyBorder="1" applyAlignment="1">
      <alignment horizontal="center"/>
    </xf>
    <xf numFmtId="8" fontId="28" fillId="12" borderId="17" xfId="0" applyNumberFormat="1" applyFont="1" applyFill="1" applyBorder="1" applyAlignment="1">
      <alignment horizontal="center"/>
    </xf>
    <xf numFmtId="0" fontId="20" fillId="2" borderId="35" xfId="0" applyFont="1" applyFill="1" applyBorder="1" applyAlignment="1">
      <alignment horizontal="right" vertical="center"/>
    </xf>
    <xf numFmtId="0" fontId="20" fillId="2" borderId="35" xfId="0" applyFont="1" applyFill="1" applyBorder="1" applyAlignment="1">
      <alignment horizontal="center" vertical="center"/>
    </xf>
    <xf numFmtId="49" fontId="29" fillId="2" borderId="41" xfId="0" applyNumberFormat="1" applyFont="1" applyFill="1" applyBorder="1" applyAlignment="1">
      <alignment horizontal="center" vertical="center"/>
    </xf>
    <xf numFmtId="49" fontId="29" fillId="2" borderId="35" xfId="0" applyNumberFormat="1" applyFont="1" applyFill="1" applyBorder="1" applyAlignment="1">
      <alignment horizontal="center" vertical="center"/>
    </xf>
    <xf numFmtId="3" fontId="30" fillId="2" borderId="41" xfId="0" applyNumberFormat="1" applyFont="1" applyFill="1" applyBorder="1" applyAlignment="1">
      <alignment horizontal="center" vertical="center"/>
    </xf>
    <xf numFmtId="3" fontId="30" fillId="2" borderId="42" xfId="0" applyNumberFormat="1" applyFont="1" applyFill="1" applyBorder="1" applyAlignment="1">
      <alignment horizontal="center" vertical="center"/>
    </xf>
    <xf numFmtId="3" fontId="30" fillId="2" borderId="0" xfId="0" applyNumberFormat="1" applyFont="1" applyFill="1" applyAlignment="1">
      <alignment horizontal="center" vertical="center"/>
    </xf>
    <xf numFmtId="3" fontId="30" fillId="12" borderId="41" xfId="0" applyNumberFormat="1" applyFont="1" applyFill="1" applyBorder="1" applyAlignment="1">
      <alignment horizontal="center" vertical="center"/>
    </xf>
    <xf numFmtId="0" fontId="20" fillId="0" borderId="28" xfId="0" applyFont="1" applyBorder="1" applyAlignment="1">
      <alignment horizontal="right" vertical="center"/>
    </xf>
    <xf numFmtId="0" fontId="20" fillId="2" borderId="0" xfId="0" applyFont="1" applyFill="1" applyAlignment="1">
      <alignment horizontal="right" vertical="center"/>
    </xf>
    <xf numFmtId="0" fontId="30" fillId="12" borderId="41" xfId="0" applyFont="1" applyFill="1" applyBorder="1" applyAlignment="1">
      <alignment horizontal="center" vertical="center"/>
    </xf>
    <xf numFmtId="0" fontId="30" fillId="12" borderId="35" xfId="0" applyFont="1" applyFill="1" applyBorder="1" applyAlignment="1">
      <alignment horizontal="center" vertical="center"/>
    </xf>
    <xf numFmtId="49" fontId="30" fillId="12" borderId="42" xfId="0" applyNumberFormat="1" applyFont="1" applyFill="1" applyBorder="1" applyAlignment="1">
      <alignment horizontal="center" vertical="center"/>
    </xf>
    <xf numFmtId="0" fontId="20" fillId="2" borderId="43" xfId="0" applyFont="1" applyFill="1" applyBorder="1" applyAlignment="1">
      <alignment horizontal="right" vertical="center"/>
    </xf>
    <xf numFmtId="0" fontId="20" fillId="2" borderId="43" xfId="0" applyFont="1" applyFill="1" applyBorder="1" applyAlignment="1">
      <alignment horizontal="center" vertical="center"/>
    </xf>
    <xf numFmtId="1" fontId="29" fillId="2" borderId="44" xfId="0" applyNumberFormat="1" applyFont="1" applyFill="1" applyBorder="1" applyAlignment="1">
      <alignment horizontal="center" vertical="center"/>
    </xf>
    <xf numFmtId="49" fontId="29" fillId="2" borderId="43" xfId="0" applyNumberFormat="1" applyFont="1" applyFill="1" applyBorder="1" applyAlignment="1">
      <alignment horizontal="center" vertical="center"/>
    </xf>
    <xf numFmtId="3" fontId="30" fillId="2" borderId="44" xfId="0" applyNumberFormat="1" applyFont="1" applyFill="1" applyBorder="1" applyAlignment="1">
      <alignment horizontal="center" vertical="center"/>
    </xf>
    <xf numFmtId="3" fontId="30" fillId="2" borderId="45" xfId="0" applyNumberFormat="1" applyFont="1" applyFill="1" applyBorder="1" applyAlignment="1">
      <alignment horizontal="center" vertical="center"/>
    </xf>
    <xf numFmtId="3" fontId="30" fillId="2" borderId="46" xfId="0" applyNumberFormat="1" applyFont="1" applyFill="1" applyBorder="1" applyAlignment="1">
      <alignment horizontal="center" vertical="center"/>
    </xf>
    <xf numFmtId="3" fontId="30" fillId="12" borderId="47" xfId="0" applyNumberFormat="1" applyFont="1" applyFill="1" applyBorder="1" applyAlignment="1">
      <alignment horizontal="center" vertical="center"/>
    </xf>
    <xf numFmtId="0" fontId="20" fillId="2" borderId="46" xfId="0" applyFont="1" applyFill="1" applyBorder="1" applyAlignment="1">
      <alignment horizontal="right" vertical="center"/>
    </xf>
    <xf numFmtId="3" fontId="30" fillId="12" borderId="48" xfId="0" applyNumberFormat="1" applyFont="1" applyFill="1" applyBorder="1" applyAlignment="1">
      <alignment horizontal="center" vertical="center"/>
    </xf>
    <xf numFmtId="49" fontId="30" fillId="12" borderId="49" xfId="0" applyNumberFormat="1" applyFont="1" applyFill="1" applyBorder="1" applyAlignment="1">
      <alignment horizontal="center" vertical="center"/>
    </xf>
    <xf numFmtId="0" fontId="28" fillId="2" borderId="42" xfId="0" applyFont="1" applyFill="1" applyBorder="1" applyAlignment="1">
      <alignment horizontal="right" vertical="center"/>
    </xf>
    <xf numFmtId="0" fontId="28" fillId="2" borderId="35" xfId="0" applyFont="1" applyFill="1" applyBorder="1" applyAlignment="1">
      <alignment horizontal="center" vertical="center"/>
    </xf>
    <xf numFmtId="1" fontId="31" fillId="2" borderId="34" xfId="0" applyNumberFormat="1" applyFont="1" applyFill="1" applyBorder="1" applyAlignment="1">
      <alignment horizontal="center"/>
    </xf>
    <xf numFmtId="0" fontId="31" fillId="2" borderId="35" xfId="0" applyFont="1" applyFill="1" applyBorder="1" applyAlignment="1">
      <alignment horizontal="center"/>
    </xf>
    <xf numFmtId="0" fontId="32" fillId="12" borderId="50" xfId="0" applyFont="1" applyFill="1" applyBorder="1" applyAlignment="1">
      <alignment horizontal="right"/>
    </xf>
    <xf numFmtId="0" fontId="28" fillId="2" borderId="0" xfId="0" applyFont="1" applyFill="1" applyAlignment="1">
      <alignment horizontal="right" vertical="center"/>
    </xf>
    <xf numFmtId="0" fontId="32" fillId="12" borderId="51" xfId="0" applyFont="1" applyFill="1" applyBorder="1" applyAlignment="1">
      <alignment horizontal="right"/>
    </xf>
    <xf numFmtId="8" fontId="32" fillId="12" borderId="52" xfId="0" applyNumberFormat="1" applyFont="1" applyFill="1" applyBorder="1" applyAlignment="1">
      <alignment horizontal="right"/>
    </xf>
    <xf numFmtId="8" fontId="33" fillId="12" borderId="52" xfId="0" applyNumberFormat="1" applyFont="1" applyFill="1" applyBorder="1" applyAlignment="1">
      <alignment horizontal="center" vertical="center"/>
    </xf>
    <xf numFmtId="1" fontId="29" fillId="2" borderId="41" xfId="0" applyNumberFormat="1" applyFont="1" applyFill="1" applyBorder="1" applyAlignment="1">
      <alignment horizontal="center" vertical="center"/>
    </xf>
    <xf numFmtId="0" fontId="20" fillId="2" borderId="53" xfId="0" applyFont="1" applyFill="1" applyBorder="1" applyAlignment="1">
      <alignment horizontal="right" vertical="center"/>
    </xf>
    <xf numFmtId="0" fontId="20" fillId="2" borderId="54" xfId="0" applyFont="1" applyFill="1" applyBorder="1" applyAlignment="1">
      <alignment horizontal="center" vertical="center"/>
    </xf>
    <xf numFmtId="0" fontId="28" fillId="13" borderId="8" xfId="0" applyFont="1" applyFill="1" applyBorder="1" applyAlignment="1">
      <alignment horizontal="right" vertical="center"/>
    </xf>
    <xf numFmtId="0" fontId="28" fillId="13" borderId="8" xfId="0" applyFont="1" applyFill="1" applyBorder="1" applyAlignment="1">
      <alignment horizontal="center" vertical="center"/>
    </xf>
    <xf numFmtId="1" fontId="31" fillId="13" borderId="36" xfId="0" applyNumberFormat="1" applyFont="1" applyFill="1" applyBorder="1" applyAlignment="1">
      <alignment horizontal="center"/>
    </xf>
    <xf numFmtId="0" fontId="31" fillId="13" borderId="8" xfId="0" applyFont="1" applyFill="1" applyBorder="1" applyAlignment="1">
      <alignment horizontal="center"/>
    </xf>
    <xf numFmtId="3" fontId="28" fillId="13" borderId="36" xfId="0" applyNumberFormat="1" applyFont="1" applyFill="1" applyBorder="1" applyAlignment="1">
      <alignment horizontal="right"/>
    </xf>
    <xf numFmtId="3" fontId="28" fillId="13" borderId="17" xfId="0" applyNumberFormat="1" applyFont="1" applyFill="1" applyBorder="1" applyAlignment="1">
      <alignment horizontal="right"/>
    </xf>
    <xf numFmtId="3" fontId="28" fillId="13" borderId="9" xfId="0" applyNumberFormat="1" applyFont="1" applyFill="1" applyBorder="1" applyAlignment="1">
      <alignment horizontal="right"/>
    </xf>
    <xf numFmtId="0" fontId="32" fillId="12" borderId="37" xfId="0" applyFont="1" applyFill="1" applyBorder="1" applyAlignment="1">
      <alignment horizontal="right"/>
    </xf>
    <xf numFmtId="0" fontId="28" fillId="13" borderId="14" xfId="0" applyFont="1" applyFill="1" applyBorder="1" applyAlignment="1">
      <alignment horizontal="right" vertical="center"/>
    </xf>
    <xf numFmtId="0" fontId="32" fillId="12" borderId="36" xfId="0" applyFont="1" applyFill="1" applyBorder="1" applyAlignment="1">
      <alignment horizontal="right"/>
    </xf>
    <xf numFmtId="8" fontId="32" fillId="12" borderId="17" xfId="0" applyNumberFormat="1" applyFont="1" applyFill="1" applyBorder="1" applyAlignment="1">
      <alignment horizontal="right"/>
    </xf>
    <xf numFmtId="8" fontId="33" fillId="12" borderId="17" xfId="0" applyNumberFormat="1" applyFont="1" applyFill="1" applyBorder="1" applyAlignment="1">
      <alignment horizontal="center" vertical="center"/>
    </xf>
    <xf numFmtId="0" fontId="20" fillId="13" borderId="35" xfId="0" applyFont="1" applyFill="1" applyBorder="1" applyAlignment="1">
      <alignment horizontal="right" vertical="center"/>
    </xf>
    <xf numFmtId="0" fontId="20" fillId="13" borderId="35" xfId="0" applyFont="1" applyFill="1" applyBorder="1" applyAlignment="1">
      <alignment horizontal="center" vertical="center"/>
    </xf>
    <xf numFmtId="1" fontId="29" fillId="13" borderId="34" xfId="0" applyNumberFormat="1" applyFont="1" applyFill="1" applyBorder="1" applyAlignment="1">
      <alignment horizontal="center" vertical="center"/>
    </xf>
    <xf numFmtId="49" fontId="29" fillId="13" borderId="35" xfId="0" applyNumberFormat="1" applyFont="1" applyFill="1" applyBorder="1" applyAlignment="1">
      <alignment horizontal="center" vertical="center"/>
    </xf>
    <xf numFmtId="3" fontId="30" fillId="13" borderId="34" xfId="0" applyNumberFormat="1" applyFont="1" applyFill="1" applyBorder="1" applyAlignment="1">
      <alignment horizontal="center" vertical="center"/>
    </xf>
    <xf numFmtId="3" fontId="30" fillId="13" borderId="42" xfId="0" applyNumberFormat="1" applyFont="1" applyFill="1" applyBorder="1" applyAlignment="1">
      <alignment horizontal="center" vertical="center"/>
    </xf>
    <xf numFmtId="3" fontId="30" fillId="13" borderId="15" xfId="0" applyNumberFormat="1" applyFont="1" applyFill="1" applyBorder="1" applyAlignment="1">
      <alignment horizontal="center" vertical="center"/>
    </xf>
    <xf numFmtId="0" fontId="20" fillId="13" borderId="0" xfId="0" applyFont="1" applyFill="1" applyAlignment="1">
      <alignment horizontal="right" vertical="center"/>
    </xf>
    <xf numFmtId="0" fontId="30" fillId="12" borderId="34" xfId="0" applyFont="1" applyFill="1" applyBorder="1" applyAlignment="1">
      <alignment horizontal="center" vertical="center"/>
    </xf>
    <xf numFmtId="0" fontId="30" fillId="12" borderId="42" xfId="0" applyFont="1" applyFill="1" applyBorder="1" applyAlignment="1">
      <alignment horizontal="center" vertical="center"/>
    </xf>
    <xf numFmtId="0" fontId="20" fillId="13" borderId="55" xfId="0" applyFont="1" applyFill="1" applyBorder="1" applyAlignment="1">
      <alignment horizontal="right" vertical="center"/>
    </xf>
    <xf numFmtId="0" fontId="20" fillId="13" borderId="55" xfId="0" applyFont="1" applyFill="1" applyBorder="1" applyAlignment="1">
      <alignment horizontal="center" vertical="center"/>
    </xf>
    <xf numFmtId="1" fontId="29" fillId="13" borderId="56" xfId="0" applyNumberFormat="1" applyFont="1" applyFill="1" applyBorder="1" applyAlignment="1">
      <alignment horizontal="center" vertical="center"/>
    </xf>
    <xf numFmtId="49" fontId="29" fillId="13" borderId="55" xfId="0" applyNumberFormat="1" applyFont="1" applyFill="1" applyBorder="1" applyAlignment="1">
      <alignment horizontal="center" vertical="center"/>
    </xf>
    <xf numFmtId="3" fontId="30" fillId="13" borderId="57" xfId="0" applyNumberFormat="1" applyFont="1" applyFill="1" applyBorder="1" applyAlignment="1">
      <alignment horizontal="center" vertical="center"/>
    </xf>
    <xf numFmtId="3" fontId="30" fillId="13" borderId="58" xfId="0" applyNumberFormat="1" applyFont="1" applyFill="1" applyBorder="1" applyAlignment="1">
      <alignment horizontal="center" vertical="center"/>
    </xf>
    <xf numFmtId="3" fontId="30" fillId="13" borderId="59" xfId="0" applyNumberFormat="1" applyFont="1" applyFill="1" applyBorder="1" applyAlignment="1">
      <alignment horizontal="center" vertical="center"/>
    </xf>
    <xf numFmtId="0" fontId="20" fillId="13" borderId="59" xfId="0" applyFont="1" applyFill="1" applyBorder="1" applyAlignment="1">
      <alignment horizontal="right" vertical="center"/>
    </xf>
    <xf numFmtId="3" fontId="30" fillId="12" borderId="60" xfId="0" applyNumberFormat="1" applyFont="1" applyFill="1" applyBorder="1" applyAlignment="1">
      <alignment horizontal="center" vertical="center"/>
    </xf>
    <xf numFmtId="3" fontId="30" fillId="12" borderId="49" xfId="0" applyNumberFormat="1" applyFont="1" applyFill="1" applyBorder="1" applyAlignment="1">
      <alignment horizontal="center" vertical="center"/>
    </xf>
    <xf numFmtId="0" fontId="20" fillId="13" borderId="58" xfId="0" applyFont="1" applyFill="1" applyBorder="1" applyAlignment="1">
      <alignment horizontal="right" vertical="center"/>
    </xf>
    <xf numFmtId="49" fontId="29" fillId="13" borderId="56" xfId="0" applyNumberFormat="1" applyFont="1" applyFill="1" applyBorder="1" applyAlignment="1">
      <alignment horizontal="center" vertical="center"/>
    </xf>
    <xf numFmtId="0" fontId="34" fillId="2" borderId="0" xfId="0" applyFont="1" applyFill="1"/>
    <xf numFmtId="6" fontId="34" fillId="2" borderId="0" xfId="0" applyNumberFormat="1" applyFont="1" applyFill="1"/>
    <xf numFmtId="0" fontId="26" fillId="2" borderId="0" xfId="0" applyFont="1" applyFill="1" applyAlignment="1">
      <alignment horizontal="center"/>
    </xf>
    <xf numFmtId="0" fontId="34" fillId="0" borderId="28" xfId="0" applyFont="1" applyBorder="1"/>
    <xf numFmtId="8" fontId="26" fillId="2" borderId="0" xfId="0" applyNumberFormat="1" applyFont="1" applyFill="1" applyAlignment="1">
      <alignment horizontal="center"/>
    </xf>
    <xf numFmtId="0" fontId="35" fillId="12" borderId="61" xfId="0" applyFont="1" applyFill="1" applyBorder="1" applyAlignment="1">
      <alignment horizontal="center" wrapText="1"/>
    </xf>
    <xf numFmtId="0" fontId="36" fillId="12" borderId="62" xfId="0" applyFont="1" applyFill="1" applyBorder="1"/>
    <xf numFmtId="6" fontId="36" fillId="12" borderId="63" xfId="0" applyNumberFormat="1" applyFont="1" applyFill="1" applyBorder="1"/>
    <xf numFmtId="0" fontId="37" fillId="12" borderId="63" xfId="0" applyFont="1" applyFill="1" applyBorder="1" applyAlignment="1">
      <alignment horizontal="center"/>
    </xf>
    <xf numFmtId="0" fontId="37" fillId="12" borderId="62" xfId="0" applyFont="1" applyFill="1" applyBorder="1" applyAlignment="1">
      <alignment horizontal="center"/>
    </xf>
    <xf numFmtId="0" fontId="38" fillId="12" borderId="64" xfId="0" applyFont="1" applyFill="1" applyBorder="1" applyAlignment="1">
      <alignment horizontal="center"/>
    </xf>
    <xf numFmtId="0" fontId="36" fillId="0" borderId="28" xfId="0" applyFont="1" applyBorder="1"/>
    <xf numFmtId="0" fontId="35" fillId="12" borderId="65" xfId="0" applyFont="1" applyFill="1" applyBorder="1" applyAlignment="1">
      <alignment horizontal="center" wrapText="1"/>
    </xf>
    <xf numFmtId="0" fontId="38" fillId="12" borderId="65" xfId="0" applyFont="1" applyFill="1" applyBorder="1" applyAlignment="1">
      <alignment horizontal="center"/>
    </xf>
    <xf numFmtId="0" fontId="35" fillId="12" borderId="66" xfId="0" applyFont="1" applyFill="1" applyBorder="1" applyAlignment="1">
      <alignment horizontal="center" wrapText="1"/>
    </xf>
    <xf numFmtId="0" fontId="36" fillId="12" borderId="67" xfId="0" applyFont="1" applyFill="1" applyBorder="1"/>
    <xf numFmtId="6" fontId="36" fillId="12" borderId="68" xfId="0" applyNumberFormat="1" applyFont="1" applyFill="1" applyBorder="1"/>
    <xf numFmtId="0" fontId="37" fillId="12" borderId="68" xfId="0" applyFont="1" applyFill="1" applyBorder="1" applyAlignment="1">
      <alignment horizontal="center"/>
    </xf>
    <xf numFmtId="0" fontId="37" fillId="12" borderId="69" xfId="0" applyFont="1" applyFill="1" applyBorder="1" applyAlignment="1">
      <alignment horizontal="center"/>
    </xf>
    <xf numFmtId="0" fontId="38" fillId="12" borderId="0" xfId="0" applyFont="1" applyFill="1" applyAlignment="1">
      <alignment horizontal="center"/>
    </xf>
    <xf numFmtId="0" fontId="35" fillId="12" borderId="67" xfId="0" applyFont="1" applyFill="1" applyBorder="1" applyAlignment="1">
      <alignment horizontal="center" wrapText="1"/>
    </xf>
    <xf numFmtId="0" fontId="38" fillId="12" borderId="70" xfId="0" applyFont="1" applyFill="1" applyBorder="1" applyAlignment="1">
      <alignment horizontal="center"/>
    </xf>
    <xf numFmtId="0" fontId="39" fillId="0" borderId="0" xfId="0" applyFont="1" applyAlignment="1">
      <alignment horizontal="center" wrapText="1"/>
    </xf>
    <xf numFmtId="0" fontId="36" fillId="2" borderId="0" xfId="0" applyFont="1" applyFill="1"/>
    <xf numFmtId="0" fontId="39" fillId="2" borderId="0" xfId="0" applyFont="1" applyFill="1"/>
    <xf numFmtId="0" fontId="35" fillId="12" borderId="71" xfId="0" applyFont="1" applyFill="1" applyBorder="1" applyAlignment="1">
      <alignment horizontal="right"/>
    </xf>
    <xf numFmtId="0" fontId="38" fillId="12" borderId="72" xfId="0" applyFont="1" applyFill="1" applyBorder="1" applyAlignment="1">
      <alignment horizontal="center"/>
    </xf>
    <xf numFmtId="0" fontId="38" fillId="12" borderId="73" xfId="0" applyFont="1" applyFill="1" applyBorder="1" applyAlignment="1">
      <alignment horizontal="center"/>
    </xf>
    <xf numFmtId="0" fontId="38" fillId="12" borderId="74" xfId="0" applyFont="1" applyFill="1" applyBorder="1" applyAlignment="1">
      <alignment horizontal="center"/>
    </xf>
    <xf numFmtId="3" fontId="40" fillId="2" borderId="0" xfId="0" applyNumberFormat="1" applyFont="1" applyFill="1" applyAlignment="1">
      <alignment horizontal="right"/>
    </xf>
    <xf numFmtId="0" fontId="34" fillId="2" borderId="0" xfId="0" applyFont="1" applyFill="1" applyAlignment="1">
      <alignment horizontal="center"/>
    </xf>
    <xf numFmtId="6" fontId="36" fillId="2" borderId="0" xfId="0" applyNumberFormat="1" applyFont="1" applyFill="1"/>
    <xf numFmtId="0" fontId="34" fillId="14" borderId="0" xfId="0" applyFont="1" applyFill="1" applyAlignment="1">
      <alignment horizontal="right"/>
    </xf>
    <xf numFmtId="0" fontId="36" fillId="9" borderId="0" xfId="0" applyFont="1" applyFill="1"/>
    <xf numFmtId="0" fontId="36" fillId="15" borderId="0" xfId="0" applyFont="1" applyFill="1"/>
    <xf numFmtId="6" fontId="36" fillId="15" borderId="0" xfId="0" applyNumberFormat="1" applyFont="1" applyFill="1"/>
    <xf numFmtId="0" fontId="34" fillId="15" borderId="0" xfId="0" applyFont="1" applyFill="1" applyAlignment="1">
      <alignment horizontal="right"/>
    </xf>
    <xf numFmtId="2" fontId="34" fillId="15" borderId="0" xfId="0" applyNumberFormat="1" applyFont="1" applyFill="1" applyAlignment="1">
      <alignment horizontal="right"/>
    </xf>
    <xf numFmtId="2" fontId="36" fillId="15" borderId="0" xfId="0" applyNumberFormat="1" applyFont="1" applyFill="1"/>
    <xf numFmtId="0" fontId="34" fillId="2" borderId="0" xfId="0" applyFont="1" applyFill="1" applyAlignment="1">
      <alignment horizontal="right"/>
    </xf>
    <xf numFmtId="2" fontId="34" fillId="2" borderId="0" xfId="0" applyNumberFormat="1" applyFont="1" applyFill="1" applyAlignment="1">
      <alignment horizontal="right"/>
    </xf>
    <xf numFmtId="2" fontId="34" fillId="0" borderId="0" xfId="0" applyNumberFormat="1" applyFont="1" applyAlignment="1">
      <alignment horizontal="right"/>
    </xf>
    <xf numFmtId="0" fontId="36" fillId="0" borderId="0" xfId="0" applyFont="1"/>
    <xf numFmtId="2" fontId="36" fillId="2" borderId="0" xfId="0" applyNumberFormat="1" applyFont="1" applyFill="1"/>
    <xf numFmtId="0" fontId="20" fillId="2" borderId="17" xfId="0" applyFont="1" applyFill="1" applyBorder="1" applyAlignment="1">
      <alignment horizontal="center"/>
    </xf>
    <xf numFmtId="0" fontId="20" fillId="2" borderId="8" xfId="0" applyFont="1" applyFill="1" applyBorder="1" applyAlignment="1">
      <alignment horizontal="center" vertical="center"/>
    </xf>
    <xf numFmtId="0" fontId="21" fillId="12" borderId="39" xfId="0" applyFont="1" applyFill="1" applyBorder="1" applyAlignment="1">
      <alignment horizontal="right"/>
    </xf>
    <xf numFmtId="0" fontId="28" fillId="2" borderId="8" xfId="0" applyFont="1" applyFill="1" applyBorder="1" applyAlignment="1">
      <alignment horizontal="right"/>
    </xf>
    <xf numFmtId="0" fontId="28" fillId="0" borderId="42" xfId="0" applyFont="1" applyBorder="1" applyAlignment="1">
      <alignment horizontal="right" vertical="center"/>
    </xf>
    <xf numFmtId="0" fontId="28" fillId="0" borderId="42" xfId="0" applyFont="1" applyBorder="1" applyAlignment="1">
      <alignment horizontal="center" vertical="center"/>
    </xf>
    <xf numFmtId="1" fontId="31" fillId="0" borderId="34" xfId="0" applyNumberFormat="1" applyFont="1" applyBorder="1" applyAlignment="1">
      <alignment horizontal="center"/>
    </xf>
    <xf numFmtId="0" fontId="31" fillId="0" borderId="35" xfId="0" applyFont="1" applyBorder="1" applyAlignment="1">
      <alignment horizontal="center"/>
    </xf>
    <xf numFmtId="0" fontId="28" fillId="2" borderId="35" xfId="0" applyFont="1" applyFill="1" applyBorder="1" applyAlignment="1">
      <alignment horizontal="right" vertical="center"/>
    </xf>
    <xf numFmtId="0" fontId="20" fillId="0" borderId="35" xfId="0" applyFont="1" applyBorder="1" applyAlignment="1">
      <alignment horizontal="right" vertical="center"/>
    </xf>
    <xf numFmtId="0" fontId="20" fillId="0" borderId="35" xfId="0" applyFont="1" applyBorder="1" applyAlignment="1">
      <alignment horizontal="center" vertical="center"/>
    </xf>
    <xf numFmtId="1" fontId="29" fillId="0" borderId="41" xfId="0" applyNumberFormat="1" applyFont="1" applyBorder="1" applyAlignment="1">
      <alignment horizontal="center" vertical="center"/>
    </xf>
    <xf numFmtId="49" fontId="29" fillId="0" borderId="35" xfId="0" applyNumberFormat="1" applyFont="1" applyBorder="1" applyAlignment="1">
      <alignment horizontal="center" vertical="center"/>
    </xf>
    <xf numFmtId="0" fontId="20" fillId="0" borderId="53" xfId="0" applyFont="1" applyBorder="1" applyAlignment="1">
      <alignment horizontal="right" vertical="center"/>
    </xf>
    <xf numFmtId="0" fontId="20" fillId="0" borderId="75" xfId="0" applyFont="1" applyBorder="1" applyAlignment="1">
      <alignment horizontal="center" vertical="center"/>
    </xf>
    <xf numFmtId="1" fontId="29" fillId="0" borderId="44" xfId="0" applyNumberFormat="1" applyFont="1" applyBorder="1" applyAlignment="1">
      <alignment horizontal="center" vertical="center"/>
    </xf>
    <xf numFmtId="49" fontId="29" fillId="0" borderId="43" xfId="0" applyNumberFormat="1" applyFont="1" applyBorder="1" applyAlignment="1">
      <alignment horizontal="center" vertical="center"/>
    </xf>
    <xf numFmtId="0" fontId="28" fillId="13" borderId="17" xfId="0" applyFont="1" applyFill="1" applyBorder="1" applyAlignment="1">
      <alignment horizontal="center" vertical="center"/>
    </xf>
    <xf numFmtId="0" fontId="20" fillId="13" borderId="42" xfId="0" applyFont="1" applyFill="1" applyBorder="1" applyAlignment="1">
      <alignment horizontal="center" vertical="center"/>
    </xf>
    <xf numFmtId="3" fontId="30" fillId="12" borderId="34" xfId="0" applyNumberFormat="1" applyFont="1" applyFill="1" applyBorder="1" applyAlignment="1">
      <alignment horizontal="center" vertical="center"/>
    </xf>
    <xf numFmtId="0" fontId="20" fillId="13" borderId="58" xfId="0" applyFont="1" applyFill="1" applyBorder="1" applyAlignment="1">
      <alignment horizontal="center" vertical="center"/>
    </xf>
    <xf numFmtId="0" fontId="38" fillId="12" borderId="76" xfId="0" applyFont="1" applyFill="1" applyBorder="1" applyAlignment="1">
      <alignment horizontal="center"/>
    </xf>
    <xf numFmtId="0" fontId="28" fillId="2" borderId="42" xfId="0" applyFont="1" applyFill="1" applyBorder="1" applyAlignment="1">
      <alignment horizontal="center" vertical="center"/>
    </xf>
    <xf numFmtId="0" fontId="20" fillId="2" borderId="42" xfId="0" applyFont="1" applyFill="1" applyBorder="1" applyAlignment="1">
      <alignment horizontal="right" vertical="center"/>
    </xf>
    <xf numFmtId="0" fontId="20" fillId="2" borderId="15" xfId="0" applyFont="1" applyFill="1" applyBorder="1" applyAlignment="1">
      <alignment horizontal="center" vertical="center"/>
    </xf>
    <xf numFmtId="0" fontId="20" fillId="2" borderId="75" xfId="0" applyFont="1" applyFill="1" applyBorder="1" applyAlignment="1">
      <alignment horizontal="center" vertical="center"/>
    </xf>
    <xf numFmtId="0" fontId="20" fillId="16" borderId="6" xfId="0" applyFont="1" applyFill="1" applyBorder="1" applyAlignment="1">
      <alignment horizontal="left"/>
    </xf>
    <xf numFmtId="20" fontId="20" fillId="16" borderId="10" xfId="0" applyNumberFormat="1" applyFont="1" applyFill="1" applyBorder="1" applyAlignment="1">
      <alignment horizontal="center"/>
    </xf>
    <xf numFmtId="6" fontId="20" fillId="16" borderId="10" xfId="0" applyNumberFormat="1" applyFont="1" applyFill="1" applyBorder="1" applyAlignment="1">
      <alignment horizontal="left"/>
    </xf>
    <xf numFmtId="0" fontId="24" fillId="16" borderId="10" xfId="0" applyFont="1" applyFill="1" applyBorder="1" applyAlignment="1">
      <alignment horizontal="center"/>
    </xf>
    <xf numFmtId="0" fontId="21" fillId="16" borderId="10" xfId="0" applyFont="1" applyFill="1" applyBorder="1" applyAlignment="1">
      <alignment horizontal="center"/>
    </xf>
    <xf numFmtId="0" fontId="21" fillId="16" borderId="7" xfId="0" applyFont="1" applyFill="1" applyBorder="1" applyAlignment="1">
      <alignment horizontal="center"/>
    </xf>
    <xf numFmtId="6" fontId="20" fillId="2" borderId="77" xfId="0" applyNumberFormat="1" applyFont="1" applyFill="1" applyBorder="1" applyAlignment="1">
      <alignment horizontal="right"/>
    </xf>
    <xf numFmtId="0" fontId="23" fillId="13" borderId="78" xfId="0" applyFont="1" applyFill="1" applyBorder="1" applyAlignment="1">
      <alignment horizontal="center"/>
    </xf>
    <xf numFmtId="0" fontId="24" fillId="13" borderId="78" xfId="0" applyFont="1" applyFill="1" applyBorder="1" applyAlignment="1">
      <alignment horizontal="center"/>
    </xf>
    <xf numFmtId="6" fontId="20" fillId="2" borderId="79" xfId="0" applyNumberFormat="1" applyFont="1" applyFill="1" applyBorder="1" applyAlignment="1">
      <alignment horizontal="right"/>
    </xf>
    <xf numFmtId="0" fontId="25" fillId="13" borderId="80" xfId="0" applyFont="1" applyFill="1" applyBorder="1" applyAlignment="1">
      <alignment horizontal="center"/>
    </xf>
    <xf numFmtId="0" fontId="25" fillId="0" borderId="80" xfId="0" applyFont="1" applyBorder="1"/>
    <xf numFmtId="0" fontId="24" fillId="13" borderId="80" xfId="0" applyFont="1" applyFill="1" applyBorder="1" applyAlignment="1">
      <alignment horizontal="center"/>
    </xf>
    <xf numFmtId="6" fontId="26" fillId="2" borderId="81" xfId="0" applyNumberFormat="1" applyFont="1" applyFill="1" applyBorder="1" applyAlignment="1">
      <alignment horizontal="center" vertical="center" wrapText="1"/>
    </xf>
    <xf numFmtId="0" fontId="26" fillId="2" borderId="35" xfId="0" applyFont="1" applyFill="1" applyBorder="1" applyAlignment="1">
      <alignment horizontal="center" vertical="center" wrapText="1"/>
    </xf>
    <xf numFmtId="0" fontId="23" fillId="13" borderId="82" xfId="0" applyFont="1" applyFill="1" applyBorder="1" applyAlignment="1">
      <alignment horizontal="center" vertical="center"/>
    </xf>
    <xf numFmtId="0" fontId="24" fillId="13" borderId="82" xfId="0" applyFont="1" applyFill="1" applyBorder="1" applyAlignment="1">
      <alignment horizontal="center" vertical="center"/>
    </xf>
    <xf numFmtId="6" fontId="28" fillId="2" borderId="82" xfId="0" applyNumberFormat="1" applyFont="1" applyFill="1" applyBorder="1" applyAlignment="1">
      <alignment horizontal="center"/>
    </xf>
    <xf numFmtId="0" fontId="28" fillId="2" borderId="83" xfId="0" applyFont="1" applyFill="1" applyBorder="1" applyAlignment="1">
      <alignment horizontal="center"/>
    </xf>
    <xf numFmtId="0" fontId="21" fillId="16" borderId="82" xfId="0" applyFont="1" applyFill="1" applyBorder="1" applyAlignment="1">
      <alignment horizontal="right"/>
    </xf>
    <xf numFmtId="0" fontId="28" fillId="2" borderId="83" xfId="0" applyFont="1" applyFill="1" applyBorder="1" applyAlignment="1">
      <alignment horizontal="right"/>
    </xf>
    <xf numFmtId="0" fontId="28" fillId="16" borderId="82" xfId="0" applyFont="1" applyFill="1" applyBorder="1" applyAlignment="1">
      <alignment horizontal="center"/>
    </xf>
    <xf numFmtId="8" fontId="28" fillId="16" borderId="17" xfId="0" applyNumberFormat="1" applyFont="1" applyFill="1" applyBorder="1" applyAlignment="1">
      <alignment horizontal="center"/>
    </xf>
    <xf numFmtId="49" fontId="29" fillId="2" borderId="81" xfId="0" applyNumberFormat="1" applyFont="1" applyFill="1" applyBorder="1" applyAlignment="1">
      <alignment horizontal="center" vertical="center"/>
    </xf>
    <xf numFmtId="49" fontId="29" fillId="2" borderId="84" xfId="0" applyNumberFormat="1" applyFont="1" applyFill="1" applyBorder="1" applyAlignment="1">
      <alignment horizontal="center" vertical="center"/>
    </xf>
    <xf numFmtId="3" fontId="30" fillId="2" borderId="15" xfId="0" applyNumberFormat="1" applyFont="1" applyFill="1" applyBorder="1" applyAlignment="1">
      <alignment horizontal="center" vertical="center"/>
    </xf>
    <xf numFmtId="0" fontId="30" fillId="16" borderId="81" xfId="0" applyFont="1" applyFill="1" applyBorder="1" applyAlignment="1">
      <alignment horizontal="center" vertical="center"/>
    </xf>
    <xf numFmtId="0" fontId="20" fillId="2" borderId="84" xfId="0" applyFont="1" applyFill="1" applyBorder="1" applyAlignment="1">
      <alignment horizontal="right" vertical="center"/>
    </xf>
    <xf numFmtId="0" fontId="30" fillId="16" borderId="42" xfId="0" applyFont="1" applyFill="1" applyBorder="1" applyAlignment="1">
      <alignment horizontal="center" vertical="center"/>
    </xf>
    <xf numFmtId="49" fontId="29" fillId="2" borderId="85" xfId="0" applyNumberFormat="1" applyFont="1" applyFill="1" applyBorder="1" applyAlignment="1">
      <alignment horizontal="center" vertical="center"/>
    </xf>
    <xf numFmtId="49" fontId="29" fillId="2" borderId="86" xfId="0" applyNumberFormat="1" applyFont="1" applyFill="1" applyBorder="1" applyAlignment="1">
      <alignment horizontal="center" vertical="center"/>
    </xf>
    <xf numFmtId="3" fontId="30" fillId="2" borderId="87" xfId="0" applyNumberFormat="1" applyFont="1" applyFill="1" applyBorder="1" applyAlignment="1">
      <alignment horizontal="center" vertical="center"/>
    </xf>
    <xf numFmtId="3" fontId="30" fillId="16" borderId="88" xfId="0" applyNumberFormat="1" applyFont="1" applyFill="1" applyBorder="1" applyAlignment="1">
      <alignment horizontal="center" vertical="center"/>
    </xf>
    <xf numFmtId="0" fontId="20" fillId="2" borderId="86" xfId="0" applyFont="1" applyFill="1" applyBorder="1" applyAlignment="1">
      <alignment horizontal="right" vertical="center"/>
    </xf>
    <xf numFmtId="3" fontId="30" fillId="16" borderId="58" xfId="0" applyNumberFormat="1" applyFont="1" applyFill="1" applyBorder="1" applyAlignment="1">
      <alignment horizontal="center" vertical="center"/>
    </xf>
    <xf numFmtId="49" fontId="30" fillId="16" borderId="49" xfId="0" applyNumberFormat="1" applyFont="1" applyFill="1" applyBorder="1" applyAlignment="1">
      <alignment horizontal="center" vertical="center"/>
    </xf>
    <xf numFmtId="0" fontId="28" fillId="13" borderId="35" xfId="0" applyFont="1" applyFill="1" applyBorder="1" applyAlignment="1">
      <alignment horizontal="right" vertical="center"/>
    </xf>
    <xf numFmtId="0" fontId="28" fillId="13" borderId="35" xfId="0" applyFont="1" applyFill="1" applyBorder="1" applyAlignment="1">
      <alignment horizontal="center" vertical="center"/>
    </xf>
    <xf numFmtId="6" fontId="31" fillId="13" borderId="81" xfId="0" applyNumberFormat="1" applyFont="1" applyFill="1" applyBorder="1" applyAlignment="1">
      <alignment horizontal="center"/>
    </xf>
    <xf numFmtId="0" fontId="31" fillId="13" borderId="84" xfId="0" applyFont="1" applyFill="1" applyBorder="1" applyAlignment="1">
      <alignment horizontal="center"/>
    </xf>
    <xf numFmtId="0" fontId="32" fillId="16" borderId="81" xfId="0" applyFont="1" applyFill="1" applyBorder="1" applyAlignment="1">
      <alignment horizontal="right"/>
    </xf>
    <xf numFmtId="0" fontId="28" fillId="13" borderId="84" xfId="0" applyFont="1" applyFill="1" applyBorder="1" applyAlignment="1">
      <alignment horizontal="right" vertical="center"/>
    </xf>
    <xf numFmtId="8" fontId="32" fillId="16" borderId="42" xfId="0" applyNumberFormat="1" applyFont="1" applyFill="1" applyBorder="1" applyAlignment="1">
      <alignment horizontal="right"/>
    </xf>
    <xf numFmtId="8" fontId="33" fillId="16" borderId="52" xfId="0" applyNumberFormat="1" applyFont="1" applyFill="1" applyBorder="1" applyAlignment="1">
      <alignment horizontal="center" vertical="center"/>
    </xf>
    <xf numFmtId="49" fontId="29" fillId="13" borderId="81" xfId="0" applyNumberFormat="1" applyFont="1" applyFill="1" applyBorder="1" applyAlignment="1">
      <alignment horizontal="center" vertical="center"/>
    </xf>
    <xf numFmtId="49" fontId="29" fillId="13" borderId="84" xfId="0" applyNumberFormat="1" applyFont="1" applyFill="1" applyBorder="1" applyAlignment="1">
      <alignment horizontal="center" vertical="center"/>
    </xf>
    <xf numFmtId="0" fontId="20" fillId="13" borderId="84" xfId="0" applyFont="1" applyFill="1" applyBorder="1" applyAlignment="1">
      <alignment horizontal="right" vertical="center"/>
    </xf>
    <xf numFmtId="49" fontId="30" fillId="16" borderId="42" xfId="0" applyNumberFormat="1" applyFont="1" applyFill="1" applyBorder="1" applyAlignment="1">
      <alignment horizontal="center" vertical="center"/>
    </xf>
    <xf numFmtId="49" fontId="29" fillId="13" borderId="88" xfId="0" applyNumberFormat="1" applyFont="1" applyFill="1" applyBorder="1" applyAlignment="1">
      <alignment horizontal="center" vertical="center"/>
    </xf>
    <xf numFmtId="49" fontId="29" fillId="13" borderId="89" xfId="0" applyNumberFormat="1" applyFont="1" applyFill="1" applyBorder="1" applyAlignment="1">
      <alignment horizontal="center" vertical="center"/>
    </xf>
    <xf numFmtId="3" fontId="30" fillId="13" borderId="90" xfId="0" applyNumberFormat="1" applyFont="1" applyFill="1" applyBorder="1" applyAlignment="1">
      <alignment horizontal="center" vertical="center"/>
    </xf>
    <xf numFmtId="0" fontId="20" fillId="13" borderId="89" xfId="0" applyFont="1" applyFill="1" applyBorder="1" applyAlignment="1">
      <alignment horizontal="right" vertical="center"/>
    </xf>
    <xf numFmtId="6" fontId="31" fillId="2" borderId="81" xfId="0" applyNumberFormat="1" applyFont="1" applyFill="1" applyBorder="1" applyAlignment="1">
      <alignment horizontal="center"/>
    </xf>
    <xf numFmtId="0" fontId="31" fillId="2" borderId="84" xfId="0" applyFont="1" applyFill="1" applyBorder="1" applyAlignment="1">
      <alignment horizontal="center"/>
    </xf>
    <xf numFmtId="3" fontId="28" fillId="0" borderId="9" xfId="0" applyNumberFormat="1" applyFont="1" applyBorder="1" applyAlignment="1">
      <alignment horizontal="right"/>
    </xf>
    <xf numFmtId="0" fontId="21" fillId="16" borderId="81" xfId="0" applyFont="1" applyFill="1" applyBorder="1" applyAlignment="1">
      <alignment horizontal="right"/>
    </xf>
    <xf numFmtId="0" fontId="28" fillId="2" borderId="84" xfId="0" applyFont="1" applyFill="1" applyBorder="1" applyAlignment="1">
      <alignment horizontal="right" vertical="center"/>
    </xf>
    <xf numFmtId="8" fontId="33" fillId="16" borderId="17" xfId="0" applyNumberFormat="1" applyFont="1" applyFill="1" applyBorder="1" applyAlignment="1">
      <alignment horizontal="center" vertical="center"/>
    </xf>
    <xf numFmtId="3" fontId="30" fillId="0" borderId="15" xfId="0" applyNumberFormat="1" applyFont="1" applyBorder="1" applyAlignment="1">
      <alignment horizontal="center" vertical="center"/>
    </xf>
    <xf numFmtId="3" fontId="30" fillId="0" borderId="87" xfId="0" applyNumberFormat="1" applyFont="1" applyBorder="1" applyAlignment="1">
      <alignment horizontal="center" vertical="center"/>
    </xf>
    <xf numFmtId="6" fontId="31" fillId="13" borderId="82" xfId="0" applyNumberFormat="1" applyFont="1" applyFill="1" applyBorder="1" applyAlignment="1">
      <alignment horizontal="center"/>
    </xf>
    <xf numFmtId="0" fontId="31" fillId="13" borderId="83" xfId="0" applyFont="1" applyFill="1" applyBorder="1" applyAlignment="1">
      <alignment horizontal="center"/>
    </xf>
    <xf numFmtId="0" fontId="32" fillId="16" borderId="82" xfId="0" applyFont="1" applyFill="1" applyBorder="1" applyAlignment="1">
      <alignment horizontal="right"/>
    </xf>
    <xf numFmtId="0" fontId="28" fillId="13" borderId="83" xfId="0" applyFont="1" applyFill="1" applyBorder="1" applyAlignment="1">
      <alignment horizontal="right" vertical="center"/>
    </xf>
    <xf numFmtId="8" fontId="33" fillId="16" borderId="8" xfId="0" applyNumberFormat="1" applyFont="1" applyFill="1" applyBorder="1" applyAlignment="1">
      <alignment horizontal="center" vertical="center"/>
    </xf>
    <xf numFmtId="0" fontId="30" fillId="16" borderId="35" xfId="0" applyFont="1" applyFill="1" applyBorder="1" applyAlignment="1">
      <alignment horizontal="center" vertical="center"/>
    </xf>
    <xf numFmtId="0" fontId="41" fillId="2" borderId="0" xfId="0" applyFont="1" applyFill="1" applyAlignment="1">
      <alignment horizontal="center"/>
    </xf>
    <xf numFmtId="6" fontId="41" fillId="2" borderId="91" xfId="0" applyNumberFormat="1" applyFont="1" applyFill="1" applyBorder="1" applyAlignment="1">
      <alignment horizontal="center"/>
    </xf>
    <xf numFmtId="0" fontId="26" fillId="2" borderId="91" xfId="0" applyFont="1" applyFill="1" applyBorder="1" applyAlignment="1">
      <alignment horizontal="center"/>
    </xf>
    <xf numFmtId="0" fontId="41" fillId="16" borderId="92" xfId="0" applyFont="1" applyFill="1" applyBorder="1" applyAlignment="1">
      <alignment horizontal="center" vertical="center" wrapText="1"/>
    </xf>
    <xf numFmtId="0" fontId="41" fillId="16" borderId="93" xfId="0" applyFont="1" applyFill="1" applyBorder="1" applyAlignment="1">
      <alignment horizontal="center" vertical="center" wrapText="1"/>
    </xf>
    <xf numFmtId="6" fontId="23" fillId="16" borderId="94" xfId="0" applyNumberFormat="1" applyFont="1" applyFill="1" applyBorder="1" applyAlignment="1">
      <alignment horizontal="center" vertical="center"/>
    </xf>
    <xf numFmtId="0" fontId="24" fillId="16" borderId="95" xfId="0" applyFont="1" applyFill="1" applyBorder="1" applyAlignment="1">
      <alignment horizontal="center" vertical="center"/>
    </xf>
    <xf numFmtId="0" fontId="24" fillId="16" borderId="94" xfId="0" applyFont="1" applyFill="1" applyBorder="1" applyAlignment="1">
      <alignment horizontal="center" vertical="center"/>
    </xf>
    <xf numFmtId="0" fontId="24" fillId="16" borderId="93" xfId="0" applyFont="1" applyFill="1" applyBorder="1" applyAlignment="1">
      <alignment horizontal="center" vertical="center"/>
    </xf>
    <xf numFmtId="0" fontId="23" fillId="16" borderId="94" xfId="0" applyFont="1" applyFill="1" applyBorder="1" applyAlignment="1">
      <alignment horizontal="center" vertical="center"/>
    </xf>
    <xf numFmtId="0" fontId="41" fillId="16" borderId="96" xfId="0" applyFont="1" applyFill="1" applyBorder="1" applyAlignment="1">
      <alignment horizontal="center" vertical="center" wrapText="1"/>
    </xf>
    <xf numFmtId="0" fontId="24" fillId="16" borderId="97" xfId="0" applyFont="1" applyFill="1" applyBorder="1" applyAlignment="1">
      <alignment horizontal="center" vertical="center"/>
    </xf>
    <xf numFmtId="0" fontId="24" fillId="16" borderId="98" xfId="0" applyFont="1" applyFill="1" applyBorder="1" applyAlignment="1">
      <alignment horizontal="center" vertical="center"/>
    </xf>
    <xf numFmtId="0" fontId="23" fillId="16" borderId="99" xfId="0" applyFont="1" applyFill="1" applyBorder="1" applyAlignment="1">
      <alignment horizontal="center" vertical="center"/>
    </xf>
    <xf numFmtId="0" fontId="26" fillId="2" borderId="0" xfId="0" applyFont="1" applyFill="1" applyAlignment="1">
      <alignment vertical="center" wrapText="1"/>
    </xf>
    <xf numFmtId="0" fontId="23" fillId="16" borderId="13" xfId="0" applyFont="1" applyFill="1" applyBorder="1" applyAlignment="1">
      <alignment horizontal="center" vertical="center"/>
    </xf>
    <xf numFmtId="0" fontId="34" fillId="2" borderId="100" xfId="0" applyFont="1" applyFill="1" applyBorder="1" applyAlignment="1">
      <alignment vertical="center"/>
    </xf>
    <xf numFmtId="0" fontId="39" fillId="2" borderId="100" xfId="0" applyFont="1" applyFill="1" applyBorder="1"/>
    <xf numFmtId="6" fontId="34" fillId="2" borderId="101" xfId="0" applyNumberFormat="1" applyFont="1" applyFill="1" applyBorder="1"/>
    <xf numFmtId="0" fontId="34" fillId="2" borderId="100" xfId="0" applyFont="1" applyFill="1" applyBorder="1"/>
    <xf numFmtId="0" fontId="34" fillId="2" borderId="101" xfId="0" applyFont="1" applyFill="1" applyBorder="1"/>
    <xf numFmtId="0" fontId="41" fillId="16" borderId="102" xfId="0" applyFont="1" applyFill="1" applyBorder="1" applyAlignment="1">
      <alignment horizontal="center" vertical="center" wrapText="1"/>
    </xf>
    <xf numFmtId="0" fontId="24" fillId="16" borderId="103" xfId="0" applyFont="1" applyFill="1" applyBorder="1" applyAlignment="1">
      <alignment horizontal="center" vertical="center"/>
    </xf>
    <xf numFmtId="0" fontId="24" fillId="16" borderId="104" xfId="0" applyFont="1" applyFill="1" applyBorder="1" applyAlignment="1">
      <alignment horizontal="center" vertical="center"/>
    </xf>
    <xf numFmtId="0" fontId="23" fillId="16" borderId="105" xfId="0" applyFont="1" applyFill="1" applyBorder="1" applyAlignment="1">
      <alignment horizontal="center" vertical="center"/>
    </xf>
    <xf numFmtId="0" fontId="42" fillId="16" borderId="106" xfId="0" applyFont="1" applyFill="1" applyBorder="1" applyAlignment="1">
      <alignment horizontal="center" vertical="center" wrapText="1"/>
    </xf>
    <xf numFmtId="0" fontId="41" fillId="16" borderId="98" xfId="0" applyFont="1" applyFill="1" applyBorder="1" applyAlignment="1">
      <alignment horizontal="center" vertical="center" wrapText="1"/>
    </xf>
    <xf numFmtId="6" fontId="23" fillId="16" borderId="97" xfId="0" applyNumberFormat="1" applyFont="1" applyFill="1" applyBorder="1" applyAlignment="1">
      <alignment horizontal="center" vertical="center"/>
    </xf>
    <xf numFmtId="0" fontId="24" fillId="16" borderId="96" xfId="0" applyFont="1" applyFill="1" applyBorder="1" applyAlignment="1">
      <alignment horizontal="center" vertical="center"/>
    </xf>
    <xf numFmtId="0" fontId="26" fillId="2" borderId="35" xfId="0" applyFont="1" applyFill="1" applyBorder="1" applyAlignment="1">
      <alignment vertical="center" wrapText="1"/>
    </xf>
    <xf numFmtId="0" fontId="34" fillId="2" borderId="107" xfId="0" applyFont="1" applyFill="1" applyBorder="1" applyAlignment="1">
      <alignment vertical="center"/>
    </xf>
    <xf numFmtId="0" fontId="39" fillId="2" borderId="107" xfId="0" applyFont="1" applyFill="1" applyBorder="1"/>
    <xf numFmtId="6" fontId="34" fillId="2" borderId="107" xfId="0" applyNumberFormat="1" applyFont="1" applyFill="1" applyBorder="1"/>
    <xf numFmtId="0" fontId="34" fillId="2" borderId="107" xfId="0" applyFont="1" applyFill="1" applyBorder="1"/>
    <xf numFmtId="0" fontId="34" fillId="2" borderId="108" xfId="0" applyFont="1" applyFill="1" applyBorder="1"/>
    <xf numFmtId="0" fontId="34" fillId="9" borderId="0" xfId="0" applyFont="1" applyFill="1"/>
    <xf numFmtId="0" fontId="26" fillId="2" borderId="0" xfId="0" applyFont="1" applyFill="1"/>
    <xf numFmtId="0" fontId="0" fillId="2" borderId="0" xfId="0" applyFill="1"/>
    <xf numFmtId="0" fontId="0" fillId="2" borderId="0" xfId="0" applyFill="1" applyAlignment="1">
      <alignment horizontal="center"/>
    </xf>
    <xf numFmtId="0" fontId="3" fillId="15" borderId="0" xfId="0" applyFont="1" applyFill="1"/>
    <xf numFmtId="0" fontId="34" fillId="15" borderId="0" xfId="0" applyFont="1" applyFill="1"/>
    <xf numFmtId="6" fontId="34" fillId="15" borderId="0" xfId="0" applyNumberFormat="1" applyFont="1" applyFill="1"/>
    <xf numFmtId="0" fontId="26" fillId="15" borderId="0" xfId="0" applyFont="1" applyFill="1"/>
    <xf numFmtId="0" fontId="0" fillId="15" borderId="0" xfId="0" applyFill="1"/>
    <xf numFmtId="2" fontId="34" fillId="2" borderId="0" xfId="0" applyNumberFormat="1" applyFont="1" applyFill="1"/>
    <xf numFmtId="0" fontId="20" fillId="17" borderId="6" xfId="0" applyFont="1" applyFill="1" applyBorder="1" applyAlignment="1">
      <alignment horizontal="left"/>
    </xf>
    <xf numFmtId="20" fontId="20" fillId="17" borderId="10" xfId="0" applyNumberFormat="1" applyFont="1" applyFill="1" applyBorder="1" applyAlignment="1">
      <alignment horizontal="center"/>
    </xf>
    <xf numFmtId="6" fontId="20" fillId="17" borderId="10" xfId="0" applyNumberFormat="1" applyFont="1" applyFill="1" applyBorder="1" applyAlignment="1">
      <alignment horizontal="left"/>
    </xf>
    <xf numFmtId="6" fontId="20" fillId="17" borderId="10" xfId="0" applyNumberFormat="1" applyFont="1" applyFill="1" applyBorder="1" applyAlignment="1">
      <alignment horizontal="right"/>
    </xf>
    <xf numFmtId="0" fontId="24" fillId="17" borderId="10" xfId="0" applyFont="1" applyFill="1" applyBorder="1" applyAlignment="1">
      <alignment horizontal="center"/>
    </xf>
    <xf numFmtId="0" fontId="21" fillId="17" borderId="10" xfId="0" applyFont="1" applyFill="1" applyBorder="1" applyAlignment="1">
      <alignment horizontal="center"/>
    </xf>
    <xf numFmtId="0" fontId="21" fillId="17" borderId="7" xfId="0" applyFont="1" applyFill="1" applyBorder="1" applyAlignment="1">
      <alignment horizontal="center"/>
    </xf>
    <xf numFmtId="6" fontId="27" fillId="18" borderId="81" xfId="0" applyNumberFormat="1" applyFont="1" applyFill="1" applyBorder="1" applyAlignment="1">
      <alignment horizontal="center" vertical="center" wrapText="1"/>
    </xf>
    <xf numFmtId="0" fontId="21" fillId="17" borderId="39" xfId="0" applyFont="1" applyFill="1" applyBorder="1" applyAlignment="1">
      <alignment horizontal="right"/>
    </xf>
    <xf numFmtId="0" fontId="28" fillId="17" borderId="109" xfId="0" applyFont="1" applyFill="1" applyBorder="1" applyAlignment="1">
      <alignment horizontal="center"/>
    </xf>
    <xf numFmtId="8" fontId="28" fillId="17" borderId="40" xfId="0" applyNumberFormat="1" applyFont="1" applyFill="1" applyBorder="1" applyAlignment="1">
      <alignment horizontal="center"/>
    </xf>
    <xf numFmtId="49" fontId="29" fillId="2" borderId="91" xfId="0" applyNumberFormat="1" applyFont="1" applyFill="1" applyBorder="1" applyAlignment="1">
      <alignment horizontal="center" vertical="center"/>
    </xf>
    <xf numFmtId="3" fontId="30" fillId="17" borderId="41" xfId="0" applyNumberFormat="1" applyFont="1" applyFill="1" applyBorder="1" applyAlignment="1">
      <alignment horizontal="center" vertical="center"/>
    </xf>
    <xf numFmtId="0" fontId="30" fillId="17" borderId="91" xfId="0" applyFont="1" applyFill="1" applyBorder="1" applyAlignment="1">
      <alignment horizontal="center" vertical="center"/>
    </xf>
    <xf numFmtId="0" fontId="30" fillId="17" borderId="35" xfId="0" applyFont="1" applyFill="1" applyBorder="1" applyAlignment="1">
      <alignment horizontal="center" vertical="center"/>
    </xf>
    <xf numFmtId="49" fontId="30" fillId="17" borderId="42" xfId="0" applyNumberFormat="1" applyFont="1" applyFill="1" applyBorder="1" applyAlignment="1">
      <alignment horizontal="center" vertical="center"/>
    </xf>
    <xf numFmtId="164" fontId="24" fillId="2" borderId="110" xfId="0" applyNumberFormat="1" applyFont="1" applyFill="1" applyBorder="1" applyAlignment="1">
      <alignment horizontal="center" vertical="center"/>
    </xf>
    <xf numFmtId="3" fontId="30" fillId="17" borderId="47" xfId="0" applyNumberFormat="1" applyFont="1" applyFill="1" applyBorder="1" applyAlignment="1">
      <alignment horizontal="center" vertical="center"/>
    </xf>
    <xf numFmtId="3" fontId="30" fillId="17" borderId="111" xfId="0" applyNumberFormat="1" applyFont="1" applyFill="1" applyBorder="1" applyAlignment="1">
      <alignment horizontal="center" vertical="center"/>
    </xf>
    <xf numFmtId="3" fontId="30" fillId="17" borderId="48" xfId="0" applyNumberFormat="1" applyFont="1" applyFill="1" applyBorder="1" applyAlignment="1">
      <alignment horizontal="center" vertical="center"/>
    </xf>
    <xf numFmtId="165" fontId="30" fillId="17" borderId="49" xfId="0" applyNumberFormat="1" applyFont="1" applyFill="1" applyBorder="1" applyAlignment="1">
      <alignment horizontal="center" vertical="center"/>
    </xf>
    <xf numFmtId="0" fontId="43" fillId="2" borderId="35" xfId="0" applyFont="1" applyFill="1" applyBorder="1" applyAlignment="1">
      <alignment horizontal="center"/>
    </xf>
    <xf numFmtId="3" fontId="44" fillId="2" borderId="36" xfId="0" applyNumberFormat="1" applyFont="1" applyFill="1" applyBorder="1" applyAlignment="1">
      <alignment horizontal="right"/>
    </xf>
    <xf numFmtId="3" fontId="44" fillId="2" borderId="17" xfId="0" applyNumberFormat="1" applyFont="1" applyFill="1" applyBorder="1" applyAlignment="1">
      <alignment horizontal="right"/>
    </xf>
    <xf numFmtId="3" fontId="44" fillId="2" borderId="9" xfId="0" applyNumberFormat="1" applyFont="1" applyFill="1" applyBorder="1" applyAlignment="1">
      <alignment horizontal="right"/>
    </xf>
    <xf numFmtId="0" fontId="45" fillId="17" borderId="51" xfId="0" applyFont="1" applyFill="1" applyBorder="1" applyAlignment="1">
      <alignment horizontal="right"/>
    </xf>
    <xf numFmtId="3" fontId="32" fillId="17" borderId="112" xfId="0" applyNumberFormat="1" applyFont="1" applyFill="1" applyBorder="1" applyAlignment="1">
      <alignment horizontal="center"/>
    </xf>
    <xf numFmtId="3" fontId="32" fillId="17" borderId="52" xfId="0" applyNumberFormat="1" applyFont="1" applyFill="1" applyBorder="1" applyAlignment="1">
      <alignment horizontal="center"/>
    </xf>
    <xf numFmtId="165" fontId="33" fillId="17" borderId="52" xfId="0" applyNumberFormat="1" applyFont="1" applyFill="1" applyBorder="1" applyAlignment="1">
      <alignment horizontal="center" vertical="center"/>
    </xf>
    <xf numFmtId="49" fontId="46" fillId="2" borderId="35" xfId="0" applyNumberFormat="1" applyFont="1" applyFill="1" applyBorder="1" applyAlignment="1">
      <alignment horizontal="center" vertical="center"/>
    </xf>
    <xf numFmtId="3" fontId="47" fillId="2" borderId="41" xfId="0" applyNumberFormat="1" applyFont="1" applyFill="1" applyBorder="1" applyAlignment="1">
      <alignment horizontal="center" vertical="center"/>
    </xf>
    <xf numFmtId="3" fontId="47" fillId="2" borderId="42" xfId="0" applyNumberFormat="1" applyFont="1" applyFill="1" applyBorder="1" applyAlignment="1">
      <alignment horizontal="center" vertical="center"/>
    </xf>
    <xf numFmtId="3" fontId="47" fillId="2" borderId="0" xfId="0" applyNumberFormat="1" applyFont="1" applyFill="1" applyAlignment="1">
      <alignment horizontal="center" vertical="center"/>
    </xf>
    <xf numFmtId="3" fontId="47" fillId="17" borderId="41" xfId="0" applyNumberFormat="1" applyFont="1" applyFill="1" applyBorder="1" applyAlignment="1">
      <alignment horizontal="center" vertical="center"/>
    </xf>
    <xf numFmtId="3" fontId="30" fillId="17" borderId="81" xfId="0" applyNumberFormat="1" applyFont="1" applyFill="1" applyBorder="1" applyAlignment="1">
      <alignment horizontal="center" vertical="center"/>
    </xf>
    <xf numFmtId="3" fontId="30" fillId="17" borderId="15" xfId="0" applyNumberFormat="1" applyFont="1" applyFill="1" applyBorder="1" applyAlignment="1">
      <alignment horizontal="center" vertical="center"/>
    </xf>
    <xf numFmtId="165" fontId="30" fillId="17" borderId="42" xfId="0" applyNumberFormat="1" applyFont="1" applyFill="1" applyBorder="1" applyAlignment="1">
      <alignment horizontal="center" vertical="center"/>
    </xf>
    <xf numFmtId="164" fontId="48" fillId="2" borderId="110" xfId="0" applyNumberFormat="1" applyFont="1" applyFill="1" applyBorder="1" applyAlignment="1">
      <alignment horizontal="center" vertical="center"/>
    </xf>
    <xf numFmtId="3" fontId="46" fillId="2" borderId="43" xfId="0" applyNumberFormat="1" applyFont="1" applyFill="1" applyBorder="1" applyAlignment="1">
      <alignment horizontal="center" vertical="center"/>
    </xf>
    <xf numFmtId="3" fontId="47" fillId="2" borderId="44" xfId="0" applyNumberFormat="1" applyFont="1" applyFill="1" applyBorder="1" applyAlignment="1">
      <alignment horizontal="center" vertical="center"/>
    </xf>
    <xf numFmtId="3" fontId="47" fillId="2" borderId="45" xfId="0" applyNumberFormat="1" applyFont="1" applyFill="1" applyBorder="1" applyAlignment="1">
      <alignment horizontal="center" vertical="center"/>
    </xf>
    <xf numFmtId="3" fontId="47" fillId="2" borderId="46" xfId="0" applyNumberFormat="1" applyFont="1" applyFill="1" applyBorder="1" applyAlignment="1">
      <alignment horizontal="center" vertical="center"/>
    </xf>
    <xf numFmtId="3" fontId="47" fillId="17" borderId="47" xfId="0" applyNumberFormat="1" applyFont="1" applyFill="1" applyBorder="1" applyAlignment="1">
      <alignment horizontal="center" vertical="center"/>
    </xf>
    <xf numFmtId="3" fontId="47" fillId="17" borderId="113" xfId="0" applyNumberFormat="1" applyFont="1" applyFill="1" applyBorder="1" applyAlignment="1">
      <alignment horizontal="center" vertical="center"/>
    </xf>
    <xf numFmtId="165" fontId="47" fillId="17" borderId="49" xfId="0" applyNumberFormat="1" applyFont="1" applyFill="1" applyBorder="1" applyAlignment="1">
      <alignment horizontal="center" vertical="center"/>
    </xf>
    <xf numFmtId="0" fontId="32" fillId="17" borderId="36" xfId="0" applyFont="1" applyFill="1" applyBorder="1" applyAlignment="1">
      <alignment horizontal="right"/>
    </xf>
    <xf numFmtId="3" fontId="32" fillId="17" borderId="82" xfId="0" applyNumberFormat="1" applyFont="1" applyFill="1" applyBorder="1" applyAlignment="1">
      <alignment horizontal="center"/>
    </xf>
    <xf numFmtId="3" fontId="32" fillId="17" borderId="17" xfId="0" applyNumberFormat="1" applyFont="1" applyFill="1" applyBorder="1" applyAlignment="1">
      <alignment horizontal="center"/>
    </xf>
    <xf numFmtId="165" fontId="33" fillId="17" borderId="17" xfId="0" applyNumberFormat="1" applyFont="1" applyFill="1" applyBorder="1" applyAlignment="1">
      <alignment horizontal="center" vertical="center"/>
    </xf>
    <xf numFmtId="3" fontId="30" fillId="17" borderId="34" xfId="0" applyNumberFormat="1" applyFont="1" applyFill="1" applyBorder="1" applyAlignment="1">
      <alignment horizontal="center" vertical="center"/>
    </xf>
    <xf numFmtId="3" fontId="30" fillId="17" borderId="42" xfId="0" applyNumberFormat="1" applyFont="1" applyFill="1" applyBorder="1" applyAlignment="1">
      <alignment horizontal="center" vertical="center"/>
    </xf>
    <xf numFmtId="164" fontId="24" fillId="13" borderId="88" xfId="0" applyNumberFormat="1" applyFont="1" applyFill="1" applyBorder="1" applyAlignment="1">
      <alignment horizontal="center" vertical="center"/>
    </xf>
    <xf numFmtId="3" fontId="30" fillId="17" borderId="60" xfId="0" applyNumberFormat="1" applyFont="1" applyFill="1" applyBorder="1" applyAlignment="1">
      <alignment horizontal="center" vertical="center"/>
    </xf>
    <xf numFmtId="3" fontId="30" fillId="17" borderId="114" xfId="0" applyNumberFormat="1" applyFont="1" applyFill="1" applyBorder="1" applyAlignment="1">
      <alignment horizontal="center" vertical="center"/>
    </xf>
    <xf numFmtId="3" fontId="30" fillId="17" borderId="49" xfId="0" applyNumberFormat="1" applyFont="1" applyFill="1" applyBorder="1" applyAlignment="1">
      <alignment horizontal="center" vertical="center"/>
    </xf>
    <xf numFmtId="0" fontId="49" fillId="13" borderId="8" xfId="0" applyFont="1" applyFill="1" applyBorder="1" applyAlignment="1">
      <alignment horizontal="center"/>
    </xf>
    <xf numFmtId="3" fontId="50" fillId="13" borderId="36" xfId="0" applyNumberFormat="1" applyFont="1" applyFill="1" applyBorder="1" applyAlignment="1">
      <alignment horizontal="right"/>
    </xf>
    <xf numFmtId="3" fontId="50" fillId="13" borderId="17" xfId="0" applyNumberFormat="1" applyFont="1" applyFill="1" applyBorder="1" applyAlignment="1">
      <alignment horizontal="right"/>
    </xf>
    <xf numFmtId="3" fontId="50" fillId="13" borderId="9" xfId="0" applyNumberFormat="1" applyFont="1" applyFill="1" applyBorder="1" applyAlignment="1">
      <alignment horizontal="right"/>
    </xf>
    <xf numFmtId="0" fontId="51" fillId="17" borderId="36" xfId="0" applyFont="1" applyFill="1" applyBorder="1" applyAlignment="1">
      <alignment horizontal="right"/>
    </xf>
    <xf numFmtId="3" fontId="33" fillId="17" borderId="17" xfId="0" applyNumberFormat="1" applyFont="1" applyFill="1" applyBorder="1" applyAlignment="1">
      <alignment horizontal="center" vertical="center"/>
    </xf>
    <xf numFmtId="49" fontId="52" fillId="13" borderId="35" xfId="0" applyNumberFormat="1" applyFont="1" applyFill="1" applyBorder="1" applyAlignment="1">
      <alignment horizontal="center" vertical="center"/>
    </xf>
    <xf numFmtId="3" fontId="53" fillId="13" borderId="34" xfId="0" applyNumberFormat="1" applyFont="1" applyFill="1" applyBorder="1" applyAlignment="1">
      <alignment horizontal="center" vertical="center"/>
    </xf>
    <xf numFmtId="3" fontId="53" fillId="13" borderId="42" xfId="0" applyNumberFormat="1" applyFont="1" applyFill="1" applyBorder="1" applyAlignment="1">
      <alignment horizontal="center" vertical="center"/>
    </xf>
    <xf numFmtId="3" fontId="53" fillId="13" borderId="15" xfId="0" applyNumberFormat="1" applyFont="1" applyFill="1" applyBorder="1" applyAlignment="1">
      <alignment horizontal="center" vertical="center"/>
    </xf>
    <xf numFmtId="3" fontId="54" fillId="17" borderId="34" xfId="0" applyNumberFormat="1" applyFont="1" applyFill="1" applyBorder="1" applyAlignment="1">
      <alignment horizontal="center" vertical="center"/>
    </xf>
    <xf numFmtId="164" fontId="55" fillId="13" borderId="88" xfId="0" applyNumberFormat="1" applyFont="1" applyFill="1" applyBorder="1" applyAlignment="1">
      <alignment horizontal="center" vertical="center"/>
    </xf>
    <xf numFmtId="3" fontId="52" fillId="13" borderId="55" xfId="0" applyNumberFormat="1" applyFont="1" applyFill="1" applyBorder="1" applyAlignment="1">
      <alignment horizontal="center" vertical="center"/>
    </xf>
    <xf numFmtId="3" fontId="47" fillId="13" borderId="57" xfId="0" applyNumberFormat="1" applyFont="1" applyFill="1" applyBorder="1" applyAlignment="1">
      <alignment horizontal="center" vertical="center"/>
    </xf>
    <xf numFmtId="3" fontId="47" fillId="13" borderId="58" xfId="0" applyNumberFormat="1" applyFont="1" applyFill="1" applyBorder="1" applyAlignment="1">
      <alignment horizontal="center" vertical="center"/>
    </xf>
    <xf numFmtId="3" fontId="47" fillId="13" borderId="59" xfId="0" applyNumberFormat="1" applyFont="1" applyFill="1" applyBorder="1" applyAlignment="1">
      <alignment horizontal="center" vertical="center"/>
    </xf>
    <xf numFmtId="3" fontId="47" fillId="17" borderId="60" xfId="0" applyNumberFormat="1" applyFont="1" applyFill="1" applyBorder="1" applyAlignment="1">
      <alignment horizontal="center" vertical="center"/>
    </xf>
    <xf numFmtId="3" fontId="47" fillId="17" borderId="111" xfId="0" applyNumberFormat="1" applyFont="1" applyFill="1" applyBorder="1" applyAlignment="1">
      <alignment horizontal="center" vertical="center"/>
    </xf>
    <xf numFmtId="3" fontId="47" fillId="17" borderId="49" xfId="0" applyNumberFormat="1" applyFont="1" applyFill="1" applyBorder="1" applyAlignment="1">
      <alignment horizontal="center" vertical="center"/>
    </xf>
    <xf numFmtId="0" fontId="20" fillId="2" borderId="0" xfId="0" applyFont="1" applyFill="1" applyAlignment="1">
      <alignment horizontal="center"/>
    </xf>
    <xf numFmtId="6" fontId="20" fillId="2" borderId="91" xfId="0" applyNumberFormat="1" applyFont="1" applyFill="1" applyBorder="1" applyAlignment="1">
      <alignment horizontal="center"/>
    </xf>
    <xf numFmtId="0" fontId="21" fillId="2" borderId="0" xfId="0" applyFont="1" applyFill="1" applyAlignment="1">
      <alignment horizontal="center"/>
    </xf>
    <xf numFmtId="0" fontId="21" fillId="2" borderId="91" xfId="0" applyFont="1" applyFill="1" applyBorder="1" applyAlignment="1">
      <alignment horizontal="center"/>
    </xf>
    <xf numFmtId="0" fontId="20" fillId="17" borderId="106" xfId="0" applyFont="1" applyFill="1" applyBorder="1" applyAlignment="1">
      <alignment horizontal="center" vertical="center" wrapText="1"/>
    </xf>
    <xf numFmtId="0" fontId="20" fillId="17" borderId="96" xfId="0" applyFont="1" applyFill="1" applyBorder="1" applyAlignment="1">
      <alignment horizontal="center" vertical="center" wrapText="1"/>
    </xf>
    <xf numFmtId="6" fontId="23" fillId="17" borderId="97" xfId="0" applyNumberFormat="1" applyFont="1" applyFill="1" applyBorder="1" applyAlignment="1">
      <alignment horizontal="center" vertical="center"/>
    </xf>
    <xf numFmtId="0" fontId="24" fillId="17" borderId="96" xfId="0" applyFont="1" applyFill="1" applyBorder="1" applyAlignment="1">
      <alignment horizontal="center" vertical="center"/>
    </xf>
    <xf numFmtId="0" fontId="24" fillId="17" borderId="97" xfId="0" applyFont="1" applyFill="1" applyBorder="1" applyAlignment="1">
      <alignment horizontal="center" vertical="center"/>
    </xf>
    <xf numFmtId="0" fontId="24" fillId="17" borderId="98" xfId="0" applyFont="1" applyFill="1" applyBorder="1" applyAlignment="1">
      <alignment horizontal="center" vertical="center"/>
    </xf>
    <xf numFmtId="0" fontId="23" fillId="17" borderId="74" xfId="0" applyFont="1" applyFill="1" applyBorder="1" applyAlignment="1">
      <alignment horizontal="center" vertical="center"/>
    </xf>
    <xf numFmtId="0" fontId="56" fillId="17" borderId="115" xfId="0" applyFont="1" applyFill="1" applyBorder="1" applyAlignment="1">
      <alignment horizontal="center" vertical="center" wrapText="1"/>
    </xf>
    <xf numFmtId="0" fontId="24" fillId="17" borderId="107" xfId="0" applyFont="1" applyFill="1" applyBorder="1" applyAlignment="1">
      <alignment horizontal="center" vertical="center"/>
    </xf>
    <xf numFmtId="0" fontId="23" fillId="17" borderId="116" xfId="0" applyFont="1" applyFill="1" applyBorder="1" applyAlignment="1">
      <alignment horizontal="center" vertical="center"/>
    </xf>
    <xf numFmtId="0" fontId="56" fillId="17" borderId="102" xfId="0" applyFont="1" applyFill="1" applyBorder="1" applyAlignment="1">
      <alignment horizontal="center" vertical="center" wrapText="1"/>
    </xf>
    <xf numFmtId="0" fontId="24" fillId="17" borderId="103" xfId="0" applyFont="1" applyFill="1" applyBorder="1" applyAlignment="1">
      <alignment horizontal="center" vertical="center"/>
    </xf>
    <xf numFmtId="0" fontId="24" fillId="17" borderId="104" xfId="0" applyFont="1" applyFill="1" applyBorder="1" applyAlignment="1">
      <alignment horizontal="center" vertical="center"/>
    </xf>
    <xf numFmtId="0" fontId="23" fillId="17" borderId="117" xfId="0" applyFont="1" applyFill="1" applyBorder="1" applyAlignment="1">
      <alignment horizontal="center" vertical="center"/>
    </xf>
    <xf numFmtId="0" fontId="34" fillId="14" borderId="0" xfId="0" applyFont="1" applyFill="1"/>
    <xf numFmtId="0" fontId="20" fillId="19" borderId="6" xfId="0" applyFont="1" applyFill="1" applyBorder="1" applyAlignment="1">
      <alignment horizontal="left"/>
    </xf>
    <xf numFmtId="20" fontId="20" fillId="19" borderId="10" xfId="0" applyNumberFormat="1" applyFont="1" applyFill="1" applyBorder="1" applyAlignment="1">
      <alignment horizontal="center"/>
    </xf>
    <xf numFmtId="6" fontId="20" fillId="19" borderId="10" xfId="0" applyNumberFormat="1" applyFont="1" applyFill="1" applyBorder="1" applyAlignment="1">
      <alignment horizontal="left"/>
    </xf>
    <xf numFmtId="6" fontId="20" fillId="19" borderId="10" xfId="0" applyNumberFormat="1" applyFont="1" applyFill="1" applyBorder="1" applyAlignment="1">
      <alignment horizontal="right"/>
    </xf>
    <xf numFmtId="0" fontId="24" fillId="19" borderId="10" xfId="0" applyFont="1" applyFill="1" applyBorder="1" applyAlignment="1">
      <alignment horizontal="center"/>
    </xf>
    <xf numFmtId="0" fontId="21" fillId="19" borderId="10" xfId="0" applyFont="1" applyFill="1" applyBorder="1" applyAlignment="1">
      <alignment horizontal="center"/>
    </xf>
    <xf numFmtId="0" fontId="21" fillId="19" borderId="7" xfId="0" applyFont="1" applyFill="1" applyBorder="1" applyAlignment="1">
      <alignment horizontal="center"/>
    </xf>
    <xf numFmtId="0" fontId="21" fillId="13" borderId="17" xfId="0" applyFont="1" applyFill="1" applyBorder="1" applyAlignment="1">
      <alignment horizontal="center" vertical="center" wrapText="1"/>
    </xf>
    <xf numFmtId="0" fontId="21" fillId="19" borderId="82" xfId="0" applyFont="1" applyFill="1" applyBorder="1" applyAlignment="1">
      <alignment horizontal="right"/>
    </xf>
    <xf numFmtId="0" fontId="28" fillId="19" borderId="82" xfId="0" applyFont="1" applyFill="1" applyBorder="1" applyAlignment="1">
      <alignment horizontal="center"/>
    </xf>
    <xf numFmtId="8" fontId="28" fillId="19" borderId="17" xfId="0" applyNumberFormat="1" applyFont="1" applyFill="1" applyBorder="1" applyAlignment="1">
      <alignment horizontal="center"/>
    </xf>
    <xf numFmtId="3" fontId="30" fillId="2" borderId="34" xfId="0" applyNumberFormat="1" applyFont="1" applyFill="1" applyBorder="1" applyAlignment="1">
      <alignment horizontal="center" vertical="center"/>
    </xf>
    <xf numFmtId="0" fontId="30" fillId="19" borderId="81" xfId="0" applyFont="1" applyFill="1" applyBorder="1" applyAlignment="1">
      <alignment horizontal="center" vertical="center"/>
    </xf>
    <xf numFmtId="0" fontId="30" fillId="19" borderId="42" xfId="0" applyFont="1" applyFill="1" applyBorder="1" applyAlignment="1">
      <alignment horizontal="center" vertical="center"/>
    </xf>
    <xf numFmtId="49" fontId="30" fillId="19" borderId="42" xfId="0" applyNumberFormat="1" applyFont="1" applyFill="1" applyBorder="1" applyAlignment="1">
      <alignment horizontal="center" vertical="center"/>
    </xf>
    <xf numFmtId="3" fontId="30" fillId="2" borderId="118" xfId="0" applyNumberFormat="1" applyFont="1" applyFill="1" applyBorder="1" applyAlignment="1">
      <alignment horizontal="center" vertical="center"/>
    </xf>
    <xf numFmtId="3" fontId="30" fillId="19" borderId="88" xfId="0" applyNumberFormat="1" applyFont="1" applyFill="1" applyBorder="1" applyAlignment="1">
      <alignment horizontal="center" vertical="center"/>
    </xf>
    <xf numFmtId="3" fontId="30" fillId="19" borderId="58" xfId="0" applyNumberFormat="1" applyFont="1" applyFill="1" applyBorder="1" applyAlignment="1">
      <alignment horizontal="center" vertical="center"/>
    </xf>
    <xf numFmtId="49" fontId="30" fillId="19" borderId="58" xfId="0" applyNumberFormat="1" applyFont="1" applyFill="1" applyBorder="1" applyAlignment="1">
      <alignment horizontal="center" vertical="center"/>
    </xf>
    <xf numFmtId="0" fontId="31" fillId="13" borderId="35" xfId="0" applyFont="1" applyFill="1" applyBorder="1" applyAlignment="1">
      <alignment horizontal="center"/>
    </xf>
    <xf numFmtId="0" fontId="32" fillId="19" borderId="81" xfId="0" applyFont="1" applyFill="1" applyBorder="1" applyAlignment="1">
      <alignment horizontal="right"/>
    </xf>
    <xf numFmtId="8" fontId="32" fillId="19" borderId="42" xfId="0" applyNumberFormat="1" applyFont="1" applyFill="1" applyBorder="1" applyAlignment="1">
      <alignment horizontal="right"/>
    </xf>
    <xf numFmtId="8" fontId="33" fillId="19" borderId="42" xfId="0" applyNumberFormat="1" applyFont="1" applyFill="1" applyBorder="1" applyAlignment="1">
      <alignment horizontal="center" vertical="center"/>
    </xf>
    <xf numFmtId="3" fontId="30" fillId="13" borderId="56" xfId="0" applyNumberFormat="1" applyFont="1" applyFill="1" applyBorder="1" applyAlignment="1">
      <alignment horizontal="center" vertical="center"/>
    </xf>
    <xf numFmtId="3" fontId="28" fillId="0" borderId="36" xfId="0" applyNumberFormat="1" applyFont="1" applyBorder="1" applyAlignment="1">
      <alignment horizontal="right"/>
    </xf>
    <xf numFmtId="3" fontId="28" fillId="0" borderId="17" xfId="0" applyNumberFormat="1" applyFont="1" applyBorder="1" applyAlignment="1">
      <alignment horizontal="right"/>
    </xf>
    <xf numFmtId="8" fontId="33" fillId="19" borderId="17" xfId="0" applyNumberFormat="1" applyFont="1" applyFill="1" applyBorder="1" applyAlignment="1">
      <alignment horizontal="center" vertical="center"/>
    </xf>
    <xf numFmtId="3" fontId="30" fillId="0" borderId="34" xfId="0" applyNumberFormat="1" applyFont="1" applyBorder="1" applyAlignment="1">
      <alignment horizontal="center" vertical="center"/>
    </xf>
    <xf numFmtId="3" fontId="30" fillId="0" borderId="42" xfId="0" applyNumberFormat="1" applyFont="1" applyBorder="1" applyAlignment="1">
      <alignment horizontal="center" vertical="center"/>
    </xf>
    <xf numFmtId="3" fontId="30" fillId="0" borderId="118" xfId="0" applyNumberFormat="1" applyFont="1" applyBorder="1" applyAlignment="1">
      <alignment horizontal="center" vertical="center"/>
    </xf>
    <xf numFmtId="3" fontId="30" fillId="0" borderId="45" xfId="0" applyNumberFormat="1" applyFont="1" applyBorder="1" applyAlignment="1">
      <alignment horizontal="center" vertical="center"/>
    </xf>
    <xf numFmtId="0" fontId="32" fillId="19" borderId="82" xfId="0" applyFont="1" applyFill="1" applyBorder="1" applyAlignment="1">
      <alignment horizontal="right"/>
    </xf>
    <xf numFmtId="8" fontId="33" fillId="19" borderId="8" xfId="0" applyNumberFormat="1" applyFont="1" applyFill="1" applyBorder="1" applyAlignment="1">
      <alignment horizontal="center" vertical="center"/>
    </xf>
    <xf numFmtId="0" fontId="30" fillId="19" borderId="35" xfId="0" applyFont="1" applyFill="1" applyBorder="1" applyAlignment="1">
      <alignment horizontal="center" vertical="center"/>
    </xf>
    <xf numFmtId="0" fontId="20" fillId="19" borderId="119" xfId="0" applyFont="1" applyFill="1" applyBorder="1" applyAlignment="1">
      <alignment horizontal="center" wrapText="1"/>
    </xf>
    <xf numFmtId="0" fontId="20" fillId="19" borderId="119" xfId="0" applyFont="1" applyFill="1" applyBorder="1" applyAlignment="1">
      <alignment horizontal="center" vertical="center" wrapText="1"/>
    </xf>
    <xf numFmtId="6" fontId="20" fillId="19" borderId="120" xfId="0" applyNumberFormat="1" applyFont="1" applyFill="1" applyBorder="1" applyAlignment="1">
      <alignment horizontal="center" vertical="center"/>
    </xf>
    <xf numFmtId="0" fontId="21" fillId="19" borderId="121" xfId="0" applyFont="1" applyFill="1" applyBorder="1" applyAlignment="1">
      <alignment horizontal="center" vertical="center"/>
    </xf>
    <xf numFmtId="1" fontId="21" fillId="20" borderId="122" xfId="0" applyNumberFormat="1" applyFont="1" applyFill="1" applyBorder="1" applyAlignment="1">
      <alignment horizontal="center" vertical="center"/>
    </xf>
    <xf numFmtId="1" fontId="21" fillId="20" borderId="123" xfId="0" applyNumberFormat="1" applyFont="1" applyFill="1" applyBorder="1" applyAlignment="1">
      <alignment horizontal="center" vertical="center"/>
    </xf>
    <xf numFmtId="1" fontId="21" fillId="20" borderId="121" xfId="0" applyNumberFormat="1" applyFont="1" applyFill="1" applyBorder="1" applyAlignment="1">
      <alignment horizontal="center" vertical="center"/>
    </xf>
    <xf numFmtId="0" fontId="20" fillId="19" borderId="124" xfId="0" applyFont="1" applyFill="1" applyBorder="1" applyAlignment="1">
      <alignment horizontal="center" wrapText="1"/>
    </xf>
    <xf numFmtId="0" fontId="22" fillId="20" borderId="119" xfId="0" applyFont="1" applyFill="1" applyBorder="1"/>
    <xf numFmtId="0" fontId="34" fillId="20" borderId="125" xfId="0" applyFont="1" applyFill="1" applyBorder="1"/>
    <xf numFmtId="2" fontId="21" fillId="19" borderId="122" xfId="0" applyNumberFormat="1" applyFont="1" applyFill="1" applyBorder="1" applyAlignment="1">
      <alignment horizontal="center" vertical="center"/>
    </xf>
    <xf numFmtId="2" fontId="21" fillId="19" borderId="123" xfId="0" applyNumberFormat="1" applyFont="1" applyFill="1" applyBorder="1" applyAlignment="1">
      <alignment horizontal="center" vertical="center"/>
    </xf>
    <xf numFmtId="2" fontId="21" fillId="19" borderId="121" xfId="0" applyNumberFormat="1" applyFont="1" applyFill="1" applyBorder="1" applyAlignment="1">
      <alignment horizontal="center" vertical="center"/>
    </xf>
    <xf numFmtId="0" fontId="22" fillId="20" borderId="41" xfId="0" applyFont="1" applyFill="1" applyBorder="1" applyAlignment="1">
      <alignment vertical="center"/>
    </xf>
    <xf numFmtId="0" fontId="34" fillId="20" borderId="70" xfId="0" applyFont="1" applyFill="1" applyBorder="1" applyAlignment="1">
      <alignment vertical="center"/>
    </xf>
    <xf numFmtId="0" fontId="20" fillId="19" borderId="126" xfId="0" applyFont="1" applyFill="1" applyBorder="1" applyAlignment="1">
      <alignment horizontal="center" wrapText="1"/>
    </xf>
    <xf numFmtId="0" fontId="20" fillId="19" borderId="126" xfId="0" applyFont="1" applyFill="1" applyBorder="1" applyAlignment="1">
      <alignment horizontal="center" vertical="center" wrapText="1"/>
    </xf>
    <xf numFmtId="6" fontId="20" fillId="19" borderId="127" xfId="0" applyNumberFormat="1" applyFont="1" applyFill="1" applyBorder="1" applyAlignment="1">
      <alignment horizontal="center" vertical="center"/>
    </xf>
    <xf numFmtId="0" fontId="21" fillId="19" borderId="128" xfId="0" applyFont="1" applyFill="1" applyBorder="1" applyAlignment="1">
      <alignment horizontal="center" vertical="center"/>
    </xf>
    <xf numFmtId="1" fontId="21" fillId="19" borderId="63" xfId="0" applyNumberFormat="1" applyFont="1" applyFill="1" applyBorder="1" applyAlignment="1">
      <alignment horizontal="center" vertical="center"/>
    </xf>
    <xf numFmtId="1" fontId="21" fillId="19" borderId="129" xfId="0" applyNumberFormat="1" applyFont="1" applyFill="1" applyBorder="1" applyAlignment="1">
      <alignment horizontal="center" vertical="center"/>
    </xf>
    <xf numFmtId="1" fontId="21" fillId="19" borderId="128" xfId="0" applyNumberFormat="1" applyFont="1" applyFill="1" applyBorder="1" applyAlignment="1">
      <alignment horizontal="center" vertical="center"/>
    </xf>
    <xf numFmtId="0" fontId="20" fillId="19" borderId="13" xfId="0" applyFont="1" applyFill="1" applyBorder="1" applyAlignment="1">
      <alignment horizontal="center" wrapText="1"/>
    </xf>
    <xf numFmtId="0" fontId="22" fillId="20" borderId="130" xfId="0" applyFont="1" applyFill="1" applyBorder="1" applyAlignment="1">
      <alignment vertical="top"/>
    </xf>
    <xf numFmtId="0" fontId="34" fillId="20" borderId="131" xfId="0" applyFont="1" applyFill="1" applyBorder="1" applyAlignment="1">
      <alignment vertical="top"/>
    </xf>
    <xf numFmtId="0" fontId="3" fillId="0" borderId="0" xfId="0" applyFont="1"/>
    <xf numFmtId="0" fontId="20" fillId="0" borderId="0" xfId="0" applyFont="1" applyAlignment="1">
      <alignment horizontal="center" vertical="center" wrapText="1"/>
    </xf>
    <xf numFmtId="6" fontId="20" fillId="0" borderId="0" xfId="0" applyNumberFormat="1" applyFont="1" applyAlignment="1">
      <alignment horizontal="center" vertical="center"/>
    </xf>
    <xf numFmtId="0" fontId="21" fillId="0" borderId="0" xfId="0" applyFont="1" applyAlignment="1">
      <alignment horizontal="center" vertical="center"/>
    </xf>
    <xf numFmtId="0" fontId="24" fillId="0" borderId="0" xfId="0" applyFont="1" applyAlignment="1">
      <alignment horizontal="center" vertical="center"/>
    </xf>
    <xf numFmtId="0" fontId="26" fillId="0" borderId="0" xfId="0" applyFont="1" applyAlignment="1">
      <alignment horizontal="center"/>
    </xf>
    <xf numFmtId="2" fontId="0" fillId="2" borderId="0" xfId="0" applyNumberFormat="1" applyFill="1" applyAlignment="1">
      <alignment horizontal="right"/>
    </xf>
    <xf numFmtId="0" fontId="34" fillId="0" borderId="0" xfId="0" applyFont="1"/>
    <xf numFmtId="166" fontId="34" fillId="2" borderId="0" xfId="0" applyNumberFormat="1" applyFont="1" applyFill="1" applyAlignment="1">
      <alignment horizontal="right"/>
    </xf>
    <xf numFmtId="1" fontId="21" fillId="16" borderId="122" xfId="0" applyNumberFormat="1" applyFont="1" applyFill="1" applyBorder="1" applyAlignment="1">
      <alignment horizontal="center" vertical="center"/>
    </xf>
    <xf numFmtId="1" fontId="21" fillId="16" borderId="123" xfId="0" applyNumberFormat="1" applyFont="1" applyFill="1" applyBorder="1" applyAlignment="1">
      <alignment horizontal="center" vertical="center"/>
    </xf>
    <xf numFmtId="1" fontId="21" fillId="16" borderId="121" xfId="0" applyNumberFormat="1" applyFont="1" applyFill="1" applyBorder="1" applyAlignment="1">
      <alignment horizontal="center" vertical="center"/>
    </xf>
    <xf numFmtId="0" fontId="22" fillId="16" borderId="119" xfId="0" applyFont="1" applyFill="1" applyBorder="1"/>
    <xf numFmtId="0" fontId="34" fillId="16" borderId="125" xfId="0" applyFont="1" applyFill="1" applyBorder="1"/>
    <xf numFmtId="0" fontId="22" fillId="16" borderId="41" xfId="0" applyFont="1" applyFill="1" applyBorder="1" applyAlignment="1">
      <alignment vertical="center"/>
    </xf>
    <xf numFmtId="0" fontId="34" fillId="16" borderId="70" xfId="0" applyFont="1" applyFill="1" applyBorder="1" applyAlignment="1">
      <alignment vertical="center"/>
    </xf>
    <xf numFmtId="0" fontId="22" fillId="16" borderId="130" xfId="0" applyFont="1" applyFill="1" applyBorder="1" applyAlignment="1">
      <alignment vertical="top"/>
    </xf>
    <xf numFmtId="0" fontId="34" fillId="16" borderId="131" xfId="0" applyFont="1" applyFill="1" applyBorder="1" applyAlignment="1">
      <alignment vertical="top"/>
    </xf>
    <xf numFmtId="0" fontId="20" fillId="19" borderId="10" xfId="0" applyFont="1" applyFill="1" applyBorder="1" applyAlignment="1">
      <alignment horizontal="center"/>
    </xf>
    <xf numFmtId="0" fontId="20" fillId="19" borderId="7" xfId="0" applyFont="1" applyFill="1" applyBorder="1" applyAlignment="1">
      <alignment horizontal="center"/>
    </xf>
    <xf numFmtId="0" fontId="20" fillId="21" borderId="6" xfId="0" applyFont="1" applyFill="1" applyBorder="1" applyAlignment="1">
      <alignment horizontal="left"/>
    </xf>
    <xf numFmtId="20" fontId="20" fillId="21" borderId="10" xfId="0" applyNumberFormat="1" applyFont="1" applyFill="1" applyBorder="1" applyAlignment="1">
      <alignment horizontal="center"/>
    </xf>
    <xf numFmtId="6" fontId="20" fillId="21" borderId="10" xfId="0" applyNumberFormat="1" applyFont="1" applyFill="1" applyBorder="1" applyAlignment="1">
      <alignment horizontal="left"/>
    </xf>
    <xf numFmtId="6" fontId="20" fillId="21" borderId="10" xfId="0" applyNumberFormat="1" applyFont="1" applyFill="1" applyBorder="1" applyAlignment="1">
      <alignment horizontal="right"/>
    </xf>
    <xf numFmtId="0" fontId="24" fillId="21" borderId="10" xfId="0" applyFont="1" applyFill="1" applyBorder="1" applyAlignment="1">
      <alignment horizontal="center"/>
    </xf>
    <xf numFmtId="0" fontId="21" fillId="21" borderId="10" xfId="0" applyFont="1" applyFill="1" applyBorder="1" applyAlignment="1">
      <alignment horizontal="center"/>
    </xf>
    <xf numFmtId="0" fontId="21" fillId="21" borderId="7" xfId="0" applyFont="1" applyFill="1" applyBorder="1" applyAlignment="1">
      <alignment horizontal="center"/>
    </xf>
    <xf numFmtId="6" fontId="20" fillId="2" borderId="12" xfId="0" applyNumberFormat="1" applyFont="1" applyFill="1" applyBorder="1" applyAlignment="1">
      <alignment horizontal="right"/>
    </xf>
    <xf numFmtId="6" fontId="20" fillId="2" borderId="132" xfId="0" applyNumberFormat="1" applyFont="1" applyFill="1" applyBorder="1" applyAlignment="1">
      <alignment horizontal="right"/>
    </xf>
    <xf numFmtId="0" fontId="23" fillId="13" borderId="132" xfId="0" applyFont="1" applyFill="1" applyBorder="1" applyAlignment="1">
      <alignment horizontal="center"/>
    </xf>
    <xf numFmtId="0" fontId="24" fillId="13" borderId="29" xfId="0" applyFont="1" applyFill="1" applyBorder="1" applyAlignment="1">
      <alignment horizontal="center"/>
    </xf>
    <xf numFmtId="6" fontId="20" fillId="9" borderId="132" xfId="0" applyNumberFormat="1" applyFont="1" applyFill="1" applyBorder="1" applyAlignment="1">
      <alignment horizontal="right"/>
    </xf>
    <xf numFmtId="6" fontId="20" fillId="2" borderId="6" xfId="0" applyNumberFormat="1" applyFont="1" applyFill="1" applyBorder="1" applyAlignment="1">
      <alignment horizontal="right"/>
    </xf>
    <xf numFmtId="6" fontId="20" fillId="2" borderId="7" xfId="0" applyNumberFormat="1" applyFont="1" applyFill="1" applyBorder="1" applyAlignment="1">
      <alignment horizontal="right"/>
    </xf>
    <xf numFmtId="0" fontId="25" fillId="0" borderId="11" xfId="0" applyFont="1" applyBorder="1"/>
    <xf numFmtId="6" fontId="20" fillId="9" borderId="7" xfId="0" applyNumberFormat="1" applyFont="1" applyFill="1" applyBorder="1" applyAlignment="1">
      <alignment horizontal="right"/>
    </xf>
    <xf numFmtId="6" fontId="26" fillId="2" borderId="42" xfId="0" applyNumberFormat="1" applyFont="1" applyFill="1" applyBorder="1" applyAlignment="1">
      <alignment horizontal="center" vertical="center" wrapText="1"/>
    </xf>
    <xf numFmtId="0" fontId="26" fillId="2" borderId="42" xfId="0" applyFont="1" applyFill="1" applyBorder="1" applyAlignment="1">
      <alignment horizontal="center" vertical="center" wrapText="1"/>
    </xf>
    <xf numFmtId="0" fontId="24" fillId="13" borderId="17" xfId="0" applyFont="1" applyFill="1" applyBorder="1" applyAlignment="1">
      <alignment horizontal="center" vertical="center"/>
    </xf>
    <xf numFmtId="0" fontId="20" fillId="9" borderId="8" xfId="0" applyFont="1" applyFill="1" applyBorder="1" applyAlignment="1">
      <alignment horizontal="center" vertical="center"/>
    </xf>
    <xf numFmtId="6" fontId="28" fillId="2" borderId="17" xfId="0" applyNumberFormat="1" applyFont="1" applyFill="1" applyBorder="1" applyAlignment="1">
      <alignment horizontal="center"/>
    </xf>
    <xf numFmtId="0" fontId="21" fillId="21" borderId="17" xfId="0" applyFont="1" applyFill="1" applyBorder="1" applyAlignment="1">
      <alignment horizontal="right"/>
    </xf>
    <xf numFmtId="0" fontId="28" fillId="9" borderId="40" xfId="0" applyFont="1" applyFill="1" applyBorder="1" applyAlignment="1">
      <alignment horizontal="right"/>
    </xf>
    <xf numFmtId="0" fontId="28" fillId="2" borderId="17" xfId="0" applyFont="1" applyFill="1" applyBorder="1" applyAlignment="1">
      <alignment horizontal="right"/>
    </xf>
    <xf numFmtId="0" fontId="28" fillId="21" borderId="17" xfId="0" applyFont="1" applyFill="1" applyBorder="1" applyAlignment="1">
      <alignment horizontal="center"/>
    </xf>
    <xf numFmtId="8" fontId="28" fillId="21" borderId="17" xfId="0" applyNumberFormat="1" applyFont="1" applyFill="1" applyBorder="1" applyAlignment="1">
      <alignment horizontal="center"/>
    </xf>
    <xf numFmtId="0" fontId="20" fillId="2" borderId="42" xfId="0" applyFont="1" applyFill="1" applyBorder="1" applyAlignment="1">
      <alignment horizontal="center" vertical="center"/>
    </xf>
    <xf numFmtId="49" fontId="29" fillId="2" borderId="42" xfId="0" applyNumberFormat="1" applyFont="1" applyFill="1" applyBorder="1" applyAlignment="1">
      <alignment horizontal="center" vertical="center"/>
    </xf>
    <xf numFmtId="3" fontId="30" fillId="2" borderId="35" xfId="0" applyNumberFormat="1" applyFont="1" applyFill="1" applyBorder="1" applyAlignment="1">
      <alignment horizontal="center" vertical="center"/>
    </xf>
    <xf numFmtId="0" fontId="30" fillId="21" borderId="42" xfId="0" applyFont="1" applyFill="1" applyBorder="1" applyAlignment="1">
      <alignment horizontal="center" vertical="center"/>
    </xf>
    <xf numFmtId="0" fontId="20" fillId="9" borderId="42" xfId="0" applyFont="1" applyFill="1" applyBorder="1" applyAlignment="1">
      <alignment horizontal="right" vertical="center"/>
    </xf>
    <xf numFmtId="49" fontId="30" fillId="21" borderId="42" xfId="0" applyNumberFormat="1" applyFont="1" applyFill="1" applyBorder="1" applyAlignment="1">
      <alignment horizontal="center" vertical="center"/>
    </xf>
    <xf numFmtId="0" fontId="20" fillId="2" borderId="45" xfId="0" applyFont="1" applyFill="1" applyBorder="1" applyAlignment="1">
      <alignment horizontal="center" vertical="center"/>
    </xf>
    <xf numFmtId="49" fontId="29" fillId="2" borderId="45" xfId="0" applyNumberFormat="1" applyFont="1" applyFill="1" applyBorder="1" applyAlignment="1">
      <alignment horizontal="center" vertical="center"/>
    </xf>
    <xf numFmtId="3" fontId="30" fillId="2" borderId="43" xfId="0" applyNumberFormat="1" applyFont="1" applyFill="1" applyBorder="1" applyAlignment="1">
      <alignment horizontal="center" vertical="center"/>
    </xf>
    <xf numFmtId="3" fontId="30" fillId="21" borderId="58" xfId="0" applyNumberFormat="1" applyFont="1" applyFill="1" applyBorder="1" applyAlignment="1">
      <alignment horizontal="center" vertical="center"/>
    </xf>
    <xf numFmtId="0" fontId="20" fillId="9" borderId="49" xfId="0" applyFont="1" applyFill="1" applyBorder="1" applyAlignment="1">
      <alignment horizontal="right" vertical="center"/>
    </xf>
    <xf numFmtId="0" fontId="20" fillId="2" borderId="45" xfId="0" applyFont="1" applyFill="1" applyBorder="1" applyAlignment="1">
      <alignment horizontal="right" vertical="center"/>
    </xf>
    <xf numFmtId="49" fontId="30" fillId="21" borderId="58" xfId="0" applyNumberFormat="1" applyFont="1" applyFill="1" applyBorder="1" applyAlignment="1">
      <alignment horizontal="center" vertical="center"/>
    </xf>
    <xf numFmtId="0" fontId="28" fillId="13" borderId="42" xfId="0" applyFont="1" applyFill="1" applyBorder="1" applyAlignment="1">
      <alignment horizontal="center" vertical="center"/>
    </xf>
    <xf numFmtId="6" fontId="31" fillId="13" borderId="42" xfId="0" applyNumberFormat="1" applyFont="1" applyFill="1" applyBorder="1" applyAlignment="1">
      <alignment horizontal="center"/>
    </xf>
    <xf numFmtId="0" fontId="31" fillId="13" borderId="42" xfId="0" applyFont="1" applyFill="1" applyBorder="1" applyAlignment="1">
      <alignment horizontal="center"/>
    </xf>
    <xf numFmtId="3" fontId="28" fillId="13" borderId="42" xfId="0" applyNumberFormat="1" applyFont="1" applyFill="1" applyBorder="1" applyAlignment="1">
      <alignment horizontal="right"/>
    </xf>
    <xf numFmtId="0" fontId="32" fillId="21" borderId="42" xfId="0" applyFont="1" applyFill="1" applyBorder="1" applyAlignment="1">
      <alignment horizontal="right"/>
    </xf>
    <xf numFmtId="0" fontId="28" fillId="9" borderId="42" xfId="0" applyFont="1" applyFill="1" applyBorder="1" applyAlignment="1">
      <alignment horizontal="right" vertical="center"/>
    </xf>
    <xf numFmtId="0" fontId="28" fillId="13" borderId="42" xfId="0" applyFont="1" applyFill="1" applyBorder="1" applyAlignment="1">
      <alignment horizontal="right" vertical="center"/>
    </xf>
    <xf numFmtId="8" fontId="32" fillId="21" borderId="42" xfId="0" applyNumberFormat="1" applyFont="1" applyFill="1" applyBorder="1" applyAlignment="1">
      <alignment horizontal="right"/>
    </xf>
    <xf numFmtId="8" fontId="33" fillId="21" borderId="42" xfId="0" applyNumberFormat="1" applyFont="1" applyFill="1" applyBorder="1" applyAlignment="1">
      <alignment horizontal="center" vertical="center"/>
    </xf>
    <xf numFmtId="49" fontId="29" fillId="13" borderId="42" xfId="0" applyNumberFormat="1" applyFont="1" applyFill="1" applyBorder="1" applyAlignment="1">
      <alignment horizontal="center" vertical="center"/>
    </xf>
    <xf numFmtId="0" fontId="20" fillId="13" borderId="42" xfId="0" applyFont="1" applyFill="1" applyBorder="1" applyAlignment="1">
      <alignment horizontal="right" vertical="center"/>
    </xf>
    <xf numFmtId="49" fontId="29" fillId="13" borderId="58" xfId="0" applyNumberFormat="1" applyFont="1" applyFill="1" applyBorder="1" applyAlignment="1">
      <alignment horizontal="center" vertical="center"/>
    </xf>
    <xf numFmtId="6" fontId="31" fillId="2" borderId="42" xfId="0" applyNumberFormat="1" applyFont="1" applyFill="1" applyBorder="1" applyAlignment="1">
      <alignment horizontal="center"/>
    </xf>
    <xf numFmtId="0" fontId="31" fillId="2" borderId="42" xfId="0" applyFont="1" applyFill="1" applyBorder="1" applyAlignment="1">
      <alignment horizontal="center"/>
    </xf>
    <xf numFmtId="3" fontId="28" fillId="2" borderId="42" xfId="0" applyNumberFormat="1" applyFont="1" applyFill="1" applyBorder="1" applyAlignment="1">
      <alignment horizontal="right"/>
    </xf>
    <xf numFmtId="0" fontId="21" fillId="21" borderId="42" xfId="0" applyFont="1" applyFill="1" applyBorder="1" applyAlignment="1">
      <alignment horizontal="right"/>
    </xf>
    <xf numFmtId="0" fontId="28" fillId="9" borderId="52" xfId="0" applyFont="1" applyFill="1" applyBorder="1" applyAlignment="1">
      <alignment horizontal="right" vertical="center"/>
    </xf>
    <xf numFmtId="8" fontId="33" fillId="21" borderId="17" xfId="0" applyNumberFormat="1" applyFont="1" applyFill="1" applyBorder="1" applyAlignment="1">
      <alignment horizontal="center" vertical="center"/>
    </xf>
    <xf numFmtId="6" fontId="31" fillId="13" borderId="17" xfId="0" applyNumberFormat="1" applyFont="1" applyFill="1" applyBorder="1" applyAlignment="1">
      <alignment horizontal="center"/>
    </xf>
    <xf numFmtId="0" fontId="31" fillId="13" borderId="17" xfId="0" applyFont="1" applyFill="1" applyBorder="1" applyAlignment="1">
      <alignment horizontal="center"/>
    </xf>
    <xf numFmtId="0" fontId="32" fillId="21" borderId="17" xfId="0" applyFont="1" applyFill="1" applyBorder="1" applyAlignment="1">
      <alignment horizontal="right"/>
    </xf>
    <xf numFmtId="0" fontId="28" fillId="9" borderId="17" xfId="0" applyFont="1" applyFill="1" applyBorder="1" applyAlignment="1">
      <alignment horizontal="right" vertical="center"/>
    </xf>
    <xf numFmtId="0" fontId="28" fillId="13" borderId="17" xfId="0" applyFont="1" applyFill="1" applyBorder="1" applyAlignment="1">
      <alignment horizontal="right" vertical="center"/>
    </xf>
    <xf numFmtId="8" fontId="33" fillId="21" borderId="8" xfId="0" applyNumberFormat="1" applyFont="1" applyFill="1" applyBorder="1" applyAlignment="1">
      <alignment horizontal="center" vertical="center"/>
    </xf>
    <xf numFmtId="0" fontId="30" fillId="21" borderId="35" xfId="0" applyFont="1" applyFill="1" applyBorder="1" applyAlignment="1">
      <alignment horizontal="center" vertical="center"/>
    </xf>
    <xf numFmtId="3" fontId="30" fillId="21" borderId="42" xfId="0" applyNumberFormat="1" applyFont="1" applyFill="1" applyBorder="1" applyAlignment="1">
      <alignment horizontal="center" vertical="center"/>
    </xf>
    <xf numFmtId="3" fontId="30" fillId="21" borderId="35" xfId="0" applyNumberFormat="1" applyFont="1" applyFill="1" applyBorder="1" applyAlignment="1">
      <alignment horizontal="center" vertical="center"/>
    </xf>
    <xf numFmtId="0" fontId="20" fillId="2" borderId="0" xfId="0" applyFont="1" applyFill="1" applyAlignment="1">
      <alignment horizontal="center" vertical="center" wrapText="1"/>
    </xf>
    <xf numFmtId="6" fontId="20" fillId="2" borderId="0" xfId="0" applyNumberFormat="1" applyFont="1" applyFill="1" applyAlignment="1">
      <alignment horizontal="center" vertical="center"/>
    </xf>
    <xf numFmtId="0" fontId="21" fillId="2" borderId="0" xfId="0" applyFont="1" applyFill="1" applyAlignment="1">
      <alignment horizontal="center" vertical="center"/>
    </xf>
    <xf numFmtId="1" fontId="21" fillId="2" borderId="0" xfId="0" applyNumberFormat="1" applyFont="1" applyFill="1" applyAlignment="1">
      <alignment horizontal="center" vertical="center"/>
    </xf>
    <xf numFmtId="0" fontId="34" fillId="0" borderId="15" xfId="0" applyFont="1" applyBorder="1"/>
    <xf numFmtId="6" fontId="34" fillId="15" borderId="10" xfId="0" applyNumberFormat="1" applyFont="1" applyFill="1" applyBorder="1"/>
    <xf numFmtId="0" fontId="57" fillId="15" borderId="7" xfId="0" applyFont="1" applyFill="1" applyBorder="1"/>
    <xf numFmtId="1" fontId="38" fillId="15" borderId="7" xfId="0" applyNumberFormat="1" applyFont="1" applyFill="1" applyBorder="1" applyAlignment="1">
      <alignment horizontal="center"/>
    </xf>
    <xf numFmtId="1" fontId="34" fillId="0" borderId="7" xfId="0" applyNumberFormat="1" applyFont="1" applyBorder="1"/>
    <xf numFmtId="1" fontId="34" fillId="15" borderId="10" xfId="0" applyNumberFormat="1" applyFont="1" applyFill="1" applyBorder="1"/>
    <xf numFmtId="1" fontId="57" fillId="15" borderId="7" xfId="0" applyNumberFormat="1" applyFont="1" applyFill="1" applyBorder="1"/>
    <xf numFmtId="6" fontId="34" fillId="0" borderId="5" xfId="0" applyNumberFormat="1" applyFont="1" applyBorder="1"/>
    <xf numFmtId="0" fontId="34" fillId="0" borderId="132" xfId="0" applyFont="1" applyBorder="1" applyAlignment="1">
      <alignment horizontal="right"/>
    </xf>
    <xf numFmtId="1" fontId="37" fillId="0" borderId="132" xfId="0" applyNumberFormat="1" applyFont="1" applyBorder="1" applyAlignment="1">
      <alignment horizontal="center"/>
    </xf>
    <xf numFmtId="0" fontId="34" fillId="0" borderId="132" xfId="0" applyFont="1" applyBorder="1"/>
    <xf numFmtId="0" fontId="34" fillId="0" borderId="5" xfId="0" applyFont="1" applyBorder="1"/>
    <xf numFmtId="6" fontId="34" fillId="19" borderId="5" xfId="0" applyNumberFormat="1" applyFont="1" applyFill="1" applyBorder="1"/>
    <xf numFmtId="0" fontId="56" fillId="19" borderId="132" xfId="0" applyFont="1" applyFill="1" applyBorder="1" applyAlignment="1">
      <alignment horizontal="right"/>
    </xf>
    <xf numFmtId="1" fontId="58" fillId="19" borderId="132" xfId="0" applyNumberFormat="1" applyFont="1" applyFill="1" applyBorder="1" applyAlignment="1">
      <alignment horizontal="center"/>
    </xf>
    <xf numFmtId="0" fontId="34" fillId="2" borderId="132" xfId="0" applyFont="1" applyFill="1" applyBorder="1"/>
    <xf numFmtId="0" fontId="34" fillId="19" borderId="5" xfId="0" applyFont="1" applyFill="1" applyBorder="1"/>
    <xf numFmtId="0" fontId="34" fillId="19" borderId="132" xfId="0" applyFont="1" applyFill="1" applyBorder="1"/>
    <xf numFmtId="0" fontId="59" fillId="19" borderId="132" xfId="0" applyFont="1" applyFill="1" applyBorder="1" applyAlignment="1">
      <alignment horizontal="right"/>
    </xf>
    <xf numFmtId="2" fontId="58" fillId="19" borderId="132" xfId="0" applyNumberFormat="1" applyFont="1" applyFill="1" applyBorder="1" applyAlignment="1">
      <alignment horizontal="center"/>
    </xf>
    <xf numFmtId="6" fontId="34" fillId="2" borderId="5" xfId="0" applyNumberFormat="1" applyFont="1" applyFill="1" applyBorder="1"/>
    <xf numFmtId="0" fontId="34" fillId="2" borderId="5" xfId="0" applyFont="1" applyFill="1" applyBorder="1"/>
    <xf numFmtId="0" fontId="34" fillId="2" borderId="15" xfId="0" applyFont="1" applyFill="1" applyBorder="1"/>
    <xf numFmtId="6" fontId="34" fillId="18" borderId="5" xfId="0" applyNumberFormat="1" applyFont="1" applyFill="1" applyBorder="1" applyAlignment="1">
      <alignment horizontal="right"/>
    </xf>
    <xf numFmtId="0" fontId="23" fillId="18" borderId="132" xfId="0" applyFont="1" applyFill="1" applyBorder="1" applyAlignment="1">
      <alignment horizontal="right"/>
    </xf>
    <xf numFmtId="1" fontId="30" fillId="18" borderId="132" xfId="0" applyNumberFormat="1" applyFont="1" applyFill="1" applyBorder="1" applyAlignment="1">
      <alignment horizontal="center"/>
    </xf>
    <xf numFmtId="0" fontId="34" fillId="18" borderId="5" xfId="0" applyFont="1" applyFill="1" applyBorder="1"/>
    <xf numFmtId="0" fontId="23" fillId="18" borderId="132" xfId="0" applyFont="1" applyFill="1" applyBorder="1" applyAlignment="1">
      <alignment horizontal="center" wrapText="1"/>
    </xf>
    <xf numFmtId="3" fontId="34" fillId="2" borderId="5" xfId="0" applyNumberFormat="1" applyFont="1" applyFill="1" applyBorder="1"/>
    <xf numFmtId="0" fontId="34" fillId="2" borderId="132" xfId="0" applyFont="1" applyFill="1" applyBorder="1" applyAlignment="1">
      <alignment horizontal="right"/>
    </xf>
    <xf numFmtId="3" fontId="34" fillId="0" borderId="132" xfId="0" applyNumberFormat="1" applyFont="1" applyBorder="1" applyAlignment="1">
      <alignment horizontal="center"/>
    </xf>
    <xf numFmtId="3" fontId="30" fillId="2" borderId="12" xfId="0" applyNumberFormat="1" applyFont="1" applyFill="1" applyBorder="1" applyAlignment="1">
      <alignment horizontal="center" vertical="center"/>
    </xf>
    <xf numFmtId="20" fontId="20" fillId="2" borderId="42" xfId="0" applyNumberFormat="1" applyFont="1" applyFill="1" applyBorder="1" applyAlignment="1">
      <alignment horizontal="center" vertical="center"/>
    </xf>
    <xf numFmtId="6" fontId="20" fillId="13" borderId="35" xfId="0" applyNumberFormat="1" applyFont="1" applyFill="1" applyBorder="1" applyAlignment="1">
      <alignment horizontal="right" vertical="center"/>
    </xf>
    <xf numFmtId="0" fontId="34" fillId="0" borderId="14" xfId="0" applyFont="1" applyBorder="1"/>
    <xf numFmtId="6" fontId="34" fillId="0" borderId="14" xfId="0" applyNumberFormat="1" applyFont="1" applyBorder="1"/>
    <xf numFmtId="1" fontId="34" fillId="0" borderId="14" xfId="0" applyNumberFormat="1" applyFont="1" applyBorder="1"/>
    <xf numFmtId="0" fontId="34" fillId="2" borderId="14" xfId="0" applyFont="1" applyFill="1" applyBorder="1"/>
    <xf numFmtId="6" fontId="34" fillId="15" borderId="5" xfId="0" applyNumberFormat="1" applyFont="1" applyFill="1" applyBorder="1"/>
    <xf numFmtId="0" fontId="57" fillId="15" borderId="132" xfId="0" applyFont="1" applyFill="1" applyBorder="1" applyAlignment="1">
      <alignment horizontal="right"/>
    </xf>
    <xf numFmtId="1" fontId="38" fillId="15" borderId="132" xfId="0" applyNumberFormat="1" applyFont="1" applyFill="1" applyBorder="1" applyAlignment="1">
      <alignment horizontal="center"/>
    </xf>
    <xf numFmtId="1" fontId="34" fillId="15" borderId="132" xfId="0" applyNumberFormat="1" applyFont="1" applyFill="1" applyBorder="1"/>
    <xf numFmtId="1" fontId="34" fillId="15" borderId="5" xfId="0" applyNumberFormat="1" applyFont="1" applyFill="1" applyBorder="1"/>
    <xf numFmtId="1" fontId="57" fillId="15" borderId="132" xfId="0" applyNumberFormat="1" applyFont="1" applyFill="1" applyBorder="1" applyAlignment="1">
      <alignment horizontal="right"/>
    </xf>
    <xf numFmtId="0" fontId="34" fillId="19" borderId="132" xfId="0" applyFont="1" applyFill="1" applyBorder="1" applyAlignment="1">
      <alignment horizontal="right"/>
    </xf>
    <xf numFmtId="0" fontId="34" fillId="2" borderId="5" xfId="0" applyFont="1" applyFill="1" applyBorder="1" applyAlignment="1">
      <alignment horizontal="right"/>
    </xf>
    <xf numFmtId="6" fontId="34" fillId="18" borderId="5" xfId="0" applyNumberFormat="1" applyFont="1" applyFill="1" applyBorder="1"/>
    <xf numFmtId="0" fontId="23" fillId="18" borderId="132" xfId="0" applyFont="1" applyFill="1" applyBorder="1" applyAlignment="1">
      <alignment horizontal="right" wrapText="1"/>
    </xf>
    <xf numFmtId="0" fontId="0" fillId="2" borderId="132" xfId="0" applyFill="1" applyBorder="1" applyAlignment="1">
      <alignment horizontal="right"/>
    </xf>
    <xf numFmtId="0" fontId="0" fillId="0" borderId="132" xfId="0" applyBorder="1" applyAlignment="1">
      <alignment horizontal="right"/>
    </xf>
    <xf numFmtId="1" fontId="34" fillId="2" borderId="0" xfId="0" applyNumberFormat="1" applyFont="1" applyFill="1"/>
    <xf numFmtId="0" fontId="3" fillId="2" borderId="0" xfId="0" applyFont="1" applyFill="1"/>
    <xf numFmtId="0" fontId="22" fillId="0" borderId="0" xfId="0" applyFont="1" applyAlignment="1">
      <alignment horizontal="left" vertical="center" wrapText="1"/>
    </xf>
    <xf numFmtId="0" fontId="60" fillId="2" borderId="0" xfId="0" applyFont="1" applyFill="1"/>
    <xf numFmtId="0" fontId="60" fillId="0" borderId="0" xfId="0" applyFont="1"/>
    <xf numFmtId="0" fontId="60" fillId="0" borderId="0" xfId="0" applyFont="1" applyAlignment="1">
      <alignment horizontal="center"/>
    </xf>
    <xf numFmtId="0" fontId="60" fillId="2" borderId="0" xfId="0" applyFont="1" applyFill="1" applyAlignment="1">
      <alignment horizontal="center" vertical="center" wrapText="1"/>
    </xf>
    <xf numFmtId="0" fontId="60" fillId="2" borderId="0" xfId="0" applyFont="1" applyFill="1" applyAlignment="1">
      <alignment horizontal="right" vertical="center" wrapText="1"/>
    </xf>
    <xf numFmtId="0" fontId="22" fillId="2" borderId="0" xfId="0" applyFont="1" applyFill="1" applyAlignment="1">
      <alignment horizontal="center" vertical="center"/>
    </xf>
    <xf numFmtId="0" fontId="22" fillId="2" borderId="133" xfId="0" applyFont="1" applyFill="1" applyBorder="1" applyAlignment="1">
      <alignment horizontal="right" vertical="center"/>
    </xf>
    <xf numFmtId="0" fontId="22" fillId="2" borderId="134" xfId="0" applyFont="1" applyFill="1" applyBorder="1" applyAlignment="1">
      <alignment horizontal="left" vertical="center"/>
    </xf>
    <xf numFmtId="0" fontId="60" fillId="2" borderId="133" xfId="0" applyFont="1" applyFill="1" applyBorder="1"/>
    <xf numFmtId="20" fontId="60" fillId="18" borderId="133" xfId="0" applyNumberFormat="1" applyFont="1" applyFill="1" applyBorder="1" applyAlignment="1">
      <alignment horizontal="center" vertical="center" wrapText="1"/>
    </xf>
    <xf numFmtId="20" fontId="60" fillId="18" borderId="134" xfId="0" applyNumberFormat="1" applyFont="1" applyFill="1" applyBorder="1" applyAlignment="1">
      <alignment horizontal="center" vertical="center" wrapText="1"/>
    </xf>
    <xf numFmtId="0" fontId="60" fillId="2" borderId="133" xfId="0" applyFont="1" applyFill="1" applyBorder="1" applyAlignment="1">
      <alignment vertical="center"/>
    </xf>
    <xf numFmtId="0" fontId="60" fillId="0" borderId="0" xfId="0" applyFont="1" applyAlignment="1">
      <alignment horizontal="center" vertical="center"/>
    </xf>
    <xf numFmtId="0" fontId="60" fillId="0" borderId="0" xfId="0" applyFont="1" applyAlignment="1">
      <alignment vertical="center"/>
    </xf>
    <xf numFmtId="0" fontId="60" fillId="2" borderId="133" xfId="0" applyFont="1" applyFill="1" applyBorder="1" applyAlignment="1">
      <alignment horizontal="center" vertical="center" wrapText="1"/>
    </xf>
    <xf numFmtId="0" fontId="60" fillId="2" borderId="134" xfId="0" applyFont="1" applyFill="1" applyBorder="1" applyAlignment="1">
      <alignment horizontal="center" vertical="center" wrapText="1"/>
    </xf>
    <xf numFmtId="0" fontId="61" fillId="2" borderId="0" xfId="0" applyFont="1" applyFill="1" applyAlignment="1">
      <alignment horizontal="left" vertical="center"/>
    </xf>
    <xf numFmtId="0" fontId="60" fillId="2" borderId="0" xfId="0" applyFont="1" applyFill="1" applyAlignment="1">
      <alignment horizontal="center" wrapText="1"/>
    </xf>
    <xf numFmtId="0" fontId="60" fillId="2" borderId="0" xfId="0" applyFont="1" applyFill="1" applyAlignment="1">
      <alignment horizontal="right" wrapText="1"/>
    </xf>
    <xf numFmtId="0" fontId="60" fillId="18" borderId="133" xfId="0" applyFont="1" applyFill="1" applyBorder="1" applyAlignment="1">
      <alignment horizontal="center" vertical="center" wrapText="1"/>
    </xf>
    <xf numFmtId="0" fontId="60" fillId="18" borderId="134" xfId="0" applyFont="1" applyFill="1" applyBorder="1" applyAlignment="1">
      <alignment horizontal="center" vertical="center" wrapText="1"/>
    </xf>
    <xf numFmtId="0" fontId="3" fillId="0" borderId="133" xfId="0" applyFont="1" applyBorder="1"/>
    <xf numFmtId="0" fontId="22" fillId="23" borderId="134" xfId="0" applyFont="1" applyFill="1" applyBorder="1" applyAlignment="1">
      <alignment horizontal="center" vertical="center"/>
    </xf>
    <xf numFmtId="1" fontId="22" fillId="23" borderId="134" xfId="0" applyNumberFormat="1" applyFont="1" applyFill="1" applyBorder="1" applyAlignment="1">
      <alignment horizontal="center" vertical="center"/>
    </xf>
    <xf numFmtId="164" fontId="22" fillId="23" borderId="134" xfId="0" applyNumberFormat="1" applyFont="1" applyFill="1" applyBorder="1" applyAlignment="1">
      <alignment horizontal="center" vertical="center"/>
    </xf>
    <xf numFmtId="0" fontId="61" fillId="2" borderId="0" xfId="0" applyFont="1" applyFill="1" applyAlignment="1">
      <alignment horizontal="center" vertical="center"/>
    </xf>
    <xf numFmtId="0" fontId="63" fillId="18" borderId="0" xfId="0" applyFont="1" applyFill="1" applyAlignment="1">
      <alignment horizontal="center"/>
    </xf>
    <xf numFmtId="0" fontId="64" fillId="24" borderId="133" xfId="0" applyFont="1" applyFill="1" applyBorder="1" applyAlignment="1">
      <alignment horizontal="center" wrapText="1"/>
    </xf>
    <xf numFmtId="0" fontId="60" fillId="2" borderId="133" xfId="0" applyFont="1" applyFill="1" applyBorder="1" applyAlignment="1">
      <alignment horizontal="center" wrapText="1"/>
    </xf>
    <xf numFmtId="0" fontId="60" fillId="2" borderId="0" xfId="0" applyFont="1" applyFill="1" applyAlignment="1">
      <alignment horizontal="center"/>
    </xf>
    <xf numFmtId="0" fontId="60" fillId="25" borderId="0" xfId="0" applyFont="1" applyFill="1" applyAlignment="1">
      <alignment horizontal="center"/>
    </xf>
    <xf numFmtId="0" fontId="60" fillId="9" borderId="0" xfId="0" applyFont="1" applyFill="1" applyAlignment="1">
      <alignment horizontal="center"/>
    </xf>
    <xf numFmtId="164" fontId="60" fillId="9" borderId="0" xfId="0" applyNumberFormat="1" applyFont="1" applyFill="1" applyAlignment="1">
      <alignment horizontal="center"/>
    </xf>
    <xf numFmtId="0" fontId="60" fillId="15" borderId="11" xfId="0" applyFont="1" applyFill="1" applyBorder="1" applyAlignment="1">
      <alignment horizontal="center"/>
    </xf>
    <xf numFmtId="0" fontId="60" fillId="18" borderId="0" xfId="0" applyFont="1" applyFill="1" applyAlignment="1">
      <alignment horizontal="center"/>
    </xf>
    <xf numFmtId="164" fontId="64" fillId="23" borderId="133" xfId="0" applyNumberFormat="1" applyFont="1" applyFill="1" applyBorder="1" applyAlignment="1">
      <alignment horizontal="center"/>
    </xf>
    <xf numFmtId="164" fontId="60" fillId="0" borderId="0" xfId="0" applyNumberFormat="1" applyFont="1" applyAlignment="1">
      <alignment horizontal="center"/>
    </xf>
    <xf numFmtId="164" fontId="60" fillId="18" borderId="133" xfId="0" applyNumberFormat="1" applyFont="1" applyFill="1" applyBorder="1" applyAlignment="1">
      <alignment horizontal="center"/>
    </xf>
    <xf numFmtId="1" fontId="60" fillId="2" borderId="0" xfId="0" applyNumberFormat="1" applyFont="1" applyFill="1" applyAlignment="1">
      <alignment horizontal="center"/>
    </xf>
    <xf numFmtId="164" fontId="60" fillId="2" borderId="0" xfId="0" applyNumberFormat="1" applyFont="1" applyFill="1" applyAlignment="1">
      <alignment horizontal="center"/>
    </xf>
    <xf numFmtId="0" fontId="65" fillId="26" borderId="11" xfId="0" applyFont="1" applyFill="1" applyBorder="1"/>
    <xf numFmtId="0" fontId="65" fillId="26" borderId="11" xfId="0" applyFont="1" applyFill="1" applyBorder="1" applyAlignment="1">
      <alignment horizontal="center"/>
    </xf>
    <xf numFmtId="0" fontId="60" fillId="0" borderId="11" xfId="0" applyFont="1" applyBorder="1"/>
    <xf numFmtId="0" fontId="60" fillId="18" borderId="11" xfId="0" applyFont="1" applyFill="1" applyBorder="1" applyAlignment="1">
      <alignment horizontal="center"/>
    </xf>
    <xf numFmtId="0" fontId="60" fillId="18" borderId="11" xfId="0" applyFont="1" applyFill="1" applyBorder="1"/>
    <xf numFmtId="0" fontId="60" fillId="0" borderId="11" xfId="0" applyFont="1" applyBorder="1" applyAlignment="1">
      <alignment horizontal="center"/>
    </xf>
    <xf numFmtId="0" fontId="60" fillId="18" borderId="0" xfId="0" applyFont="1" applyFill="1"/>
    <xf numFmtId="0" fontId="63" fillId="18" borderId="0" xfId="0" applyFont="1" applyFill="1" applyAlignment="1">
      <alignment horizontal="center" wrapText="1"/>
    </xf>
    <xf numFmtId="164" fontId="60" fillId="0" borderId="0" xfId="0" applyNumberFormat="1" applyFont="1" applyAlignment="1">
      <alignment horizontal="center" wrapText="1"/>
    </xf>
    <xf numFmtId="0" fontId="60" fillId="2" borderId="11" xfId="0" applyFont="1" applyFill="1" applyBorder="1" applyAlignment="1">
      <alignment horizontal="center"/>
    </xf>
    <xf numFmtId="0" fontId="60" fillId="2" borderId="11" xfId="0" applyFont="1" applyFill="1" applyBorder="1" applyAlignment="1">
      <alignment horizontal="left"/>
    </xf>
    <xf numFmtId="0" fontId="66" fillId="13" borderId="0" xfId="0" applyFont="1" applyFill="1" applyAlignment="1">
      <alignment horizontal="center"/>
    </xf>
    <xf numFmtId="164" fontId="66" fillId="13" borderId="0" xfId="0" applyNumberFormat="1" applyFont="1" applyFill="1" applyAlignment="1">
      <alignment horizontal="center"/>
    </xf>
    <xf numFmtId="0" fontId="67" fillId="0" borderId="0" xfId="0" applyFont="1" applyAlignment="1">
      <alignment horizontal="center"/>
    </xf>
    <xf numFmtId="0" fontId="3" fillId="7" borderId="0" xfId="0" applyFont="1" applyFill="1"/>
    <xf numFmtId="0" fontId="68" fillId="7" borderId="0" xfId="0" applyFont="1" applyFill="1" applyAlignment="1">
      <alignment horizontal="left"/>
    </xf>
    <xf numFmtId="0" fontId="69" fillId="7" borderId="0" xfId="0" applyFont="1" applyFill="1"/>
    <xf numFmtId="0" fontId="70" fillId="28" borderId="0" xfId="0" applyFont="1" applyFill="1"/>
    <xf numFmtId="0" fontId="3" fillId="28" borderId="0" xfId="0" applyFont="1" applyFill="1" applyAlignment="1">
      <alignment horizontal="center"/>
    </xf>
    <xf numFmtId="0" fontId="71" fillId="28" borderId="0" xfId="0" applyFont="1" applyFill="1" applyAlignment="1">
      <alignment horizontal="center" wrapText="1"/>
    </xf>
    <xf numFmtId="20" fontId="3" fillId="28" borderId="0" xfId="0" applyNumberFormat="1" applyFont="1" applyFill="1" applyAlignment="1">
      <alignment horizontal="left" vertical="center"/>
    </xf>
    <xf numFmtId="0" fontId="3" fillId="2" borderId="0" xfId="0" applyFont="1" applyFill="1" applyAlignment="1">
      <alignment horizontal="center"/>
    </xf>
    <xf numFmtId="0" fontId="3" fillId="12" borderId="0" xfId="0" applyFont="1" applyFill="1"/>
    <xf numFmtId="0" fontId="3" fillId="19" borderId="0" xfId="0" applyFont="1" applyFill="1"/>
    <xf numFmtId="0" fontId="3" fillId="17" borderId="0" xfId="0" applyFont="1" applyFill="1"/>
    <xf numFmtId="0" fontId="3" fillId="27" borderId="0" xfId="0" applyFont="1" applyFill="1"/>
    <xf numFmtId="0" fontId="72" fillId="28" borderId="0" xfId="0" applyFont="1" applyFill="1"/>
    <xf numFmtId="0" fontId="70" fillId="0" borderId="0" xfId="0" applyFont="1" applyAlignment="1">
      <alignment horizontal="center"/>
    </xf>
    <xf numFmtId="0" fontId="70" fillId="28" borderId="0" xfId="0" applyFont="1" applyFill="1" applyAlignment="1">
      <alignment horizontal="center"/>
    </xf>
    <xf numFmtId="0" fontId="73" fillId="13" borderId="0" xfId="0" applyFont="1" applyFill="1" applyAlignment="1">
      <alignment horizontal="center"/>
    </xf>
    <xf numFmtId="0" fontId="3" fillId="0" borderId="0" xfId="0" applyFont="1" applyAlignment="1">
      <alignment horizontal="center" vertical="top"/>
    </xf>
    <xf numFmtId="1" fontId="60" fillId="0" borderId="0" xfId="0" applyNumberFormat="1" applyFont="1" applyAlignment="1">
      <alignment horizontal="center" vertical="top"/>
    </xf>
    <xf numFmtId="0" fontId="3" fillId="28" borderId="0" xfId="0" applyFont="1" applyFill="1" applyAlignment="1">
      <alignment horizontal="center" vertical="top"/>
    </xf>
    <xf numFmtId="0" fontId="72" fillId="28" borderId="0" xfId="0" applyFont="1" applyFill="1" applyAlignment="1">
      <alignment wrapText="1"/>
    </xf>
    <xf numFmtId="0" fontId="3" fillId="7" borderId="0" xfId="0" applyFont="1" applyFill="1" applyAlignment="1">
      <alignment horizontal="center"/>
    </xf>
    <xf numFmtId="0" fontId="3" fillId="7" borderId="0" xfId="0" applyFont="1" applyFill="1" applyAlignment="1">
      <alignment horizontal="left" vertical="center"/>
    </xf>
    <xf numFmtId="0" fontId="70" fillId="29" borderId="0" xfId="0" applyFont="1" applyFill="1"/>
    <xf numFmtId="0" fontId="3" fillId="29" borderId="0" xfId="0" applyFont="1" applyFill="1" applyAlignment="1">
      <alignment horizontal="center"/>
    </xf>
    <xf numFmtId="0" fontId="71" fillId="29" borderId="0" xfId="0" applyFont="1" applyFill="1" applyAlignment="1">
      <alignment horizontal="center" wrapText="1"/>
    </xf>
    <xf numFmtId="20" fontId="3" fillId="29" borderId="0" xfId="0" applyNumberFormat="1" applyFont="1" applyFill="1" applyAlignment="1">
      <alignment horizontal="left" vertical="center"/>
    </xf>
    <xf numFmtId="0" fontId="72" fillId="29" borderId="0" xfId="0" applyFont="1" applyFill="1"/>
    <xf numFmtId="0" fontId="70" fillId="29" borderId="0" xfId="0" applyFont="1" applyFill="1" applyAlignment="1">
      <alignment horizontal="center"/>
    </xf>
    <xf numFmtId="0" fontId="3" fillId="29" borderId="0" xfId="0" applyFont="1" applyFill="1" applyAlignment="1">
      <alignment horizontal="center" vertical="top"/>
    </xf>
    <xf numFmtId="0" fontId="72" fillId="29" borderId="0" xfId="0" applyFont="1" applyFill="1" applyAlignment="1">
      <alignment wrapText="1"/>
    </xf>
    <xf numFmtId="0" fontId="57" fillId="30" borderId="0" xfId="0" applyFont="1" applyFill="1"/>
    <xf numFmtId="0" fontId="3" fillId="30" borderId="0" xfId="0" applyFont="1" applyFill="1" applyAlignment="1">
      <alignment horizontal="center"/>
    </xf>
    <xf numFmtId="0" fontId="71" fillId="30" borderId="0" xfId="0" applyFont="1" applyFill="1" applyAlignment="1">
      <alignment horizontal="center" wrapText="1"/>
    </xf>
    <xf numFmtId="20" fontId="3" fillId="30" borderId="0" xfId="0" applyNumberFormat="1" applyFont="1" applyFill="1" applyAlignment="1">
      <alignment horizontal="left" vertical="center"/>
    </xf>
    <xf numFmtId="0" fontId="74" fillId="30" borderId="0" xfId="0" applyFont="1" applyFill="1"/>
    <xf numFmtId="0" fontId="70" fillId="30" borderId="0" xfId="0" applyFont="1" applyFill="1" applyAlignment="1">
      <alignment horizontal="center"/>
    </xf>
    <xf numFmtId="164" fontId="60" fillId="0" borderId="0" xfId="0" applyNumberFormat="1" applyFont="1" applyAlignment="1">
      <alignment horizontal="center" vertical="top"/>
    </xf>
    <xf numFmtId="0" fontId="3" fillId="30" borderId="0" xfId="0" applyFont="1" applyFill="1" applyAlignment="1">
      <alignment horizontal="center" vertical="top"/>
    </xf>
    <xf numFmtId="0" fontId="72" fillId="30" borderId="0" xfId="0" applyFont="1" applyFill="1" applyAlignment="1">
      <alignment wrapText="1"/>
    </xf>
    <xf numFmtId="0" fontId="3" fillId="9" borderId="0" xfId="0" applyFont="1" applyFill="1" applyAlignment="1">
      <alignment horizontal="center"/>
    </xf>
    <xf numFmtId="0" fontId="3" fillId="9" borderId="0" xfId="0" applyFont="1" applyFill="1"/>
    <xf numFmtId="0" fontId="70" fillId="21" borderId="0" xfId="0" applyFont="1" applyFill="1"/>
    <xf numFmtId="0" fontId="3" fillId="21" borderId="0" xfId="0" applyFont="1" applyFill="1" applyAlignment="1">
      <alignment horizontal="center"/>
    </xf>
    <xf numFmtId="0" fontId="71" fillId="21" borderId="0" xfId="0" applyFont="1" applyFill="1" applyAlignment="1">
      <alignment horizontal="center" wrapText="1"/>
    </xf>
    <xf numFmtId="20" fontId="3" fillId="21" borderId="0" xfId="0" applyNumberFormat="1" applyFont="1" applyFill="1" applyAlignment="1">
      <alignment horizontal="left" vertical="center"/>
    </xf>
    <xf numFmtId="0" fontId="72" fillId="21" borderId="0" xfId="0" applyFont="1" applyFill="1"/>
    <xf numFmtId="0" fontId="70" fillId="21" borderId="0" xfId="0" applyFont="1" applyFill="1" applyAlignment="1">
      <alignment horizontal="center"/>
    </xf>
    <xf numFmtId="0" fontId="3" fillId="16" borderId="0" xfId="0" applyFont="1" applyFill="1"/>
    <xf numFmtId="0" fontId="3" fillId="21" borderId="0" xfId="0" applyFont="1" applyFill="1" applyAlignment="1">
      <alignment horizontal="center" vertical="top"/>
    </xf>
    <xf numFmtId="0" fontId="72" fillId="21" borderId="0" xfId="0" applyFont="1" applyFill="1" applyAlignment="1">
      <alignment wrapText="1"/>
    </xf>
    <xf numFmtId="0" fontId="75" fillId="7" borderId="5" xfId="0" applyFont="1" applyFill="1" applyBorder="1"/>
    <xf numFmtId="0" fontId="76" fillId="7" borderId="5" xfId="0" applyFont="1" applyFill="1" applyBorder="1" applyAlignment="1">
      <alignment horizontal="center" vertical="center" wrapText="1"/>
    </xf>
    <xf numFmtId="0" fontId="75" fillId="2" borderId="0" xfId="0" applyFont="1" applyFill="1"/>
    <xf numFmtId="0" fontId="78" fillId="2" borderId="0" xfId="0" applyFont="1" applyFill="1" applyAlignment="1">
      <alignment horizontal="center"/>
    </xf>
    <xf numFmtId="0" fontId="79" fillId="2" borderId="0" xfId="0" applyFont="1" applyFill="1" applyAlignment="1">
      <alignment horizontal="center" vertical="center"/>
    </xf>
    <xf numFmtId="0" fontId="15" fillId="0" borderId="11" xfId="0" applyFont="1" applyBorder="1" applyAlignment="1">
      <alignment horizontal="center" vertical="center"/>
    </xf>
    <xf numFmtId="0" fontId="80" fillId="2" borderId="0" xfId="0" applyFont="1" applyFill="1"/>
    <xf numFmtId="0" fontId="16" fillId="2" borderId="151" xfId="0" applyFont="1" applyFill="1" applyBorder="1" applyAlignment="1">
      <alignment horizontal="center" vertical="center"/>
    </xf>
    <xf numFmtId="0" fontId="79" fillId="2" borderId="154" xfId="0" applyFont="1" applyFill="1" applyBorder="1" applyAlignment="1">
      <alignment horizontal="center" vertical="center"/>
    </xf>
    <xf numFmtId="0" fontId="15" fillId="0" borderId="151" xfId="0" applyFont="1" applyBorder="1" applyAlignment="1">
      <alignment horizontal="center" vertical="center"/>
    </xf>
    <xf numFmtId="0" fontId="16" fillId="2" borderId="29" xfId="0" applyFont="1" applyFill="1" applyBorder="1" applyAlignment="1">
      <alignment horizontal="center" vertical="center"/>
    </xf>
    <xf numFmtId="0" fontId="15" fillId="0" borderId="29" xfId="0" applyFont="1" applyBorder="1" applyAlignment="1">
      <alignment horizontal="center" vertical="center"/>
    </xf>
    <xf numFmtId="0" fontId="16" fillId="2" borderId="17" xfId="0" applyFont="1" applyFill="1" applyBorder="1" applyAlignment="1">
      <alignment horizontal="center" vertical="center"/>
    </xf>
    <xf numFmtId="0" fontId="18" fillId="10" borderId="155" xfId="0" applyFont="1" applyFill="1" applyBorder="1" applyAlignment="1">
      <alignment horizontal="center" vertical="center"/>
    </xf>
    <xf numFmtId="0" fontId="18" fillId="2" borderId="0" xfId="0" applyFont="1" applyFill="1" applyAlignment="1">
      <alignment horizontal="center" vertical="center"/>
    </xf>
    <xf numFmtId="0" fontId="18" fillId="11" borderId="155" xfId="0" applyFont="1" applyFill="1" applyBorder="1" applyAlignment="1">
      <alignment horizontal="center" vertical="center"/>
    </xf>
    <xf numFmtId="0" fontId="87" fillId="2" borderId="0" xfId="0" applyFont="1" applyFill="1" applyAlignment="1">
      <alignment horizontal="center" vertical="center"/>
    </xf>
    <xf numFmtId="0" fontId="87" fillId="32" borderId="0" xfId="0" applyFont="1" applyFill="1" applyAlignment="1">
      <alignment horizontal="center" vertical="center"/>
    </xf>
    <xf numFmtId="0" fontId="34" fillId="32" borderId="0" xfId="0" applyFont="1" applyFill="1"/>
    <xf numFmtId="0" fontId="89" fillId="32" borderId="0" xfId="0" applyFont="1" applyFill="1" applyAlignment="1">
      <alignment horizontal="center" vertical="center"/>
    </xf>
    <xf numFmtId="0" fontId="89" fillId="2" borderId="0" xfId="0" applyFont="1" applyFill="1" applyAlignment="1">
      <alignment horizontal="center" vertical="center"/>
    </xf>
    <xf numFmtId="1" fontId="90" fillId="2" borderId="0" xfId="0" applyNumberFormat="1" applyFont="1" applyFill="1" applyAlignment="1">
      <alignment horizontal="center" vertical="center"/>
    </xf>
    <xf numFmtId="1" fontId="3" fillId="0" borderId="0" xfId="0" applyNumberFormat="1" applyFont="1"/>
    <xf numFmtId="0" fontId="90" fillId="2" borderId="0" xfId="0" applyFont="1" applyFill="1" applyAlignment="1">
      <alignment horizontal="center" vertical="center"/>
    </xf>
    <xf numFmtId="0" fontId="91" fillId="15" borderId="0" xfId="0" applyFont="1" applyFill="1" applyAlignment="1">
      <alignment horizontal="center"/>
    </xf>
    <xf numFmtId="164" fontId="91" fillId="15" borderId="0" xfId="0" applyNumberFormat="1" applyFont="1" applyFill="1" applyAlignment="1">
      <alignment horizontal="center"/>
    </xf>
    <xf numFmtId="0" fontId="92" fillId="0" borderId="0" xfId="0" applyFont="1"/>
    <xf numFmtId="167" fontId="36" fillId="18" borderId="0" xfId="0" applyNumberFormat="1" applyFont="1" applyFill="1"/>
    <xf numFmtId="164" fontId="36" fillId="23" borderId="0" xfId="0" applyNumberFormat="1" applyFont="1" applyFill="1" applyAlignment="1">
      <alignment horizontal="right"/>
    </xf>
    <xf numFmtId="2" fontId="34" fillId="0" borderId="0" xfId="0" applyNumberFormat="1" applyFont="1"/>
    <xf numFmtId="164" fontId="36" fillId="0" borderId="0" xfId="0" applyNumberFormat="1" applyFont="1"/>
    <xf numFmtId="164" fontId="34" fillId="0" borderId="0" xfId="0" applyNumberFormat="1" applyFont="1"/>
    <xf numFmtId="167" fontId="36" fillId="0" borderId="0" xfId="0" applyNumberFormat="1" applyFont="1"/>
    <xf numFmtId="0" fontId="93" fillId="0" borderId="0" xfId="0" applyFont="1"/>
    <xf numFmtId="164" fontId="92" fillId="0" borderId="0" xfId="0" applyNumberFormat="1" applyFont="1"/>
    <xf numFmtId="0" fontId="92" fillId="14" borderId="0" xfId="0" applyFont="1" applyFill="1"/>
    <xf numFmtId="164" fontId="92" fillId="23" borderId="0" xfId="0" applyNumberFormat="1" applyFont="1" applyFill="1"/>
    <xf numFmtId="0" fontId="94" fillId="2" borderId="0" xfId="0" applyFont="1" applyFill="1"/>
    <xf numFmtId="1" fontId="94" fillId="2" borderId="0" xfId="0" applyNumberFormat="1" applyFont="1" applyFill="1" applyAlignment="1">
      <alignment horizontal="right"/>
    </xf>
    <xf numFmtId="0" fontId="94" fillId="2" borderId="0" xfId="0" applyFont="1" applyFill="1" applyAlignment="1">
      <alignment horizontal="right"/>
    </xf>
    <xf numFmtId="0" fontId="36" fillId="32" borderId="0" xfId="0" applyFont="1" applyFill="1" applyAlignment="1">
      <alignment horizontal="center"/>
    </xf>
    <xf numFmtId="164" fontId="36" fillId="22" borderId="0" xfId="0" applyNumberFormat="1" applyFont="1" applyFill="1"/>
    <xf numFmtId="0" fontId="34" fillId="22" borderId="0" xfId="0" applyFont="1" applyFill="1"/>
    <xf numFmtId="0" fontId="36" fillId="18" borderId="0" xfId="0" applyFont="1" applyFill="1"/>
    <xf numFmtId="164" fontId="36" fillId="2" borderId="0" xfId="0" applyNumberFormat="1" applyFont="1" applyFill="1" applyAlignment="1">
      <alignment horizontal="center"/>
    </xf>
    <xf numFmtId="0" fontId="36" fillId="2" borderId="0" xfId="0" applyFont="1" applyFill="1" applyAlignment="1">
      <alignment horizontal="center"/>
    </xf>
    <xf numFmtId="0" fontId="36" fillId="2" borderId="0" xfId="0" applyFont="1" applyFill="1" applyAlignment="1">
      <alignment horizontal="right"/>
    </xf>
    <xf numFmtId="0" fontId="36" fillId="15" borderId="0" xfId="0" applyFont="1" applyFill="1" applyAlignment="1">
      <alignment horizontal="right"/>
    </xf>
    <xf numFmtId="0" fontId="34" fillId="26" borderId="0" xfId="0" applyFont="1" applyFill="1"/>
    <xf numFmtId="164" fontId="34" fillId="26" borderId="0" xfId="0" applyNumberFormat="1" applyFont="1" applyFill="1"/>
    <xf numFmtId="0" fontId="36" fillId="26" borderId="0" xfId="0" applyFont="1" applyFill="1" applyAlignment="1">
      <alignment horizontal="right"/>
    </xf>
    <xf numFmtId="0" fontId="20" fillId="28" borderId="8" xfId="0" applyFont="1" applyFill="1" applyBorder="1" applyAlignment="1">
      <alignment horizontal="center"/>
    </xf>
    <xf numFmtId="0" fontId="21" fillId="28" borderId="14" xfId="0" applyFont="1" applyFill="1" applyBorder="1" applyAlignment="1">
      <alignment horizontal="center"/>
    </xf>
    <xf numFmtId="164" fontId="21" fillId="28" borderId="11" xfId="0" applyNumberFormat="1" applyFont="1" applyFill="1" applyBorder="1" applyAlignment="1">
      <alignment horizontal="center"/>
    </xf>
    <xf numFmtId="0" fontId="21" fillId="28" borderId="11" xfId="0" applyFont="1" applyFill="1" applyBorder="1" applyAlignment="1">
      <alignment horizontal="center"/>
    </xf>
    <xf numFmtId="0" fontId="21" fillId="28" borderId="9" xfId="0" applyFont="1" applyFill="1" applyBorder="1" applyAlignment="1">
      <alignment horizontal="center"/>
    </xf>
    <xf numFmtId="0" fontId="21" fillId="28" borderId="0" xfId="0" applyFont="1" applyFill="1" applyAlignment="1">
      <alignment horizontal="center"/>
    </xf>
    <xf numFmtId="0" fontId="20" fillId="28" borderId="0" xfId="0" applyFont="1" applyFill="1" applyAlignment="1">
      <alignment horizontal="center"/>
    </xf>
    <xf numFmtId="6" fontId="21" fillId="28" borderId="0" xfId="0" applyNumberFormat="1" applyFont="1" applyFill="1" applyAlignment="1">
      <alignment horizontal="center"/>
    </xf>
    <xf numFmtId="0" fontId="96" fillId="4" borderId="11" xfId="0" applyFont="1" applyFill="1" applyBorder="1" applyAlignment="1">
      <alignment horizontal="center"/>
    </xf>
    <xf numFmtId="0" fontId="21" fillId="9" borderId="9" xfId="0" applyFont="1" applyFill="1" applyBorder="1" applyAlignment="1">
      <alignment horizontal="center"/>
    </xf>
    <xf numFmtId="0" fontId="21" fillId="9" borderId="17" xfId="0" applyFont="1" applyFill="1" applyBorder="1" applyAlignment="1">
      <alignment horizontal="center"/>
    </xf>
    <xf numFmtId="0" fontId="21" fillId="11" borderId="17" xfId="0" applyFont="1" applyFill="1" applyBorder="1" applyAlignment="1">
      <alignment horizontal="center"/>
    </xf>
    <xf numFmtId="0" fontId="21" fillId="33" borderId="11" xfId="0" applyFont="1" applyFill="1" applyBorder="1" applyAlignment="1">
      <alignment horizontal="center"/>
    </xf>
    <xf numFmtId="0" fontId="20" fillId="28" borderId="35" xfId="0" applyFont="1" applyFill="1" applyBorder="1" applyAlignment="1">
      <alignment horizontal="center"/>
    </xf>
    <xf numFmtId="0" fontId="21" fillId="28" borderId="15" xfId="0" applyFont="1" applyFill="1" applyBorder="1" applyAlignment="1">
      <alignment horizontal="center"/>
    </xf>
    <xf numFmtId="0" fontId="21" fillId="28" borderId="35" xfId="0" applyFont="1" applyFill="1" applyBorder="1" applyAlignment="1">
      <alignment horizontal="center"/>
    </xf>
    <xf numFmtId="168" fontId="20" fillId="9" borderId="11" xfId="0" applyNumberFormat="1" applyFont="1" applyFill="1" applyBorder="1" applyAlignment="1">
      <alignment horizontal="center"/>
    </xf>
    <xf numFmtId="0" fontId="60" fillId="9" borderId="7" xfId="0" applyFont="1" applyFill="1" applyBorder="1" applyAlignment="1">
      <alignment horizontal="center"/>
    </xf>
    <xf numFmtId="0" fontId="60" fillId="11" borderId="7" xfId="0" applyFont="1" applyFill="1" applyBorder="1" applyAlignment="1">
      <alignment horizontal="center"/>
    </xf>
    <xf numFmtId="0" fontId="3" fillId="28" borderId="0" xfId="0" applyFont="1" applyFill="1"/>
    <xf numFmtId="0" fontId="3" fillId="28" borderId="15" xfId="0" applyFont="1" applyFill="1" applyBorder="1"/>
    <xf numFmtId="0" fontId="22" fillId="28" borderId="0" xfId="0" applyFont="1" applyFill="1"/>
    <xf numFmtId="0" fontId="22" fillId="28" borderId="0" xfId="0" applyFont="1" applyFill="1" applyAlignment="1">
      <alignment horizontal="center"/>
    </xf>
    <xf numFmtId="0" fontId="20" fillId="9" borderId="11" xfId="0" applyFont="1" applyFill="1" applyBorder="1" applyAlignment="1">
      <alignment horizontal="left"/>
    </xf>
    <xf numFmtId="0" fontId="20" fillId="9" borderId="11" xfId="0" applyFont="1" applyFill="1" applyBorder="1" applyAlignment="1">
      <alignment horizontal="center"/>
    </xf>
    <xf numFmtId="0" fontId="21" fillId="15" borderId="11" xfId="0" applyFont="1" applyFill="1" applyBorder="1" applyAlignment="1">
      <alignment horizontal="center"/>
    </xf>
    <xf numFmtId="1" fontId="21" fillId="15" borderId="11" xfId="0" applyNumberFormat="1" applyFont="1" applyFill="1" applyBorder="1" applyAlignment="1">
      <alignment horizontal="center"/>
    </xf>
    <xf numFmtId="0" fontId="96" fillId="4" borderId="29" xfId="0" applyFont="1" applyFill="1" applyBorder="1" applyAlignment="1">
      <alignment horizontal="center"/>
    </xf>
    <xf numFmtId="3" fontId="21" fillId="15" borderId="11" xfId="0" applyNumberFormat="1" applyFont="1" applyFill="1" applyBorder="1" applyAlignment="1">
      <alignment horizontal="center"/>
    </xf>
    <xf numFmtId="3" fontId="21" fillId="9" borderId="11" xfId="0" applyNumberFormat="1" applyFont="1" applyFill="1" applyBorder="1" applyAlignment="1">
      <alignment horizontal="center"/>
    </xf>
    <xf numFmtId="0" fontId="58" fillId="15" borderId="0" xfId="0" applyFont="1" applyFill="1" applyAlignment="1">
      <alignment horizontal="center"/>
    </xf>
    <xf numFmtId="164" fontId="58" fillId="15" borderId="11" xfId="0" applyNumberFormat="1" applyFont="1" applyFill="1" applyBorder="1" applyAlignment="1">
      <alignment horizontal="center"/>
    </xf>
    <xf numFmtId="164" fontId="58" fillId="23" borderId="11" xfId="0" applyNumberFormat="1" applyFont="1" applyFill="1" applyBorder="1" applyAlignment="1">
      <alignment horizontal="center"/>
    </xf>
    <xf numFmtId="0" fontId="21" fillId="2" borderId="11" xfId="0" applyFont="1" applyFill="1" applyBorder="1" applyAlignment="1">
      <alignment horizontal="center"/>
    </xf>
    <xf numFmtId="1" fontId="21" fillId="2" borderId="11" xfId="0" applyNumberFormat="1" applyFont="1" applyFill="1" applyBorder="1" applyAlignment="1">
      <alignment horizontal="center"/>
    </xf>
    <xf numFmtId="3" fontId="21" fillId="2" borderId="11" xfId="0" applyNumberFormat="1" applyFont="1" applyFill="1" applyBorder="1" applyAlignment="1">
      <alignment horizontal="center"/>
    </xf>
    <xf numFmtId="0" fontId="58" fillId="2" borderId="11" xfId="0" applyFont="1" applyFill="1" applyBorder="1" applyAlignment="1">
      <alignment horizontal="center"/>
    </xf>
    <xf numFmtId="164" fontId="58" fillId="2" borderId="11" xfId="0" applyNumberFormat="1" applyFont="1" applyFill="1" applyBorder="1" applyAlignment="1">
      <alignment horizontal="center"/>
    </xf>
    <xf numFmtId="0" fontId="58" fillId="15" borderId="11" xfId="0" applyFont="1" applyFill="1" applyBorder="1" applyAlignment="1">
      <alignment horizontal="center"/>
    </xf>
    <xf numFmtId="6" fontId="20" fillId="9" borderId="11" xfId="0" applyNumberFormat="1" applyFont="1" applyFill="1" applyBorder="1" applyAlignment="1">
      <alignment horizontal="center"/>
    </xf>
    <xf numFmtId="0" fontId="96" fillId="9" borderId="11" xfId="0" applyFont="1" applyFill="1" applyBorder="1" applyAlignment="1">
      <alignment horizontal="center"/>
    </xf>
    <xf numFmtId="0" fontId="21" fillId="9" borderId="11" xfId="0" applyFont="1" applyFill="1" applyBorder="1" applyAlignment="1">
      <alignment horizontal="center"/>
    </xf>
    <xf numFmtId="0" fontId="21" fillId="9" borderId="6" xfId="0" applyFont="1" applyFill="1" applyBorder="1" applyAlignment="1">
      <alignment horizontal="center"/>
    </xf>
    <xf numFmtId="0" fontId="21" fillId="9" borderId="10" xfId="0" applyFont="1" applyFill="1" applyBorder="1" applyAlignment="1">
      <alignment horizontal="center"/>
    </xf>
    <xf numFmtId="0" fontId="20" fillId="28" borderId="9" xfId="0" applyFont="1" applyFill="1" applyBorder="1" applyAlignment="1">
      <alignment horizontal="center"/>
    </xf>
    <xf numFmtId="8" fontId="21" fillId="28" borderId="15" xfId="0" applyNumberFormat="1" applyFont="1" applyFill="1" applyBorder="1" applyAlignment="1">
      <alignment horizontal="center"/>
    </xf>
    <xf numFmtId="0" fontId="21" fillId="9" borderId="7" xfId="0" applyFont="1" applyFill="1" applyBorder="1" applyAlignment="1">
      <alignment horizontal="center"/>
    </xf>
    <xf numFmtId="0" fontId="22" fillId="9" borderId="7" xfId="0" applyFont="1" applyFill="1" applyBorder="1"/>
    <xf numFmtId="8" fontId="34" fillId="28" borderId="11" xfId="0" applyNumberFormat="1" applyFont="1" applyFill="1" applyBorder="1"/>
    <xf numFmtId="2" fontId="58" fillId="28" borderId="0" xfId="0" applyNumberFormat="1" applyFont="1" applyFill="1" applyAlignment="1">
      <alignment horizontal="center"/>
    </xf>
    <xf numFmtId="3" fontId="58" fillId="28" borderId="0" xfId="0" applyNumberFormat="1" applyFont="1" applyFill="1" applyAlignment="1">
      <alignment horizontal="center"/>
    </xf>
    <xf numFmtId="0" fontId="34" fillId="28" borderId="0" xfId="0" applyFont="1" applyFill="1"/>
    <xf numFmtId="8" fontId="34" fillId="28" borderId="0" xfId="0" applyNumberFormat="1" applyFont="1" applyFill="1"/>
    <xf numFmtId="0" fontId="96" fillId="9" borderId="17" xfId="0" applyFont="1" applyFill="1" applyBorder="1" applyAlignment="1">
      <alignment horizontal="center"/>
    </xf>
    <xf numFmtId="0" fontId="21" fillId="2" borderId="17" xfId="0" applyFont="1" applyFill="1" applyBorder="1" applyAlignment="1">
      <alignment horizontal="center"/>
    </xf>
    <xf numFmtId="0" fontId="21" fillId="2" borderId="8" xfId="0" applyFont="1" applyFill="1" applyBorder="1" applyAlignment="1">
      <alignment horizontal="center"/>
    </xf>
    <xf numFmtId="0" fontId="21" fillId="9" borderId="14" xfId="0" applyFont="1" applyFill="1" applyBorder="1" applyAlignment="1">
      <alignment horizontal="center"/>
    </xf>
    <xf numFmtId="0" fontId="21" fillId="28" borderId="12" xfId="0" applyFont="1" applyFill="1" applyBorder="1" applyAlignment="1">
      <alignment horizontal="center"/>
    </xf>
    <xf numFmtId="0" fontId="21" fillId="28" borderId="132" xfId="0" applyFont="1" applyFill="1" applyBorder="1" applyAlignment="1">
      <alignment horizontal="center"/>
    </xf>
    <xf numFmtId="0" fontId="34" fillId="28" borderId="5" xfId="0" applyFont="1" applyFill="1" applyBorder="1"/>
    <xf numFmtId="0" fontId="21" fillId="2" borderId="6" xfId="0" applyFont="1" applyFill="1" applyBorder="1" applyAlignment="1">
      <alignment horizontal="center"/>
    </xf>
    <xf numFmtId="0" fontId="21" fillId="2" borderId="10" xfId="0" applyFont="1" applyFill="1" applyBorder="1" applyAlignment="1">
      <alignment horizontal="center"/>
    </xf>
    <xf numFmtId="0" fontId="96" fillId="2" borderId="10" xfId="0" applyFont="1" applyFill="1" applyBorder="1" applyAlignment="1">
      <alignment horizontal="center"/>
    </xf>
    <xf numFmtId="0" fontId="3" fillId="2" borderId="10" xfId="0" applyFont="1" applyFill="1" applyBorder="1"/>
    <xf numFmtId="0" fontId="21" fillId="2" borderId="5" xfId="0" applyFont="1" applyFill="1" applyBorder="1" applyAlignment="1">
      <alignment horizontal="center"/>
    </xf>
    <xf numFmtId="8" fontId="21" fillId="2" borderId="5" xfId="0" applyNumberFormat="1" applyFont="1" applyFill="1" applyBorder="1" applyAlignment="1">
      <alignment horizontal="center"/>
    </xf>
    <xf numFmtId="8" fontId="21" fillId="2" borderId="10" xfId="0" applyNumberFormat="1" applyFont="1" applyFill="1" applyBorder="1" applyAlignment="1">
      <alignment horizontal="center"/>
    </xf>
    <xf numFmtId="8" fontId="34" fillId="2" borderId="0" xfId="0" applyNumberFormat="1" applyFont="1" applyFill="1"/>
    <xf numFmtId="0" fontId="20" fillId="34" borderId="35" xfId="0" applyFont="1" applyFill="1" applyBorder="1" applyAlignment="1">
      <alignment horizontal="center"/>
    </xf>
    <xf numFmtId="0" fontId="20" fillId="34" borderId="0" xfId="0" applyFont="1" applyFill="1" applyAlignment="1">
      <alignment horizontal="center"/>
    </xf>
    <xf numFmtId="164" fontId="21" fillId="34" borderId="29" xfId="0" applyNumberFormat="1" applyFont="1" applyFill="1" applyBorder="1" applyAlignment="1">
      <alignment horizontal="center"/>
    </xf>
    <xf numFmtId="0" fontId="21" fillId="34" borderId="29" xfId="0" applyFont="1" applyFill="1" applyBorder="1" applyAlignment="1">
      <alignment horizontal="center"/>
    </xf>
    <xf numFmtId="0" fontId="21" fillId="34" borderId="15" xfId="0" applyFont="1" applyFill="1" applyBorder="1" applyAlignment="1">
      <alignment horizontal="center"/>
    </xf>
    <xf numFmtId="0" fontId="34" fillId="34" borderId="11" xfId="0" applyFont="1" applyFill="1" applyBorder="1"/>
    <xf numFmtId="0" fontId="34" fillId="34" borderId="0" xfId="0" applyFont="1" applyFill="1"/>
    <xf numFmtId="0" fontId="21" fillId="33" borderId="6" xfId="0" applyFont="1" applyFill="1" applyBorder="1" applyAlignment="1">
      <alignment horizontal="center"/>
    </xf>
    <xf numFmtId="0" fontId="3" fillId="34" borderId="0" xfId="0" applyFont="1" applyFill="1"/>
    <xf numFmtId="0" fontId="3" fillId="34" borderId="15" xfId="0" applyFont="1" applyFill="1" applyBorder="1"/>
    <xf numFmtId="0" fontId="64" fillId="34" borderId="11" xfId="0" applyFont="1" applyFill="1" applyBorder="1"/>
    <xf numFmtId="0" fontId="64" fillId="34" borderId="0" xfId="0" applyFont="1" applyFill="1" applyAlignment="1">
      <alignment horizontal="center"/>
    </xf>
    <xf numFmtId="0" fontId="58" fillId="34" borderId="11" xfId="0" applyFont="1" applyFill="1" applyBorder="1" applyAlignment="1">
      <alignment horizontal="center"/>
    </xf>
    <xf numFmtId="0" fontId="20" fillId="34" borderId="8" xfId="0" applyFont="1" applyFill="1" applyBorder="1" applyAlignment="1">
      <alignment horizontal="center"/>
    </xf>
    <xf numFmtId="0" fontId="20" fillId="34" borderId="9" xfId="0" applyFont="1" applyFill="1" applyBorder="1" applyAlignment="1">
      <alignment horizontal="center"/>
    </xf>
    <xf numFmtId="8" fontId="21" fillId="34" borderId="15" xfId="0" applyNumberFormat="1" applyFont="1" applyFill="1" applyBorder="1" applyAlignment="1">
      <alignment horizontal="center"/>
    </xf>
    <xf numFmtId="8" fontId="34" fillId="34" borderId="11" xfId="0" applyNumberFormat="1" applyFont="1" applyFill="1" applyBorder="1"/>
    <xf numFmtId="8" fontId="34" fillId="34" borderId="0" xfId="0" applyNumberFormat="1" applyFont="1" applyFill="1"/>
    <xf numFmtId="3" fontId="58" fillId="34" borderId="0" xfId="0" applyNumberFormat="1" applyFont="1" applyFill="1" applyAlignment="1">
      <alignment horizontal="center"/>
    </xf>
    <xf numFmtId="0" fontId="21" fillId="34" borderId="35" xfId="0" applyFont="1" applyFill="1" applyBorder="1" applyAlignment="1">
      <alignment horizontal="center"/>
    </xf>
    <xf numFmtId="0" fontId="21" fillId="34" borderId="0" xfId="0" applyFont="1" applyFill="1" applyAlignment="1">
      <alignment horizontal="center"/>
    </xf>
    <xf numFmtId="0" fontId="34" fillId="34" borderId="5" xfId="0" applyFont="1" applyFill="1" applyBorder="1"/>
    <xf numFmtId="0" fontId="20" fillId="2" borderId="6" xfId="0" applyFont="1" applyFill="1" applyBorder="1" applyAlignment="1">
      <alignment horizontal="center"/>
    </xf>
    <xf numFmtId="0" fontId="20" fillId="2" borderId="10" xfId="0" applyFont="1" applyFill="1" applyBorder="1" applyAlignment="1">
      <alignment horizontal="center"/>
    </xf>
    <xf numFmtId="6" fontId="20" fillId="2" borderId="10" xfId="0" applyNumberFormat="1" applyFont="1" applyFill="1" applyBorder="1" applyAlignment="1">
      <alignment horizontal="center"/>
    </xf>
    <xf numFmtId="0" fontId="20" fillId="35" borderId="35" xfId="0" applyFont="1" applyFill="1" applyBorder="1" applyAlignment="1">
      <alignment horizontal="center"/>
    </xf>
    <xf numFmtId="0" fontId="20" fillId="35" borderId="0" xfId="0" applyFont="1" applyFill="1" applyAlignment="1">
      <alignment horizontal="center"/>
    </xf>
    <xf numFmtId="164" fontId="21" fillId="35" borderId="29" xfId="0" applyNumberFormat="1" applyFont="1" applyFill="1" applyBorder="1" applyAlignment="1">
      <alignment horizontal="center"/>
    </xf>
    <xf numFmtId="0" fontId="21" fillId="35" borderId="29" xfId="0" applyFont="1" applyFill="1" applyBorder="1" applyAlignment="1">
      <alignment horizontal="center"/>
    </xf>
    <xf numFmtId="0" fontId="21" fillId="35" borderId="15" xfId="0" applyFont="1" applyFill="1" applyBorder="1" applyAlignment="1">
      <alignment horizontal="center"/>
    </xf>
    <xf numFmtId="0" fontId="34" fillId="35" borderId="11" xfId="0" applyFont="1" applyFill="1" applyBorder="1"/>
    <xf numFmtId="0" fontId="34" fillId="35" borderId="0" xfId="0" applyFont="1" applyFill="1"/>
    <xf numFmtId="0" fontId="3" fillId="35" borderId="0" xfId="0" applyFont="1" applyFill="1"/>
    <xf numFmtId="0" fontId="3" fillId="35" borderId="15" xfId="0" applyFont="1" applyFill="1" applyBorder="1"/>
    <xf numFmtId="0" fontId="64" fillId="35" borderId="11" xfId="0" applyFont="1" applyFill="1" applyBorder="1"/>
    <xf numFmtId="0" fontId="64" fillId="35" borderId="0" xfId="0" applyFont="1" applyFill="1" applyAlignment="1">
      <alignment horizontal="center"/>
    </xf>
    <xf numFmtId="0" fontId="58" fillId="35" borderId="11" xfId="0" applyFont="1" applyFill="1" applyBorder="1" applyAlignment="1">
      <alignment horizontal="center"/>
    </xf>
    <xf numFmtId="0" fontId="21" fillId="23" borderId="11" xfId="0" applyFont="1" applyFill="1" applyBorder="1" applyAlignment="1">
      <alignment horizontal="center"/>
    </xf>
    <xf numFmtId="165" fontId="21" fillId="15" borderId="11" xfId="0" applyNumberFormat="1" applyFont="1" applyFill="1" applyBorder="1" applyAlignment="1">
      <alignment horizontal="center"/>
    </xf>
    <xf numFmtId="165" fontId="21" fillId="2" borderId="11" xfId="0" applyNumberFormat="1" applyFont="1" applyFill="1" applyBorder="1" applyAlignment="1">
      <alignment horizontal="center"/>
    </xf>
    <xf numFmtId="164" fontId="21" fillId="23" borderId="11" xfId="0" applyNumberFormat="1" applyFont="1" applyFill="1" applyBorder="1" applyAlignment="1">
      <alignment horizontal="center"/>
    </xf>
    <xf numFmtId="0" fontId="20" fillId="35" borderId="8" xfId="0" applyFont="1" applyFill="1" applyBorder="1" applyAlignment="1">
      <alignment horizontal="center"/>
    </xf>
    <xf numFmtId="0" fontId="20" fillId="35" borderId="9" xfId="0" applyFont="1" applyFill="1" applyBorder="1" applyAlignment="1">
      <alignment horizontal="center"/>
    </xf>
    <xf numFmtId="8" fontId="21" fillId="35" borderId="15" xfId="0" applyNumberFormat="1" applyFont="1" applyFill="1" applyBorder="1" applyAlignment="1">
      <alignment horizontal="center"/>
    </xf>
    <xf numFmtId="8" fontId="34" fillId="35" borderId="11" xfId="0" applyNumberFormat="1" applyFont="1" applyFill="1" applyBorder="1"/>
    <xf numFmtId="8" fontId="34" fillId="35" borderId="0" xfId="0" applyNumberFormat="1" applyFont="1" applyFill="1"/>
    <xf numFmtId="3" fontId="58" fillId="35" borderId="0" xfId="0" applyNumberFormat="1" applyFont="1" applyFill="1" applyAlignment="1">
      <alignment horizontal="center"/>
    </xf>
    <xf numFmtId="0" fontId="21" fillId="35" borderId="35" xfId="0" applyFont="1" applyFill="1" applyBorder="1" applyAlignment="1">
      <alignment horizontal="center"/>
    </xf>
    <xf numFmtId="0" fontId="21" fillId="35" borderId="0" xfId="0" applyFont="1" applyFill="1" applyAlignment="1">
      <alignment horizontal="center"/>
    </xf>
    <xf numFmtId="0" fontId="34" fillId="35" borderId="5" xfId="0" applyFont="1" applyFill="1" applyBorder="1"/>
    <xf numFmtId="0" fontId="20" fillId="36" borderId="35" xfId="0" applyFont="1" applyFill="1" applyBorder="1" applyAlignment="1">
      <alignment horizontal="center"/>
    </xf>
    <xf numFmtId="0" fontId="20" fillId="36" borderId="0" xfId="0" applyFont="1" applyFill="1" applyAlignment="1">
      <alignment horizontal="center"/>
    </xf>
    <xf numFmtId="164" fontId="21" fillId="36" borderId="29" xfId="0" applyNumberFormat="1" applyFont="1" applyFill="1" applyBorder="1" applyAlignment="1">
      <alignment horizontal="center"/>
    </xf>
    <xf numFmtId="0" fontId="21" fillId="36" borderId="29" xfId="0" applyFont="1" applyFill="1" applyBorder="1" applyAlignment="1">
      <alignment horizontal="center"/>
    </xf>
    <xf numFmtId="0" fontId="21" fillId="2" borderId="29" xfId="0" applyFont="1" applyFill="1" applyBorder="1" applyAlignment="1">
      <alignment horizontal="center"/>
    </xf>
    <xf numFmtId="0" fontId="21" fillId="36" borderId="15" xfId="0" applyFont="1" applyFill="1" applyBorder="1" applyAlignment="1">
      <alignment horizontal="center"/>
    </xf>
    <xf numFmtId="0" fontId="34" fillId="36" borderId="11" xfId="0" applyFont="1" applyFill="1" applyBorder="1"/>
    <xf numFmtId="0" fontId="34" fillId="36" borderId="0" xfId="0" applyFont="1" applyFill="1"/>
    <xf numFmtId="0" fontId="3" fillId="36" borderId="0" xfId="0" applyFont="1" applyFill="1"/>
    <xf numFmtId="0" fontId="3" fillId="36" borderId="15" xfId="0" applyFont="1" applyFill="1" applyBorder="1"/>
    <xf numFmtId="0" fontId="64" fillId="36" borderId="11" xfId="0" applyFont="1" applyFill="1" applyBorder="1"/>
    <xf numFmtId="0" fontId="64" fillId="36" borderId="0" xfId="0" applyFont="1" applyFill="1" applyAlignment="1">
      <alignment horizontal="center"/>
    </xf>
    <xf numFmtId="0" fontId="58" fillId="36" borderId="11" xfId="0" applyFont="1" applyFill="1" applyBorder="1" applyAlignment="1">
      <alignment horizontal="center"/>
    </xf>
    <xf numFmtId="0" fontId="20" fillId="36" borderId="8" xfId="0" applyFont="1" applyFill="1" applyBorder="1" applyAlignment="1">
      <alignment horizontal="center"/>
    </xf>
    <xf numFmtId="0" fontId="20" fillId="36" borderId="9" xfId="0" applyFont="1" applyFill="1" applyBorder="1" applyAlignment="1">
      <alignment horizontal="center"/>
    </xf>
    <xf numFmtId="8" fontId="21" fillId="36" borderId="15" xfId="0" applyNumberFormat="1" applyFont="1" applyFill="1" applyBorder="1" applyAlignment="1">
      <alignment horizontal="center"/>
    </xf>
    <xf numFmtId="8" fontId="34" fillId="36" borderId="11" xfId="0" applyNumberFormat="1" applyFont="1" applyFill="1" applyBorder="1"/>
    <xf numFmtId="8" fontId="34" fillId="36" borderId="0" xfId="0" applyNumberFormat="1" applyFont="1" applyFill="1"/>
    <xf numFmtId="3" fontId="58" fillId="36" borderId="0" xfId="0" applyNumberFormat="1" applyFont="1" applyFill="1" applyAlignment="1">
      <alignment horizontal="center"/>
    </xf>
    <xf numFmtId="0" fontId="21" fillId="36" borderId="35" xfId="0" applyFont="1" applyFill="1" applyBorder="1" applyAlignment="1">
      <alignment horizontal="center"/>
    </xf>
    <xf numFmtId="8" fontId="21" fillId="36" borderId="0" xfId="0" applyNumberFormat="1" applyFont="1" applyFill="1" applyAlignment="1">
      <alignment horizontal="center"/>
    </xf>
    <xf numFmtId="0" fontId="21" fillId="36" borderId="12" xfId="0" applyFont="1" applyFill="1" applyBorder="1" applyAlignment="1">
      <alignment horizontal="center"/>
    </xf>
    <xf numFmtId="0" fontId="21" fillId="36" borderId="5" xfId="0" applyFont="1" applyFill="1" applyBorder="1" applyAlignment="1">
      <alignment horizontal="center"/>
    </xf>
    <xf numFmtId="0" fontId="21" fillId="36" borderId="132" xfId="0" applyFont="1" applyFill="1" applyBorder="1" applyAlignment="1">
      <alignment horizontal="center"/>
    </xf>
    <xf numFmtId="8" fontId="21" fillId="36" borderId="132" xfId="0" applyNumberFormat="1" applyFont="1" applyFill="1" applyBorder="1" applyAlignment="1">
      <alignment horizontal="center"/>
    </xf>
    <xf numFmtId="0" fontId="34" fillId="36" borderId="5" xfId="0" applyFont="1" applyFill="1" applyBorder="1"/>
    <xf numFmtId="0" fontId="59" fillId="2" borderId="11" xfId="0" applyFont="1" applyFill="1" applyBorder="1" applyAlignment="1">
      <alignment horizontal="center" wrapText="1"/>
    </xf>
    <xf numFmtId="0" fontId="58" fillId="2" borderId="7" xfId="0" applyFont="1" applyFill="1" applyBorder="1" applyAlignment="1">
      <alignment horizontal="center"/>
    </xf>
    <xf numFmtId="8" fontId="59" fillId="22" borderId="29" xfId="0" applyNumberFormat="1" applyFont="1" applyFill="1" applyBorder="1" applyAlignment="1">
      <alignment horizontal="center"/>
    </xf>
    <xf numFmtId="168" fontId="34" fillId="2" borderId="132" xfId="0" applyNumberFormat="1" applyFont="1" applyFill="1" applyBorder="1"/>
    <xf numFmtId="168" fontId="59" fillId="22" borderId="132" xfId="0" applyNumberFormat="1" applyFont="1" applyFill="1" applyBorder="1" applyAlignment="1">
      <alignment horizontal="center"/>
    </xf>
    <xf numFmtId="8" fontId="59" fillId="18" borderId="29" xfId="0" applyNumberFormat="1" applyFont="1" applyFill="1" applyBorder="1" applyAlignment="1">
      <alignment horizontal="center"/>
    </xf>
    <xf numFmtId="6" fontId="34" fillId="2" borderId="132" xfId="0" applyNumberFormat="1" applyFont="1" applyFill="1" applyBorder="1"/>
    <xf numFmtId="6" fontId="59" fillId="32" borderId="132" xfId="0" applyNumberFormat="1" applyFont="1" applyFill="1" applyBorder="1" applyAlignment="1">
      <alignment horizontal="center"/>
    </xf>
    <xf numFmtId="6" fontId="59" fillId="18" borderId="132" xfId="0" applyNumberFormat="1" applyFont="1" applyFill="1" applyBorder="1" applyAlignment="1">
      <alignment horizontal="center"/>
    </xf>
    <xf numFmtId="0" fontId="59" fillId="2" borderId="29" xfId="0" applyFont="1" applyFill="1" applyBorder="1" applyAlignment="1">
      <alignment horizontal="center" wrapText="1"/>
    </xf>
    <xf numFmtId="0" fontId="59" fillId="28" borderId="132" xfId="0" applyFont="1" applyFill="1" applyBorder="1" applyAlignment="1">
      <alignment horizontal="center" wrapText="1"/>
    </xf>
    <xf numFmtId="0" fontId="59" fillId="15" borderId="132" xfId="0" applyFont="1" applyFill="1" applyBorder="1" applyAlignment="1">
      <alignment horizontal="center" wrapText="1"/>
    </xf>
    <xf numFmtId="0" fontId="59" fillId="30" borderId="132" xfId="0" applyFont="1" applyFill="1" applyBorder="1" applyAlignment="1">
      <alignment horizontal="center" wrapText="1"/>
    </xf>
    <xf numFmtId="0" fontId="59" fillId="11" borderId="132" xfId="0" applyFont="1" applyFill="1" applyBorder="1" applyAlignment="1">
      <alignment horizontal="center" wrapText="1"/>
    </xf>
    <xf numFmtId="0" fontId="59" fillId="37" borderId="132" xfId="0" applyFont="1" applyFill="1" applyBorder="1" applyAlignment="1">
      <alignment horizontal="center" wrapText="1"/>
    </xf>
    <xf numFmtId="0" fontId="59" fillId="19" borderId="132" xfId="0" applyFont="1" applyFill="1" applyBorder="1" applyAlignment="1">
      <alignment horizontal="center" wrapText="1"/>
    </xf>
    <xf numFmtId="0" fontId="59" fillId="20" borderId="132" xfId="0" applyFont="1" applyFill="1" applyBorder="1" applyAlignment="1">
      <alignment horizontal="center" wrapText="1"/>
    </xf>
    <xf numFmtId="0" fontId="59" fillId="27" borderId="132" xfId="0" applyFont="1" applyFill="1" applyBorder="1" applyAlignment="1">
      <alignment horizontal="center" wrapText="1"/>
    </xf>
    <xf numFmtId="0" fontId="59" fillId="38" borderId="132" xfId="0" applyFont="1" applyFill="1" applyBorder="1" applyAlignment="1">
      <alignment horizontal="center" wrapText="1"/>
    </xf>
    <xf numFmtId="0" fontId="59" fillId="39" borderId="132" xfId="0" applyFont="1" applyFill="1" applyBorder="1" applyAlignment="1">
      <alignment horizontal="center" wrapText="1"/>
    </xf>
    <xf numFmtId="0" fontId="59" fillId="40" borderId="132" xfId="0" applyFont="1" applyFill="1" applyBorder="1" applyAlignment="1">
      <alignment horizontal="center" wrapText="1"/>
    </xf>
    <xf numFmtId="0" fontId="58" fillId="2" borderId="29" xfId="0" applyFont="1" applyFill="1" applyBorder="1" applyAlignment="1">
      <alignment horizontal="center"/>
    </xf>
    <xf numFmtId="0" fontId="58" fillId="2" borderId="132" xfId="0" applyFont="1" applyFill="1" applyBorder="1" applyAlignment="1">
      <alignment horizontal="center"/>
    </xf>
    <xf numFmtId="0" fontId="34" fillId="26" borderId="132" xfId="0" applyFont="1" applyFill="1" applyBorder="1"/>
    <xf numFmtId="0" fontId="58" fillId="26" borderId="132" xfId="0" applyFont="1" applyFill="1" applyBorder="1" applyAlignment="1">
      <alignment horizontal="center"/>
    </xf>
    <xf numFmtId="8" fontId="59" fillId="2" borderId="29" xfId="0" applyNumberFormat="1" applyFont="1" applyFill="1" applyBorder="1" applyAlignment="1">
      <alignment horizontal="center"/>
    </xf>
    <xf numFmtId="8" fontId="59" fillId="2" borderId="132" xfId="0" applyNumberFormat="1" applyFont="1" applyFill="1" applyBorder="1" applyAlignment="1">
      <alignment horizontal="center"/>
    </xf>
    <xf numFmtId="0" fontId="97" fillId="2" borderId="0" xfId="0" applyFont="1" applyFill="1"/>
    <xf numFmtId="0" fontId="97" fillId="12" borderId="0" xfId="0" applyFont="1" applyFill="1" applyAlignment="1">
      <alignment horizontal="center"/>
    </xf>
    <xf numFmtId="169" fontId="97" fillId="12" borderId="0" xfId="0" applyNumberFormat="1" applyFont="1" applyFill="1" applyAlignment="1">
      <alignment horizontal="center"/>
    </xf>
    <xf numFmtId="0" fontId="22" fillId="0" borderId="0" xfId="0" applyFont="1"/>
    <xf numFmtId="0" fontId="97" fillId="27" borderId="0" xfId="0" applyFont="1" applyFill="1" applyAlignment="1">
      <alignment horizontal="center"/>
    </xf>
    <xf numFmtId="169" fontId="97" fillId="27" borderId="0" xfId="0" applyNumberFormat="1" applyFont="1" applyFill="1" applyAlignment="1">
      <alignment horizontal="center"/>
    </xf>
    <xf numFmtId="0" fontId="97" fillId="17" borderId="0" xfId="0" applyFont="1" applyFill="1" applyAlignment="1">
      <alignment horizontal="center"/>
    </xf>
    <xf numFmtId="169" fontId="97" fillId="17" borderId="0" xfId="0" applyNumberFormat="1" applyFont="1" applyFill="1" applyAlignment="1">
      <alignment horizontal="center"/>
    </xf>
    <xf numFmtId="0" fontId="97" fillId="19" borderId="0" xfId="0" applyFont="1" applyFill="1" applyAlignment="1">
      <alignment horizontal="center"/>
    </xf>
    <xf numFmtId="169" fontId="97" fillId="19" borderId="0" xfId="0" applyNumberFormat="1" applyFont="1" applyFill="1" applyAlignment="1">
      <alignment horizontal="center"/>
    </xf>
    <xf numFmtId="0" fontId="22" fillId="0" borderId="11" xfId="0" applyFont="1" applyBorder="1" applyAlignment="1">
      <alignment horizontal="center"/>
    </xf>
    <xf numFmtId="0" fontId="97" fillId="2" borderId="0" xfId="0" applyFont="1" applyFill="1" applyAlignment="1">
      <alignment horizontal="center"/>
    </xf>
    <xf numFmtId="0" fontId="97" fillId="17" borderId="5" xfId="0" applyFont="1" applyFill="1" applyBorder="1" applyAlignment="1">
      <alignment horizontal="center"/>
    </xf>
    <xf numFmtId="0" fontId="97" fillId="19" borderId="5" xfId="0" applyFont="1" applyFill="1" applyBorder="1" applyAlignment="1">
      <alignment horizontal="center"/>
    </xf>
    <xf numFmtId="0" fontId="97" fillId="2" borderId="5" xfId="0" applyFont="1" applyFill="1" applyBorder="1" applyAlignment="1">
      <alignment horizontal="center"/>
    </xf>
    <xf numFmtId="0" fontId="97" fillId="23" borderId="116" xfId="0" applyFont="1" applyFill="1" applyBorder="1" applyAlignment="1">
      <alignment horizontal="center"/>
    </xf>
    <xf numFmtId="0" fontId="22" fillId="2" borderId="8" xfId="0" applyFont="1" applyFill="1" applyBorder="1"/>
    <xf numFmtId="0" fontId="97" fillId="2" borderId="17" xfId="0" applyFont="1" applyFill="1" applyBorder="1" applyAlignment="1">
      <alignment horizontal="center"/>
    </xf>
    <xf numFmtId="0" fontId="97" fillId="2" borderId="9" xfId="0" applyFont="1" applyFill="1" applyBorder="1" applyAlignment="1">
      <alignment horizontal="center"/>
    </xf>
    <xf numFmtId="0" fontId="22" fillId="0" borderId="15" xfId="0" applyFont="1" applyBorder="1"/>
    <xf numFmtId="170" fontId="97" fillId="2" borderId="9" xfId="0" applyNumberFormat="1" applyFont="1" applyFill="1" applyBorder="1" applyAlignment="1">
      <alignment horizontal="center"/>
    </xf>
    <xf numFmtId="0" fontId="97" fillId="0" borderId="9" xfId="0" applyFont="1" applyBorder="1" applyAlignment="1">
      <alignment horizontal="center"/>
    </xf>
    <xf numFmtId="0" fontId="97" fillId="2" borderId="8" xfId="0" applyFont="1" applyFill="1" applyBorder="1" applyAlignment="1">
      <alignment horizontal="center"/>
    </xf>
    <xf numFmtId="0" fontId="97" fillId="2" borderId="120" xfId="0" applyFont="1" applyFill="1" applyBorder="1" applyAlignment="1">
      <alignment horizontal="center"/>
    </xf>
    <xf numFmtId="0" fontId="97" fillId="2" borderId="125" xfId="0" applyFont="1" applyFill="1" applyBorder="1" applyAlignment="1">
      <alignment horizontal="center"/>
    </xf>
    <xf numFmtId="0" fontId="97" fillId="2" borderId="14" xfId="0" applyFont="1" applyFill="1" applyBorder="1" applyAlignment="1">
      <alignment horizontal="center"/>
    </xf>
    <xf numFmtId="0" fontId="97" fillId="23" borderId="161" xfId="0" applyFont="1" applyFill="1" applyBorder="1" applyAlignment="1">
      <alignment horizontal="center"/>
    </xf>
    <xf numFmtId="164" fontId="97" fillId="2" borderId="9" xfId="0" applyNumberFormat="1" applyFont="1" applyFill="1" applyBorder="1" applyAlignment="1">
      <alignment horizontal="center"/>
    </xf>
    <xf numFmtId="0" fontId="97" fillId="2" borderId="12" xfId="0" applyFont="1" applyFill="1" applyBorder="1" applyAlignment="1">
      <alignment horizontal="right"/>
    </xf>
    <xf numFmtId="0" fontId="97" fillId="2" borderId="29" xfId="0" applyFont="1" applyFill="1" applyBorder="1" applyAlignment="1">
      <alignment horizontal="center"/>
    </xf>
    <xf numFmtId="0" fontId="97" fillId="2" borderId="132" xfId="0" applyFont="1" applyFill="1" applyBorder="1" applyAlignment="1">
      <alignment horizontal="center"/>
    </xf>
    <xf numFmtId="170" fontId="97" fillId="2" borderId="132" xfId="0" applyNumberFormat="1" applyFont="1" applyFill="1" applyBorder="1" applyAlignment="1">
      <alignment horizontal="center"/>
    </xf>
    <xf numFmtId="0" fontId="97" fillId="0" borderId="132" xfId="0" applyFont="1" applyBorder="1" applyAlignment="1">
      <alignment horizontal="center"/>
    </xf>
    <xf numFmtId="0" fontId="97" fillId="2" borderId="12" xfId="0" applyFont="1" applyFill="1" applyBorder="1" applyAlignment="1">
      <alignment horizontal="center"/>
    </xf>
    <xf numFmtId="0" fontId="97" fillId="2" borderId="31" xfId="0" applyFont="1" applyFill="1" applyBorder="1" applyAlignment="1">
      <alignment horizontal="center"/>
    </xf>
    <xf numFmtId="0" fontId="97" fillId="2" borderId="162" xfId="0" applyFont="1" applyFill="1" applyBorder="1" applyAlignment="1">
      <alignment horizontal="center"/>
    </xf>
    <xf numFmtId="0" fontId="97" fillId="23" borderId="163" xfId="0" applyFont="1" applyFill="1" applyBorder="1" applyAlignment="1">
      <alignment horizontal="center"/>
    </xf>
    <xf numFmtId="164" fontId="97" fillId="2" borderId="164" xfId="0" applyNumberFormat="1" applyFont="1" applyFill="1" applyBorder="1" applyAlignment="1">
      <alignment horizontal="center"/>
    </xf>
    <xf numFmtId="164" fontId="97" fillId="2" borderId="165" xfId="0" applyNumberFormat="1" applyFont="1" applyFill="1" applyBorder="1" applyAlignment="1">
      <alignment horizontal="center"/>
    </xf>
    <xf numFmtId="164" fontId="97" fillId="2" borderId="132" xfId="0" applyNumberFormat="1" applyFont="1" applyFill="1" applyBorder="1" applyAlignment="1">
      <alignment horizontal="center"/>
    </xf>
    <xf numFmtId="0" fontId="97" fillId="2" borderId="0" xfId="0" applyFont="1" applyFill="1" applyAlignment="1">
      <alignment horizontal="left"/>
    </xf>
    <xf numFmtId="0" fontId="22" fillId="41" borderId="29" xfId="0" applyFont="1" applyFill="1" applyBorder="1" applyAlignment="1">
      <alignment horizontal="right"/>
    </xf>
    <xf numFmtId="1" fontId="22" fillId="0" borderId="11" xfId="0" applyNumberFormat="1" applyFont="1" applyBorder="1" applyAlignment="1">
      <alignment horizontal="right"/>
    </xf>
    <xf numFmtId="164" fontId="22" fillId="0" borderId="132" xfId="0" applyNumberFormat="1" applyFont="1" applyBorder="1" applyAlignment="1">
      <alignment horizontal="right"/>
    </xf>
    <xf numFmtId="2" fontId="22" fillId="0" borderId="132" xfId="0" applyNumberFormat="1" applyFont="1" applyBorder="1" applyAlignment="1">
      <alignment horizontal="right"/>
    </xf>
    <xf numFmtId="170" fontId="22" fillId="0" borderId="11" xfId="0" applyNumberFormat="1" applyFont="1" applyBorder="1" applyAlignment="1">
      <alignment horizontal="right"/>
    </xf>
    <xf numFmtId="164" fontId="22" fillId="0" borderId="11" xfId="0" applyNumberFormat="1" applyFont="1" applyBorder="1" applyAlignment="1">
      <alignment horizontal="right"/>
    </xf>
    <xf numFmtId="170" fontId="22" fillId="0" borderId="132" xfId="0" applyNumberFormat="1" applyFont="1" applyBorder="1" applyAlignment="1">
      <alignment horizontal="right"/>
    </xf>
    <xf numFmtId="164" fontId="22" fillId="2" borderId="11" xfId="0" applyNumberFormat="1" applyFont="1" applyFill="1" applyBorder="1" applyAlignment="1">
      <alignment horizontal="right"/>
    </xf>
    <xf numFmtId="164" fontId="22" fillId="2" borderId="132" xfId="0" applyNumberFormat="1" applyFont="1" applyFill="1" applyBorder="1" applyAlignment="1">
      <alignment horizontal="right"/>
    </xf>
    <xf numFmtId="164" fontId="22" fillId="2" borderId="5" xfId="0" applyNumberFormat="1" applyFont="1" applyFill="1" applyBorder="1" applyAlignment="1">
      <alignment horizontal="right"/>
    </xf>
    <xf numFmtId="9" fontId="22" fillId="42" borderId="31" xfId="0" applyNumberFormat="1" applyFont="1" applyFill="1" applyBorder="1" applyAlignment="1">
      <alignment horizontal="right"/>
    </xf>
    <xf numFmtId="9" fontId="22" fillId="0" borderId="162" xfId="0" applyNumberFormat="1" applyFont="1" applyBorder="1" applyAlignment="1">
      <alignment horizontal="right"/>
    </xf>
    <xf numFmtId="9" fontId="22" fillId="2" borderId="132" xfId="0" applyNumberFormat="1" applyFont="1" applyFill="1" applyBorder="1" applyAlignment="1">
      <alignment horizontal="right"/>
    </xf>
    <xf numFmtId="9" fontId="22" fillId="2" borderId="5" xfId="0" applyNumberFormat="1" applyFont="1" applyFill="1" applyBorder="1" applyAlignment="1">
      <alignment horizontal="right"/>
    </xf>
    <xf numFmtId="9" fontId="22" fillId="2" borderId="12" xfId="0" applyNumberFormat="1" applyFont="1" applyFill="1" applyBorder="1" applyAlignment="1">
      <alignment horizontal="right"/>
    </xf>
    <xf numFmtId="9" fontId="22" fillId="0" borderId="163" xfId="0" applyNumberFormat="1" applyFont="1" applyBorder="1" applyAlignment="1">
      <alignment horizontal="right"/>
    </xf>
    <xf numFmtId="165" fontId="22" fillId="2" borderId="29" xfId="0" applyNumberFormat="1" applyFont="1" applyFill="1" applyBorder="1" applyAlignment="1">
      <alignment horizontal="right"/>
    </xf>
    <xf numFmtId="165" fontId="22" fillId="0" borderId="29" xfId="0" applyNumberFormat="1" applyFont="1" applyBorder="1" applyAlignment="1">
      <alignment horizontal="right"/>
    </xf>
    <xf numFmtId="165" fontId="22" fillId="0" borderId="12" xfId="0" applyNumberFormat="1" applyFont="1" applyBorder="1" applyAlignment="1">
      <alignment horizontal="right"/>
    </xf>
    <xf numFmtId="164" fontId="22" fillId="2" borderId="164" xfId="0" applyNumberFormat="1" applyFont="1" applyFill="1" applyBorder="1" applyAlignment="1">
      <alignment horizontal="right"/>
    </xf>
    <xf numFmtId="164" fontId="22" fillId="2" borderId="165" xfId="0" applyNumberFormat="1" applyFont="1" applyFill="1" applyBorder="1" applyAlignment="1">
      <alignment horizontal="right"/>
    </xf>
    <xf numFmtId="9" fontId="22" fillId="2" borderId="6" xfId="0" applyNumberFormat="1" applyFont="1" applyFill="1" applyBorder="1" applyAlignment="1">
      <alignment horizontal="right"/>
    </xf>
    <xf numFmtId="165" fontId="22" fillId="2" borderId="11" xfId="0" applyNumberFormat="1" applyFont="1" applyFill="1" applyBorder="1" applyAlignment="1">
      <alignment horizontal="right"/>
    </xf>
    <xf numFmtId="165" fontId="22" fillId="0" borderId="11" xfId="0" applyNumberFormat="1" applyFont="1" applyBorder="1" applyAlignment="1">
      <alignment horizontal="right"/>
    </xf>
    <xf numFmtId="165" fontId="22" fillId="0" borderId="6" xfId="0" applyNumberFormat="1" applyFont="1" applyBorder="1" applyAlignment="1">
      <alignment horizontal="right"/>
    </xf>
    <xf numFmtId="49" fontId="22" fillId="15" borderId="29" xfId="0" applyNumberFormat="1" applyFont="1" applyFill="1" applyBorder="1" applyAlignment="1">
      <alignment horizontal="right"/>
    </xf>
    <xf numFmtId="164" fontId="22" fillId="15" borderId="11" xfId="0" applyNumberFormat="1" applyFont="1" applyFill="1" applyBorder="1" applyAlignment="1">
      <alignment horizontal="right"/>
    </xf>
    <xf numFmtId="164" fontId="22" fillId="15" borderId="132" xfId="0" applyNumberFormat="1" applyFont="1" applyFill="1" applyBorder="1" applyAlignment="1">
      <alignment horizontal="right"/>
    </xf>
    <xf numFmtId="170" fontId="22" fillId="15" borderId="132" xfId="0" applyNumberFormat="1" applyFont="1" applyFill="1" applyBorder="1" applyAlignment="1">
      <alignment horizontal="right"/>
    </xf>
    <xf numFmtId="164" fontId="22" fillId="15" borderId="5" xfId="0" applyNumberFormat="1" applyFont="1" applyFill="1" applyBorder="1" applyAlignment="1">
      <alignment horizontal="right"/>
    </xf>
    <xf numFmtId="9" fontId="22" fillId="15" borderId="31" xfId="0" applyNumberFormat="1" applyFont="1" applyFill="1" applyBorder="1" applyAlignment="1">
      <alignment horizontal="right"/>
    </xf>
    <xf numFmtId="9" fontId="22" fillId="15" borderId="162" xfId="0" applyNumberFormat="1" applyFont="1" applyFill="1" applyBorder="1" applyAlignment="1">
      <alignment horizontal="right"/>
    </xf>
    <xf numFmtId="9" fontId="22" fillId="15" borderId="132" xfId="0" applyNumberFormat="1" applyFont="1" applyFill="1" applyBorder="1" applyAlignment="1">
      <alignment horizontal="right"/>
    </xf>
    <xf numFmtId="9" fontId="22" fillId="15" borderId="5" xfId="0" applyNumberFormat="1" applyFont="1" applyFill="1" applyBorder="1" applyAlignment="1">
      <alignment horizontal="right"/>
    </xf>
    <xf numFmtId="9" fontId="22" fillId="15" borderId="6" xfId="0" applyNumberFormat="1" applyFont="1" applyFill="1" applyBorder="1" applyAlignment="1">
      <alignment horizontal="right"/>
    </xf>
    <xf numFmtId="9" fontId="22" fillId="15" borderId="163" xfId="0" applyNumberFormat="1" applyFont="1" applyFill="1" applyBorder="1" applyAlignment="1">
      <alignment horizontal="right"/>
    </xf>
    <xf numFmtId="165" fontId="22" fillId="15" borderId="11" xfId="0" applyNumberFormat="1" applyFont="1" applyFill="1" applyBorder="1" applyAlignment="1">
      <alignment horizontal="right"/>
    </xf>
    <xf numFmtId="165" fontId="22" fillId="15" borderId="7" xfId="0" applyNumberFormat="1" applyFont="1" applyFill="1" applyBorder="1" applyAlignment="1">
      <alignment horizontal="right"/>
    </xf>
    <xf numFmtId="165" fontId="22" fillId="15" borderId="166" xfId="0" applyNumberFormat="1" applyFont="1" applyFill="1" applyBorder="1" applyAlignment="1">
      <alignment horizontal="right"/>
    </xf>
    <xf numFmtId="0" fontId="97" fillId="2" borderId="11" xfId="0" applyFont="1" applyFill="1" applyBorder="1" applyAlignment="1">
      <alignment horizontal="right"/>
    </xf>
    <xf numFmtId="0" fontId="22" fillId="2" borderId="11" xfId="0" applyFont="1" applyFill="1" applyBorder="1"/>
    <xf numFmtId="165" fontId="22" fillId="2" borderId="11" xfId="0" applyNumberFormat="1" applyFont="1" applyFill="1" applyBorder="1"/>
    <xf numFmtId="0" fontId="22" fillId="2" borderId="17" xfId="0" applyFont="1" applyFill="1" applyBorder="1"/>
    <xf numFmtId="170" fontId="22" fillId="2" borderId="17" xfId="0" applyNumberFormat="1" applyFont="1" applyFill="1" applyBorder="1"/>
    <xf numFmtId="164" fontId="22" fillId="2" borderId="11" xfId="0" applyNumberFormat="1" applyFont="1" applyFill="1" applyBorder="1"/>
    <xf numFmtId="0" fontId="22" fillId="2" borderId="132" xfId="0" applyFont="1" applyFill="1" applyBorder="1"/>
    <xf numFmtId="2" fontId="22" fillId="2" borderId="132" xfId="0" applyNumberFormat="1" applyFont="1" applyFill="1" applyBorder="1"/>
    <xf numFmtId="170" fontId="22" fillId="2" borderId="132" xfId="0" applyNumberFormat="1" applyFont="1" applyFill="1" applyBorder="1"/>
    <xf numFmtId="0" fontId="22" fillId="2" borderId="5" xfId="0" applyFont="1" applyFill="1" applyBorder="1"/>
    <xf numFmtId="9" fontId="22" fillId="2" borderId="31" xfId="0" applyNumberFormat="1" applyFont="1" applyFill="1" applyBorder="1"/>
    <xf numFmtId="9" fontId="22" fillId="2" borderId="162" xfId="0" applyNumberFormat="1" applyFont="1" applyFill="1" applyBorder="1"/>
    <xf numFmtId="9" fontId="22" fillId="2" borderId="132" xfId="0" applyNumberFormat="1" applyFont="1" applyFill="1" applyBorder="1"/>
    <xf numFmtId="9" fontId="22" fillId="2" borderId="5" xfId="0" applyNumberFormat="1" applyFont="1" applyFill="1" applyBorder="1"/>
    <xf numFmtId="9" fontId="22" fillId="2" borderId="6" xfId="0" applyNumberFormat="1" applyFont="1" applyFill="1" applyBorder="1"/>
    <xf numFmtId="9" fontId="22" fillId="0" borderId="163" xfId="0" applyNumberFormat="1" applyFont="1" applyBorder="1"/>
    <xf numFmtId="165" fontId="22" fillId="2" borderId="6" xfId="0" applyNumberFormat="1" applyFont="1" applyFill="1" applyBorder="1"/>
    <xf numFmtId="164" fontId="22" fillId="2" borderId="164" xfId="0" applyNumberFormat="1" applyFont="1" applyFill="1" applyBorder="1"/>
    <xf numFmtId="164" fontId="22" fillId="2" borderId="165" xfId="0" applyNumberFormat="1" applyFont="1" applyFill="1" applyBorder="1"/>
    <xf numFmtId="164" fontId="22" fillId="0" borderId="132" xfId="0" applyNumberFormat="1" applyFont="1" applyBorder="1"/>
    <xf numFmtId="0" fontId="22" fillId="9" borderId="11" xfId="0" applyFont="1" applyFill="1" applyBorder="1" applyAlignment="1">
      <alignment horizontal="right"/>
    </xf>
    <xf numFmtId="0" fontId="22" fillId="9" borderId="12" xfId="0" applyFont="1" applyFill="1" applyBorder="1" applyAlignment="1">
      <alignment horizontal="right"/>
    </xf>
    <xf numFmtId="0" fontId="22" fillId="9" borderId="29" xfId="0" applyFont="1" applyFill="1" applyBorder="1" applyAlignment="1">
      <alignment horizontal="right"/>
    </xf>
    <xf numFmtId="0" fontId="22" fillId="2" borderId="29" xfId="0" applyFont="1" applyFill="1" applyBorder="1" applyAlignment="1">
      <alignment horizontal="right"/>
    </xf>
    <xf numFmtId="1" fontId="22" fillId="2" borderId="132" xfId="0" applyNumberFormat="1" applyFont="1" applyFill="1" applyBorder="1" applyAlignment="1">
      <alignment horizontal="right"/>
    </xf>
    <xf numFmtId="170" fontId="22" fillId="2" borderId="132" xfId="0" applyNumberFormat="1" applyFont="1" applyFill="1" applyBorder="1" applyAlignment="1">
      <alignment horizontal="right"/>
    </xf>
    <xf numFmtId="1" fontId="22" fillId="2" borderId="15" xfId="0" applyNumberFormat="1" applyFont="1" applyFill="1" applyBorder="1"/>
    <xf numFmtId="1" fontId="22" fillId="0" borderId="0" xfId="0" applyNumberFormat="1" applyFont="1"/>
    <xf numFmtId="1" fontId="22" fillId="0" borderId="15" xfId="0" applyNumberFormat="1" applyFont="1" applyBorder="1"/>
    <xf numFmtId="164" fontId="22" fillId="2" borderId="29" xfId="0" applyNumberFormat="1" applyFont="1" applyFill="1" applyBorder="1"/>
    <xf numFmtId="9" fontId="22" fillId="2" borderId="167" xfId="0" applyNumberFormat="1" applyFont="1" applyFill="1" applyBorder="1" applyAlignment="1">
      <alignment horizontal="right"/>
    </xf>
    <xf numFmtId="9" fontId="22" fillId="2" borderId="168" xfId="0" applyNumberFormat="1" applyFont="1" applyFill="1" applyBorder="1" applyAlignment="1">
      <alignment horizontal="right"/>
    </xf>
    <xf numFmtId="9" fontId="22" fillId="2" borderId="169" xfId="0" applyNumberFormat="1" applyFont="1" applyFill="1" applyBorder="1"/>
    <xf numFmtId="165" fontId="22" fillId="2" borderId="132" xfId="0" applyNumberFormat="1" applyFont="1" applyFill="1" applyBorder="1" applyAlignment="1">
      <alignment horizontal="right"/>
    </xf>
    <xf numFmtId="165" fontId="22" fillId="2" borderId="170" xfId="0" applyNumberFormat="1" applyFont="1" applyFill="1" applyBorder="1" applyAlignment="1">
      <alignment horizontal="right"/>
    </xf>
    <xf numFmtId="164" fontId="22" fillId="2" borderId="171" xfId="0" applyNumberFormat="1" applyFont="1" applyFill="1" applyBorder="1" applyAlignment="1">
      <alignment horizontal="right"/>
    </xf>
    <xf numFmtId="164" fontId="22" fillId="2" borderId="172" xfId="0" applyNumberFormat="1" applyFont="1" applyFill="1" applyBorder="1" applyAlignment="1">
      <alignment horizontal="right"/>
    </xf>
    <xf numFmtId="164" fontId="22" fillId="2" borderId="132" xfId="0" applyNumberFormat="1" applyFont="1" applyFill="1" applyBorder="1"/>
    <xf numFmtId="9" fontId="22" fillId="2" borderId="0" xfId="0" applyNumberFormat="1" applyFont="1" applyFill="1" applyAlignment="1">
      <alignment horizontal="right"/>
    </xf>
    <xf numFmtId="0" fontId="57" fillId="0" borderId="159" xfId="0" applyFont="1" applyBorder="1"/>
    <xf numFmtId="0" fontId="57" fillId="0" borderId="0" xfId="0" applyFont="1"/>
    <xf numFmtId="0" fontId="57" fillId="0" borderId="0" xfId="0" applyFont="1" applyAlignment="1">
      <alignment horizontal="right"/>
    </xf>
    <xf numFmtId="0" fontId="34" fillId="0" borderId="159" xfId="0" applyFont="1" applyBorder="1"/>
    <xf numFmtId="0" fontId="34" fillId="0" borderId="0" xfId="0" applyFont="1" applyAlignment="1">
      <alignment horizontal="right"/>
    </xf>
    <xf numFmtId="0" fontId="0" fillId="2" borderId="159" xfId="0" applyFill="1" applyBorder="1"/>
    <xf numFmtId="0" fontId="98" fillId="2" borderId="0" xfId="0" applyFont="1" applyFill="1" applyAlignment="1">
      <alignment horizontal="center"/>
    </xf>
    <xf numFmtId="0" fontId="99" fillId="2" borderId="0" xfId="0" applyFont="1" applyFill="1" applyAlignment="1">
      <alignment horizontal="center"/>
    </xf>
    <xf numFmtId="0" fontId="100" fillId="2" borderId="0" xfId="0" applyFont="1" applyFill="1" applyAlignment="1">
      <alignment horizontal="center"/>
    </xf>
    <xf numFmtId="0" fontId="3" fillId="23" borderId="0" xfId="0" applyFont="1" applyFill="1"/>
    <xf numFmtId="0" fontId="3" fillId="0" borderId="0" xfId="0" applyFont="1" applyAlignment="1">
      <alignment horizontal="right"/>
    </xf>
    <xf numFmtId="2" fontId="3" fillId="0" borderId="0" xfId="0" applyNumberFormat="1" applyFont="1"/>
    <xf numFmtId="0" fontId="101" fillId="23" borderId="0" xfId="0" applyFont="1" applyFill="1"/>
    <xf numFmtId="0" fontId="101" fillId="2" borderId="0" xfId="0" applyFont="1" applyFill="1"/>
    <xf numFmtId="0" fontId="1" fillId="2" borderId="0" xfId="0" applyFont="1" applyFill="1" applyAlignment="1">
      <alignment horizontal="center" vertical="top"/>
    </xf>
    <xf numFmtId="0" fontId="0" fillId="0" borderId="0" xfId="0"/>
    <xf numFmtId="0" fontId="2" fillId="3" borderId="1" xfId="0" applyFont="1" applyFill="1" applyBorder="1" applyAlignment="1">
      <alignment horizontal="center"/>
    </xf>
    <xf numFmtId="0" fontId="3" fillId="0" borderId="2" xfId="0" applyFont="1" applyBorder="1"/>
    <xf numFmtId="0" fontId="4" fillId="4" borderId="3" xfId="0" applyFont="1" applyFill="1" applyBorder="1" applyAlignment="1">
      <alignment horizontal="center"/>
    </xf>
    <xf numFmtId="0" fontId="3" fillId="0" borderId="4" xfId="0" applyFont="1" applyBorder="1"/>
    <xf numFmtId="0" fontId="5" fillId="5" borderId="1" xfId="0" applyFont="1" applyFill="1" applyBorder="1" applyAlignment="1">
      <alignment horizontal="center" vertical="center"/>
    </xf>
    <xf numFmtId="0" fontId="7" fillId="6" borderId="3" xfId="0" applyFont="1" applyFill="1" applyBorder="1" applyAlignment="1">
      <alignment horizontal="center" vertical="center"/>
    </xf>
    <xf numFmtId="0" fontId="1" fillId="2" borderId="0" xfId="0" applyFont="1" applyFill="1" applyAlignment="1">
      <alignment horizontal="center"/>
    </xf>
    <xf numFmtId="0" fontId="8" fillId="7" borderId="0" xfId="0" applyFont="1" applyFill="1" applyAlignment="1">
      <alignment horizontal="center" vertical="center" wrapText="1"/>
    </xf>
    <xf numFmtId="0" fontId="9" fillId="6" borderId="5" xfId="0" applyFont="1" applyFill="1" applyBorder="1" applyAlignment="1">
      <alignment horizontal="center"/>
    </xf>
    <xf numFmtId="0" fontId="3" fillId="0" borderId="5" xfId="0" applyFont="1" applyBorder="1"/>
    <xf numFmtId="0" fontId="1" fillId="8" borderId="6" xfId="0" applyFont="1" applyFill="1" applyBorder="1" applyAlignment="1">
      <alignment horizontal="center"/>
    </xf>
    <xf numFmtId="0" fontId="3" fillId="0" borderId="7" xfId="0" applyFont="1" applyBorder="1"/>
    <xf numFmtId="0" fontId="1" fillId="9" borderId="8" xfId="0" applyFont="1" applyFill="1" applyBorder="1" applyAlignment="1">
      <alignment horizontal="center"/>
    </xf>
    <xf numFmtId="0" fontId="3" fillId="0" borderId="9" xfId="0" applyFont="1" applyBorder="1"/>
    <xf numFmtId="0" fontId="1" fillId="9" borderId="10" xfId="0" applyFont="1" applyFill="1" applyBorder="1" applyAlignment="1">
      <alignment horizontal="center"/>
    </xf>
    <xf numFmtId="0" fontId="1" fillId="8" borderId="10" xfId="0" applyFont="1" applyFill="1" applyBorder="1" applyAlignment="1">
      <alignment horizontal="center"/>
    </xf>
    <xf numFmtId="0" fontId="8" fillId="7" borderId="16" xfId="0" applyFont="1" applyFill="1" applyBorder="1" applyAlignment="1">
      <alignment horizontal="center" vertical="center" wrapText="1"/>
    </xf>
    <xf numFmtId="0" fontId="3" fillId="0" borderId="16" xfId="0" applyFont="1" applyBorder="1"/>
    <xf numFmtId="0" fontId="3" fillId="0" borderId="10" xfId="0" applyFont="1" applyBorder="1"/>
    <xf numFmtId="0" fontId="3" fillId="0" borderId="14" xfId="0" applyFont="1" applyBorder="1"/>
    <xf numFmtId="0" fontId="17" fillId="8" borderId="6" xfId="0" applyFont="1" applyFill="1" applyBorder="1" applyAlignment="1">
      <alignment horizontal="center" vertical="center"/>
    </xf>
    <xf numFmtId="0" fontId="17" fillId="8" borderId="19" xfId="0" applyFont="1" applyFill="1" applyBorder="1" applyAlignment="1">
      <alignment horizontal="center" vertical="center"/>
    </xf>
    <xf numFmtId="0" fontId="3" fillId="0" borderId="20" xfId="0" applyFont="1" applyBorder="1"/>
    <xf numFmtId="0" fontId="18" fillId="10" borderId="24" xfId="0" applyFont="1" applyFill="1" applyBorder="1" applyAlignment="1">
      <alignment horizontal="center" vertical="center"/>
    </xf>
    <xf numFmtId="0" fontId="3" fillId="0" borderId="25" xfId="0" applyFont="1" applyBorder="1"/>
    <xf numFmtId="0" fontId="19" fillId="2" borderId="26" xfId="0" applyFont="1" applyFill="1" applyBorder="1" applyAlignment="1">
      <alignment horizontal="center" vertical="center"/>
    </xf>
    <xf numFmtId="0" fontId="3" fillId="0" borderId="27" xfId="0" applyFont="1" applyBorder="1"/>
    <xf numFmtId="0" fontId="9" fillId="6" borderId="5"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17" fillId="9" borderId="6" xfId="0" applyFont="1" applyFill="1" applyBorder="1" applyAlignment="1">
      <alignment horizontal="center" vertical="center"/>
    </xf>
    <xf numFmtId="0" fontId="17" fillId="9" borderId="19" xfId="0" applyFont="1" applyFill="1" applyBorder="1" applyAlignment="1">
      <alignment horizontal="center" vertical="center"/>
    </xf>
    <xf numFmtId="0" fontId="18" fillId="11" borderId="24" xfId="0" applyFont="1" applyFill="1" applyBorder="1" applyAlignment="1">
      <alignment horizontal="center" vertical="center"/>
    </xf>
    <xf numFmtId="0" fontId="19" fillId="2" borderId="0" xfId="0" applyFont="1" applyFill="1" applyAlignment="1">
      <alignment horizontal="center" vertical="center"/>
    </xf>
    <xf numFmtId="0" fontId="20" fillId="12" borderId="14" xfId="0" applyFont="1" applyFill="1" applyBorder="1" applyAlignment="1">
      <alignment horizontal="center" vertical="center" wrapText="1"/>
    </xf>
    <xf numFmtId="6" fontId="20" fillId="16" borderId="14" xfId="0" applyNumberFormat="1" applyFont="1" applyFill="1" applyBorder="1" applyAlignment="1">
      <alignment horizontal="center" vertical="center" wrapText="1"/>
    </xf>
    <xf numFmtId="0" fontId="20" fillId="17" borderId="14" xfId="0" applyFont="1" applyFill="1" applyBorder="1" applyAlignment="1">
      <alignment horizontal="center" vertical="center" wrapText="1"/>
    </xf>
    <xf numFmtId="0" fontId="20" fillId="19" borderId="14" xfId="0" applyFont="1" applyFill="1" applyBorder="1" applyAlignment="1">
      <alignment horizontal="center" vertical="center" wrapText="1"/>
    </xf>
    <xf numFmtId="0" fontId="20" fillId="21" borderId="14" xfId="0" applyFont="1" applyFill="1" applyBorder="1" applyAlignment="1">
      <alignment horizontal="center" vertical="center" wrapText="1"/>
    </xf>
    <xf numFmtId="0" fontId="22" fillId="22" borderId="0" xfId="0" applyFont="1" applyFill="1" applyAlignment="1">
      <alignment horizontal="left" vertical="center" wrapText="1"/>
    </xf>
    <xf numFmtId="0" fontId="60" fillId="22" borderId="0" xfId="0" applyFont="1" applyFill="1" applyAlignment="1">
      <alignment horizontal="left" wrapText="1"/>
    </xf>
    <xf numFmtId="0" fontId="62" fillId="23" borderId="133" xfId="0" applyFont="1" applyFill="1" applyBorder="1" applyAlignment="1">
      <alignment horizontal="center" wrapText="1"/>
    </xf>
    <xf numFmtId="0" fontId="3" fillId="0" borderId="133" xfId="0" applyFont="1" applyBorder="1"/>
    <xf numFmtId="0" fontId="60" fillId="15" borderId="6" xfId="0" applyFont="1" applyFill="1" applyBorder="1" applyAlignment="1">
      <alignment horizontal="center"/>
    </xf>
    <xf numFmtId="0" fontId="3" fillId="12" borderId="0" xfId="0" applyFont="1" applyFill="1" applyAlignment="1">
      <alignment horizontal="center"/>
    </xf>
    <xf numFmtId="0" fontId="3" fillId="19" borderId="0" xfId="0" applyFont="1" applyFill="1" applyAlignment="1">
      <alignment horizontal="center"/>
    </xf>
    <xf numFmtId="0" fontId="3" fillId="17" borderId="0" xfId="0" applyFont="1" applyFill="1" applyAlignment="1">
      <alignment horizontal="center"/>
    </xf>
    <xf numFmtId="0" fontId="3" fillId="27" borderId="0" xfId="0" applyFont="1" applyFill="1" applyAlignment="1">
      <alignment horizontal="center"/>
    </xf>
    <xf numFmtId="0" fontId="3" fillId="16" borderId="0" xfId="0" applyFont="1" applyFill="1" applyAlignment="1">
      <alignment horizontal="center"/>
    </xf>
    <xf numFmtId="0" fontId="17" fillId="32" borderId="6" xfId="0" applyFont="1" applyFill="1" applyBorder="1" applyAlignment="1">
      <alignment horizontal="center" vertical="center"/>
    </xf>
    <xf numFmtId="0" fontId="81" fillId="3" borderId="135" xfId="0" applyFont="1" applyFill="1" applyBorder="1" applyAlignment="1">
      <alignment horizontal="center" vertical="center"/>
    </xf>
    <xf numFmtId="0" fontId="3" fillId="0" borderId="136" xfId="0" applyFont="1" applyBorder="1"/>
    <xf numFmtId="0" fontId="3" fillId="0" borderId="137" xfId="0" applyFont="1" applyBorder="1"/>
    <xf numFmtId="0" fontId="3" fillId="0" borderId="141" xfId="0" applyFont="1" applyBorder="1"/>
    <xf numFmtId="0" fontId="3" fillId="0" borderId="142" xfId="0" applyFont="1" applyBorder="1"/>
    <xf numFmtId="0" fontId="3" fillId="0" borderId="145" xfId="0" applyFont="1" applyBorder="1"/>
    <xf numFmtId="0" fontId="3" fillId="0" borderId="146" xfId="0" applyFont="1" applyBorder="1"/>
    <xf numFmtId="0" fontId="3" fillId="0" borderId="147" xfId="0" applyFont="1" applyBorder="1"/>
    <xf numFmtId="0" fontId="82" fillId="4" borderId="138" xfId="0" applyFont="1" applyFill="1" applyBorder="1" applyAlignment="1">
      <alignment horizontal="center" vertical="center"/>
    </xf>
    <xf numFmtId="0" fontId="3" fillId="0" borderId="139" xfId="0" applyFont="1" applyBorder="1"/>
    <xf numFmtId="0" fontId="3" fillId="0" borderId="140" xfId="0" applyFont="1" applyBorder="1"/>
    <xf numFmtId="0" fontId="3" fillId="0" borderId="143" xfId="0" applyFont="1" applyBorder="1"/>
    <xf numFmtId="0" fontId="3" fillId="0" borderId="144" xfId="0" applyFont="1" applyBorder="1"/>
    <xf numFmtId="0" fontId="3" fillId="0" borderId="148" xfId="0" applyFont="1" applyBorder="1"/>
    <xf numFmtId="0" fontId="3" fillId="0" borderId="149" xfId="0" applyFont="1" applyBorder="1"/>
    <xf numFmtId="0" fontId="3" fillId="0" borderId="150" xfId="0" applyFont="1" applyBorder="1"/>
    <xf numFmtId="0" fontId="17" fillId="31" borderId="6" xfId="0" applyFont="1" applyFill="1" applyBorder="1" applyAlignment="1">
      <alignment horizontal="center" vertical="center"/>
    </xf>
    <xf numFmtId="0" fontId="83" fillId="5" borderId="135" xfId="0" applyFont="1" applyFill="1" applyBorder="1" applyAlignment="1">
      <alignment horizontal="center" vertical="center"/>
    </xf>
    <xf numFmtId="0" fontId="84" fillId="6" borderId="138" xfId="0" applyFont="1" applyFill="1" applyBorder="1" applyAlignment="1">
      <alignment horizontal="center" vertical="center"/>
    </xf>
    <xf numFmtId="0" fontId="17" fillId="32" borderId="8" xfId="0" applyFont="1" applyFill="1" applyBorder="1" applyAlignment="1">
      <alignment horizontal="center" vertical="center"/>
    </xf>
    <xf numFmtId="0" fontId="18" fillId="10" borderId="156" xfId="0" applyFont="1" applyFill="1" applyBorder="1" applyAlignment="1">
      <alignment horizontal="center" vertical="center"/>
    </xf>
    <xf numFmtId="0" fontId="3" fillId="0" borderId="157" xfId="0" applyFont="1" applyBorder="1"/>
    <xf numFmtId="0" fontId="18" fillId="11" borderId="156" xfId="0" applyFont="1" applyFill="1" applyBorder="1" applyAlignment="1">
      <alignment horizontal="center" vertical="center"/>
    </xf>
    <xf numFmtId="0" fontId="18" fillId="2" borderId="156" xfId="0" applyFont="1" applyFill="1" applyBorder="1" applyAlignment="1">
      <alignment horizontal="center" vertical="center"/>
    </xf>
    <xf numFmtId="0" fontId="85" fillId="2" borderId="0" xfId="0" applyFont="1" applyFill="1" applyAlignment="1">
      <alignment horizontal="center" vertical="top"/>
    </xf>
    <xf numFmtId="0" fontId="86" fillId="2" borderId="0" xfId="0" applyFont="1" applyFill="1" applyAlignment="1">
      <alignment horizontal="center" vertical="center" wrapText="1"/>
    </xf>
    <xf numFmtId="0" fontId="88" fillId="2" borderId="0" xfId="0" applyFont="1" applyFill="1" applyAlignment="1">
      <alignment horizontal="center" wrapText="1"/>
    </xf>
    <xf numFmtId="0" fontId="76" fillId="7" borderId="5" xfId="0" applyFont="1" applyFill="1" applyBorder="1" applyAlignment="1">
      <alignment horizontal="center" vertical="center" wrapText="1"/>
    </xf>
    <xf numFmtId="0" fontId="77" fillId="2" borderId="0" xfId="0" applyFont="1" applyFill="1" applyAlignment="1">
      <alignment horizontal="center"/>
    </xf>
    <xf numFmtId="0" fontId="17" fillId="31" borderId="152" xfId="0" applyFont="1" applyFill="1" applyBorder="1" applyAlignment="1">
      <alignment horizontal="center" vertical="center"/>
    </xf>
    <xf numFmtId="0" fontId="3" fillId="0" borderId="153" xfId="0" applyFont="1" applyBorder="1"/>
    <xf numFmtId="0" fontId="17" fillId="32" borderId="152" xfId="0" applyFont="1" applyFill="1" applyBorder="1" applyAlignment="1">
      <alignment horizontal="center" vertical="center"/>
    </xf>
    <xf numFmtId="0" fontId="17" fillId="31" borderId="12" xfId="0" applyFont="1" applyFill="1" applyBorder="1" applyAlignment="1">
      <alignment horizontal="center" vertical="center"/>
    </xf>
    <xf numFmtId="0" fontId="3" fillId="0" borderId="132" xfId="0" applyFont="1" applyBorder="1"/>
    <xf numFmtId="0" fontId="17" fillId="32" borderId="12" xfId="0" applyFont="1" applyFill="1" applyBorder="1" applyAlignment="1">
      <alignment horizontal="center" vertical="center"/>
    </xf>
    <xf numFmtId="0" fontId="95" fillId="28" borderId="8" xfId="0" applyFont="1" applyFill="1" applyBorder="1" applyAlignment="1">
      <alignment horizontal="center"/>
    </xf>
    <xf numFmtId="0" fontId="3" fillId="0" borderId="158" xfId="0" applyFont="1" applyBorder="1"/>
    <xf numFmtId="0" fontId="20" fillId="28" borderId="8" xfId="0" applyFont="1" applyFill="1" applyBorder="1" applyAlignment="1">
      <alignment horizontal="center"/>
    </xf>
    <xf numFmtId="0" fontId="95" fillId="34" borderId="35" xfId="0" applyFont="1" applyFill="1" applyBorder="1" applyAlignment="1">
      <alignment horizontal="center"/>
    </xf>
    <xf numFmtId="0" fontId="3" fillId="0" borderId="159" xfId="0" applyFont="1" applyBorder="1"/>
    <xf numFmtId="0" fontId="20" fillId="34" borderId="35" xfId="0" applyFont="1" applyFill="1" applyBorder="1" applyAlignment="1">
      <alignment horizontal="center"/>
    </xf>
    <xf numFmtId="0" fontId="95" fillId="35" borderId="35" xfId="0" applyFont="1" applyFill="1" applyBorder="1" applyAlignment="1">
      <alignment horizontal="center"/>
    </xf>
    <xf numFmtId="0" fontId="20" fillId="35" borderId="35" xfId="0" applyFont="1" applyFill="1" applyBorder="1" applyAlignment="1">
      <alignment horizontal="center"/>
    </xf>
    <xf numFmtId="0" fontId="95" fillId="36" borderId="35" xfId="0" applyFont="1" applyFill="1" applyBorder="1" applyAlignment="1">
      <alignment horizontal="center"/>
    </xf>
    <xf numFmtId="0" fontId="20" fillId="36" borderId="35" xfId="0" applyFont="1" applyFill="1" applyBorder="1" applyAlignment="1">
      <alignment horizontal="center"/>
    </xf>
    <xf numFmtId="0" fontId="97" fillId="2" borderId="5" xfId="0" applyFont="1" applyFill="1" applyBorder="1" applyAlignment="1">
      <alignment horizontal="center"/>
    </xf>
    <xf numFmtId="0" fontId="97" fillId="2" borderId="126" xfId="0" applyFont="1" applyFill="1" applyBorder="1" applyAlignment="1">
      <alignment horizontal="center"/>
    </xf>
    <xf numFmtId="0" fontId="3" fillId="0" borderId="65" xfId="0" applyFont="1" applyBorder="1"/>
    <xf numFmtId="0" fontId="97" fillId="2" borderId="0" xfId="0" applyFont="1" applyFill="1" applyAlignment="1">
      <alignment horizontal="center"/>
    </xf>
    <xf numFmtId="0" fontId="97" fillId="0" borderId="160" xfId="0" applyFont="1" applyBorder="1" applyAlignment="1">
      <alignment horizontal="center"/>
    </xf>
    <xf numFmtId="0" fontId="3" fillId="0" borderId="108" xfId="0" applyFont="1" applyBorder="1"/>
    <xf numFmtId="164" fontId="97" fillId="2" borderId="133" xfId="0" applyNumberFormat="1" applyFont="1" applyFill="1" applyBorder="1" applyAlignment="1">
      <alignment horizontal="center"/>
    </xf>
    <xf numFmtId="0" fontId="3" fillId="0" borderId="134" xfId="0" applyFont="1" applyBorder="1"/>
    <xf numFmtId="0" fontId="3" fillId="18" borderId="0" xfId="0" applyFont="1" applyFill="1"/>
    <xf numFmtId="0" fontId="3" fillId="23" borderId="0" xfId="0" applyFont="1" applyFill="1"/>
  </cellXfs>
  <cellStyles count="1">
    <cellStyle name="Normal" xfId="0" builtinId="0"/>
  </cellStyles>
  <dxfs count="251">
    <dxf>
      <fill>
        <patternFill patternType="solid">
          <fgColor rgb="FFB7B7B7"/>
          <bgColor rgb="FFB7B7B7"/>
        </patternFill>
      </fill>
    </dxf>
    <dxf>
      <fill>
        <patternFill patternType="solid">
          <fgColor rgb="FFB7B7B7"/>
          <bgColor rgb="FFB7B7B7"/>
        </patternFill>
      </fill>
    </dxf>
    <dxf>
      <font>
        <b/>
        <color rgb="FF434343"/>
      </font>
      <fill>
        <patternFill patternType="none"/>
      </fill>
    </dxf>
    <dxf>
      <font>
        <color rgb="FFCC0000"/>
      </font>
      <fill>
        <patternFill patternType="none"/>
      </fill>
    </dxf>
    <dxf>
      <font>
        <b/>
        <color rgb="FF125E31"/>
      </font>
      <fill>
        <patternFill patternType="none"/>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93C4A6"/>
          <bgColor rgb="FF93C4A6"/>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EA9999"/>
          <bgColor rgb="FFEA9999"/>
        </patternFill>
      </fill>
    </dxf>
    <dxf>
      <fill>
        <patternFill patternType="solid">
          <fgColor rgb="FFD9D9D9"/>
          <bgColor rgb="FFD9D9D9"/>
        </patternFill>
      </fill>
    </dxf>
    <dxf>
      <fill>
        <patternFill patternType="solid">
          <fgColor rgb="FF93C4A6"/>
          <bgColor rgb="FF93C4A6"/>
        </patternFill>
      </fill>
    </dxf>
    <dxf>
      <fill>
        <patternFill patternType="solid">
          <fgColor rgb="FFCCCCCC"/>
          <bgColor rgb="FFCCCCCC"/>
        </patternFill>
      </fill>
    </dxf>
    <dxf>
      <fill>
        <patternFill patternType="solid">
          <fgColor rgb="FFCCCCCC"/>
          <bgColor rgb="FFCCCCCC"/>
        </patternFill>
      </fill>
    </dxf>
    <dxf>
      <fill>
        <patternFill patternType="solid">
          <fgColor rgb="FF93C4A6"/>
          <bgColor rgb="FF93C4A6"/>
        </patternFill>
      </fill>
    </dxf>
    <dxf>
      <fill>
        <patternFill patternType="solid">
          <fgColor rgb="FFCCCCCC"/>
          <bgColor rgb="FFCCCCCC"/>
        </patternFill>
      </fill>
    </dxf>
    <dxf>
      <fill>
        <patternFill patternType="solid">
          <fgColor rgb="FF93C4A6"/>
          <bgColor rgb="FF93C4A6"/>
        </patternFill>
      </fill>
    </dxf>
    <dxf>
      <fill>
        <patternFill patternType="solid">
          <fgColor rgb="FFCCCCCC"/>
          <bgColor rgb="FFCCCCCC"/>
        </patternFill>
      </fill>
    </dxf>
    <dxf>
      <fill>
        <patternFill patternType="solid">
          <fgColor rgb="FF93C4A6"/>
          <bgColor rgb="FF93C4A6"/>
        </patternFill>
      </fill>
    </dxf>
    <dxf>
      <fill>
        <patternFill patternType="solid">
          <fgColor rgb="FFCCCCCC"/>
          <bgColor rgb="FFCCCCCC"/>
        </patternFill>
      </fill>
    </dxf>
    <dxf>
      <fill>
        <patternFill patternType="solid">
          <fgColor rgb="FFEA9999"/>
          <bgColor rgb="FFEA9999"/>
        </patternFill>
      </fill>
    </dxf>
    <dxf>
      <fill>
        <patternFill patternType="solid">
          <fgColor rgb="FFCCCCCC"/>
          <bgColor rgb="FFCCCCCC"/>
        </patternFill>
      </fill>
    </dxf>
    <dxf>
      <fill>
        <patternFill patternType="solid">
          <fgColor rgb="FFEA9999"/>
          <bgColor rgb="FFEA9999"/>
        </patternFill>
      </fill>
    </dxf>
    <dxf>
      <fill>
        <patternFill patternType="solid">
          <fgColor rgb="FFCCCCCC"/>
          <bgColor rgb="FFCCCCCC"/>
        </patternFill>
      </fill>
    </dxf>
    <dxf>
      <fill>
        <patternFill patternType="solid">
          <fgColor rgb="FFEA9999"/>
          <bgColor rgb="FFEA9999"/>
        </patternFill>
      </fill>
    </dxf>
    <dxf>
      <fill>
        <patternFill patternType="solid">
          <fgColor rgb="FFCCCCCC"/>
          <bgColor rgb="FFCCCCCC"/>
        </patternFill>
      </fill>
    </dxf>
    <dxf>
      <fill>
        <patternFill patternType="solid">
          <fgColor rgb="FFEA9999"/>
          <bgColor rgb="FFEA9999"/>
        </patternFill>
      </fill>
    </dxf>
    <dxf>
      <fill>
        <patternFill patternType="solid">
          <fgColor rgb="FF93C4A6"/>
          <bgColor rgb="FF93C4A6"/>
        </patternFill>
      </fill>
    </dxf>
    <dxf>
      <fill>
        <patternFill patternType="solid">
          <fgColor rgb="FFCCCCCC"/>
          <bgColor rgb="FFCCCCCC"/>
        </patternFill>
      </fill>
    </dxf>
    <dxf>
      <fill>
        <patternFill patternType="solid">
          <fgColor rgb="FFCCCCCC"/>
          <bgColor rgb="FFCCCCCC"/>
        </patternFill>
      </fill>
    </dxf>
    <dxf>
      <fill>
        <patternFill patternType="solid">
          <fgColor rgb="FF93C4A6"/>
          <bgColor rgb="FF93C4A6"/>
        </patternFill>
      </fill>
    </dxf>
    <dxf>
      <fill>
        <patternFill patternType="solid">
          <fgColor rgb="FFCCCCCC"/>
          <bgColor rgb="FFCCCCCC"/>
        </patternFill>
      </fill>
    </dxf>
    <dxf>
      <fill>
        <patternFill patternType="solid">
          <fgColor rgb="FF93C4A6"/>
          <bgColor rgb="FF93C4A6"/>
        </patternFill>
      </fill>
    </dxf>
    <dxf>
      <fill>
        <patternFill patternType="solid">
          <fgColor rgb="FFCCCCCC"/>
          <bgColor rgb="FFCCCCCC"/>
        </patternFill>
      </fill>
    </dxf>
    <dxf>
      <fill>
        <patternFill patternType="solid">
          <fgColor rgb="FF93C4A6"/>
          <bgColor rgb="FF93C4A6"/>
        </patternFill>
      </fill>
    </dxf>
    <dxf>
      <fill>
        <patternFill patternType="solid">
          <fgColor rgb="FFCCCCCC"/>
          <bgColor rgb="FFCCCCCC"/>
        </patternFill>
      </fill>
    </dxf>
    <dxf>
      <fill>
        <patternFill patternType="solid">
          <fgColor rgb="FFEA9999"/>
          <bgColor rgb="FFEA9999"/>
        </patternFill>
      </fill>
    </dxf>
    <dxf>
      <fill>
        <patternFill patternType="solid">
          <fgColor rgb="FFCCCCCC"/>
          <bgColor rgb="FFCCCCCC"/>
        </patternFill>
      </fill>
    </dxf>
    <dxf>
      <fill>
        <patternFill patternType="solid">
          <fgColor rgb="FFEA9999"/>
          <bgColor rgb="FFEA9999"/>
        </patternFill>
      </fill>
    </dxf>
    <dxf>
      <fill>
        <patternFill patternType="solid">
          <fgColor rgb="FFCCCCCC"/>
          <bgColor rgb="FFCCCCCC"/>
        </patternFill>
      </fill>
    </dxf>
    <dxf>
      <fill>
        <patternFill patternType="solid">
          <fgColor rgb="FFEA9999"/>
          <bgColor rgb="FFEA9999"/>
        </patternFill>
      </fill>
    </dxf>
    <dxf>
      <fill>
        <patternFill patternType="solid">
          <fgColor rgb="FFCCCCCC"/>
          <bgColor rgb="FFCCCCCC"/>
        </patternFill>
      </fill>
    </dxf>
    <dxf>
      <fill>
        <patternFill patternType="solid">
          <fgColor rgb="FFEA9999"/>
          <bgColor rgb="FFEA9999"/>
        </patternFill>
      </fill>
    </dxf>
    <dxf>
      <font>
        <color rgb="FFA4C2F4"/>
      </font>
      <fill>
        <patternFill patternType="none"/>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ont>
        <color rgb="FFA4C2F4"/>
      </font>
      <fill>
        <patternFill patternType="none"/>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ont>
        <color rgb="FFA4C2F4"/>
      </font>
      <fill>
        <patternFill patternType="none"/>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ont>
        <color rgb="FFA4C2F4"/>
      </font>
      <fill>
        <patternFill patternType="none"/>
      </fill>
    </dxf>
    <dxf>
      <fill>
        <patternFill patternType="solid">
          <fgColor rgb="FF93C4A6"/>
          <bgColor rgb="FF93C4A6"/>
        </patternFill>
      </fill>
    </dxf>
    <dxf>
      <fill>
        <patternFill patternType="solid">
          <fgColor rgb="FFCCCCCC"/>
          <bgColor rgb="FFCCCCCC"/>
        </patternFill>
      </fill>
    </dxf>
    <dxf>
      <fill>
        <patternFill patternType="solid">
          <fgColor rgb="FFEA9999"/>
          <bgColor rgb="FFEA9999"/>
        </patternFill>
      </fill>
    </dxf>
    <dxf>
      <font>
        <color rgb="FFF9CB9C"/>
      </font>
      <fill>
        <patternFill patternType="none"/>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ont>
        <color rgb="FFF9CB9C"/>
      </font>
      <fill>
        <patternFill patternType="none"/>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ont>
        <color rgb="FFF9CB9C"/>
      </font>
      <fill>
        <patternFill patternType="none"/>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ill>
        <patternFill patternType="solid">
          <fgColor rgb="FF93C4A6"/>
          <bgColor rgb="FF93C4A6"/>
        </patternFill>
      </fill>
    </dxf>
    <dxf>
      <fill>
        <patternFill patternType="solid">
          <fgColor rgb="FFEA9999"/>
          <bgColor rgb="FFEA9999"/>
        </patternFill>
      </fill>
    </dxf>
    <dxf>
      <fill>
        <patternFill patternType="solid">
          <fgColor rgb="FFCCCCCC"/>
          <bgColor rgb="FFCCCCCC"/>
        </patternFill>
      </fill>
    </dxf>
    <dxf>
      <font>
        <color rgb="FFF9CB9C"/>
      </font>
      <fill>
        <patternFill patternType="none"/>
      </fill>
    </dxf>
    <dxf>
      <fill>
        <patternFill patternType="solid">
          <fgColor rgb="FF93C4A6"/>
          <bgColor rgb="FF93C4A6"/>
        </patternFill>
      </fill>
    </dxf>
    <dxf>
      <fill>
        <patternFill patternType="solid">
          <fgColor rgb="FFCCCCCC"/>
          <bgColor rgb="FFCCCCCC"/>
        </patternFill>
      </fill>
    </dxf>
    <dxf>
      <fill>
        <patternFill patternType="solid">
          <fgColor rgb="FFEA9999"/>
          <bgColor rgb="FFEA9999"/>
        </patternFill>
      </fill>
    </dxf>
    <dxf>
      <fill>
        <patternFill patternType="solid">
          <fgColor rgb="FF93C4A6"/>
          <bgColor rgb="FF93C4A6"/>
        </patternFill>
      </fill>
    </dxf>
    <dxf>
      <fill>
        <patternFill patternType="solid">
          <fgColor rgb="FFCCCCCC"/>
          <bgColor rgb="FFCCCCCC"/>
        </patternFill>
      </fill>
    </dxf>
    <dxf>
      <fill>
        <patternFill patternType="solid">
          <fgColor rgb="FFEA9999"/>
          <bgColor rgb="FFEA9999"/>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ont>
        <color rgb="FF000000"/>
      </font>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ont>
        <color rgb="FF000000"/>
      </font>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ont>
        <color rgb="FF000000"/>
      </font>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B6D7CA"/>
          <bgColor rgb="FFB6D7CA"/>
        </patternFill>
      </fill>
    </dxf>
    <dxf>
      <fill>
        <patternFill patternType="solid">
          <fgColor rgb="FFCCCCCC"/>
          <bgColor rgb="FFCCCCCC"/>
        </patternFill>
      </fill>
    </dxf>
    <dxf>
      <fill>
        <patternFill patternType="solid">
          <fgColor rgb="FF6AA888"/>
          <bgColor rgb="FF6AA888"/>
        </patternFill>
      </fill>
    </dxf>
    <dxf>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ont>
        <color rgb="FF000000"/>
      </font>
      <fill>
        <patternFill patternType="solid">
          <fgColor rgb="FFF4CCCC"/>
          <bgColor rgb="FFF4CCCC"/>
        </patternFill>
      </fill>
    </dxf>
    <dxf>
      <fill>
        <patternFill patternType="solid">
          <fgColor rgb="FFCCCCCC"/>
          <bgColor rgb="FFCCCCCC"/>
        </patternFill>
      </fill>
    </dxf>
    <dxf>
      <fill>
        <patternFill patternType="solid">
          <fgColor rgb="FFE06666"/>
          <bgColor rgb="FFE06666"/>
        </patternFill>
      </fill>
    </dxf>
    <dxf>
      <font>
        <b/>
      </font>
      <fill>
        <patternFill patternType="solid">
          <fgColor rgb="FF999999"/>
          <bgColor rgb="FF999999"/>
        </patternFill>
      </fill>
    </dxf>
    <dxf>
      <font>
        <b/>
      </font>
      <fill>
        <patternFill patternType="solid">
          <fgColor rgb="FFCCCCCC"/>
          <bgColor rgb="FFCCCCCC"/>
        </patternFill>
      </fill>
    </dxf>
    <dxf>
      <font>
        <b/>
      </font>
      <fill>
        <patternFill patternType="solid">
          <fgColor rgb="FFFFFFFF"/>
          <bgColor rgb="FFFFFFFF"/>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ont>
        <b/>
      </font>
      <fill>
        <patternFill patternType="solid">
          <fgColor rgb="FFFFFFFF"/>
          <bgColor rgb="FFFFFFFF"/>
        </patternFill>
      </fill>
    </dxf>
    <dxf>
      <fill>
        <patternFill patternType="solid">
          <fgColor rgb="FFFFFFFF"/>
          <bgColor rgb="FFFFFFFF"/>
        </patternFill>
      </fill>
    </dxf>
    <dxf>
      <fill>
        <patternFill patternType="solid">
          <fgColor rgb="FF93C4A6"/>
          <bgColor rgb="FF93C4A6"/>
        </patternFill>
      </fill>
    </dxf>
    <dxf>
      <font>
        <b/>
      </font>
      <fill>
        <patternFill patternType="solid">
          <fgColor rgb="FFB6D7CA"/>
          <bgColor rgb="FFB6D7CA"/>
        </patternFill>
      </fill>
    </dxf>
    <dxf>
      <font>
        <b/>
      </font>
      <fill>
        <patternFill patternType="solid">
          <fgColor rgb="FF6AA888"/>
          <bgColor rgb="FF6AA888"/>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D9D9D9"/>
          <bgColor rgb="FFD9D9D9"/>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30">
    <tableStyle name="R2_G1-style" pivot="0" count="3" xr9:uid="{00000000-0011-0000-FFFF-FFFF00000000}">
      <tableStyleElement type="headerRow" dxfId="250"/>
      <tableStyleElement type="firstRowStripe" dxfId="249"/>
      <tableStyleElement type="secondRowStripe" dxfId="248"/>
    </tableStyle>
    <tableStyle name="R2_G1-style 2" pivot="0" count="2" xr9:uid="{00000000-0011-0000-FFFF-FFFF01000000}">
      <tableStyleElement type="firstRowStripe" dxfId="247"/>
      <tableStyleElement type="secondRowStripe" dxfId="246"/>
    </tableStyle>
    <tableStyle name="R2_G2-style" pivot="0" count="3" xr9:uid="{00000000-0011-0000-FFFF-FFFF02000000}">
      <tableStyleElement type="headerRow" dxfId="245"/>
      <tableStyleElement type="firstRowStripe" dxfId="244"/>
      <tableStyleElement type="secondRowStripe" dxfId="243"/>
    </tableStyle>
    <tableStyle name="R2_G2-style 2" pivot="0" count="2" xr9:uid="{00000000-0011-0000-FFFF-FFFF03000000}">
      <tableStyleElement type="firstRowStripe" dxfId="242"/>
      <tableStyleElement type="secondRowStripe" dxfId="241"/>
    </tableStyle>
    <tableStyle name="R2_G2-style 3" pivot="0" count="2" xr9:uid="{00000000-0011-0000-FFFF-FFFF04000000}">
      <tableStyleElement type="firstRowStripe" dxfId="240"/>
      <tableStyleElement type="secondRowStripe" dxfId="239"/>
    </tableStyle>
    <tableStyle name="R2_G3-style" pivot="0" count="3" xr9:uid="{00000000-0011-0000-FFFF-FFFF05000000}">
      <tableStyleElement type="headerRow" dxfId="238"/>
      <tableStyleElement type="firstRowStripe" dxfId="237"/>
      <tableStyleElement type="secondRowStripe" dxfId="236"/>
    </tableStyle>
    <tableStyle name="R2_G3-style 2" pivot="0" count="2" xr9:uid="{00000000-0011-0000-FFFF-FFFF06000000}">
      <tableStyleElement type="firstRowStripe" dxfId="235"/>
      <tableStyleElement type="secondRowStripe" dxfId="234"/>
    </tableStyle>
    <tableStyle name="R2_G3-style 3" pivot="0" count="2" xr9:uid="{00000000-0011-0000-FFFF-FFFF07000000}">
      <tableStyleElement type="firstRowStripe" dxfId="233"/>
      <tableStyleElement type="secondRowStripe" dxfId="232"/>
    </tableStyle>
    <tableStyle name="R2_G4-style" pivot="0" count="2" xr9:uid="{00000000-0011-0000-FFFF-FFFF08000000}">
      <tableStyleElement type="firstRowStripe" dxfId="231"/>
      <tableStyleElement type="secondRowStripe" dxfId="230"/>
    </tableStyle>
    <tableStyle name="R2_G4-style 2" pivot="0" count="2" xr9:uid="{00000000-0011-0000-FFFF-FFFF09000000}">
      <tableStyleElement type="firstRowStripe" dxfId="229"/>
      <tableStyleElement type="secondRowStripe" dxfId="228"/>
    </tableStyle>
    <tableStyle name="R4_G1-style" pivot="0" count="2" xr9:uid="{00000000-0011-0000-FFFF-FFFF0A000000}">
      <tableStyleElement type="firstRowStripe" dxfId="227"/>
      <tableStyleElement type="secondRowStripe" dxfId="226"/>
    </tableStyle>
    <tableStyle name="R4_G2-style" pivot="0" count="2" xr9:uid="{00000000-0011-0000-FFFF-FFFF0B000000}">
      <tableStyleElement type="firstRowStripe" dxfId="225"/>
      <tableStyleElement type="secondRowStripe" dxfId="224"/>
    </tableStyle>
    <tableStyle name="R4_G3-style" pivot="0" count="2" xr9:uid="{00000000-0011-0000-FFFF-FFFF0C000000}">
      <tableStyleElement type="firstRowStripe" dxfId="223"/>
      <tableStyleElement type="secondRowStripe" dxfId="222"/>
    </tableStyle>
    <tableStyle name="R4_G4-style" pivot="0" count="2" xr9:uid="{00000000-0011-0000-FFFF-FFFF0D000000}">
      <tableStyleElement type="firstRowStripe" dxfId="221"/>
      <tableStyleElement type="secondRowStripe" dxfId="220"/>
    </tableStyle>
    <tableStyle name="Captains Card 1-style" pivot="0" count="2" xr9:uid="{00000000-0011-0000-FFFF-FFFF0E000000}">
      <tableStyleElement type="firstRowStripe" dxfId="219"/>
      <tableStyleElement type="secondRowStripe" dxfId="218"/>
    </tableStyle>
    <tableStyle name="Captains Card 2-style" pivot="0" count="2" xr9:uid="{00000000-0011-0000-FFFF-FFFF0F000000}">
      <tableStyleElement type="firstRowStripe" dxfId="217"/>
      <tableStyleElement type="secondRowStripe" dxfId="216"/>
    </tableStyle>
    <tableStyle name="Master Input-style" pivot="0" count="3" xr9:uid="{00000000-0011-0000-FFFF-FFFF10000000}">
      <tableStyleElement type="headerRow" dxfId="215"/>
      <tableStyleElement type="firstRowStripe" dxfId="214"/>
      <tableStyleElement type="secondRowStripe" dxfId="213"/>
    </tableStyle>
    <tableStyle name="Master Input-style 2" pivot="0" count="2" xr9:uid="{00000000-0011-0000-FFFF-FFFF11000000}">
      <tableStyleElement type="firstRowStripe" dxfId="212"/>
      <tableStyleElement type="secondRowStripe" dxfId="211"/>
    </tableStyle>
    <tableStyle name="Master Input-style 3" pivot="0" count="3" xr9:uid="{00000000-0011-0000-FFFF-FFFF12000000}">
      <tableStyleElement type="headerRow" dxfId="210"/>
      <tableStyleElement type="firstRowStripe" dxfId="209"/>
      <tableStyleElement type="secondRowStripe" dxfId="208"/>
    </tableStyle>
    <tableStyle name="Course List-style" pivot="0" count="2" xr9:uid="{00000000-0011-0000-FFFF-FFFF13000000}">
      <tableStyleElement type="firstRowStripe" dxfId="207"/>
      <tableStyleElement type="secondRowStripe" dxfId="206"/>
    </tableStyle>
    <tableStyle name="Course List-style 2" pivot="0" count="2" xr9:uid="{00000000-0011-0000-FFFF-FFFF14000000}">
      <tableStyleElement type="firstRowStripe" dxfId="205"/>
      <tableStyleElement type="secondRowStripe" dxfId="204"/>
    </tableStyle>
    <tableStyle name="ALL SCORES-style" pivot="0" count="3" xr9:uid="{00000000-0011-0000-FFFF-FFFF15000000}">
      <tableStyleElement type="headerRow" dxfId="203"/>
      <tableStyleElement type="firstRowStripe" dxfId="202"/>
      <tableStyleElement type="secondRowStripe" dxfId="201"/>
    </tableStyle>
    <tableStyle name="Locked Bets Setup-style" pivot="0" count="3" xr9:uid="{00000000-0011-0000-FFFF-FFFF16000000}">
      <tableStyleElement type="headerRow" dxfId="200"/>
      <tableStyleElement type="firstRowStripe" dxfId="199"/>
      <tableStyleElement type="secondRowStripe" dxfId="198"/>
    </tableStyle>
    <tableStyle name="Locked Bets Setup-style 2" pivot="0" count="2" xr9:uid="{00000000-0011-0000-FFFF-FFFF17000000}">
      <tableStyleElement type="firstRowStripe" dxfId="197"/>
      <tableStyleElement type="secondRowStripe" dxfId="196"/>
    </tableStyle>
    <tableStyle name="Locked Bets Setup-style 3" pivot="0" count="2" xr9:uid="{00000000-0011-0000-FFFF-FFFF18000000}">
      <tableStyleElement type="firstRowStripe" dxfId="195"/>
      <tableStyleElement type="secondRowStripe" dxfId="194"/>
    </tableStyle>
    <tableStyle name="Locked Bets Setup-style 4" pivot="0" count="2" xr9:uid="{00000000-0011-0000-FFFF-FFFF19000000}">
      <tableStyleElement type="firstRowStripe" dxfId="193"/>
      <tableStyleElement type="secondRowStripe" dxfId="192"/>
    </tableStyle>
    <tableStyle name="Locked Bets Setup-style 5" pivot="0" count="2" xr9:uid="{00000000-0011-0000-FFFF-FFFF1A000000}">
      <tableStyleElement type="firstRowStripe" dxfId="191"/>
      <tableStyleElement type="secondRowStripe" dxfId="190"/>
    </tableStyle>
    <tableStyle name="Locked Bets Setup-style 6" pivot="0" count="2" xr9:uid="{00000000-0011-0000-FFFF-FFFF1B000000}">
      <tableStyleElement type="firstRowStripe" dxfId="189"/>
      <tableStyleElement type="secondRowStripe" dxfId="188"/>
    </tableStyle>
    <tableStyle name="Locked Bets Setup-style 7" pivot="0" count="2" xr9:uid="{00000000-0011-0000-FFFF-FFFF1C000000}">
      <tableStyleElement type="firstRowStripe" dxfId="187"/>
      <tableStyleElement type="secondRowStripe" dxfId="186"/>
    </tableStyle>
    <tableStyle name="Locked Bets Setup-style 8" pivot="0" count="2" xr9:uid="{00000000-0011-0000-FFFF-FFFF1D000000}">
      <tableStyleElement type="firstRowStripe" dxfId="185"/>
      <tableStyleElement type="secondRowStripe" dxfId="18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219075</xdr:colOff>
      <xdr:row>1</xdr:row>
      <xdr:rowOff>28575</xdr:rowOff>
    </xdr:from>
    <xdr:ext cx="342900" cy="4762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15</xdr:col>
      <xdr:colOff>533400</xdr:colOff>
      <xdr:row>1</xdr:row>
      <xdr:rowOff>57150</xdr:rowOff>
    </xdr:from>
    <xdr:ext cx="2619375" cy="3609975"/>
    <xdr:pic>
      <xdr:nvPicPr>
        <xdr:cNvPr id="2" name="image2.png" title="Image">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P1:U1"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R2_G1-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Q8:Y8" headerRowCount="0">
  <tableColumns count="9">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s>
  <tableStyleInfo name="R2_G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P1:U1" headerRowCount="0">
  <tableColumns count="6">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s>
  <tableStyleInfo name="R2_G2-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Q7:Y8" headerRowCount="0">
  <tableColumns count="9">
    <tableColumn id="1" xr3:uid="{00000000-0010-0000-0300-000001000000}" name="Column1"/>
    <tableColumn id="2" xr3:uid="{00000000-0010-0000-0300-000002000000}" name="Column2"/>
    <tableColumn id="3" xr3:uid="{00000000-0010-0000-0300-000003000000}" name="Column3"/>
    <tableColumn id="4" xr3:uid="{00000000-0010-0000-0300-000004000000}" name="Column4"/>
    <tableColumn id="5" xr3:uid="{00000000-0010-0000-0300-000005000000}" name="Column5"/>
    <tableColumn id="6" xr3:uid="{00000000-0010-0000-0300-000006000000}" name="Column6"/>
    <tableColumn id="7" xr3:uid="{00000000-0010-0000-0300-000007000000}" name="Column7"/>
    <tableColumn id="8" xr3:uid="{00000000-0010-0000-0300-000008000000}" name="Column8"/>
    <tableColumn id="9" xr3:uid="{00000000-0010-0000-0300-000009000000}" name="Column9"/>
  </tableColumns>
  <tableStyleInfo name="R2_G2-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E12:O13" headerRowCount="0">
  <tableColumns count="11">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s>
  <tableStyleInfo name="R2_G2-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P1:U1" headerRowCount="0">
  <tableColumns count="6">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s>
  <tableStyleInfo name="R2_G3-style" showFirstColumn="1" showLastColumn="1" showRowStripes="1" showColumnStripes="0"/>
  <extLst>
    <ext uri="GoogleSheetsCustomDataVersion1">
      <go:sheetsCustomData xmlns:go="http://customooxmlschemas.google.com/" headerRowCount="1"/>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Q7:Y8" headerRowCount="0">
  <tableColumns count="9">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s>
  <tableStyleInfo name="R2_G3-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E12:O13" headerRowCount="0">
  <tableColumns count="11">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s>
  <tableStyleInfo name="R2_G3-style 3"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E6:O8" headerRowCount="0">
  <tableColumns count="11">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s>
  <tableStyleInfo name="R2_G4-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Q8:Y8" headerRowCount="0">
  <tableColumns count="9">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s>
  <tableStyleInfo name="R2_G4-style 2"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O6:O8" headerRowCount="0">
  <tableColumns count="1">
    <tableColumn id="1" xr3:uid="{00000000-0010-0000-0A00-000001000000}" name="Column1"/>
  </tableColumns>
  <tableStyleInfo name="R4_G1-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O6:O8" headerRowCount="0">
  <tableColumns count="1">
    <tableColumn id="1" xr3:uid="{00000000-0010-0000-0B00-000001000000}" name="Column1"/>
  </tableColumns>
  <tableStyleInfo name="R4_G2-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O6:O8" headerRowCount="0">
  <tableColumns count="1">
    <tableColumn id="1" xr3:uid="{00000000-0010-0000-0C00-000001000000}" name="Column1"/>
  </tableColumns>
  <tableStyleInfo name="R4_G3-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O6:O8" headerRowCount="0">
  <tableColumns count="1">
    <tableColumn id="1" xr3:uid="{00000000-0010-0000-0D00-000001000000}" name="Column1"/>
  </tableColumns>
  <tableStyleInfo name="R4_G4-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A5:N5" headerRowCount="0">
  <tableColumns count="14">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s>
  <tableStyleInfo name="Captains Card 1-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A5:N5" headerRowCount="0">
  <tableColumns count="14">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s>
  <tableStyleInfo name="Captains Card 2-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A10:L18" headerRowCount="0">
  <tableColumns count="12">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 id="12" xr3:uid="{00000000-0010-0000-1000-00000C000000}" name="Column12"/>
  </tableColumns>
  <tableStyleInfo name="Master Input-style" showFirstColumn="1" showLastColumn="1" showRowStripes="1" showColumnStripes="0"/>
  <extLst>
    <ext uri="GoogleSheetsCustomDataVersion1">
      <go:sheetsCustomData xmlns:go="http://customooxmlschemas.google.com/" headerRowCount="1"/>
    </ext>
  </extLst>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M11:N18" headerRowCount="0">
  <tableColumns count="2">
    <tableColumn id="1" xr3:uid="{00000000-0010-0000-1100-000001000000}" name="Column1"/>
    <tableColumn id="2" xr3:uid="{00000000-0010-0000-1100-000002000000}" name="Column2"/>
  </tableColumns>
  <tableStyleInfo name="Master Input-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A19:M28" headerRowCount="0">
  <tableColumns count="13">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s>
  <tableStyleInfo name="Master Input-style 3"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A3:W20" headerRowCount="0">
  <tableColumns count="23">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 id="23" xr3:uid="{00000000-0010-0000-1300-000017000000}" name="Column23"/>
  </tableColumns>
  <tableStyleInfo name="Course List-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X3:AA20" headerRowCount="0">
  <tableColumns count="4">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s>
  <tableStyleInfo name="Course List-style 2"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A1" headerRowCount="0">
  <tableColumns count="1">
    <tableColumn id="1" xr3:uid="{00000000-0010-0000-1500-000001000000}" name="Column1"/>
  </tableColumns>
  <tableStyleInfo name="ALL SCORES-style" showFirstColumn="1" showLastColumn="1" showRowStripes="1" showColumnStripes="0"/>
  <extLst>
    <ext uri="GoogleSheetsCustomDataVersion1">
      <go:sheetsCustomData xmlns:go="http://customooxmlschemas.google.com/" headerRowCount="1"/>
    </ext>
  </extLst>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A1:D1" headerRowCount="0">
  <tableColumns count="4">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s>
  <tableStyleInfo name="Locked Bets Setup-style" showFirstColumn="1" showLastColumn="1" showRowStripes="1" showColumnStripes="0"/>
  <extLst>
    <ext uri="GoogleSheetsCustomDataVersion1">
      <go:sheetsCustomData xmlns:go="http://customooxmlschemas.google.com/" headerRowCount="1"/>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A3:B20" headerRowCount="0">
  <tableColumns count="2">
    <tableColumn id="1" xr3:uid="{00000000-0010-0000-1700-000001000000}" name="Column1"/>
    <tableColumn id="2" xr3:uid="{00000000-0010-0000-1700-000002000000}" name="Column2"/>
  </tableColumns>
  <tableStyleInfo name="Locked Bets Setup-style 2"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C3:D20" headerRowCount="0">
  <tableColumns count="2">
    <tableColumn id="1" xr3:uid="{00000000-0010-0000-1800-000001000000}" name="Column1"/>
    <tableColumn id="2" xr3:uid="{00000000-0010-0000-1800-000002000000}" name="Column2"/>
  </tableColumns>
  <tableStyleInfo name="Locked Bets Setup-style 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E3:F20" headerRowCount="0">
  <tableColumns count="2">
    <tableColumn id="1" xr3:uid="{00000000-0010-0000-1900-000001000000}" name="Column1"/>
    <tableColumn id="2" xr3:uid="{00000000-0010-0000-1900-000002000000}" name="Column2"/>
  </tableColumns>
  <tableStyleInfo name="Locked Bets Setup-style 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G3:G20" headerRowCount="0">
  <tableColumns count="1">
    <tableColumn id="1" xr3:uid="{00000000-0010-0000-1A00-000001000000}" name="Column1"/>
  </tableColumns>
  <tableStyleInfo name="Locked Bets Setup-style 5"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H3:H20" headerRowCount="0">
  <tableColumns count="1">
    <tableColumn id="1" xr3:uid="{00000000-0010-0000-1B00-000001000000}" name="Column1"/>
  </tableColumns>
  <tableStyleInfo name="Locked Bets Setup-style 6"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I3:K20" headerRowCount="0">
  <tableColumns count="3">
    <tableColumn id="1" xr3:uid="{00000000-0010-0000-1C00-000001000000}" name="Column1"/>
    <tableColumn id="2" xr3:uid="{00000000-0010-0000-1C00-000002000000}" name="Column2"/>
    <tableColumn id="3" xr3:uid="{00000000-0010-0000-1C00-000003000000}" name="Column3"/>
  </tableColumns>
  <tableStyleInfo name="Locked Bets Setup-style 7"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L3:L20" headerRowCount="0">
  <tableColumns count="1">
    <tableColumn id="1" xr3:uid="{00000000-0010-0000-1D00-000001000000}" name="Column1"/>
  </tableColumns>
  <tableStyleInfo name="Locked Bets Setup-style 8"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30.xml"/><Relationship Id="rId3" Type="http://schemas.openxmlformats.org/officeDocument/2006/relationships/table" Target="../tables/table25.xml"/><Relationship Id="rId7" Type="http://schemas.openxmlformats.org/officeDocument/2006/relationships/table" Target="../tables/table29.xml"/><Relationship Id="rId2" Type="http://schemas.openxmlformats.org/officeDocument/2006/relationships/table" Target="../tables/table24.xml"/><Relationship Id="rId1" Type="http://schemas.openxmlformats.org/officeDocument/2006/relationships/table" Target="../tables/table23.xml"/><Relationship Id="rId6" Type="http://schemas.openxmlformats.org/officeDocument/2006/relationships/table" Target="../tables/table28.xml"/><Relationship Id="rId5" Type="http://schemas.openxmlformats.org/officeDocument/2006/relationships/table" Target="../tables/table27.xml"/><Relationship Id="rId4"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outlinePr summaryBelow="0" summaryRight="0"/>
    <pageSetUpPr fitToPage="1"/>
  </sheetPr>
  <dimension ref="A1:K100"/>
  <sheetViews>
    <sheetView showGridLines="0" tabSelected="1" workbookViewId="0">
      <pane ySplit="5" topLeftCell="A6" activePane="bottomLeft" state="frozen"/>
      <selection pane="bottomLeft" activeCell="A7" sqref="A7:K7"/>
    </sheetView>
  </sheetViews>
  <sheetFormatPr defaultColWidth="17.26953125" defaultRowHeight="15" customHeight="1"/>
  <cols>
    <col min="1" max="1" width="0.81640625" customWidth="1"/>
    <col min="2" max="10" width="3.7265625" customWidth="1"/>
    <col min="11" max="11" width="0.81640625" customWidth="1"/>
  </cols>
  <sheetData>
    <row r="1" spans="1:11" ht="7.5" customHeight="1">
      <c r="A1" s="1">
        <v>0</v>
      </c>
      <c r="B1" s="1"/>
      <c r="C1" s="1"/>
      <c r="D1" s="2"/>
      <c r="E1" s="1128" t="s">
        <v>0</v>
      </c>
      <c r="F1" s="1129"/>
      <c r="G1" s="1129"/>
      <c r="H1" s="2"/>
      <c r="I1" s="1"/>
      <c r="J1" s="2"/>
      <c r="K1" s="2"/>
    </row>
    <row r="2" spans="1:11" ht="11.25" customHeight="1">
      <c r="A2" s="1"/>
      <c r="B2" s="1"/>
      <c r="C2" s="1130" t="s">
        <v>1</v>
      </c>
      <c r="D2" s="1131"/>
      <c r="E2" s="1129"/>
      <c r="F2" s="1129"/>
      <c r="G2" s="1129"/>
      <c r="H2" s="1132" t="s">
        <v>2</v>
      </c>
      <c r="I2" s="1133"/>
      <c r="J2" s="2"/>
      <c r="K2" s="2"/>
    </row>
    <row r="3" spans="1:11" ht="30" customHeight="1">
      <c r="A3" s="4"/>
      <c r="B3" s="4"/>
      <c r="C3" s="1134">
        <f ca="1">IF(AND(SUM(E10,E14,E18,E22,E29,E33,E37,E41,E45,E49,E53,E57,E64,E68,E72,E76,B81:B98)=41.5,SUM(G10,G14,G18,G22,G29,G33,G37,G41,G45,G49,G53,G57,G64,G68,G72,G76,J81:J98)=41.5),
SUM(E10,E14,E18,E22,E29,E33,E37,E41,E45,E49,E53,E57,E64,E68,E72,E76,B81:B98)+C100,
SUM(E10,E14,E18,E22,E29,E33,E37,E41,E45,E49,E53,E57,E64,E68,E72,E76,B81:B98))</f>
        <v>45.5</v>
      </c>
      <c r="D3" s="1131"/>
      <c r="E3" s="5"/>
      <c r="F3" s="6"/>
      <c r="G3" s="6"/>
      <c r="H3" s="1135">
        <f ca="1">IF(AND(SUM(E10,E14,E18,E22,E29,E33,E37,E41,E45,E49,E53,E57,E64,E68,E72,E76,B81:B98)=41.5,SUM(G10,G14,G18,G22,G29,G33,G37,G41,G45,G49,G53,G57,G64,G68,G72,G76,J81:J98)=41.5),
SUM(G10,G14,G18,G22,G29,G33,G37,G41,G45,G49,G53,G57,G64,G68,G72,G76,J81:J98)+H100,
SUM(G10,G14,G18,G22,G29,G33,G37,G41,G45,G49,G53,G57,G64,G68,G72,G76,J81:J98))</f>
        <v>37.5</v>
      </c>
      <c r="I3" s="1133"/>
      <c r="J3" s="7"/>
      <c r="K3" s="5"/>
    </row>
    <row r="4" spans="1:11" ht="11.25" customHeight="1">
      <c r="A4" s="4"/>
      <c r="B4" s="4"/>
      <c r="C4" s="1130" t="s">
        <v>3</v>
      </c>
      <c r="D4" s="1131"/>
      <c r="E4" s="1136" t="str">
        <f ca="1">IF(AND(C3+H3&gt;83, C3&gt;H3),"&lt;&lt; Tie Breaker", IF(AND(C3+H3&gt;83, C3&lt;H3),"Tie Breaker &gt;&gt;","Pts Avail: "&amp;83-C3-H3))</f>
        <v>Pts Avail: 0</v>
      </c>
      <c r="F4" s="1129"/>
      <c r="G4" s="1129"/>
      <c r="H4" s="1132" t="s">
        <v>4</v>
      </c>
      <c r="I4" s="1133"/>
      <c r="J4" s="8"/>
      <c r="K4" s="8"/>
    </row>
    <row r="5" spans="1:11" ht="6" customHeight="1">
      <c r="A5" s="4"/>
      <c r="B5" s="4"/>
      <c r="C5" s="8"/>
      <c r="D5" s="2"/>
      <c r="E5" s="9"/>
      <c r="F5" s="9"/>
      <c r="G5" s="9"/>
      <c r="H5" s="2"/>
      <c r="I5" s="8"/>
      <c r="J5" s="8"/>
      <c r="K5" s="8"/>
    </row>
    <row r="6" spans="1:11" ht="11.25" customHeight="1">
      <c r="A6" s="10"/>
      <c r="B6" s="1137" t="str">
        <f>'Master Input'!E6</f>
        <v>Sundance - Blue</v>
      </c>
      <c r="C6" s="1129"/>
      <c r="D6" s="1129"/>
      <c r="E6" s="1129"/>
      <c r="F6" s="11"/>
      <c r="G6" s="1137" t="str">
        <f>'Master Input'!F6</f>
        <v>Dirty Dozen</v>
      </c>
      <c r="H6" s="1129"/>
      <c r="I6" s="1129"/>
      <c r="J6" s="1129"/>
      <c r="K6" s="10"/>
    </row>
    <row r="7" spans="1:11" ht="11.25" customHeight="1">
      <c r="A7" s="1138" t="s">
        <v>5</v>
      </c>
      <c r="B7" s="1139"/>
      <c r="C7" s="1139"/>
      <c r="D7" s="1139"/>
      <c r="E7" s="1139"/>
      <c r="F7" s="1139"/>
      <c r="G7" s="1139"/>
      <c r="H7" s="1139"/>
      <c r="I7" s="1139"/>
      <c r="J7" s="1139"/>
      <c r="K7" s="1139"/>
    </row>
    <row r="8" spans="1:11" ht="7.5" customHeight="1">
      <c r="A8" s="4"/>
      <c r="B8" s="12" t="str">
        <f>IF(F8=0,"",IF(AND(F8&lt;9,VLOOKUP("Match - Front",'R1_G1'!$B$19:$N$19,12-COUNTIF('R1_G1'!$E$19:$M$19,"."))*-1=0),"AS",
IF(AND(F8&lt;9,VLOOKUP("Match - Front",'R1_G1'!$B$19:$N$19,12-COUNTIF('R1_G1'!$E$19:$M$19,"."))*-1&gt;0), "+"
&amp; VLOOKUP("Match - Front",'R1_G1'!$B$19:$N$19,12-COUNTIF('R1_G1'!$E$19:$M$19,"."))*-1,
IF(F8&gt;8,1-'R1_G1'!$N$19,
VLOOKUP("Match - Front",'R1_G1'!$B$19:$N$19,12-COUNTIF('R1_G1'!$E$19:$M$19,"."))*-1))))</f>
        <v/>
      </c>
      <c r="C8" s="13" t="str">
        <f>IF(F8&lt;10,"",IF(AND(F8&lt;18,VLOOKUP("Match - Overall",'R1_G1'!$P$19:$Z$19,10-COUNTIF('R1_G1'!$P$19:$Z$19,"."))*-1=0),"AS",
IF(AND(F8&lt;18,VLOOKUP("Match - Overall",'R1_G1'!$P$19:$Z$19,10-COUNTIF('R1_G1'!$P$19:$Z$19,"."))*-1&gt;0), "+"
&amp; VLOOKUP("Match - Overall",'R1_G1'!$P$19:$Z$19,10-COUNTIF('R1_G1'!$P$19:$Z$19,"."))*-1,
IF(F8&gt;17,1-'R1_G1'!$Z$19,
VLOOKUP("Match - Overall",'R1_G1'!$P$19:$Z$19,10-COUNTIF('R1_G1'!$P$19:$Z$19,"."))*-1))))</f>
        <v/>
      </c>
      <c r="D8" s="14" t="str">
        <f>IF(F8&lt;10,"",IF(AND(F8&lt;18,VLOOKUP("Match - Back",'R1_G1'!$P$20:$Z$20,10-COUNTIF('R1_G1'!$P$20:$Z$20,"."))*-1=0),"AS",
IF(AND(F8&lt;18,VLOOKUP("Match - Back",'R1_G1'!$P$20:$Z$20,10-COUNTIF('R1_G1'!$P$20:$Z$20,"."))*-1&gt;0), "+"
&amp; VLOOKUP("Match - Back",'R1_G1'!$P$20:$Z$20,10-COUNTIF('R1_G1'!$P$20:$Z$20,"."))*-1,
IF(F8&gt;17,1-'R1_G1'!$Z$20,
VLOOKUP("Match - Back",'R1_G1'!$P$20:$Z$20,10-COUNTIF('R1_G1'!$P$20:$Z$20,"."))*-1))))</f>
        <v/>
      </c>
      <c r="E8" s="14" t="str">
        <f>IF(AND(F8&gt;8,F8&lt;18),B8, IF(F8=18,SUM(B8:D8),""))</f>
        <v/>
      </c>
      <c r="F8" s="13"/>
      <c r="G8" s="13"/>
      <c r="H8" s="14"/>
      <c r="I8" s="13"/>
      <c r="J8" s="12"/>
      <c r="K8" s="15"/>
    </row>
    <row r="9" spans="1:11" ht="7.5" customHeight="1">
      <c r="A9" s="4"/>
      <c r="B9" s="1140" t="str">
        <f>'Match Selection'!G4</f>
        <v>R-Mac</v>
      </c>
      <c r="C9" s="1141"/>
      <c r="D9" s="1140" t="str">
        <f>'Match Selection'!G5</f>
        <v>House</v>
      </c>
      <c r="E9" s="1141"/>
      <c r="F9" s="13" t="s">
        <v>6</v>
      </c>
      <c r="G9" s="1142" t="str">
        <f>'Match Selection'!D4</f>
        <v>Elger</v>
      </c>
      <c r="H9" s="1143"/>
      <c r="I9" s="1144" t="str">
        <f>'Match Selection'!D5</f>
        <v>T-Mo</v>
      </c>
      <c r="J9" s="1141"/>
      <c r="K9" s="15"/>
    </row>
    <row r="10" spans="1:11" ht="7.5" customHeight="1">
      <c r="A10" s="4"/>
      <c r="B10" s="16">
        <f>IF(F10=0,"",
IF(AND(F10&lt;9,'R1_G1'!N20='R1_G1'!N19),"AS",
IF(AND(F10&lt;9,'R1_G1'!N20&gt;'R1_G1'!N19),"+"&amp;'R1_G1'!N20-'R1_G1'!N19,
IF(AND(F10&lt;9,'R1_G1'!N20&lt;'R1_G1'!N19), 'R1_G1'!N20-'R1_G1'!N19,
1-'R1_G1'!N21
))))</f>
        <v>0</v>
      </c>
      <c r="C10" s="17">
        <f>IF(F10&lt;10,"",
IF(AND(F10&lt;18,'R1_G1'!AA20='R1_G1'!AA19),"AS",
IF(AND(F10&lt;18,'R1_G1'!AA20&gt;'R1_G1'!AA19),"+"&amp;'R1_G1'!AA20-'R1_G1'!AA19,
IF(AND(F10&lt;18,'R1_G1'!AA20&lt;'R1_G1'!AA19), 'R1_G1'!AA20-'R1_G1'!AA19,
2-'R1_G1'!AA21
))))</f>
        <v>0</v>
      </c>
      <c r="D10" s="18">
        <f>IF(F10&lt;10,"",
IF(AND(F10&lt;18,'R1_G1'!Z20='R1_G1'!Z19),"AS",
IF(AND(F10&lt;18,'R1_G1'!Z20&gt;'R1_G1'!Z19),"+"&amp;'R1_G1'!Z20-'R1_G1'!Z19,
IF(AND(F10&lt;18,'R1_G1'!Z20&lt;'R1_G1'!Z19), 'R1_G1'!Z20-'R1_G1'!Z19,
1-'R1_G1'!Z21
))))</f>
        <v>1</v>
      </c>
      <c r="E10" s="19">
        <f>IF(AND(F10&gt;8,F10&lt;18),B10, IF(F10=18,SUM(B10:D10),""))</f>
        <v>1</v>
      </c>
      <c r="F10" s="12">
        <f>21-COUNTIF('R1_G1'!$E$23:$Y$23,"")</f>
        <v>18</v>
      </c>
      <c r="G10" s="19">
        <f>IF(AND(F10&gt;8,F10&lt;18),J10, IF(F10=18,SUM(H10:J10),""))</f>
        <v>3</v>
      </c>
      <c r="H10" s="20">
        <f>IF(F10&lt;10,"",
IF(AND(F10&lt;18,'R1_G1'!Z20='R1_G1'!Z19),"AS",
IF(AND(F10&lt;18,'R1_G1'!Z20&lt;'R1_G1'!Z19),"+"&amp;'R1_G1'!Z19-'R1_G1'!Z20,
IF(AND(F10&lt;18,'R1_G1'!Z20&gt;'R1_G1'!Z19), 'R1_G1'!Z19-'R1_G1'!Z20,
'R1_G1'!Z21
))))</f>
        <v>0</v>
      </c>
      <c r="I10" s="20">
        <f>IF(F10&lt;10,"",
IF(AND(F10&lt;18,'R1_G1'!AA20='R1_G1'!AA19),"AS",
IF(AND(F10&lt;18,'R1_G1'!AA20&lt;'R1_G1'!AA19),"+"&amp;'R1_G1'!AA19-'R1_G1'!AA20,
IF(AND(F10&lt;18,'R1_G1'!AA20&gt;'R1_G1'!AA19), 'R1_G1'!AA19-'R1_G1'!AA20,
'R1_G1'!AA21
))))</f>
        <v>2</v>
      </c>
      <c r="J10" s="16">
        <f>IF(F10=0,"",
IF(AND(F10&lt;9,'R1_G1'!N20='R1_G1'!N19),"AS",
IF(AND(F10&lt;9,'R1_G1'!N20&lt;'R1_G1'!N19),"+"&amp;'R1_G1'!N19-'R1_G1'!N20,
IF(AND(F10&lt;9,'R1_G1'!N20&gt;'R1_G1'!N19), 'R1_G1'!N19-'R1_G1'!N20,
'R1_G1'!N21
))))</f>
        <v>1</v>
      </c>
      <c r="K10" s="15"/>
    </row>
    <row r="11" spans="1:11" ht="7.5" customHeight="1">
      <c r="A11" s="21"/>
      <c r="B11" s="22" t="s">
        <v>7</v>
      </c>
      <c r="C11" s="22" t="s">
        <v>8</v>
      </c>
      <c r="D11" s="22" t="s">
        <v>9</v>
      </c>
      <c r="E11" s="23" t="s">
        <v>10</v>
      </c>
      <c r="F11" s="24"/>
      <c r="G11" s="23" t="s">
        <v>10</v>
      </c>
      <c r="H11" s="22" t="s">
        <v>9</v>
      </c>
      <c r="I11" s="22" t="s">
        <v>8</v>
      </c>
      <c r="J11" s="22" t="s">
        <v>7</v>
      </c>
      <c r="K11" s="25"/>
    </row>
    <row r="12" spans="1:11" ht="7.5" customHeight="1">
      <c r="A12" s="4"/>
      <c r="B12" s="26"/>
      <c r="C12" s="26"/>
      <c r="D12" s="2"/>
      <c r="E12" s="2"/>
      <c r="F12" s="8"/>
      <c r="G12" s="2"/>
      <c r="H12" s="2"/>
      <c r="I12" s="26"/>
      <c r="J12" s="26"/>
      <c r="K12" s="8"/>
    </row>
    <row r="13" spans="1:11" ht="7.5" customHeight="1">
      <c r="A13" s="4"/>
      <c r="B13" s="1140" t="str">
        <f>'Match Selection'!M4</f>
        <v>CuzNick</v>
      </c>
      <c r="C13" s="1141"/>
      <c r="D13" s="1140" t="str">
        <f>'Match Selection'!M5</f>
        <v>Saugy</v>
      </c>
      <c r="E13" s="1141"/>
      <c r="F13" s="13" t="s">
        <v>6</v>
      </c>
      <c r="G13" s="1142" t="str">
        <f>'Match Selection'!J4</f>
        <v>Pace</v>
      </c>
      <c r="H13" s="1143"/>
      <c r="I13" s="1144" t="str">
        <f>'Match Selection'!J5</f>
        <v>Weezy</v>
      </c>
      <c r="J13" s="1141"/>
      <c r="K13" s="15"/>
    </row>
    <row r="14" spans="1:11" ht="7.5" customHeight="1">
      <c r="A14" s="4"/>
      <c r="B14" s="27">
        <f>IF(F14=0,"",
IF(AND(F14&lt;9,'R1_G2'!N20='R1_G2'!N19),"AS",
IF(AND(F14&lt;9,'R1_G2'!N20&gt;'R1_G2'!N19),"+"&amp;'R1_G2'!N20-'R1_G2'!N19,
IF(AND(F14&lt;9,'R1_G2'!N20&lt;'R1_G2'!N19), 'R1_G2'!N20-'R1_G2'!N19,
1-'R1_G2'!N21
))))</f>
        <v>1</v>
      </c>
      <c r="C14" s="28">
        <f>IF(F14&lt;10,"",
IF(AND(F14&lt;18,'R1_G2'!AA20='R1_G2'!AA19),"AS",
IF(AND(F14&lt;18,'R1_G2'!AA20&gt;'R1_G2'!AA19),"+"&amp;'R1_G2'!AA20-'R1_G2'!AA19,
IF(AND(F14&lt;18,'R1_G2'!AA20&lt;'R1_G2'!AA19), 'R1_G2'!AA20-'R1_G2'!AA19,
2-'R1_G2'!AA21
))))</f>
        <v>2</v>
      </c>
      <c r="D14" s="29">
        <f>IF(F14&lt;10,"",
IF(AND(F14&lt;18,'R1_G2'!Z20='R1_G2'!Z19),"AS",
IF(AND(F14&lt;18,'R1_G2'!Z20&gt;'R1_G2'!Z19),"+"&amp;'R1_G2'!Z20-'R1_G2'!Z19,
IF(AND(F14&lt;18,'R1_G2'!Z20&lt;'R1_G2'!Z19), 'R1_G2'!Z20-'R1_G2'!Z19,
1-'R1_G2'!Z21
))))</f>
        <v>0</v>
      </c>
      <c r="E14" s="30">
        <f>IF(AND(F14&gt;8,F14&lt;18),B14, IF(F14=18,SUM(B14:D14),""))</f>
        <v>3</v>
      </c>
      <c r="F14" s="31">
        <f>21-COUNTIF('R1_G2'!$E$23:$Y$23,"")</f>
        <v>18</v>
      </c>
      <c r="G14" s="30">
        <f>IF(AND(F14&gt;8,F14&lt;18),J14, IF(F14=18,SUM(H14:J14),""))</f>
        <v>1</v>
      </c>
      <c r="H14" s="32">
        <f>IF(F14&lt;10,"",
IF(AND(F14&lt;18,'R1_G2'!Z20='R1_G2'!Z19),"AS",
IF(AND(F14&lt;18,'R1_G2'!Z20&lt;'R1_G2'!Z19),"+"&amp;'R1_G2'!Z19-'R1_G2'!Z20,
IF(AND(F14&lt;18,'R1_G2'!Z20&gt;'R1_G2'!Z19), 'R1_G2'!Z19-'R1_G2'!Z20,
'R1_G2'!Z21
))))</f>
        <v>1</v>
      </c>
      <c r="I14" s="32">
        <f>IF(F14&lt;10,"",
IF(AND(F14&lt;18,'R1_G2'!AA20='R1_G2'!AA19),"AS",
IF(AND(F14&lt;18,'R1_G2'!AA20&lt;'R1_G2'!AA19),"+"&amp;'R1_G2'!AA19-'R1_G2'!AA20,
IF(AND(F14&lt;18,'R1_G2'!AA20&gt;'R1_G2'!AA19), 'R1_G2'!AA19-'R1_G2'!AA20,
'R1_G2'!AA21
))))</f>
        <v>0</v>
      </c>
      <c r="J14" s="27">
        <f>IF(F14=0,"",
IF(AND(F14&lt;9,'R1_G2'!N20='R1_G2'!N19),"AS",
IF(AND(F14&lt;9,'R1_G2'!N20&lt;'R1_G2'!N19),"+"&amp;'R1_G2'!N19-'R1_G2'!N20,
IF(AND(F14&lt;9,'R1_G2'!N20&gt;'R1_G2'!N19), 'R1_G2'!N19-'R1_G2'!N20,
'R1_G2'!N21
))))</f>
        <v>0</v>
      </c>
      <c r="K14" s="15"/>
    </row>
    <row r="15" spans="1:11" ht="7.5" customHeight="1">
      <c r="A15" s="4"/>
      <c r="B15" s="22" t="s">
        <v>7</v>
      </c>
      <c r="C15" s="22" t="s">
        <v>8</v>
      </c>
      <c r="D15" s="22"/>
      <c r="E15" s="23" t="s">
        <v>10</v>
      </c>
      <c r="F15" s="24"/>
      <c r="G15" s="23" t="s">
        <v>10</v>
      </c>
      <c r="H15" s="22" t="s">
        <v>9</v>
      </c>
      <c r="I15" s="22" t="s">
        <v>8</v>
      </c>
      <c r="J15" s="22" t="s">
        <v>7</v>
      </c>
      <c r="K15" s="25"/>
    </row>
    <row r="16" spans="1:11" ht="7.5" customHeight="1">
      <c r="A16" s="33"/>
      <c r="B16" s="26"/>
      <c r="C16" s="26"/>
      <c r="D16" s="2"/>
      <c r="E16" s="2"/>
      <c r="F16" s="8"/>
      <c r="G16" s="2"/>
      <c r="H16" s="2"/>
      <c r="I16" s="26"/>
      <c r="J16" s="26"/>
      <c r="K16" s="34"/>
    </row>
    <row r="17" spans="1:11" ht="7.5" customHeight="1">
      <c r="A17" s="35"/>
      <c r="B17" s="1145" t="str">
        <f>'Match Selection'!S4</f>
        <v>Telly</v>
      </c>
      <c r="C17" s="1141"/>
      <c r="D17" s="1140" t="str">
        <f>'Match Selection'!S5</f>
        <v>DK</v>
      </c>
      <c r="E17" s="1141"/>
      <c r="F17" s="13" t="s">
        <v>6</v>
      </c>
      <c r="G17" s="1142" t="str">
        <f>'Match Selection'!P4</f>
        <v>Andy</v>
      </c>
      <c r="H17" s="1143"/>
      <c r="I17" s="1144" t="str">
        <f>'Match Selection'!P5</f>
        <v>Joe O</v>
      </c>
      <c r="J17" s="1141"/>
      <c r="K17" s="36"/>
    </row>
    <row r="18" spans="1:11" ht="7.5" customHeight="1">
      <c r="A18" s="35"/>
      <c r="B18" s="27">
        <f>IF(F18=0,"",
IF(AND(F18&lt;9,'R1_G3'!N20='R1_G3'!N19),"AS",
IF(AND(F18&lt;9,'R1_G3'!N20&gt;'R1_G3'!N19),"+"&amp;'R1_G3'!N20-'R1_G3'!N19,
IF(AND(F18&lt;9,'R1_G3'!N20&lt;'R1_G3'!N19), 'R1_G3'!N20-'R1_G3'!N19,
1-'R1_G3'!N21
))))</f>
        <v>1</v>
      </c>
      <c r="C18" s="28">
        <f>IF(F18&lt;10,"",
IF(AND(F18&lt;18,'R1_G3'!AA20='R1_G3'!AA19),"AS",
IF(AND(F18&lt;18,'R1_G3'!AA20&gt;'R1_G3'!AA19),"+"&amp;'R1_G3'!AA20-'R1_G3'!AA19,
IF(AND(F18&lt;18,'R1_G3'!AA20&lt;'R1_G3'!AA19), 'R1_G3'!AA20-'R1_G3'!AA19,
2-'R1_G3'!AA21
))))</f>
        <v>0</v>
      </c>
      <c r="D18" s="29">
        <f>IF(F18&lt;10,"",
IF(AND(F18&lt;18,'R1_G3'!Z20='R1_G3'!Z19),"AS",
IF(AND(F18&lt;18,'R1_G3'!Z20&gt;'R1_G3'!Z19),"+"&amp;'R1_G3'!Z20-'R1_G3'!Z19,
IF(AND(F18&lt;18,'R1_G3'!Z20&lt;'R1_G3'!Z19), 'R1_G3'!Z20-'R1_G3'!Z19,
1-'R1_G3'!Z21
))))</f>
        <v>0</v>
      </c>
      <c r="E18" s="30">
        <f>IF(AND(F18&gt;8,F18&lt;18),B18, IF(F18=18,SUM(B18:D18),""))</f>
        <v>1</v>
      </c>
      <c r="F18" s="31">
        <f>21-COUNTIF('R1_G3'!$E$23:$Y$23,"")</f>
        <v>18</v>
      </c>
      <c r="G18" s="30">
        <f>IF(AND(F18&gt;8,F18&lt;18),J18, IF(F18=18,SUM(H18:J18),""))</f>
        <v>3</v>
      </c>
      <c r="H18" s="32">
        <f>IF(F18&lt;10,"",
IF(AND(F18&lt;18,'R1_G3'!Z20='R1_G3'!Z19),"AS",
IF(AND(F18&lt;18,'R1_G3'!Z20&lt;'R1_G3'!Z19),"+"&amp;'R1_G3'!Z19-'R1_G3'!Z20,
IF(AND(F18&lt;18,'R1_G3'!Z20&gt;'R1_G3'!Z19), 'R1_G3'!Z19-'R1_G3'!Z20,
'R1_G3'!Z21
))))</f>
        <v>1</v>
      </c>
      <c r="I18" s="32">
        <f>IF(F18&lt;10,"",
IF(AND(F18&lt;18,'R1_G3'!AA20='R1_G3'!AA19),"AS",
IF(AND(F18&lt;18,'R1_G3'!AA20&lt;'R1_G3'!AA19),"+"&amp;'R1_G3'!AA19-'R1_G3'!AA20,
IF(AND(F18&lt;18,'R1_G3'!AA20&gt;'R1_G3'!AA19), 'R1_G3'!AA19-'R1_G3'!AA20,
'R1_G3'!AA21
))))</f>
        <v>2</v>
      </c>
      <c r="J18" s="27">
        <f>IF(F18=0,"",
IF(AND(F18&lt;9,'R1_G3'!N20='R1_G3'!N19),"AS",
IF(AND(F18&lt;9,'R1_G3'!N20&lt;'R1_G3'!N19),"+"&amp;'R1_G3'!N19-'R1_G3'!N20,
IF(AND(F18&lt;9,'R1_G3'!N20&gt;'R1_G3'!N19), 'R1_G3'!N19-'R1_G3'!N20,
'R1_G3'!N21
))))</f>
        <v>0</v>
      </c>
      <c r="K18" s="36"/>
    </row>
    <row r="19" spans="1:11" ht="7.5" customHeight="1">
      <c r="A19" s="34"/>
      <c r="B19" s="22" t="s">
        <v>7</v>
      </c>
      <c r="C19" s="22" t="s">
        <v>8</v>
      </c>
      <c r="D19" s="22" t="s">
        <v>9</v>
      </c>
      <c r="E19" s="23" t="s">
        <v>10</v>
      </c>
      <c r="F19" s="37"/>
      <c r="G19" s="23" t="s">
        <v>10</v>
      </c>
      <c r="H19" s="22" t="s">
        <v>9</v>
      </c>
      <c r="I19" s="22" t="s">
        <v>8</v>
      </c>
      <c r="J19" s="22" t="s">
        <v>7</v>
      </c>
      <c r="K19" s="38"/>
    </row>
    <row r="20" spans="1:11" ht="7.5" customHeight="1">
      <c r="A20" s="33"/>
      <c r="B20" s="26"/>
      <c r="C20" s="26"/>
      <c r="D20" s="2"/>
      <c r="E20" s="2"/>
      <c r="F20" s="8"/>
      <c r="G20" s="2"/>
      <c r="H20" s="2"/>
      <c r="I20" s="26"/>
      <c r="J20" s="26"/>
      <c r="K20" s="34"/>
    </row>
    <row r="21" spans="1:11" ht="7.5" customHeight="1">
      <c r="A21" s="35"/>
      <c r="B21" s="1145" t="str">
        <f>'Match Selection'!Y4</f>
        <v>KJ</v>
      </c>
      <c r="C21" s="1141"/>
      <c r="D21" s="1140" t="str">
        <f>'Match Selection'!Y5</f>
        <v>TJSC</v>
      </c>
      <c r="E21" s="1141"/>
      <c r="F21" s="13" t="s">
        <v>6</v>
      </c>
      <c r="G21" s="1142" t="str">
        <f>'Match Selection'!V4</f>
        <v>Jensen</v>
      </c>
      <c r="H21" s="1143"/>
      <c r="I21" s="1144" t="str">
        <f>'Match Selection'!V5</f>
        <v>Hile</v>
      </c>
      <c r="J21" s="1141"/>
      <c r="K21" s="36"/>
    </row>
    <row r="22" spans="1:11" ht="7.5" customHeight="1">
      <c r="A22" s="35"/>
      <c r="B22" s="27">
        <f>IF(F22=0,"",
IF(AND(F22&lt;9,'R1_G4'!N20='R1_G4'!N19),"AS",
IF(AND(F22&lt;9,'R1_G4'!N20&gt;'R1_G4'!N19),"+"&amp;'R1_G4'!N20-'R1_G4'!N19,
IF(AND(F22&lt;9,'R1_G4'!N20&lt;'R1_G4'!N19), 'R1_G4'!N20-'R1_G4'!N19,
1-'R1_G4'!N21
))))</f>
        <v>0</v>
      </c>
      <c r="C22" s="28">
        <f>IF(F22&lt;10,"",
IF(AND(F22&lt;18,'R1_G4'!AA20='R1_G4'!AA19),"AS",
IF(AND(F22&lt;18,'R1_G4'!AA20&gt;'R1_G4'!AA19),"+"&amp;'R1_G4'!AA20-'R1_G4'!AA19,
IF(AND(F22&lt;18,'R1_G4'!AA20&lt;'R1_G4'!AA19), 'R1_G4'!AA20-'R1_G4'!AA19,
2-'R1_G4'!AA21
))))</f>
        <v>2</v>
      </c>
      <c r="D22" s="29">
        <f>IF(F22&lt;10,"",
IF(AND(F22&lt;18,'R1_G4'!Z20='R1_G4'!Z19),"AS",
IF(AND(F22&lt;18,'R1_G4'!Z20&gt;'R1_G4'!Z19),"+"&amp;'R1_G4'!Z20-'R1_G4'!Z19,
IF(AND(F22&lt;18,'R1_G4'!Z20&lt;'R1_G4'!Z19), 'R1_G4'!Z20-'R1_G4'!Z19,
1-'R1_G4'!Z21
))))</f>
        <v>1</v>
      </c>
      <c r="E22" s="30">
        <f>IF(AND(F22&gt;8,F22&lt;18),B22, IF(F22=18,SUM(B22:D22),""))</f>
        <v>3</v>
      </c>
      <c r="F22" s="39">
        <f>21-COUNTIF('R1_G4'!$E$23:$Y$23,"")</f>
        <v>18</v>
      </c>
      <c r="G22" s="30">
        <f>IF(AND(F22&gt;8,F22&lt;18),J22, IF(F22=18,SUM(H22:J22),""))</f>
        <v>1</v>
      </c>
      <c r="H22" s="32">
        <f>IF(F22&lt;10,"",
IF(AND(F22&lt;18,'R1_G4'!Z20='R1_G4'!Z19),"AS",
IF(AND(F22&lt;18,'R1_G4'!Z20&lt;'R1_G4'!Z19),"+"&amp;'R1_G4'!Z19-'R1_G4'!Z20,
IF(AND(F22&lt;18,'R1_G4'!Z20&gt;'R1_G4'!Z19), 'R1_G4'!Z19-'R1_G4'!Z20,
'R1_G4'!Z21
))))</f>
        <v>0</v>
      </c>
      <c r="I22" s="32">
        <f>IF(F22&lt;10,"",
IF(AND(F22&lt;18,'R1_G4'!AA20='R1_G4'!AA19),"AS",
IF(AND(F22&lt;18,'R1_G4'!AA20&lt;'R1_G4'!AA19),"+"&amp;'R1_G4'!AA19-'R1_G4'!AA20,
IF(AND(F22&lt;18,'R1_G4'!AA20&gt;'R1_G4'!AA19), 'R1_G4'!AA19-'R1_G4'!AA20,
'R1_G4'!AA21
))))</f>
        <v>0</v>
      </c>
      <c r="J22" s="27">
        <f>IF(F22=0,"",
IF(AND(F22&lt;9,'R1_G4'!N20='R1_G4'!N19),"AS",
IF(AND(F22&lt;9,'R1_G4'!N20&lt;'R1_G4'!N19),"+"&amp;'R1_G4'!N19-'R1_G4'!N20,
IF(AND(F22&lt;9,'R1_G4'!N20&gt;'R1_G4'!N19), 'R1_G4'!N19-'R1_G4'!N20,
'R1_G4'!N21
))))</f>
        <v>1</v>
      </c>
      <c r="K22" s="36"/>
    </row>
    <row r="23" spans="1:11" ht="7.5" customHeight="1">
      <c r="A23" s="38"/>
      <c r="B23" s="22" t="s">
        <v>7</v>
      </c>
      <c r="C23" s="22" t="s">
        <v>8</v>
      </c>
      <c r="D23" s="22" t="s">
        <v>9</v>
      </c>
      <c r="E23" s="23" t="s">
        <v>10</v>
      </c>
      <c r="F23" s="37"/>
      <c r="G23" s="23" t="s">
        <v>10</v>
      </c>
      <c r="H23" s="22" t="s">
        <v>9</v>
      </c>
      <c r="I23" s="22" t="s">
        <v>8</v>
      </c>
      <c r="J23" s="22" t="s">
        <v>7</v>
      </c>
      <c r="K23" s="38"/>
    </row>
    <row r="24" spans="1:11" ht="7.5" customHeight="1">
      <c r="A24" s="4"/>
      <c r="B24" s="4"/>
      <c r="C24" s="15"/>
      <c r="D24" s="15"/>
      <c r="E24" s="15"/>
      <c r="F24" s="15"/>
      <c r="G24" s="15"/>
      <c r="H24" s="15"/>
      <c r="I24" s="15"/>
      <c r="J24" s="4"/>
      <c r="K24" s="15"/>
    </row>
    <row r="25" spans="1:11" ht="11.25" customHeight="1">
      <c r="A25" s="40"/>
      <c r="B25" s="1146" t="str">
        <f>'Master Input'!G6</f>
        <v>The Wolverine - White</v>
      </c>
      <c r="C25" s="1147"/>
      <c r="D25" s="1147"/>
      <c r="E25" s="1147"/>
      <c r="F25" s="41"/>
      <c r="G25" s="1146" t="str">
        <f>'Master Input'!H6</f>
        <v>Singles Matches</v>
      </c>
      <c r="H25" s="1147"/>
      <c r="I25" s="1147"/>
      <c r="J25" s="1147"/>
      <c r="K25" s="40"/>
    </row>
    <row r="26" spans="1:11" ht="11.25" customHeight="1">
      <c r="A26" s="1138" t="s">
        <v>11</v>
      </c>
      <c r="B26" s="1139"/>
      <c r="C26" s="1139"/>
      <c r="D26" s="1139"/>
      <c r="E26" s="1139"/>
      <c r="F26" s="1139"/>
      <c r="G26" s="1139"/>
      <c r="H26" s="1139"/>
      <c r="I26" s="1139"/>
      <c r="J26" s="1139"/>
      <c r="K26" s="1139"/>
    </row>
    <row r="27" spans="1:11" ht="7.5" customHeight="1">
      <c r="A27" s="4"/>
      <c r="B27" s="12"/>
      <c r="C27" s="13"/>
      <c r="D27" s="14"/>
      <c r="E27" s="14"/>
      <c r="F27" s="13"/>
      <c r="G27" s="13"/>
      <c r="H27" s="14"/>
      <c r="I27" s="13"/>
      <c r="J27" s="12"/>
      <c r="K27" s="15"/>
    </row>
    <row r="28" spans="1:11" ht="7.5" customHeight="1">
      <c r="A28" s="4"/>
      <c r="B28" s="1140" t="str">
        <f>'Match Selection'!G9</f>
        <v>CuzNick</v>
      </c>
      <c r="C28" s="1148"/>
      <c r="D28" s="1148"/>
      <c r="E28" s="1141"/>
      <c r="F28" s="13" t="s">
        <v>6</v>
      </c>
      <c r="G28" s="1142" t="str">
        <f>'Match Selection'!D9</f>
        <v>Jensen</v>
      </c>
      <c r="H28" s="1149"/>
      <c r="I28" s="1149"/>
      <c r="J28" s="1143"/>
      <c r="K28" s="15"/>
    </row>
    <row r="29" spans="1:11" ht="7.5" customHeight="1">
      <c r="A29" s="4"/>
      <c r="B29" s="16">
        <f ca="1">IF(F29=0,"",IF(AND(F29&lt;9,VLOOKUP("Top - Front",'R2_G1'!$B$19:$N$19,12-COUNTIF('R2_G1'!$E$19:$M$19,"."))*-1=0),"AS",
IF(AND(F29&lt;9,VLOOKUP("Top - Front",'R2_G1'!$B$19:$N$19,12-COUNTIF('R2_G1'!$E$19:$M$19,"."))*-1&gt;0), "+"
&amp; VLOOKUP("Top - Front",'R2_G1'!$B$19:$N$19,12-COUNTIF('R2_G1'!$E$19:$M$19,"."))*-1,
IF(F29&gt;8,VLOOKUP($G$25,'Master Input'!$O$12:$R$23,'Master Input'!$P$11,FALSE)-'R2_G1'!$N$19,
VLOOKUP("Top - Front",'R2_G1'!$B$19:$N$19,12-COUNTIF('R2_G1'!$E$19:$M$19,"."))*-1))))</f>
        <v>0.5</v>
      </c>
      <c r="C29" s="17">
        <f ca="1">IF(F29&lt;10,"",IF(AND(F29&lt;18,VLOOKUP("Top - Overall",'R2_G1'!$P$19:$Z$19,10-COUNTIF('R2_G1'!$P$19:$Z$19,"."))*-1=0),"AS",
IF(AND(F29&lt;18,VLOOKUP("Top - Overall",'R2_G1'!$P$19:$Z$19,10-COUNTIF('R2_G1'!$P$19:$Z$19,"."))*-1&gt;0), "+"
&amp; VLOOKUP("Top - Overall",'R2_G1'!$P$19:$Z$19,10-COUNTIF('R2_G1'!$P$19:$Z$19,"."))*-1,
IF(F29&gt;17,VLOOKUP($G$25,'Master Input'!$O$12:$R$23,'Master Input'!$R$11,FALSE)-'R2_G1'!$Z$19,
VLOOKUP("Top - Overall",'R2_G1'!$P$19:$Z$19,10-COUNTIF('R2_G1'!$P$19:$Z$19,"."))*-1))))</f>
        <v>0</v>
      </c>
      <c r="D29" s="18">
        <f ca="1">IF(F29&lt;10,"",IF(AND(F29&lt;18,VLOOKUP("Top - Back",'R2_G1'!$P$20:$Z$20,10-COUNTIF('R2_G1'!$P$20:$Z$20,"."))*-1=0),"AS",
IF(AND(F29&lt;18,VLOOKUP("Top - Back",'R2_G1'!$P$20:$Z$20,10-COUNTIF('R2_G1'!$P$20:$Z$20,"."))*-1&gt;0), "+"
&amp; VLOOKUP("Top - Back",'R2_G1'!$P$20:$Z$20,10-COUNTIF('R2_G1'!$P$20:$Z$20,"."))*-1,
IF(F29&gt;17,VLOOKUP($G$25,'Master Input'!$O$12:$R$23,'Master Input'!$Q$11,FALSE)-'R2_G1'!$Z$20,
VLOOKUP("Top - Back",'R2_G1'!$P$20:$Z$20,10-COUNTIF('R2_G1'!$P$20:$Z$20,"."))*-1))))</f>
        <v>0</v>
      </c>
      <c r="E29" s="19">
        <f ca="1">IF(AND(F29&gt;8,F29&lt;18),B29, IF(F29=18,SUM(B29:D29),""))</f>
        <v>0.5</v>
      </c>
      <c r="F29" s="12">
        <f ca="1">20-COUNTIF('R2_G1'!$E$26:$Y$26,"")</f>
        <v>18</v>
      </c>
      <c r="G29" s="19">
        <f ca="1">IF(AND(F29&gt;8,F29&lt;18),J29, IF(F29=18,SUM(H29:J29),""))</f>
        <v>2.5</v>
      </c>
      <c r="H29" s="20">
        <f ca="1">IF(F29&lt;10,"",IF(AND(F29&lt;18,VLOOKUP("Top - Back",'R2_G1'!$P$20:$Z$20,10-COUNTIF('R2_G1'!$P$20:$Z$20,"."))=0),"AS",
IF(AND(F29&lt;18,VLOOKUP("Top - Back",'R2_G1'!$P$20:$Z$20,10-COUNTIF('R2_G1'!$P$20:$Z$20,"."))&gt;0), "+"
&amp; VLOOKUP("Top - Back",'R2_G1'!$P$20:$Z$20,10-COUNTIF('R2_G1'!$P$20:$Z$20,".")),
IF(F29&gt;17,'R2_G1'!$Z$20,
VLOOKUP("Top - Back",'R2_G1'!$P$20:$Z$20,10-COUNTIF('R2_G1'!$P$20:$Z$20,"."))))))</f>
        <v>1</v>
      </c>
      <c r="I29" s="20">
        <f ca="1">IF(F29&lt;10,"",IF(AND(F29&lt;18,VLOOKUP("Top - Overall",'R2_G1'!$P$19:$Z$19,10-COUNTIF('R2_G1'!$P$19:$Z$19,"."))=0),"AS",
IF(AND(F29&lt;18,VLOOKUP("Top - Overall",'R2_G1'!$P$19:$Z$19,10-COUNTIF('R2_G1'!$P$19:$Z$19,"."))&gt;0), "+"
&amp; VLOOKUP("Top - Overall",'R2_G1'!$P$19:$Z$19,10-COUNTIF('R2_G1'!$P$19:$Z$19,".")),
IF(F29&gt;17,'R2_G1'!$Z$19,
VLOOKUP("Top - Overall",'R2_G1'!$P$19:$Z$19,10-COUNTIF('R2_G1'!$P$19:$Z$19,"."))))))</f>
        <v>1</v>
      </c>
      <c r="J29" s="16">
        <f ca="1">IF(F29=0,"",IF(AND(F29&lt;9,VLOOKUP("Top - Front",'R2_G1'!$B$19:$N$19,12-COUNTIF('R2_G1'!$E$19:$M$19,"."))=0),"AS",
IF(AND(F29&lt;9,VLOOKUP("Top - Front",'R2_G1'!$B$19:$N$19,12-COUNTIF('R2_G1'!$E$19:$M$19,"."))&gt;0), "+"
&amp; VLOOKUP("Top - Front",'R2_G1'!$B$19:$N$19,12-COUNTIF('R2_G1'!$E$19:$M$19,".")),
IF(F29&gt;8,'R2_G1'!$N$19,
VLOOKUP("Top - Front",'R2_G1'!$B$19:$N$19,12-COUNTIF('R2_G1'!$E$19:$M$19,"."))))))</f>
        <v>0.5</v>
      </c>
      <c r="K29" s="15"/>
    </row>
    <row r="30" spans="1:11" ht="7.5" customHeight="1">
      <c r="A30" s="21"/>
      <c r="B30" s="22" t="s">
        <v>7</v>
      </c>
      <c r="C30" s="22" t="s">
        <v>8</v>
      </c>
      <c r="D30" s="22" t="s">
        <v>9</v>
      </c>
      <c r="E30" s="23" t="s">
        <v>10</v>
      </c>
      <c r="F30" s="24"/>
      <c r="G30" s="23" t="s">
        <v>10</v>
      </c>
      <c r="H30" s="22" t="s">
        <v>9</v>
      </c>
      <c r="I30" s="22" t="s">
        <v>8</v>
      </c>
      <c r="J30" s="22" t="s">
        <v>7</v>
      </c>
      <c r="K30" s="25"/>
    </row>
    <row r="31" spans="1:11" ht="7.5" customHeight="1">
      <c r="A31" s="42"/>
      <c r="B31" s="43"/>
      <c r="C31" s="44"/>
      <c r="D31" s="45"/>
      <c r="E31" s="45"/>
      <c r="F31" s="44"/>
      <c r="G31" s="44"/>
      <c r="H31" s="45"/>
      <c r="I31" s="44"/>
      <c r="J31" s="43"/>
      <c r="K31" s="46"/>
    </row>
    <row r="32" spans="1:11" ht="7.5" customHeight="1">
      <c r="A32" s="4"/>
      <c r="B32" s="1140" t="str">
        <f>'Match Selection'!G10</f>
        <v>House</v>
      </c>
      <c r="C32" s="1148"/>
      <c r="D32" s="1148"/>
      <c r="E32" s="1141"/>
      <c r="F32" s="13" t="s">
        <v>6</v>
      </c>
      <c r="G32" s="1142" t="str">
        <f>'Match Selection'!D10</f>
        <v>Elger</v>
      </c>
      <c r="H32" s="1149"/>
      <c r="I32" s="1149"/>
      <c r="J32" s="1143"/>
      <c r="K32" s="15"/>
    </row>
    <row r="33" spans="1:11" ht="7.5" customHeight="1">
      <c r="A33" s="4"/>
      <c r="B33" s="16">
        <f ca="1">IF(F33=0,"",IF(AND(F33&lt;9,VLOOKUP("Top - Front",'R2_G1'!$B$21:$N$21,12-COUNTIF('R2_G1'!$E$21:$M$21,"."))*-1=0),"AS",
IF(AND(F33&lt;9,VLOOKUP("Top - Front",'R2_G1'!$B$21:$N$21,12-COUNTIF('R2_G1'!$E$21:$M$21,"."))*-1&gt;0), "+"
&amp; VLOOKUP("Top - Front",'R2_G1'!$B$21:$N$21,12-COUNTIF('R2_G1'!$E$21:$M$21,"."))*-1,
IF(F33&gt;8,VLOOKUP($G$25,'Master Input'!$O$12:$R$23,'Master Input'!$P$11,FALSE)-'R2_G1'!$N$21,
VLOOKUP("Top - Front",'R2_G1'!$B$21:$N$21,12-COUNTIF('R2_G1'!$E$21:$M$21,"."))*-1))))</f>
        <v>1</v>
      </c>
      <c r="C33" s="17">
        <f ca="1">IF(F33&lt;10,"",IF(AND(F33&lt;18,VLOOKUP("Top - Overall",'R2_G1'!$P$21:$Z$21,10-COUNTIF('R2_G1'!$P$21:$Z$21,"."))*-1=0),"AS",
IF(AND(F33&lt;18,VLOOKUP("Top - Overall",'R2_G1'!$P$21:$Z$21,10-COUNTIF('R2_G1'!$P$21:$Z$21,"."))*-1&gt;0), "+"
&amp; VLOOKUP("Top - Overall",'R2_G1'!$P$21:$Z$21,10-COUNTIF('R2_G1'!$P$21:$Z$21,"."))*-1,
IF(F33&gt;17,VLOOKUP($G$25,'Master Input'!$O$12:$R$23,'Master Input'!$R$11,FALSE)-'R2_G1'!$Z$21,
VLOOKUP("Top - Overall",'R2_G1'!$P$21:$Z$21,10-COUNTIF('R2_G1'!$P$21:$Z$21,"."))*-1))))</f>
        <v>1</v>
      </c>
      <c r="D33" s="18">
        <f ca="1">IF(F33&lt;10,"",IF(AND(F33&lt;18,VLOOKUP("Top - Back",'R2_G1'!$P$22:$Z$22,10-COUNTIF('R2_G1'!$P$22:$Z$22,"."))*-1=0),"AS",
IF(AND(F33&lt;18,VLOOKUP("Top - Back",'R2_G1'!$P$22:$Z$22,10-COUNTIF('R2_G1'!$P$22:$Z$22,"."))*-1&gt;0), "+"
&amp; VLOOKUP("Top - Back",'R2_G1'!$P$22:$Z$22,10-COUNTIF('R2_G1'!$P$22:$Z$22,"."))*-1,
IF(F33&gt;17,VLOOKUP($G$25,'Master Input'!$O$12:$R$23,'Master Input'!$Q$11,FALSE)-'R2_G1'!$Z$22,
VLOOKUP("Top - Back",'R2_G1'!$P$22:$Z$22,10-COUNTIF('R2_G1'!$P$22:$Z$22,"."))*-1))))</f>
        <v>1</v>
      </c>
      <c r="E33" s="19">
        <f ca="1">IF(AND(F33&gt;8,F33&lt;18),B33, IF(F33=18,SUM(B33:D33),""))</f>
        <v>3</v>
      </c>
      <c r="F33" s="12">
        <f ca="1">20-COUNTIF('R2_G1'!$E$29:$Y$29,"")</f>
        <v>18</v>
      </c>
      <c r="G33" s="19">
        <f ca="1">IF(AND(F33&gt;8,F33&lt;18),J33, IF(F33=18,SUM(H33:J33),""))</f>
        <v>0</v>
      </c>
      <c r="H33" s="20">
        <f ca="1">IF(F33&lt;10,"",IF(AND(F33&lt;18,VLOOKUP("Top - Back",'R2_G1'!$P$22:$Z$22,10-COUNTIF('R2_G1'!$P$22:$Z$22,"."))=0),"AS",
IF(AND(F33&lt;18,VLOOKUP("Top - Back",'R2_G1'!$P$22:$Z$22,10-COUNTIF('R2_G1'!$P$22:$Z$22,"."))&gt;0), "+"
&amp; VLOOKUP("Top - Back",'R2_G1'!$P$22:$Z$22,10-COUNTIF('R2_G1'!$P$22:$Z$22,".")),
IF(F33&gt;17,'R2_G1'!$Z$22,
VLOOKUP("Top - Back",'R2_G1'!$P$22:$Z$22,10-COUNTIF('R2_G1'!$P$22:$Z$22,"."))))))</f>
        <v>0</v>
      </c>
      <c r="I33" s="20">
        <f ca="1">IF(F33&lt;10,"",IF(AND(F33&lt;18,VLOOKUP("Top - Overall",'R2_G1'!$P$21:$Z$21,10-COUNTIF('R2_G1'!$P$21:$Z$21,"."))=0),"AS",
IF(AND(F33&lt;18,VLOOKUP("Top - Overall",'R2_G1'!$P$21:$Z$21,10-COUNTIF('R2_G1'!$P$21:$Z$21,"."))&gt;0), "+"
&amp; VLOOKUP("Top - Overall",'R2_G1'!$P$21:$Z$21,10-COUNTIF('R2_G1'!$P$21:$Z$21,".")),
IF(F33&gt;17,'R2_G1'!$Z$21,
VLOOKUP("Top - Overall",'R2_G1'!$P$21:$Z$21,10-COUNTIF('R2_G1'!$P$21:$Z$21,"."))))))</f>
        <v>0</v>
      </c>
      <c r="J33" s="16">
        <f ca="1">IF(F33=0,"",IF(AND(F33&lt;9,VLOOKUP("Top - Front",'R2_G1'!$B$21:$N$21,12-COUNTIF('R2_G1'!$E$21:$M$21,"."))=0),"AS",
IF(AND(F33&lt;9,VLOOKUP("Top - Front",'R2_G1'!$B$21:$N$21,12-COUNTIF('R2_G1'!$E$21:$M$21,"."))&gt;0), "+"
&amp; VLOOKUP("Top - Front",'R2_G1'!$B$21:$N$21,12-COUNTIF('R2_G1'!$E$21:$M$21,".")),
IF(F33&gt;8,'R2_G1'!$N$21,
VLOOKUP("Top - Front",'R2_G1'!$B$21:$N$21,12-COUNTIF('R2_G1'!$E$21:$M$21,"."))))))</f>
        <v>0</v>
      </c>
      <c r="K33" s="15"/>
    </row>
    <row r="34" spans="1:11" ht="7.5" customHeight="1">
      <c r="A34" s="21"/>
      <c r="B34" s="22" t="s">
        <v>7</v>
      </c>
      <c r="C34" s="22" t="s">
        <v>8</v>
      </c>
      <c r="D34" s="22" t="s">
        <v>9</v>
      </c>
      <c r="E34" s="23" t="s">
        <v>10</v>
      </c>
      <c r="F34" s="24"/>
      <c r="G34" s="23" t="s">
        <v>10</v>
      </c>
      <c r="H34" s="22" t="s">
        <v>9</v>
      </c>
      <c r="I34" s="22" t="s">
        <v>8</v>
      </c>
      <c r="J34" s="22" t="s">
        <v>7</v>
      </c>
      <c r="K34" s="25"/>
    </row>
    <row r="35" spans="1:11" ht="7.5" customHeight="1">
      <c r="A35" s="42"/>
      <c r="B35" s="47"/>
      <c r="C35" s="47"/>
      <c r="D35" s="48"/>
      <c r="E35" s="48"/>
      <c r="F35" s="49"/>
      <c r="G35" s="48"/>
      <c r="H35" s="48"/>
      <c r="I35" s="47"/>
      <c r="J35" s="47"/>
      <c r="K35" s="49"/>
    </row>
    <row r="36" spans="1:11" ht="7.5" customHeight="1">
      <c r="A36" s="4"/>
      <c r="B36" s="1140" t="str">
        <f>'Match Selection'!M9</f>
        <v>KJ</v>
      </c>
      <c r="C36" s="1148"/>
      <c r="D36" s="1148"/>
      <c r="E36" s="1141"/>
      <c r="F36" s="13" t="s">
        <v>6</v>
      </c>
      <c r="G36" s="1142" t="str">
        <f>'Match Selection'!J9</f>
        <v>T-Mo</v>
      </c>
      <c r="H36" s="1149"/>
      <c r="I36" s="1149"/>
      <c r="J36" s="1143"/>
      <c r="K36" s="15"/>
    </row>
    <row r="37" spans="1:11" ht="7.5" customHeight="1">
      <c r="A37" s="4"/>
      <c r="B37" s="16">
        <f ca="1">IF(F37=0,"",IF(AND(F37&lt;9,VLOOKUP("Top - Front",'R2_G2'!$B$19:$N$19,12-COUNTIF('R2_G2'!$E$19:$M$19,"."))*-1=0),"AS",
IF(AND(F37&lt;9,VLOOKUP("Top - Front",'R2_G2'!$B$19:$N$19,12-COUNTIF('R2_G2'!$E$19:$M$19,"."))*-1&gt;0), "+"
&amp; VLOOKUP("Top - Front",'R2_G2'!$B$19:$N$19,12-COUNTIF('R2_G2'!$E$19:$M$19,"."))*-1,
IF(F37&gt;8,VLOOKUP($G$25,'Master Input'!$O$12:$R$23,'Master Input'!$P$11,FALSE)-'R2_G2'!$N$19,
VLOOKUP("Top - Front",'R2_G2'!$B$19:$N$19,12-COUNTIF('R2_G2'!$E$19:$M$19,"."))*-1))))</f>
        <v>1</v>
      </c>
      <c r="C37" s="17">
        <f ca="1">IF(F37&lt;10,"",IF(AND(F37&lt;18,VLOOKUP("Top - Overall",'R2_G2'!$P$19:$Z$19,10-COUNTIF('R2_G2'!$P$19:$Z$19,"."))*-1=0),"AS",
IF(AND(F37&lt;18,VLOOKUP("Top - Overall",'R2_G2'!$P$19:$Z$19,10-COUNTIF('R2_G2'!$P$19:$Z$19,"."))*-1&gt;0), "+"
&amp; VLOOKUP("Top - Overall",'R2_G2'!$P$19:$Z$19,10-COUNTIF('R2_G2'!$P$19:$Z$19,"."))*-1,
IF(F37&gt;17,VLOOKUP($G$25,'Master Input'!$O$12:$R$23,'Master Input'!$R$11,FALSE)-'R2_G2'!$Z$19,
VLOOKUP("Top - Overall",'R2_G2'!$P$19:$Z$19,10-COUNTIF('R2_G2'!$P$19:$Z$19,"."))*-1))))</f>
        <v>1</v>
      </c>
      <c r="D37" s="18">
        <f ca="1">IF(F37&lt;10,"",IF(AND(F37&lt;18,VLOOKUP("Top - Back",'R2_G2'!$P$20:$Z$20,10-COUNTIF('R2_G2'!$P$20:$Z$20,"."))*-1=0),"AS",
IF(AND(F37&lt;18,VLOOKUP("Top - Back",'R2_G2'!$P$20:$Z$20,10-COUNTIF('R2_G2'!$P$20:$Z$20,"."))*-1&gt;0), "+"
&amp; VLOOKUP("Top - Back",'R2_G2'!$P$20:$Z$20,10-COUNTIF('R2_G2'!$P$20:$Z$20,"."))*-1,
IF(F37&gt;17,VLOOKUP($G$25,'Master Input'!$O$12:$R$23,'Master Input'!$Q$11,FALSE)-'R2_G2'!$Z$20,
VLOOKUP("Top - Back",'R2_G2'!$P$20:$Z$20,10-COUNTIF('R2_G2'!$P$20:$Z$20,"."))*-1))))</f>
        <v>1</v>
      </c>
      <c r="E37" s="19">
        <f ca="1">IF(AND(F37&gt;8,F37&lt;18),B37, IF(F37=18,SUM(B37:D37),""))</f>
        <v>3</v>
      </c>
      <c r="F37" s="12">
        <f ca="1">20-COUNTIF('R2_G2'!$E$26:$Y$26,"")</f>
        <v>18</v>
      </c>
      <c r="G37" s="19">
        <f ca="1">IF(AND(F37&gt;8,F37&lt;18),J37, IF(F37=18,SUM(H37:J37),""))</f>
        <v>0</v>
      </c>
      <c r="H37" s="20">
        <f ca="1">IF(F37&lt;10,"",IF(AND(F37&lt;18,VLOOKUP("Top - Back",'R2_G2'!$P$20:$Z$20,10-COUNTIF('R2_G2'!$P$20:$Z$20,"."))=0),"AS",
IF(AND(F37&lt;18,VLOOKUP("Top - Back",'R2_G2'!$P$20:$Z$20,10-COUNTIF('R2_G2'!$P$20:$Z$20,"."))&gt;0), "+"
&amp; VLOOKUP("Top - Back",'R2_G2'!$P$20:$Z$20,10-COUNTIF('R2_G2'!$P$20:$Z$20,".")),
IF(F37&gt;17,'R2_G2'!$Z$20,
VLOOKUP("Top - Back",'R2_G2'!$P$20:$Z$20,10-COUNTIF('R2_G2'!$P$20:$Z$20,"."))))))</f>
        <v>0</v>
      </c>
      <c r="I37" s="20">
        <f ca="1">IF(F37&lt;10,"",IF(AND(F37&lt;18,VLOOKUP("Top - Overall",'R2_G2'!$P$19:$Z$19,10-COUNTIF('R2_G2'!$P$19:$Z$19,"."))=0),"AS",
IF(AND(F37&lt;18,VLOOKUP("Top - Overall",'R2_G2'!$P$19:$Z$19,10-COUNTIF('R2_G2'!$P$19:$Z$19,"."))&gt;0), "+"
&amp; VLOOKUP("Top - Overall",'R2_G2'!$P$19:$Z$19,10-COUNTIF('R2_G2'!$P$19:$Z$19,".")),
IF(F37&gt;17,'R2_G2'!$Z$19,
VLOOKUP("Top - Overall",'R2_G2'!$P$19:$Z$19,10-COUNTIF('R2_G2'!$P$19:$Z$19,"."))))))</f>
        <v>0</v>
      </c>
      <c r="J37" s="16">
        <f ca="1">IF(F37=0,"",IF(AND(F37&lt;9,VLOOKUP("Top - Front",'R2_G2'!$B$19:$N$19,12-COUNTIF('R2_G2'!$E$19:$M$19,"."))=0),"AS",
IF(AND(F37&lt;9,VLOOKUP("Top - Front",'R2_G2'!$B$19:$N$19,12-COUNTIF('R2_G2'!$E$19:$M$19,"."))&gt;0), "+"
&amp; VLOOKUP("Top - Front",'R2_G2'!$B$19:$N$19,12-COUNTIF('R2_G2'!$E$19:$M$19,".")),
IF(F37&gt;8,'R2_G2'!$N$19,
VLOOKUP("Top - Front",'R2_G2'!$B$19:$N$19,12-COUNTIF('R2_G2'!$E$19:$M$19,"."))))))</f>
        <v>0</v>
      </c>
      <c r="K37" s="15"/>
    </row>
    <row r="38" spans="1:11" ht="7.5" customHeight="1">
      <c r="A38" s="21"/>
      <c r="B38" s="22" t="s">
        <v>7</v>
      </c>
      <c r="C38" s="22" t="s">
        <v>8</v>
      </c>
      <c r="D38" s="22" t="s">
        <v>9</v>
      </c>
      <c r="E38" s="23" t="s">
        <v>10</v>
      </c>
      <c r="F38" s="24"/>
      <c r="G38" s="23" t="s">
        <v>10</v>
      </c>
      <c r="H38" s="22" t="s">
        <v>9</v>
      </c>
      <c r="I38" s="22" t="s">
        <v>8</v>
      </c>
      <c r="J38" s="22" t="s">
        <v>7</v>
      </c>
      <c r="K38" s="25"/>
    </row>
    <row r="39" spans="1:11" ht="7.5" customHeight="1">
      <c r="A39" s="42"/>
      <c r="B39" s="47"/>
      <c r="C39" s="47"/>
      <c r="D39" s="48"/>
      <c r="E39" s="48"/>
      <c r="F39" s="49"/>
      <c r="G39" s="48"/>
      <c r="H39" s="48"/>
      <c r="I39" s="47"/>
      <c r="J39" s="47"/>
      <c r="K39" s="49"/>
    </row>
    <row r="40" spans="1:11" ht="7.5" customHeight="1">
      <c r="A40" s="4"/>
      <c r="B40" s="1140" t="str">
        <f>'Match Selection'!M10</f>
        <v>TJSC</v>
      </c>
      <c r="C40" s="1148"/>
      <c r="D40" s="1148"/>
      <c r="E40" s="1141"/>
      <c r="F40" s="13" t="s">
        <v>6</v>
      </c>
      <c r="G40" s="1142" t="str">
        <f>'Match Selection'!J10</f>
        <v>Weezy</v>
      </c>
      <c r="H40" s="1149"/>
      <c r="I40" s="1149"/>
      <c r="J40" s="1143"/>
      <c r="K40" s="15"/>
    </row>
    <row r="41" spans="1:11" ht="7.5" customHeight="1">
      <c r="A41" s="4"/>
      <c r="B41" s="16">
        <f ca="1">IF(F41=0,"",IF(AND(F41&lt;9,VLOOKUP("Top - Front",'R2_G2'!$B$21:$N$21,12-COUNTIF('R2_G2'!$E$21:$M$21,"."))*-1=0),"AS",
IF(AND(F41&lt;9,VLOOKUP("Top - Front",'R2_G2'!$B$21:$N$21,12-COUNTIF('R2_G2'!$E$21:$M$21,"."))*-1&gt;0), "+"
&amp; VLOOKUP("Top - Front",'R2_G2'!$B$21:$N$21,12-COUNTIF('R2_G2'!$E$21:$M$21,"."))*-1,
IF(F41&gt;8,VLOOKUP($G$25,'Master Input'!$O$12:$R$23,'Master Input'!$P$11,FALSE)-'R2_G2'!$N$21,
VLOOKUP("Top - Front",'R2_G2'!$B$21:$N$21,12-COUNTIF('R2_G2'!$E$21:$M$21,"."))*-1))))</f>
        <v>0</v>
      </c>
      <c r="C41" s="17">
        <f ca="1">IF(F41&lt;10,"",IF(AND(F41&lt;18,VLOOKUP("Top - Overall",'R2_G2'!$P$21:$Z$21,10-COUNTIF('R2_G2'!$P$21:$Z$21,"."))*-1=0),"AS",
IF(AND(F41&lt;18,VLOOKUP("Top - Overall",'R2_G2'!$P$21:$Z$21,10-COUNTIF('R2_G2'!$P$21:$Z$21,"."))*-1&gt;0), "+"
&amp; VLOOKUP("Top - Overall",'R2_G2'!$P$21:$Z$21,10-COUNTIF('R2_G2'!$P$21:$Z$21,"."))*-1,
IF(F41&gt;17,VLOOKUP($G$25,'Master Input'!$O$12:$R$23,'Master Input'!$R$11,FALSE)-'R2_G2'!$Z$21,
VLOOKUP("Top - Overall",'R2_G2'!$P$21:$Z$21,10-COUNTIF('R2_G2'!$P$21:$Z$21,"."))*-1))))</f>
        <v>0</v>
      </c>
      <c r="D41" s="18">
        <f ca="1">IF(F41&lt;10,"",IF(AND(F41&lt;18,VLOOKUP("Top - Back",'R2_G2'!$P$22:$Z$22,10-COUNTIF('R2_G2'!$P$22:$Z$22,"."))*-1=0),"AS",
IF(AND(F41&lt;18,VLOOKUP("Top - Back",'R2_G2'!$P$22:$Z$22,10-COUNTIF('R2_G2'!$P$22:$Z$22,"."))*-1&gt;0), "+"
&amp; VLOOKUP("Top - Back",'R2_G2'!$P$22:$Z$22,10-COUNTIF('R2_G2'!$P$22:$Z$22,"."))*-1,
IF(F41&gt;17,VLOOKUP($G$25,'Master Input'!$O$12:$R$23,'Master Input'!$Q$11,FALSE)-'R2_G2'!$Z$22,
VLOOKUP("Top - Back",'R2_G2'!$P$22:$Z$22,10-COUNTIF('R2_G2'!$P$22:$Z$22,"."))*-1))))</f>
        <v>0</v>
      </c>
      <c r="E41" s="19">
        <f ca="1">IF(AND(F41&gt;8,F41&lt;18),B41, IF(F41=18,SUM(B41:D41),""))</f>
        <v>0</v>
      </c>
      <c r="F41" s="12">
        <f ca="1">20-COUNTIF('R2_G2'!$E$29:$Y$29,"")</f>
        <v>18</v>
      </c>
      <c r="G41" s="19">
        <f ca="1">IF(AND(F41&gt;8,F41&lt;18),J41, IF(F41=18,SUM(H41:J41),""))</f>
        <v>3</v>
      </c>
      <c r="H41" s="20">
        <f ca="1">IF(F41&lt;10,"",IF(AND(F41&lt;18,VLOOKUP("Top - Back",'R2_G2'!$P$22:$Z$22,10-COUNTIF('R2_G2'!$P$22:$Z$22,"."))=0),"AS",
IF(AND(F41&lt;18,VLOOKUP("Top - Back",'R2_G2'!$P$22:$Z$22,10-COUNTIF('R2_G2'!$P$22:$Z$22,"."))&gt;0), "+"
&amp; VLOOKUP("Top - Back",'R2_G2'!$P$22:$Z$22,10-COUNTIF('R2_G2'!$P$22:$Z$22,".")),
IF(F41&gt;17,'R2_G2'!$Z$22,
VLOOKUP("Top - Back",'R2_G2'!$P$22:$Z$22,10-COUNTIF('R2_G2'!$P$22:$Z$22,"."))))))</f>
        <v>1</v>
      </c>
      <c r="I41" s="20">
        <f ca="1">IF(F41&lt;10,"",IF(AND(F41&lt;18,VLOOKUP("Top - Overall",'R2_G2'!$P$21:$Z$21,10-COUNTIF('R2_G2'!$P$21:$Z$21,"."))=0),"AS",
IF(AND(F41&lt;18,VLOOKUP("Top - Overall",'R2_G2'!$P$21:$Z$21,10-COUNTIF('R2_G2'!$P$21:$Z$21,"."))&gt;0), "+"
&amp; VLOOKUP("Top - Overall",'R2_G2'!$P$21:$Z$21,10-COUNTIF('R2_G2'!$P$21:$Z$21,".")),
IF(F41&gt;17,'R2_G2'!$Z$21,
VLOOKUP("Top - Overall",'R2_G2'!$P$21:$Z$21,10-COUNTIF('R2_G2'!$P$21:$Z$21,"."))))))</f>
        <v>1</v>
      </c>
      <c r="J41" s="16">
        <f ca="1">IF(F41=0,"",IF(AND(F41&lt;9,VLOOKUP("Top - Front",'R2_G2'!$B$21:$N$21,12-COUNTIF('R2_G2'!$E$21:$M$21,"."))=0),"AS",
IF(AND(F41&lt;9,VLOOKUP("Top - Front",'R2_G2'!$B$21:$N$21,12-COUNTIF('R2_G2'!$E$21:$M$21,"."))&gt;0), "+"
&amp; VLOOKUP("Top - Front",'R2_G2'!$B$21:$N$21,12-COUNTIF('R2_G2'!$E$21:$M$21,".")),
IF(F41&gt;8,'R2_G2'!$N$21,
VLOOKUP("Top - Front",'R2_G2'!$B$21:$N$21,12-COUNTIF('R2_G2'!$E$21:$M$21,"."))))))</f>
        <v>1</v>
      </c>
      <c r="K41" s="15"/>
    </row>
    <row r="42" spans="1:11" ht="7.5" customHeight="1">
      <c r="A42" s="21"/>
      <c r="B42" s="22" t="s">
        <v>7</v>
      </c>
      <c r="C42" s="22" t="s">
        <v>8</v>
      </c>
      <c r="D42" s="22" t="s">
        <v>9</v>
      </c>
      <c r="E42" s="23" t="s">
        <v>10</v>
      </c>
      <c r="F42" s="24"/>
      <c r="G42" s="23" t="s">
        <v>10</v>
      </c>
      <c r="H42" s="22" t="s">
        <v>9</v>
      </c>
      <c r="I42" s="22" t="s">
        <v>8</v>
      </c>
      <c r="J42" s="22" t="s">
        <v>7</v>
      </c>
      <c r="K42" s="25"/>
    </row>
    <row r="43" spans="1:11" ht="7.5" customHeight="1">
      <c r="A43" s="33"/>
      <c r="B43" s="47"/>
      <c r="C43" s="47"/>
      <c r="D43" s="48"/>
      <c r="E43" s="48"/>
      <c r="F43" s="49"/>
      <c r="G43" s="48"/>
      <c r="H43" s="48"/>
      <c r="I43" s="47"/>
      <c r="J43" s="47"/>
      <c r="K43" s="33"/>
    </row>
    <row r="44" spans="1:11" ht="7.5" customHeight="1">
      <c r="A44" s="35"/>
      <c r="B44" s="1145" t="str">
        <f>'Match Selection'!S9</f>
        <v>Telly</v>
      </c>
      <c r="C44" s="1148"/>
      <c r="D44" s="1148"/>
      <c r="E44" s="1148"/>
      <c r="F44" s="13" t="s">
        <v>6</v>
      </c>
      <c r="G44" s="1142" t="str">
        <f>'Match Selection'!P9</f>
        <v>Pace</v>
      </c>
      <c r="H44" s="1149"/>
      <c r="I44" s="1149"/>
      <c r="J44" s="1149"/>
      <c r="K44" s="36"/>
    </row>
    <row r="45" spans="1:11" ht="7.5" customHeight="1">
      <c r="A45" s="35"/>
      <c r="B45" s="16">
        <f ca="1">IF(F45=0,"",IF(AND(F45&lt;9,VLOOKUP("Top - Front",'R2_G3'!$B$19:$N$19,12-COUNTIF('R2_G3'!$E$19:$M$19,"."))*-1=0),"AS",
IF(AND(F45&lt;9,VLOOKUP("Top - Front",'R2_G3'!$B$19:$N$19,12-COUNTIF('R2_G3'!$E$19:$M$19,"."))*-1&gt;0), "+"
&amp; VLOOKUP("Top - Front",'R2_G3'!$B$19:$N$19,12-COUNTIF('R2_G3'!$E$19:$M$19,"."))*-1,
IF(F45&gt;8,VLOOKUP($G$25,'Master Input'!$O$12:$R$23,'Master Input'!$P$11,FALSE)-'R2_G3'!$N$19,
VLOOKUP("Top - Front",'R2_G3'!$B$19:$N$19,12-COUNTIF('R2_G3'!$E$19:$M$19,"."))*-1))))</f>
        <v>1</v>
      </c>
      <c r="C45" s="17">
        <f ca="1">IF(F45&lt;10,"",IF(AND(F45&lt;18,VLOOKUP("Top - Overall",'R2_G3'!$P$19:$Z$19,10-COUNTIF('R2_G3'!$P$19:$Z$19,"."))*-1=0),"AS",
IF(AND(F45&lt;18,VLOOKUP("Top - Overall",'R2_G3'!$P$19:$Z$19,10-COUNTIF('R2_G3'!$P$19:$Z$19,"."))*-1&gt;0), "+"
&amp; VLOOKUP("Top - Overall",'R2_G3'!$P$19:$Z$19,10-COUNTIF('R2_G3'!$P$19:$Z$19,"."))*-1,
IF(F45&gt;17,VLOOKUP($G$25,'Master Input'!$O$12:$R$23,'Master Input'!$R$11,FALSE)-'R2_G3'!$Z$19,
VLOOKUP("Top - Overall",'R2_G3'!$P$19:$Z$19,10-COUNTIF('R2_G3'!$P$19:$Z$19,"."))*-1))))</f>
        <v>1</v>
      </c>
      <c r="D45" s="18">
        <f ca="1">IF(F45&lt;10,"",IF(AND(F45&lt;18,VLOOKUP("Top - Back",'R2_G3'!$P$20:$Z$20,10-COUNTIF('R2_G3'!$P$20:$Z$20,"."))*-1=0),"AS",
IF(AND(F45&lt;18,VLOOKUP("Top - Back",'R2_G3'!$P$20:$Z$20,10-COUNTIF('R2_G3'!$P$20:$Z$20,"."))*-1&gt;0), "+"
&amp; VLOOKUP("Top - Back",'R2_G3'!$P$20:$Z$20,10-COUNTIF('R2_G3'!$P$20:$Z$20,"."))*-1,
IF(F45&gt;17,VLOOKUP($G$25,'Master Input'!$O$12:$R$23,'Master Input'!$Q$11,FALSE)-'R2_G3'!$Z$20,
VLOOKUP("Top - Back",'R2_G3'!$P$20:$Z$20,10-COUNTIF('R2_G3'!$P$20:$Z$20,"."))*-1))))</f>
        <v>1</v>
      </c>
      <c r="E45" s="19">
        <f ca="1">IF(AND(F45&gt;8,F45&lt;18),B45, IF(F45=18,SUM(B45:D45),""))</f>
        <v>3</v>
      </c>
      <c r="F45" s="12">
        <f ca="1">20-COUNTIF('R2_G3'!$E$26:$Y$26,"")</f>
        <v>18</v>
      </c>
      <c r="G45" s="19">
        <f ca="1">IF(AND(F45&gt;8,F45&lt;18),J45, IF(F45=18,SUM(H45:J45),""))</f>
        <v>0</v>
      </c>
      <c r="H45" s="20">
        <f ca="1">IF(F45&lt;10,"",IF(AND(F45&lt;18,VLOOKUP("Top - Back",'R2_G3'!$P$20:$Z$20,10-COUNTIF('R2_G3'!$P$20:$Z$20,"."))=0),"AS",
IF(AND(F45&lt;18,VLOOKUP("Top - Back",'R2_G3'!$P$20:$Z$20,10-COUNTIF('R2_G3'!$P$20:$Z$20,"."))&gt;0), "+"
&amp; VLOOKUP("Top - Back",'R2_G3'!$P$20:$Z$20,10-COUNTIF('R2_G3'!$P$20:$Z$20,".")),
IF(F45&gt;17,'R2_G3'!$Z$20,
VLOOKUP("Top - Back",'R2_G3'!$P$20:$Z$20,10-COUNTIF('R2_G3'!$P$20:$Z$20,"."))))))</f>
        <v>0</v>
      </c>
      <c r="I45" s="20">
        <f ca="1">IF(F45&lt;10,"",IF(AND(F45&lt;18,VLOOKUP("Top - Overall",'R2_G3'!$P$19:$Z$19,10-COUNTIF('R2_G3'!$P$19:$Z$19,"."))=0),"AS",
IF(AND(F45&lt;18,VLOOKUP("Top - Overall",'R2_G3'!$P$19:$Z$19,10-COUNTIF('R2_G3'!$P$19:$Z$19,"."))&gt;0), "+"
&amp; VLOOKUP("Top - Overall",'R2_G3'!$P$19:$Z$19,10-COUNTIF('R2_G3'!$P$19:$Z$19,".")),
IF(F45&gt;17,'R2_G3'!$Z$19,
VLOOKUP("Top - Overall",'R2_G3'!$P$19:$Z$19,10-COUNTIF('R2_G3'!$P$19:$Z$19,"."))))))</f>
        <v>0</v>
      </c>
      <c r="J45" s="16">
        <f ca="1">IF(F45=0,"",IF(AND(F45&lt;9,VLOOKUP("Top - Front",'R2_G3'!$B$19:$N$19,12-COUNTIF('R2_G3'!$E$19:$M$19,"."))=0),"AS",
IF(AND(F45&lt;9,VLOOKUP("Top - Front",'R2_G3'!$B$19:$N$19,12-COUNTIF('R2_G3'!$E$19:$M$19,"."))&gt;0), "+"
&amp; VLOOKUP("Top - Front",'R2_G3'!$B$19:$N$19,12-COUNTIF('R2_G3'!$E$19:$M$19,".")),
IF(F45&gt;8,'R2_G3'!$N$19,
VLOOKUP("Top - Front",'R2_G3'!$B$19:$N$19,12-COUNTIF('R2_G3'!$E$19:$M$19,"."))))))</f>
        <v>0</v>
      </c>
      <c r="K45" s="36"/>
    </row>
    <row r="46" spans="1:11" ht="7.5" customHeight="1">
      <c r="A46" s="38"/>
      <c r="B46" s="22" t="s">
        <v>7</v>
      </c>
      <c r="C46" s="22" t="s">
        <v>8</v>
      </c>
      <c r="D46" s="22" t="s">
        <v>9</v>
      </c>
      <c r="E46" s="23" t="s">
        <v>10</v>
      </c>
      <c r="F46" s="37"/>
      <c r="G46" s="23" t="s">
        <v>10</v>
      </c>
      <c r="H46" s="22" t="s">
        <v>9</v>
      </c>
      <c r="I46" s="22" t="s">
        <v>8</v>
      </c>
      <c r="J46" s="22" t="s">
        <v>7</v>
      </c>
      <c r="K46" s="38"/>
    </row>
    <row r="47" spans="1:11" ht="7.5" customHeight="1">
      <c r="A47" s="33"/>
      <c r="B47" s="47"/>
      <c r="C47" s="47"/>
      <c r="D47" s="48"/>
      <c r="E47" s="48"/>
      <c r="F47" s="49"/>
      <c r="G47" s="48"/>
      <c r="H47" s="48"/>
      <c r="I47" s="47"/>
      <c r="J47" s="47"/>
      <c r="K47" s="33"/>
    </row>
    <row r="48" spans="1:11" ht="7.5" customHeight="1">
      <c r="A48" s="35"/>
      <c r="B48" s="1145" t="str">
        <f>'Match Selection'!S10</f>
        <v>DK</v>
      </c>
      <c r="C48" s="1148"/>
      <c r="D48" s="1148"/>
      <c r="E48" s="1148"/>
      <c r="F48" s="13" t="s">
        <v>6</v>
      </c>
      <c r="G48" s="1142" t="str">
        <f>'Match Selection'!P10</f>
        <v>Andy</v>
      </c>
      <c r="H48" s="1149"/>
      <c r="I48" s="1149"/>
      <c r="J48" s="1149"/>
      <c r="K48" s="36"/>
    </row>
    <row r="49" spans="1:11" ht="7.5" customHeight="1">
      <c r="A49" s="35"/>
      <c r="B49" s="16">
        <f ca="1">IF(F49=0,"",IF(AND(F49&lt;9,VLOOKUP("Top - Front",'R2_G3'!$B$21:$N$21,12-COUNTIF('R2_G3'!$E$21:$M$21,"."))*-1=0),"AS",
IF(AND(F49&lt;9,VLOOKUP("Top - Front",'R2_G3'!$B$21:$N$21,12-COUNTIF('R2_G3'!$E$21:$M$21,"."))*-1&gt;0), "+"
&amp; VLOOKUP("Top - Front",'R2_G3'!$B$21:$N$21,12-COUNTIF('R2_G3'!$E$21:$M$21,"."))*-1,
IF(F49&gt;8,VLOOKUP($G$25,'Master Input'!$O$12:$R$23,'Master Input'!$P$11,FALSE)-'R2_G3'!$N$21,
VLOOKUP("Top - Front",'R2_G3'!$B$21:$N$21,12-COUNTIF('R2_G3'!$E$21:$M$21,"."))*-1))))</f>
        <v>1</v>
      </c>
      <c r="C49" s="17">
        <f ca="1">IF(F49&lt;10,"",IF(AND(F49&lt;18,VLOOKUP("Top - Overall",'R2_G3'!$P$21:$Z$21,10-COUNTIF('R2_G3'!$P$21:$Z$21,"."))*-1=0),"AS",
IF(AND(F49&lt;18,VLOOKUP("Top - Overall",'R2_G3'!$P$21:$Z$21,10-COUNTIF('R2_G3'!$P$21:$Z$21,"."))*-1&gt;0), "+"
&amp; VLOOKUP("Top - Overall",'R2_G3'!$P$21:$Z$21,10-COUNTIF('R2_G3'!$P$21:$Z$21,"."))*-1,
IF(F49&gt;17,VLOOKUP($G$25,'Master Input'!$O$12:$R$23,'Master Input'!$R$11,FALSE)-'R2_G3'!$Z$21,
VLOOKUP("Top - Overall",'R2_G3'!$P$21:$Z$21,10-COUNTIF('R2_G3'!$P$21:$Z$21,"."))*-1))))</f>
        <v>1</v>
      </c>
      <c r="D49" s="18">
        <f ca="1">IF(F49&lt;10,"",IF(AND(F49&lt;18,VLOOKUP("Top - Back",'R2_G3'!$P$22:$Z$22,10-COUNTIF('R2_G3'!$P$22:$Z$22,"."))*-1=0),"AS",
IF(AND(F49&lt;18,VLOOKUP("Top - Back",'R2_G3'!$P$22:$Z$22,10-COUNTIF('R2_G3'!$P$22:$Z$22,"."))*-1&gt;0), "+"
&amp; VLOOKUP("Top - Back",'R2_G3'!$P$22:$Z$22,10-COUNTIF('R2_G3'!$P$22:$Z$22,"."))*-1,
IF(F49&gt;17,VLOOKUP($G$25,'Master Input'!$O$12:$R$23,'Master Input'!$Q$11,FALSE)-'R2_G3'!$Z$22,
VLOOKUP("Top - Back",'R2_G3'!$P$22:$Z$22,10-COUNTIF('R2_G3'!$P$22:$Z$22,"."))*-1))))</f>
        <v>1</v>
      </c>
      <c r="E49" s="19">
        <f ca="1">IF(AND(F49&gt;8,F49&lt;18),B49, IF(F49=18,SUM(B49:D49),""))</f>
        <v>3</v>
      </c>
      <c r="F49" s="12">
        <f ca="1">20-COUNTIF('R2_G3'!$E$29:$Y$29,"")</f>
        <v>18</v>
      </c>
      <c r="G49" s="19">
        <f ca="1">IF(AND(F49&gt;8,F49&lt;18),J49, IF(F49=18,SUM(H49:J49),""))</f>
        <v>0</v>
      </c>
      <c r="H49" s="20">
        <f ca="1">IF(F49&lt;10,"",IF(AND(F49&lt;18,VLOOKUP("Top - Back",'R2_G3'!$P$22:$Z$22,10-COUNTIF('R2_G3'!$P$22:$Z$22,"."))=0),"AS",
IF(AND(F49&lt;18,VLOOKUP("Top - Back",'R2_G3'!$P$22:$Z$22,10-COUNTIF('R2_G3'!$P$22:$Z$22,"."))&gt;0), "+"
&amp; VLOOKUP("Top - Back",'R2_G3'!$P$22:$Z$22,10-COUNTIF('R2_G3'!$P$22:$Z$22,".")),
IF(F49&gt;17,'R2_G3'!$Z$22,
VLOOKUP("Top - Back",'R2_G3'!$P$22:$Z$22,10-COUNTIF('R2_G3'!$P$22:$Z$22,"."))))))</f>
        <v>0</v>
      </c>
      <c r="I49" s="20">
        <f ca="1">IF(F49&lt;10,"",IF(AND(F49&lt;18,VLOOKUP("Top - Overall",'R2_G3'!$P$21:$Z$21,10-COUNTIF('R2_G3'!$P$21:$Z$21,"."))=0),"AS",
IF(AND(F49&lt;18,VLOOKUP("Top - Overall",'R2_G3'!$P$21:$Z$21,10-COUNTIF('R2_G3'!$P$21:$Z$21,"."))&gt;0), "+"
&amp; VLOOKUP("Top - Overall",'R2_G3'!$P$21:$Z$21,10-COUNTIF('R2_G3'!$P$21:$Z$21,".")),
IF(F49&gt;17,'R2_G3'!$Z$21,
VLOOKUP("Top - Overall",'R2_G3'!$P$21:$Z$21,10-COUNTIF('R2_G3'!$P$21:$Z$21,"."))))))</f>
        <v>0</v>
      </c>
      <c r="J49" s="16">
        <f ca="1">IF(F49=0,"",IF(AND(F49&lt;9,VLOOKUP("Top - Front",'R2_G3'!$B$21:$N$21,12-COUNTIF('R2_G3'!$E$21:$M$21,"."))=0),"AS",
IF(AND(F49&lt;9,VLOOKUP("Top - Front",'R2_G3'!$B$21:$N$21,12-COUNTIF('R2_G3'!$E$21:$M$21,"."))&gt;0), "+"
&amp; VLOOKUP("Top - Front",'R2_G3'!$B$21:$N$21,12-COUNTIF('R2_G3'!$E$21:$M$21,".")),
IF(F49&gt;8,'R2_G3'!$N$21,
VLOOKUP("Top - Front",'R2_G3'!$B$21:$N$21,12-COUNTIF('R2_G3'!$E$21:$M$21,"."))))))</f>
        <v>0</v>
      </c>
      <c r="K49" s="36"/>
    </row>
    <row r="50" spans="1:11" ht="7.5" customHeight="1">
      <c r="A50" s="38"/>
      <c r="B50" s="22" t="s">
        <v>7</v>
      </c>
      <c r="C50" s="22" t="s">
        <v>8</v>
      </c>
      <c r="D50" s="22" t="s">
        <v>9</v>
      </c>
      <c r="E50" s="23" t="s">
        <v>10</v>
      </c>
      <c r="F50" s="37"/>
      <c r="G50" s="23" t="s">
        <v>10</v>
      </c>
      <c r="H50" s="22" t="s">
        <v>9</v>
      </c>
      <c r="I50" s="22" t="s">
        <v>8</v>
      </c>
      <c r="J50" s="22" t="s">
        <v>7</v>
      </c>
      <c r="K50" s="38"/>
    </row>
    <row r="51" spans="1:11" ht="7.5" customHeight="1">
      <c r="A51" s="33"/>
      <c r="B51" s="47"/>
      <c r="C51" s="47"/>
      <c r="D51" s="48"/>
      <c r="E51" s="48"/>
      <c r="F51" s="49"/>
      <c r="G51" s="48"/>
      <c r="H51" s="48"/>
      <c r="I51" s="47"/>
      <c r="J51" s="47"/>
      <c r="K51" s="33"/>
    </row>
    <row r="52" spans="1:11" ht="7.5" customHeight="1">
      <c r="A52" s="35"/>
      <c r="B52" s="1145" t="str">
        <f>'Match Selection'!Y9</f>
        <v>R-Mac</v>
      </c>
      <c r="C52" s="1148"/>
      <c r="D52" s="1148"/>
      <c r="E52" s="1148"/>
      <c r="F52" s="13" t="s">
        <v>6</v>
      </c>
      <c r="G52" s="1142" t="str">
        <f>'Match Selection'!V9</f>
        <v>Joe O</v>
      </c>
      <c r="H52" s="1149"/>
      <c r="I52" s="1149"/>
      <c r="J52" s="1149"/>
      <c r="K52" s="36"/>
    </row>
    <row r="53" spans="1:11" ht="7.5" customHeight="1">
      <c r="A53" s="35"/>
      <c r="B53" s="16">
        <f ca="1">IF(F53=0,"",IF(AND(F53&lt;9,VLOOKUP("Top - Front",'R2_G4'!$B$19:$N$19,12-COUNTIF('R2_G4'!$E$19:$M$19,"."))*-1=0),"AS",
IF(AND(F53&lt;9,VLOOKUP("Top - Front",'R2_G4'!$B$19:$N$19,12-COUNTIF('R2_G4'!$E$19:$M$19,"."))*-1&gt;0), "+"
&amp; VLOOKUP("Top - Front",'R2_G4'!$B$19:$N$19,12-COUNTIF('R2_G4'!$E$19:$M$19,"."))*-1,
IF(F53&gt;8,VLOOKUP($G$25,'Master Input'!$O$12:$R$23,'Master Input'!$P$11,FALSE)-'R2_G4'!$N$19,
VLOOKUP("Top - Front",'R2_G4'!$B$19:$N$19,12-COUNTIF('R2_G4'!$E$19:$M$19,"."))*-1))))</f>
        <v>1</v>
      </c>
      <c r="C53" s="17">
        <f ca="1">IF(F53&lt;10,"",IF(AND(F53&lt;18,VLOOKUP("Top - Overall",'R2_G4'!$P$19:$Z$19,10-COUNTIF('R2_G4'!$P$19:$Z$19,"."))*-1=0),"AS",
IF(AND(F53&lt;18,VLOOKUP("Top - Overall",'R2_G4'!$P$19:$Z$19,10-COUNTIF('R2_G4'!$P$19:$Z$19,"."))*-1&gt;0), "+"
&amp; VLOOKUP("Top - Overall",'R2_G4'!$P$19:$Z$19,10-COUNTIF('R2_G4'!$P$19:$Z$19,"."))*-1,
IF(F53&gt;17,VLOOKUP($G$25,'Master Input'!$O$12:$R$23,'Master Input'!$R$11,FALSE)-'R2_G4'!$Z$19,
VLOOKUP("Top - Overall",'R2_G4'!$P$19:$Z$19,10-COUNTIF('R2_G4'!$P$19:$Z$19,"."))*-1))))</f>
        <v>1</v>
      </c>
      <c r="D53" s="18">
        <f ca="1">IF(F53&lt;10,"",IF(AND(F53&lt;18,VLOOKUP("Top - Back",'R2_G4'!$P$20:$Z$20,10-COUNTIF('R2_G4'!$P$20:$Z$20,"."))*-1=0),"AS",
IF(AND(F53&lt;18,VLOOKUP("Top - Back",'R2_G4'!$P$20:$Z$20,10-COUNTIF('R2_G4'!$P$20:$Z$20,"."))*-1&gt;0), "+"
&amp; VLOOKUP("Top - Back",'R2_G4'!$P$20:$Z$20,10-COUNTIF('R2_G4'!$P$20:$Z$20,"."))*-1,
IF(F53&gt;17,VLOOKUP($G$25,'Master Input'!$O$12:$R$23,'Master Input'!$Q$11,FALSE)-'R2_G4'!$Z$20,
VLOOKUP("Top - Back",'R2_G4'!$P$20:$Z$20,10-COUNTIF('R2_G4'!$P$20:$Z$20,"."))*-1))))</f>
        <v>1</v>
      </c>
      <c r="E53" s="19">
        <f ca="1">IF(AND(F53&gt;8,F53&lt;18),B53, IF(F53=18,SUM(B53:D53),""))</f>
        <v>3</v>
      </c>
      <c r="F53" s="4">
        <f ca="1">20-COUNTIF('R2_G4'!$E$26:$Y$26,"")</f>
        <v>18</v>
      </c>
      <c r="G53" s="19">
        <f ca="1">IF(AND(F53&gt;8,F53&lt;18),J53, IF(F53=18,SUM(H53:J53),""))</f>
        <v>0</v>
      </c>
      <c r="H53" s="20">
        <f ca="1">IF(F53&lt;10,"",IF(AND(F53&lt;18,VLOOKUP("Top - Back",'R2_G4'!$P$20:$Z$20,10-COUNTIF('R2_G4'!$P$20:$Z$20,"."))=0),"AS",
IF(AND(F53&lt;18,VLOOKUP("Top - Back",'R2_G4'!$P$20:$Z$20,10-COUNTIF('R2_G4'!$P$20:$Z$20,"."))&gt;0), "+"
&amp; VLOOKUP("Top - Back",'R2_G4'!$P$20:$Z$20,10-COUNTIF('R2_G4'!$P$20:$Z$20,".")),
IF(F53&gt;17,'R2_G4'!$Z$20,
VLOOKUP("Top - Back",'R2_G4'!$P$20:$Z$20,10-COUNTIF('R2_G4'!$P$20:$Z$20,"."))))))</f>
        <v>0</v>
      </c>
      <c r="I53" s="20">
        <f ca="1">IF(F53&lt;10,"",IF(AND(F53&lt;18,VLOOKUP("Top - Overall",'R2_G4'!$P$19:$Z$19,10-COUNTIF('R2_G4'!$P$19:$Z$19,"."))=0),"AS",
IF(AND(F53&lt;18,VLOOKUP("Top - Overall",'R2_G4'!$P$19:$Z$19,10-COUNTIF('R2_G4'!$P$19:$Z$19,"."))&gt;0), "+"
&amp; VLOOKUP("Top - Overall",'R2_G4'!$P$19:$Z$19,10-COUNTIF('R2_G4'!$P$19:$Z$19,".")),
IF(F53&gt;17,'R2_G4'!$Z$19,
VLOOKUP("Top - Overall",'R2_G4'!$P$19:$Z$19,10-COUNTIF('R2_G4'!$P$19:$Z$19,"."))))))</f>
        <v>0</v>
      </c>
      <c r="J53" s="16">
        <f ca="1">IF(F53=0,"",IF(AND(F53&lt;9,VLOOKUP("Top - Front",'R2_G4'!$B$19:$N$19,12-COUNTIF('R2_G4'!$E$19:$M$19,"."))=0),"AS",
IF(AND(F53&lt;9,VLOOKUP("Top - Front",'R2_G4'!$B$19:$N$19,12-COUNTIF('R2_G4'!$E$19:$M$19,"."))&gt;0), "+"
&amp; VLOOKUP("Top - Front",'R2_G4'!$B$19:$N$19,12-COUNTIF('R2_G4'!$E$19:$M$19,".")),
IF(F53&gt;8,'R2_G4'!$N$19,
VLOOKUP("Top - Front",'R2_G4'!$B$19:$N$19,12-COUNTIF('R2_G4'!$E$19:$M$19,"."))))))</f>
        <v>0</v>
      </c>
      <c r="K53" s="36"/>
    </row>
    <row r="54" spans="1:11" ht="7.5" customHeight="1">
      <c r="A54" s="38"/>
      <c r="B54" s="22" t="s">
        <v>7</v>
      </c>
      <c r="C54" s="22" t="s">
        <v>8</v>
      </c>
      <c r="D54" s="22" t="s">
        <v>9</v>
      </c>
      <c r="E54" s="23" t="s">
        <v>10</v>
      </c>
      <c r="F54" s="37"/>
      <c r="G54" s="23" t="s">
        <v>10</v>
      </c>
      <c r="H54" s="22" t="s">
        <v>9</v>
      </c>
      <c r="I54" s="22" t="s">
        <v>8</v>
      </c>
      <c r="J54" s="22" t="s">
        <v>7</v>
      </c>
      <c r="K54" s="38"/>
    </row>
    <row r="55" spans="1:11" ht="7.5" customHeight="1">
      <c r="A55" s="33"/>
      <c r="B55" s="47"/>
      <c r="C55" s="47"/>
      <c r="D55" s="48"/>
      <c r="E55" s="48"/>
      <c r="F55" s="49"/>
      <c r="G55" s="48"/>
      <c r="H55" s="48"/>
      <c r="I55" s="47"/>
      <c r="J55" s="47"/>
      <c r="K55" s="33"/>
    </row>
    <row r="56" spans="1:11" ht="7.5" customHeight="1">
      <c r="A56" s="35"/>
      <c r="B56" s="1145" t="str">
        <f>'Match Selection'!Y10</f>
        <v>Saugy</v>
      </c>
      <c r="C56" s="1148"/>
      <c r="D56" s="1148"/>
      <c r="E56" s="1148"/>
      <c r="F56" s="13" t="s">
        <v>6</v>
      </c>
      <c r="G56" s="1142" t="str">
        <f>'Match Selection'!V10</f>
        <v>Hile</v>
      </c>
      <c r="H56" s="1149"/>
      <c r="I56" s="1149"/>
      <c r="J56" s="1149"/>
      <c r="K56" s="36"/>
    </row>
    <row r="57" spans="1:11" ht="7.5" customHeight="1">
      <c r="A57" s="35"/>
      <c r="B57" s="16">
        <f ca="1">IF(F57=0,"",IF(AND(F57&lt;9,VLOOKUP("Top - Front",'R2_G4'!$B$21:$N$21,12-COUNTIF('R2_G4'!$E$21:$M$21,"."))*-1=0),"AS",
IF(AND(F57&lt;9,VLOOKUP("Top - Front",'R2_G4'!$B$21:$N$21,12-COUNTIF('R2_G4'!$E$21:$M$21,"."))*-1&gt;0), "+"
&amp; VLOOKUP("Top - Front",'R2_G4'!$B$21:$N$21,12-COUNTIF('R2_G4'!$E$21:$M$21,"."))*-1,
IF(F57&gt;8,VLOOKUP($G$25,'Master Input'!$O$12:$R$23,'Master Input'!$P$11,FALSE)-'R2_G4'!$N$21,
VLOOKUP("Top - Front",'R2_G4'!$B$21:$N$21,12-COUNTIF('R2_G4'!$E$21:$M$21,"."))*-1))))</f>
        <v>1</v>
      </c>
      <c r="C57" s="17">
        <f ca="1">IF(F57&lt;10,"",IF(AND(F57&lt;18,VLOOKUP("Top - Overall",'R2_G4'!$P$21:$Z$21,10-COUNTIF('R2_G4'!$P$21:$Z$21,"."))*-1=0),"AS",
IF(AND(F57&lt;18,VLOOKUP("Top - Overall",'R2_G4'!$P$21:$Z$21,10-COUNTIF('R2_G4'!$P$21:$Z$21,"."))*-1&gt;0), "+"
&amp; VLOOKUP("Top - Overall",'R2_G4'!$P$21:$Z$21,10-COUNTIF('R2_G4'!$P$21:$Z$21,"."))*-1,
IF(F57&gt;17,VLOOKUP($G$25,'Master Input'!$O$12:$R$23,'Master Input'!$R$11,FALSE)-'R2_G4'!$Z$21,
VLOOKUP("Top - Overall",'R2_G4'!$P$21:$Z$21,10-COUNTIF('R2_G4'!$P$21:$Z$21,"."))*-1))))</f>
        <v>0.5</v>
      </c>
      <c r="D57" s="18">
        <f ca="1">IF(F57&lt;10,"",IF(AND(F57&lt;18,VLOOKUP("Top - Back",'R2_G4'!$P$22:$Z$22,10-COUNTIF('R2_G4'!$P$22:$Z$22,"."))*-1=0),"AS",
IF(AND(F57&lt;18,VLOOKUP("Top - Back",'R2_G4'!$P$22:$Z$22,10-COUNTIF('R2_G4'!$P$22:$Z$22,"."))*-1&gt;0), "+"
&amp; VLOOKUP("Top - Back",'R2_G4'!$P$22:$Z$22,10-COUNTIF('R2_G4'!$P$22:$Z$22,"."))*-1,
IF(F57&gt;17,VLOOKUP($G$25,'Master Input'!$O$12:$R$23,'Master Input'!$Q$11,FALSE)-'R2_G4'!$Z$22,
VLOOKUP("Top - Back",'R2_G4'!$P$22:$Z$22,10-COUNTIF('R2_G4'!$P$22:$Z$22,"."))*-1))))</f>
        <v>0</v>
      </c>
      <c r="E57" s="19">
        <f ca="1">IF(AND(F57&gt;8,F57&lt;18),B57, IF(F57=18,SUM(B57:D57),""))</f>
        <v>1.5</v>
      </c>
      <c r="F57" s="12">
        <f ca="1">20-COUNTIF('R2_G4'!$E$29:$Y$29,"")</f>
        <v>18</v>
      </c>
      <c r="G57" s="19">
        <f ca="1">IF(AND(F57&gt;8,F57&lt;18),J57, IF(F57=18,SUM(H57:J57),""))</f>
        <v>1.5</v>
      </c>
      <c r="H57" s="20">
        <f ca="1">IF(F57&lt;10,"",IF(AND(F57&lt;18,VLOOKUP("Top - Back",'R2_G4'!$P$22:$Z$22,10-COUNTIF('R2_G4'!$P$22:$Z$22,"."))=0),"AS",
IF(AND(F57&lt;18,VLOOKUP("Top - Back",'R2_G4'!$P$22:$Z$22,10-COUNTIF('R2_G4'!$P$22:$Z$22,"."))&gt;0), "+"
&amp; VLOOKUP("Top - Back",'R2_G4'!$P$22:$Z$22,10-COUNTIF('R2_G4'!$P$22:$Z$22,".")),
IF(F57&gt;17,'R2_G4'!$Z$22,
VLOOKUP("Top - Back",'R2_G4'!$P$22:$Z$22,10-COUNTIF('R2_G4'!$P$22:$Z$22,"."))))))</f>
        <v>1</v>
      </c>
      <c r="I57" s="20">
        <f ca="1">IF(F57&lt;10,"",IF(AND(F57&lt;18,VLOOKUP("Top - Overall",'R2_G4'!$P$21:$Z$21,10-COUNTIF('R2_G4'!$P$21:$Z$21,"."))=0),"AS",
IF(AND(F57&lt;18,VLOOKUP("Top - Overall",'R2_G4'!$P$21:$Z$21,10-COUNTIF('R2_G4'!$P$21:$Z$21,"."))&gt;0), "+"
&amp; VLOOKUP("Top - Overall",'R2_G4'!$P$21:$Z$21,10-COUNTIF('R2_G4'!$P$21:$Z$21,".")),
IF(F57&gt;17,'R2_G4'!$Z$21,
VLOOKUP("Top - Overall",'R2_G4'!$P$21:$Z$21,10-COUNTIF('R2_G4'!$P$21:$Z$21,"."))))))</f>
        <v>0.5</v>
      </c>
      <c r="J57" s="16">
        <f ca="1">IF(F57=0,"",IF(AND(F57&lt;9,VLOOKUP("Top - Front",'R2_G4'!$B$21:$N$21,12-COUNTIF('R2_G4'!$E$21:$M$21,"."))=0),"AS",
IF(AND(F57&lt;9,VLOOKUP("Top - Front",'R2_G4'!$B$21:$N$21,12-COUNTIF('R2_G4'!$E$21:$M$21,"."))&gt;0), "+"
&amp; VLOOKUP("Top - Front",'R2_G4'!$B$21:$N$21,12-COUNTIF('R2_G4'!$E$21:$M$21,".")),
IF(F57&gt;8,'R2_G4'!$N$21,
VLOOKUP("Top - Front",'R2_G4'!$B$21:$N$21,12-COUNTIF('R2_G4'!$E$21:$M$21,"."))))))</f>
        <v>0</v>
      </c>
      <c r="K57" s="36"/>
    </row>
    <row r="58" spans="1:11" ht="7.5" customHeight="1">
      <c r="A58" s="38"/>
      <c r="B58" s="22" t="s">
        <v>7</v>
      </c>
      <c r="C58" s="22" t="s">
        <v>8</v>
      </c>
      <c r="D58" s="22" t="s">
        <v>9</v>
      </c>
      <c r="E58" s="23" t="s">
        <v>10</v>
      </c>
      <c r="F58" s="37"/>
      <c r="G58" s="23" t="s">
        <v>10</v>
      </c>
      <c r="H58" s="22" t="s">
        <v>9</v>
      </c>
      <c r="I58" s="22" t="s">
        <v>8</v>
      </c>
      <c r="J58" s="22" t="s">
        <v>7</v>
      </c>
      <c r="K58" s="38"/>
    </row>
    <row r="59" spans="1:11" ht="7.5" customHeight="1">
      <c r="A59" s="4"/>
      <c r="B59" s="4"/>
      <c r="C59" s="15"/>
      <c r="D59" s="15"/>
      <c r="E59" s="15"/>
      <c r="F59" s="15"/>
      <c r="G59" s="15"/>
      <c r="H59" s="15"/>
      <c r="I59" s="15"/>
      <c r="J59" s="4"/>
      <c r="K59" s="15"/>
    </row>
    <row r="60" spans="1:11" ht="11.25" customHeight="1">
      <c r="A60" s="10"/>
      <c r="B60" s="1137" t="str">
        <f>'Master Input'!I6</f>
        <v>The Wolverine - Blue</v>
      </c>
      <c r="C60" s="1129"/>
      <c r="D60" s="1129"/>
      <c r="E60" s="1129"/>
      <c r="F60" s="11"/>
      <c r="G60" s="1137" t="str">
        <f>'Master Input'!J6</f>
        <v>2-Man Scramble</v>
      </c>
      <c r="H60" s="1129"/>
      <c r="I60" s="1129"/>
      <c r="J60" s="1129"/>
      <c r="K60" s="10"/>
    </row>
    <row r="61" spans="1:11" ht="11.25" customHeight="1">
      <c r="A61" s="1157" t="s">
        <v>11</v>
      </c>
      <c r="B61" s="1139"/>
      <c r="C61" s="1139"/>
      <c r="D61" s="1139"/>
      <c r="E61" s="1139"/>
      <c r="F61" s="1139"/>
      <c r="G61" s="1139"/>
      <c r="H61" s="1139"/>
      <c r="I61" s="1139"/>
      <c r="J61" s="1139"/>
      <c r="K61" s="1139"/>
    </row>
    <row r="62" spans="1:11" ht="7.5" customHeight="1">
      <c r="A62" s="4"/>
      <c r="B62" s="12"/>
      <c r="C62" s="13"/>
      <c r="D62" s="14"/>
      <c r="E62" s="14"/>
      <c r="F62" s="13"/>
      <c r="G62" s="13"/>
      <c r="H62" s="14"/>
      <c r="I62" s="13"/>
      <c r="J62" s="12"/>
      <c r="K62" s="15"/>
    </row>
    <row r="63" spans="1:11" ht="7.5" customHeight="1">
      <c r="A63" s="4"/>
      <c r="B63" s="1140" t="str">
        <f>'Match Selection'!G14</f>
        <v>Telly</v>
      </c>
      <c r="C63" s="1141"/>
      <c r="D63" s="1140" t="str">
        <f>'Match Selection'!G15</f>
        <v>KJ</v>
      </c>
      <c r="E63" s="1141"/>
      <c r="F63" s="13" t="s">
        <v>6</v>
      </c>
      <c r="G63" s="1142" t="str">
        <f>'Match Selection'!D14</f>
        <v>Elger</v>
      </c>
      <c r="H63" s="1143"/>
      <c r="I63" s="1144" t="str">
        <f>'Match Selection'!D15</f>
        <v>Andy</v>
      </c>
      <c r="J63" s="1141"/>
      <c r="K63" s="15"/>
    </row>
    <row r="64" spans="1:11" ht="7.5" customHeight="1">
      <c r="A64" s="4"/>
      <c r="B64" s="50">
        <f ca="1">IF(F64=0,"",IF(AND(F64&lt;9,VLOOKUP("Match - Front",'R3_G1'!$B$19:$N$19,12-COUNTIF('R3_G1'!$E$19:$M$19,"."))*-1=0),"AS",
IF(AND(F64&lt;9,VLOOKUP("Match - Front",'R3_G1'!$B$19:$N$19,12-COUNTIF('R3_G1'!$E$19:$M$19,"."))*-1&gt;0), "+"
&amp; VLOOKUP("Match - Front",'R3_G1'!$B$19:$N$19,12-COUNTIF('R3_G1'!$E$19:$M$19,"."))*-1,
IF(F64&gt;8,VLOOKUP($G$60,'Master Input'!$O$12:$R$23,'Master Input'!$P$11,FALSE)-'R3_G1'!$N$19,
VLOOKUP("Match - Front",'R3_G1'!$B$19:$N$19,12-COUNTIF('R3_G1'!$E$19:$M$19,"."))*-1))))</f>
        <v>1</v>
      </c>
      <c r="C64" s="51">
        <f ca="1">IF(F64&lt;10,"",IF(AND(F64&lt;18,VLOOKUP("Match - Overall",'R3_G1'!$P$19:$Z$19,10-COUNTIF('R3_G1'!$P$19:$Z$19,"."))*-1=0),"AS",
IF(AND(F64&lt;18,VLOOKUP("Match - Overall",'R3_G1'!$P$19:$Z$19,10-COUNTIF('R3_G1'!$P$19:$Z$19,"."))*-1&gt;0), "+"
&amp; VLOOKUP("Match - Overall",'R3_G1'!$P$19:$Z$19,10-COUNTIF('R3_G1'!$P$19:$Z$19,"."))*-1,
IF(F64&gt;17,VLOOKUP($G$60,'Master Input'!$O$12:$R$23,'Master Input'!$R$11,FALSE)-'R3_G1'!$Z$19,
VLOOKUP("Match - Overall",'R3_G1'!$P$19:$Z$19,10-COUNTIF('R3_G1'!$P$19:$Z$19,"."))*-1))))</f>
        <v>2</v>
      </c>
      <c r="D64" s="52">
        <f ca="1">IF(F64&lt;10,"",IF(AND(F64&lt;18,VLOOKUP("Match - Overall",'R3_G1'!$P$20:$Z$20,10-COUNTIF('R3_G1'!$P$20:$Z$20,"."))*-1=0),"AS",
IF(AND(F64&lt;18,VLOOKUP("Match - Overall",'R3_G1'!$P$20:$Z$20,10-COUNTIF('R3_G1'!$P$20:$Z$20,"."))*-1&gt;0), "+"
&amp; VLOOKUP("Match - Overall",'R3_G1'!$P$20:$Z$20,10-COUNTIF('R3_G1'!$P$20:$Z$20,"."))*-1,
IF(F64&gt;17,VLOOKUP($G$60,'Master Input'!$O$12:$R$23,'Master Input'!$Q$11,FALSE)-'R3_G1'!$Z$20,
VLOOKUP("Match - Overall",'R3_G1'!$P$20:$Z$20,10-COUNTIF('R3_G1'!$P$20:$Z$20,"."))*-1))))</f>
        <v>0</v>
      </c>
      <c r="E64" s="53">
        <f ca="1">IF(AND(F64&gt;8,F64&lt;18),B64, IF(F64=18,SUM(B64:D64),""))</f>
        <v>3</v>
      </c>
      <c r="F64" s="12">
        <f ca="1">21-COUNTIF('R3_G1'!$E$23:$Y$23,"")</f>
        <v>18</v>
      </c>
      <c r="G64" s="53">
        <f ca="1">IF(AND(F64&gt;8,F64&lt;18),J64, IF(F64=18,SUM(H64:J64),""))</f>
        <v>1</v>
      </c>
      <c r="H64" s="54">
        <f ca="1">IF(F64&lt;10,"",IF(AND(F64&lt;18,VLOOKUP("Match - Overall",'R3_G1'!$P$20:$Z$20,10-COUNTIF('R3_G1'!$P$20:$Z$20,"."))=0),"AS",
IF(AND(F64&lt;18,VLOOKUP("Match - Overall",'R3_G1'!$P$20:$Z$20,10-COUNTIF('R3_G1'!$P$20:$Z$20,"."))&gt;0), "+"
&amp; VLOOKUP("Match - Overall",'R3_G1'!$P$20:$Z$20,10-COUNTIF('R3_G1'!$P$20:$Z$20,".")),
IF(F64&gt;17,'R3_G1'!$Z$20,
VLOOKUP("Match - Overall",'R3_G1'!$P$20:$Z$20,10-COUNTIF('R3_G1'!$P$20:$Z$20,"."))))))</f>
        <v>1</v>
      </c>
      <c r="I64" s="54">
        <f ca="1">IF(F64&lt;10,"",IF(AND(F64&lt;18,VLOOKUP("Match - Overall",'R3_G1'!$P$19:$Z$19,10-COUNTIF('R3_G1'!$P$19:$Z$19,"."))=0),"AS",
IF(AND(F64&lt;18,VLOOKUP("Match - Overall",'R3_G1'!$P$19:$Z$19,10-COUNTIF('R3_G1'!$P$19:$Z$19,"."))&gt;0), "+"
&amp; VLOOKUP("Match - Overall",'R3_G1'!$P$19:$Z$19,10-COUNTIF('R3_G1'!$P$19:$Z$19,".")),
IF(F64&gt;17,'R3_G1'!$Z$19,
VLOOKUP("Match - Overall",'R3_G1'!$P$19:$Z$19,10-COUNTIF('R3_G1'!$P$19:$Z$19,"."))))))</f>
        <v>0</v>
      </c>
      <c r="J64" s="50">
        <f ca="1">IF(F64=0,"",IF(AND(F64&lt;9,VLOOKUP("Match - Front",'R3_G1'!$B$19:$N$19,12-COUNTIF('R3_G1'!$E$19:$M$19,"."))=0),"AS",
IF(AND(F64&lt;9,VLOOKUP("Match - Front",'R3_G1'!$B$19:$N$19,12-COUNTIF('R3_G1'!$E$19:$M$19,"."))&gt;0), "+"
&amp; VLOOKUP("Match - Front",'R3_G1'!$B$19:$N$19,12-COUNTIF('R3_G1'!$E$19:$M$19,".")),
IF(F64&gt;8,'R3_G1'!$N$19,
VLOOKUP("Match - Front",'R3_G1'!$B$19:$N$19,12-COUNTIF('R3_G1'!$E$19:$M$19,"."))))))</f>
        <v>0</v>
      </c>
      <c r="K64" s="15"/>
    </row>
    <row r="65" spans="1:11" ht="7.5" customHeight="1">
      <c r="A65" s="21"/>
      <c r="B65" s="22" t="s">
        <v>7</v>
      </c>
      <c r="C65" s="22" t="s">
        <v>8</v>
      </c>
      <c r="D65" s="22" t="s">
        <v>9</v>
      </c>
      <c r="E65" s="23" t="s">
        <v>10</v>
      </c>
      <c r="F65" s="24"/>
      <c r="G65" s="23" t="s">
        <v>10</v>
      </c>
      <c r="H65" s="22" t="s">
        <v>9</v>
      </c>
      <c r="I65" s="22" t="s">
        <v>8</v>
      </c>
      <c r="J65" s="22" t="s">
        <v>7</v>
      </c>
      <c r="K65" s="25"/>
    </row>
    <row r="66" spans="1:11" ht="7.5" customHeight="1">
      <c r="A66" s="4"/>
      <c r="B66" s="26"/>
      <c r="C66" s="26"/>
      <c r="D66" s="2"/>
      <c r="E66" s="2"/>
      <c r="F66" s="8"/>
      <c r="G66" s="2"/>
      <c r="H66" s="2"/>
      <c r="I66" s="26"/>
      <c r="J66" s="26"/>
      <c r="K66" s="8"/>
    </row>
    <row r="67" spans="1:11" ht="7.5" customHeight="1">
      <c r="A67" s="4"/>
      <c r="B67" s="1140" t="str">
        <f>'Match Selection'!M14</f>
        <v>R-Mac</v>
      </c>
      <c r="C67" s="1141"/>
      <c r="D67" s="1140" t="str">
        <f>'Match Selection'!M15</f>
        <v>CuzNick</v>
      </c>
      <c r="E67" s="1141"/>
      <c r="F67" s="13" t="s">
        <v>6</v>
      </c>
      <c r="G67" s="1142" t="str">
        <f>'Match Selection'!J14</f>
        <v>Jensen</v>
      </c>
      <c r="H67" s="1143"/>
      <c r="I67" s="1144" t="str">
        <f>'Match Selection'!J15</f>
        <v>Pace</v>
      </c>
      <c r="J67" s="1141"/>
      <c r="K67" s="15"/>
    </row>
    <row r="68" spans="1:11" ht="7.5" customHeight="1">
      <c r="A68" s="4"/>
      <c r="B68" s="50">
        <f ca="1">IF(F68=0,"",IF(AND(F68&lt;9,VLOOKUP("Match - Front",'R3_G2'!$B$19:$N$19,12-COUNTIF('R3_G2'!$E$19:$M$19,"."))*-1=0),"AS",
IF(AND(F68&lt;9,VLOOKUP("Match - Front",'R3_G2'!$B$19:$N$19,12-COUNTIF('R3_G2'!$E$19:$M$19,"."))*-1&gt;0), "+"
&amp; VLOOKUP("Match - Front",'R3_G2'!$B$19:$N$19,12-COUNTIF('R3_G2'!$E$19:$M$19,"."))*-1,
IF(F68&gt;8,VLOOKUP($G$60,'Master Input'!$O$12:$R$23,'Master Input'!$P$11,FALSE)-'R3_G2'!$N$19,
VLOOKUP("Match - Front",'R3_G2'!$B$19:$N$19,12-COUNTIF('R3_G2'!$E$19:$M$19,"."))*-1))))</f>
        <v>0</v>
      </c>
      <c r="C68" s="51">
        <f ca="1">IF(F68&lt;10,"",IF(AND(F68&lt;18,VLOOKUP("Match - Overall",'R3_G2'!$P$19:$Z$19,10-COUNTIF('R3_G2'!$P$19:$Z$19,"."))*-1=0),"AS",
IF(AND(F68&lt;18,VLOOKUP("Match - Overall",'R3_G2'!$P$19:$Z$19,10-COUNTIF('R3_G2'!$P$19:$Z$19,"."))*-1&gt;0), "+"
&amp; VLOOKUP("Match - Overall",'R3_G2'!$P$19:$Z$19,10-COUNTIF('R3_G2'!$P$19:$Z$19,"."))*-1,
IF(F68&gt;17,VLOOKUP($G$60,'Master Input'!$O$12:$R$23,'Master Input'!$R$11,FALSE)-'R3_G2'!$Z$19,
VLOOKUP("Match - Overall",'R3_G2'!$P$19:$Z$19,10-COUNTIF('R3_G2'!$P$19:$Z$19,"."))*-1))))</f>
        <v>0</v>
      </c>
      <c r="D68" s="52">
        <f ca="1">IF(F68&lt;10,"",IF(AND(F68&lt;18,VLOOKUP("Match - Overall",'R3_G2'!$P$20:$Z$20,10-COUNTIF('R3_G2'!$P$20:$Z$20,"."))*-1=0),"AS",
IF(AND(F68&lt;18,VLOOKUP("Match - Overall",'R3_G2'!$P$20:$Z$20,10-COUNTIF('R3_G2'!$P$20:$Z$20,"."))*-1&gt;0), "+"
&amp; VLOOKUP("Match - Overall",'R3_G2'!$P$20:$Z$20,10-COUNTIF('R3_G2'!$P$20:$Z$20,"."))*-1,
IF(F68&gt;17,VLOOKUP($G$60,'Master Input'!$O$12:$R$23,'Master Input'!$Q$11,FALSE)-'R3_G2'!$Z$20,
VLOOKUP("Match - Overall",'R3_G2'!$P$20:$Z$20,10-COUNTIF('R3_G2'!$P$20:$Z$20,"."))*-1))))</f>
        <v>0</v>
      </c>
      <c r="E68" s="53">
        <f ca="1">IF(AND(F68&gt;8,F68&lt;18),B68, IF(F68=18,SUM(B68:D68),""))</f>
        <v>0</v>
      </c>
      <c r="F68" s="12">
        <f ca="1">21-COUNTIF('R3_G2'!$E$23:$Y$23,"")</f>
        <v>18</v>
      </c>
      <c r="G68" s="53">
        <f ca="1">IF(AND(F68&gt;8,F68&lt;18),J68, IF(F68=18,SUM(H68:J68),""))</f>
        <v>4</v>
      </c>
      <c r="H68" s="54">
        <f ca="1">IF(F68&lt;10,"",IF(AND(F68&lt;18,VLOOKUP("Match - Overall",'R3_G2'!$P$20:$Z$20,10-COUNTIF('R3_G2'!$P$20:$Z$20,"."))=0),"AS",
IF(AND(F68&lt;18,VLOOKUP("Match - Overall",'R3_G2'!$P$20:$Z$20,10-COUNTIF('R3_G2'!$P$20:$Z$20,"."))&gt;0), "+"
&amp; VLOOKUP("Match - Overall",'R3_G2'!$P$20:$Z$20,10-COUNTIF('R3_G2'!$P$20:$Z$20,".")),
IF(F68&gt;17,'R3_G2'!$Z$20,
VLOOKUP("Match - Overall",'R3_G2'!$P$20:$Z$20,10-COUNTIF('R3_G2'!$P$20:$Z$20,"."))))))</f>
        <v>1</v>
      </c>
      <c r="I68" s="54">
        <f ca="1">IF(F68&lt;10,"",IF(AND(F68&lt;18,VLOOKUP("Match - Overall",'R3_G2'!$P$19:$Z$19,10-COUNTIF('R3_G2'!$P$19:$Z$19,"."))=0),"AS",
IF(AND(F68&lt;18,VLOOKUP("Match - Overall",'R3_G2'!$P$19:$Z$19,10-COUNTIF('R3_G2'!$P$19:$Z$19,"."))&gt;0), "+"
&amp; VLOOKUP("Match - Overall",'R3_G2'!$P$19:$Z$19,10-COUNTIF('R3_G2'!$P$19:$Z$19,".")),
IF(F68&gt;17,'R3_G2'!$Z$19,
VLOOKUP("Match - Overall",'R3_G2'!$P$19:$Z$19,10-COUNTIF('R3_G2'!$P$19:$Z$19,"."))))))</f>
        <v>2</v>
      </c>
      <c r="J68" s="50">
        <f ca="1">IF(F68=0,"",IF(AND(F68&lt;9,VLOOKUP("Match - Front",'R3_G2'!$B$19:$N$19,12-COUNTIF('R3_G2'!$E$19:$M$19,"."))=0),"AS",
IF(AND(F68&lt;9,VLOOKUP("Match - Front",'R3_G2'!$B$19:$N$19,12-COUNTIF('R3_G2'!$E$19:$M$19,"."))&gt;0), "+"
&amp; VLOOKUP("Match - Front",'R3_G2'!$B$19:$N$19,12-COUNTIF('R3_G2'!$E$19:$M$19,".")),
IF(F68&gt;8,'R3_G2'!$N$19,
VLOOKUP("Match - Front",'R3_G2'!$B$19:$N$19,12-COUNTIF('R3_G2'!$E$19:$M$19,"."))))))</f>
        <v>1</v>
      </c>
      <c r="K68" s="15"/>
    </row>
    <row r="69" spans="1:11" ht="7.5" customHeight="1">
      <c r="A69" s="4"/>
      <c r="B69" s="22" t="s">
        <v>7</v>
      </c>
      <c r="C69" s="22" t="s">
        <v>8</v>
      </c>
      <c r="D69" s="22" t="s">
        <v>9</v>
      </c>
      <c r="E69" s="23" t="s">
        <v>10</v>
      </c>
      <c r="F69" s="24"/>
      <c r="G69" s="23" t="s">
        <v>10</v>
      </c>
      <c r="H69" s="22" t="s">
        <v>9</v>
      </c>
      <c r="I69" s="22" t="s">
        <v>8</v>
      </c>
      <c r="J69" s="22" t="s">
        <v>7</v>
      </c>
      <c r="K69" s="25"/>
    </row>
    <row r="70" spans="1:11" ht="7.5" customHeight="1">
      <c r="A70" s="33"/>
      <c r="B70" s="26"/>
      <c r="C70" s="26"/>
      <c r="D70" s="2"/>
      <c r="E70" s="2"/>
      <c r="F70" s="8"/>
      <c r="G70" s="2"/>
      <c r="H70" s="2"/>
      <c r="I70" s="26"/>
      <c r="J70" s="26"/>
      <c r="K70" s="34"/>
    </row>
    <row r="71" spans="1:11" ht="7.5" customHeight="1">
      <c r="A71" s="35"/>
      <c r="B71" s="1145" t="str">
        <f>'Match Selection'!S14</f>
        <v>House</v>
      </c>
      <c r="C71" s="1141"/>
      <c r="D71" s="1140" t="str">
        <f>'Match Selection'!S15</f>
        <v>TJSC</v>
      </c>
      <c r="E71" s="1141"/>
      <c r="F71" s="13" t="s">
        <v>6</v>
      </c>
      <c r="G71" s="1142" t="str">
        <f>'Match Selection'!P14</f>
        <v>T-Mo</v>
      </c>
      <c r="H71" s="1143"/>
      <c r="I71" s="1142" t="str">
        <f>'Match Selection'!P15</f>
        <v>Joe O</v>
      </c>
      <c r="J71" s="1143"/>
      <c r="K71" s="36"/>
    </row>
    <row r="72" spans="1:11" ht="7.5" customHeight="1">
      <c r="A72" s="35"/>
      <c r="B72" s="50">
        <f ca="1">IF(F72=0,"",IF(AND(F72&lt;9,VLOOKUP("Match - Front",'R3_G3'!$B$19:$N$19,12-COUNTIF('R3_G3'!$E$19:$M$19,"."))*-1=0),"AS",
IF(AND(F72&lt;9,VLOOKUP("Match - Front",'R3_G3'!$B$19:$N$19,12-COUNTIF('R3_G3'!$E$19:$M$19,"."))*-1&gt;0), "+"
&amp; VLOOKUP("Match - Front",'R3_G3'!$B$19:$N$19,12-COUNTIF('R3_G3'!$E$19:$M$19,"."))*-1,
IF(F72&gt;8,VLOOKUP($G$60,'Master Input'!$O$12:$R$23,'Master Input'!$P$11,FALSE)-'R3_G3'!$N$19,
VLOOKUP("Match - Front",'R3_G3'!$B$19:$N$19,12-COUNTIF('R3_G3'!$E$19:$M$19,"."))*-1))))</f>
        <v>0</v>
      </c>
      <c r="C72" s="51">
        <f ca="1">IF(F72&lt;10,"",IF(AND(F72&lt;18,VLOOKUP("Match - Overall",'R3_G3'!$P$19:$Z$19,10-COUNTIF('R3_G3'!$P$19:$Z$19,"."))*-1=0),"AS",
IF(AND(F72&lt;18,VLOOKUP("Match - Overall",'R3_G3'!$P$19:$Z$19,10-COUNTIF('R3_G3'!$P$19:$Z$19,"."))*-1&gt;0), "+"
&amp; VLOOKUP("Match - Overall",'R3_G3'!$P$19:$Z$19,10-COUNTIF('R3_G3'!$P$19:$Z$19,"."))*-1,
IF(F72&gt;17,VLOOKUP($G$60,'Master Input'!$O$12:$R$23,'Master Input'!$R$11,FALSE)-'R3_G3'!$Z$19,
VLOOKUP("Match - Overall",'R3_G3'!$P$19:$Z$19,10-COUNTIF('R3_G3'!$P$19:$Z$19,"."))*-1))))</f>
        <v>2</v>
      </c>
      <c r="D72" s="52">
        <f ca="1">IF(F72&lt;10,"",IF(AND(F72&lt;18,VLOOKUP("Match - Overall",'R3_G3'!$P$20:$Z$20,10-COUNTIF('R3_G3'!$P$20:$Z$20,"."))*-1=0),"AS",
IF(AND(F72&lt;18,VLOOKUP("Match - Overall",'R3_G3'!$P$20:$Z$20,10-COUNTIF('R3_G3'!$P$20:$Z$20,"."))*-1&gt;0), "+"
&amp; VLOOKUP("Match - Overall",'R3_G3'!$P$20:$Z$20,10-COUNTIF('R3_G3'!$P$20:$Z$20,"."))*-1,
IF(F72&gt;17,VLOOKUP($G$60,'Master Input'!$O$12:$R$23,'Master Input'!$Q$11,FALSE)-'R3_G3'!$Z$20,
VLOOKUP("Match - Overall",'R3_G3'!$P$20:$Z$20,10-COUNTIF('R3_G3'!$P$20:$Z$20,"."))*-1))))</f>
        <v>1</v>
      </c>
      <c r="E72" s="53">
        <f ca="1">IF(AND(F72&gt;8,F72&lt;18),B72, IF(F72=18,SUM(B72:D72),""))</f>
        <v>3</v>
      </c>
      <c r="F72" s="12">
        <f ca="1">21-COUNTIF('R3_G3'!$E$23:$Y$23,"")</f>
        <v>18</v>
      </c>
      <c r="G72" s="53">
        <f ca="1">IF(AND(F72&gt;8,F72&lt;18),J72, IF(F72=18,SUM(H72:J72),""))</f>
        <v>1</v>
      </c>
      <c r="H72" s="54">
        <f ca="1">IF(F72&lt;10,"",IF(AND(F72&lt;18,VLOOKUP("Match - Overall",'R3_G3'!$P$20:$Z$20,10-COUNTIF('R3_G3'!$P$20:$Z$20,"."))=0),"AS",
IF(AND(F72&lt;18,VLOOKUP("Match - Overall",'R3_G3'!$P$20:$Z$20,10-COUNTIF('R3_G3'!$P$20:$Z$20,"."))&gt;0), "+"
&amp; VLOOKUP("Match - Overall",'R3_G3'!$P$20:$Z$20,10-COUNTIF('R3_G3'!$P$20:$Z$20,".")),
IF(F72&gt;17,'R3_G3'!$Z$20,
VLOOKUP("Match - Overall",'R3_G3'!$P$20:$Z$20,10-COUNTIF('R3_G3'!$P$20:$Z$20,"."))))))</f>
        <v>0</v>
      </c>
      <c r="I72" s="54">
        <f ca="1">IF(F72&lt;10,"",IF(AND(F72&lt;18,VLOOKUP("Match - Overall",'R3_G3'!$P$19:$Z$19,10-COUNTIF('R3_G3'!$P$19:$Z$19,"."))=0),"AS",
IF(AND(F72&lt;18,VLOOKUP("Match - Overall",'R3_G3'!$P$19:$Z$19,10-COUNTIF('R3_G3'!$P$19:$Z$19,"."))&gt;0), "+"
&amp; VLOOKUP("Match - Overall",'R3_G3'!$P$19:$Z$19,10-COUNTIF('R3_G3'!$P$19:$Z$19,".")),
IF(F72&gt;17,'R3_G3'!$Z$19,
VLOOKUP("Match - Overall",'R3_G3'!$P$19:$Z$19,10-COUNTIF('R3_G3'!$P$19:$Z$19,"."))))))</f>
        <v>0</v>
      </c>
      <c r="J72" s="50">
        <f ca="1">IF(F72=0,"",IF(AND(F72&lt;9,VLOOKUP("Match - Front",'R3_G3'!$B$19:$N$19,12-COUNTIF('R3_G3'!$E$19:$M$19,"."))=0),"AS",
IF(AND(F72&lt;9,VLOOKUP("Match - Front",'R3_G3'!$B$19:$N$19,12-COUNTIF('R3_G3'!$E$19:$M$19,"."))&gt;0), "+"
&amp; VLOOKUP("Match - Front",'R3_G3'!$B$19:$N$19,12-COUNTIF('R3_G3'!$E$19:$M$19,".")),
IF(F72&gt;8,'R3_G3'!$N$19,
VLOOKUP("Match - Front",'R3_G3'!$B$19:$N$19,12-COUNTIF('R3_G3'!$E$19:$M$19,"."))))))</f>
        <v>1</v>
      </c>
      <c r="K72" s="36"/>
    </row>
    <row r="73" spans="1:11" ht="7.5" customHeight="1">
      <c r="A73" s="34"/>
      <c r="B73" s="22" t="s">
        <v>7</v>
      </c>
      <c r="C73" s="22" t="s">
        <v>8</v>
      </c>
      <c r="D73" s="22" t="s">
        <v>9</v>
      </c>
      <c r="E73" s="23" t="s">
        <v>10</v>
      </c>
      <c r="F73" s="37"/>
      <c r="G73" s="23" t="s">
        <v>10</v>
      </c>
      <c r="H73" s="22" t="s">
        <v>9</v>
      </c>
      <c r="I73" s="22" t="s">
        <v>8</v>
      </c>
      <c r="J73" s="22" t="s">
        <v>7</v>
      </c>
      <c r="K73" s="38"/>
    </row>
    <row r="74" spans="1:11" ht="7.5" customHeight="1">
      <c r="A74" s="33"/>
      <c r="B74" s="26"/>
      <c r="C74" s="26"/>
      <c r="D74" s="2"/>
      <c r="E74" s="2"/>
      <c r="F74" s="8"/>
      <c r="G74" s="2"/>
      <c r="H74" s="2"/>
      <c r="I74" s="26"/>
      <c r="J74" s="26"/>
      <c r="K74" s="34"/>
    </row>
    <row r="75" spans="1:11" ht="7.5" customHeight="1">
      <c r="A75" s="35"/>
      <c r="B75" s="1145" t="str">
        <f>'Match Selection'!Y14</f>
        <v>DK</v>
      </c>
      <c r="C75" s="1141"/>
      <c r="D75" s="1140" t="str">
        <f>'Match Selection'!Y15</f>
        <v>Saugy</v>
      </c>
      <c r="E75" s="1141"/>
      <c r="F75" s="13" t="s">
        <v>6</v>
      </c>
      <c r="G75" s="1142" t="str">
        <f>'Match Selection'!V14</f>
        <v>Hile</v>
      </c>
      <c r="H75" s="1143"/>
      <c r="I75" s="1142" t="str">
        <f>'Match Selection'!V15</f>
        <v>Weezy</v>
      </c>
      <c r="J75" s="1143"/>
      <c r="K75" s="36"/>
    </row>
    <row r="76" spans="1:11" ht="7.5" customHeight="1">
      <c r="A76" s="35"/>
      <c r="B76" s="50">
        <f ca="1">IF(F76=0,"",IF(AND(F76&lt;9,VLOOKUP("Match - Front",'R3_G4'!$B$19:$N$19,12-COUNTIF('R3_G4'!$E$19:$M$19,"."))*-1=0),"AS",
IF(AND(F76&lt;9,VLOOKUP("Match - Front",'R3_G4'!$B$19:$N$19,12-COUNTIF('R3_G4'!$E$19:$M$19,"."))*-1&gt;0), "+"
&amp; VLOOKUP("Match - Front",'R3_G4'!$B$19:$N$19,12-COUNTIF('R3_G4'!$E$19:$M$19,"."))*-1,
IF(F76&gt;8,VLOOKUP($G$60,'Master Input'!$O$12:$R$23,'Master Input'!$P$11,FALSE)-'R3_G4'!$N$19,
VLOOKUP("Match - Front",'R3_G4'!$B$19:$N$19,12-COUNTIF('R3_G4'!$E$19:$M$19,"."))*-1))))</f>
        <v>1</v>
      </c>
      <c r="C76" s="51">
        <f ca="1">IF(F76&lt;10,"",IF(AND(F76&lt;18,VLOOKUP("Match - Overall",'R3_G4'!$P$19:$Z$19,10-COUNTIF('R3_G4'!$P$19:$Z$19,"."))*-1=0),"AS",
IF(AND(F76&lt;18,VLOOKUP("Match - Overall",'R3_G4'!$P$19:$Z$19,10-COUNTIF('R3_G4'!$P$19:$Z$19,"."))*-1&gt;0), "+"
&amp; VLOOKUP("Match - Overall",'R3_G4'!$P$19:$Z$19,10-COUNTIF('R3_G4'!$P$19:$Z$19,"."))*-1,
IF(F76&gt;17,VLOOKUP($G$60,'Master Input'!$O$12:$R$23,'Master Input'!$R$11,FALSE)-'R3_G4'!$Z$19,
VLOOKUP("Match - Overall",'R3_G4'!$P$19:$Z$19,10-COUNTIF('R3_G4'!$P$19:$Z$19,"."))*-1))))</f>
        <v>2</v>
      </c>
      <c r="D76" s="52">
        <f ca="1">IF(F76&lt;10,"",IF(AND(F76&lt;18,VLOOKUP("Match - Overall",'R3_G4'!$P$20:$Z$20,10-COUNTIF('R3_G4'!$P$20:$Z$20,"."))*-1=0),"AS",
IF(AND(F76&lt;18,VLOOKUP("Match - Overall",'R3_G4'!$P$20:$Z$20,10-COUNTIF('R3_G4'!$P$20:$Z$20,"."))*-1&gt;0), "+"
&amp; VLOOKUP("Match - Overall",'R3_G4'!$P$20:$Z$20,10-COUNTIF('R3_G4'!$P$20:$Z$20,"."))*-1,
IF(F76&gt;17,VLOOKUP($G$60,'Master Input'!$O$12:$R$23,'Master Input'!$Q$11,FALSE)-'R3_G4'!$Z$20,
VLOOKUP("Match - Overall",'R3_G4'!$P$20:$Z$20,10-COUNTIF('R3_G4'!$P$20:$Z$20,"."))*-1))))</f>
        <v>1</v>
      </c>
      <c r="E76" s="53">
        <f ca="1">IF(AND(F76&gt;8,F76&lt;18),B76, IF(F76=18,SUM(B76:D76),""))</f>
        <v>4</v>
      </c>
      <c r="F76" s="4">
        <f ca="1">21-COUNTIF('R3_G4'!$E$23:$Y$23,"")</f>
        <v>18</v>
      </c>
      <c r="G76" s="53">
        <f ca="1">IF(AND(F76&gt;8,F76&lt;18),J76, IF(F76=18,SUM(H76:J76),""))</f>
        <v>0</v>
      </c>
      <c r="H76" s="54">
        <f ca="1">IF(F76&lt;10,"",IF(AND(F76&lt;18,VLOOKUP("Match - Overall",'R3_G4'!$P$20:$Z$20,10-COUNTIF('R3_G4'!$P$20:$Z$20,"."))=0),"AS",
IF(AND(F76&lt;18,VLOOKUP("Match - Overall",'R3_G4'!$P$20:$Z$20,10-COUNTIF('R3_G4'!$P$20:$Z$20,"."))&gt;0), "+"
&amp; VLOOKUP("Match - Overall",'R3_G4'!$P$20:$Z$20,10-COUNTIF('R3_G4'!$P$20:$Z$20,".")),
IF(F76&gt;17,'R3_G4'!$Z$20,
VLOOKUP("Match - Overall",'R3_G4'!$P$20:$Z$20,10-COUNTIF('R3_G4'!$P$20:$Z$20,"."))))))</f>
        <v>0</v>
      </c>
      <c r="I76" s="54">
        <f ca="1">IF(F76&lt;10,"",IF(AND(F76&lt;18,VLOOKUP("Match - Overall",'R3_G4'!$P$19:$Z$19,10-COUNTIF('R3_G4'!$P$19:$Z$19,"."))=0),"AS",
IF(AND(F76&lt;18,VLOOKUP("Match - Overall",'R3_G4'!$P$19:$Z$19,10-COUNTIF('R3_G4'!$P$19:$Z$19,"."))&gt;0), "+"
&amp; VLOOKUP("Match - Overall",'R3_G4'!$P$19:$Z$19,10-COUNTIF('R3_G4'!$P$19:$Z$19,".")),
IF(F76&gt;17,'R3_G4'!$Z$19,
VLOOKUP("Match - Overall",'R3_G4'!$P$19:$Z$19,10-COUNTIF('R3_G4'!$P$19:$Z$19,"."))))))</f>
        <v>0</v>
      </c>
      <c r="J76" s="50">
        <f ca="1">IF(F76=0,"",IF(AND(F76&lt;9,VLOOKUP("Match - Front",'R3_G4'!$B$19:$N$19,12-COUNTIF('R3_G4'!$E$19:$M$19,"."))=0),"AS",
IF(AND(F76&lt;9,VLOOKUP("Match - Front",'R3_G4'!$B$19:$N$19,12-COUNTIF('R3_G4'!$E$19:$M$19,"."))&gt;0), "+"
&amp; VLOOKUP("Match - Front",'R3_G4'!$B$19:$N$19,12-COUNTIF('R3_G4'!$E$19:$M$19,".")),
IF(F76&gt;8,'R3_G4'!$N$19,
VLOOKUP("Match - Front",'R3_G4'!$B$19:$N$19,12-COUNTIF('R3_G4'!$E$19:$M$19,"."))))))</f>
        <v>0</v>
      </c>
      <c r="K76" s="36"/>
    </row>
    <row r="77" spans="1:11" ht="7.5" customHeight="1">
      <c r="A77" s="38"/>
      <c r="B77" s="22" t="s">
        <v>7</v>
      </c>
      <c r="C77" s="22" t="s">
        <v>8</v>
      </c>
      <c r="D77" s="22" t="s">
        <v>9</v>
      </c>
      <c r="E77" s="23" t="s">
        <v>10</v>
      </c>
      <c r="F77" s="37"/>
      <c r="G77" s="23" t="s">
        <v>10</v>
      </c>
      <c r="H77" s="22" t="s">
        <v>9</v>
      </c>
      <c r="I77" s="22" t="s">
        <v>8</v>
      </c>
      <c r="J77" s="22" t="s">
        <v>7</v>
      </c>
      <c r="K77" s="38"/>
    </row>
    <row r="78" spans="1:11" ht="7.5" customHeight="1">
      <c r="A78" s="2"/>
      <c r="B78" s="2"/>
      <c r="C78" s="2"/>
      <c r="D78" s="2"/>
      <c r="E78" s="2"/>
      <c r="F78" s="2"/>
      <c r="G78" s="2"/>
      <c r="H78" s="2"/>
      <c r="I78" s="2"/>
      <c r="J78" s="2"/>
      <c r="K78" s="2"/>
    </row>
    <row r="79" spans="1:11" ht="14.5">
      <c r="A79" s="55"/>
      <c r="B79" s="1158" t="str">
        <f>'Master Input'!K6</f>
        <v>The Bear - White</v>
      </c>
      <c r="C79" s="1139"/>
      <c r="D79" s="1139"/>
      <c r="E79" s="1139"/>
      <c r="F79" s="56"/>
      <c r="G79" s="1158" t="str">
        <f>'Master Input'!L6</f>
        <v>Team Best Ball</v>
      </c>
      <c r="H79" s="1139"/>
      <c r="I79" s="1139"/>
      <c r="J79" s="1139"/>
      <c r="K79" s="55"/>
    </row>
    <row r="80" spans="1:11" ht="14.5">
      <c r="A80" s="34"/>
      <c r="B80" s="2" t="s">
        <v>12</v>
      </c>
      <c r="C80" s="1136" t="s">
        <v>13</v>
      </c>
      <c r="D80" s="1129"/>
      <c r="E80" s="2"/>
      <c r="F80" s="34"/>
      <c r="G80" s="2"/>
      <c r="H80" s="1136" t="s">
        <v>13</v>
      </c>
      <c r="I80" s="1129"/>
      <c r="J80" s="2" t="s">
        <v>12</v>
      </c>
      <c r="K80" s="34"/>
    </row>
    <row r="81" spans="1:11" ht="14.5">
      <c r="A81" s="34"/>
      <c r="B81" s="57">
        <f>'FINAL COUNTDOWN'!B3</f>
        <v>1</v>
      </c>
      <c r="C81" s="1150">
        <f>'FINAL COUNTDOWN'!C3</f>
        <v>-2</v>
      </c>
      <c r="D81" s="1141"/>
      <c r="E81" s="3"/>
      <c r="F81" s="50">
        <v>1</v>
      </c>
      <c r="G81" s="3"/>
      <c r="H81" s="1159">
        <f>'FINAL COUNTDOWN'!H3</f>
        <v>0</v>
      </c>
      <c r="I81" s="1141"/>
      <c r="J81" s="57">
        <f>'FINAL COUNTDOWN'!J3</f>
        <v>0</v>
      </c>
      <c r="K81" s="34"/>
    </row>
    <row r="82" spans="1:11" ht="14.5">
      <c r="A82" s="34"/>
      <c r="B82" s="57">
        <f>'FINAL COUNTDOWN'!B4</f>
        <v>0.5</v>
      </c>
      <c r="C82" s="1150">
        <f>'FINAL COUNTDOWN'!C4</f>
        <v>-2</v>
      </c>
      <c r="D82" s="1141"/>
      <c r="E82" s="3"/>
      <c r="F82" s="50">
        <v>2</v>
      </c>
      <c r="G82" s="3"/>
      <c r="H82" s="1159">
        <f>'FINAL COUNTDOWN'!H4</f>
        <v>-2</v>
      </c>
      <c r="I82" s="1141"/>
      <c r="J82" s="57">
        <f>'FINAL COUNTDOWN'!J4</f>
        <v>0.5</v>
      </c>
      <c r="K82" s="34"/>
    </row>
    <row r="83" spans="1:11" ht="14.5">
      <c r="A83" s="34"/>
      <c r="B83" s="57">
        <f>'FINAL COUNTDOWN'!B5</f>
        <v>1</v>
      </c>
      <c r="C83" s="1150">
        <f>'FINAL COUNTDOWN'!C5</f>
        <v>-2</v>
      </c>
      <c r="D83" s="1141"/>
      <c r="E83" s="3"/>
      <c r="F83" s="50">
        <v>3</v>
      </c>
      <c r="G83" s="3"/>
      <c r="H83" s="1159">
        <f>'FINAL COUNTDOWN'!H5</f>
        <v>2</v>
      </c>
      <c r="I83" s="1141"/>
      <c r="J83" s="57">
        <f>'FINAL COUNTDOWN'!J5</f>
        <v>0</v>
      </c>
      <c r="K83" s="34"/>
    </row>
    <row r="84" spans="1:11" ht="14.5">
      <c r="A84" s="34"/>
      <c r="B84" s="57">
        <f>'FINAL COUNTDOWN'!B6</f>
        <v>0.5</v>
      </c>
      <c r="C84" s="1150">
        <f>'FINAL COUNTDOWN'!C6</f>
        <v>0</v>
      </c>
      <c r="D84" s="1141"/>
      <c r="E84" s="3"/>
      <c r="F84" s="50">
        <v>4</v>
      </c>
      <c r="G84" s="3"/>
      <c r="H84" s="1159">
        <f>'FINAL COUNTDOWN'!H6</f>
        <v>0</v>
      </c>
      <c r="I84" s="1141"/>
      <c r="J84" s="57">
        <f>'FINAL COUNTDOWN'!J6</f>
        <v>0.5</v>
      </c>
      <c r="K84" s="34"/>
    </row>
    <row r="85" spans="1:11" ht="14.5">
      <c r="A85" s="34"/>
      <c r="B85" s="57">
        <f>'FINAL COUNTDOWN'!B7</f>
        <v>0</v>
      </c>
      <c r="C85" s="1150">
        <f>'FINAL COUNTDOWN'!C7</f>
        <v>-2</v>
      </c>
      <c r="D85" s="1141"/>
      <c r="E85" s="3"/>
      <c r="F85" s="50">
        <v>5</v>
      </c>
      <c r="G85" s="3"/>
      <c r="H85" s="1159">
        <f>'FINAL COUNTDOWN'!H7</f>
        <v>-4</v>
      </c>
      <c r="I85" s="1141"/>
      <c r="J85" s="57">
        <f>'FINAL COUNTDOWN'!J7</f>
        <v>1</v>
      </c>
      <c r="K85" s="34"/>
    </row>
    <row r="86" spans="1:11" ht="14.5">
      <c r="A86" s="34"/>
      <c r="B86" s="57">
        <f>'FINAL COUNTDOWN'!B8</f>
        <v>0.5</v>
      </c>
      <c r="C86" s="1150">
        <f>'FINAL COUNTDOWN'!C8</f>
        <v>-1</v>
      </c>
      <c r="D86" s="1141"/>
      <c r="E86" s="3"/>
      <c r="F86" s="50">
        <v>6</v>
      </c>
      <c r="G86" s="3"/>
      <c r="H86" s="1159">
        <f>'FINAL COUNTDOWN'!H8</f>
        <v>-1</v>
      </c>
      <c r="I86" s="1141"/>
      <c r="J86" s="57">
        <f>'FINAL COUNTDOWN'!J8</f>
        <v>0.5</v>
      </c>
      <c r="K86" s="34"/>
    </row>
    <row r="87" spans="1:11" ht="14.5">
      <c r="A87" s="34"/>
      <c r="B87" s="57">
        <f>'FINAL COUNTDOWN'!B9</f>
        <v>0</v>
      </c>
      <c r="C87" s="1150">
        <f>'FINAL COUNTDOWN'!C9</f>
        <v>1</v>
      </c>
      <c r="D87" s="1141"/>
      <c r="E87" s="3"/>
      <c r="F87" s="50">
        <v>7</v>
      </c>
      <c r="G87" s="3"/>
      <c r="H87" s="1159">
        <f>'FINAL COUNTDOWN'!H9</f>
        <v>-1</v>
      </c>
      <c r="I87" s="1141"/>
      <c r="J87" s="57">
        <f>'FINAL COUNTDOWN'!J9</f>
        <v>1</v>
      </c>
      <c r="K87" s="34"/>
    </row>
    <row r="88" spans="1:11" ht="14.5">
      <c r="A88" s="34"/>
      <c r="B88" s="57">
        <f>'FINAL COUNTDOWN'!B10</f>
        <v>1</v>
      </c>
      <c r="C88" s="1150">
        <f>'FINAL COUNTDOWN'!C10</f>
        <v>-3</v>
      </c>
      <c r="D88" s="1141"/>
      <c r="E88" s="3"/>
      <c r="F88" s="50">
        <v>8</v>
      </c>
      <c r="G88" s="3"/>
      <c r="H88" s="1159">
        <f>'FINAL COUNTDOWN'!H10</f>
        <v>-1</v>
      </c>
      <c r="I88" s="1141"/>
      <c r="J88" s="57">
        <f>'FINAL COUNTDOWN'!J10</f>
        <v>0</v>
      </c>
      <c r="K88" s="34"/>
    </row>
    <row r="89" spans="1:11" ht="14.5">
      <c r="A89" s="34"/>
      <c r="B89" s="57">
        <f>'FINAL COUNTDOWN'!B11</f>
        <v>0</v>
      </c>
      <c r="C89" s="1150">
        <f>'FINAL COUNTDOWN'!C11</f>
        <v>-2</v>
      </c>
      <c r="D89" s="1141"/>
      <c r="E89" s="3"/>
      <c r="F89" s="50">
        <v>9</v>
      </c>
      <c r="G89" s="3"/>
      <c r="H89" s="1159">
        <f>'FINAL COUNTDOWN'!H11</f>
        <v>-3</v>
      </c>
      <c r="I89" s="1141"/>
      <c r="J89" s="57">
        <f>'FINAL COUNTDOWN'!J11</f>
        <v>1</v>
      </c>
      <c r="K89" s="34"/>
    </row>
    <row r="90" spans="1:11" ht="14.5">
      <c r="A90" s="34"/>
      <c r="B90" s="57">
        <f>'FINAL COUNTDOWN'!B12</f>
        <v>0</v>
      </c>
      <c r="C90" s="1150">
        <f>'FINAL COUNTDOWN'!C12</f>
        <v>-1</v>
      </c>
      <c r="D90" s="1141"/>
      <c r="E90" s="3"/>
      <c r="F90" s="50">
        <v>10</v>
      </c>
      <c r="G90" s="3"/>
      <c r="H90" s="1159">
        <f>'FINAL COUNTDOWN'!H12</f>
        <v>-2</v>
      </c>
      <c r="I90" s="1141"/>
      <c r="J90" s="57">
        <f>'FINAL COUNTDOWN'!J12</f>
        <v>2</v>
      </c>
      <c r="K90" s="34"/>
    </row>
    <row r="91" spans="1:11" ht="14.5">
      <c r="A91" s="34"/>
      <c r="B91" s="57">
        <f>'FINAL COUNTDOWN'!B13</f>
        <v>2</v>
      </c>
      <c r="C91" s="1150">
        <f>'FINAL COUNTDOWN'!C13</f>
        <v>-3</v>
      </c>
      <c r="D91" s="1141"/>
      <c r="E91" s="3"/>
      <c r="F91" s="50">
        <v>11</v>
      </c>
      <c r="G91" s="3"/>
      <c r="H91" s="1159">
        <f>'FINAL COUNTDOWN'!H13</f>
        <v>-1</v>
      </c>
      <c r="I91" s="1141"/>
      <c r="J91" s="57">
        <f>'FINAL COUNTDOWN'!J13</f>
        <v>0</v>
      </c>
      <c r="K91" s="34"/>
    </row>
    <row r="92" spans="1:11" ht="14.5">
      <c r="A92" s="34"/>
      <c r="B92" s="57">
        <f>'FINAL COUNTDOWN'!B14</f>
        <v>0</v>
      </c>
      <c r="C92" s="1150">
        <f>'FINAL COUNTDOWN'!C14</f>
        <v>-2</v>
      </c>
      <c r="D92" s="1141"/>
      <c r="E92" s="3"/>
      <c r="F92" s="50">
        <v>12</v>
      </c>
      <c r="G92" s="3"/>
      <c r="H92" s="1159">
        <f>'FINAL COUNTDOWN'!H14</f>
        <v>-3</v>
      </c>
      <c r="I92" s="1141"/>
      <c r="J92" s="57">
        <f>'FINAL COUNTDOWN'!J14</f>
        <v>2</v>
      </c>
      <c r="K92" s="34"/>
    </row>
    <row r="93" spans="1:11" ht="14.5">
      <c r="A93" s="34"/>
      <c r="B93" s="57">
        <f>'FINAL COUNTDOWN'!B15</f>
        <v>0</v>
      </c>
      <c r="C93" s="1150">
        <f>'FINAL COUNTDOWN'!C15</f>
        <v>-1</v>
      </c>
      <c r="D93" s="1141"/>
      <c r="E93" s="3"/>
      <c r="F93" s="50">
        <v>13</v>
      </c>
      <c r="G93" s="3"/>
      <c r="H93" s="1159">
        <f>'FINAL COUNTDOWN'!H15</f>
        <v>-2</v>
      </c>
      <c r="I93" s="1141"/>
      <c r="J93" s="57">
        <f>'FINAL COUNTDOWN'!J15</f>
        <v>2</v>
      </c>
      <c r="K93" s="36"/>
    </row>
    <row r="94" spans="1:11" ht="14.5">
      <c r="A94" s="34"/>
      <c r="B94" s="57">
        <f>'FINAL COUNTDOWN'!B16</f>
        <v>0</v>
      </c>
      <c r="C94" s="1150">
        <f>'FINAL COUNTDOWN'!C16</f>
        <v>5</v>
      </c>
      <c r="D94" s="1141"/>
      <c r="E94" s="3"/>
      <c r="F94" s="50">
        <v>14</v>
      </c>
      <c r="G94" s="3"/>
      <c r="H94" s="1159">
        <f>'FINAL COUNTDOWN'!H16</f>
        <v>-2</v>
      </c>
      <c r="I94" s="1141"/>
      <c r="J94" s="57">
        <f>'FINAL COUNTDOWN'!J16</f>
        <v>2</v>
      </c>
      <c r="K94" s="34"/>
    </row>
    <row r="95" spans="1:11" ht="14.5">
      <c r="A95" s="34"/>
      <c r="B95" s="57">
        <f>'FINAL COUNTDOWN'!B17</f>
        <v>2</v>
      </c>
      <c r="C95" s="1150">
        <f>'FINAL COUNTDOWN'!C17</f>
        <v>-1</v>
      </c>
      <c r="D95" s="1141"/>
      <c r="E95" s="3"/>
      <c r="F95" s="50">
        <v>15</v>
      </c>
      <c r="G95" s="3"/>
      <c r="H95" s="1159">
        <f>'FINAL COUNTDOWN'!H17</f>
        <v>2</v>
      </c>
      <c r="I95" s="1141"/>
      <c r="J95" s="57">
        <f>'FINAL COUNTDOWN'!J17</f>
        <v>0</v>
      </c>
      <c r="K95" s="34"/>
    </row>
    <row r="96" spans="1:11" ht="14.5">
      <c r="A96" s="34"/>
      <c r="B96" s="57">
        <f>'FINAL COUNTDOWN'!B18</f>
        <v>0</v>
      </c>
      <c r="C96" s="1150">
        <f>'FINAL COUNTDOWN'!C18</f>
        <v>-2</v>
      </c>
      <c r="D96" s="1141"/>
      <c r="E96" s="3"/>
      <c r="F96" s="50">
        <v>16</v>
      </c>
      <c r="G96" s="3"/>
      <c r="H96" s="1159">
        <f>'FINAL COUNTDOWN'!H18</f>
        <v>-4</v>
      </c>
      <c r="I96" s="1141"/>
      <c r="J96" s="57">
        <f>'FINAL COUNTDOWN'!J18</f>
        <v>2</v>
      </c>
      <c r="K96" s="34"/>
    </row>
    <row r="97" spans="1:11" ht="14.5">
      <c r="A97" s="34"/>
      <c r="B97" s="57">
        <f>'FINAL COUNTDOWN'!B19</f>
        <v>0</v>
      </c>
      <c r="C97" s="1150">
        <f>'FINAL COUNTDOWN'!C19</f>
        <v>3</v>
      </c>
      <c r="D97" s="1141"/>
      <c r="E97" s="3"/>
      <c r="F97" s="58">
        <v>17</v>
      </c>
      <c r="G97" s="3"/>
      <c r="H97" s="1159">
        <f>'FINAL COUNTDOWN'!H19</f>
        <v>-1</v>
      </c>
      <c r="I97" s="1141"/>
      <c r="J97" s="57">
        <f>'FINAL COUNTDOWN'!J19</f>
        <v>2</v>
      </c>
      <c r="K97" s="34"/>
    </row>
    <row r="98" spans="1:11" ht="14.5">
      <c r="A98" s="34"/>
      <c r="B98" s="59">
        <f>'FINAL COUNTDOWN'!B20</f>
        <v>2</v>
      </c>
      <c r="C98" s="1151">
        <f>'FINAL COUNTDOWN'!C20</f>
        <v>-2</v>
      </c>
      <c r="D98" s="1152"/>
      <c r="E98" s="60"/>
      <c r="F98" s="61">
        <v>18</v>
      </c>
      <c r="G98" s="60"/>
      <c r="H98" s="1160">
        <f>'FINAL COUNTDOWN'!H20</f>
        <v>1</v>
      </c>
      <c r="I98" s="1152"/>
      <c r="J98" s="59">
        <f>'FINAL COUNTDOWN'!J20</f>
        <v>0</v>
      </c>
      <c r="K98" s="34"/>
    </row>
    <row r="99" spans="1:11" ht="14.5">
      <c r="A99" s="34"/>
      <c r="B99" s="62">
        <f>SUM(B81:B98)</f>
        <v>10.5</v>
      </c>
      <c r="C99" s="1153">
        <f>SUM(C81:D98)</f>
        <v>-17</v>
      </c>
      <c r="D99" s="1154"/>
      <c r="E99" s="63"/>
      <c r="F99" s="63" t="s">
        <v>14</v>
      </c>
      <c r="G99" s="63"/>
      <c r="H99" s="1161">
        <f>SUM(H81:I98)</f>
        <v>-22</v>
      </c>
      <c r="I99" s="1154"/>
      <c r="J99" s="64">
        <f>SUM(J81:J98)</f>
        <v>16.5</v>
      </c>
      <c r="K99" s="34"/>
    </row>
    <row r="100" spans="1:11" ht="14.5">
      <c r="A100" s="34"/>
      <c r="B100" s="65"/>
      <c r="C100" s="1155">
        <f>IF(C99&lt;H99,0.5,IF(AND(C99=H99,C98&lt;H98),0.5,IF(AND(C99=H99,C98=H98,C97&lt;H97),0.5,IF(AND(C99=H99,C98=H98,C97=H97,C96&lt;H96),0.5,0))))</f>
        <v>0</v>
      </c>
      <c r="D100" s="1156"/>
      <c r="E100" s="1162"/>
      <c r="F100" s="1129"/>
      <c r="G100" s="1129"/>
      <c r="H100" s="1155">
        <f>IF(C99&gt;H99,0.5,IF(AND(C99=H99,C98&gt;H98),0.5,IF(AND(C99=H99,C98=H98,C97&gt;H97),0.5,IF(AND(C99=H99,C98=H98,C97=H97,C96&gt;H96),0.5,0))))</f>
        <v>0.5</v>
      </c>
      <c r="I100" s="1156"/>
      <c r="J100" s="65"/>
      <c r="K100" s="34"/>
    </row>
  </sheetData>
  <mergeCells count="110">
    <mergeCell ref="H97:I97"/>
    <mergeCell ref="H98:I98"/>
    <mergeCell ref="H99:I99"/>
    <mergeCell ref="E100:G100"/>
    <mergeCell ref="H100:I100"/>
    <mergeCell ref="H88:I88"/>
    <mergeCell ref="H89:I89"/>
    <mergeCell ref="H90:I90"/>
    <mergeCell ref="H91:I91"/>
    <mergeCell ref="H92:I92"/>
    <mergeCell ref="H93:I93"/>
    <mergeCell ref="H94:I94"/>
    <mergeCell ref="C84:D84"/>
    <mergeCell ref="H84:I84"/>
    <mergeCell ref="C85:D85"/>
    <mergeCell ref="H85:I85"/>
    <mergeCell ref="C86:D86"/>
    <mergeCell ref="H86:I86"/>
    <mergeCell ref="H87:I87"/>
    <mergeCell ref="H95:I95"/>
    <mergeCell ref="H96:I96"/>
    <mergeCell ref="B75:C75"/>
    <mergeCell ref="D75:E75"/>
    <mergeCell ref="G75:H75"/>
    <mergeCell ref="I75:J75"/>
    <mergeCell ref="G79:J79"/>
    <mergeCell ref="H82:I82"/>
    <mergeCell ref="H83:I83"/>
    <mergeCell ref="B79:E79"/>
    <mergeCell ref="C80:D80"/>
    <mergeCell ref="H80:I80"/>
    <mergeCell ref="C81:D81"/>
    <mergeCell ref="H81:I81"/>
    <mergeCell ref="C82:D82"/>
    <mergeCell ref="C83:D83"/>
    <mergeCell ref="I63:J63"/>
    <mergeCell ref="B67:C67"/>
    <mergeCell ref="D67:E67"/>
    <mergeCell ref="G67:H67"/>
    <mergeCell ref="I67:J67"/>
    <mergeCell ref="B71:C71"/>
    <mergeCell ref="I71:J71"/>
    <mergeCell ref="D71:E71"/>
    <mergeCell ref="G71:H71"/>
    <mergeCell ref="B52:E52"/>
    <mergeCell ref="G52:J52"/>
    <mergeCell ref="C94:D94"/>
    <mergeCell ref="C95:D95"/>
    <mergeCell ref="C96:D96"/>
    <mergeCell ref="C97:D97"/>
    <mergeCell ref="C98:D98"/>
    <mergeCell ref="C99:D99"/>
    <mergeCell ref="C100:D100"/>
    <mergeCell ref="C87:D87"/>
    <mergeCell ref="C88:D88"/>
    <mergeCell ref="C89:D89"/>
    <mergeCell ref="C90:D90"/>
    <mergeCell ref="C91:D91"/>
    <mergeCell ref="C92:D92"/>
    <mergeCell ref="C93:D93"/>
    <mergeCell ref="B56:E56"/>
    <mergeCell ref="G56:J56"/>
    <mergeCell ref="B60:E60"/>
    <mergeCell ref="G60:J60"/>
    <mergeCell ref="A61:K61"/>
    <mergeCell ref="B63:C63"/>
    <mergeCell ref="D63:E63"/>
    <mergeCell ref="G63:H63"/>
    <mergeCell ref="B32:E32"/>
    <mergeCell ref="G32:J32"/>
    <mergeCell ref="B36:E36"/>
    <mergeCell ref="G36:J36"/>
    <mergeCell ref="G40:J40"/>
    <mergeCell ref="B40:E40"/>
    <mergeCell ref="B44:E44"/>
    <mergeCell ref="G44:J44"/>
    <mergeCell ref="B48:E48"/>
    <mergeCell ref="G48:J48"/>
    <mergeCell ref="B21:C21"/>
    <mergeCell ref="D21:E21"/>
    <mergeCell ref="G21:H21"/>
    <mergeCell ref="I21:J21"/>
    <mergeCell ref="B25:E25"/>
    <mergeCell ref="G25:J25"/>
    <mergeCell ref="A26:K26"/>
    <mergeCell ref="B28:E28"/>
    <mergeCell ref="G28:J28"/>
    <mergeCell ref="A7:K7"/>
    <mergeCell ref="D9:E9"/>
    <mergeCell ref="G9:H9"/>
    <mergeCell ref="I9:J9"/>
    <mergeCell ref="G17:H17"/>
    <mergeCell ref="I17:J17"/>
    <mergeCell ref="B9:C9"/>
    <mergeCell ref="B13:C13"/>
    <mergeCell ref="D13:E13"/>
    <mergeCell ref="G13:H13"/>
    <mergeCell ref="I13:J13"/>
    <mergeCell ref="B17:C17"/>
    <mergeCell ref="D17:E17"/>
    <mergeCell ref="E1:G2"/>
    <mergeCell ref="C2:D2"/>
    <mergeCell ref="H2:I2"/>
    <mergeCell ref="C3:D3"/>
    <mergeCell ref="H3:I3"/>
    <mergeCell ref="E4:G4"/>
    <mergeCell ref="H4:I4"/>
    <mergeCell ref="C4:D4"/>
    <mergeCell ref="B6:E6"/>
    <mergeCell ref="G6:J6"/>
  </mergeCells>
  <conditionalFormatting sqref="B11 J11">
    <cfRule type="expression" dxfId="183" priority="27">
      <formula>$F$10&gt;8</formula>
    </cfRule>
  </conditionalFormatting>
  <conditionalFormatting sqref="B15 J15">
    <cfRule type="expression" dxfId="182" priority="26">
      <formula>$F$14&gt;8</formula>
    </cfRule>
  </conditionalFormatting>
  <conditionalFormatting sqref="B19 J19">
    <cfRule type="expression" dxfId="181" priority="25">
      <formula>$F$18&gt;8</formula>
    </cfRule>
  </conditionalFormatting>
  <conditionalFormatting sqref="B23 J23">
    <cfRule type="expression" dxfId="180" priority="24">
      <formula>$F$22&gt;8</formula>
    </cfRule>
  </conditionalFormatting>
  <conditionalFormatting sqref="B30 J30">
    <cfRule type="expression" dxfId="179" priority="36">
      <formula>$F$29&gt;8</formula>
    </cfRule>
  </conditionalFormatting>
  <conditionalFormatting sqref="B34 J34">
    <cfRule type="expression" dxfId="178" priority="37">
      <formula>$F$33&gt;8</formula>
    </cfRule>
  </conditionalFormatting>
  <conditionalFormatting sqref="B38 J38">
    <cfRule type="expression" dxfId="177" priority="38">
      <formula>$F$37&gt;8</formula>
    </cfRule>
  </conditionalFormatting>
  <conditionalFormatting sqref="B42 J42">
    <cfRule type="expression" dxfId="176" priority="39">
      <formula>$F$41&gt;8</formula>
    </cfRule>
  </conditionalFormatting>
  <conditionalFormatting sqref="B46 J46">
    <cfRule type="expression" dxfId="175" priority="40">
      <formula>$F$45&gt;8</formula>
    </cfRule>
  </conditionalFormatting>
  <conditionalFormatting sqref="B50 J50">
    <cfRule type="expression" dxfId="174" priority="41">
      <formula>$F$49&gt;8</formula>
    </cfRule>
  </conditionalFormatting>
  <conditionalFormatting sqref="B54 J54">
    <cfRule type="expression" dxfId="173" priority="42">
      <formula>$F$53&gt;8</formula>
    </cfRule>
  </conditionalFormatting>
  <conditionalFormatting sqref="B58 J58">
    <cfRule type="expression" dxfId="172" priority="43">
      <formula>$F$57&gt;8</formula>
    </cfRule>
  </conditionalFormatting>
  <conditionalFormatting sqref="B65 J65">
    <cfRule type="expression" dxfId="171" priority="16">
      <formula>$F$64&gt;8</formula>
    </cfRule>
  </conditionalFormatting>
  <conditionalFormatting sqref="B69 J69">
    <cfRule type="expression" dxfId="170" priority="17">
      <formula>$F$68&gt;8</formula>
    </cfRule>
  </conditionalFormatting>
  <conditionalFormatting sqref="B73 J73">
    <cfRule type="expression" dxfId="169" priority="18">
      <formula>$F$72&gt;8</formula>
    </cfRule>
  </conditionalFormatting>
  <conditionalFormatting sqref="B77 J77">
    <cfRule type="expression" dxfId="168" priority="19">
      <formula>$F$76&gt;8</formula>
    </cfRule>
  </conditionalFormatting>
  <conditionalFormatting sqref="B81:B98">
    <cfRule type="colorScale" priority="45">
      <colorScale>
        <cfvo type="formula" val="0"/>
        <cfvo type="formula" val="1"/>
        <cfvo type="formula" val="2"/>
        <color rgb="FFFFFFFF"/>
        <color rgb="FFB6D7CA"/>
        <color rgb="FF6AA888"/>
      </colorScale>
    </cfRule>
  </conditionalFormatting>
  <conditionalFormatting sqref="B10:D10 B14:D14 B18:D18 B22:D22 B29:D29 B33:D33 B37:D37 B41:D41 B45:D45 B49:D49 B53:D53 B57:D57 B64:D64 B68:D68 B72:D72 B76:D76">
    <cfRule type="cellIs" dxfId="167" priority="3" operator="greaterThanOrEqual">
      <formula>1</formula>
    </cfRule>
    <cfRule type="cellIs" dxfId="166" priority="4" operator="equal">
      <formula>0.5</formula>
    </cfRule>
    <cfRule type="beginsWith" dxfId="165" priority="7" operator="beginsWith" text="+">
      <formula>LEFT((B10),LEN("+"))=("+")</formula>
    </cfRule>
    <cfRule type="beginsWith" dxfId="164" priority="8" operator="beginsWith" text="-">
      <formula>LEFT((B10),LEN("-"))=("-")</formula>
    </cfRule>
    <cfRule type="cellIs" dxfId="163" priority="10" operator="equal">
      <formula>0</formula>
    </cfRule>
  </conditionalFormatting>
  <conditionalFormatting sqref="B8:E8 G8:J8 A8:A11 F8:F11 K8:K11 B11:E11 G11:J11 F13 F17 F21 F28 F32 F36 F40 F44 F48 F52 F56 F63 F67 F71 F75">
    <cfRule type="expression" dxfId="162" priority="20">
      <formula>$F$10=18</formula>
    </cfRule>
  </conditionalFormatting>
  <conditionalFormatting sqref="B12:E12 G12:J12 A12:A15 F12:F15 K12:K15 B15:E15 G15:J15">
    <cfRule type="expression" dxfId="161" priority="21">
      <formula>$F$14=18</formula>
    </cfRule>
  </conditionalFormatting>
  <conditionalFormatting sqref="B16:E16 G16:J16 A16:A19 F16:F19 K16:K19 B19:E19 G19:J19">
    <cfRule type="expression" dxfId="160" priority="22">
      <formula>$F$18=18</formula>
    </cfRule>
  </conditionalFormatting>
  <conditionalFormatting sqref="B20:E20 G20:J20 A20:A23 F20:F23 K20:K23 B23:E23 G23:J23">
    <cfRule type="expression" dxfId="159" priority="23">
      <formula>$F$22=18</formula>
    </cfRule>
  </conditionalFormatting>
  <conditionalFormatting sqref="B27:E27 G27:J27 A27:A30 F27:F30 K27:K30 B30:E30 G30:J30">
    <cfRule type="expression" dxfId="158" priority="28">
      <formula>$F$29=18</formula>
    </cfRule>
  </conditionalFormatting>
  <conditionalFormatting sqref="B31:E31 G31:J31 A31:A34 F31:F34 K31:K34 B34:E34 G34:J34">
    <cfRule type="expression" dxfId="157" priority="29">
      <formula>$F$33=18</formula>
    </cfRule>
  </conditionalFormatting>
  <conditionalFormatting sqref="B35:E35 G35:J35 A35:A38 F35:F38 K35:K38 B38:E38 G38:J38">
    <cfRule type="expression" dxfId="156" priority="30">
      <formula>$F$37=18</formula>
    </cfRule>
  </conditionalFormatting>
  <conditionalFormatting sqref="B39:E39 G39:J39 A39:A42 F39:F42 K39:K42 B42:E42 G42:J42">
    <cfRule type="expression" dxfId="155" priority="31">
      <formula>$F$41=18</formula>
    </cfRule>
  </conditionalFormatting>
  <conditionalFormatting sqref="B43:E43 G43:J43 A43:A46 F43:F46 K43:K46 B46:E46 G46:J46">
    <cfRule type="expression" dxfId="154" priority="32">
      <formula>$F$45=18</formula>
    </cfRule>
  </conditionalFormatting>
  <conditionalFormatting sqref="B47:E47 G47:J47 A47:A50 F47:F50 K47:K50 B50:E50 G50:J50">
    <cfRule type="expression" dxfId="153" priority="33">
      <formula>$F$49=18</formula>
    </cfRule>
  </conditionalFormatting>
  <conditionalFormatting sqref="B51:E51 G51:J51 A51:A54 F51:F54 K51:K54 B54:E54 G54:J54">
    <cfRule type="expression" dxfId="152" priority="34">
      <formula>$F$53=18</formula>
    </cfRule>
  </conditionalFormatting>
  <conditionalFormatting sqref="B55:E55 G55:J55 A55:A58 F55:F58 K55:K58 B58:E58 G58:J58">
    <cfRule type="expression" dxfId="151" priority="35">
      <formula>$F$57=18</formula>
    </cfRule>
  </conditionalFormatting>
  <conditionalFormatting sqref="B62:E62 G62:J62 A62:A65 F62:F65 K62:K65 B65:E65 G65:J65">
    <cfRule type="expression" dxfId="150" priority="13">
      <formula>$F$64=18</formula>
    </cfRule>
  </conditionalFormatting>
  <conditionalFormatting sqref="B66:E66 G66:J66 A66:A69 F66:F69 K66:K69 B69:E69 G69:J69">
    <cfRule type="expression" dxfId="149" priority="14">
      <formula>$F$68=18</formula>
    </cfRule>
  </conditionalFormatting>
  <conditionalFormatting sqref="B70:E70 G70:J70 A70:A73 F70:F73 K70:K73 B73:E73 G73:J73">
    <cfRule type="expression" dxfId="148" priority="9">
      <formula>$F$72=18</formula>
    </cfRule>
  </conditionalFormatting>
  <conditionalFormatting sqref="B74:E74 G74:J74 A74:A77 F74:F77 K74:K77 B77:E77 G77:J77">
    <cfRule type="expression" dxfId="147" priority="15">
      <formula>$F$76=18</formula>
    </cfRule>
  </conditionalFormatting>
  <conditionalFormatting sqref="E14 E10 E18 E22 E29 E33 E37 E41 E45 E49 E53 E57 E64 E68 E72 E76">
    <cfRule type="colorScale" priority="1">
      <colorScale>
        <cfvo type="formula" val="0"/>
        <cfvo type="formula" val="1.5"/>
        <cfvo type="formula" val="3"/>
        <color rgb="FFFFFFFF"/>
        <color rgb="FFB6D7CA"/>
        <color rgb="FF6AA888"/>
      </colorScale>
    </cfRule>
  </conditionalFormatting>
  <conditionalFormatting sqref="G14 G10 G18 G22 G29 G33 G37 G41 G45 G49 G53 G57 G64 G68 G72 G76">
    <cfRule type="colorScale" priority="2">
      <colorScale>
        <cfvo type="formula" val="0"/>
        <cfvo type="formula" val="1.5"/>
        <cfvo type="formula" val="3"/>
        <color rgb="FFFFFFFF"/>
        <color rgb="FFCCCCCC"/>
        <color rgb="FF999999"/>
      </colorScale>
    </cfRule>
  </conditionalFormatting>
  <conditionalFormatting sqref="H10:J10 H14:J14 H18:J18 H22:J22 H29:J29 H33:J33 H37:J37 H41:J41 H45:J45 H49:J49 H53:J53 H57:J57 H64:J64 H68:J68 H72:J72 H76:J76">
    <cfRule type="beginsWith" dxfId="146" priority="12" operator="beginsWith" text="+">
      <formula>LEFT((H10),LEN("+"))=("+")</formula>
    </cfRule>
    <cfRule type="cellIs" dxfId="145" priority="11" operator="equal">
      <formula>0</formula>
    </cfRule>
    <cfRule type="cellIs" dxfId="144" priority="5" operator="equal">
      <formula>0.5</formula>
    </cfRule>
    <cfRule type="cellIs" dxfId="143" priority="6" operator="greaterThanOrEqual">
      <formula>1</formula>
    </cfRule>
  </conditionalFormatting>
  <conditionalFormatting sqref="J81:J98">
    <cfRule type="colorScale" priority="44">
      <colorScale>
        <cfvo type="formula" val="0"/>
        <cfvo type="formula" val="1"/>
        <cfvo type="formula" val="2"/>
        <color rgb="FFFFFFFF"/>
        <color rgb="FFCCCCCC"/>
        <color rgb="FF999999"/>
      </colorScale>
    </cfRule>
  </conditionalFormatting>
  <printOptions horizontalCentered="1" gridLines="1"/>
  <pageMargins left="0.5" right="0.5" top="0.25" bottom="0.25" header="0" footer="0"/>
  <pageSetup fitToWidth="0" pageOrder="overThenDown" orientation="portrait"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9999"/>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66" t="s">
        <v>15</v>
      </c>
      <c r="B1" s="67">
        <f>'Master Input'!E3</f>
        <v>4.1666666666666664E-2</v>
      </c>
      <c r="C1" s="68" t="str">
        <f>'Master Input'!$E$2</f>
        <v>Round 1</v>
      </c>
      <c r="D1" s="69"/>
      <c r="E1" s="68" t="str">
        <f>'Master Input'!$E$6</f>
        <v>Sundance - Blue</v>
      </c>
      <c r="F1" s="70"/>
      <c r="G1" s="70"/>
      <c r="H1" s="70"/>
      <c r="I1" s="70"/>
      <c r="J1" s="70"/>
      <c r="K1" s="70"/>
      <c r="L1" s="70"/>
      <c r="M1" s="70"/>
      <c r="N1" s="71"/>
      <c r="O1" s="72"/>
      <c r="P1" s="68" t="str">
        <f>'Master Input'!$E$2&amp;" - "&amp;A1</f>
        <v>Round 1 - Group 1</v>
      </c>
      <c r="Q1" s="69"/>
      <c r="R1" s="73"/>
      <c r="S1" s="73"/>
      <c r="T1" s="73"/>
      <c r="U1" s="68" t="str">
        <f>'Master Input'!$E$6</f>
        <v>Sundance - Blue</v>
      </c>
      <c r="V1" s="73"/>
      <c r="W1" s="73"/>
      <c r="X1" s="73"/>
      <c r="Y1" s="73"/>
      <c r="Z1" s="73"/>
      <c r="AA1" s="73"/>
      <c r="AB1" s="74"/>
    </row>
    <row r="2" spans="1:28" ht="14.25" customHeight="1">
      <c r="A2" s="75" t="s">
        <v>16</v>
      </c>
      <c r="B2" s="1163" t="str">
        <f>'Match Selection'!B4</f>
        <v>Dirty Dozen</v>
      </c>
      <c r="C2" s="76"/>
      <c r="D2" s="77" t="s">
        <v>16</v>
      </c>
      <c r="E2" s="78">
        <v>1</v>
      </c>
      <c r="F2" s="79">
        <v>2</v>
      </c>
      <c r="G2" s="79">
        <v>3</v>
      </c>
      <c r="H2" s="79">
        <v>4</v>
      </c>
      <c r="I2" s="79">
        <v>5</v>
      </c>
      <c r="J2" s="79">
        <v>6</v>
      </c>
      <c r="K2" s="79">
        <v>7</v>
      </c>
      <c r="L2" s="79">
        <v>8</v>
      </c>
      <c r="M2" s="80">
        <v>9</v>
      </c>
      <c r="N2" s="81" t="s">
        <v>17</v>
      </c>
      <c r="O2" s="72"/>
      <c r="P2" s="77" t="s">
        <v>16</v>
      </c>
      <c r="Q2" s="78">
        <v>10</v>
      </c>
      <c r="R2" s="79">
        <v>11</v>
      </c>
      <c r="S2" s="79">
        <v>12</v>
      </c>
      <c r="T2" s="79">
        <v>13</v>
      </c>
      <c r="U2" s="79">
        <v>14</v>
      </c>
      <c r="V2" s="79">
        <v>15</v>
      </c>
      <c r="W2" s="79">
        <v>16</v>
      </c>
      <c r="X2" s="79">
        <v>17</v>
      </c>
      <c r="Y2" s="80">
        <v>18</v>
      </c>
      <c r="Z2" s="82" t="s">
        <v>18</v>
      </c>
      <c r="AA2" s="83" t="s">
        <v>14</v>
      </c>
      <c r="AB2" s="83" t="s">
        <v>19</v>
      </c>
    </row>
    <row r="3" spans="1:28" ht="14.25" customHeight="1">
      <c r="A3" s="84" t="s">
        <v>20</v>
      </c>
      <c r="B3" s="1129"/>
      <c r="C3" s="85"/>
      <c r="D3" s="86" t="s">
        <v>20</v>
      </c>
      <c r="E3" s="87">
        <f ca="1">VLOOKUP($E1, 'Course List'!$A$3:$AS$14,5+E2, FALSE)</f>
        <v>14</v>
      </c>
      <c r="F3" s="88">
        <f ca="1">VLOOKUP($E1, 'Course List'!$A$3:$AS$14,5+F2, FALSE)</f>
        <v>16</v>
      </c>
      <c r="G3" s="88">
        <f ca="1">VLOOKUP($E1, 'Course List'!$A$3:$AS$14,5+G2, FALSE)</f>
        <v>11</v>
      </c>
      <c r="H3" s="88">
        <f ca="1">VLOOKUP($E1, 'Course List'!$A$3:$AS$14,5+H2, FALSE)</f>
        <v>12</v>
      </c>
      <c r="I3" s="88">
        <f ca="1">VLOOKUP($E1, 'Course List'!$A$3:$AS$14,5+I2, FALSE)</f>
        <v>6</v>
      </c>
      <c r="J3" s="88">
        <f ca="1">VLOOKUP($E1, 'Course List'!$A$3:$AS$14,5+J2, FALSE)</f>
        <v>8</v>
      </c>
      <c r="K3" s="88">
        <f ca="1">VLOOKUP($E1, 'Course List'!$A$3:$AS$14,5+K2, FALSE)</f>
        <v>17</v>
      </c>
      <c r="L3" s="88">
        <f ca="1">VLOOKUP($E1, 'Course List'!$A$3:$AS$14,5+L2, FALSE)</f>
        <v>5</v>
      </c>
      <c r="M3" s="89">
        <f ca="1">VLOOKUP($E1, 'Course List'!$A$3:$AS$14,5+M2, FALSE)</f>
        <v>2</v>
      </c>
      <c r="N3" s="90"/>
      <c r="O3" s="72"/>
      <c r="P3" s="86" t="s">
        <v>21</v>
      </c>
      <c r="Q3" s="87">
        <f ca="1">VLOOKUP($E1, 'Course List'!$A$3:$AS$14,5+Q2, FALSE)</f>
        <v>9</v>
      </c>
      <c r="R3" s="88">
        <f ca="1">VLOOKUP($E1, 'Course List'!$A$3:$AS$14,5+R2, FALSE)</f>
        <v>13</v>
      </c>
      <c r="S3" s="88">
        <f ca="1">VLOOKUP($E1, 'Course List'!$A$3:$AS$14,5+S2, FALSE)</f>
        <v>4</v>
      </c>
      <c r="T3" s="88">
        <f ca="1">VLOOKUP($E1, 'Course List'!$A$3:$AS$14,5+T2, FALSE)</f>
        <v>18</v>
      </c>
      <c r="U3" s="88">
        <f ca="1">VLOOKUP($E1, 'Course List'!$A$3:$AS$14,5+U2, FALSE)</f>
        <v>7</v>
      </c>
      <c r="V3" s="88">
        <f ca="1">VLOOKUP($E1, 'Course List'!$A$3:$AS$14,5+V2, FALSE)</f>
        <v>3</v>
      </c>
      <c r="W3" s="88">
        <f ca="1">VLOOKUP($E1, 'Course List'!$A$3:$AS$14,5+W2, FALSE)</f>
        <v>10</v>
      </c>
      <c r="X3" s="88">
        <f ca="1">VLOOKUP($E1, 'Course List'!$A$3:$AS$14,5+X2, FALSE)</f>
        <v>15</v>
      </c>
      <c r="Y3" s="89">
        <f ca="1">VLOOKUP($E1, 'Course List'!$A$3:$AS$14,5+Y2, FALSE)</f>
        <v>1</v>
      </c>
      <c r="Z3" s="91"/>
      <c r="AA3" s="92"/>
      <c r="AB3" s="92"/>
    </row>
    <row r="4" spans="1:28" ht="14.25" customHeight="1">
      <c r="A4" s="84" t="s">
        <v>22</v>
      </c>
      <c r="B4" s="1139"/>
      <c r="C4" s="85"/>
      <c r="D4" s="86" t="s">
        <v>22</v>
      </c>
      <c r="E4" s="93">
        <f ca="1">VLOOKUP($E1, 'Course List'!$A$3:$AS$14,27+E2, FALSE)</f>
        <v>4</v>
      </c>
      <c r="F4" s="94">
        <f ca="1">VLOOKUP($E1, 'Course List'!$A$3:$AS$14,27+F2, FALSE)</f>
        <v>4</v>
      </c>
      <c r="G4" s="94">
        <f ca="1">VLOOKUP($E1, 'Course List'!$A$3:$AS$14,27+G2, FALSE)</f>
        <v>3</v>
      </c>
      <c r="H4" s="94">
        <f ca="1">VLOOKUP($E1, 'Course List'!$A$3:$AS$14,27+H2, FALSE)</f>
        <v>4</v>
      </c>
      <c r="I4" s="94">
        <f ca="1">VLOOKUP($E1, 'Course List'!$A$3:$AS$14,27+I2, FALSE)</f>
        <v>4</v>
      </c>
      <c r="J4" s="94">
        <f ca="1">VLOOKUP($E1, 'Course List'!$A$3:$AS$14,27+J2, FALSE)</f>
        <v>5</v>
      </c>
      <c r="K4" s="94">
        <f ca="1">VLOOKUP($E1, 'Course List'!$A$3:$AS$14,27+K2, FALSE)</f>
        <v>4</v>
      </c>
      <c r="L4" s="94">
        <f ca="1">VLOOKUP($E1, 'Course List'!$A$3:$AS$14,27+L2, FALSE)</f>
        <v>3</v>
      </c>
      <c r="M4" s="95">
        <f ca="1">VLOOKUP($E1, 'Course List'!$A$3:$AS$14,27+M2, FALSE)</f>
        <v>5</v>
      </c>
      <c r="N4" s="96">
        <f ca="1">SUM(E4:M4)</f>
        <v>36</v>
      </c>
      <c r="O4" s="72"/>
      <c r="P4" s="86" t="s">
        <v>22</v>
      </c>
      <c r="Q4" s="93">
        <f ca="1">VLOOKUP($E1, 'Course List'!$A$3:$AS$14,27+Q2, FALSE)</f>
        <v>4</v>
      </c>
      <c r="R4" s="94">
        <f ca="1">VLOOKUP($E1, 'Course List'!$A$3:$AS$14,27+R2, FALSE)</f>
        <v>4</v>
      </c>
      <c r="S4" s="94">
        <f ca="1">VLOOKUP($E1, 'Course List'!$A$3:$AS$14,27+S2, FALSE)</f>
        <v>4</v>
      </c>
      <c r="T4" s="94">
        <f ca="1">VLOOKUP($E1, 'Course List'!$A$3:$AS$14,27+T2, FALSE)</f>
        <v>3</v>
      </c>
      <c r="U4" s="94">
        <f ca="1">VLOOKUP($E1, 'Course List'!$A$3:$AS$14,27+U2, FALSE)</f>
        <v>5</v>
      </c>
      <c r="V4" s="94">
        <f ca="1">VLOOKUP($E1, 'Course List'!$A$3:$AS$14,27+V2, FALSE)</f>
        <v>4</v>
      </c>
      <c r="W4" s="94">
        <f ca="1">VLOOKUP($E1, 'Course List'!$A$3:$AS$14,27+W2, FALSE)</f>
        <v>5</v>
      </c>
      <c r="X4" s="94">
        <f ca="1">VLOOKUP($E1, 'Course List'!$A$3:$AS$14,27+X2, FALSE)</f>
        <v>3</v>
      </c>
      <c r="Y4" s="95">
        <f ca="1">VLOOKUP($E1, 'Course List'!$A$3:$AS$14,27+Y2, FALSE)</f>
        <v>4</v>
      </c>
      <c r="Z4" s="93">
        <f ca="1">SUM(Q4:Y4)</f>
        <v>36</v>
      </c>
      <c r="AA4" s="97">
        <f ca="1">N4+Z4</f>
        <v>72</v>
      </c>
      <c r="AB4" s="98"/>
    </row>
    <row r="5" spans="1:28" ht="14.25" customHeight="1">
      <c r="A5" s="99" t="s">
        <v>23</v>
      </c>
      <c r="B5" s="99" t="s">
        <v>24</v>
      </c>
      <c r="C5" s="100" t="s">
        <v>25</v>
      </c>
      <c r="D5" s="101" t="s">
        <v>26</v>
      </c>
      <c r="E5" s="102">
        <v>1</v>
      </c>
      <c r="F5" s="103">
        <v>2</v>
      </c>
      <c r="G5" s="103">
        <v>3</v>
      </c>
      <c r="H5" s="103">
        <v>4</v>
      </c>
      <c r="I5" s="103">
        <v>5</v>
      </c>
      <c r="J5" s="103">
        <v>6</v>
      </c>
      <c r="K5" s="103">
        <v>7</v>
      </c>
      <c r="L5" s="103">
        <v>8</v>
      </c>
      <c r="M5" s="104">
        <v>9</v>
      </c>
      <c r="N5" s="105" t="s">
        <v>17</v>
      </c>
      <c r="O5" s="106"/>
      <c r="P5" s="107" t="s">
        <v>23</v>
      </c>
      <c r="Q5" s="102">
        <v>10</v>
      </c>
      <c r="R5" s="103">
        <v>11</v>
      </c>
      <c r="S5" s="103">
        <v>12</v>
      </c>
      <c r="T5" s="103">
        <v>13</v>
      </c>
      <c r="U5" s="103">
        <v>14</v>
      </c>
      <c r="V5" s="103">
        <v>15</v>
      </c>
      <c r="W5" s="103">
        <v>16</v>
      </c>
      <c r="X5" s="103">
        <v>17</v>
      </c>
      <c r="Y5" s="104">
        <v>18</v>
      </c>
      <c r="Z5" s="108" t="s">
        <v>18</v>
      </c>
      <c r="AA5" s="109" t="s">
        <v>27</v>
      </c>
      <c r="AB5" s="110" t="s">
        <v>28</v>
      </c>
    </row>
    <row r="6" spans="1:28" ht="7.5" customHeight="1">
      <c r="A6" s="111"/>
      <c r="B6" s="112"/>
      <c r="C6" s="113"/>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117"/>
      <c r="O6" s="118"/>
      <c r="P6" s="119"/>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
      </c>
      <c r="Z6" s="120"/>
      <c r="AA6" s="121"/>
      <c r="AB6" s="122"/>
    </row>
    <row r="7" spans="1:28" ht="22.5" hidden="1" customHeight="1">
      <c r="A7" s="123"/>
      <c r="B7" s="124"/>
      <c r="C7" s="12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130"/>
      <c r="O7" s="131"/>
      <c r="P7" s="132"/>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0</v>
      </c>
      <c r="Z7" s="133"/>
      <c r="AA7" s="134"/>
      <c r="AB7" s="135"/>
    </row>
    <row r="8" spans="1:28" ht="22.5" customHeight="1">
      <c r="A8" s="136" t="str">
        <f>'Match Selection'!D4</f>
        <v>Elger</v>
      </c>
      <c r="B8" s="137" t="str">
        <f>VLOOKUP(A8, 'Master Input'!$A$11:$B$27, 2, FALSE)</f>
        <v>WEEZ</v>
      </c>
      <c r="C8" s="138">
        <f ca="1">VLOOKUP(A8,'Master Input'!$A$11:$L$27,'Master Input'!$F$28, FALSE)</f>
        <v>5</v>
      </c>
      <c r="D8" s="139">
        <f ca="1">C8-SMALL($C$8:$C$17,1)</f>
        <v>0</v>
      </c>
      <c r="E8" s="140">
        <v>6</v>
      </c>
      <c r="F8" s="141">
        <v>5</v>
      </c>
      <c r="G8" s="142">
        <v>4</v>
      </c>
      <c r="H8" s="141">
        <v>4</v>
      </c>
      <c r="I8" s="142">
        <v>6</v>
      </c>
      <c r="J8" s="141">
        <v>4</v>
      </c>
      <c r="K8" s="142">
        <v>4</v>
      </c>
      <c r="L8" s="141">
        <v>3</v>
      </c>
      <c r="M8" s="142">
        <v>5</v>
      </c>
      <c r="N8" s="143">
        <f>IF(M8="","", SUM(E8:M8))</f>
        <v>41</v>
      </c>
      <c r="O8" s="131"/>
      <c r="P8" s="144" t="str">
        <f>A8</f>
        <v>Elger</v>
      </c>
      <c r="Q8" s="140">
        <v>5</v>
      </c>
      <c r="R8" s="141">
        <v>4</v>
      </c>
      <c r="S8" s="142">
        <v>6</v>
      </c>
      <c r="T8" s="141">
        <v>3</v>
      </c>
      <c r="U8" s="142">
        <v>6</v>
      </c>
      <c r="V8" s="141">
        <v>5</v>
      </c>
      <c r="W8" s="142">
        <v>5</v>
      </c>
      <c r="X8" s="141">
        <v>4</v>
      </c>
      <c r="Y8" s="142">
        <v>9</v>
      </c>
      <c r="Z8" s="143">
        <f>IF(Y8="","", SUM(Q8:Y8))</f>
        <v>47</v>
      </c>
      <c r="AA8" s="145">
        <f>IF(Z8="", "", SUM(N8,Z8))</f>
        <v>88</v>
      </c>
      <c r="AB8" s="146">
        <f ca="1">IF(Y8="", "", AA8-C8)</f>
        <v>83</v>
      </c>
    </row>
    <row r="9" spans="1:28" ht="7.5" customHeight="1">
      <c r="A9" s="147"/>
      <c r="B9" s="148"/>
      <c r="C9" s="149"/>
      <c r="D9" s="150"/>
      <c r="E9" s="114" t="str">
        <f t="shared" ref="E9:M9" ca="1" si="4">IF(E10=1,"O", IF(E10=2,"O   O",""))</f>
        <v/>
      </c>
      <c r="F9" s="115" t="str">
        <f t="shared" ca="1" si="4"/>
        <v/>
      </c>
      <c r="G9" s="116" t="str">
        <f t="shared" ca="1" si="4"/>
        <v/>
      </c>
      <c r="H9" s="115" t="str">
        <f t="shared" ca="1" si="4"/>
        <v/>
      </c>
      <c r="I9" s="116" t="str">
        <f t="shared" ca="1" si="4"/>
        <v>O</v>
      </c>
      <c r="J9" s="115" t="str">
        <f t="shared" ca="1" si="4"/>
        <v/>
      </c>
      <c r="K9" s="116" t="str">
        <f t="shared" ca="1" si="4"/>
        <v/>
      </c>
      <c r="L9" s="115" t="str">
        <f t="shared" ca="1" si="4"/>
        <v>O</v>
      </c>
      <c r="M9" s="116" t="str">
        <f t="shared" ca="1" si="4"/>
        <v>O</v>
      </c>
      <c r="N9" s="151"/>
      <c r="O9" s="118"/>
      <c r="P9" s="152"/>
      <c r="Q9" s="114" t="str">
        <f t="shared" ref="Q9:Y9" ca="1" si="5">IF(Q10=1,"O", IF(Q10=2,"O   O",""))</f>
        <v/>
      </c>
      <c r="R9" s="115" t="str">
        <f t="shared" ca="1" si="5"/>
        <v/>
      </c>
      <c r="S9" s="116" t="str">
        <f t="shared" ca="1" si="5"/>
        <v>O</v>
      </c>
      <c r="T9" s="115" t="str">
        <f t="shared" ca="1" si="5"/>
        <v/>
      </c>
      <c r="U9" s="116" t="str">
        <f t="shared" ca="1" si="5"/>
        <v/>
      </c>
      <c r="V9" s="115" t="str">
        <f t="shared" ca="1" si="5"/>
        <v>O</v>
      </c>
      <c r="W9" s="116" t="str">
        <f t="shared" ca="1" si="5"/>
        <v/>
      </c>
      <c r="X9" s="115" t="str">
        <f t="shared" ca="1" si="5"/>
        <v/>
      </c>
      <c r="Y9" s="116" t="str">
        <f t="shared" ca="1" si="5"/>
        <v>O</v>
      </c>
      <c r="Z9" s="153"/>
      <c r="AA9" s="154"/>
      <c r="AB9" s="155"/>
    </row>
    <row r="10" spans="1:28" ht="22.5" hidden="1" customHeight="1">
      <c r="A10" s="123"/>
      <c r="B10" s="124"/>
      <c r="C10" s="156"/>
      <c r="D10" s="126"/>
      <c r="E10" s="127">
        <f t="shared" ref="E10:M10" ca="1" si="6">IF($D11&gt;0,FLOOR($D11/18,1),0)+IF(AND(MOD($D11,18)&gt;=E$3,$D11&gt;0),1,0)-IF(E$3-18&gt;$D11,1,0)</f>
        <v>0</v>
      </c>
      <c r="F10" s="128">
        <f t="shared" ca="1" si="6"/>
        <v>0</v>
      </c>
      <c r="G10" s="129">
        <f t="shared" ca="1" si="6"/>
        <v>0</v>
      </c>
      <c r="H10" s="128">
        <f t="shared" ca="1" si="6"/>
        <v>0</v>
      </c>
      <c r="I10" s="129">
        <f t="shared" ca="1" si="6"/>
        <v>1</v>
      </c>
      <c r="J10" s="128">
        <f t="shared" ca="1" si="6"/>
        <v>0</v>
      </c>
      <c r="K10" s="129">
        <f t="shared" ca="1" si="6"/>
        <v>0</v>
      </c>
      <c r="L10" s="128">
        <f t="shared" ca="1" si="6"/>
        <v>1</v>
      </c>
      <c r="M10" s="129">
        <f t="shared" ca="1" si="6"/>
        <v>1</v>
      </c>
      <c r="N10" s="130"/>
      <c r="O10" s="131"/>
      <c r="P10" s="132"/>
      <c r="Q10" s="127">
        <f t="shared" ref="Q10:Y10" ca="1" si="7">IF($D11&gt;0,FLOOR($D11/18,1),0)+IF(AND(MOD($D11,18)&gt;=Q$3,$D11&gt;0),1,0)-IF(Q$3-18&gt;$D11,1,0)</f>
        <v>0</v>
      </c>
      <c r="R10" s="128">
        <f t="shared" ca="1" si="7"/>
        <v>0</v>
      </c>
      <c r="S10" s="129">
        <f t="shared" ca="1" si="7"/>
        <v>1</v>
      </c>
      <c r="T10" s="128">
        <f t="shared" ca="1" si="7"/>
        <v>0</v>
      </c>
      <c r="U10" s="129">
        <f t="shared" ca="1" si="7"/>
        <v>0</v>
      </c>
      <c r="V10" s="128">
        <f t="shared" ca="1" si="7"/>
        <v>1</v>
      </c>
      <c r="W10" s="129">
        <f t="shared" ca="1" si="7"/>
        <v>0</v>
      </c>
      <c r="X10" s="128">
        <f t="shared" ca="1" si="7"/>
        <v>0</v>
      </c>
      <c r="Y10" s="129">
        <f t="shared" ca="1" si="7"/>
        <v>1</v>
      </c>
      <c r="Z10" s="133"/>
      <c r="AA10" s="134"/>
      <c r="AB10" s="135"/>
    </row>
    <row r="11" spans="1:28" ht="22.5" customHeight="1">
      <c r="A11" s="157" t="str">
        <f>'Match Selection'!D5</f>
        <v>T-Mo</v>
      </c>
      <c r="B11" s="158" t="str">
        <f>VLOOKUP(A11, 'Master Input'!$A$11:$B$27, 2, FALSE)</f>
        <v>WEEZ</v>
      </c>
      <c r="C11" s="138">
        <f ca="1">VLOOKUP(A11,'Master Input'!$A$11:$L$27,'Master Input'!$F$28, FALSE)</f>
        <v>11</v>
      </c>
      <c r="D11" s="139">
        <f ca="1">C11-SMALL($C$8:$C$17,1)</f>
        <v>6</v>
      </c>
      <c r="E11" s="140">
        <v>4</v>
      </c>
      <c r="F11" s="141">
        <v>3</v>
      </c>
      <c r="G11" s="142">
        <v>4</v>
      </c>
      <c r="H11" s="141">
        <v>5</v>
      </c>
      <c r="I11" s="142">
        <v>4</v>
      </c>
      <c r="J11" s="141">
        <v>4</v>
      </c>
      <c r="K11" s="142">
        <v>6</v>
      </c>
      <c r="L11" s="141">
        <v>5</v>
      </c>
      <c r="M11" s="142">
        <v>6</v>
      </c>
      <c r="N11" s="143">
        <f>IF(M11="","", SUM(E11:M11))</f>
        <v>41</v>
      </c>
      <c r="O11" s="131"/>
      <c r="P11" s="144" t="str">
        <f>A11</f>
        <v>T-Mo</v>
      </c>
      <c r="Q11" s="140">
        <v>4</v>
      </c>
      <c r="R11" s="141">
        <v>5</v>
      </c>
      <c r="S11" s="142">
        <v>8</v>
      </c>
      <c r="T11" s="141">
        <v>5</v>
      </c>
      <c r="U11" s="142">
        <v>3</v>
      </c>
      <c r="V11" s="141">
        <v>8</v>
      </c>
      <c r="W11" s="142">
        <v>5</v>
      </c>
      <c r="X11" s="141">
        <v>4</v>
      </c>
      <c r="Y11" s="142">
        <v>4</v>
      </c>
      <c r="Z11" s="143">
        <f>IF(Y11="","", SUM(Q11:Y11))</f>
        <v>46</v>
      </c>
      <c r="AA11" s="145">
        <f>IF(Z11="", "", SUM(N11,Z11))</f>
        <v>87</v>
      </c>
      <c r="AB11" s="146">
        <f ca="1">IF(Y11="", "", AA11-C11)</f>
        <v>76</v>
      </c>
    </row>
    <row r="12" spans="1:28" ht="7.5" customHeight="1">
      <c r="A12" s="159"/>
      <c r="B12" s="160"/>
      <c r="C12" s="161"/>
      <c r="D12" s="162"/>
      <c r="E12" s="163" t="str">
        <f t="shared" ref="E12:M12" ca="1" si="8">IF(E13=1,"O", IF(E13=2,"O   O",""))</f>
        <v/>
      </c>
      <c r="F12" s="164" t="str">
        <f t="shared" ca="1" si="8"/>
        <v/>
      </c>
      <c r="G12" s="165" t="str">
        <f t="shared" ca="1" si="8"/>
        <v/>
      </c>
      <c r="H12" s="164" t="str">
        <f t="shared" ca="1" si="8"/>
        <v/>
      </c>
      <c r="I12" s="165" t="str">
        <f t="shared" ca="1" si="8"/>
        <v/>
      </c>
      <c r="J12" s="164" t="str">
        <f t="shared" ca="1" si="8"/>
        <v/>
      </c>
      <c r="K12" s="165" t="str">
        <f t="shared" ca="1" si="8"/>
        <v/>
      </c>
      <c r="L12" s="164" t="str">
        <f t="shared" ca="1" si="8"/>
        <v/>
      </c>
      <c r="M12" s="165" t="str">
        <f t="shared" ca="1" si="8"/>
        <v>O</v>
      </c>
      <c r="N12" s="166"/>
      <c r="O12" s="118"/>
      <c r="P12" s="167"/>
      <c r="Q12" s="163" t="str">
        <f t="shared" ref="Q12:Y12" ca="1" si="9">IF(Q13=1,"O", IF(Q13=2,"O   O",""))</f>
        <v/>
      </c>
      <c r="R12" s="164" t="str">
        <f t="shared" ca="1" si="9"/>
        <v/>
      </c>
      <c r="S12" s="165" t="str">
        <f t="shared" ca="1" si="9"/>
        <v>O</v>
      </c>
      <c r="T12" s="164" t="str">
        <f t="shared" ca="1" si="9"/>
        <v/>
      </c>
      <c r="U12" s="165" t="str">
        <f t="shared" ca="1" si="9"/>
        <v/>
      </c>
      <c r="V12" s="164" t="str">
        <f t="shared" ca="1" si="9"/>
        <v>O</v>
      </c>
      <c r="W12" s="165" t="str">
        <f t="shared" ca="1" si="9"/>
        <v/>
      </c>
      <c r="X12" s="164" t="str">
        <f t="shared" ca="1" si="9"/>
        <v/>
      </c>
      <c r="Y12" s="165" t="str">
        <f t="shared" ca="1" si="9"/>
        <v>O</v>
      </c>
      <c r="Z12" s="168"/>
      <c r="AA12" s="169"/>
      <c r="AB12" s="170"/>
    </row>
    <row r="13" spans="1:28" ht="22.5" hidden="1" customHeight="1">
      <c r="A13" s="171"/>
      <c r="B13" s="172"/>
      <c r="C13" s="173"/>
      <c r="D13" s="174"/>
      <c r="E13" s="175">
        <f t="shared" ref="E13:M13" ca="1" si="10">IF($D14&gt;0,FLOOR($D14/18,1),0)+IF(AND(MOD($D14,18)&gt;=E$3,$D14&gt;0),1,0)-IF(E$3-18&gt;$D14,1,0)</f>
        <v>0</v>
      </c>
      <c r="F13" s="176">
        <f t="shared" ca="1" si="10"/>
        <v>0</v>
      </c>
      <c r="G13" s="177">
        <f t="shared" ca="1" si="10"/>
        <v>0</v>
      </c>
      <c r="H13" s="176">
        <f t="shared" ca="1" si="10"/>
        <v>0</v>
      </c>
      <c r="I13" s="177">
        <f t="shared" ca="1" si="10"/>
        <v>0</v>
      </c>
      <c r="J13" s="176">
        <f t="shared" ca="1" si="10"/>
        <v>0</v>
      </c>
      <c r="K13" s="177">
        <f t="shared" ca="1" si="10"/>
        <v>0</v>
      </c>
      <c r="L13" s="176">
        <f t="shared" ca="1" si="10"/>
        <v>0</v>
      </c>
      <c r="M13" s="177">
        <f t="shared" ca="1" si="10"/>
        <v>1</v>
      </c>
      <c r="N13" s="130"/>
      <c r="O13" s="131"/>
      <c r="P13" s="178"/>
      <c r="Q13" s="175">
        <f t="shared" ref="Q13:Y13" ca="1" si="11">IF($D14&gt;0,FLOOR($D14/18,1),0)+IF(AND(MOD($D14,18)&gt;=Q$3,$D14&gt;0),1,0)-IF(Q$3-18&gt;$D14,1,0)</f>
        <v>0</v>
      </c>
      <c r="R13" s="176">
        <f t="shared" ca="1" si="11"/>
        <v>0</v>
      </c>
      <c r="S13" s="177">
        <f t="shared" ca="1" si="11"/>
        <v>1</v>
      </c>
      <c r="T13" s="176">
        <f t="shared" ca="1" si="11"/>
        <v>0</v>
      </c>
      <c r="U13" s="177">
        <f t="shared" ca="1" si="11"/>
        <v>0</v>
      </c>
      <c r="V13" s="176">
        <f t="shared" ca="1" si="11"/>
        <v>1</v>
      </c>
      <c r="W13" s="177">
        <f t="shared" ca="1" si="11"/>
        <v>0</v>
      </c>
      <c r="X13" s="176">
        <f t="shared" ca="1" si="11"/>
        <v>0</v>
      </c>
      <c r="Y13" s="177">
        <f t="shared" ca="1" si="11"/>
        <v>1</v>
      </c>
      <c r="Z13" s="179"/>
      <c r="AA13" s="180"/>
      <c r="AB13" s="135"/>
    </row>
    <row r="14" spans="1:28" ht="22.5" customHeight="1">
      <c r="A14" s="181" t="str">
        <f>'Match Selection'!G4</f>
        <v>R-Mac</v>
      </c>
      <c r="B14" s="182" t="str">
        <f>VLOOKUP(A14, 'Master Input'!$A$11:$B$27, 2, FALSE)</f>
        <v>TEES</v>
      </c>
      <c r="C14" s="183">
        <f ca="1">VLOOKUP(A14,'Master Input'!$A$11:$L$27,'Master Input'!$F$28, FALSE)</f>
        <v>9</v>
      </c>
      <c r="D14" s="184">
        <f ca="1">C14-SMALL($C$8:$C$17,1)</f>
        <v>4</v>
      </c>
      <c r="E14" s="185">
        <v>5</v>
      </c>
      <c r="F14" s="186">
        <v>4</v>
      </c>
      <c r="G14" s="187">
        <v>5</v>
      </c>
      <c r="H14" s="186">
        <v>4</v>
      </c>
      <c r="I14" s="187">
        <v>4</v>
      </c>
      <c r="J14" s="186">
        <v>6</v>
      </c>
      <c r="K14" s="187">
        <v>4</v>
      </c>
      <c r="L14" s="186">
        <v>4</v>
      </c>
      <c r="M14" s="187">
        <v>7</v>
      </c>
      <c r="N14" s="143">
        <f>IF(M14="","", SUM(E14:M14))</f>
        <v>43</v>
      </c>
      <c r="O14" s="131"/>
      <c r="P14" s="188" t="str">
        <f>A14</f>
        <v>R-Mac</v>
      </c>
      <c r="Q14" s="185">
        <v>6</v>
      </c>
      <c r="R14" s="186">
        <v>4</v>
      </c>
      <c r="S14" s="187">
        <v>4</v>
      </c>
      <c r="T14" s="186">
        <v>3</v>
      </c>
      <c r="U14" s="187">
        <v>5</v>
      </c>
      <c r="V14" s="186">
        <v>7</v>
      </c>
      <c r="W14" s="187">
        <v>5</v>
      </c>
      <c r="X14" s="186">
        <v>4</v>
      </c>
      <c r="Y14" s="187">
        <v>6</v>
      </c>
      <c r="Z14" s="189">
        <f>IF(Y14="","", SUM(Q14:Y14))</f>
        <v>44</v>
      </c>
      <c r="AA14" s="190">
        <f>IF(Z14="", "", SUM(N14,Z14))</f>
        <v>87</v>
      </c>
      <c r="AB14" s="146">
        <f ca="1">IF(Y14="", "", AA14-C14)</f>
        <v>78</v>
      </c>
    </row>
    <row r="15" spans="1:28" ht="7.5" customHeight="1">
      <c r="A15" s="159"/>
      <c r="B15" s="160"/>
      <c r="C15" s="161"/>
      <c r="D15" s="162"/>
      <c r="E15" s="163" t="str">
        <f t="shared" ref="E15:M15" ca="1" si="12">IF(E16=1,"O", IF(E16=2,"O   O",""))</f>
        <v/>
      </c>
      <c r="F15" s="164" t="str">
        <f t="shared" ca="1" si="12"/>
        <v/>
      </c>
      <c r="G15" s="165" t="str">
        <f t="shared" ca="1" si="12"/>
        <v/>
      </c>
      <c r="H15" s="164" t="str">
        <f t="shared" ca="1" si="12"/>
        <v/>
      </c>
      <c r="I15" s="165" t="str">
        <f t="shared" ca="1" si="12"/>
        <v/>
      </c>
      <c r="J15" s="164" t="str">
        <f t="shared" ca="1" si="12"/>
        <v/>
      </c>
      <c r="K15" s="165" t="str">
        <f t="shared" ca="1" si="12"/>
        <v/>
      </c>
      <c r="L15" s="164" t="str">
        <f t="shared" ca="1" si="12"/>
        <v>O</v>
      </c>
      <c r="M15" s="165" t="str">
        <f t="shared" ca="1" si="12"/>
        <v>O</v>
      </c>
      <c r="N15" s="166"/>
      <c r="O15" s="118"/>
      <c r="P15" s="167"/>
      <c r="Q15" s="163" t="str">
        <f t="shared" ref="Q15:Y15" ca="1" si="13">IF(Q16=1,"O", IF(Q16=2,"O   O",""))</f>
        <v/>
      </c>
      <c r="R15" s="164" t="str">
        <f t="shared" ca="1" si="13"/>
        <v/>
      </c>
      <c r="S15" s="165" t="str">
        <f t="shared" ca="1" si="13"/>
        <v>O</v>
      </c>
      <c r="T15" s="164" t="str">
        <f t="shared" ca="1" si="13"/>
        <v/>
      </c>
      <c r="U15" s="165" t="str">
        <f t="shared" ca="1" si="13"/>
        <v/>
      </c>
      <c r="V15" s="164" t="str">
        <f t="shared" ca="1" si="13"/>
        <v>O</v>
      </c>
      <c r="W15" s="165" t="str">
        <f t="shared" ca="1" si="13"/>
        <v/>
      </c>
      <c r="X15" s="164" t="str">
        <f t="shared" ca="1" si="13"/>
        <v/>
      </c>
      <c r="Y15" s="165" t="str">
        <f t="shared" ca="1" si="13"/>
        <v>O</v>
      </c>
      <c r="Z15" s="168"/>
      <c r="AA15" s="170"/>
      <c r="AB15" s="170"/>
    </row>
    <row r="16" spans="1:28" ht="22.5" hidden="1" customHeight="1">
      <c r="A16" s="171"/>
      <c r="B16" s="172"/>
      <c r="C16" s="173"/>
      <c r="D16" s="174"/>
      <c r="E16" s="175">
        <f t="shared" ref="E16:M16" ca="1" si="14">IF($D17&gt;0,FLOOR($D17/18,1),0)+IF(AND(MOD($D17,18)&gt;=E$3,$D17&gt;0),1,0)-IF(E$3-18&gt;$D17,1,0)</f>
        <v>0</v>
      </c>
      <c r="F16" s="176">
        <f t="shared" ca="1" si="14"/>
        <v>0</v>
      </c>
      <c r="G16" s="177">
        <f t="shared" ca="1" si="14"/>
        <v>0</v>
      </c>
      <c r="H16" s="176">
        <f t="shared" ca="1" si="14"/>
        <v>0</v>
      </c>
      <c r="I16" s="177">
        <f t="shared" ca="1" si="14"/>
        <v>0</v>
      </c>
      <c r="J16" s="176">
        <f t="shared" ca="1" si="14"/>
        <v>0</v>
      </c>
      <c r="K16" s="177">
        <f t="shared" ca="1" si="14"/>
        <v>0</v>
      </c>
      <c r="L16" s="176">
        <f t="shared" ca="1" si="14"/>
        <v>1</v>
      </c>
      <c r="M16" s="177">
        <f t="shared" ca="1" si="14"/>
        <v>1</v>
      </c>
      <c r="N16" s="130"/>
      <c r="O16" s="131"/>
      <c r="P16" s="178"/>
      <c r="Q16" s="175">
        <f t="shared" ref="Q16:Y16" ca="1" si="15">IF($D17&gt;0,FLOOR($D17/18,1),0)+IF(AND(MOD($D17,18)&gt;=Q$3,$D17&gt;0),1,0)-IF(Q$3-18&gt;$D17,1,0)</f>
        <v>0</v>
      </c>
      <c r="R16" s="176">
        <f t="shared" ca="1" si="15"/>
        <v>0</v>
      </c>
      <c r="S16" s="177">
        <f t="shared" ca="1" si="15"/>
        <v>1</v>
      </c>
      <c r="T16" s="176">
        <f t="shared" ca="1" si="15"/>
        <v>0</v>
      </c>
      <c r="U16" s="177">
        <f t="shared" ca="1" si="15"/>
        <v>0</v>
      </c>
      <c r="V16" s="176">
        <f t="shared" ca="1" si="15"/>
        <v>1</v>
      </c>
      <c r="W16" s="177">
        <f t="shared" ca="1" si="15"/>
        <v>0</v>
      </c>
      <c r="X16" s="176">
        <f t="shared" ca="1" si="15"/>
        <v>0</v>
      </c>
      <c r="Y16" s="177">
        <f t="shared" ca="1" si="15"/>
        <v>1</v>
      </c>
      <c r="Z16" s="179"/>
      <c r="AA16" s="180"/>
      <c r="AB16" s="135"/>
    </row>
    <row r="17" spans="1:28" ht="22.5" customHeight="1">
      <c r="A17" s="191" t="str">
        <f>'Match Selection'!G5</f>
        <v>House</v>
      </c>
      <c r="B17" s="182" t="str">
        <f>VLOOKUP(A17, 'Master Input'!$A$11:$B$27, 2, FALSE)</f>
        <v>TEES</v>
      </c>
      <c r="C17" s="192">
        <f ca="1">VLOOKUP(A17,'Master Input'!$A$11:$L$27,'Master Input'!$F$28, FALSE)</f>
        <v>10</v>
      </c>
      <c r="D17" s="184">
        <f ca="1">C17-SMALL($C$8:$C$17,1)</f>
        <v>5</v>
      </c>
      <c r="E17" s="185">
        <v>6</v>
      </c>
      <c r="F17" s="186">
        <v>4</v>
      </c>
      <c r="G17" s="187">
        <v>3</v>
      </c>
      <c r="H17" s="186">
        <v>4</v>
      </c>
      <c r="I17" s="187">
        <v>5</v>
      </c>
      <c r="J17" s="186">
        <v>7</v>
      </c>
      <c r="K17" s="187">
        <v>5</v>
      </c>
      <c r="L17" s="186">
        <v>4</v>
      </c>
      <c r="M17" s="187">
        <v>9</v>
      </c>
      <c r="N17" s="143">
        <f>IF(M17="","", SUM(E17:M17))</f>
        <v>47</v>
      </c>
      <c r="O17" s="131"/>
      <c r="P17" s="188" t="str">
        <f>A17</f>
        <v>House</v>
      </c>
      <c r="Q17" s="185">
        <v>6</v>
      </c>
      <c r="R17" s="186">
        <v>3</v>
      </c>
      <c r="S17" s="187">
        <v>3</v>
      </c>
      <c r="T17" s="186">
        <v>4</v>
      </c>
      <c r="U17" s="187">
        <v>6</v>
      </c>
      <c r="V17" s="186">
        <v>3</v>
      </c>
      <c r="W17" s="187">
        <v>5</v>
      </c>
      <c r="X17" s="186">
        <v>2</v>
      </c>
      <c r="Y17" s="187">
        <v>4</v>
      </c>
      <c r="Z17" s="189">
        <f>IF(Y17="","", SUM(Q17:Y17))</f>
        <v>36</v>
      </c>
      <c r="AA17" s="190">
        <f>IF(Z17="", "", SUM(N17,Z17))</f>
        <v>83</v>
      </c>
      <c r="AB17" s="146">
        <f ca="1">IF(Y17="", "", AA17-C17)</f>
        <v>73</v>
      </c>
    </row>
    <row r="18" spans="1:28" ht="11.25" customHeight="1">
      <c r="A18" s="193"/>
      <c r="B18" s="193"/>
      <c r="C18" s="194"/>
      <c r="D18" s="193"/>
      <c r="E18" s="193"/>
      <c r="F18" s="193"/>
      <c r="G18" s="193"/>
      <c r="H18" s="193"/>
      <c r="I18" s="193"/>
      <c r="J18" s="193"/>
      <c r="K18" s="193"/>
      <c r="L18" s="193"/>
      <c r="M18" s="193"/>
      <c r="N18" s="195" t="s">
        <v>7</v>
      </c>
      <c r="O18" s="196"/>
      <c r="P18" s="193"/>
      <c r="Q18" s="193"/>
      <c r="R18" s="193"/>
      <c r="S18" s="193"/>
      <c r="T18" s="193"/>
      <c r="U18" s="193"/>
      <c r="V18" s="193"/>
      <c r="W18" s="193"/>
      <c r="X18" s="193"/>
      <c r="Y18" s="193"/>
      <c r="Z18" s="195" t="s">
        <v>9</v>
      </c>
      <c r="AA18" s="197" t="s">
        <v>29</v>
      </c>
    </row>
    <row r="19" spans="1:28" ht="22.5" customHeight="1">
      <c r="A19" s="198" t="str">
        <f>B8</f>
        <v>WEEZ</v>
      </c>
      <c r="B19" s="199"/>
      <c r="C19" s="200"/>
      <c r="D19" s="199"/>
      <c r="E19" s="201">
        <f t="shared" ref="E19:M19" si="16">IF(OR(E8="",E11="",E14="",E17=""),"",SUM(E25:E26))</f>
        <v>12</v>
      </c>
      <c r="F19" s="201">
        <f t="shared" si="16"/>
        <v>12</v>
      </c>
      <c r="G19" s="201">
        <f t="shared" si="16"/>
        <v>0</v>
      </c>
      <c r="H19" s="201">
        <f t="shared" si="16"/>
        <v>4</v>
      </c>
      <c r="I19" s="201">
        <f t="shared" si="16"/>
        <v>12</v>
      </c>
      <c r="J19" s="201">
        <f t="shared" si="16"/>
        <v>12</v>
      </c>
      <c r="K19" s="201">
        <f t="shared" si="16"/>
        <v>6</v>
      </c>
      <c r="L19" s="201">
        <f t="shared" si="16"/>
        <v>6</v>
      </c>
      <c r="M19" s="202">
        <f t="shared" si="16"/>
        <v>12</v>
      </c>
      <c r="N19" s="203">
        <f>IF(OR(E8="",E11="",E14="",E17=""),"", SUM(E19:M19))</f>
        <v>76</v>
      </c>
      <c r="O19" s="204"/>
      <c r="P19" s="205" t="str">
        <f>B8</f>
        <v>WEEZ</v>
      </c>
      <c r="Q19" s="201">
        <f t="shared" ref="Q19:Y19" si="17">IF(OR(Q8="",Q11="",Q14="",Q17=""),"",SUM(Q25:Q26))</f>
        <v>12</v>
      </c>
      <c r="R19" s="201">
        <f t="shared" si="17"/>
        <v>0</v>
      </c>
      <c r="S19" s="201">
        <f t="shared" si="17"/>
        <v>0</v>
      </c>
      <c r="T19" s="201">
        <f t="shared" si="17"/>
        <v>6</v>
      </c>
      <c r="U19" s="201">
        <f t="shared" si="17"/>
        <v>12</v>
      </c>
      <c r="V19" s="201">
        <f t="shared" si="17"/>
        <v>0</v>
      </c>
      <c r="W19" s="201">
        <f t="shared" si="17"/>
        <v>6</v>
      </c>
      <c r="X19" s="201">
        <f t="shared" si="17"/>
        <v>0</v>
      </c>
      <c r="Y19" s="202">
        <f t="shared" si="17"/>
        <v>6</v>
      </c>
      <c r="Z19" s="206">
        <f>IF(OR(Q8="",Q11="",Q14="",Q17=""),"", SUM(Q19:Y19))</f>
        <v>42</v>
      </c>
      <c r="AA19" s="206">
        <f>IF(OR(E8="",E11="",E14="",E17=""),"", SUM(N19,Z19))</f>
        <v>118</v>
      </c>
    </row>
    <row r="20" spans="1:28" ht="22.5" customHeight="1">
      <c r="A20" s="207" t="str">
        <f>B14</f>
        <v>TEES</v>
      </c>
      <c r="B20" s="208"/>
      <c r="C20" s="209"/>
      <c r="D20" s="208"/>
      <c r="E20" s="210">
        <f t="shared" ref="E20:M20" si="18">IF(OR(E8="",E11="",E14="",E17=""),"",SUM(E28:E29))</f>
        <v>0</v>
      </c>
      <c r="F20" s="210">
        <f t="shared" si="18"/>
        <v>0</v>
      </c>
      <c r="G20" s="210">
        <f t="shared" si="18"/>
        <v>12</v>
      </c>
      <c r="H20" s="210">
        <f t="shared" si="18"/>
        <v>8</v>
      </c>
      <c r="I20" s="210">
        <f t="shared" si="18"/>
        <v>0</v>
      </c>
      <c r="J20" s="210">
        <f t="shared" si="18"/>
        <v>0</v>
      </c>
      <c r="K20" s="210">
        <f t="shared" si="18"/>
        <v>6</v>
      </c>
      <c r="L20" s="210">
        <f t="shared" si="18"/>
        <v>6</v>
      </c>
      <c r="M20" s="211">
        <f t="shared" si="18"/>
        <v>0</v>
      </c>
      <c r="N20" s="212">
        <f>IF(OR(E8="",E11="",E14="",E17=""),"", SUM(E20:M20))</f>
        <v>32</v>
      </c>
      <c r="O20" s="204"/>
      <c r="P20" s="213" t="str">
        <f>B14</f>
        <v>TEES</v>
      </c>
      <c r="Q20" s="210">
        <f t="shared" ref="Q20:Y20" si="19">IF(OR(Q8="",Q11="",Q14="",Q17=""),"",SUM(Q28:Q29))</f>
        <v>0</v>
      </c>
      <c r="R20" s="210">
        <f t="shared" si="19"/>
        <v>12</v>
      </c>
      <c r="S20" s="210">
        <f t="shared" si="19"/>
        <v>12</v>
      </c>
      <c r="T20" s="210">
        <f t="shared" si="19"/>
        <v>6</v>
      </c>
      <c r="U20" s="210">
        <f t="shared" si="19"/>
        <v>0</v>
      </c>
      <c r="V20" s="210">
        <f t="shared" si="19"/>
        <v>12</v>
      </c>
      <c r="W20" s="210">
        <f t="shared" si="19"/>
        <v>6</v>
      </c>
      <c r="X20" s="210">
        <f t="shared" si="19"/>
        <v>12</v>
      </c>
      <c r="Y20" s="211">
        <f t="shared" si="19"/>
        <v>6</v>
      </c>
      <c r="Z20" s="214">
        <f>IF(OR(Q8="",Q11="",Q14="",Q17=""),"", SUM(Q20:Y20))</f>
        <v>66</v>
      </c>
      <c r="AA20" s="214">
        <f>IF(OR(E8="",E11="",E14="",E17=""),"", SUM(N20,Z20))</f>
        <v>98</v>
      </c>
      <c r="AB20" s="215" t="s">
        <v>30</v>
      </c>
    </row>
    <row r="21" spans="1:28" ht="22.5" customHeight="1">
      <c r="A21" s="216"/>
      <c r="B21" s="216"/>
      <c r="C21" s="216"/>
      <c r="D21" s="216"/>
      <c r="E21" s="216"/>
      <c r="F21" s="216"/>
      <c r="G21" s="216"/>
      <c r="H21" s="216"/>
      <c r="I21" s="216"/>
      <c r="J21" s="216"/>
      <c r="K21" s="216"/>
      <c r="L21" s="217" t="s">
        <v>31</v>
      </c>
      <c r="M21" s="218" t="str">
        <f>A19</f>
        <v>WEEZ</v>
      </c>
      <c r="N21" s="219">
        <f>IF(M19="","",IF(N19&gt;N20,VLOOKUP($B$2,'Master Input'!$O$10:$R$23,'Master Input'!$P$11,FALSE),IF(N19=N20,VLOOKUP($B$2,'Master Input'!$O$10:$R$23,'Master Input'!$P$11,FALSE)/2,0)))</f>
        <v>1</v>
      </c>
      <c r="O21" s="204"/>
      <c r="P21" s="216"/>
      <c r="Q21" s="216"/>
      <c r="R21" s="216"/>
      <c r="S21" s="216"/>
      <c r="T21" s="216"/>
      <c r="U21" s="216"/>
      <c r="V21" s="216"/>
      <c r="W21" s="216"/>
      <c r="X21" s="217" t="s">
        <v>31</v>
      </c>
      <c r="Y21" s="218" t="str">
        <f>P19</f>
        <v>WEEZ</v>
      </c>
      <c r="Z21" s="220">
        <f>IF(Y19="","",(IF(Z19&gt;Z20,VLOOKUP($B$2,'Master Input'!$O$10:$R$23,'Master Input'!$Q$11,FALSE),IF(Z19=Z20,VLOOKUP($B$2,'Master Input'!$O$10:$R$23,'Master Input'!$Q$11,FALSE)/2,0))))</f>
        <v>0</v>
      </c>
      <c r="AA21" s="221">
        <f>IF(Y19="","",IF(AA19&gt;AA20,VLOOKUP($B$2,'Master Input'!$O$10:$R$23,'Master Input'!$R$11,FALSE),IF(AA19=AA20,VLOOKUP($B$2,'Master Input'!$O$10:$R$23,'Master Input'!$R$11,FALSE)/2,0)))</f>
        <v>2</v>
      </c>
      <c r="AB21" s="221">
        <f>IF(Y19="","",IF(AA21="","", SUM(N21,Z21,AA21)))</f>
        <v>3</v>
      </c>
    </row>
    <row r="22" spans="1:28" ht="14.5">
      <c r="A22" s="216"/>
      <c r="B22" s="222">
        <v>1</v>
      </c>
      <c r="C22" s="222">
        <v>2</v>
      </c>
      <c r="D22" s="222">
        <v>3</v>
      </c>
      <c r="E22" s="222">
        <v>4</v>
      </c>
      <c r="F22" s="222">
        <v>5</v>
      </c>
      <c r="G22" s="222">
        <v>6</v>
      </c>
      <c r="H22" s="222">
        <v>7</v>
      </c>
      <c r="I22" s="222">
        <v>8</v>
      </c>
      <c r="J22" s="222">
        <v>9</v>
      </c>
      <c r="K22" s="222">
        <v>10</v>
      </c>
      <c r="L22" s="222">
        <v>11</v>
      </c>
      <c r="M22" s="222">
        <v>12</v>
      </c>
      <c r="N22" s="222">
        <v>13</v>
      </c>
      <c r="O22" s="222">
        <v>14</v>
      </c>
      <c r="P22" s="222">
        <v>15</v>
      </c>
      <c r="Q22" s="222">
        <v>16</v>
      </c>
      <c r="R22" s="222">
        <v>17</v>
      </c>
      <c r="S22" s="222">
        <v>18</v>
      </c>
      <c r="T22" s="222">
        <v>19</v>
      </c>
      <c r="U22" s="222">
        <v>20</v>
      </c>
      <c r="V22" s="222">
        <v>21</v>
      </c>
      <c r="W22" s="222">
        <v>22</v>
      </c>
      <c r="X22" s="222">
        <v>23</v>
      </c>
      <c r="Y22" s="222">
        <v>24</v>
      </c>
      <c r="Z22" s="223" t="s">
        <v>32</v>
      </c>
      <c r="AA22" s="223" t="s">
        <v>33</v>
      </c>
      <c r="AB22" s="223" t="s">
        <v>34</v>
      </c>
    </row>
    <row r="23" spans="1:28" ht="14.25" customHeight="1">
      <c r="A23" s="216"/>
      <c r="B23" s="216" t="s">
        <v>35</v>
      </c>
      <c r="C23" s="224"/>
      <c r="D23" s="216"/>
      <c r="E23" s="225">
        <v>12</v>
      </c>
      <c r="F23" s="225">
        <v>12</v>
      </c>
      <c r="G23" s="225">
        <v>12</v>
      </c>
      <c r="H23" s="225">
        <v>4</v>
      </c>
      <c r="I23" s="225">
        <v>12</v>
      </c>
      <c r="J23" s="225">
        <v>6</v>
      </c>
      <c r="K23" s="225">
        <v>6</v>
      </c>
      <c r="L23" s="225">
        <v>6</v>
      </c>
      <c r="M23" s="225">
        <v>6</v>
      </c>
      <c r="N23" s="216"/>
      <c r="O23" s="226"/>
      <c r="P23" s="216"/>
      <c r="Q23" s="225">
        <v>12</v>
      </c>
      <c r="R23" s="225">
        <v>12</v>
      </c>
      <c r="S23" s="225">
        <v>12</v>
      </c>
      <c r="T23" s="225">
        <v>6</v>
      </c>
      <c r="U23" s="225">
        <v>12</v>
      </c>
      <c r="V23" s="225">
        <v>12</v>
      </c>
      <c r="W23" s="225">
        <v>3</v>
      </c>
      <c r="X23" s="225">
        <v>12</v>
      </c>
      <c r="Y23" s="225">
        <v>6</v>
      </c>
      <c r="Z23" s="223" t="s">
        <v>36</v>
      </c>
      <c r="AA23" s="223" t="s">
        <v>37</v>
      </c>
      <c r="AB23" s="223" t="s">
        <v>38</v>
      </c>
    </row>
    <row r="24" spans="1:28" ht="14.25" customHeight="1">
      <c r="A24" s="227"/>
      <c r="B24" s="227" t="str">
        <f>B8</f>
        <v>WEEZ</v>
      </c>
      <c r="C24" s="228"/>
      <c r="D24" s="227"/>
      <c r="E24" s="227"/>
      <c r="F24" s="227"/>
      <c r="G24" s="227"/>
      <c r="H24" s="227"/>
      <c r="I24" s="227"/>
      <c r="J24" s="227"/>
      <c r="K24" s="227"/>
      <c r="L24" s="227"/>
      <c r="M24" s="227"/>
      <c r="N24" s="229">
        <f>SUM(E24:M24)</f>
        <v>0</v>
      </c>
      <c r="O24" s="227"/>
      <c r="P24" s="227"/>
      <c r="Q24" s="227"/>
      <c r="R24" s="227"/>
      <c r="S24" s="227"/>
      <c r="T24" s="227"/>
      <c r="U24" s="227"/>
      <c r="V24" s="227"/>
      <c r="W24" s="227"/>
      <c r="X24" s="227"/>
      <c r="Y24" s="227"/>
      <c r="Z24" s="230">
        <f>SUM(Z25:Z26)</f>
        <v>9.8333333333333339</v>
      </c>
      <c r="AA24" s="230">
        <f>SUM(Z24,N24)</f>
        <v>9.8333333333333339</v>
      </c>
      <c r="AB24" s="231"/>
    </row>
    <row r="25" spans="1:28" ht="14.25" customHeight="1">
      <c r="A25" s="216" t="str">
        <f>A8</f>
        <v>Elger</v>
      </c>
      <c r="B25" s="216"/>
      <c r="C25" s="224"/>
      <c r="D25" s="216"/>
      <c r="E25" s="232">
        <v>0</v>
      </c>
      <c r="F25" s="232">
        <v>0</v>
      </c>
      <c r="G25" s="232">
        <v>0</v>
      </c>
      <c r="H25" s="232">
        <v>4</v>
      </c>
      <c r="I25" s="232">
        <v>0</v>
      </c>
      <c r="J25" s="232">
        <v>6</v>
      </c>
      <c r="K25" s="232">
        <v>6</v>
      </c>
      <c r="L25" s="232">
        <v>6</v>
      </c>
      <c r="M25" s="232">
        <v>6</v>
      </c>
      <c r="N25" s="216"/>
      <c r="O25" s="226"/>
      <c r="P25" s="216"/>
      <c r="Q25" s="232">
        <v>0</v>
      </c>
      <c r="R25" s="232">
        <v>0</v>
      </c>
      <c r="S25" s="232">
        <v>0</v>
      </c>
      <c r="T25" s="232">
        <v>6</v>
      </c>
      <c r="U25" s="232">
        <v>0</v>
      </c>
      <c r="V25" s="232">
        <v>0</v>
      </c>
      <c r="W25" s="232">
        <v>3</v>
      </c>
      <c r="X25" s="232">
        <v>0</v>
      </c>
      <c r="Y25" s="232">
        <v>0</v>
      </c>
      <c r="Z25" s="233">
        <f t="shared" ref="Z25:Z26" si="20">SUM(E25:M25,Q25:Y25)/12</f>
        <v>3.0833333333333335</v>
      </c>
      <c r="AA25" s="234">
        <f t="shared" ref="AA25:AA26" si="21">Z25/$Z$30*18</f>
        <v>3.0833333333333335</v>
      </c>
      <c r="AB25" s="233">
        <f t="shared" ref="AB25:AB26" si="22">$AB$21*AA25/AA$24</f>
        <v>0.94067796610169485</v>
      </c>
    </row>
    <row r="26" spans="1:28" ht="14.25" customHeight="1">
      <c r="A26" s="216" t="str">
        <f>A11</f>
        <v>T-Mo</v>
      </c>
      <c r="B26" s="216"/>
      <c r="C26" s="224"/>
      <c r="D26" s="216"/>
      <c r="E26" s="232">
        <v>12</v>
      </c>
      <c r="F26" s="232">
        <v>12</v>
      </c>
      <c r="G26" s="232">
        <v>0</v>
      </c>
      <c r="H26" s="232">
        <v>0</v>
      </c>
      <c r="I26" s="232">
        <v>12</v>
      </c>
      <c r="J26" s="232">
        <v>6</v>
      </c>
      <c r="K26" s="232">
        <v>0</v>
      </c>
      <c r="L26" s="232">
        <v>0</v>
      </c>
      <c r="M26" s="232">
        <v>6</v>
      </c>
      <c r="N26" s="216"/>
      <c r="O26" s="226"/>
      <c r="P26" s="216"/>
      <c r="Q26" s="232">
        <v>12</v>
      </c>
      <c r="R26" s="232">
        <v>0</v>
      </c>
      <c r="S26" s="232">
        <v>0</v>
      </c>
      <c r="T26" s="232">
        <v>0</v>
      </c>
      <c r="U26" s="232">
        <v>12</v>
      </c>
      <c r="V26" s="232">
        <v>0</v>
      </c>
      <c r="W26" s="232">
        <v>3</v>
      </c>
      <c r="X26" s="232">
        <v>0</v>
      </c>
      <c r="Y26" s="232">
        <v>6</v>
      </c>
      <c r="Z26" s="233">
        <f t="shared" si="20"/>
        <v>6.75</v>
      </c>
      <c r="AA26" s="234">
        <f t="shared" si="21"/>
        <v>6.75</v>
      </c>
      <c r="AB26" s="233">
        <f t="shared" si="22"/>
        <v>2.0593220338983049</v>
      </c>
    </row>
    <row r="27" spans="1:28" ht="14.25" customHeight="1">
      <c r="A27" s="227"/>
      <c r="B27" s="227" t="str">
        <f>B14</f>
        <v>TEES</v>
      </c>
      <c r="C27" s="228"/>
      <c r="D27" s="227"/>
      <c r="E27" s="227"/>
      <c r="F27" s="227"/>
      <c r="G27" s="227"/>
      <c r="H27" s="227"/>
      <c r="I27" s="227"/>
      <c r="J27" s="227"/>
      <c r="K27" s="227"/>
      <c r="L27" s="227"/>
      <c r="M27" s="227"/>
      <c r="N27" s="229">
        <f>SUM(E27:M27)</f>
        <v>0</v>
      </c>
      <c r="O27" s="227"/>
      <c r="P27" s="227"/>
      <c r="Q27" s="227"/>
      <c r="R27" s="227"/>
      <c r="S27" s="227"/>
      <c r="T27" s="227"/>
      <c r="U27" s="227"/>
      <c r="V27" s="227"/>
      <c r="W27" s="227"/>
      <c r="X27" s="227"/>
      <c r="Y27" s="227"/>
      <c r="Z27" s="230">
        <f>SUM(Z28:Z29)</f>
        <v>8.1666666666666661</v>
      </c>
      <c r="AA27" s="230">
        <f>SUM(Z27,N27)</f>
        <v>8.1666666666666661</v>
      </c>
      <c r="AB27" s="231"/>
    </row>
    <row r="28" spans="1:28" ht="14.25" customHeight="1">
      <c r="A28" s="216" t="str">
        <f>A14</f>
        <v>R-Mac</v>
      </c>
      <c r="B28" s="216"/>
      <c r="C28" s="224"/>
      <c r="D28" s="216"/>
      <c r="E28" s="232">
        <v>0</v>
      </c>
      <c r="F28" s="232">
        <v>0</v>
      </c>
      <c r="G28" s="232">
        <v>0</v>
      </c>
      <c r="H28" s="232">
        <v>4</v>
      </c>
      <c r="I28" s="232">
        <v>0</v>
      </c>
      <c r="J28" s="232">
        <v>0</v>
      </c>
      <c r="K28" s="232">
        <v>6</v>
      </c>
      <c r="L28" s="232">
        <v>0</v>
      </c>
      <c r="M28" s="232">
        <v>0</v>
      </c>
      <c r="N28" s="216"/>
      <c r="O28" s="226"/>
      <c r="P28" s="216"/>
      <c r="Q28" s="232">
        <v>0</v>
      </c>
      <c r="R28" s="232">
        <v>0</v>
      </c>
      <c r="S28" s="232">
        <v>0</v>
      </c>
      <c r="T28" s="232">
        <v>6</v>
      </c>
      <c r="U28" s="232">
        <v>0</v>
      </c>
      <c r="V28" s="232">
        <v>0</v>
      </c>
      <c r="W28" s="232">
        <v>3</v>
      </c>
      <c r="X28" s="232">
        <v>0</v>
      </c>
      <c r="Y28" s="232">
        <v>0</v>
      </c>
      <c r="Z28" s="233">
        <f t="shared" ref="Z28:Z29" si="23">SUM(E28:M28,Q28:Y28)/12</f>
        <v>1.5833333333333333</v>
      </c>
      <c r="AA28" s="234">
        <f t="shared" ref="AA28:AA29" si="24">Z28/$Z$30*18</f>
        <v>1.5833333333333335</v>
      </c>
      <c r="AB28" s="233">
        <f>(SUM('Master Input'!P$20:R$20)-$AB$21)*AA28/AA$27</f>
        <v>0.19387755102040818</v>
      </c>
    </row>
    <row r="29" spans="1:28" ht="14.25" customHeight="1">
      <c r="A29" s="216" t="str">
        <f>A17</f>
        <v>House</v>
      </c>
      <c r="B29" s="216"/>
      <c r="C29" s="224"/>
      <c r="D29" s="216"/>
      <c r="E29" s="232">
        <v>0</v>
      </c>
      <c r="F29" s="232">
        <v>0</v>
      </c>
      <c r="G29" s="232">
        <v>12</v>
      </c>
      <c r="H29" s="232">
        <v>4</v>
      </c>
      <c r="I29" s="232">
        <v>0</v>
      </c>
      <c r="J29" s="232">
        <v>0</v>
      </c>
      <c r="K29" s="232">
        <v>0</v>
      </c>
      <c r="L29" s="232">
        <v>6</v>
      </c>
      <c r="M29" s="232">
        <v>0</v>
      </c>
      <c r="N29" s="216"/>
      <c r="O29" s="226"/>
      <c r="P29" s="216"/>
      <c r="Q29" s="232">
        <v>0</v>
      </c>
      <c r="R29" s="232">
        <v>12</v>
      </c>
      <c r="S29" s="232">
        <v>12</v>
      </c>
      <c r="T29" s="232">
        <v>0</v>
      </c>
      <c r="U29" s="232">
        <v>0</v>
      </c>
      <c r="V29" s="232">
        <v>12</v>
      </c>
      <c r="W29" s="232">
        <v>3</v>
      </c>
      <c r="X29" s="232">
        <v>12</v>
      </c>
      <c r="Y29" s="232">
        <v>6</v>
      </c>
      <c r="Z29" s="233">
        <f t="shared" si="23"/>
        <v>6.583333333333333</v>
      </c>
      <c r="AA29" s="234">
        <f t="shared" si="24"/>
        <v>6.5833333333333321</v>
      </c>
      <c r="AB29" s="233">
        <f>(SUM('Master Input'!P$20:R$20)-$AB$21)*AA29/AA$27</f>
        <v>0.80612244897959173</v>
      </c>
    </row>
    <row r="30" spans="1:28" ht="14.25" customHeight="1">
      <c r="A30" s="216"/>
      <c r="B30" s="216"/>
      <c r="C30" s="224"/>
      <c r="D30" s="216"/>
      <c r="E30" s="232">
        <f t="shared" ref="E30:M30" si="25">SUM(E25:E26,E28:E29)</f>
        <v>12</v>
      </c>
      <c r="F30" s="232">
        <f t="shared" si="25"/>
        <v>12</v>
      </c>
      <c r="G30" s="232">
        <f t="shared" si="25"/>
        <v>12</v>
      </c>
      <c r="H30" s="232">
        <f t="shared" si="25"/>
        <v>12</v>
      </c>
      <c r="I30" s="232">
        <f t="shared" si="25"/>
        <v>12</v>
      </c>
      <c r="J30" s="232">
        <f t="shared" si="25"/>
        <v>12</v>
      </c>
      <c r="K30" s="232">
        <f t="shared" si="25"/>
        <v>12</v>
      </c>
      <c r="L30" s="232">
        <f t="shared" si="25"/>
        <v>12</v>
      </c>
      <c r="M30" s="232">
        <f t="shared" si="25"/>
        <v>12</v>
      </c>
      <c r="N30" s="216"/>
      <c r="O30" s="226"/>
      <c r="P30" s="216"/>
      <c r="Q30" s="232">
        <f t="shared" ref="Q30:Z30" si="26">SUM(Q25:Q26,Q28:Q29)</f>
        <v>12</v>
      </c>
      <c r="R30" s="232">
        <f t="shared" si="26"/>
        <v>12</v>
      </c>
      <c r="S30" s="232">
        <f t="shared" si="26"/>
        <v>12</v>
      </c>
      <c r="T30" s="232">
        <f t="shared" si="26"/>
        <v>12</v>
      </c>
      <c r="U30" s="232">
        <f t="shared" si="26"/>
        <v>12</v>
      </c>
      <c r="V30" s="232">
        <f t="shared" si="26"/>
        <v>12</v>
      </c>
      <c r="W30" s="232">
        <f t="shared" si="26"/>
        <v>12</v>
      </c>
      <c r="X30" s="232">
        <f t="shared" si="26"/>
        <v>12</v>
      </c>
      <c r="Y30" s="232">
        <f t="shared" si="26"/>
        <v>12</v>
      </c>
      <c r="Z30" s="233">
        <f t="shared" si="26"/>
        <v>18</v>
      </c>
      <c r="AA30" s="235"/>
      <c r="AB30" s="236"/>
    </row>
  </sheetData>
  <mergeCells count="1">
    <mergeCell ref="B2:B4"/>
  </mergeCells>
  <conditionalFormatting sqref="E8:M8 Q8:Y8">
    <cfRule type="expression" dxfId="142" priority="6">
      <formula>OR(E$25=12,AND(E$19=12,E$25=6))</formula>
    </cfRule>
    <cfRule type="expression" dxfId="141" priority="7">
      <formula>AND(E$25&gt;0,E$20&gt;0,E$19&lt;=E$20)</formula>
    </cfRule>
    <cfRule type="expression" dxfId="140" priority="9">
      <formula>AND(E$25&gt;0,E$20&gt;0,E$19&gt;E$20)</formula>
    </cfRule>
  </conditionalFormatting>
  <conditionalFormatting sqref="E11:M11 Q11:Y11">
    <cfRule type="expression" dxfId="139" priority="3">
      <formula>OR(E$26=12,AND(E$19=12,E$26=6))</formula>
    </cfRule>
    <cfRule type="expression" dxfId="138" priority="8">
      <formula>AND(E$26&gt;0,E$20&gt;0,E$19&lt;=E$20)</formula>
    </cfRule>
    <cfRule type="expression" dxfId="137" priority="10">
      <formula>AND(E$26&gt;0,E$20&gt;0,E$19&gt;E$20)</formula>
    </cfRule>
  </conditionalFormatting>
  <conditionalFormatting sqref="E14:M14 Q14:Y14">
    <cfRule type="expression" dxfId="136" priority="1">
      <formula>OR(E$28=12,AND(E$20=12,E$28=6))</formula>
    </cfRule>
    <cfRule type="expression" dxfId="135" priority="4">
      <formula>AND(E$28&gt;0,E$19&gt;0,E$19&gt;=E$20)</formula>
    </cfRule>
    <cfRule type="expression" dxfId="134" priority="11">
      <formula>AND(E$28&gt;0,E$19&gt;0,E$19&lt;E$20)</formula>
    </cfRule>
  </conditionalFormatting>
  <conditionalFormatting sqref="E17:M17 Q17:Y17">
    <cfRule type="expression" dxfId="133" priority="2">
      <formula>OR(E$29=12,AND(E$20=12,E$29=6))</formula>
    </cfRule>
    <cfRule type="expression" dxfId="132" priority="5">
      <formula>AND(E$29&gt;0,E$19&gt;0,E$19&gt;=E$20)</formula>
    </cfRule>
    <cfRule type="expression" dxfId="131" priority="12">
      <formula>AND(E$29&gt;0,E$19&gt;0,E$19&lt;E$20)</formula>
    </cfRule>
  </conditionalFormatting>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A9999"/>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66" t="s">
        <v>39</v>
      </c>
      <c r="B1" s="67">
        <f>'Master Input'!F3</f>
        <v>4.8611111111111112E-2</v>
      </c>
      <c r="C1" s="68" t="str">
        <f>'Master Input'!$E$2</f>
        <v>Round 1</v>
      </c>
      <c r="D1" s="69"/>
      <c r="E1" s="68" t="str">
        <f>'Master Input'!$E$6</f>
        <v>Sundance - Blue</v>
      </c>
      <c r="F1" s="70"/>
      <c r="G1" s="70"/>
      <c r="H1" s="70"/>
      <c r="I1" s="70"/>
      <c r="J1" s="70"/>
      <c r="K1" s="70"/>
      <c r="L1" s="70"/>
      <c r="M1" s="70"/>
      <c r="N1" s="71"/>
      <c r="O1" s="72"/>
      <c r="P1" s="68" t="str">
        <f>'Master Input'!$E$2&amp;" - "&amp;A1</f>
        <v>Round 1 - Group 2</v>
      </c>
      <c r="Q1" s="69"/>
      <c r="R1" s="73"/>
      <c r="S1" s="73"/>
      <c r="T1" s="73"/>
      <c r="U1" s="68" t="str">
        <f>'Master Input'!$E$6</f>
        <v>Sundance - Blue</v>
      </c>
      <c r="V1" s="73"/>
      <c r="W1" s="73"/>
      <c r="X1" s="73"/>
      <c r="Y1" s="73"/>
      <c r="Z1" s="73"/>
      <c r="AA1" s="73"/>
      <c r="AB1" s="74"/>
    </row>
    <row r="2" spans="1:28" ht="14.25" customHeight="1">
      <c r="A2" s="75" t="s">
        <v>16</v>
      </c>
      <c r="B2" s="1163" t="str">
        <f>'Match Selection'!B4</f>
        <v>Dirty Dozen</v>
      </c>
      <c r="C2" s="76"/>
      <c r="D2" s="77" t="s">
        <v>16</v>
      </c>
      <c r="E2" s="78">
        <v>1</v>
      </c>
      <c r="F2" s="79">
        <v>2</v>
      </c>
      <c r="G2" s="79">
        <v>3</v>
      </c>
      <c r="H2" s="79">
        <v>4</v>
      </c>
      <c r="I2" s="79">
        <v>5</v>
      </c>
      <c r="J2" s="79">
        <v>6</v>
      </c>
      <c r="K2" s="79">
        <v>7</v>
      </c>
      <c r="L2" s="79">
        <v>8</v>
      </c>
      <c r="M2" s="80">
        <v>9</v>
      </c>
      <c r="N2" s="82" t="s">
        <v>17</v>
      </c>
      <c r="O2" s="72"/>
      <c r="P2" s="77" t="s">
        <v>16</v>
      </c>
      <c r="Q2" s="78">
        <v>10</v>
      </c>
      <c r="R2" s="79">
        <v>11</v>
      </c>
      <c r="S2" s="79">
        <v>12</v>
      </c>
      <c r="T2" s="79">
        <v>13</v>
      </c>
      <c r="U2" s="79">
        <v>14</v>
      </c>
      <c r="V2" s="79">
        <v>15</v>
      </c>
      <c r="W2" s="79">
        <v>16</v>
      </c>
      <c r="X2" s="79">
        <v>17</v>
      </c>
      <c r="Y2" s="80">
        <v>18</v>
      </c>
      <c r="Z2" s="82" t="s">
        <v>18</v>
      </c>
      <c r="AA2" s="83" t="s">
        <v>14</v>
      </c>
      <c r="AB2" s="83" t="s">
        <v>19</v>
      </c>
    </row>
    <row r="3" spans="1:28" ht="14.25" customHeight="1">
      <c r="A3" s="84" t="s">
        <v>20</v>
      </c>
      <c r="B3" s="1129"/>
      <c r="C3" s="85"/>
      <c r="D3" s="86" t="s">
        <v>20</v>
      </c>
      <c r="E3" s="87">
        <f ca="1">VLOOKUP($E1, 'Course List'!$A$3:$AS$14,5+E2, FALSE)</f>
        <v>14</v>
      </c>
      <c r="F3" s="88">
        <f ca="1">VLOOKUP($E1, 'Course List'!$A$3:$AS$14,5+F2, FALSE)</f>
        <v>16</v>
      </c>
      <c r="G3" s="88">
        <f ca="1">VLOOKUP($E1, 'Course List'!$A$3:$AS$14,5+G2, FALSE)</f>
        <v>11</v>
      </c>
      <c r="H3" s="88">
        <f ca="1">VLOOKUP($E1, 'Course List'!$A$3:$AS$14,5+H2, FALSE)</f>
        <v>12</v>
      </c>
      <c r="I3" s="88">
        <f ca="1">VLOOKUP($E1, 'Course List'!$A$3:$AS$14,5+I2, FALSE)</f>
        <v>6</v>
      </c>
      <c r="J3" s="88">
        <f ca="1">VLOOKUP($E1, 'Course List'!$A$3:$AS$14,5+J2, FALSE)</f>
        <v>8</v>
      </c>
      <c r="K3" s="88">
        <f ca="1">VLOOKUP($E1, 'Course List'!$A$3:$AS$14,5+K2, FALSE)</f>
        <v>17</v>
      </c>
      <c r="L3" s="88">
        <f ca="1">VLOOKUP($E1, 'Course List'!$A$3:$AS$14,5+L2, FALSE)</f>
        <v>5</v>
      </c>
      <c r="M3" s="89">
        <f ca="1">VLOOKUP($E1, 'Course List'!$A$3:$AS$14,5+M2, FALSE)</f>
        <v>2</v>
      </c>
      <c r="N3" s="91"/>
      <c r="O3" s="72"/>
      <c r="P3" s="86" t="s">
        <v>21</v>
      </c>
      <c r="Q3" s="87">
        <f ca="1">VLOOKUP($E1, 'Course List'!$A$3:$AS$14,5+Q2, FALSE)</f>
        <v>9</v>
      </c>
      <c r="R3" s="88">
        <f ca="1">VLOOKUP($E1, 'Course List'!$A$3:$AS$14,5+R2, FALSE)</f>
        <v>13</v>
      </c>
      <c r="S3" s="88">
        <f ca="1">VLOOKUP($E1, 'Course List'!$A$3:$AS$14,5+S2, FALSE)</f>
        <v>4</v>
      </c>
      <c r="T3" s="88">
        <f ca="1">VLOOKUP($E1, 'Course List'!$A$3:$AS$14,5+T2, FALSE)</f>
        <v>18</v>
      </c>
      <c r="U3" s="88">
        <f ca="1">VLOOKUP($E1, 'Course List'!$A$3:$AS$14,5+U2, FALSE)</f>
        <v>7</v>
      </c>
      <c r="V3" s="88">
        <f ca="1">VLOOKUP($E1, 'Course List'!$A$3:$AS$14,5+V2, FALSE)</f>
        <v>3</v>
      </c>
      <c r="W3" s="88">
        <f ca="1">VLOOKUP($E1, 'Course List'!$A$3:$AS$14,5+W2, FALSE)</f>
        <v>10</v>
      </c>
      <c r="X3" s="88">
        <f ca="1">VLOOKUP($E1, 'Course List'!$A$3:$AS$14,5+X2, FALSE)</f>
        <v>15</v>
      </c>
      <c r="Y3" s="89">
        <f ca="1">VLOOKUP($E1, 'Course List'!$A$3:$AS$14,5+Y2, FALSE)</f>
        <v>1</v>
      </c>
      <c r="Z3" s="91"/>
      <c r="AA3" s="92"/>
      <c r="AB3" s="92"/>
    </row>
    <row r="4" spans="1:28" ht="14.25" customHeight="1">
      <c r="A4" s="84" t="s">
        <v>22</v>
      </c>
      <c r="B4" s="1139"/>
      <c r="C4" s="85"/>
      <c r="D4" s="86" t="s">
        <v>22</v>
      </c>
      <c r="E4" s="93">
        <f ca="1">VLOOKUP($E1, 'Course List'!$A$3:$AS$14,27+E2, FALSE)</f>
        <v>4</v>
      </c>
      <c r="F4" s="94">
        <f ca="1">VLOOKUP($E1, 'Course List'!$A$3:$AS$14,27+F2, FALSE)</f>
        <v>4</v>
      </c>
      <c r="G4" s="94">
        <f ca="1">VLOOKUP($E1, 'Course List'!$A$3:$AS$14,27+G2, FALSE)</f>
        <v>3</v>
      </c>
      <c r="H4" s="94">
        <f ca="1">VLOOKUP($E1, 'Course List'!$A$3:$AS$14,27+H2, FALSE)</f>
        <v>4</v>
      </c>
      <c r="I4" s="94">
        <f ca="1">VLOOKUP($E1, 'Course List'!$A$3:$AS$14,27+I2, FALSE)</f>
        <v>4</v>
      </c>
      <c r="J4" s="94">
        <f ca="1">VLOOKUP($E1, 'Course List'!$A$3:$AS$14,27+J2, FALSE)</f>
        <v>5</v>
      </c>
      <c r="K4" s="94">
        <f ca="1">VLOOKUP($E1, 'Course List'!$A$3:$AS$14,27+K2, FALSE)</f>
        <v>4</v>
      </c>
      <c r="L4" s="94">
        <f ca="1">VLOOKUP($E1, 'Course List'!$A$3:$AS$14,27+L2, FALSE)</f>
        <v>3</v>
      </c>
      <c r="M4" s="95">
        <f ca="1">VLOOKUP($E1, 'Course List'!$A$3:$AS$14,27+M2, FALSE)</f>
        <v>5</v>
      </c>
      <c r="N4" s="93">
        <f ca="1">SUM(E4:M4)</f>
        <v>36</v>
      </c>
      <c r="O4" s="72"/>
      <c r="P4" s="86" t="s">
        <v>22</v>
      </c>
      <c r="Q4" s="93">
        <f ca="1">VLOOKUP($E1, 'Course List'!$A$3:$AS$14,27+Q2, FALSE)</f>
        <v>4</v>
      </c>
      <c r="R4" s="94">
        <f ca="1">VLOOKUP($E1, 'Course List'!$A$3:$AS$14,27+R2, FALSE)</f>
        <v>4</v>
      </c>
      <c r="S4" s="94">
        <f ca="1">VLOOKUP($E1, 'Course List'!$A$3:$AS$14,27+S2, FALSE)</f>
        <v>4</v>
      </c>
      <c r="T4" s="94">
        <f ca="1">VLOOKUP($E1, 'Course List'!$A$3:$AS$14,27+T2, FALSE)</f>
        <v>3</v>
      </c>
      <c r="U4" s="94">
        <f ca="1">VLOOKUP($E1, 'Course List'!$A$3:$AS$14,27+U2, FALSE)</f>
        <v>5</v>
      </c>
      <c r="V4" s="94">
        <f ca="1">VLOOKUP($E1, 'Course List'!$A$3:$AS$14,27+V2, FALSE)</f>
        <v>4</v>
      </c>
      <c r="W4" s="94">
        <f ca="1">VLOOKUP($E1, 'Course List'!$A$3:$AS$14,27+W2, FALSE)</f>
        <v>5</v>
      </c>
      <c r="X4" s="94">
        <f ca="1">VLOOKUP($E1, 'Course List'!$A$3:$AS$14,27+X2, FALSE)</f>
        <v>3</v>
      </c>
      <c r="Y4" s="95">
        <f ca="1">VLOOKUP($E1, 'Course List'!$A$3:$AS$14,27+Y2, FALSE)</f>
        <v>4</v>
      </c>
      <c r="Z4" s="93">
        <f ca="1">SUM(Q4:Y4)</f>
        <v>36</v>
      </c>
      <c r="AA4" s="97">
        <f ca="1">N4+Z4</f>
        <v>72</v>
      </c>
      <c r="AB4" s="98"/>
    </row>
    <row r="5" spans="1:28" ht="14.25" customHeight="1">
      <c r="A5" s="99" t="s">
        <v>23</v>
      </c>
      <c r="B5" s="237" t="s">
        <v>24</v>
      </c>
      <c r="C5" s="100" t="s">
        <v>25</v>
      </c>
      <c r="D5" s="101" t="s">
        <v>26</v>
      </c>
      <c r="E5" s="102">
        <v>1</v>
      </c>
      <c r="F5" s="103">
        <v>2</v>
      </c>
      <c r="G5" s="103">
        <v>3</v>
      </c>
      <c r="H5" s="103">
        <v>4</v>
      </c>
      <c r="I5" s="103">
        <v>5</v>
      </c>
      <c r="J5" s="103">
        <v>6</v>
      </c>
      <c r="K5" s="103">
        <v>7</v>
      </c>
      <c r="L5" s="103">
        <v>8</v>
      </c>
      <c r="M5" s="104">
        <v>9</v>
      </c>
      <c r="N5" s="108" t="s">
        <v>17</v>
      </c>
      <c r="O5" s="106"/>
      <c r="P5" s="238" t="s">
        <v>23</v>
      </c>
      <c r="Q5" s="102">
        <v>10</v>
      </c>
      <c r="R5" s="103">
        <v>11</v>
      </c>
      <c r="S5" s="103">
        <v>12</v>
      </c>
      <c r="T5" s="103">
        <v>13</v>
      </c>
      <c r="U5" s="103">
        <v>14</v>
      </c>
      <c r="V5" s="103">
        <v>15</v>
      </c>
      <c r="W5" s="103">
        <v>16</v>
      </c>
      <c r="X5" s="103">
        <v>17</v>
      </c>
      <c r="Y5" s="104">
        <v>18</v>
      </c>
      <c r="Z5" s="108" t="s">
        <v>18</v>
      </c>
      <c r="AA5" s="109" t="s">
        <v>27</v>
      </c>
      <c r="AB5" s="110" t="s">
        <v>28</v>
      </c>
    </row>
    <row r="6" spans="1:28" ht="7.5" customHeight="1">
      <c r="A6" s="111"/>
      <c r="B6" s="111"/>
      <c r="C6" s="113"/>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239"/>
      <c r="O6" s="118"/>
      <c r="P6" s="240"/>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O</v>
      </c>
      <c r="Z6" s="120"/>
      <c r="AA6" s="121"/>
      <c r="AB6" s="122"/>
    </row>
    <row r="7" spans="1:28" ht="22.5" hidden="1" customHeight="1">
      <c r="A7" s="123"/>
      <c r="B7" s="124"/>
      <c r="C7" s="12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130"/>
      <c r="O7" s="131"/>
      <c r="P7" s="123"/>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1</v>
      </c>
      <c r="Z7" s="133"/>
      <c r="AA7" s="134"/>
      <c r="AB7" s="135"/>
    </row>
    <row r="8" spans="1:28" ht="22.5" customHeight="1">
      <c r="A8" s="136" t="str">
        <f>'Match Selection'!J4</f>
        <v>Pace</v>
      </c>
      <c r="B8" s="137" t="str">
        <f>VLOOKUP(A8, 'Master Input'!$A$11:$B$27, 2, FALSE)</f>
        <v>WEEZ</v>
      </c>
      <c r="C8" s="138">
        <f ca="1">VLOOKUP(A8,'Master Input'!$A$11:$L$27,'Master Input'!$F$28, FALSE)</f>
        <v>10</v>
      </c>
      <c r="D8" s="139">
        <f ca="1">C8-SMALL($C$8:$C$17,1)</f>
        <v>1</v>
      </c>
      <c r="E8" s="140">
        <v>5</v>
      </c>
      <c r="F8" s="141">
        <v>6</v>
      </c>
      <c r="G8" s="142">
        <v>5</v>
      </c>
      <c r="H8" s="141">
        <v>5</v>
      </c>
      <c r="I8" s="142">
        <v>4</v>
      </c>
      <c r="J8" s="141">
        <v>7</v>
      </c>
      <c r="K8" s="142">
        <v>4</v>
      </c>
      <c r="L8" s="141">
        <v>5</v>
      </c>
      <c r="M8" s="142">
        <v>6</v>
      </c>
      <c r="N8" s="143">
        <f>IF(M8="","", SUM(E8:M8))</f>
        <v>47</v>
      </c>
      <c r="O8" s="131"/>
      <c r="P8" s="136" t="str">
        <f>A8</f>
        <v>Pace</v>
      </c>
      <c r="Q8" s="140">
        <v>5</v>
      </c>
      <c r="R8" s="141">
        <v>4</v>
      </c>
      <c r="S8" s="142">
        <v>7</v>
      </c>
      <c r="T8" s="141">
        <v>3</v>
      </c>
      <c r="U8" s="142">
        <v>4</v>
      </c>
      <c r="V8" s="141">
        <v>4</v>
      </c>
      <c r="W8" s="142">
        <v>5</v>
      </c>
      <c r="X8" s="141">
        <v>3</v>
      </c>
      <c r="Y8" s="142">
        <v>7</v>
      </c>
      <c r="Z8" s="143">
        <f>IF(Y8="","", SUM(Q8:Y8))</f>
        <v>42</v>
      </c>
      <c r="AA8" s="145">
        <f>IF(Z8="", "", SUM(N8,Z8))</f>
        <v>89</v>
      </c>
      <c r="AB8" s="146">
        <f ca="1">IF(Y8="", "", AA8-C8)</f>
        <v>79</v>
      </c>
    </row>
    <row r="9" spans="1:28" ht="7.5" customHeight="1">
      <c r="A9" s="241"/>
      <c r="B9" s="242"/>
      <c r="C9" s="243"/>
      <c r="D9" s="244"/>
      <c r="E9" s="114" t="str">
        <f t="shared" ref="E9:M9" ca="1" si="4">IF(E10=1,"O", IF(E10=2,"O   O",""))</f>
        <v/>
      </c>
      <c r="F9" s="115" t="str">
        <f t="shared" ca="1" si="4"/>
        <v/>
      </c>
      <c r="G9" s="116" t="str">
        <f t="shared" ca="1" si="4"/>
        <v/>
      </c>
      <c r="H9" s="115" t="str">
        <f t="shared" ca="1" si="4"/>
        <v/>
      </c>
      <c r="I9" s="116" t="str">
        <f t="shared" ca="1" si="4"/>
        <v>O</v>
      </c>
      <c r="J9" s="115" t="str">
        <f t="shared" ca="1" si="4"/>
        <v>O</v>
      </c>
      <c r="K9" s="116" t="str">
        <f t="shared" ca="1" si="4"/>
        <v/>
      </c>
      <c r="L9" s="115" t="str">
        <f t="shared" ca="1" si="4"/>
        <v>O</v>
      </c>
      <c r="M9" s="116" t="str">
        <f t="shared" ca="1" si="4"/>
        <v>O</v>
      </c>
      <c r="N9" s="153"/>
      <c r="O9" s="118"/>
      <c r="P9" s="245"/>
      <c r="Q9" s="114" t="str">
        <f t="shared" ref="Q9:Y9" ca="1" si="5">IF(Q10=1,"O", IF(Q10=2,"O   O",""))</f>
        <v/>
      </c>
      <c r="R9" s="115" t="str">
        <f t="shared" ca="1" si="5"/>
        <v/>
      </c>
      <c r="S9" s="116" t="str">
        <f t="shared" ca="1" si="5"/>
        <v>O</v>
      </c>
      <c r="T9" s="115" t="str">
        <f t="shared" ca="1" si="5"/>
        <v/>
      </c>
      <c r="U9" s="116" t="str">
        <f t="shared" ca="1" si="5"/>
        <v>O</v>
      </c>
      <c r="V9" s="115" t="str">
        <f t="shared" ca="1" si="5"/>
        <v>O</v>
      </c>
      <c r="W9" s="116" t="str">
        <f t="shared" ca="1" si="5"/>
        <v/>
      </c>
      <c r="X9" s="115" t="str">
        <f t="shared" ca="1" si="5"/>
        <v/>
      </c>
      <c r="Y9" s="116" t="str">
        <f t="shared" ca="1" si="5"/>
        <v>O</v>
      </c>
      <c r="Z9" s="153"/>
      <c r="AA9" s="154"/>
      <c r="AB9" s="155"/>
    </row>
    <row r="10" spans="1:28" ht="22.5" hidden="1" customHeight="1">
      <c r="A10" s="246"/>
      <c r="B10" s="247"/>
      <c r="C10" s="248"/>
      <c r="D10" s="249"/>
      <c r="E10" s="127">
        <f t="shared" ref="E10:M10" ca="1" si="6">IF($D11&gt;0,FLOOR($D11/18,1),0)+IF(AND(MOD($D11,18)&gt;=E$3,$D11&gt;0),1,0)-IF(E$3-18&gt;$D11,1,0)</f>
        <v>0</v>
      </c>
      <c r="F10" s="128">
        <f t="shared" ca="1" si="6"/>
        <v>0</v>
      </c>
      <c r="G10" s="129">
        <f t="shared" ca="1" si="6"/>
        <v>0</v>
      </c>
      <c r="H10" s="128">
        <f t="shared" ca="1" si="6"/>
        <v>0</v>
      </c>
      <c r="I10" s="129">
        <f t="shared" ca="1" si="6"/>
        <v>1</v>
      </c>
      <c r="J10" s="128">
        <f t="shared" ca="1" si="6"/>
        <v>1</v>
      </c>
      <c r="K10" s="129">
        <f t="shared" ca="1" si="6"/>
        <v>0</v>
      </c>
      <c r="L10" s="128">
        <f t="shared" ca="1" si="6"/>
        <v>1</v>
      </c>
      <c r="M10" s="129">
        <f t="shared" ca="1" si="6"/>
        <v>1</v>
      </c>
      <c r="N10" s="130"/>
      <c r="O10" s="131"/>
      <c r="P10" s="123"/>
      <c r="Q10" s="127">
        <f t="shared" ref="Q10:Y10" ca="1" si="7">IF($D11&gt;0,FLOOR($D11/18,1),0)+IF(AND(MOD($D11,18)&gt;=Q$3,$D11&gt;0),1,0)-IF(Q$3-18&gt;$D11,1,0)</f>
        <v>0</v>
      </c>
      <c r="R10" s="128">
        <f t="shared" ca="1" si="7"/>
        <v>0</v>
      </c>
      <c r="S10" s="129">
        <f t="shared" ca="1" si="7"/>
        <v>1</v>
      </c>
      <c r="T10" s="128">
        <f t="shared" ca="1" si="7"/>
        <v>0</v>
      </c>
      <c r="U10" s="129">
        <f t="shared" ca="1" si="7"/>
        <v>1</v>
      </c>
      <c r="V10" s="128">
        <f t="shared" ca="1" si="7"/>
        <v>1</v>
      </c>
      <c r="W10" s="129">
        <f t="shared" ca="1" si="7"/>
        <v>0</v>
      </c>
      <c r="X10" s="128">
        <f t="shared" ca="1" si="7"/>
        <v>0</v>
      </c>
      <c r="Y10" s="129">
        <f t="shared" ca="1" si="7"/>
        <v>1</v>
      </c>
      <c r="Z10" s="133"/>
      <c r="AA10" s="134"/>
      <c r="AB10" s="135"/>
    </row>
    <row r="11" spans="1:28" ht="22.5" customHeight="1">
      <c r="A11" s="250" t="str">
        <f>'Match Selection'!J5</f>
        <v>Weezy</v>
      </c>
      <c r="B11" s="251" t="str">
        <f>VLOOKUP(A11, 'Master Input'!$A$11:$B$27, 2, FALSE)</f>
        <v>WEEZ</v>
      </c>
      <c r="C11" s="252">
        <f ca="1">VLOOKUP(A11,'Master Input'!$A$11:$L$27,'Master Input'!$F$28, FALSE)</f>
        <v>17</v>
      </c>
      <c r="D11" s="253">
        <f ca="1">C11-SMALL($C$8:$C$17,1)</f>
        <v>8</v>
      </c>
      <c r="E11" s="140">
        <v>5</v>
      </c>
      <c r="F11" s="141">
        <v>5</v>
      </c>
      <c r="G11" s="142">
        <v>3</v>
      </c>
      <c r="H11" s="141">
        <v>4</v>
      </c>
      <c r="I11" s="142">
        <v>6</v>
      </c>
      <c r="J11" s="141">
        <v>7</v>
      </c>
      <c r="K11" s="142">
        <v>3</v>
      </c>
      <c r="L11" s="141">
        <v>5</v>
      </c>
      <c r="M11" s="142">
        <v>9</v>
      </c>
      <c r="N11" s="143">
        <f>IF(M11="","", SUM(E11:M11))</f>
        <v>47</v>
      </c>
      <c r="O11" s="131"/>
      <c r="P11" s="136" t="str">
        <f>A11</f>
        <v>Weezy</v>
      </c>
      <c r="Q11" s="140">
        <v>6</v>
      </c>
      <c r="R11" s="141">
        <v>4</v>
      </c>
      <c r="S11" s="142">
        <v>5</v>
      </c>
      <c r="T11" s="141">
        <v>3</v>
      </c>
      <c r="U11" s="142">
        <v>5</v>
      </c>
      <c r="V11" s="141">
        <v>4</v>
      </c>
      <c r="W11" s="142">
        <v>9</v>
      </c>
      <c r="X11" s="141">
        <v>5</v>
      </c>
      <c r="Y11" s="142">
        <v>5</v>
      </c>
      <c r="Z11" s="143">
        <f>IF(Y11="","", SUM(Q11:Y11))</f>
        <v>46</v>
      </c>
      <c r="AA11" s="145">
        <f>IF(Z11="", "", SUM(N11,Z11))</f>
        <v>93</v>
      </c>
      <c r="AB11" s="146">
        <f ca="1">IF(Y11="", "", AA11-C11)</f>
        <v>76</v>
      </c>
    </row>
    <row r="12" spans="1:28" ht="7.5" customHeight="1">
      <c r="A12" s="159"/>
      <c r="B12" s="254"/>
      <c r="C12" s="161"/>
      <c r="D12" s="162"/>
      <c r="E12" s="163" t="str">
        <f t="shared" ref="E12:M12" ca="1" si="8">IF(E13=1,"O", IF(E13=2,"O   O",""))</f>
        <v/>
      </c>
      <c r="F12" s="164" t="str">
        <f t="shared" ca="1" si="8"/>
        <v/>
      </c>
      <c r="G12" s="165" t="str">
        <f t="shared" ca="1" si="8"/>
        <v/>
      </c>
      <c r="H12" s="164" t="str">
        <f t="shared" ca="1" si="8"/>
        <v/>
      </c>
      <c r="I12" s="165" t="str">
        <f t="shared" ca="1" si="8"/>
        <v/>
      </c>
      <c r="J12" s="164" t="str">
        <f t="shared" ca="1" si="8"/>
        <v/>
      </c>
      <c r="K12" s="165" t="str">
        <f t="shared" ca="1" si="8"/>
        <v/>
      </c>
      <c r="L12" s="164" t="str">
        <f t="shared" ca="1" si="8"/>
        <v/>
      </c>
      <c r="M12" s="165" t="str">
        <f t="shared" ca="1" si="8"/>
        <v/>
      </c>
      <c r="N12" s="168"/>
      <c r="O12" s="118"/>
      <c r="P12" s="159"/>
      <c r="Q12" s="163" t="str">
        <f t="shared" ref="Q12:Y12" ca="1" si="9">IF(Q13=1,"O", IF(Q13=2,"O   O",""))</f>
        <v/>
      </c>
      <c r="R12" s="164" t="str">
        <f t="shared" ca="1" si="9"/>
        <v/>
      </c>
      <c r="S12" s="165" t="str">
        <f t="shared" ca="1" si="9"/>
        <v/>
      </c>
      <c r="T12" s="164" t="str">
        <f t="shared" ca="1" si="9"/>
        <v/>
      </c>
      <c r="U12" s="165" t="str">
        <f t="shared" ca="1" si="9"/>
        <v/>
      </c>
      <c r="V12" s="164" t="str">
        <f t="shared" ca="1" si="9"/>
        <v/>
      </c>
      <c r="W12" s="165" t="str">
        <f t="shared" ca="1" si="9"/>
        <v/>
      </c>
      <c r="X12" s="164" t="str">
        <f t="shared" ca="1" si="9"/>
        <v/>
      </c>
      <c r="Y12" s="165" t="str">
        <f t="shared" ca="1" si="9"/>
        <v/>
      </c>
      <c r="Z12" s="168"/>
      <c r="AA12" s="169"/>
      <c r="AB12" s="170"/>
    </row>
    <row r="13" spans="1:28" ht="22.5" hidden="1" customHeight="1">
      <c r="A13" s="171"/>
      <c r="B13" s="255"/>
      <c r="C13" s="173"/>
      <c r="D13" s="174"/>
      <c r="E13" s="175">
        <f t="shared" ref="E13:M13" ca="1" si="10">IF($D14&gt;0,FLOOR($D14/18,1),0)+IF(AND(MOD($D14,18)&gt;=E$3,$D14&gt;0),1,0)-IF(E$3-18&gt;$D14,1,0)</f>
        <v>0</v>
      </c>
      <c r="F13" s="176">
        <f t="shared" ca="1" si="10"/>
        <v>0</v>
      </c>
      <c r="G13" s="177">
        <f t="shared" ca="1" si="10"/>
        <v>0</v>
      </c>
      <c r="H13" s="176">
        <f t="shared" ca="1" si="10"/>
        <v>0</v>
      </c>
      <c r="I13" s="177">
        <f t="shared" ca="1" si="10"/>
        <v>0</v>
      </c>
      <c r="J13" s="176">
        <f t="shared" ca="1" si="10"/>
        <v>0</v>
      </c>
      <c r="K13" s="177">
        <f t="shared" ca="1" si="10"/>
        <v>0</v>
      </c>
      <c r="L13" s="176">
        <f t="shared" ca="1" si="10"/>
        <v>0</v>
      </c>
      <c r="M13" s="177">
        <f t="shared" ca="1" si="10"/>
        <v>0</v>
      </c>
      <c r="N13" s="256"/>
      <c r="O13" s="131"/>
      <c r="P13" s="171"/>
      <c r="Q13" s="175">
        <f t="shared" ref="Q13:Y13" ca="1" si="11">IF($D14&gt;0,FLOOR($D14/18,1),0)+IF(AND(MOD($D14,18)&gt;=Q$3,$D14&gt;0),1,0)-IF(Q$3-18&gt;$D14,1,0)</f>
        <v>0</v>
      </c>
      <c r="R13" s="176">
        <f t="shared" ca="1" si="11"/>
        <v>0</v>
      </c>
      <c r="S13" s="177">
        <f t="shared" ca="1" si="11"/>
        <v>0</v>
      </c>
      <c r="T13" s="176">
        <f t="shared" ca="1" si="11"/>
        <v>0</v>
      </c>
      <c r="U13" s="177">
        <f t="shared" ca="1" si="11"/>
        <v>0</v>
      </c>
      <c r="V13" s="176">
        <f t="shared" ca="1" si="11"/>
        <v>0</v>
      </c>
      <c r="W13" s="177">
        <f t="shared" ca="1" si="11"/>
        <v>0</v>
      </c>
      <c r="X13" s="176">
        <f t="shared" ca="1" si="11"/>
        <v>0</v>
      </c>
      <c r="Y13" s="177">
        <f t="shared" ca="1" si="11"/>
        <v>0</v>
      </c>
      <c r="Z13" s="179"/>
      <c r="AA13" s="180"/>
      <c r="AB13" s="135"/>
    </row>
    <row r="14" spans="1:28" ht="22.5" customHeight="1">
      <c r="A14" s="181" t="str">
        <f>'Match Selection'!M4</f>
        <v>CuzNick</v>
      </c>
      <c r="B14" s="257" t="str">
        <f>VLOOKUP(A14, 'Master Input'!$A$11:$B$27, 2, FALSE)</f>
        <v>TEES</v>
      </c>
      <c r="C14" s="183">
        <f ca="1">VLOOKUP(A14,'Master Input'!$A$11:$L$27,'Master Input'!$F$28, FALSE)</f>
        <v>9</v>
      </c>
      <c r="D14" s="184">
        <f ca="1">C14-SMALL($C$8:$C$17,1)</f>
        <v>0</v>
      </c>
      <c r="E14" s="185">
        <v>5</v>
      </c>
      <c r="F14" s="186">
        <v>5</v>
      </c>
      <c r="G14" s="187">
        <v>3</v>
      </c>
      <c r="H14" s="186">
        <v>6</v>
      </c>
      <c r="I14" s="187">
        <v>6</v>
      </c>
      <c r="J14" s="186">
        <v>4</v>
      </c>
      <c r="K14" s="187">
        <v>4</v>
      </c>
      <c r="L14" s="186">
        <v>4</v>
      </c>
      <c r="M14" s="187">
        <v>7</v>
      </c>
      <c r="N14" s="189">
        <f>IF(M14="","", SUM(E14:M14))</f>
        <v>44</v>
      </c>
      <c r="O14" s="131"/>
      <c r="P14" s="181" t="str">
        <f>A14</f>
        <v>CuzNick</v>
      </c>
      <c r="Q14" s="185">
        <v>4</v>
      </c>
      <c r="R14" s="186">
        <v>4</v>
      </c>
      <c r="S14" s="187">
        <v>4</v>
      </c>
      <c r="T14" s="186">
        <v>4</v>
      </c>
      <c r="U14" s="187">
        <v>5</v>
      </c>
      <c r="V14" s="186">
        <v>4</v>
      </c>
      <c r="W14" s="187">
        <v>5</v>
      </c>
      <c r="X14" s="186">
        <v>4</v>
      </c>
      <c r="Y14" s="187">
        <v>7</v>
      </c>
      <c r="Z14" s="189">
        <f>IF(Y14="","", SUM(Q14:Y14))</f>
        <v>41</v>
      </c>
      <c r="AA14" s="190">
        <f>IF(Z14="", "", SUM(N14,Z14))</f>
        <v>85</v>
      </c>
      <c r="AB14" s="146">
        <f ca="1">IF(Y14="", "", AA14-C14)</f>
        <v>76</v>
      </c>
    </row>
    <row r="15" spans="1:28" ht="7.5" customHeight="1">
      <c r="A15" s="159"/>
      <c r="B15" s="254"/>
      <c r="C15" s="161"/>
      <c r="D15" s="162"/>
      <c r="E15" s="163" t="str">
        <f t="shared" ref="E15:M15" ca="1" si="12">IF(E16=1,"O", IF(E16=2,"O   O",""))</f>
        <v>O</v>
      </c>
      <c r="F15" s="164" t="str">
        <f t="shared" ca="1" si="12"/>
        <v>O</v>
      </c>
      <c r="G15" s="165" t="str">
        <f t="shared" ca="1" si="12"/>
        <v>O</v>
      </c>
      <c r="H15" s="164" t="str">
        <f t="shared" ca="1" si="12"/>
        <v>O</v>
      </c>
      <c r="I15" s="165" t="str">
        <f t="shared" ca="1" si="12"/>
        <v>O   O</v>
      </c>
      <c r="J15" s="164" t="str">
        <f t="shared" ca="1" si="12"/>
        <v>O</v>
      </c>
      <c r="K15" s="165" t="str">
        <f t="shared" ca="1" si="12"/>
        <v>O</v>
      </c>
      <c r="L15" s="164" t="str">
        <f t="shared" ca="1" si="12"/>
        <v>O   O</v>
      </c>
      <c r="M15" s="165" t="str">
        <f t="shared" ca="1" si="12"/>
        <v>O   O</v>
      </c>
      <c r="N15" s="168"/>
      <c r="O15" s="118"/>
      <c r="P15" s="159"/>
      <c r="Q15" s="163" t="str">
        <f t="shared" ref="Q15:Y15" ca="1" si="13">IF(Q16=1,"O", IF(Q16=2,"O   O",""))</f>
        <v>O</v>
      </c>
      <c r="R15" s="164" t="str">
        <f t="shared" ca="1" si="13"/>
        <v>O</v>
      </c>
      <c r="S15" s="165" t="str">
        <f t="shared" ca="1" si="13"/>
        <v>O   O</v>
      </c>
      <c r="T15" s="164" t="str">
        <f t="shared" ca="1" si="13"/>
        <v>O</v>
      </c>
      <c r="U15" s="165" t="str">
        <f t="shared" ca="1" si="13"/>
        <v>O</v>
      </c>
      <c r="V15" s="164" t="str">
        <f t="shared" ca="1" si="13"/>
        <v>O   O</v>
      </c>
      <c r="W15" s="165" t="str">
        <f t="shared" ca="1" si="13"/>
        <v>O</v>
      </c>
      <c r="X15" s="164" t="str">
        <f t="shared" ca="1" si="13"/>
        <v>O</v>
      </c>
      <c r="Y15" s="165" t="str">
        <f t="shared" ca="1" si="13"/>
        <v>O   O</v>
      </c>
      <c r="Z15" s="168"/>
      <c r="AA15" s="170"/>
      <c r="AB15" s="170"/>
    </row>
    <row r="16" spans="1:28" ht="22.5" hidden="1" customHeight="1">
      <c r="A16" s="171"/>
      <c r="B16" s="255"/>
      <c r="C16" s="173"/>
      <c r="D16" s="174"/>
      <c r="E16" s="175">
        <f t="shared" ref="E16:M16" ca="1" si="14">IF($D17&gt;0,FLOOR($D17/18,1),0)+IF(AND(MOD($D17,18)&gt;=E$3,$D17&gt;0),1,0)-IF(E$3-18&gt;$D17,1,0)</f>
        <v>1</v>
      </c>
      <c r="F16" s="176">
        <f t="shared" ca="1" si="14"/>
        <v>1</v>
      </c>
      <c r="G16" s="177">
        <f t="shared" ca="1" si="14"/>
        <v>1</v>
      </c>
      <c r="H16" s="176">
        <f t="shared" ca="1" si="14"/>
        <v>1</v>
      </c>
      <c r="I16" s="177">
        <f t="shared" ca="1" si="14"/>
        <v>2</v>
      </c>
      <c r="J16" s="176">
        <f t="shared" ca="1" si="14"/>
        <v>1</v>
      </c>
      <c r="K16" s="177">
        <f t="shared" ca="1" si="14"/>
        <v>1</v>
      </c>
      <c r="L16" s="176">
        <f t="shared" ca="1" si="14"/>
        <v>2</v>
      </c>
      <c r="M16" s="177">
        <f t="shared" ca="1" si="14"/>
        <v>2</v>
      </c>
      <c r="N16" s="256"/>
      <c r="O16" s="131"/>
      <c r="P16" s="171"/>
      <c r="Q16" s="175">
        <f t="shared" ref="Q16:Y16" ca="1" si="15">IF($D17&gt;0,FLOOR($D17/18,1),0)+IF(AND(MOD($D17,18)&gt;=Q$3,$D17&gt;0),1,0)-IF(Q$3-18&gt;$D17,1,0)</f>
        <v>1</v>
      </c>
      <c r="R16" s="176">
        <f t="shared" ca="1" si="15"/>
        <v>1</v>
      </c>
      <c r="S16" s="177">
        <f t="shared" ca="1" si="15"/>
        <v>2</v>
      </c>
      <c r="T16" s="176">
        <f t="shared" ca="1" si="15"/>
        <v>1</v>
      </c>
      <c r="U16" s="177">
        <f t="shared" ca="1" si="15"/>
        <v>1</v>
      </c>
      <c r="V16" s="176">
        <f t="shared" ca="1" si="15"/>
        <v>2</v>
      </c>
      <c r="W16" s="177">
        <f t="shared" ca="1" si="15"/>
        <v>1</v>
      </c>
      <c r="X16" s="176">
        <f t="shared" ca="1" si="15"/>
        <v>1</v>
      </c>
      <c r="Y16" s="177">
        <f t="shared" ca="1" si="15"/>
        <v>2</v>
      </c>
      <c r="Z16" s="179"/>
      <c r="AA16" s="180"/>
      <c r="AB16" s="135"/>
    </row>
    <row r="17" spans="1:28" ht="22.5" customHeight="1">
      <c r="A17" s="191" t="str">
        <f>'Match Selection'!M5</f>
        <v>Saugy</v>
      </c>
      <c r="B17" s="257" t="str">
        <f>VLOOKUP(A17, 'Master Input'!$A$11:$B$27, 2, FALSE)</f>
        <v>TEES</v>
      </c>
      <c r="C17" s="192">
        <f ca="1">VLOOKUP(A17,'Master Input'!$A$11:$L$27,'Master Input'!$F$28, FALSE)</f>
        <v>33</v>
      </c>
      <c r="D17" s="184">
        <f ca="1">C17-SMALL($C$8:$C$17,1)</f>
        <v>24</v>
      </c>
      <c r="E17" s="185">
        <v>5</v>
      </c>
      <c r="F17" s="186">
        <v>9</v>
      </c>
      <c r="G17" s="187">
        <v>5</v>
      </c>
      <c r="H17" s="186">
        <v>5</v>
      </c>
      <c r="I17" s="187">
        <v>7</v>
      </c>
      <c r="J17" s="186">
        <v>11</v>
      </c>
      <c r="K17" s="187">
        <v>5</v>
      </c>
      <c r="L17" s="186">
        <v>5</v>
      </c>
      <c r="M17" s="187">
        <v>6</v>
      </c>
      <c r="N17" s="189">
        <f>IF(M17="","", SUM(E17:M17))</f>
        <v>58</v>
      </c>
      <c r="O17" s="131"/>
      <c r="P17" s="181" t="str">
        <f>A17</f>
        <v>Saugy</v>
      </c>
      <c r="Q17" s="185">
        <v>6</v>
      </c>
      <c r="R17" s="186">
        <v>5</v>
      </c>
      <c r="S17" s="187">
        <v>5</v>
      </c>
      <c r="T17" s="186">
        <v>3</v>
      </c>
      <c r="U17" s="187">
        <v>7</v>
      </c>
      <c r="V17" s="186">
        <v>7</v>
      </c>
      <c r="W17" s="187">
        <v>9</v>
      </c>
      <c r="X17" s="186">
        <v>6</v>
      </c>
      <c r="Y17" s="187">
        <v>8</v>
      </c>
      <c r="Z17" s="189">
        <f>IF(Y17="","", SUM(Q17:Y17))</f>
        <v>56</v>
      </c>
      <c r="AA17" s="190">
        <f>IF(Z17="", "", SUM(N17,Z17))</f>
        <v>114</v>
      </c>
      <c r="AB17" s="146">
        <f ca="1">IF(Y17="", "", AA17-C17)</f>
        <v>81</v>
      </c>
    </row>
    <row r="18" spans="1:28" ht="11.25" customHeight="1">
      <c r="A18" s="193"/>
      <c r="B18" s="193"/>
      <c r="C18" s="194"/>
      <c r="D18" s="193"/>
      <c r="E18" s="193"/>
      <c r="F18" s="193"/>
      <c r="G18" s="193"/>
      <c r="H18" s="193"/>
      <c r="I18" s="193"/>
      <c r="J18" s="193"/>
      <c r="K18" s="193"/>
      <c r="L18" s="193"/>
      <c r="M18" s="193"/>
      <c r="N18" s="195" t="s">
        <v>7</v>
      </c>
      <c r="O18" s="196"/>
      <c r="P18" s="193"/>
      <c r="Q18" s="193"/>
      <c r="R18" s="193"/>
      <c r="S18" s="193"/>
      <c r="T18" s="193"/>
      <c r="U18" s="193"/>
      <c r="V18" s="193"/>
      <c r="W18" s="193"/>
      <c r="X18" s="193"/>
      <c r="Y18" s="193"/>
      <c r="Z18" s="195" t="s">
        <v>9</v>
      </c>
      <c r="AA18" s="197" t="s">
        <v>29</v>
      </c>
    </row>
    <row r="19" spans="1:28" ht="22.5" customHeight="1">
      <c r="A19" s="198" t="str">
        <f>B8</f>
        <v>WEEZ</v>
      </c>
      <c r="B19" s="199"/>
      <c r="C19" s="200"/>
      <c r="D19" s="199"/>
      <c r="E19" s="201">
        <f t="shared" ref="E19:M19" si="16">IF(OR(E8="",E11="",E14="",E17=""),"",SUM(E25:E26))</f>
        <v>0</v>
      </c>
      <c r="F19" s="201">
        <f t="shared" si="16"/>
        <v>6</v>
      </c>
      <c r="G19" s="201">
        <f t="shared" si="16"/>
        <v>6</v>
      </c>
      <c r="H19" s="201">
        <f t="shared" si="16"/>
        <v>6</v>
      </c>
      <c r="I19" s="201">
        <f t="shared" si="16"/>
        <v>12</v>
      </c>
      <c r="J19" s="201">
        <f t="shared" si="16"/>
        <v>0</v>
      </c>
      <c r="K19" s="201">
        <f t="shared" si="16"/>
        <v>12</v>
      </c>
      <c r="L19" s="201">
        <f t="shared" si="16"/>
        <v>0</v>
      </c>
      <c r="M19" s="202">
        <f t="shared" si="16"/>
        <v>0</v>
      </c>
      <c r="N19" s="206">
        <f>IF(OR(E8="",E11="",E14="",E17=""),"", SUM(E19:M19))</f>
        <v>42</v>
      </c>
      <c r="O19" s="204"/>
      <c r="P19" s="205" t="str">
        <f>B8</f>
        <v>WEEZ</v>
      </c>
      <c r="Q19" s="201">
        <f t="shared" ref="Q19:Y19" si="17">IF(OR(Q8="",Q11="",Q14="",Q17=""),"",SUM(Q25:Q26))</f>
        <v>0</v>
      </c>
      <c r="R19" s="201">
        <f t="shared" si="17"/>
        <v>6</v>
      </c>
      <c r="S19" s="201">
        <f t="shared" si="17"/>
        <v>0</v>
      </c>
      <c r="T19" s="201">
        <f t="shared" si="17"/>
        <v>0</v>
      </c>
      <c r="U19" s="201">
        <f t="shared" si="17"/>
        <v>12</v>
      </c>
      <c r="V19" s="201">
        <f t="shared" si="17"/>
        <v>12</v>
      </c>
      <c r="W19" s="201">
        <f t="shared" si="17"/>
        <v>6</v>
      </c>
      <c r="X19" s="201">
        <f t="shared" si="17"/>
        <v>12</v>
      </c>
      <c r="Y19" s="202">
        <f t="shared" si="17"/>
        <v>12</v>
      </c>
      <c r="Z19" s="206">
        <f>IF(OR(Q8="",Q11="",Q14="",Q17=""),"", SUM(Q19:Y19))</f>
        <v>60</v>
      </c>
      <c r="AA19" s="206">
        <f>IF(OR(E8="",E11="",E14="",E17=""),"", SUM(N19,Z19))</f>
        <v>102</v>
      </c>
    </row>
    <row r="20" spans="1:28" ht="22.5" customHeight="1">
      <c r="A20" s="207" t="str">
        <f>B14</f>
        <v>TEES</v>
      </c>
      <c r="B20" s="208"/>
      <c r="C20" s="209"/>
      <c r="D20" s="208"/>
      <c r="E20" s="210">
        <f t="shared" ref="E20:M20" si="18">IF(OR(E8="",E11="",E14="",E17=""),"",SUM(E28:E29))</f>
        <v>12</v>
      </c>
      <c r="F20" s="210">
        <f t="shared" si="18"/>
        <v>6</v>
      </c>
      <c r="G20" s="210">
        <f t="shared" si="18"/>
        <v>6</v>
      </c>
      <c r="H20" s="210">
        <f t="shared" si="18"/>
        <v>6</v>
      </c>
      <c r="I20" s="210">
        <f t="shared" si="18"/>
        <v>0</v>
      </c>
      <c r="J20" s="210">
        <f t="shared" si="18"/>
        <v>12</v>
      </c>
      <c r="K20" s="210">
        <f t="shared" si="18"/>
        <v>0</v>
      </c>
      <c r="L20" s="210">
        <f t="shared" si="18"/>
        <v>12</v>
      </c>
      <c r="M20" s="211">
        <f t="shared" si="18"/>
        <v>12</v>
      </c>
      <c r="N20" s="214">
        <f>IF(OR(E8="",E11="",E14="",E17=""),"", SUM(E20:M20))</f>
        <v>66</v>
      </c>
      <c r="O20" s="204"/>
      <c r="P20" s="213" t="str">
        <f>B14</f>
        <v>TEES</v>
      </c>
      <c r="Q20" s="210">
        <f t="shared" ref="Q20:Y20" si="19">IF(OR(Q8="",Q11="",Q14="",Q17=""),"",SUM(Q28:Q29))</f>
        <v>12</v>
      </c>
      <c r="R20" s="210">
        <f t="shared" si="19"/>
        <v>6</v>
      </c>
      <c r="S20" s="210">
        <f t="shared" si="19"/>
        <v>12</v>
      </c>
      <c r="T20" s="210">
        <f t="shared" si="19"/>
        <v>12</v>
      </c>
      <c r="U20" s="210">
        <f t="shared" si="19"/>
        <v>0</v>
      </c>
      <c r="V20" s="210">
        <f t="shared" si="19"/>
        <v>0</v>
      </c>
      <c r="W20" s="210">
        <f t="shared" si="19"/>
        <v>6</v>
      </c>
      <c r="X20" s="210">
        <f t="shared" si="19"/>
        <v>0</v>
      </c>
      <c r="Y20" s="211">
        <f t="shared" si="19"/>
        <v>0</v>
      </c>
      <c r="Z20" s="214">
        <f>IF(OR(Q8="",Q11="",Q14="",Q17=""),"", SUM(Q20:Y20))</f>
        <v>48</v>
      </c>
      <c r="AA20" s="214">
        <f>IF(OR(E8="",E11="",E14="",E17=""),"", SUM(N20,Z20))</f>
        <v>114</v>
      </c>
      <c r="AB20" s="215" t="s">
        <v>30</v>
      </c>
    </row>
    <row r="21" spans="1:28" ht="22.5" customHeight="1">
      <c r="A21" s="216"/>
      <c r="B21" s="216"/>
      <c r="C21" s="216"/>
      <c r="D21" s="216"/>
      <c r="E21" s="216"/>
      <c r="F21" s="216"/>
      <c r="G21" s="216"/>
      <c r="H21" s="216"/>
      <c r="I21" s="216"/>
      <c r="J21" s="216"/>
      <c r="K21" s="216"/>
      <c r="L21" s="217" t="s">
        <v>31</v>
      </c>
      <c r="M21" s="218" t="str">
        <f>A19</f>
        <v>WEEZ</v>
      </c>
      <c r="N21" s="258">
        <f>IF(M19="","",IF(N19&gt;N20,VLOOKUP($B$2,'Master Input'!$O$10:$R$23,'Master Input'!$P$11,FALSE),IF(N19=N20,VLOOKUP($B$2,'Master Input'!$O$10:$R$23,'Master Input'!$P$11,FALSE)/2,0)))</f>
        <v>0</v>
      </c>
      <c r="O21" s="204"/>
      <c r="P21" s="216"/>
      <c r="Q21" s="216"/>
      <c r="R21" s="216"/>
      <c r="S21" s="216"/>
      <c r="T21" s="216"/>
      <c r="U21" s="216"/>
      <c r="V21" s="216"/>
      <c r="W21" s="216"/>
      <c r="X21" s="217" t="s">
        <v>31</v>
      </c>
      <c r="Y21" s="218" t="str">
        <f>P19</f>
        <v>WEEZ</v>
      </c>
      <c r="Z21" s="220">
        <f>IF(Y19="","",(IF(Z19&gt;Z20,VLOOKUP($B$2,'Master Input'!$O$10:$R$23,'Master Input'!$Q$11,FALSE),IF(Z19=Z20,VLOOKUP($B$2,'Master Input'!$O$10:$R$23,'Master Input'!$Q$11,FALSE)/2,0))))</f>
        <v>1</v>
      </c>
      <c r="AA21" s="221">
        <f>IF(Y19="","",IF(AA19&gt;AA20,VLOOKUP($B$2,'Master Input'!$O$10:$R$23,'Master Input'!$R$11,FALSE),IF(AA19=AA20,VLOOKUP($B$2,'Master Input'!$O$10:$R$23,'Master Input'!$R$11,FALSE)/2,0)))</f>
        <v>0</v>
      </c>
      <c r="AB21" s="221">
        <f>IF(Y19="","",IF(AA21="","", SUM(N21,Z21,AA21)))</f>
        <v>1</v>
      </c>
    </row>
    <row r="22" spans="1:28" ht="14.5" hidden="1">
      <c r="A22" s="216"/>
      <c r="B22" s="222">
        <v>1</v>
      </c>
      <c r="C22" s="222">
        <v>2</v>
      </c>
      <c r="D22" s="222">
        <v>3</v>
      </c>
      <c r="E22" s="222">
        <v>4</v>
      </c>
      <c r="F22" s="222">
        <v>5</v>
      </c>
      <c r="G22" s="222">
        <v>6</v>
      </c>
      <c r="H22" s="222">
        <v>7</v>
      </c>
      <c r="I22" s="222">
        <v>8</v>
      </c>
      <c r="J22" s="222">
        <v>9</v>
      </c>
      <c r="K22" s="222">
        <v>10</v>
      </c>
      <c r="L22" s="222">
        <v>11</v>
      </c>
      <c r="M22" s="222">
        <v>12</v>
      </c>
      <c r="N22" s="222">
        <v>13</v>
      </c>
      <c r="O22" s="222">
        <v>14</v>
      </c>
      <c r="P22" s="222">
        <v>15</v>
      </c>
      <c r="Q22" s="222">
        <v>16</v>
      </c>
      <c r="R22" s="222">
        <v>17</v>
      </c>
      <c r="S22" s="222">
        <v>18</v>
      </c>
      <c r="T22" s="222">
        <v>19</v>
      </c>
      <c r="U22" s="222">
        <v>20</v>
      </c>
      <c r="V22" s="222">
        <v>21</v>
      </c>
      <c r="W22" s="222">
        <v>22</v>
      </c>
      <c r="X22" s="222">
        <v>23</v>
      </c>
      <c r="Y22" s="222">
        <v>24</v>
      </c>
      <c r="Z22" s="223" t="s">
        <v>32</v>
      </c>
      <c r="AA22" s="223" t="s">
        <v>33</v>
      </c>
      <c r="AB22" s="223" t="s">
        <v>34</v>
      </c>
    </row>
    <row r="23" spans="1:28" ht="14.25" hidden="1" customHeight="1">
      <c r="A23" s="216"/>
      <c r="B23" s="216" t="s">
        <v>35</v>
      </c>
      <c r="C23" s="224"/>
      <c r="D23" s="216"/>
      <c r="E23" s="225">
        <v>12</v>
      </c>
      <c r="F23" s="225">
        <v>6</v>
      </c>
      <c r="G23" s="225">
        <v>6</v>
      </c>
      <c r="H23" s="225">
        <v>6</v>
      </c>
      <c r="I23" s="225">
        <v>12</v>
      </c>
      <c r="J23" s="225">
        <v>12</v>
      </c>
      <c r="K23" s="225">
        <v>12</v>
      </c>
      <c r="L23" s="225">
        <v>12</v>
      </c>
      <c r="M23" s="225">
        <v>12</v>
      </c>
      <c r="N23" s="216"/>
      <c r="O23" s="226"/>
      <c r="P23" s="216"/>
      <c r="Q23" s="225">
        <v>12</v>
      </c>
      <c r="R23" s="225">
        <v>3</v>
      </c>
      <c r="S23" s="225">
        <v>12</v>
      </c>
      <c r="T23" s="225">
        <v>12</v>
      </c>
      <c r="U23" s="225">
        <v>6</v>
      </c>
      <c r="V23" s="225">
        <v>12</v>
      </c>
      <c r="W23" s="225">
        <v>6</v>
      </c>
      <c r="X23" s="225">
        <v>12</v>
      </c>
      <c r="Y23" s="225">
        <v>12</v>
      </c>
      <c r="Z23" s="223" t="s">
        <v>36</v>
      </c>
      <c r="AA23" s="223" t="s">
        <v>37</v>
      </c>
      <c r="AB23" s="223" t="s">
        <v>38</v>
      </c>
    </row>
    <row r="24" spans="1:28" ht="14.25" hidden="1" customHeight="1">
      <c r="A24" s="227"/>
      <c r="B24" s="227" t="str">
        <f>B8</f>
        <v>WEEZ</v>
      </c>
      <c r="C24" s="228"/>
      <c r="D24" s="227"/>
      <c r="E24" s="227"/>
      <c r="F24" s="227"/>
      <c r="G24" s="227"/>
      <c r="H24" s="227"/>
      <c r="I24" s="227"/>
      <c r="J24" s="227"/>
      <c r="K24" s="227"/>
      <c r="L24" s="227"/>
      <c r="M24" s="227"/>
      <c r="N24" s="229">
        <f>SUM(E24:M24)</f>
        <v>0</v>
      </c>
      <c r="O24" s="227"/>
      <c r="P24" s="227"/>
      <c r="Q24" s="227"/>
      <c r="R24" s="227"/>
      <c r="S24" s="227"/>
      <c r="T24" s="227"/>
      <c r="U24" s="227"/>
      <c r="V24" s="227"/>
      <c r="W24" s="227"/>
      <c r="X24" s="227"/>
      <c r="Y24" s="227"/>
      <c r="Z24" s="230">
        <f>SUM(Z25:Z26)</f>
        <v>8.5</v>
      </c>
      <c r="AA24" s="230">
        <f>SUM(Z24,N24)</f>
        <v>8.5</v>
      </c>
      <c r="AB24" s="231"/>
    </row>
    <row r="25" spans="1:28" ht="14.25" hidden="1" customHeight="1">
      <c r="A25" s="216" t="str">
        <f>A8</f>
        <v>Pace</v>
      </c>
      <c r="B25" s="216"/>
      <c r="C25" s="224"/>
      <c r="D25" s="216"/>
      <c r="E25" s="232">
        <v>0</v>
      </c>
      <c r="F25" s="232">
        <v>0</v>
      </c>
      <c r="G25" s="232">
        <v>0</v>
      </c>
      <c r="H25" s="232">
        <v>0</v>
      </c>
      <c r="I25" s="232">
        <v>12</v>
      </c>
      <c r="J25" s="232">
        <v>0</v>
      </c>
      <c r="K25" s="232">
        <v>0</v>
      </c>
      <c r="L25" s="232">
        <v>0</v>
      </c>
      <c r="M25" s="232">
        <v>0</v>
      </c>
      <c r="N25" s="216"/>
      <c r="O25" s="226"/>
      <c r="P25" s="216"/>
      <c r="Q25" s="232">
        <v>0</v>
      </c>
      <c r="R25" s="232">
        <v>3</v>
      </c>
      <c r="S25" s="232">
        <v>0</v>
      </c>
      <c r="T25" s="232">
        <v>0</v>
      </c>
      <c r="U25" s="232">
        <v>6</v>
      </c>
      <c r="V25" s="232">
        <v>0</v>
      </c>
      <c r="W25" s="232">
        <v>6</v>
      </c>
      <c r="X25" s="232">
        <v>12</v>
      </c>
      <c r="Y25" s="232">
        <v>0</v>
      </c>
      <c r="Z25" s="233">
        <f t="shared" ref="Z25:Z26" si="20">SUM(E25:M25,Q25:Y25)/12</f>
        <v>3.25</v>
      </c>
      <c r="AA25" s="234">
        <f t="shared" ref="AA25:AA26" si="21">Z25/$Z$30*18</f>
        <v>3.25</v>
      </c>
      <c r="AB25" s="233">
        <f t="shared" ref="AB25:AB26" si="22">$AB$21*AA25/AA$24</f>
        <v>0.38235294117647056</v>
      </c>
    </row>
    <row r="26" spans="1:28" ht="14.25" hidden="1" customHeight="1">
      <c r="A26" s="216" t="str">
        <f>A11</f>
        <v>Weezy</v>
      </c>
      <c r="B26" s="216"/>
      <c r="C26" s="224"/>
      <c r="D26" s="216"/>
      <c r="E26" s="232">
        <v>0</v>
      </c>
      <c r="F26" s="232">
        <v>6</v>
      </c>
      <c r="G26" s="232">
        <v>6</v>
      </c>
      <c r="H26" s="232">
        <v>6</v>
      </c>
      <c r="I26" s="232">
        <v>0</v>
      </c>
      <c r="J26" s="232">
        <v>0</v>
      </c>
      <c r="K26" s="232">
        <v>12</v>
      </c>
      <c r="L26" s="232">
        <v>0</v>
      </c>
      <c r="M26" s="232">
        <v>0</v>
      </c>
      <c r="N26" s="216"/>
      <c r="O26" s="226"/>
      <c r="P26" s="216"/>
      <c r="Q26" s="232">
        <v>0</v>
      </c>
      <c r="R26" s="232">
        <v>3</v>
      </c>
      <c r="S26" s="232">
        <v>0</v>
      </c>
      <c r="T26" s="232">
        <v>0</v>
      </c>
      <c r="U26" s="232">
        <v>6</v>
      </c>
      <c r="V26" s="232">
        <v>12</v>
      </c>
      <c r="W26" s="232">
        <v>0</v>
      </c>
      <c r="X26" s="232">
        <v>0</v>
      </c>
      <c r="Y26" s="232">
        <v>12</v>
      </c>
      <c r="Z26" s="233">
        <f t="shared" si="20"/>
        <v>5.25</v>
      </c>
      <c r="AA26" s="234">
        <f t="shared" si="21"/>
        <v>5.25</v>
      </c>
      <c r="AB26" s="233">
        <f t="shared" si="22"/>
        <v>0.61764705882352944</v>
      </c>
    </row>
    <row r="27" spans="1:28" ht="14.25" hidden="1" customHeight="1">
      <c r="A27" s="227"/>
      <c r="B27" s="227" t="str">
        <f>B14</f>
        <v>TEES</v>
      </c>
      <c r="C27" s="228"/>
      <c r="D27" s="227"/>
      <c r="E27" s="227"/>
      <c r="F27" s="227"/>
      <c r="G27" s="227"/>
      <c r="H27" s="227"/>
      <c r="I27" s="227"/>
      <c r="J27" s="227"/>
      <c r="K27" s="227"/>
      <c r="L27" s="227"/>
      <c r="M27" s="227"/>
      <c r="N27" s="229">
        <f>SUM(E27:M27)</f>
        <v>0</v>
      </c>
      <c r="O27" s="227"/>
      <c r="P27" s="227"/>
      <c r="Q27" s="227"/>
      <c r="R27" s="227"/>
      <c r="S27" s="227"/>
      <c r="T27" s="227"/>
      <c r="U27" s="227"/>
      <c r="V27" s="227"/>
      <c r="W27" s="227"/>
      <c r="X27" s="227"/>
      <c r="Y27" s="227"/>
      <c r="Z27" s="230">
        <f>SUM(Z28:Z29)</f>
        <v>9.5</v>
      </c>
      <c r="AA27" s="230">
        <f>SUM(Z27,N27)</f>
        <v>9.5</v>
      </c>
      <c r="AB27" s="231"/>
    </row>
    <row r="28" spans="1:28" ht="14.25" hidden="1" customHeight="1">
      <c r="A28" s="216" t="str">
        <f>A14</f>
        <v>CuzNick</v>
      </c>
      <c r="B28" s="216"/>
      <c r="C28" s="224"/>
      <c r="D28" s="216"/>
      <c r="E28" s="232">
        <v>0</v>
      </c>
      <c r="F28" s="232">
        <v>6</v>
      </c>
      <c r="G28" s="232">
        <v>6</v>
      </c>
      <c r="H28" s="232">
        <v>0</v>
      </c>
      <c r="I28" s="232">
        <v>0</v>
      </c>
      <c r="J28" s="232">
        <v>12</v>
      </c>
      <c r="K28" s="232">
        <v>0</v>
      </c>
      <c r="L28" s="232">
        <v>0</v>
      </c>
      <c r="M28" s="232">
        <v>0</v>
      </c>
      <c r="N28" s="216"/>
      <c r="O28" s="226"/>
      <c r="P28" s="216"/>
      <c r="Q28" s="232">
        <v>12</v>
      </c>
      <c r="R28" s="232">
        <v>3</v>
      </c>
      <c r="S28" s="232">
        <v>0</v>
      </c>
      <c r="T28" s="232">
        <v>0</v>
      </c>
      <c r="U28" s="232">
        <v>0</v>
      </c>
      <c r="V28" s="232">
        <v>0</v>
      </c>
      <c r="W28" s="232">
        <v>6</v>
      </c>
      <c r="X28" s="232">
        <v>0</v>
      </c>
      <c r="Y28" s="232">
        <v>0</v>
      </c>
      <c r="Z28" s="233">
        <f t="shared" ref="Z28:Z29" si="23">SUM(E28:M28,Q28:Y28)/12</f>
        <v>3.75</v>
      </c>
      <c r="AA28" s="234">
        <f t="shared" ref="AA28:AA29" si="24">Z28/$Z$30*18</f>
        <v>3.75</v>
      </c>
      <c r="AB28" s="233">
        <f>(SUM('Master Input'!P$20:R$20)-$AB$21)*AA28/AA$27</f>
        <v>1.1842105263157894</v>
      </c>
    </row>
    <row r="29" spans="1:28" ht="14.25" hidden="1" customHeight="1">
      <c r="A29" s="216" t="str">
        <f>A17</f>
        <v>Saugy</v>
      </c>
      <c r="B29" s="216"/>
      <c r="C29" s="224"/>
      <c r="D29" s="216"/>
      <c r="E29" s="232">
        <v>12</v>
      </c>
      <c r="F29" s="232">
        <v>0</v>
      </c>
      <c r="G29" s="232">
        <v>0</v>
      </c>
      <c r="H29" s="232">
        <v>6</v>
      </c>
      <c r="I29" s="232">
        <v>0</v>
      </c>
      <c r="J29" s="232">
        <v>0</v>
      </c>
      <c r="K29" s="232">
        <v>0</v>
      </c>
      <c r="L29" s="232">
        <v>12</v>
      </c>
      <c r="M29" s="232">
        <v>12</v>
      </c>
      <c r="N29" s="216"/>
      <c r="O29" s="226"/>
      <c r="P29" s="216"/>
      <c r="Q29" s="232">
        <v>0</v>
      </c>
      <c r="R29" s="232">
        <v>3</v>
      </c>
      <c r="S29" s="232">
        <v>12</v>
      </c>
      <c r="T29" s="232">
        <v>12</v>
      </c>
      <c r="U29" s="232">
        <v>0</v>
      </c>
      <c r="V29" s="232">
        <v>0</v>
      </c>
      <c r="W29" s="232">
        <v>0</v>
      </c>
      <c r="X29" s="232">
        <v>0</v>
      </c>
      <c r="Y29" s="232">
        <v>0</v>
      </c>
      <c r="Z29" s="233">
        <f t="shared" si="23"/>
        <v>5.75</v>
      </c>
      <c r="AA29" s="234">
        <f t="shared" si="24"/>
        <v>5.75</v>
      </c>
      <c r="AB29" s="233">
        <f>(SUM('Master Input'!P$20:R$20)-$AB$21)*AA29/AA$27</f>
        <v>1.8157894736842106</v>
      </c>
    </row>
    <row r="30" spans="1:28" ht="14.25" hidden="1" customHeight="1">
      <c r="A30" s="216"/>
      <c r="B30" s="216"/>
      <c r="C30" s="224"/>
      <c r="D30" s="216"/>
      <c r="E30" s="232">
        <f t="shared" ref="E30:M30" si="25">SUM(E25:E26,E28:E29)</f>
        <v>12</v>
      </c>
      <c r="F30" s="232">
        <f t="shared" si="25"/>
        <v>12</v>
      </c>
      <c r="G30" s="232">
        <f t="shared" si="25"/>
        <v>12</v>
      </c>
      <c r="H30" s="232">
        <f t="shared" si="25"/>
        <v>12</v>
      </c>
      <c r="I30" s="232">
        <f t="shared" si="25"/>
        <v>12</v>
      </c>
      <c r="J30" s="232">
        <f t="shared" si="25"/>
        <v>12</v>
      </c>
      <c r="K30" s="232">
        <f t="shared" si="25"/>
        <v>12</v>
      </c>
      <c r="L30" s="232">
        <f t="shared" si="25"/>
        <v>12</v>
      </c>
      <c r="M30" s="232">
        <f t="shared" si="25"/>
        <v>12</v>
      </c>
      <c r="N30" s="216"/>
      <c r="O30" s="226"/>
      <c r="P30" s="216"/>
      <c r="Q30" s="232">
        <f t="shared" ref="Q30:Z30" si="26">SUM(Q25:Q26,Q28:Q29)</f>
        <v>12</v>
      </c>
      <c r="R30" s="232">
        <f t="shared" si="26"/>
        <v>12</v>
      </c>
      <c r="S30" s="232">
        <f t="shared" si="26"/>
        <v>12</v>
      </c>
      <c r="T30" s="232">
        <f t="shared" si="26"/>
        <v>12</v>
      </c>
      <c r="U30" s="232">
        <f t="shared" si="26"/>
        <v>12</v>
      </c>
      <c r="V30" s="232">
        <f t="shared" si="26"/>
        <v>12</v>
      </c>
      <c r="W30" s="232">
        <f t="shared" si="26"/>
        <v>12</v>
      </c>
      <c r="X30" s="232">
        <f t="shared" si="26"/>
        <v>12</v>
      </c>
      <c r="Y30" s="232">
        <f t="shared" si="26"/>
        <v>12</v>
      </c>
      <c r="Z30" s="233">
        <f t="shared" si="26"/>
        <v>18</v>
      </c>
      <c r="AA30" s="235"/>
      <c r="AB30" s="236"/>
    </row>
  </sheetData>
  <mergeCells count="1">
    <mergeCell ref="B2:B4"/>
  </mergeCells>
  <conditionalFormatting sqref="E8:M8 Q8:Y8">
    <cfRule type="expression" dxfId="130" priority="8">
      <formula>OR(E$25=12,AND(E$19=12,E$25=6))</formula>
    </cfRule>
    <cfRule type="expression" dxfId="129" priority="9">
      <formula>AND(E$25&gt;0,E$20&gt;0,E$19&lt;=E$20)</formula>
    </cfRule>
    <cfRule type="expression" dxfId="128" priority="11">
      <formula>AND(E$25&gt;0,E$20&gt;0,E$19&gt;E$20)</formula>
    </cfRule>
  </conditionalFormatting>
  <conditionalFormatting sqref="E11:M11 Q11:Y11">
    <cfRule type="expression" dxfId="127" priority="7">
      <formula>OR(E$26=12,AND(E$19=12,E$26=6))</formula>
    </cfRule>
    <cfRule type="expression" dxfId="126" priority="10">
      <formula>AND(E$26&gt;0,E$20&gt;0,E$19&lt;=E$20)</formula>
    </cfRule>
    <cfRule type="expression" dxfId="125" priority="12">
      <formula>AND(E$26&gt;0,E$20&gt;0,E$19&gt;E$20)</formula>
    </cfRule>
  </conditionalFormatting>
  <conditionalFormatting sqref="E14:M14 Q14:Y14">
    <cfRule type="expression" dxfId="124" priority="1">
      <formula>OR(E$28=12,AND(E$20=12,E$28=6))</formula>
    </cfRule>
    <cfRule type="expression" dxfId="123" priority="3">
      <formula>AND(E$28&gt;0,E$19&gt;0,E$19&gt;=E$20)</formula>
    </cfRule>
    <cfRule type="expression" dxfId="122" priority="5">
      <formula>AND(E$28&gt;0,E$19&gt;0,E$19&lt;E$20)</formula>
    </cfRule>
  </conditionalFormatting>
  <conditionalFormatting sqref="E17:M17 Q17:Y17">
    <cfRule type="expression" dxfId="121" priority="2">
      <formula>OR(E$29=12,AND(E$20=12,E$29=6))</formula>
    </cfRule>
    <cfRule type="expression" dxfId="120" priority="4">
      <formula>AND(E$29&gt;0,E$19&gt;0,E$19&gt;=E$20)</formula>
    </cfRule>
    <cfRule type="expression" dxfId="119" priority="6">
      <formula>AND(E$29&gt;0,E$19&gt;0,E$19&lt;E$20)</formula>
    </cfRule>
  </conditionalFormatting>
  <printOptions horizontalCentered="1" gridLines="1"/>
  <pageMargins left="0.7" right="0.7" top="0.75" bottom="0.75" header="0" footer="0"/>
  <pageSetup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A9999"/>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66" t="s">
        <v>40</v>
      </c>
      <c r="B1" s="67">
        <f>'Master Input'!E4</f>
        <v>5.5555555555555552E-2</v>
      </c>
      <c r="C1" s="68" t="str">
        <f>'Master Input'!$E$2</f>
        <v>Round 1</v>
      </c>
      <c r="D1" s="69"/>
      <c r="E1" s="68" t="str">
        <f>'Master Input'!$E$6</f>
        <v>Sundance - Blue</v>
      </c>
      <c r="F1" s="70"/>
      <c r="G1" s="70"/>
      <c r="H1" s="70"/>
      <c r="I1" s="70"/>
      <c r="J1" s="70"/>
      <c r="K1" s="70"/>
      <c r="L1" s="70"/>
      <c r="M1" s="70"/>
      <c r="N1" s="71"/>
      <c r="O1" s="72"/>
      <c r="P1" s="68" t="str">
        <f>'Master Input'!$E$2&amp;" - "&amp;A1</f>
        <v>Round 1 - Group 3</v>
      </c>
      <c r="Q1" s="69"/>
      <c r="R1" s="73"/>
      <c r="S1" s="73"/>
      <c r="T1" s="73"/>
      <c r="U1" s="68" t="str">
        <f>'Master Input'!$E$6</f>
        <v>Sundance - Blue</v>
      </c>
      <c r="V1" s="73"/>
      <c r="W1" s="73"/>
      <c r="X1" s="73"/>
      <c r="Y1" s="73"/>
      <c r="Z1" s="73"/>
      <c r="AA1" s="73"/>
      <c r="AB1" s="74"/>
    </row>
    <row r="2" spans="1:28" ht="14.25" customHeight="1">
      <c r="A2" s="75" t="s">
        <v>16</v>
      </c>
      <c r="B2" s="1163" t="str">
        <f>'Match Selection'!B4</f>
        <v>Dirty Dozen</v>
      </c>
      <c r="C2" s="76"/>
      <c r="D2" s="77" t="s">
        <v>16</v>
      </c>
      <c r="E2" s="78">
        <v>1</v>
      </c>
      <c r="F2" s="79">
        <v>2</v>
      </c>
      <c r="G2" s="79">
        <v>3</v>
      </c>
      <c r="H2" s="79">
        <v>4</v>
      </c>
      <c r="I2" s="79">
        <v>5</v>
      </c>
      <c r="J2" s="79">
        <v>6</v>
      </c>
      <c r="K2" s="79">
        <v>7</v>
      </c>
      <c r="L2" s="79">
        <v>8</v>
      </c>
      <c r="M2" s="80">
        <v>9</v>
      </c>
      <c r="N2" s="82" t="s">
        <v>17</v>
      </c>
      <c r="O2" s="72"/>
      <c r="P2" s="77" t="s">
        <v>16</v>
      </c>
      <c r="Q2" s="78">
        <v>10</v>
      </c>
      <c r="R2" s="79">
        <v>11</v>
      </c>
      <c r="S2" s="79">
        <v>12</v>
      </c>
      <c r="T2" s="79">
        <v>13</v>
      </c>
      <c r="U2" s="79">
        <v>14</v>
      </c>
      <c r="V2" s="79">
        <v>15</v>
      </c>
      <c r="W2" s="79">
        <v>16</v>
      </c>
      <c r="X2" s="79">
        <v>17</v>
      </c>
      <c r="Y2" s="80">
        <v>18</v>
      </c>
      <c r="Z2" s="82" t="s">
        <v>18</v>
      </c>
      <c r="AA2" s="83" t="s">
        <v>14</v>
      </c>
      <c r="AB2" s="83" t="s">
        <v>19</v>
      </c>
    </row>
    <row r="3" spans="1:28" ht="14.25" customHeight="1">
      <c r="A3" s="84" t="s">
        <v>20</v>
      </c>
      <c r="B3" s="1129"/>
      <c r="C3" s="85"/>
      <c r="D3" s="86" t="s">
        <v>20</v>
      </c>
      <c r="E3" s="87">
        <f ca="1">VLOOKUP($E1, 'Course List'!$A$3:$AS$14,5+E2, FALSE)</f>
        <v>14</v>
      </c>
      <c r="F3" s="88">
        <f ca="1">VLOOKUP($E1, 'Course List'!$A$3:$AS$14,5+F2, FALSE)</f>
        <v>16</v>
      </c>
      <c r="G3" s="88">
        <f ca="1">VLOOKUP($E1, 'Course List'!$A$3:$AS$14,5+G2, FALSE)</f>
        <v>11</v>
      </c>
      <c r="H3" s="88">
        <f ca="1">VLOOKUP($E1, 'Course List'!$A$3:$AS$14,5+H2, FALSE)</f>
        <v>12</v>
      </c>
      <c r="I3" s="88">
        <f ca="1">VLOOKUP($E1, 'Course List'!$A$3:$AS$14,5+I2, FALSE)</f>
        <v>6</v>
      </c>
      <c r="J3" s="88">
        <f ca="1">VLOOKUP($E1, 'Course List'!$A$3:$AS$14,5+J2, FALSE)</f>
        <v>8</v>
      </c>
      <c r="K3" s="88">
        <f ca="1">VLOOKUP($E1, 'Course List'!$A$3:$AS$14,5+K2, FALSE)</f>
        <v>17</v>
      </c>
      <c r="L3" s="88">
        <f ca="1">VLOOKUP($E1, 'Course List'!$A$3:$AS$14,5+L2, FALSE)</f>
        <v>5</v>
      </c>
      <c r="M3" s="89">
        <f ca="1">VLOOKUP($E1, 'Course List'!$A$3:$AS$14,5+M2, FALSE)</f>
        <v>2</v>
      </c>
      <c r="N3" s="91"/>
      <c r="O3" s="72"/>
      <c r="P3" s="86" t="s">
        <v>21</v>
      </c>
      <c r="Q3" s="87">
        <f ca="1">VLOOKUP($E1, 'Course List'!$A$3:$AS$14,5+Q2, FALSE)</f>
        <v>9</v>
      </c>
      <c r="R3" s="88">
        <f ca="1">VLOOKUP($E1, 'Course List'!$A$3:$AS$14,5+R2, FALSE)</f>
        <v>13</v>
      </c>
      <c r="S3" s="88">
        <f ca="1">VLOOKUP($E1, 'Course List'!$A$3:$AS$14,5+S2, FALSE)</f>
        <v>4</v>
      </c>
      <c r="T3" s="88">
        <f ca="1">VLOOKUP($E1, 'Course List'!$A$3:$AS$14,5+T2, FALSE)</f>
        <v>18</v>
      </c>
      <c r="U3" s="88">
        <f ca="1">VLOOKUP($E1, 'Course List'!$A$3:$AS$14,5+U2, FALSE)</f>
        <v>7</v>
      </c>
      <c r="V3" s="88">
        <f ca="1">VLOOKUP($E1, 'Course List'!$A$3:$AS$14,5+V2, FALSE)</f>
        <v>3</v>
      </c>
      <c r="W3" s="88">
        <f ca="1">VLOOKUP($E1, 'Course List'!$A$3:$AS$14,5+W2, FALSE)</f>
        <v>10</v>
      </c>
      <c r="X3" s="88">
        <f ca="1">VLOOKUP($E1, 'Course List'!$A$3:$AS$14,5+X2, FALSE)</f>
        <v>15</v>
      </c>
      <c r="Y3" s="89">
        <f ca="1">VLOOKUP($E1, 'Course List'!$A$3:$AS$14,5+Y2, FALSE)</f>
        <v>1</v>
      </c>
      <c r="Z3" s="91"/>
      <c r="AA3" s="92"/>
      <c r="AB3" s="92"/>
    </row>
    <row r="4" spans="1:28" ht="14.25" customHeight="1">
      <c r="A4" s="84" t="s">
        <v>22</v>
      </c>
      <c r="B4" s="1139"/>
      <c r="C4" s="85"/>
      <c r="D4" s="86" t="s">
        <v>22</v>
      </c>
      <c r="E4" s="93">
        <f ca="1">VLOOKUP($E1, 'Course List'!$A$3:$AS$14,27+E2, FALSE)</f>
        <v>4</v>
      </c>
      <c r="F4" s="94">
        <f ca="1">VLOOKUP($E1, 'Course List'!$A$3:$AS$14,27+F2, FALSE)</f>
        <v>4</v>
      </c>
      <c r="G4" s="94">
        <f ca="1">VLOOKUP($E1, 'Course List'!$A$3:$AS$14,27+G2, FALSE)</f>
        <v>3</v>
      </c>
      <c r="H4" s="94">
        <f ca="1">VLOOKUP($E1, 'Course List'!$A$3:$AS$14,27+H2, FALSE)</f>
        <v>4</v>
      </c>
      <c r="I4" s="94">
        <f ca="1">VLOOKUP($E1, 'Course List'!$A$3:$AS$14,27+I2, FALSE)</f>
        <v>4</v>
      </c>
      <c r="J4" s="94">
        <f ca="1">VLOOKUP($E1, 'Course List'!$A$3:$AS$14,27+J2, FALSE)</f>
        <v>5</v>
      </c>
      <c r="K4" s="94">
        <f ca="1">VLOOKUP($E1, 'Course List'!$A$3:$AS$14,27+K2, FALSE)</f>
        <v>4</v>
      </c>
      <c r="L4" s="94">
        <f ca="1">VLOOKUP($E1, 'Course List'!$A$3:$AS$14,27+L2, FALSE)</f>
        <v>3</v>
      </c>
      <c r="M4" s="95">
        <f ca="1">VLOOKUP($E1, 'Course List'!$A$3:$AS$14,27+M2, FALSE)</f>
        <v>5</v>
      </c>
      <c r="N4" s="93">
        <f ca="1">SUM(E4:M4)</f>
        <v>36</v>
      </c>
      <c r="O4" s="72"/>
      <c r="P4" s="86" t="s">
        <v>22</v>
      </c>
      <c r="Q4" s="93">
        <f ca="1">VLOOKUP($E1, 'Course List'!$A$3:$AS$14,27+Q2, FALSE)</f>
        <v>4</v>
      </c>
      <c r="R4" s="94">
        <f ca="1">VLOOKUP($E1, 'Course List'!$A$3:$AS$14,27+R2, FALSE)</f>
        <v>4</v>
      </c>
      <c r="S4" s="94">
        <f ca="1">VLOOKUP($E1, 'Course List'!$A$3:$AS$14,27+S2, FALSE)</f>
        <v>4</v>
      </c>
      <c r="T4" s="94">
        <f ca="1">VLOOKUP($E1, 'Course List'!$A$3:$AS$14,27+T2, FALSE)</f>
        <v>3</v>
      </c>
      <c r="U4" s="94">
        <f ca="1">VLOOKUP($E1, 'Course List'!$A$3:$AS$14,27+U2, FALSE)</f>
        <v>5</v>
      </c>
      <c r="V4" s="94">
        <f ca="1">VLOOKUP($E1, 'Course List'!$A$3:$AS$14,27+V2, FALSE)</f>
        <v>4</v>
      </c>
      <c r="W4" s="94">
        <f ca="1">VLOOKUP($E1, 'Course List'!$A$3:$AS$14,27+W2, FALSE)</f>
        <v>5</v>
      </c>
      <c r="X4" s="94">
        <f ca="1">VLOOKUP($E1, 'Course List'!$A$3:$AS$14,27+X2, FALSE)</f>
        <v>3</v>
      </c>
      <c r="Y4" s="95">
        <f ca="1">VLOOKUP($E1, 'Course List'!$A$3:$AS$14,27+Y2, FALSE)</f>
        <v>4</v>
      </c>
      <c r="Z4" s="93">
        <f ca="1">SUM(Q4:Y4)</f>
        <v>36</v>
      </c>
      <c r="AA4" s="97">
        <f ca="1">N4+Z4</f>
        <v>72</v>
      </c>
      <c r="AB4" s="98"/>
    </row>
    <row r="5" spans="1:28" ht="14.25" customHeight="1">
      <c r="A5" s="99" t="s">
        <v>23</v>
      </c>
      <c r="B5" s="237" t="s">
        <v>24</v>
      </c>
      <c r="C5" s="100" t="s">
        <v>25</v>
      </c>
      <c r="D5" s="101" t="s">
        <v>26</v>
      </c>
      <c r="E5" s="102">
        <v>1</v>
      </c>
      <c r="F5" s="103">
        <v>2</v>
      </c>
      <c r="G5" s="103">
        <v>3</v>
      </c>
      <c r="H5" s="103">
        <v>4</v>
      </c>
      <c r="I5" s="103">
        <v>5</v>
      </c>
      <c r="J5" s="103">
        <v>6</v>
      </c>
      <c r="K5" s="103">
        <v>7</v>
      </c>
      <c r="L5" s="103">
        <v>8</v>
      </c>
      <c r="M5" s="104">
        <v>9</v>
      </c>
      <c r="N5" s="108" t="s">
        <v>17</v>
      </c>
      <c r="O5" s="106"/>
      <c r="P5" s="238" t="s">
        <v>23</v>
      </c>
      <c r="Q5" s="102">
        <v>10</v>
      </c>
      <c r="R5" s="103">
        <v>11</v>
      </c>
      <c r="S5" s="103">
        <v>12</v>
      </c>
      <c r="T5" s="103">
        <v>13</v>
      </c>
      <c r="U5" s="103">
        <v>14</v>
      </c>
      <c r="V5" s="103">
        <v>15</v>
      </c>
      <c r="W5" s="103">
        <v>16</v>
      </c>
      <c r="X5" s="103">
        <v>17</v>
      </c>
      <c r="Y5" s="104">
        <v>18</v>
      </c>
      <c r="Z5" s="108" t="s">
        <v>18</v>
      </c>
      <c r="AA5" s="109" t="s">
        <v>27</v>
      </c>
      <c r="AB5" s="110" t="s">
        <v>28</v>
      </c>
    </row>
    <row r="6" spans="1:28" ht="7.5" customHeight="1">
      <c r="A6" s="111"/>
      <c r="B6" s="111"/>
      <c r="C6" s="113"/>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239"/>
      <c r="O6" s="118"/>
      <c r="P6" s="240"/>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
      </c>
      <c r="Z6" s="120"/>
      <c r="AA6" s="121"/>
      <c r="AB6" s="122"/>
    </row>
    <row r="7" spans="1:28" ht="22.5" hidden="1" customHeight="1">
      <c r="A7" s="123"/>
      <c r="B7" s="124"/>
      <c r="C7" s="12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130"/>
      <c r="O7" s="131"/>
      <c r="P7" s="123"/>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0</v>
      </c>
      <c r="Z7" s="133"/>
      <c r="AA7" s="134"/>
      <c r="AB7" s="135"/>
    </row>
    <row r="8" spans="1:28" ht="22.5" customHeight="1">
      <c r="A8" s="136" t="str">
        <f>'Match Selection'!P4</f>
        <v>Andy</v>
      </c>
      <c r="B8" s="137" t="str">
        <f>VLOOKUP(A8, 'Master Input'!$A$11:$B$27, 2, FALSE)</f>
        <v>WEEZ</v>
      </c>
      <c r="C8" s="138">
        <f ca="1">VLOOKUP(A8,'Master Input'!$A$11:$L$27,'Master Input'!$F$28, FALSE)</f>
        <v>6</v>
      </c>
      <c r="D8" s="139">
        <f ca="1">C8-SMALL($C$8:$C$17,1)</f>
        <v>0</v>
      </c>
      <c r="E8" s="140">
        <v>6</v>
      </c>
      <c r="F8" s="141">
        <v>5</v>
      </c>
      <c r="G8" s="142">
        <v>5</v>
      </c>
      <c r="H8" s="141">
        <v>5</v>
      </c>
      <c r="I8" s="142">
        <v>6</v>
      </c>
      <c r="J8" s="141">
        <v>5</v>
      </c>
      <c r="K8" s="142">
        <v>5</v>
      </c>
      <c r="L8" s="141">
        <v>2</v>
      </c>
      <c r="M8" s="142">
        <v>7</v>
      </c>
      <c r="N8" s="143">
        <f>IF(M8="","", SUM(E8:M8))</f>
        <v>46</v>
      </c>
      <c r="O8" s="131"/>
      <c r="P8" s="136" t="str">
        <f>A8</f>
        <v>Andy</v>
      </c>
      <c r="Q8" s="140">
        <v>4</v>
      </c>
      <c r="R8" s="141">
        <v>5</v>
      </c>
      <c r="S8" s="142">
        <v>4</v>
      </c>
      <c r="T8" s="141">
        <v>4</v>
      </c>
      <c r="U8" s="142">
        <v>5</v>
      </c>
      <c r="V8" s="141">
        <v>6</v>
      </c>
      <c r="W8" s="142">
        <v>5</v>
      </c>
      <c r="X8" s="141">
        <v>3</v>
      </c>
      <c r="Y8" s="142">
        <v>5</v>
      </c>
      <c r="Z8" s="143">
        <f>IF(Y8="","", SUM(Q8:Y8))</f>
        <v>41</v>
      </c>
      <c r="AA8" s="145">
        <f>IF(Z8="", "", SUM(N8,Z8))</f>
        <v>87</v>
      </c>
      <c r="AB8" s="146">
        <f ca="1">IF(Y8="", "", AA8-C8)</f>
        <v>81</v>
      </c>
    </row>
    <row r="9" spans="1:28" ht="7.5" customHeight="1">
      <c r="A9" s="147"/>
      <c r="B9" s="259"/>
      <c r="C9" s="149"/>
      <c r="D9" s="150"/>
      <c r="E9" s="114" t="str">
        <f t="shared" ref="E9:M9" ca="1" si="4">IF(E10=1,"O", IF(E10=2,"O   O",""))</f>
        <v/>
      </c>
      <c r="F9" s="115" t="str">
        <f t="shared" ca="1" si="4"/>
        <v/>
      </c>
      <c r="G9" s="116" t="str">
        <f t="shared" ca="1" si="4"/>
        <v/>
      </c>
      <c r="H9" s="115" t="str">
        <f t="shared" ca="1" si="4"/>
        <v/>
      </c>
      <c r="I9" s="116" t="str">
        <f t="shared" ca="1" si="4"/>
        <v>O</v>
      </c>
      <c r="J9" s="115" t="str">
        <f t="shared" ca="1" si="4"/>
        <v>O</v>
      </c>
      <c r="K9" s="116" t="str">
        <f t="shared" ca="1" si="4"/>
        <v/>
      </c>
      <c r="L9" s="115" t="str">
        <f t="shared" ca="1" si="4"/>
        <v>O</v>
      </c>
      <c r="M9" s="116" t="str">
        <f t="shared" ca="1" si="4"/>
        <v>O</v>
      </c>
      <c r="N9" s="153"/>
      <c r="O9" s="118"/>
      <c r="P9" s="245"/>
      <c r="Q9" s="114" t="str">
        <f t="shared" ref="Q9:Y9" ca="1" si="5">IF(Q10=1,"O", IF(Q10=2,"O   O",""))</f>
        <v/>
      </c>
      <c r="R9" s="115" t="str">
        <f t="shared" ca="1" si="5"/>
        <v/>
      </c>
      <c r="S9" s="116" t="str">
        <f t="shared" ca="1" si="5"/>
        <v>O</v>
      </c>
      <c r="T9" s="115" t="str">
        <f t="shared" ca="1" si="5"/>
        <v/>
      </c>
      <c r="U9" s="116" t="str">
        <f t="shared" ca="1" si="5"/>
        <v>O</v>
      </c>
      <c r="V9" s="115" t="str">
        <f t="shared" ca="1" si="5"/>
        <v>O</v>
      </c>
      <c r="W9" s="116" t="str">
        <f t="shared" ca="1" si="5"/>
        <v/>
      </c>
      <c r="X9" s="115" t="str">
        <f t="shared" ca="1" si="5"/>
        <v/>
      </c>
      <c r="Y9" s="116" t="str">
        <f t="shared" ca="1" si="5"/>
        <v>O</v>
      </c>
      <c r="Z9" s="153"/>
      <c r="AA9" s="154"/>
      <c r="AB9" s="155"/>
    </row>
    <row r="10" spans="1:28" ht="22.5" hidden="1" customHeight="1">
      <c r="A10" s="260"/>
      <c r="B10" s="261"/>
      <c r="C10" s="156"/>
      <c r="D10" s="126"/>
      <c r="E10" s="127">
        <f t="shared" ref="E10:M10" ca="1" si="6">IF($D11&gt;0,FLOOR($D11/18,1),0)+IF(AND(MOD($D11,18)&gt;=E$3,$D11&gt;0),1,0)-IF(E$3-18&gt;$D11,1,0)</f>
        <v>0</v>
      </c>
      <c r="F10" s="128">
        <f t="shared" ca="1" si="6"/>
        <v>0</v>
      </c>
      <c r="G10" s="129">
        <f t="shared" ca="1" si="6"/>
        <v>0</v>
      </c>
      <c r="H10" s="128">
        <f t="shared" ca="1" si="6"/>
        <v>0</v>
      </c>
      <c r="I10" s="129">
        <f t="shared" ca="1" si="6"/>
        <v>1</v>
      </c>
      <c r="J10" s="128">
        <f t="shared" ca="1" si="6"/>
        <v>1</v>
      </c>
      <c r="K10" s="129">
        <f t="shared" ca="1" si="6"/>
        <v>0</v>
      </c>
      <c r="L10" s="128">
        <f t="shared" ca="1" si="6"/>
        <v>1</v>
      </c>
      <c r="M10" s="129">
        <f t="shared" ca="1" si="6"/>
        <v>1</v>
      </c>
      <c r="N10" s="130"/>
      <c r="O10" s="131"/>
      <c r="P10" s="123"/>
      <c r="Q10" s="127">
        <f t="shared" ref="Q10:Y10" ca="1" si="7">IF($D11&gt;0,FLOOR($D11/18,1),0)+IF(AND(MOD($D11,18)&gt;=Q$3,$D11&gt;0),1,0)-IF(Q$3-18&gt;$D11,1,0)</f>
        <v>0</v>
      </c>
      <c r="R10" s="128">
        <f t="shared" ca="1" si="7"/>
        <v>0</v>
      </c>
      <c r="S10" s="129">
        <f t="shared" ca="1" si="7"/>
        <v>1</v>
      </c>
      <c r="T10" s="128">
        <f t="shared" ca="1" si="7"/>
        <v>0</v>
      </c>
      <c r="U10" s="129">
        <f t="shared" ca="1" si="7"/>
        <v>1</v>
      </c>
      <c r="V10" s="128">
        <f t="shared" ca="1" si="7"/>
        <v>1</v>
      </c>
      <c r="W10" s="129">
        <f t="shared" ca="1" si="7"/>
        <v>0</v>
      </c>
      <c r="X10" s="128">
        <f t="shared" ca="1" si="7"/>
        <v>0</v>
      </c>
      <c r="Y10" s="129">
        <f t="shared" ca="1" si="7"/>
        <v>1</v>
      </c>
      <c r="Z10" s="133"/>
      <c r="AA10" s="134"/>
      <c r="AB10" s="135"/>
    </row>
    <row r="11" spans="1:28" ht="22.5" customHeight="1">
      <c r="A11" s="157" t="str">
        <f>'Match Selection'!P5</f>
        <v>Joe O</v>
      </c>
      <c r="B11" s="262" t="str">
        <f>VLOOKUP(A11, 'Master Input'!$A$11:$B$27, 2, FALSE)</f>
        <v>WEEZ</v>
      </c>
      <c r="C11" s="138">
        <f ca="1">VLOOKUP(A11,'Master Input'!$A$11:$L$27,'Master Input'!$F$28, FALSE)</f>
        <v>14</v>
      </c>
      <c r="D11" s="139">
        <f ca="1">C11-SMALL($C$8:$C$17,1)</f>
        <v>8</v>
      </c>
      <c r="E11" s="140">
        <v>5</v>
      </c>
      <c r="F11" s="141">
        <v>4</v>
      </c>
      <c r="G11" s="142">
        <v>3</v>
      </c>
      <c r="H11" s="141">
        <v>4</v>
      </c>
      <c r="I11" s="142">
        <v>5</v>
      </c>
      <c r="J11" s="141">
        <v>7</v>
      </c>
      <c r="K11" s="142">
        <v>6</v>
      </c>
      <c r="L11" s="141">
        <v>4</v>
      </c>
      <c r="M11" s="142">
        <v>8</v>
      </c>
      <c r="N11" s="143">
        <f>IF(M11="","", SUM(E11:M11))</f>
        <v>46</v>
      </c>
      <c r="O11" s="131"/>
      <c r="P11" s="136" t="str">
        <f>A11</f>
        <v>Joe O</v>
      </c>
      <c r="Q11" s="140">
        <v>4</v>
      </c>
      <c r="R11" s="141">
        <v>4</v>
      </c>
      <c r="S11" s="142">
        <v>6</v>
      </c>
      <c r="T11" s="141">
        <v>2</v>
      </c>
      <c r="U11" s="142">
        <v>7</v>
      </c>
      <c r="V11" s="141">
        <v>6</v>
      </c>
      <c r="W11" s="142">
        <v>7</v>
      </c>
      <c r="X11" s="141">
        <v>2</v>
      </c>
      <c r="Y11" s="142">
        <v>7</v>
      </c>
      <c r="Z11" s="143">
        <f>IF(Y11="","", SUM(Q11:Y11))</f>
        <v>45</v>
      </c>
      <c r="AA11" s="145">
        <f>IF(Z11="", "", SUM(N11,Z11))</f>
        <v>91</v>
      </c>
      <c r="AB11" s="146">
        <f ca="1">IF(Y11="", "", AA11-C11)</f>
        <v>77</v>
      </c>
    </row>
    <row r="12" spans="1:28" ht="7.5" customHeight="1">
      <c r="A12" s="159"/>
      <c r="B12" s="254"/>
      <c r="C12" s="161"/>
      <c r="D12" s="162"/>
      <c r="E12" s="163" t="str">
        <f t="shared" ref="E12:M12" ca="1" si="8">IF(E13=1,"O", IF(E13=2,"O   O",""))</f>
        <v/>
      </c>
      <c r="F12" s="164" t="str">
        <f t="shared" ca="1" si="8"/>
        <v/>
      </c>
      <c r="G12" s="165" t="str">
        <f t="shared" ca="1" si="8"/>
        <v/>
      </c>
      <c r="H12" s="164" t="str">
        <f t="shared" ca="1" si="8"/>
        <v/>
      </c>
      <c r="I12" s="165" t="str">
        <f t="shared" ca="1" si="8"/>
        <v/>
      </c>
      <c r="J12" s="164" t="str">
        <f t="shared" ca="1" si="8"/>
        <v/>
      </c>
      <c r="K12" s="165" t="str">
        <f t="shared" ca="1" si="8"/>
        <v/>
      </c>
      <c r="L12" s="164" t="str">
        <f t="shared" ca="1" si="8"/>
        <v/>
      </c>
      <c r="M12" s="165" t="str">
        <f t="shared" ca="1" si="8"/>
        <v>O</v>
      </c>
      <c r="N12" s="168"/>
      <c r="O12" s="118"/>
      <c r="P12" s="159"/>
      <c r="Q12" s="163" t="str">
        <f t="shared" ref="Q12:Y12" ca="1" si="9">IF(Q13=1,"O", IF(Q13=2,"O   O",""))</f>
        <v/>
      </c>
      <c r="R12" s="164" t="str">
        <f t="shared" ca="1" si="9"/>
        <v/>
      </c>
      <c r="S12" s="165" t="str">
        <f t="shared" ca="1" si="9"/>
        <v/>
      </c>
      <c r="T12" s="164" t="str">
        <f t="shared" ca="1" si="9"/>
        <v/>
      </c>
      <c r="U12" s="165" t="str">
        <f t="shared" ca="1" si="9"/>
        <v/>
      </c>
      <c r="V12" s="164" t="str">
        <f t="shared" ca="1" si="9"/>
        <v/>
      </c>
      <c r="W12" s="165" t="str">
        <f t="shared" ca="1" si="9"/>
        <v/>
      </c>
      <c r="X12" s="164" t="str">
        <f t="shared" ca="1" si="9"/>
        <v/>
      </c>
      <c r="Y12" s="165" t="str">
        <f t="shared" ca="1" si="9"/>
        <v>O</v>
      </c>
      <c r="Z12" s="168"/>
      <c r="AA12" s="169"/>
      <c r="AB12" s="170"/>
    </row>
    <row r="13" spans="1:28" ht="22.5" hidden="1" customHeight="1">
      <c r="A13" s="171"/>
      <c r="B13" s="255"/>
      <c r="C13" s="173"/>
      <c r="D13" s="174"/>
      <c r="E13" s="175">
        <f t="shared" ref="E13:M13" ca="1" si="10">IF($D14&gt;0,FLOOR($D14/18,1),0)+IF(AND(MOD($D14,18)&gt;=E$3,$D14&gt;0),1,0)-IF(E$3-18&gt;$D14,1,0)</f>
        <v>0</v>
      </c>
      <c r="F13" s="176">
        <f t="shared" ca="1" si="10"/>
        <v>0</v>
      </c>
      <c r="G13" s="177">
        <f t="shared" ca="1" si="10"/>
        <v>0</v>
      </c>
      <c r="H13" s="176">
        <f t="shared" ca="1" si="10"/>
        <v>0</v>
      </c>
      <c r="I13" s="177">
        <f t="shared" ca="1" si="10"/>
        <v>0</v>
      </c>
      <c r="J13" s="176">
        <f t="shared" ca="1" si="10"/>
        <v>0</v>
      </c>
      <c r="K13" s="177">
        <f t="shared" ca="1" si="10"/>
        <v>0</v>
      </c>
      <c r="L13" s="176">
        <f t="shared" ca="1" si="10"/>
        <v>0</v>
      </c>
      <c r="M13" s="177">
        <f t="shared" ca="1" si="10"/>
        <v>1</v>
      </c>
      <c r="N13" s="256"/>
      <c r="O13" s="131"/>
      <c r="P13" s="171"/>
      <c r="Q13" s="175">
        <f t="shared" ref="Q13:Y13" ca="1" si="11">IF($D14&gt;0,FLOOR($D14/18,1),0)+IF(AND(MOD($D14,18)&gt;=Q$3,$D14&gt;0),1,0)-IF(Q$3-18&gt;$D14,1,0)</f>
        <v>0</v>
      </c>
      <c r="R13" s="176">
        <f t="shared" ca="1" si="11"/>
        <v>0</v>
      </c>
      <c r="S13" s="177">
        <f t="shared" ca="1" si="11"/>
        <v>0</v>
      </c>
      <c r="T13" s="176">
        <f t="shared" ca="1" si="11"/>
        <v>0</v>
      </c>
      <c r="U13" s="177">
        <f t="shared" ca="1" si="11"/>
        <v>0</v>
      </c>
      <c r="V13" s="176">
        <f t="shared" ca="1" si="11"/>
        <v>0</v>
      </c>
      <c r="W13" s="177">
        <f t="shared" ca="1" si="11"/>
        <v>0</v>
      </c>
      <c r="X13" s="176">
        <f t="shared" ca="1" si="11"/>
        <v>0</v>
      </c>
      <c r="Y13" s="177">
        <f t="shared" ca="1" si="11"/>
        <v>1</v>
      </c>
      <c r="Z13" s="179"/>
      <c r="AA13" s="180"/>
      <c r="AB13" s="135"/>
    </row>
    <row r="14" spans="1:28" ht="22.5" customHeight="1">
      <c r="A14" s="181" t="str">
        <f>'Match Selection'!S4</f>
        <v>Telly</v>
      </c>
      <c r="B14" s="257" t="str">
        <f>VLOOKUP(A14, 'Master Input'!$A$11:$B$27, 2, FALSE)</f>
        <v>TEES</v>
      </c>
      <c r="C14" s="183">
        <f ca="1">VLOOKUP(A14,'Master Input'!$A$11:$L$27,'Master Input'!$F$28, FALSE)</f>
        <v>8</v>
      </c>
      <c r="D14" s="184">
        <f ca="1">C14-SMALL($C$8:$C$17,1)</f>
        <v>2</v>
      </c>
      <c r="E14" s="185">
        <v>5</v>
      </c>
      <c r="F14" s="186">
        <v>4</v>
      </c>
      <c r="G14" s="187">
        <v>4</v>
      </c>
      <c r="H14" s="186">
        <v>5</v>
      </c>
      <c r="I14" s="187">
        <v>4</v>
      </c>
      <c r="J14" s="186">
        <v>5</v>
      </c>
      <c r="K14" s="187">
        <v>5</v>
      </c>
      <c r="L14" s="186">
        <v>4</v>
      </c>
      <c r="M14" s="187">
        <v>6</v>
      </c>
      <c r="N14" s="189">
        <f>IF(M14="","", SUM(E14:M14))</f>
        <v>42</v>
      </c>
      <c r="O14" s="131"/>
      <c r="P14" s="181" t="str">
        <f>A14</f>
        <v>Telly</v>
      </c>
      <c r="Q14" s="185">
        <v>5</v>
      </c>
      <c r="R14" s="186">
        <v>4</v>
      </c>
      <c r="S14" s="187">
        <v>5</v>
      </c>
      <c r="T14" s="186">
        <v>3</v>
      </c>
      <c r="U14" s="187">
        <v>5</v>
      </c>
      <c r="V14" s="186">
        <v>6</v>
      </c>
      <c r="W14" s="187">
        <v>5</v>
      </c>
      <c r="X14" s="186">
        <v>5</v>
      </c>
      <c r="Y14" s="187">
        <v>7</v>
      </c>
      <c r="Z14" s="189">
        <f>IF(Y14="","", SUM(Q14:Y14))</f>
        <v>45</v>
      </c>
      <c r="AA14" s="190">
        <f>IF(Z14="", "", SUM(N14,Z14))</f>
        <v>87</v>
      </c>
      <c r="AB14" s="146">
        <f ca="1">IF(Y14="", "", AA14-C14)</f>
        <v>79</v>
      </c>
    </row>
    <row r="15" spans="1:28" ht="7.5" customHeight="1">
      <c r="A15" s="159"/>
      <c r="B15" s="254"/>
      <c r="C15" s="161"/>
      <c r="D15" s="162"/>
      <c r="E15" s="163" t="str">
        <f t="shared" ref="E15:M15" ca="1" si="12">IF(E16=1,"O", IF(E16=2,"O   O",""))</f>
        <v/>
      </c>
      <c r="F15" s="164" t="str">
        <f t="shared" ca="1" si="12"/>
        <v/>
      </c>
      <c r="G15" s="165" t="str">
        <f t="shared" ca="1" si="12"/>
        <v/>
      </c>
      <c r="H15" s="164" t="str">
        <f t="shared" ca="1" si="12"/>
        <v/>
      </c>
      <c r="I15" s="165" t="str">
        <f t="shared" ca="1" si="12"/>
        <v>O</v>
      </c>
      <c r="J15" s="164" t="str">
        <f t="shared" ca="1" si="12"/>
        <v>O</v>
      </c>
      <c r="K15" s="165" t="str">
        <f t="shared" ca="1" si="12"/>
        <v/>
      </c>
      <c r="L15" s="164" t="str">
        <f t="shared" ca="1" si="12"/>
        <v>O</v>
      </c>
      <c r="M15" s="165" t="str">
        <f t="shared" ca="1" si="12"/>
        <v>O</v>
      </c>
      <c r="N15" s="168"/>
      <c r="O15" s="118"/>
      <c r="P15" s="159"/>
      <c r="Q15" s="163" t="str">
        <f t="shared" ref="Q15:Y15" ca="1" si="13">IF(Q16=1,"O", IF(Q16=2,"O   O",""))</f>
        <v>O</v>
      </c>
      <c r="R15" s="164" t="str">
        <f t="shared" ca="1" si="13"/>
        <v/>
      </c>
      <c r="S15" s="165" t="str">
        <f t="shared" ca="1" si="13"/>
        <v>O</v>
      </c>
      <c r="T15" s="164" t="str">
        <f t="shared" ca="1" si="13"/>
        <v/>
      </c>
      <c r="U15" s="165" t="str">
        <f t="shared" ca="1" si="13"/>
        <v>O</v>
      </c>
      <c r="V15" s="164" t="str">
        <f t="shared" ca="1" si="13"/>
        <v>O</v>
      </c>
      <c r="W15" s="165" t="str">
        <f t="shared" ca="1" si="13"/>
        <v/>
      </c>
      <c r="X15" s="164" t="str">
        <f t="shared" ca="1" si="13"/>
        <v/>
      </c>
      <c r="Y15" s="165" t="str">
        <f t="shared" ca="1" si="13"/>
        <v>O</v>
      </c>
      <c r="Z15" s="168"/>
      <c r="AA15" s="170"/>
      <c r="AB15" s="170"/>
    </row>
    <row r="16" spans="1:28" ht="22.5" hidden="1" customHeight="1">
      <c r="A16" s="171"/>
      <c r="B16" s="255"/>
      <c r="C16" s="173"/>
      <c r="D16" s="174"/>
      <c r="E16" s="175">
        <f t="shared" ref="E16:M16" ca="1" si="14">IF($D17&gt;0,FLOOR($D17/18,1),0)+IF(AND(MOD($D17,18)&gt;=E$3,$D17&gt;0),1,0)-IF(E$3-18&gt;$D17,1,0)</f>
        <v>0</v>
      </c>
      <c r="F16" s="176">
        <f t="shared" ca="1" si="14"/>
        <v>0</v>
      </c>
      <c r="G16" s="177">
        <f t="shared" ca="1" si="14"/>
        <v>0</v>
      </c>
      <c r="H16" s="176">
        <f t="shared" ca="1" si="14"/>
        <v>0</v>
      </c>
      <c r="I16" s="177">
        <f t="shared" ca="1" si="14"/>
        <v>1</v>
      </c>
      <c r="J16" s="176">
        <f t="shared" ca="1" si="14"/>
        <v>1</v>
      </c>
      <c r="K16" s="177">
        <f t="shared" ca="1" si="14"/>
        <v>0</v>
      </c>
      <c r="L16" s="176">
        <f t="shared" ca="1" si="14"/>
        <v>1</v>
      </c>
      <c r="M16" s="177">
        <f t="shared" ca="1" si="14"/>
        <v>1</v>
      </c>
      <c r="N16" s="256"/>
      <c r="O16" s="131"/>
      <c r="P16" s="171"/>
      <c r="Q16" s="175">
        <f t="shared" ref="Q16:Y16" ca="1" si="15">IF($D17&gt;0,FLOOR($D17/18,1),0)+IF(AND(MOD($D17,18)&gt;=Q$3,$D17&gt;0),1,0)-IF(Q$3-18&gt;$D17,1,0)</f>
        <v>1</v>
      </c>
      <c r="R16" s="176">
        <f t="shared" ca="1" si="15"/>
        <v>0</v>
      </c>
      <c r="S16" s="177">
        <f t="shared" ca="1" si="15"/>
        <v>1</v>
      </c>
      <c r="T16" s="176">
        <f t="shared" ca="1" si="15"/>
        <v>0</v>
      </c>
      <c r="U16" s="177">
        <f t="shared" ca="1" si="15"/>
        <v>1</v>
      </c>
      <c r="V16" s="176">
        <f t="shared" ca="1" si="15"/>
        <v>1</v>
      </c>
      <c r="W16" s="177">
        <f t="shared" ca="1" si="15"/>
        <v>0</v>
      </c>
      <c r="X16" s="176">
        <f t="shared" ca="1" si="15"/>
        <v>0</v>
      </c>
      <c r="Y16" s="177">
        <f t="shared" ca="1" si="15"/>
        <v>1</v>
      </c>
      <c r="Z16" s="179"/>
      <c r="AA16" s="180"/>
      <c r="AB16" s="135"/>
    </row>
    <row r="17" spans="1:28" ht="22.5" customHeight="1">
      <c r="A17" s="191" t="str">
        <f>'Match Selection'!S5</f>
        <v>DK</v>
      </c>
      <c r="B17" s="257" t="str">
        <f>VLOOKUP(A17, 'Master Input'!$A$11:$B$27, 2, FALSE)</f>
        <v>TEES</v>
      </c>
      <c r="C17" s="192">
        <f ca="1">VLOOKUP(A17,'Master Input'!$A$11:$L$27,'Master Input'!$F$28, FALSE)</f>
        <v>15</v>
      </c>
      <c r="D17" s="184">
        <f ca="1">C17-SMALL($C$8:$C$17,1)</f>
        <v>9</v>
      </c>
      <c r="E17" s="185">
        <v>4</v>
      </c>
      <c r="F17" s="186">
        <v>4</v>
      </c>
      <c r="G17" s="187">
        <v>3</v>
      </c>
      <c r="H17" s="186">
        <v>5</v>
      </c>
      <c r="I17" s="187">
        <v>4</v>
      </c>
      <c r="J17" s="186">
        <v>6</v>
      </c>
      <c r="K17" s="187">
        <v>4</v>
      </c>
      <c r="L17" s="186">
        <v>4</v>
      </c>
      <c r="M17" s="187">
        <v>5</v>
      </c>
      <c r="N17" s="189">
        <f>IF(M17="","", SUM(E17:M17))</f>
        <v>39</v>
      </c>
      <c r="O17" s="131"/>
      <c r="P17" s="181" t="str">
        <f>A17</f>
        <v>DK</v>
      </c>
      <c r="Q17" s="185">
        <v>5</v>
      </c>
      <c r="R17" s="186">
        <v>5</v>
      </c>
      <c r="S17" s="187">
        <v>6</v>
      </c>
      <c r="T17" s="186">
        <v>5</v>
      </c>
      <c r="U17" s="187">
        <v>6</v>
      </c>
      <c r="V17" s="186">
        <v>7</v>
      </c>
      <c r="W17" s="187">
        <v>7</v>
      </c>
      <c r="X17" s="186">
        <v>4</v>
      </c>
      <c r="Y17" s="187">
        <v>7</v>
      </c>
      <c r="Z17" s="189">
        <f>IF(Y17="","", SUM(Q17:Y17))</f>
        <v>52</v>
      </c>
      <c r="AA17" s="190">
        <f>IF(Z17="", "", SUM(N17,Z17))</f>
        <v>91</v>
      </c>
      <c r="AB17" s="146">
        <f ca="1">IF(Y17="", "", AA17-C17)</f>
        <v>76</v>
      </c>
    </row>
    <row r="18" spans="1:28" ht="11.25" customHeight="1">
      <c r="A18" s="193"/>
      <c r="B18" s="193"/>
      <c r="C18" s="194"/>
      <c r="D18" s="193"/>
      <c r="E18" s="193"/>
      <c r="F18" s="193"/>
      <c r="G18" s="193"/>
      <c r="H18" s="193"/>
      <c r="I18" s="193"/>
      <c r="J18" s="193"/>
      <c r="K18" s="193"/>
      <c r="L18" s="193"/>
      <c r="M18" s="193"/>
      <c r="N18" s="195" t="s">
        <v>7</v>
      </c>
      <c r="O18" s="196"/>
      <c r="P18" s="193"/>
      <c r="Q18" s="193"/>
      <c r="R18" s="193"/>
      <c r="S18" s="193"/>
      <c r="T18" s="193"/>
      <c r="U18" s="193"/>
      <c r="V18" s="193"/>
      <c r="W18" s="193"/>
      <c r="X18" s="193"/>
      <c r="Y18" s="193"/>
      <c r="Z18" s="195" t="s">
        <v>9</v>
      </c>
      <c r="AA18" s="197" t="s">
        <v>29</v>
      </c>
    </row>
    <row r="19" spans="1:28" ht="22.5" customHeight="1">
      <c r="A19" s="198" t="str">
        <f>B8</f>
        <v>WEEZ</v>
      </c>
      <c r="B19" s="199"/>
      <c r="C19" s="200"/>
      <c r="D19" s="199"/>
      <c r="E19" s="201">
        <f t="shared" ref="E19:M19" si="16">IF(OR(E8="",E11="",E14="",E17=""),"",SUM(E25:E26))</f>
        <v>0</v>
      </c>
      <c r="F19" s="201">
        <f t="shared" si="16"/>
        <v>4</v>
      </c>
      <c r="G19" s="201">
        <f t="shared" si="16"/>
        <v>6</v>
      </c>
      <c r="H19" s="201">
        <f t="shared" si="16"/>
        <v>12</v>
      </c>
      <c r="I19" s="201">
        <f t="shared" si="16"/>
        <v>0</v>
      </c>
      <c r="J19" s="201">
        <f t="shared" si="16"/>
        <v>4</v>
      </c>
      <c r="K19" s="201">
        <f t="shared" si="16"/>
        <v>0</v>
      </c>
      <c r="L19" s="201">
        <f t="shared" si="16"/>
        <v>12</v>
      </c>
      <c r="M19" s="202">
        <f t="shared" si="16"/>
        <v>0</v>
      </c>
      <c r="N19" s="206">
        <f>IF(OR(E8="",E11="",E14="",E17=""),"", SUM(E19:M19))</f>
        <v>38</v>
      </c>
      <c r="O19" s="204"/>
      <c r="P19" s="205" t="str">
        <f>B8</f>
        <v>WEEZ</v>
      </c>
      <c r="Q19" s="201">
        <f t="shared" ref="Q19:Y19" si="17">IF(OR(Q8="",Q11="",Q14="",Q17=""),"",SUM(Q25:Q26))</f>
        <v>8</v>
      </c>
      <c r="R19" s="201">
        <f t="shared" si="17"/>
        <v>6</v>
      </c>
      <c r="S19" s="201">
        <f t="shared" si="17"/>
        <v>12</v>
      </c>
      <c r="T19" s="201">
        <f t="shared" si="17"/>
        <v>12</v>
      </c>
      <c r="U19" s="201">
        <f t="shared" si="17"/>
        <v>4</v>
      </c>
      <c r="V19" s="201">
        <f t="shared" si="17"/>
        <v>12</v>
      </c>
      <c r="W19" s="201">
        <f t="shared" si="17"/>
        <v>6</v>
      </c>
      <c r="X19" s="201">
        <f t="shared" si="17"/>
        <v>12</v>
      </c>
      <c r="Y19" s="202">
        <f t="shared" si="17"/>
        <v>12</v>
      </c>
      <c r="Z19" s="206">
        <f>IF(OR(Q8="",Q11="",Q14="",Q17=""),"", SUM(Q19:Y19))</f>
        <v>84</v>
      </c>
      <c r="AA19" s="206">
        <f>IF(OR(E8="",E11="",E14="",E17=""),"", SUM(N19,Z19))</f>
        <v>122</v>
      </c>
    </row>
    <row r="20" spans="1:28" ht="22.5" customHeight="1">
      <c r="A20" s="207" t="str">
        <f>B14</f>
        <v>TEES</v>
      </c>
      <c r="B20" s="208"/>
      <c r="C20" s="209"/>
      <c r="D20" s="208"/>
      <c r="E20" s="210">
        <f t="shared" ref="E20:M20" si="18">IF(OR(E8="",E11="",E14="",E17=""),"",SUM(E28:E29))</f>
        <v>12</v>
      </c>
      <c r="F20" s="210">
        <f t="shared" si="18"/>
        <v>8</v>
      </c>
      <c r="G20" s="210">
        <f t="shared" si="18"/>
        <v>6</v>
      </c>
      <c r="H20" s="210">
        <f t="shared" si="18"/>
        <v>0</v>
      </c>
      <c r="I20" s="210">
        <f t="shared" si="18"/>
        <v>12</v>
      </c>
      <c r="J20" s="210">
        <f t="shared" si="18"/>
        <v>8</v>
      </c>
      <c r="K20" s="210">
        <f t="shared" si="18"/>
        <v>12</v>
      </c>
      <c r="L20" s="210">
        <f t="shared" si="18"/>
        <v>0</v>
      </c>
      <c r="M20" s="211">
        <f t="shared" si="18"/>
        <v>12</v>
      </c>
      <c r="N20" s="214">
        <f>IF(OR(E8="",E11="",E14="",E17=""),"", SUM(E20:M20))</f>
        <v>70</v>
      </c>
      <c r="O20" s="204"/>
      <c r="P20" s="213" t="str">
        <f>B14</f>
        <v>TEES</v>
      </c>
      <c r="Q20" s="210">
        <f t="shared" ref="Q20:Y20" si="19">IF(OR(Q8="",Q11="",Q14="",Q17=""),"",SUM(Q28:Q29))</f>
        <v>4</v>
      </c>
      <c r="R20" s="210">
        <f t="shared" si="19"/>
        <v>6</v>
      </c>
      <c r="S20" s="210">
        <f t="shared" si="19"/>
        <v>0</v>
      </c>
      <c r="T20" s="210">
        <f t="shared" si="19"/>
        <v>0</v>
      </c>
      <c r="U20" s="210">
        <f t="shared" si="19"/>
        <v>8</v>
      </c>
      <c r="V20" s="210">
        <f t="shared" si="19"/>
        <v>0</v>
      </c>
      <c r="W20" s="210">
        <f t="shared" si="19"/>
        <v>6</v>
      </c>
      <c r="X20" s="210">
        <f t="shared" si="19"/>
        <v>0</v>
      </c>
      <c r="Y20" s="211">
        <f t="shared" si="19"/>
        <v>0</v>
      </c>
      <c r="Z20" s="214">
        <f>IF(OR(Q8="",Q11="",Q14="",Q17=""),"", SUM(Q20:Y20))</f>
        <v>24</v>
      </c>
      <c r="AA20" s="214">
        <f>IF(OR(E8="",E11="",E14="",E17=""),"", SUM(N20,Z20))</f>
        <v>94</v>
      </c>
      <c r="AB20" s="215" t="s">
        <v>30</v>
      </c>
    </row>
    <row r="21" spans="1:28" ht="22.5" customHeight="1">
      <c r="A21" s="216"/>
      <c r="B21" s="216"/>
      <c r="C21" s="216"/>
      <c r="D21" s="216"/>
      <c r="E21" s="216"/>
      <c r="F21" s="216"/>
      <c r="G21" s="216"/>
      <c r="H21" s="216"/>
      <c r="I21" s="216"/>
      <c r="J21" s="216"/>
      <c r="K21" s="216"/>
      <c r="L21" s="217" t="s">
        <v>31</v>
      </c>
      <c r="M21" s="218" t="str">
        <f>A19</f>
        <v>WEEZ</v>
      </c>
      <c r="N21" s="258">
        <f>IF(M19="","",IF(N19&gt;N20,VLOOKUP($B$2,'Master Input'!$O$10:$R$23,'Master Input'!$P$11,FALSE),IF(N19=N20,VLOOKUP($B$2,'Master Input'!$O$10:$R$23,'Master Input'!$P$11,FALSE)/2,0)))</f>
        <v>0</v>
      </c>
      <c r="O21" s="204"/>
      <c r="P21" s="216"/>
      <c r="Q21" s="216"/>
      <c r="R21" s="216"/>
      <c r="S21" s="216"/>
      <c r="T21" s="216"/>
      <c r="U21" s="216"/>
      <c r="V21" s="216"/>
      <c r="W21" s="216"/>
      <c r="X21" s="217" t="s">
        <v>31</v>
      </c>
      <c r="Y21" s="218" t="str">
        <f>P19</f>
        <v>WEEZ</v>
      </c>
      <c r="Z21" s="220">
        <f>IF(Y19="","",(IF(Z19&gt;Z20,VLOOKUP($B$2,'Master Input'!$O$10:$R$23,'Master Input'!$Q$11,FALSE),IF(Z19=Z20,VLOOKUP($B$2,'Master Input'!$O$10:$R$23,'Master Input'!$Q$11,FALSE)/2,0))))</f>
        <v>1</v>
      </c>
      <c r="AA21" s="221">
        <f>IF(Y19="","",IF(AA19&gt;AA20,VLOOKUP($B$2,'Master Input'!$O$10:$R$23,'Master Input'!$R$11,FALSE),IF(AA19=AA20,VLOOKUP($B$2,'Master Input'!$O$10:$R$23,'Master Input'!$R$11,FALSE)/2,0)))</f>
        <v>2</v>
      </c>
      <c r="AB21" s="221">
        <f>IF(Y19="","",IF(AA21="","", SUM(N21,Z21,AA21)))</f>
        <v>3</v>
      </c>
    </row>
    <row r="22" spans="1:28" ht="14.5" hidden="1">
      <c r="A22" s="216"/>
      <c r="B22" s="222">
        <v>1</v>
      </c>
      <c r="C22" s="222">
        <v>2</v>
      </c>
      <c r="D22" s="222">
        <v>3</v>
      </c>
      <c r="E22" s="222">
        <v>4</v>
      </c>
      <c r="F22" s="222">
        <v>5</v>
      </c>
      <c r="G22" s="222">
        <v>6</v>
      </c>
      <c r="H22" s="222">
        <v>7</v>
      </c>
      <c r="I22" s="222">
        <v>8</v>
      </c>
      <c r="J22" s="222">
        <v>9</v>
      </c>
      <c r="K22" s="222">
        <v>10</v>
      </c>
      <c r="L22" s="222">
        <v>11</v>
      </c>
      <c r="M22" s="222">
        <v>12</v>
      </c>
      <c r="N22" s="222">
        <v>13</v>
      </c>
      <c r="O22" s="222">
        <v>14</v>
      </c>
      <c r="P22" s="222">
        <v>15</v>
      </c>
      <c r="Q22" s="222">
        <v>16</v>
      </c>
      <c r="R22" s="222">
        <v>17</v>
      </c>
      <c r="S22" s="222">
        <v>18</v>
      </c>
      <c r="T22" s="222">
        <v>19</v>
      </c>
      <c r="U22" s="222">
        <v>20</v>
      </c>
      <c r="V22" s="222">
        <v>21</v>
      </c>
      <c r="W22" s="222">
        <v>22</v>
      </c>
      <c r="X22" s="222">
        <v>23</v>
      </c>
      <c r="Y22" s="222">
        <v>24</v>
      </c>
      <c r="Z22" s="223" t="s">
        <v>32</v>
      </c>
      <c r="AA22" s="223" t="s">
        <v>33</v>
      </c>
      <c r="AB22" s="223" t="s">
        <v>34</v>
      </c>
    </row>
    <row r="23" spans="1:28" ht="14.25" hidden="1" customHeight="1">
      <c r="A23" s="216"/>
      <c r="B23" s="216" t="s">
        <v>35</v>
      </c>
      <c r="C23" s="224"/>
      <c r="D23" s="216"/>
      <c r="E23" s="225">
        <v>12</v>
      </c>
      <c r="F23" s="225">
        <v>4</v>
      </c>
      <c r="G23" s="225">
        <v>6</v>
      </c>
      <c r="H23" s="225">
        <v>12</v>
      </c>
      <c r="I23" s="225">
        <v>12</v>
      </c>
      <c r="J23" s="225">
        <v>4</v>
      </c>
      <c r="K23" s="225">
        <v>12</v>
      </c>
      <c r="L23" s="225">
        <v>12</v>
      </c>
      <c r="M23" s="225">
        <v>12</v>
      </c>
      <c r="N23" s="216"/>
      <c r="O23" s="226"/>
      <c r="P23" s="216"/>
      <c r="Q23" s="225">
        <v>4</v>
      </c>
      <c r="R23" s="225">
        <v>6</v>
      </c>
      <c r="S23" s="225">
        <v>12</v>
      </c>
      <c r="T23" s="225">
        <v>12</v>
      </c>
      <c r="U23" s="225">
        <v>4</v>
      </c>
      <c r="V23" s="225">
        <v>12</v>
      </c>
      <c r="W23" s="225">
        <v>6</v>
      </c>
      <c r="X23" s="225">
        <v>12</v>
      </c>
      <c r="Y23" s="225">
        <v>12</v>
      </c>
      <c r="Z23" s="223" t="s">
        <v>36</v>
      </c>
      <c r="AA23" s="223" t="s">
        <v>37</v>
      </c>
      <c r="AB23" s="223" t="s">
        <v>38</v>
      </c>
    </row>
    <row r="24" spans="1:28" ht="14.25" hidden="1" customHeight="1">
      <c r="A24" s="227"/>
      <c r="B24" s="227" t="str">
        <f>B8</f>
        <v>WEEZ</v>
      </c>
      <c r="C24" s="228"/>
      <c r="D24" s="227"/>
      <c r="E24" s="227"/>
      <c r="F24" s="227"/>
      <c r="G24" s="227"/>
      <c r="H24" s="227"/>
      <c r="I24" s="227"/>
      <c r="J24" s="227"/>
      <c r="K24" s="227"/>
      <c r="L24" s="227"/>
      <c r="M24" s="227"/>
      <c r="N24" s="229">
        <f>SUM(E24:M24)</f>
        <v>0</v>
      </c>
      <c r="O24" s="227"/>
      <c r="P24" s="227"/>
      <c r="Q24" s="227"/>
      <c r="R24" s="227"/>
      <c r="S24" s="227"/>
      <c r="T24" s="227"/>
      <c r="U24" s="227"/>
      <c r="V24" s="227"/>
      <c r="W24" s="227"/>
      <c r="X24" s="227"/>
      <c r="Y24" s="227"/>
      <c r="Z24" s="230">
        <f>SUM(Z25:Z26)</f>
        <v>10.166666666666668</v>
      </c>
      <c r="AA24" s="230">
        <f>SUM(Z24,N24)</f>
        <v>10.166666666666668</v>
      </c>
      <c r="AB24" s="231"/>
    </row>
    <row r="25" spans="1:28" ht="14.25" hidden="1" customHeight="1">
      <c r="A25" s="216" t="str">
        <f>A8</f>
        <v>Andy</v>
      </c>
      <c r="B25" s="216"/>
      <c r="C25" s="224"/>
      <c r="D25" s="216"/>
      <c r="E25" s="232">
        <v>0</v>
      </c>
      <c r="F25" s="232">
        <v>0</v>
      </c>
      <c r="G25" s="232">
        <v>0</v>
      </c>
      <c r="H25" s="232">
        <v>0</v>
      </c>
      <c r="I25" s="232">
        <v>0</v>
      </c>
      <c r="J25" s="232">
        <v>4</v>
      </c>
      <c r="K25" s="232">
        <v>0</v>
      </c>
      <c r="L25" s="232">
        <v>12</v>
      </c>
      <c r="M25" s="232">
        <v>0</v>
      </c>
      <c r="N25" s="216"/>
      <c r="O25" s="226"/>
      <c r="P25" s="216"/>
      <c r="Q25" s="232">
        <v>4</v>
      </c>
      <c r="R25" s="232">
        <v>0</v>
      </c>
      <c r="S25" s="232">
        <v>12</v>
      </c>
      <c r="T25" s="232">
        <v>0</v>
      </c>
      <c r="U25" s="232">
        <v>4</v>
      </c>
      <c r="V25" s="232">
        <v>0</v>
      </c>
      <c r="W25" s="232">
        <v>6</v>
      </c>
      <c r="X25" s="232">
        <v>0</v>
      </c>
      <c r="Y25" s="232">
        <v>12</v>
      </c>
      <c r="Z25" s="233">
        <f t="shared" ref="Z25:Z26" si="20">SUM(E25:M25,Q25:Y25)/12</f>
        <v>4.5</v>
      </c>
      <c r="AA25" s="234">
        <f t="shared" ref="AA25:AA26" si="21">Z25/$Z$30*18</f>
        <v>4.5</v>
      </c>
      <c r="AB25" s="233">
        <f t="shared" ref="AB25:AB26" si="22">$AB$21*AA25/AA$24</f>
        <v>1.3278688524590163</v>
      </c>
    </row>
    <row r="26" spans="1:28" ht="14.25" hidden="1" customHeight="1">
      <c r="A26" s="216" t="str">
        <f>A11</f>
        <v>Joe O</v>
      </c>
      <c r="B26" s="216"/>
      <c r="C26" s="224"/>
      <c r="D26" s="216"/>
      <c r="E26" s="232">
        <v>0</v>
      </c>
      <c r="F26" s="232">
        <v>4</v>
      </c>
      <c r="G26" s="232">
        <v>6</v>
      </c>
      <c r="H26" s="232">
        <v>12</v>
      </c>
      <c r="I26" s="232">
        <v>0</v>
      </c>
      <c r="J26" s="232">
        <v>0</v>
      </c>
      <c r="K26" s="232">
        <v>0</v>
      </c>
      <c r="L26" s="232">
        <v>0</v>
      </c>
      <c r="M26" s="232">
        <v>0</v>
      </c>
      <c r="N26" s="216"/>
      <c r="O26" s="226"/>
      <c r="P26" s="216"/>
      <c r="Q26" s="232">
        <v>4</v>
      </c>
      <c r="R26" s="232">
        <v>6</v>
      </c>
      <c r="S26" s="232">
        <v>0</v>
      </c>
      <c r="T26" s="232">
        <v>12</v>
      </c>
      <c r="U26" s="232">
        <v>0</v>
      </c>
      <c r="V26" s="232">
        <v>12</v>
      </c>
      <c r="W26" s="232">
        <v>0</v>
      </c>
      <c r="X26" s="232">
        <v>12</v>
      </c>
      <c r="Y26" s="232">
        <v>0</v>
      </c>
      <c r="Z26" s="233">
        <f t="shared" si="20"/>
        <v>5.666666666666667</v>
      </c>
      <c r="AA26" s="234">
        <f t="shared" si="21"/>
        <v>5.666666666666667</v>
      </c>
      <c r="AB26" s="233">
        <f t="shared" si="22"/>
        <v>1.6721311475409835</v>
      </c>
    </row>
    <row r="27" spans="1:28" ht="14.25" hidden="1" customHeight="1">
      <c r="A27" s="227"/>
      <c r="B27" s="227" t="str">
        <f>B14</f>
        <v>TEES</v>
      </c>
      <c r="C27" s="228"/>
      <c r="D27" s="227"/>
      <c r="E27" s="227"/>
      <c r="F27" s="227"/>
      <c r="G27" s="227"/>
      <c r="H27" s="227"/>
      <c r="I27" s="227"/>
      <c r="J27" s="227"/>
      <c r="K27" s="227"/>
      <c r="L27" s="227"/>
      <c r="M27" s="227"/>
      <c r="N27" s="229">
        <f>SUM(E27:M27)</f>
        <v>0</v>
      </c>
      <c r="O27" s="227"/>
      <c r="P27" s="227"/>
      <c r="Q27" s="227"/>
      <c r="R27" s="227"/>
      <c r="S27" s="227"/>
      <c r="T27" s="227"/>
      <c r="U27" s="227"/>
      <c r="V27" s="227"/>
      <c r="W27" s="227"/>
      <c r="X27" s="227"/>
      <c r="Y27" s="227"/>
      <c r="Z27" s="230">
        <f>SUM(Z28:Z29)</f>
        <v>7.833333333333333</v>
      </c>
      <c r="AA27" s="230">
        <f>SUM(Z27,N27)</f>
        <v>7.833333333333333</v>
      </c>
      <c r="AB27" s="231"/>
    </row>
    <row r="28" spans="1:28" ht="14.25" hidden="1" customHeight="1">
      <c r="A28" s="216" t="str">
        <f>A14</f>
        <v>Telly</v>
      </c>
      <c r="B28" s="216"/>
      <c r="C28" s="224"/>
      <c r="D28" s="216"/>
      <c r="E28" s="232">
        <v>0</v>
      </c>
      <c r="F28" s="232">
        <v>4</v>
      </c>
      <c r="G28" s="232">
        <v>0</v>
      </c>
      <c r="H28" s="232">
        <v>0</v>
      </c>
      <c r="I28" s="232">
        <v>0</v>
      </c>
      <c r="J28" s="232">
        <v>4</v>
      </c>
      <c r="K28" s="232">
        <v>0</v>
      </c>
      <c r="L28" s="232">
        <v>0</v>
      </c>
      <c r="M28" s="232">
        <v>0</v>
      </c>
      <c r="N28" s="216"/>
      <c r="O28" s="226"/>
      <c r="P28" s="216"/>
      <c r="Q28" s="232">
        <v>0</v>
      </c>
      <c r="R28" s="232">
        <v>6</v>
      </c>
      <c r="S28" s="232">
        <v>0</v>
      </c>
      <c r="T28" s="232">
        <v>0</v>
      </c>
      <c r="U28" s="232">
        <v>4</v>
      </c>
      <c r="V28" s="232">
        <v>0</v>
      </c>
      <c r="W28" s="232">
        <v>6</v>
      </c>
      <c r="X28" s="232">
        <v>0</v>
      </c>
      <c r="Y28" s="232">
        <v>0</v>
      </c>
      <c r="Z28" s="233">
        <f t="shared" ref="Z28:Z29" si="23">SUM(E28:M28,Q28:Y28)/12</f>
        <v>2</v>
      </c>
      <c r="AA28" s="234">
        <f t="shared" ref="AA28:AA29" si="24">Z28/$Z$30*18</f>
        <v>2</v>
      </c>
      <c r="AB28" s="233">
        <f>(SUM('Master Input'!P$20:R$20)-$AB$21)*AA28/AA$27</f>
        <v>0.25531914893617025</v>
      </c>
    </row>
    <row r="29" spans="1:28" ht="14.25" hidden="1" customHeight="1">
      <c r="A29" s="216" t="str">
        <f>A17</f>
        <v>DK</v>
      </c>
      <c r="B29" s="216"/>
      <c r="C29" s="224"/>
      <c r="D29" s="216"/>
      <c r="E29" s="232">
        <v>12</v>
      </c>
      <c r="F29" s="232">
        <v>4</v>
      </c>
      <c r="G29" s="232">
        <v>6</v>
      </c>
      <c r="H29" s="232">
        <v>0</v>
      </c>
      <c r="I29" s="232">
        <v>12</v>
      </c>
      <c r="J29" s="232">
        <v>4</v>
      </c>
      <c r="K29" s="232">
        <v>12</v>
      </c>
      <c r="L29" s="232">
        <v>0</v>
      </c>
      <c r="M29" s="232">
        <v>12</v>
      </c>
      <c r="N29" s="216"/>
      <c r="O29" s="226"/>
      <c r="P29" s="216"/>
      <c r="Q29" s="232">
        <v>4</v>
      </c>
      <c r="R29" s="232">
        <v>0</v>
      </c>
      <c r="S29" s="232">
        <v>0</v>
      </c>
      <c r="T29" s="232">
        <v>0</v>
      </c>
      <c r="U29" s="232">
        <v>4</v>
      </c>
      <c r="V29" s="232">
        <v>0</v>
      </c>
      <c r="W29" s="232">
        <v>0</v>
      </c>
      <c r="X29" s="232">
        <v>0</v>
      </c>
      <c r="Y29" s="232">
        <v>0</v>
      </c>
      <c r="Z29" s="233">
        <f t="shared" si="23"/>
        <v>5.833333333333333</v>
      </c>
      <c r="AA29" s="234">
        <f t="shared" si="24"/>
        <v>5.833333333333333</v>
      </c>
      <c r="AB29" s="233">
        <f>(SUM('Master Input'!P$20:R$20)-$AB$21)*AA29/AA$27</f>
        <v>0.74468085106382975</v>
      </c>
    </row>
    <row r="30" spans="1:28" ht="14.25" hidden="1" customHeight="1">
      <c r="A30" s="216"/>
      <c r="B30" s="216"/>
      <c r="C30" s="224"/>
      <c r="D30" s="216"/>
      <c r="E30" s="232">
        <f t="shared" ref="E30:M30" si="25">SUM(E25:E26,E28:E29)</f>
        <v>12</v>
      </c>
      <c r="F30" s="232">
        <f t="shared" si="25"/>
        <v>12</v>
      </c>
      <c r="G30" s="232">
        <f t="shared" si="25"/>
        <v>12</v>
      </c>
      <c r="H30" s="232">
        <f t="shared" si="25"/>
        <v>12</v>
      </c>
      <c r="I30" s="232">
        <f t="shared" si="25"/>
        <v>12</v>
      </c>
      <c r="J30" s="232">
        <f t="shared" si="25"/>
        <v>12</v>
      </c>
      <c r="K30" s="232">
        <f t="shared" si="25"/>
        <v>12</v>
      </c>
      <c r="L30" s="232">
        <f t="shared" si="25"/>
        <v>12</v>
      </c>
      <c r="M30" s="232">
        <f t="shared" si="25"/>
        <v>12</v>
      </c>
      <c r="N30" s="216"/>
      <c r="O30" s="226"/>
      <c r="P30" s="216"/>
      <c r="Q30" s="232">
        <f t="shared" ref="Q30:Z30" si="26">SUM(Q25:Q26,Q28:Q29)</f>
        <v>12</v>
      </c>
      <c r="R30" s="232">
        <f t="shared" si="26"/>
        <v>12</v>
      </c>
      <c r="S30" s="232">
        <f t="shared" si="26"/>
        <v>12</v>
      </c>
      <c r="T30" s="232">
        <f t="shared" si="26"/>
        <v>12</v>
      </c>
      <c r="U30" s="232">
        <f t="shared" si="26"/>
        <v>12</v>
      </c>
      <c r="V30" s="232">
        <f t="shared" si="26"/>
        <v>12</v>
      </c>
      <c r="W30" s="232">
        <f t="shared" si="26"/>
        <v>12</v>
      </c>
      <c r="X30" s="232">
        <f t="shared" si="26"/>
        <v>12</v>
      </c>
      <c r="Y30" s="232">
        <f t="shared" si="26"/>
        <v>12</v>
      </c>
      <c r="Z30" s="233">
        <f t="shared" si="26"/>
        <v>18</v>
      </c>
      <c r="AA30" s="235"/>
      <c r="AB30" s="236"/>
    </row>
  </sheetData>
  <mergeCells count="1">
    <mergeCell ref="B2:B4"/>
  </mergeCells>
  <conditionalFormatting sqref="E8:M8 Q8:Y8">
    <cfRule type="expression" dxfId="118" priority="8">
      <formula>OR(E$25=12,AND(E$19=12,E$25=6))</formula>
    </cfRule>
    <cfRule type="expression" dxfId="117" priority="9">
      <formula>AND(E$25&gt;0,E$20&gt;0,E$19&lt;=E$20)</formula>
    </cfRule>
    <cfRule type="expression" dxfId="116" priority="11">
      <formula>AND(E$25&gt;0,E$20&gt;0,E$19&gt;E$20)</formula>
    </cfRule>
  </conditionalFormatting>
  <conditionalFormatting sqref="E11:M11 Q11:Y11">
    <cfRule type="expression" dxfId="115" priority="7">
      <formula>OR(E$26=12,AND(E$19=12,E$26=6))</formula>
    </cfRule>
    <cfRule type="expression" dxfId="114" priority="10">
      <formula>AND(E$26&gt;0,E$20&gt;0,E$19&lt;=E$20)</formula>
    </cfRule>
    <cfRule type="expression" dxfId="113" priority="12">
      <formula>AND(E$26&gt;0,E$20&gt;0,E$19&gt;E$20)</formula>
    </cfRule>
  </conditionalFormatting>
  <conditionalFormatting sqref="E14:M14 Q14:Y14">
    <cfRule type="expression" dxfId="112" priority="1">
      <formula>OR(E$28=12,AND(E$20=12,E$28=6))</formula>
    </cfRule>
    <cfRule type="expression" dxfId="111" priority="3">
      <formula>AND(E$28&gt;0,E$19&gt;0,E$19&gt;=E$20)</formula>
    </cfRule>
    <cfRule type="expression" dxfId="110" priority="5">
      <formula>AND(E$28&gt;0,E$19&gt;0,E$19&lt;E$20)</formula>
    </cfRule>
  </conditionalFormatting>
  <conditionalFormatting sqref="E17:M17 Q17:Y17">
    <cfRule type="expression" dxfId="109" priority="2">
      <formula>OR(E$29=12,AND(E$20=12,E$29=6))</formula>
    </cfRule>
    <cfRule type="expression" dxfId="108" priority="4">
      <formula>AND(E$29&gt;0,E$19&gt;0,E$19&gt;=E$20)</formula>
    </cfRule>
    <cfRule type="expression" dxfId="107" priority="6">
      <formula>AND(E$29&gt;0,E$19&gt;0,E$19&lt;E$20)</formula>
    </cfRule>
  </conditionalFormatting>
  <printOptions horizontalCentered="1" gridLines="1"/>
  <pageMargins left="0.6" right="0.25" top="0.5" bottom="0.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A9999"/>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66" t="s">
        <v>41</v>
      </c>
      <c r="B1" s="67">
        <f>'Master Input'!F4</f>
        <v>6.25E-2</v>
      </c>
      <c r="C1" s="68" t="str">
        <f>'Master Input'!$E$2</f>
        <v>Round 1</v>
      </c>
      <c r="D1" s="69"/>
      <c r="E1" s="68" t="str">
        <f>'Master Input'!$E$6</f>
        <v>Sundance - Blue</v>
      </c>
      <c r="F1" s="70"/>
      <c r="G1" s="70"/>
      <c r="H1" s="70"/>
      <c r="I1" s="70"/>
      <c r="J1" s="70"/>
      <c r="K1" s="70"/>
      <c r="L1" s="70"/>
      <c r="M1" s="70"/>
      <c r="N1" s="71"/>
      <c r="O1" s="72"/>
      <c r="P1" s="68" t="str">
        <f>'Master Input'!$E$2&amp;" - "&amp;A1</f>
        <v>Round 1 - Group 4</v>
      </c>
      <c r="Q1" s="69"/>
      <c r="R1" s="73"/>
      <c r="S1" s="73"/>
      <c r="T1" s="73"/>
      <c r="U1" s="68" t="str">
        <f>'Master Input'!$E$6</f>
        <v>Sundance - Blue</v>
      </c>
      <c r="V1" s="73"/>
      <c r="W1" s="73"/>
      <c r="X1" s="73"/>
      <c r="Y1" s="73"/>
      <c r="Z1" s="73"/>
      <c r="AA1" s="73"/>
      <c r="AB1" s="74"/>
    </row>
    <row r="2" spans="1:28" ht="14.25" customHeight="1">
      <c r="A2" s="75" t="s">
        <v>16</v>
      </c>
      <c r="B2" s="1163" t="str">
        <f>'Match Selection'!B4</f>
        <v>Dirty Dozen</v>
      </c>
      <c r="C2" s="76"/>
      <c r="D2" s="77" t="s">
        <v>16</v>
      </c>
      <c r="E2" s="78">
        <v>1</v>
      </c>
      <c r="F2" s="79">
        <v>2</v>
      </c>
      <c r="G2" s="79">
        <v>3</v>
      </c>
      <c r="H2" s="79">
        <v>4</v>
      </c>
      <c r="I2" s="79">
        <v>5</v>
      </c>
      <c r="J2" s="79">
        <v>6</v>
      </c>
      <c r="K2" s="79">
        <v>7</v>
      </c>
      <c r="L2" s="79">
        <v>8</v>
      </c>
      <c r="M2" s="80">
        <v>9</v>
      </c>
      <c r="N2" s="82" t="s">
        <v>17</v>
      </c>
      <c r="O2" s="72"/>
      <c r="P2" s="77" t="s">
        <v>16</v>
      </c>
      <c r="Q2" s="78">
        <v>10</v>
      </c>
      <c r="R2" s="79">
        <v>11</v>
      </c>
      <c r="S2" s="79">
        <v>12</v>
      </c>
      <c r="T2" s="79">
        <v>13</v>
      </c>
      <c r="U2" s="79">
        <v>14</v>
      </c>
      <c r="V2" s="79">
        <v>15</v>
      </c>
      <c r="W2" s="79">
        <v>16</v>
      </c>
      <c r="X2" s="79">
        <v>17</v>
      </c>
      <c r="Y2" s="80">
        <v>18</v>
      </c>
      <c r="Z2" s="82" t="s">
        <v>18</v>
      </c>
      <c r="AA2" s="83" t="s">
        <v>14</v>
      </c>
      <c r="AB2" s="83" t="s">
        <v>19</v>
      </c>
    </row>
    <row r="3" spans="1:28" ht="14.25" customHeight="1">
      <c r="A3" s="84" t="s">
        <v>20</v>
      </c>
      <c r="B3" s="1129"/>
      <c r="C3" s="85"/>
      <c r="D3" s="86" t="s">
        <v>20</v>
      </c>
      <c r="E3" s="87">
        <f ca="1">VLOOKUP($E1, 'Course List'!$A$3:$AS$14,5+E2, FALSE)</f>
        <v>14</v>
      </c>
      <c r="F3" s="88">
        <f ca="1">VLOOKUP($E1, 'Course List'!$A$3:$AS$14,5+F2, FALSE)</f>
        <v>16</v>
      </c>
      <c r="G3" s="88">
        <f ca="1">VLOOKUP($E1, 'Course List'!$A$3:$AS$14,5+G2, FALSE)</f>
        <v>11</v>
      </c>
      <c r="H3" s="88">
        <f ca="1">VLOOKUP($E1, 'Course List'!$A$3:$AS$14,5+H2, FALSE)</f>
        <v>12</v>
      </c>
      <c r="I3" s="88">
        <f ca="1">VLOOKUP($E1, 'Course List'!$A$3:$AS$14,5+I2, FALSE)</f>
        <v>6</v>
      </c>
      <c r="J3" s="88">
        <f ca="1">VLOOKUP($E1, 'Course List'!$A$3:$AS$14,5+J2, FALSE)</f>
        <v>8</v>
      </c>
      <c r="K3" s="88">
        <f ca="1">VLOOKUP($E1, 'Course List'!$A$3:$AS$14,5+K2, FALSE)</f>
        <v>17</v>
      </c>
      <c r="L3" s="88">
        <f ca="1">VLOOKUP($E1, 'Course List'!$A$3:$AS$14,5+L2, FALSE)</f>
        <v>5</v>
      </c>
      <c r="M3" s="89">
        <f ca="1">VLOOKUP($E1, 'Course List'!$A$3:$AS$14,5+M2, FALSE)</f>
        <v>2</v>
      </c>
      <c r="N3" s="91"/>
      <c r="O3" s="72"/>
      <c r="P3" s="86" t="s">
        <v>21</v>
      </c>
      <c r="Q3" s="87">
        <f ca="1">VLOOKUP($E1, 'Course List'!$A$3:$AS$14,5+Q2, FALSE)</f>
        <v>9</v>
      </c>
      <c r="R3" s="88">
        <f ca="1">VLOOKUP($E1, 'Course List'!$A$3:$AS$14,5+R2, FALSE)</f>
        <v>13</v>
      </c>
      <c r="S3" s="88">
        <f ca="1">VLOOKUP($E1, 'Course List'!$A$3:$AS$14,5+S2, FALSE)</f>
        <v>4</v>
      </c>
      <c r="T3" s="88">
        <f ca="1">VLOOKUP($E1, 'Course List'!$A$3:$AS$14,5+T2, FALSE)</f>
        <v>18</v>
      </c>
      <c r="U3" s="88">
        <f ca="1">VLOOKUP($E1, 'Course List'!$A$3:$AS$14,5+U2, FALSE)</f>
        <v>7</v>
      </c>
      <c r="V3" s="88">
        <f ca="1">VLOOKUP($E1, 'Course List'!$A$3:$AS$14,5+V2, FALSE)</f>
        <v>3</v>
      </c>
      <c r="W3" s="88">
        <f ca="1">VLOOKUP($E1, 'Course List'!$A$3:$AS$14,5+W2, FALSE)</f>
        <v>10</v>
      </c>
      <c r="X3" s="88">
        <f ca="1">VLOOKUP($E1, 'Course List'!$A$3:$AS$14,5+X2, FALSE)</f>
        <v>15</v>
      </c>
      <c r="Y3" s="89">
        <f ca="1">VLOOKUP($E1, 'Course List'!$A$3:$AS$14,5+Y2, FALSE)</f>
        <v>1</v>
      </c>
      <c r="Z3" s="91"/>
      <c r="AA3" s="92"/>
      <c r="AB3" s="92"/>
    </row>
    <row r="4" spans="1:28" ht="14.25" customHeight="1">
      <c r="A4" s="84" t="s">
        <v>22</v>
      </c>
      <c r="B4" s="1139"/>
      <c r="C4" s="85"/>
      <c r="D4" s="86" t="s">
        <v>22</v>
      </c>
      <c r="E4" s="93">
        <f ca="1">VLOOKUP($E1, 'Course List'!$A$3:$AS$14,27+E2, FALSE)</f>
        <v>4</v>
      </c>
      <c r="F4" s="94">
        <f ca="1">VLOOKUP($E1, 'Course List'!$A$3:$AS$14,27+F2, FALSE)</f>
        <v>4</v>
      </c>
      <c r="G4" s="94">
        <f ca="1">VLOOKUP($E1, 'Course List'!$A$3:$AS$14,27+G2, FALSE)</f>
        <v>3</v>
      </c>
      <c r="H4" s="94">
        <f ca="1">VLOOKUP($E1, 'Course List'!$A$3:$AS$14,27+H2, FALSE)</f>
        <v>4</v>
      </c>
      <c r="I4" s="94">
        <f ca="1">VLOOKUP($E1, 'Course List'!$A$3:$AS$14,27+I2, FALSE)</f>
        <v>4</v>
      </c>
      <c r="J4" s="94">
        <f ca="1">VLOOKUP($E1, 'Course List'!$A$3:$AS$14,27+J2, FALSE)</f>
        <v>5</v>
      </c>
      <c r="K4" s="94">
        <f ca="1">VLOOKUP($E1, 'Course List'!$A$3:$AS$14,27+K2, FALSE)</f>
        <v>4</v>
      </c>
      <c r="L4" s="94">
        <f ca="1">VLOOKUP($E1, 'Course List'!$A$3:$AS$14,27+L2, FALSE)</f>
        <v>3</v>
      </c>
      <c r="M4" s="95">
        <f ca="1">VLOOKUP($E1, 'Course List'!$A$3:$AS$14,27+M2, FALSE)</f>
        <v>5</v>
      </c>
      <c r="N4" s="93">
        <f ca="1">SUM(E4:M4)</f>
        <v>36</v>
      </c>
      <c r="O4" s="72"/>
      <c r="P4" s="86" t="s">
        <v>22</v>
      </c>
      <c r="Q4" s="93">
        <f ca="1">VLOOKUP($E1, 'Course List'!$A$3:$AS$14,27+Q2, FALSE)</f>
        <v>4</v>
      </c>
      <c r="R4" s="94">
        <f ca="1">VLOOKUP($E1, 'Course List'!$A$3:$AS$14,27+R2, FALSE)</f>
        <v>4</v>
      </c>
      <c r="S4" s="94">
        <f ca="1">VLOOKUP($E1, 'Course List'!$A$3:$AS$14,27+S2, FALSE)</f>
        <v>4</v>
      </c>
      <c r="T4" s="94">
        <f ca="1">VLOOKUP($E1, 'Course List'!$A$3:$AS$14,27+T2, FALSE)</f>
        <v>3</v>
      </c>
      <c r="U4" s="94">
        <f ca="1">VLOOKUP($E1, 'Course List'!$A$3:$AS$14,27+U2, FALSE)</f>
        <v>5</v>
      </c>
      <c r="V4" s="94">
        <f ca="1">VLOOKUP($E1, 'Course List'!$A$3:$AS$14,27+V2, FALSE)</f>
        <v>4</v>
      </c>
      <c r="W4" s="94">
        <f ca="1">VLOOKUP($E1, 'Course List'!$A$3:$AS$14,27+W2, FALSE)</f>
        <v>5</v>
      </c>
      <c r="X4" s="94">
        <f ca="1">VLOOKUP($E1, 'Course List'!$A$3:$AS$14,27+X2, FALSE)</f>
        <v>3</v>
      </c>
      <c r="Y4" s="95">
        <f ca="1">VLOOKUP($E1, 'Course List'!$A$3:$AS$14,27+Y2, FALSE)</f>
        <v>4</v>
      </c>
      <c r="Z4" s="93">
        <f ca="1">SUM(Q4:Y4)</f>
        <v>36</v>
      </c>
      <c r="AA4" s="97">
        <f ca="1">N4+Z4</f>
        <v>72</v>
      </c>
      <c r="AB4" s="98"/>
    </row>
    <row r="5" spans="1:28" ht="14.25" customHeight="1">
      <c r="A5" s="99" t="s">
        <v>23</v>
      </c>
      <c r="B5" s="237" t="s">
        <v>24</v>
      </c>
      <c r="C5" s="100" t="s">
        <v>25</v>
      </c>
      <c r="D5" s="101" t="s">
        <v>26</v>
      </c>
      <c r="E5" s="102">
        <v>1</v>
      </c>
      <c r="F5" s="103">
        <v>2</v>
      </c>
      <c r="G5" s="103">
        <v>3</v>
      </c>
      <c r="H5" s="103">
        <v>4</v>
      </c>
      <c r="I5" s="103">
        <v>5</v>
      </c>
      <c r="J5" s="103">
        <v>6</v>
      </c>
      <c r="K5" s="103">
        <v>7</v>
      </c>
      <c r="L5" s="103">
        <v>8</v>
      </c>
      <c r="M5" s="104">
        <v>9</v>
      </c>
      <c r="N5" s="108" t="s">
        <v>17</v>
      </c>
      <c r="O5" s="106"/>
      <c r="P5" s="238" t="s">
        <v>23</v>
      </c>
      <c r="Q5" s="102">
        <v>10</v>
      </c>
      <c r="R5" s="103">
        <v>11</v>
      </c>
      <c r="S5" s="103">
        <v>12</v>
      </c>
      <c r="T5" s="103">
        <v>13</v>
      </c>
      <c r="U5" s="103">
        <v>14</v>
      </c>
      <c r="V5" s="103">
        <v>15</v>
      </c>
      <c r="W5" s="103">
        <v>16</v>
      </c>
      <c r="X5" s="103">
        <v>17</v>
      </c>
      <c r="Y5" s="104">
        <v>18</v>
      </c>
      <c r="Z5" s="108" t="s">
        <v>18</v>
      </c>
      <c r="AA5" s="109" t="s">
        <v>27</v>
      </c>
      <c r="AB5" s="110" t="s">
        <v>28</v>
      </c>
    </row>
    <row r="6" spans="1:28" ht="7.5" customHeight="1">
      <c r="A6" s="111"/>
      <c r="B6" s="111"/>
      <c r="C6" s="113"/>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239"/>
      <c r="O6" s="118"/>
      <c r="P6" s="240"/>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
      </c>
      <c r="Z6" s="120"/>
      <c r="AA6" s="121"/>
      <c r="AB6" s="122"/>
    </row>
    <row r="7" spans="1:28" ht="22.5" hidden="1" customHeight="1">
      <c r="A7" s="123"/>
      <c r="B7" s="124"/>
      <c r="C7" s="12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130"/>
      <c r="O7" s="131"/>
      <c r="P7" s="123"/>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0</v>
      </c>
      <c r="Z7" s="133"/>
      <c r="AA7" s="134"/>
      <c r="AB7" s="135"/>
    </row>
    <row r="8" spans="1:28" ht="22.5" customHeight="1">
      <c r="A8" s="136" t="str">
        <f>'Match Selection'!V4</f>
        <v>Jensen</v>
      </c>
      <c r="B8" s="137" t="str">
        <f>VLOOKUP(A8, 'Master Input'!$A$11:$B$27, 2, FALSE)</f>
        <v>WEEZ</v>
      </c>
      <c r="C8" s="138">
        <f ca="1">VLOOKUP(A8,'Master Input'!$A$11:$L$27,'Master Input'!$F$28, FALSE)</f>
        <v>7</v>
      </c>
      <c r="D8" s="139">
        <f ca="1">C8-SMALL($C$8:$C$17,1)</f>
        <v>0</v>
      </c>
      <c r="E8" s="140">
        <v>5</v>
      </c>
      <c r="F8" s="141">
        <v>3</v>
      </c>
      <c r="G8" s="142">
        <v>5</v>
      </c>
      <c r="H8" s="141">
        <v>4</v>
      </c>
      <c r="I8" s="142">
        <v>4</v>
      </c>
      <c r="J8" s="141">
        <v>4</v>
      </c>
      <c r="K8" s="142">
        <v>5</v>
      </c>
      <c r="L8" s="141">
        <v>3</v>
      </c>
      <c r="M8" s="142">
        <v>5</v>
      </c>
      <c r="N8" s="143">
        <f>IF(M8="","", SUM(E8:M8))</f>
        <v>38</v>
      </c>
      <c r="O8" s="131"/>
      <c r="P8" s="136" t="str">
        <f>A8</f>
        <v>Jensen</v>
      </c>
      <c r="Q8" s="140">
        <v>4</v>
      </c>
      <c r="R8" s="141">
        <v>4</v>
      </c>
      <c r="S8" s="142">
        <v>8</v>
      </c>
      <c r="T8" s="141">
        <v>4</v>
      </c>
      <c r="U8" s="142">
        <v>6</v>
      </c>
      <c r="V8" s="141">
        <v>5</v>
      </c>
      <c r="W8" s="142">
        <v>5</v>
      </c>
      <c r="X8" s="141">
        <v>4</v>
      </c>
      <c r="Y8" s="142">
        <v>7</v>
      </c>
      <c r="Z8" s="143">
        <f>IF(Y8="","", SUM(Q8:Y8))</f>
        <v>47</v>
      </c>
      <c r="AA8" s="145">
        <f>IF(Z8="", "", SUM(N8,Z8))</f>
        <v>85</v>
      </c>
      <c r="AB8" s="146">
        <f ca="1">IF(Y8="", "", AA8-C8)</f>
        <v>78</v>
      </c>
    </row>
    <row r="9" spans="1:28" ht="7.5" customHeight="1">
      <c r="A9" s="147"/>
      <c r="B9" s="259"/>
      <c r="C9" s="149"/>
      <c r="D9" s="150"/>
      <c r="E9" s="114" t="str">
        <f t="shared" ref="E9:M9" ca="1" si="4">IF(E10=1,"O", IF(E10=2,"O   O",""))</f>
        <v/>
      </c>
      <c r="F9" s="115" t="str">
        <f t="shared" ca="1" si="4"/>
        <v/>
      </c>
      <c r="G9" s="116" t="str">
        <f t="shared" ca="1" si="4"/>
        <v/>
      </c>
      <c r="H9" s="115" t="str">
        <f t="shared" ca="1" si="4"/>
        <v/>
      </c>
      <c r="I9" s="116" t="str">
        <f t="shared" ca="1" si="4"/>
        <v>O</v>
      </c>
      <c r="J9" s="115" t="str">
        <f t="shared" ca="1" si="4"/>
        <v>O</v>
      </c>
      <c r="K9" s="116" t="str">
        <f t="shared" ca="1" si="4"/>
        <v/>
      </c>
      <c r="L9" s="115" t="str">
        <f t="shared" ca="1" si="4"/>
        <v>O</v>
      </c>
      <c r="M9" s="116" t="str">
        <f t="shared" ca="1" si="4"/>
        <v>O</v>
      </c>
      <c r="N9" s="153"/>
      <c r="O9" s="118"/>
      <c r="P9" s="245"/>
      <c r="Q9" s="114" t="str">
        <f t="shared" ref="Q9:Y9" ca="1" si="5">IF(Q10=1,"O", IF(Q10=2,"O   O",""))</f>
        <v>O</v>
      </c>
      <c r="R9" s="115" t="str">
        <f t="shared" ca="1" si="5"/>
        <v/>
      </c>
      <c r="S9" s="116" t="str">
        <f t="shared" ca="1" si="5"/>
        <v>O</v>
      </c>
      <c r="T9" s="115" t="str">
        <f t="shared" ca="1" si="5"/>
        <v/>
      </c>
      <c r="U9" s="116" t="str">
        <f t="shared" ca="1" si="5"/>
        <v>O</v>
      </c>
      <c r="V9" s="115" t="str">
        <f t="shared" ca="1" si="5"/>
        <v>O</v>
      </c>
      <c r="W9" s="116" t="str">
        <f t="shared" ca="1" si="5"/>
        <v>O</v>
      </c>
      <c r="X9" s="115" t="str">
        <f t="shared" ca="1" si="5"/>
        <v/>
      </c>
      <c r="Y9" s="116" t="str">
        <f t="shared" ca="1" si="5"/>
        <v>O</v>
      </c>
      <c r="Z9" s="153"/>
      <c r="AA9" s="154"/>
      <c r="AB9" s="155"/>
    </row>
    <row r="10" spans="1:28" ht="22.5" hidden="1" customHeight="1">
      <c r="A10" s="260"/>
      <c r="B10" s="261"/>
      <c r="C10" s="156"/>
      <c r="D10" s="126"/>
      <c r="E10" s="127">
        <f t="shared" ref="E10:M10" ca="1" si="6">IF($D11&gt;0,FLOOR($D11/18,1),0)+IF(AND(MOD($D11,18)&gt;=E$3,$D11&gt;0),1,0)-IF(E$3-18&gt;$D11,1,0)</f>
        <v>0</v>
      </c>
      <c r="F10" s="128">
        <f t="shared" ca="1" si="6"/>
        <v>0</v>
      </c>
      <c r="G10" s="129">
        <f t="shared" ca="1" si="6"/>
        <v>0</v>
      </c>
      <c r="H10" s="128">
        <f t="shared" ca="1" si="6"/>
        <v>0</v>
      </c>
      <c r="I10" s="129">
        <f t="shared" ca="1" si="6"/>
        <v>1</v>
      </c>
      <c r="J10" s="128">
        <f t="shared" ca="1" si="6"/>
        <v>1</v>
      </c>
      <c r="K10" s="129">
        <f t="shared" ca="1" si="6"/>
        <v>0</v>
      </c>
      <c r="L10" s="128">
        <f t="shared" ca="1" si="6"/>
        <v>1</v>
      </c>
      <c r="M10" s="129">
        <f t="shared" ca="1" si="6"/>
        <v>1</v>
      </c>
      <c r="N10" s="130"/>
      <c r="O10" s="131"/>
      <c r="P10" s="123"/>
      <c r="Q10" s="127">
        <f t="shared" ref="Q10:Y10" ca="1" si="7">IF($D11&gt;0,FLOOR($D11/18,1),0)+IF(AND(MOD($D11,18)&gt;=Q$3,$D11&gt;0),1,0)-IF(Q$3-18&gt;$D11,1,0)</f>
        <v>1</v>
      </c>
      <c r="R10" s="128">
        <f t="shared" ca="1" si="7"/>
        <v>0</v>
      </c>
      <c r="S10" s="129">
        <f t="shared" ca="1" si="7"/>
        <v>1</v>
      </c>
      <c r="T10" s="128">
        <f t="shared" ca="1" si="7"/>
        <v>0</v>
      </c>
      <c r="U10" s="129">
        <f t="shared" ca="1" si="7"/>
        <v>1</v>
      </c>
      <c r="V10" s="128">
        <f t="shared" ca="1" si="7"/>
        <v>1</v>
      </c>
      <c r="W10" s="129">
        <f t="shared" ca="1" si="7"/>
        <v>1</v>
      </c>
      <c r="X10" s="128">
        <f t="shared" ca="1" si="7"/>
        <v>0</v>
      </c>
      <c r="Y10" s="129">
        <f t="shared" ca="1" si="7"/>
        <v>1</v>
      </c>
      <c r="Z10" s="133"/>
      <c r="AA10" s="134"/>
      <c r="AB10" s="135"/>
    </row>
    <row r="11" spans="1:28" ht="22.5" customHeight="1">
      <c r="A11" s="157" t="str">
        <f>'Match Selection'!V5</f>
        <v>Hile</v>
      </c>
      <c r="B11" s="262" t="str">
        <f>VLOOKUP(A11, 'Master Input'!$A$11:$B$27, 2, FALSE)</f>
        <v>WEEZ</v>
      </c>
      <c r="C11" s="138">
        <f ca="1">VLOOKUP(A11,'Master Input'!$A$11:$L$27,'Master Input'!$F$28, FALSE)</f>
        <v>17</v>
      </c>
      <c r="D11" s="139">
        <f ca="1">C11-SMALL($C$8:$C$17,1)</f>
        <v>10</v>
      </c>
      <c r="E11" s="140">
        <v>10</v>
      </c>
      <c r="F11" s="141">
        <v>5</v>
      </c>
      <c r="G11" s="142">
        <v>4</v>
      </c>
      <c r="H11" s="141">
        <v>5</v>
      </c>
      <c r="I11" s="142">
        <v>4</v>
      </c>
      <c r="J11" s="141">
        <v>6</v>
      </c>
      <c r="K11" s="142">
        <v>6</v>
      </c>
      <c r="L11" s="141">
        <v>5</v>
      </c>
      <c r="M11" s="142">
        <v>5</v>
      </c>
      <c r="N11" s="143">
        <f>IF(M11="","", SUM(E11:M11))</f>
        <v>50</v>
      </c>
      <c r="O11" s="131"/>
      <c r="P11" s="136" t="str">
        <f>A11</f>
        <v>Hile</v>
      </c>
      <c r="Q11" s="140">
        <v>5</v>
      </c>
      <c r="R11" s="141">
        <v>5</v>
      </c>
      <c r="S11" s="142">
        <v>6</v>
      </c>
      <c r="T11" s="141">
        <v>3</v>
      </c>
      <c r="U11" s="142">
        <v>5</v>
      </c>
      <c r="V11" s="141">
        <v>6</v>
      </c>
      <c r="W11" s="142">
        <v>6</v>
      </c>
      <c r="X11" s="141">
        <v>4</v>
      </c>
      <c r="Y11" s="142">
        <v>7</v>
      </c>
      <c r="Z11" s="143">
        <f>IF(Y11="","", SUM(Q11:Y11))</f>
        <v>47</v>
      </c>
      <c r="AA11" s="145">
        <f>IF(Z11="", "", SUM(N11,Z11))</f>
        <v>97</v>
      </c>
      <c r="AB11" s="146">
        <f ca="1">IF(Y11="", "", AA11-C11)</f>
        <v>80</v>
      </c>
    </row>
    <row r="12" spans="1:28" ht="7.5" customHeight="1">
      <c r="A12" s="159"/>
      <c r="B12" s="254"/>
      <c r="C12" s="161"/>
      <c r="D12" s="162"/>
      <c r="E12" s="163" t="str">
        <f t="shared" ref="E12:M12" ca="1" si="8">IF(E13=1,"O", IF(E13=2,"O   O",""))</f>
        <v/>
      </c>
      <c r="F12" s="164" t="str">
        <f t="shared" ca="1" si="8"/>
        <v/>
      </c>
      <c r="G12" s="165" t="str">
        <f t="shared" ca="1" si="8"/>
        <v/>
      </c>
      <c r="H12" s="164" t="str">
        <f t="shared" ca="1" si="8"/>
        <v/>
      </c>
      <c r="I12" s="165" t="str">
        <f t="shared" ca="1" si="8"/>
        <v/>
      </c>
      <c r="J12" s="164" t="str">
        <f t="shared" ca="1" si="8"/>
        <v/>
      </c>
      <c r="K12" s="165" t="str">
        <f t="shared" ca="1" si="8"/>
        <v/>
      </c>
      <c r="L12" s="164" t="str">
        <f t="shared" ca="1" si="8"/>
        <v/>
      </c>
      <c r="M12" s="165" t="str">
        <f t="shared" ca="1" si="8"/>
        <v/>
      </c>
      <c r="N12" s="168"/>
      <c r="O12" s="118"/>
      <c r="P12" s="159"/>
      <c r="Q12" s="163" t="str">
        <f t="shared" ref="Q12:Y12" ca="1" si="9">IF(Q13=1,"O", IF(Q13=2,"O   O",""))</f>
        <v/>
      </c>
      <c r="R12" s="164" t="str">
        <f t="shared" ca="1" si="9"/>
        <v/>
      </c>
      <c r="S12" s="165" t="str">
        <f t="shared" ca="1" si="9"/>
        <v/>
      </c>
      <c r="T12" s="164" t="str">
        <f t="shared" ca="1" si="9"/>
        <v/>
      </c>
      <c r="U12" s="165" t="str">
        <f t="shared" ca="1" si="9"/>
        <v/>
      </c>
      <c r="V12" s="164" t="str">
        <f t="shared" ca="1" si="9"/>
        <v/>
      </c>
      <c r="W12" s="165" t="str">
        <f t="shared" ca="1" si="9"/>
        <v/>
      </c>
      <c r="X12" s="164" t="str">
        <f t="shared" ca="1" si="9"/>
        <v/>
      </c>
      <c r="Y12" s="165" t="str">
        <f t="shared" ca="1" si="9"/>
        <v>O</v>
      </c>
      <c r="Z12" s="168"/>
      <c r="AA12" s="169"/>
      <c r="AB12" s="170"/>
    </row>
    <row r="13" spans="1:28" ht="22.5" hidden="1" customHeight="1">
      <c r="A13" s="171"/>
      <c r="B13" s="255"/>
      <c r="C13" s="173"/>
      <c r="D13" s="174"/>
      <c r="E13" s="175">
        <f t="shared" ref="E13:M13" ca="1" si="10">IF($D14&gt;0,FLOOR($D14/18,1),0)+IF(AND(MOD($D14,18)&gt;=E$3,$D14&gt;0),1,0)-IF(E$3-18&gt;$D14,1,0)</f>
        <v>0</v>
      </c>
      <c r="F13" s="176">
        <f t="shared" ca="1" si="10"/>
        <v>0</v>
      </c>
      <c r="G13" s="177">
        <f t="shared" ca="1" si="10"/>
        <v>0</v>
      </c>
      <c r="H13" s="176">
        <f t="shared" ca="1" si="10"/>
        <v>0</v>
      </c>
      <c r="I13" s="177">
        <f t="shared" ca="1" si="10"/>
        <v>0</v>
      </c>
      <c r="J13" s="176">
        <f t="shared" ca="1" si="10"/>
        <v>0</v>
      </c>
      <c r="K13" s="177">
        <f t="shared" ca="1" si="10"/>
        <v>0</v>
      </c>
      <c r="L13" s="176">
        <f t="shared" ca="1" si="10"/>
        <v>0</v>
      </c>
      <c r="M13" s="177">
        <f t="shared" ca="1" si="10"/>
        <v>0</v>
      </c>
      <c r="N13" s="256"/>
      <c r="O13" s="131"/>
      <c r="P13" s="171"/>
      <c r="Q13" s="175">
        <f t="shared" ref="Q13:Y13" ca="1" si="11">IF($D14&gt;0,FLOOR($D14/18,1),0)+IF(AND(MOD($D14,18)&gt;=Q$3,$D14&gt;0),1,0)-IF(Q$3-18&gt;$D14,1,0)</f>
        <v>0</v>
      </c>
      <c r="R13" s="176">
        <f t="shared" ca="1" si="11"/>
        <v>0</v>
      </c>
      <c r="S13" s="177">
        <f t="shared" ca="1" si="11"/>
        <v>0</v>
      </c>
      <c r="T13" s="176">
        <f t="shared" ca="1" si="11"/>
        <v>0</v>
      </c>
      <c r="U13" s="177">
        <f t="shared" ca="1" si="11"/>
        <v>0</v>
      </c>
      <c r="V13" s="176">
        <f t="shared" ca="1" si="11"/>
        <v>0</v>
      </c>
      <c r="W13" s="177">
        <f t="shared" ca="1" si="11"/>
        <v>0</v>
      </c>
      <c r="X13" s="176">
        <f t="shared" ca="1" si="11"/>
        <v>0</v>
      </c>
      <c r="Y13" s="177">
        <f t="shared" ca="1" si="11"/>
        <v>1</v>
      </c>
      <c r="Z13" s="179"/>
      <c r="AA13" s="180"/>
      <c r="AB13" s="135"/>
    </row>
    <row r="14" spans="1:28" ht="22.5" customHeight="1">
      <c r="A14" s="181" t="str">
        <f>'Match Selection'!Y4</f>
        <v>KJ</v>
      </c>
      <c r="B14" s="257" t="str">
        <f>VLOOKUP(A14, 'Master Input'!$A$11:$B$27, 2, FALSE)</f>
        <v>TEES</v>
      </c>
      <c r="C14" s="183">
        <f ca="1">VLOOKUP(A14,'Master Input'!$A$11:$L$27,'Master Input'!$F$28, FALSE)</f>
        <v>8</v>
      </c>
      <c r="D14" s="184">
        <f ca="1">C14-SMALL($C$8:$C$17,1)</f>
        <v>1</v>
      </c>
      <c r="E14" s="185">
        <v>4</v>
      </c>
      <c r="F14" s="186">
        <v>3</v>
      </c>
      <c r="G14" s="187">
        <v>3</v>
      </c>
      <c r="H14" s="186">
        <v>5</v>
      </c>
      <c r="I14" s="187">
        <v>6</v>
      </c>
      <c r="J14" s="186">
        <v>6</v>
      </c>
      <c r="K14" s="187">
        <v>4</v>
      </c>
      <c r="L14" s="186">
        <v>4</v>
      </c>
      <c r="M14" s="187">
        <v>5</v>
      </c>
      <c r="N14" s="189">
        <f>IF(M14="","", SUM(E14:M14))</f>
        <v>40</v>
      </c>
      <c r="O14" s="131"/>
      <c r="P14" s="181" t="str">
        <f>A14</f>
        <v>KJ</v>
      </c>
      <c r="Q14" s="185">
        <v>4</v>
      </c>
      <c r="R14" s="186">
        <v>4</v>
      </c>
      <c r="S14" s="187">
        <v>6</v>
      </c>
      <c r="T14" s="186">
        <v>4</v>
      </c>
      <c r="U14" s="187">
        <v>5</v>
      </c>
      <c r="V14" s="186">
        <v>4</v>
      </c>
      <c r="W14" s="187">
        <v>4</v>
      </c>
      <c r="X14" s="186">
        <v>4</v>
      </c>
      <c r="Y14" s="187">
        <v>6</v>
      </c>
      <c r="Z14" s="189">
        <f>IF(Y14="","", SUM(Q14:Y14))</f>
        <v>41</v>
      </c>
      <c r="AA14" s="190">
        <f>IF(Z14="", "", SUM(N14,Z14))</f>
        <v>81</v>
      </c>
      <c r="AB14" s="146">
        <f ca="1">IF(Y14="", "", AA14-C14)</f>
        <v>73</v>
      </c>
    </row>
    <row r="15" spans="1:28" ht="7.5" customHeight="1">
      <c r="A15" s="159"/>
      <c r="B15" s="254"/>
      <c r="C15" s="161"/>
      <c r="D15" s="162"/>
      <c r="E15" s="163" t="str">
        <f t="shared" ref="E15:M15" ca="1" si="12">IF(E16=1,"O", IF(E16=2,"O   O",""))</f>
        <v/>
      </c>
      <c r="F15" s="164" t="str">
        <f t="shared" ca="1" si="12"/>
        <v/>
      </c>
      <c r="G15" s="165" t="str">
        <f t="shared" ca="1" si="12"/>
        <v/>
      </c>
      <c r="H15" s="164" t="str">
        <f t="shared" ca="1" si="12"/>
        <v/>
      </c>
      <c r="I15" s="165" t="str">
        <f t="shared" ca="1" si="12"/>
        <v>O</v>
      </c>
      <c r="J15" s="164" t="str">
        <f t="shared" ca="1" si="12"/>
        <v/>
      </c>
      <c r="K15" s="165" t="str">
        <f t="shared" ca="1" si="12"/>
        <v/>
      </c>
      <c r="L15" s="164" t="str">
        <f t="shared" ca="1" si="12"/>
        <v>O</v>
      </c>
      <c r="M15" s="165" t="str">
        <f t="shared" ca="1" si="12"/>
        <v>O</v>
      </c>
      <c r="N15" s="168"/>
      <c r="O15" s="118"/>
      <c r="P15" s="159"/>
      <c r="Q15" s="163" t="str">
        <f t="shared" ref="Q15:Y15" ca="1" si="13">IF(Q16=1,"O", IF(Q16=2,"O   O",""))</f>
        <v/>
      </c>
      <c r="R15" s="164" t="str">
        <f t="shared" ca="1" si="13"/>
        <v/>
      </c>
      <c r="S15" s="165" t="str">
        <f t="shared" ca="1" si="13"/>
        <v>O</v>
      </c>
      <c r="T15" s="164" t="str">
        <f t="shared" ca="1" si="13"/>
        <v/>
      </c>
      <c r="U15" s="165" t="str">
        <f t="shared" ca="1" si="13"/>
        <v>O</v>
      </c>
      <c r="V15" s="164" t="str">
        <f t="shared" ca="1" si="13"/>
        <v>O</v>
      </c>
      <c r="W15" s="165" t="str">
        <f t="shared" ca="1" si="13"/>
        <v/>
      </c>
      <c r="X15" s="164" t="str">
        <f t="shared" ca="1" si="13"/>
        <v/>
      </c>
      <c r="Y15" s="165" t="str">
        <f t="shared" ca="1" si="13"/>
        <v>O</v>
      </c>
      <c r="Z15" s="168"/>
      <c r="AA15" s="170"/>
      <c r="AB15" s="170"/>
    </row>
    <row r="16" spans="1:28" ht="22.5" hidden="1" customHeight="1">
      <c r="A16" s="171"/>
      <c r="B16" s="255"/>
      <c r="C16" s="173"/>
      <c r="D16" s="174"/>
      <c r="E16" s="175">
        <f t="shared" ref="E16:M16" ca="1" si="14">IF($D17&gt;0,FLOOR($D17/18,1),0)+IF(AND(MOD($D17,18)&gt;=E$3,$D17&gt;0),1,0)-IF(E$3-18&gt;$D17,1,0)</f>
        <v>0</v>
      </c>
      <c r="F16" s="176">
        <f t="shared" ca="1" si="14"/>
        <v>0</v>
      </c>
      <c r="G16" s="177">
        <f t="shared" ca="1" si="14"/>
        <v>0</v>
      </c>
      <c r="H16" s="176">
        <f t="shared" ca="1" si="14"/>
        <v>0</v>
      </c>
      <c r="I16" s="177">
        <f t="shared" ca="1" si="14"/>
        <v>1</v>
      </c>
      <c r="J16" s="176">
        <f t="shared" ca="1" si="14"/>
        <v>0</v>
      </c>
      <c r="K16" s="177">
        <f t="shared" ca="1" si="14"/>
        <v>0</v>
      </c>
      <c r="L16" s="176">
        <f t="shared" ca="1" si="14"/>
        <v>1</v>
      </c>
      <c r="M16" s="177">
        <f t="shared" ca="1" si="14"/>
        <v>1</v>
      </c>
      <c r="N16" s="256"/>
      <c r="O16" s="131"/>
      <c r="P16" s="171"/>
      <c r="Q16" s="175">
        <f t="shared" ref="Q16:Y16" ca="1" si="15">IF($D17&gt;0,FLOOR($D17/18,1),0)+IF(AND(MOD($D17,18)&gt;=Q$3,$D17&gt;0),1,0)-IF(Q$3-18&gt;$D17,1,0)</f>
        <v>0</v>
      </c>
      <c r="R16" s="176">
        <f t="shared" ca="1" si="15"/>
        <v>0</v>
      </c>
      <c r="S16" s="177">
        <f t="shared" ca="1" si="15"/>
        <v>1</v>
      </c>
      <c r="T16" s="176">
        <f t="shared" ca="1" si="15"/>
        <v>0</v>
      </c>
      <c r="U16" s="177">
        <f t="shared" ca="1" si="15"/>
        <v>1</v>
      </c>
      <c r="V16" s="176">
        <f t="shared" ca="1" si="15"/>
        <v>1</v>
      </c>
      <c r="W16" s="177">
        <f t="shared" ca="1" si="15"/>
        <v>0</v>
      </c>
      <c r="X16" s="176">
        <f t="shared" ca="1" si="15"/>
        <v>0</v>
      </c>
      <c r="Y16" s="177">
        <f t="shared" ca="1" si="15"/>
        <v>1</v>
      </c>
      <c r="Z16" s="179"/>
      <c r="AA16" s="180"/>
      <c r="AB16" s="135"/>
    </row>
    <row r="17" spans="1:28" ht="22.5" customHeight="1">
      <c r="A17" s="191" t="str">
        <f>'Match Selection'!Y5</f>
        <v>TJSC</v>
      </c>
      <c r="B17" s="257" t="str">
        <f>VLOOKUP(A17, 'Master Input'!$A$11:$B$27, 2, FALSE)</f>
        <v>TEES</v>
      </c>
      <c r="C17" s="192">
        <f ca="1">VLOOKUP(A17,'Master Input'!$A$11:$L$27,'Master Input'!$F$28, FALSE)</f>
        <v>14</v>
      </c>
      <c r="D17" s="184">
        <f ca="1">C17-SMALL($C$8:$C$17,1)</f>
        <v>7</v>
      </c>
      <c r="E17" s="185">
        <v>5</v>
      </c>
      <c r="F17" s="186">
        <v>5</v>
      </c>
      <c r="G17" s="187">
        <v>3</v>
      </c>
      <c r="H17" s="186">
        <v>5</v>
      </c>
      <c r="I17" s="187">
        <v>5</v>
      </c>
      <c r="J17" s="186">
        <v>5</v>
      </c>
      <c r="K17" s="187">
        <v>3</v>
      </c>
      <c r="L17" s="186">
        <v>4</v>
      </c>
      <c r="M17" s="187">
        <v>6</v>
      </c>
      <c r="N17" s="189">
        <f>IF(M17="","", SUM(E17:M17))</f>
        <v>41</v>
      </c>
      <c r="O17" s="131"/>
      <c r="P17" s="181" t="str">
        <f>A17</f>
        <v>TJSC</v>
      </c>
      <c r="Q17" s="185">
        <v>5</v>
      </c>
      <c r="R17" s="186">
        <v>4</v>
      </c>
      <c r="S17" s="187">
        <v>5</v>
      </c>
      <c r="T17" s="186">
        <v>2</v>
      </c>
      <c r="U17" s="187">
        <v>7</v>
      </c>
      <c r="V17" s="186">
        <v>5</v>
      </c>
      <c r="W17" s="187">
        <v>5</v>
      </c>
      <c r="X17" s="186">
        <v>3</v>
      </c>
      <c r="Y17" s="187">
        <v>4</v>
      </c>
      <c r="Z17" s="189">
        <f>IF(Y17="","", SUM(Q17:Y17))</f>
        <v>40</v>
      </c>
      <c r="AA17" s="190">
        <f>IF(Z17="", "", SUM(N17,Z17))</f>
        <v>81</v>
      </c>
      <c r="AB17" s="146">
        <f ca="1">IF(Y17="", "", AA17-C17)</f>
        <v>67</v>
      </c>
    </row>
    <row r="18" spans="1:28" ht="11.25" customHeight="1">
      <c r="A18" s="193"/>
      <c r="B18" s="193"/>
      <c r="C18" s="194"/>
      <c r="D18" s="193"/>
      <c r="E18" s="193"/>
      <c r="F18" s="193"/>
      <c r="G18" s="193"/>
      <c r="H18" s="193"/>
      <c r="I18" s="193"/>
      <c r="J18" s="193"/>
      <c r="K18" s="193"/>
      <c r="L18" s="193"/>
      <c r="M18" s="193"/>
      <c r="N18" s="195" t="s">
        <v>7</v>
      </c>
      <c r="O18" s="196"/>
      <c r="P18" s="193"/>
      <c r="Q18" s="193"/>
      <c r="R18" s="193"/>
      <c r="S18" s="193"/>
      <c r="T18" s="193"/>
      <c r="U18" s="193"/>
      <c r="V18" s="193"/>
      <c r="W18" s="193"/>
      <c r="X18" s="193"/>
      <c r="Y18" s="193"/>
      <c r="Z18" s="195" t="s">
        <v>9</v>
      </c>
      <c r="AA18" s="197" t="s">
        <v>29</v>
      </c>
    </row>
    <row r="19" spans="1:28" ht="22.5" customHeight="1">
      <c r="A19" s="198" t="str">
        <f>B8</f>
        <v>WEEZ</v>
      </c>
      <c r="B19" s="199"/>
      <c r="C19" s="200"/>
      <c r="D19" s="199"/>
      <c r="E19" s="201">
        <f t="shared" ref="E19:M19" si="16">IF(OR(E8="",E11="",E14="",E17=""),"",SUM(E25:E26))</f>
        <v>0</v>
      </c>
      <c r="F19" s="201">
        <f t="shared" si="16"/>
        <v>6</v>
      </c>
      <c r="G19" s="201">
        <f t="shared" si="16"/>
        <v>0</v>
      </c>
      <c r="H19" s="201">
        <f t="shared" si="16"/>
        <v>12</v>
      </c>
      <c r="I19" s="201">
        <f t="shared" si="16"/>
        <v>12</v>
      </c>
      <c r="J19" s="201">
        <f t="shared" si="16"/>
        <v>12</v>
      </c>
      <c r="K19" s="201">
        <f t="shared" si="16"/>
        <v>0</v>
      </c>
      <c r="L19" s="201">
        <f t="shared" si="16"/>
        <v>6</v>
      </c>
      <c r="M19" s="202">
        <f t="shared" si="16"/>
        <v>12</v>
      </c>
      <c r="N19" s="206">
        <f>IF(OR(E8="",E11="",E14="",E17=""),"", SUM(E19:M19))</f>
        <v>60</v>
      </c>
      <c r="O19" s="204"/>
      <c r="P19" s="205" t="str">
        <f>B8</f>
        <v>WEEZ</v>
      </c>
      <c r="Q19" s="201">
        <f t="shared" ref="Q19:Y19" si="17">IF(OR(Q8="",Q11="",Q14="",Q17=""),"",SUM(Q25:Q26))</f>
        <v>8</v>
      </c>
      <c r="R19" s="201">
        <f t="shared" si="17"/>
        <v>4</v>
      </c>
      <c r="S19" s="201">
        <f t="shared" si="17"/>
        <v>0</v>
      </c>
      <c r="T19" s="201">
        <f t="shared" si="17"/>
        <v>0</v>
      </c>
      <c r="U19" s="201">
        <f t="shared" si="17"/>
        <v>12</v>
      </c>
      <c r="V19" s="201">
        <f t="shared" si="17"/>
        <v>0</v>
      </c>
      <c r="W19" s="201">
        <f t="shared" si="17"/>
        <v>0</v>
      </c>
      <c r="X19" s="201">
        <f t="shared" si="17"/>
        <v>0</v>
      </c>
      <c r="Y19" s="202">
        <f t="shared" si="17"/>
        <v>0</v>
      </c>
      <c r="Z19" s="206">
        <f>IF(OR(Q8="",Q11="",Q14="",Q17=""),"", SUM(Q19:Y19))</f>
        <v>24</v>
      </c>
      <c r="AA19" s="206">
        <f>IF(OR(E8="",E11="",E14="",E17=""),"", SUM(N19,Z19))</f>
        <v>84</v>
      </c>
    </row>
    <row r="20" spans="1:28" ht="22.5" customHeight="1">
      <c r="A20" s="207" t="str">
        <f>B14</f>
        <v>TEES</v>
      </c>
      <c r="B20" s="208"/>
      <c r="C20" s="209"/>
      <c r="D20" s="208"/>
      <c r="E20" s="210">
        <f t="shared" ref="E20:M20" si="18">IF(OR(E8="",E11="",E14="",E17=""),"",SUM(E28:E29))</f>
        <v>12</v>
      </c>
      <c r="F20" s="210">
        <f t="shared" si="18"/>
        <v>6</v>
      </c>
      <c r="G20" s="210">
        <f t="shared" si="18"/>
        <v>12</v>
      </c>
      <c r="H20" s="210">
        <f t="shared" si="18"/>
        <v>0</v>
      </c>
      <c r="I20" s="210">
        <f t="shared" si="18"/>
        <v>0</v>
      </c>
      <c r="J20" s="210">
        <f t="shared" si="18"/>
        <v>0</v>
      </c>
      <c r="K20" s="210">
        <f t="shared" si="18"/>
        <v>12</v>
      </c>
      <c r="L20" s="210">
        <f t="shared" si="18"/>
        <v>6</v>
      </c>
      <c r="M20" s="211">
        <f t="shared" si="18"/>
        <v>0</v>
      </c>
      <c r="N20" s="214">
        <f>IF(OR(E8="",E11="",E14="",E17=""),"", SUM(E20:M20))</f>
        <v>48</v>
      </c>
      <c r="O20" s="204"/>
      <c r="P20" s="213" t="str">
        <f>B14</f>
        <v>TEES</v>
      </c>
      <c r="Q20" s="210">
        <f t="shared" ref="Q20:Y20" si="19">IF(OR(Q8="",Q11="",Q14="",Q17=""),"",SUM(Q28:Q29))</f>
        <v>4</v>
      </c>
      <c r="R20" s="210">
        <f t="shared" si="19"/>
        <v>8</v>
      </c>
      <c r="S20" s="210">
        <f t="shared" si="19"/>
        <v>12</v>
      </c>
      <c r="T20" s="210">
        <f t="shared" si="19"/>
        <v>12</v>
      </c>
      <c r="U20" s="210">
        <f t="shared" si="19"/>
        <v>0</v>
      </c>
      <c r="V20" s="210">
        <f t="shared" si="19"/>
        <v>12</v>
      </c>
      <c r="W20" s="210">
        <f t="shared" si="19"/>
        <v>12</v>
      </c>
      <c r="X20" s="210">
        <f t="shared" si="19"/>
        <v>12</v>
      </c>
      <c r="Y20" s="211">
        <f t="shared" si="19"/>
        <v>12</v>
      </c>
      <c r="Z20" s="214">
        <f>IF(OR(Q8="",Q11="",Q14="",Q17=""),"", SUM(Q20:Y20))</f>
        <v>84</v>
      </c>
      <c r="AA20" s="214">
        <f>IF(OR(E8="",E11="",E14="",E17=""),"", SUM(N20,Z20))</f>
        <v>132</v>
      </c>
      <c r="AB20" s="215" t="s">
        <v>30</v>
      </c>
    </row>
    <row r="21" spans="1:28" ht="22.5" customHeight="1">
      <c r="A21" s="216"/>
      <c r="B21" s="216"/>
      <c r="C21" s="216"/>
      <c r="D21" s="216"/>
      <c r="E21" s="216"/>
      <c r="F21" s="216"/>
      <c r="G21" s="216"/>
      <c r="H21" s="216"/>
      <c r="I21" s="216"/>
      <c r="J21" s="216"/>
      <c r="K21" s="216"/>
      <c r="L21" s="217" t="s">
        <v>31</v>
      </c>
      <c r="M21" s="218" t="str">
        <f>A19</f>
        <v>WEEZ</v>
      </c>
      <c r="N21" s="258">
        <f>IF(M19="","",IF(N19&gt;N20,VLOOKUP($B$2,'Master Input'!$O$10:$R$23,'Master Input'!$P$11,FALSE),IF(N19=N20,VLOOKUP($B$2,'Master Input'!$O$10:$R$23,'Master Input'!$P$11,FALSE)/2,0)))</f>
        <v>1</v>
      </c>
      <c r="O21" s="204"/>
      <c r="P21" s="216"/>
      <c r="Q21" s="216"/>
      <c r="R21" s="216"/>
      <c r="S21" s="216"/>
      <c r="T21" s="216"/>
      <c r="U21" s="216"/>
      <c r="V21" s="216"/>
      <c r="W21" s="216"/>
      <c r="X21" s="217" t="s">
        <v>31</v>
      </c>
      <c r="Y21" s="218" t="str">
        <f>P19</f>
        <v>WEEZ</v>
      </c>
      <c r="Z21" s="220">
        <f>IF(Y19="","",(IF(Z19&gt;Z20,VLOOKUP($B$2,'Master Input'!$O$10:$R$23,'Master Input'!$Q$11,FALSE),IF(Z19=Z20,VLOOKUP($B$2,'Master Input'!$O$10:$R$23,'Master Input'!$Q$11,FALSE)/2,0))))</f>
        <v>0</v>
      </c>
      <c r="AA21" s="221">
        <f>IF(Y19="","",IF(AA19&gt;AA20,VLOOKUP($B$2,'Master Input'!$O$10:$R$23,'Master Input'!$R$11,FALSE),IF(AA19=AA20,VLOOKUP($B$2,'Master Input'!$O$10:$R$23,'Master Input'!$R$11,FALSE)/2,0)))</f>
        <v>0</v>
      </c>
      <c r="AB21" s="221">
        <f>IF(Y19="","",IF(AA21="","", SUM(N21,Z21,AA21)))</f>
        <v>1</v>
      </c>
    </row>
    <row r="22" spans="1:28" ht="14.5" hidden="1">
      <c r="A22" s="216"/>
      <c r="B22" s="222">
        <v>1</v>
      </c>
      <c r="C22" s="222">
        <v>2</v>
      </c>
      <c r="D22" s="222">
        <v>3</v>
      </c>
      <c r="E22" s="222">
        <v>4</v>
      </c>
      <c r="F22" s="222">
        <v>5</v>
      </c>
      <c r="G22" s="222">
        <v>6</v>
      </c>
      <c r="H22" s="222">
        <v>7</v>
      </c>
      <c r="I22" s="222">
        <v>8</v>
      </c>
      <c r="J22" s="222">
        <v>9</v>
      </c>
      <c r="K22" s="222">
        <v>10</v>
      </c>
      <c r="L22" s="222">
        <v>11</v>
      </c>
      <c r="M22" s="222">
        <v>12</v>
      </c>
      <c r="N22" s="222">
        <v>13</v>
      </c>
      <c r="O22" s="222">
        <v>14</v>
      </c>
      <c r="P22" s="222">
        <v>15</v>
      </c>
      <c r="Q22" s="222">
        <v>16</v>
      </c>
      <c r="R22" s="222">
        <v>17</v>
      </c>
      <c r="S22" s="222">
        <v>18</v>
      </c>
      <c r="T22" s="222">
        <v>19</v>
      </c>
      <c r="U22" s="222">
        <v>20</v>
      </c>
      <c r="V22" s="222">
        <v>21</v>
      </c>
      <c r="W22" s="222">
        <v>22</v>
      </c>
      <c r="X22" s="222">
        <v>23</v>
      </c>
      <c r="Y22" s="222">
        <v>24</v>
      </c>
      <c r="Z22" s="223" t="s">
        <v>32</v>
      </c>
      <c r="AA22" s="223" t="s">
        <v>33</v>
      </c>
      <c r="AB22" s="223" t="s">
        <v>34</v>
      </c>
    </row>
    <row r="23" spans="1:28" ht="14.25" hidden="1" customHeight="1">
      <c r="A23" s="216"/>
      <c r="B23" s="216" t="s">
        <v>35</v>
      </c>
      <c r="C23" s="224"/>
      <c r="D23" s="216"/>
      <c r="E23" s="225">
        <v>12</v>
      </c>
      <c r="F23" s="225">
        <v>6</v>
      </c>
      <c r="G23" s="225">
        <v>6</v>
      </c>
      <c r="H23" s="225">
        <v>12</v>
      </c>
      <c r="I23" s="225">
        <v>12</v>
      </c>
      <c r="J23" s="225">
        <v>12</v>
      </c>
      <c r="K23" s="225">
        <v>12</v>
      </c>
      <c r="L23" s="225">
        <v>6</v>
      </c>
      <c r="M23" s="225">
        <v>12</v>
      </c>
      <c r="N23" s="216"/>
      <c r="O23" s="226"/>
      <c r="P23" s="216"/>
      <c r="Q23" s="225">
        <v>4</v>
      </c>
      <c r="R23" s="225">
        <v>4</v>
      </c>
      <c r="S23" s="225">
        <v>12</v>
      </c>
      <c r="T23" s="225">
        <v>12</v>
      </c>
      <c r="U23" s="225">
        <v>12</v>
      </c>
      <c r="V23" s="225">
        <v>6</v>
      </c>
      <c r="W23" s="225">
        <v>12</v>
      </c>
      <c r="X23" s="225">
        <v>12</v>
      </c>
      <c r="Y23" s="225">
        <v>12</v>
      </c>
      <c r="Z23" s="223" t="s">
        <v>36</v>
      </c>
      <c r="AA23" s="223" t="s">
        <v>37</v>
      </c>
      <c r="AB23" s="223" t="s">
        <v>38</v>
      </c>
    </row>
    <row r="24" spans="1:28" ht="14.25" hidden="1" customHeight="1">
      <c r="A24" s="227"/>
      <c r="B24" s="227" t="str">
        <f>B8</f>
        <v>WEEZ</v>
      </c>
      <c r="C24" s="228"/>
      <c r="D24" s="227"/>
      <c r="E24" s="227"/>
      <c r="F24" s="227"/>
      <c r="G24" s="227"/>
      <c r="H24" s="227"/>
      <c r="I24" s="227"/>
      <c r="J24" s="227"/>
      <c r="K24" s="227"/>
      <c r="L24" s="227"/>
      <c r="M24" s="227"/>
      <c r="N24" s="229">
        <f>SUM(E24:M24)</f>
        <v>0</v>
      </c>
      <c r="O24" s="227"/>
      <c r="P24" s="227"/>
      <c r="Q24" s="227"/>
      <c r="R24" s="227"/>
      <c r="S24" s="227"/>
      <c r="T24" s="227"/>
      <c r="U24" s="227"/>
      <c r="V24" s="227"/>
      <c r="W24" s="227"/>
      <c r="X24" s="227"/>
      <c r="Y24" s="227"/>
      <c r="Z24" s="230">
        <f>SUM(Z25:Z26)</f>
        <v>7</v>
      </c>
      <c r="AA24" s="230">
        <f>SUM(Z24,N24)</f>
        <v>7</v>
      </c>
      <c r="AB24" s="231"/>
    </row>
    <row r="25" spans="1:28" ht="14.25" hidden="1" customHeight="1">
      <c r="A25" s="216" t="str">
        <f>A8</f>
        <v>Jensen</v>
      </c>
      <c r="B25" s="216"/>
      <c r="C25" s="224"/>
      <c r="D25" s="216"/>
      <c r="E25" s="232">
        <v>0</v>
      </c>
      <c r="F25" s="232">
        <v>6</v>
      </c>
      <c r="G25" s="232">
        <v>0</v>
      </c>
      <c r="H25" s="232">
        <v>12</v>
      </c>
      <c r="I25" s="232">
        <v>0</v>
      </c>
      <c r="J25" s="232">
        <v>12</v>
      </c>
      <c r="K25" s="232">
        <v>0</v>
      </c>
      <c r="L25" s="232">
        <v>6</v>
      </c>
      <c r="M25" s="232">
        <v>0</v>
      </c>
      <c r="N25" s="216"/>
      <c r="O25" s="226"/>
      <c r="P25" s="216"/>
      <c r="Q25" s="232">
        <v>4</v>
      </c>
      <c r="R25" s="232">
        <v>4</v>
      </c>
      <c r="S25" s="232">
        <v>0</v>
      </c>
      <c r="T25" s="232">
        <v>0</v>
      </c>
      <c r="U25" s="232">
        <v>0</v>
      </c>
      <c r="V25" s="232">
        <v>0</v>
      </c>
      <c r="W25" s="232">
        <v>0</v>
      </c>
      <c r="X25" s="232">
        <v>0</v>
      </c>
      <c r="Y25" s="232">
        <v>0</v>
      </c>
      <c r="Z25" s="233">
        <f t="shared" ref="Z25:Z26" si="20">SUM(E25:M25,Q25:Y25)/12</f>
        <v>3.6666666666666665</v>
      </c>
      <c r="AA25" s="234">
        <f t="shared" ref="AA25:AA26" si="21">Z25/$Z$30*18</f>
        <v>3.6666666666666665</v>
      </c>
      <c r="AB25" s="233">
        <f t="shared" ref="AB25:AB26" si="22">$AB$21*AA25/AA$24</f>
        <v>0.52380952380952384</v>
      </c>
    </row>
    <row r="26" spans="1:28" ht="14.25" hidden="1" customHeight="1">
      <c r="A26" s="216" t="str">
        <f>A11</f>
        <v>Hile</v>
      </c>
      <c r="B26" s="216"/>
      <c r="C26" s="224"/>
      <c r="D26" s="216"/>
      <c r="E26" s="232">
        <v>0</v>
      </c>
      <c r="F26" s="232">
        <v>0</v>
      </c>
      <c r="G26" s="232">
        <v>0</v>
      </c>
      <c r="H26" s="232">
        <v>0</v>
      </c>
      <c r="I26" s="232">
        <v>12</v>
      </c>
      <c r="J26" s="232">
        <v>0</v>
      </c>
      <c r="K26" s="232">
        <v>0</v>
      </c>
      <c r="L26" s="232">
        <v>0</v>
      </c>
      <c r="M26" s="232">
        <v>12</v>
      </c>
      <c r="N26" s="216"/>
      <c r="O26" s="226"/>
      <c r="P26" s="216"/>
      <c r="Q26" s="232">
        <v>4</v>
      </c>
      <c r="R26" s="232">
        <v>0</v>
      </c>
      <c r="S26" s="232">
        <v>0</v>
      </c>
      <c r="T26" s="232">
        <v>0</v>
      </c>
      <c r="U26" s="232">
        <v>12</v>
      </c>
      <c r="V26" s="232">
        <v>0</v>
      </c>
      <c r="W26" s="232">
        <v>0</v>
      </c>
      <c r="X26" s="232">
        <v>0</v>
      </c>
      <c r="Y26" s="232">
        <v>0</v>
      </c>
      <c r="Z26" s="233">
        <f t="shared" si="20"/>
        <v>3.3333333333333335</v>
      </c>
      <c r="AA26" s="234">
        <f t="shared" si="21"/>
        <v>3.3333333333333335</v>
      </c>
      <c r="AB26" s="233">
        <f t="shared" si="22"/>
        <v>0.47619047619047622</v>
      </c>
    </row>
    <row r="27" spans="1:28" ht="14.25" hidden="1" customHeight="1">
      <c r="A27" s="227"/>
      <c r="B27" s="227" t="str">
        <f>B14</f>
        <v>TEES</v>
      </c>
      <c r="C27" s="228"/>
      <c r="D27" s="227"/>
      <c r="E27" s="227"/>
      <c r="F27" s="227"/>
      <c r="G27" s="227"/>
      <c r="H27" s="227"/>
      <c r="I27" s="227"/>
      <c r="J27" s="227"/>
      <c r="K27" s="227"/>
      <c r="L27" s="227"/>
      <c r="M27" s="227"/>
      <c r="N27" s="229">
        <f>SUM(E27:M27)</f>
        <v>0</v>
      </c>
      <c r="O27" s="227"/>
      <c r="P27" s="227"/>
      <c r="Q27" s="227"/>
      <c r="R27" s="227"/>
      <c r="S27" s="227"/>
      <c r="T27" s="227"/>
      <c r="U27" s="227"/>
      <c r="V27" s="227"/>
      <c r="W27" s="227"/>
      <c r="X27" s="227"/>
      <c r="Y27" s="227"/>
      <c r="Z27" s="230">
        <f>SUM(Z28:Z29)</f>
        <v>11</v>
      </c>
      <c r="AA27" s="230">
        <f>SUM(Z27,N27)</f>
        <v>11</v>
      </c>
      <c r="AB27" s="231"/>
    </row>
    <row r="28" spans="1:28" ht="14.25" hidden="1" customHeight="1">
      <c r="A28" s="216" t="str">
        <f>A14</f>
        <v>KJ</v>
      </c>
      <c r="B28" s="216"/>
      <c r="C28" s="224"/>
      <c r="D28" s="216"/>
      <c r="E28" s="232">
        <v>12</v>
      </c>
      <c r="F28" s="232">
        <v>6</v>
      </c>
      <c r="G28" s="232">
        <v>6</v>
      </c>
      <c r="H28" s="232">
        <v>0</v>
      </c>
      <c r="I28" s="232">
        <v>0</v>
      </c>
      <c r="J28" s="232">
        <v>0</v>
      </c>
      <c r="K28" s="232">
        <v>0</v>
      </c>
      <c r="L28" s="232">
        <v>0</v>
      </c>
      <c r="M28" s="232">
        <v>0</v>
      </c>
      <c r="N28" s="216"/>
      <c r="O28" s="226"/>
      <c r="P28" s="216"/>
      <c r="Q28" s="232">
        <v>4</v>
      </c>
      <c r="R28" s="232">
        <v>4</v>
      </c>
      <c r="S28" s="232">
        <v>0</v>
      </c>
      <c r="T28" s="232">
        <v>0</v>
      </c>
      <c r="U28" s="232">
        <v>0</v>
      </c>
      <c r="V28" s="232">
        <v>6</v>
      </c>
      <c r="W28" s="232">
        <v>12</v>
      </c>
      <c r="X28" s="232">
        <v>0</v>
      </c>
      <c r="Y28" s="232">
        <v>0</v>
      </c>
      <c r="Z28" s="233">
        <f t="shared" ref="Z28:Z29" si="23">SUM(E28:M28,Q28:Y28)/12</f>
        <v>4.166666666666667</v>
      </c>
      <c r="AA28" s="234">
        <f t="shared" ref="AA28:AA29" si="24">Z28/$Z$30*18</f>
        <v>4.166666666666667</v>
      </c>
      <c r="AB28" s="233">
        <f>(SUM('Master Input'!P$20:R$20)-$AB$21)*AA28/AA$27</f>
        <v>1.1363636363636365</v>
      </c>
    </row>
    <row r="29" spans="1:28" ht="14.25" hidden="1" customHeight="1">
      <c r="A29" s="216" t="str">
        <f>A17</f>
        <v>TJSC</v>
      </c>
      <c r="B29" s="216"/>
      <c r="C29" s="224"/>
      <c r="D29" s="216"/>
      <c r="E29" s="232">
        <v>0</v>
      </c>
      <c r="F29" s="232">
        <v>0</v>
      </c>
      <c r="G29" s="232">
        <v>6</v>
      </c>
      <c r="H29" s="232">
        <v>0</v>
      </c>
      <c r="I29" s="232">
        <v>0</v>
      </c>
      <c r="J29" s="232">
        <v>0</v>
      </c>
      <c r="K29" s="232">
        <v>12</v>
      </c>
      <c r="L29" s="232">
        <v>6</v>
      </c>
      <c r="M29" s="232">
        <v>0</v>
      </c>
      <c r="N29" s="216"/>
      <c r="O29" s="226"/>
      <c r="P29" s="216"/>
      <c r="Q29" s="232">
        <v>0</v>
      </c>
      <c r="R29" s="232">
        <v>4</v>
      </c>
      <c r="S29" s="232">
        <v>12</v>
      </c>
      <c r="T29" s="232">
        <v>12</v>
      </c>
      <c r="U29" s="232">
        <v>0</v>
      </c>
      <c r="V29" s="232">
        <v>6</v>
      </c>
      <c r="W29" s="232">
        <v>0</v>
      </c>
      <c r="X29" s="232">
        <v>12</v>
      </c>
      <c r="Y29" s="232">
        <v>12</v>
      </c>
      <c r="Z29" s="233">
        <f t="shared" si="23"/>
        <v>6.833333333333333</v>
      </c>
      <c r="AA29" s="234">
        <f t="shared" si="24"/>
        <v>6.833333333333333</v>
      </c>
      <c r="AB29" s="233">
        <f>(SUM('Master Input'!P$20:R$20)-$AB$21)*AA29/AA$27</f>
        <v>1.8636363636363635</v>
      </c>
    </row>
    <row r="30" spans="1:28" ht="14.25" hidden="1" customHeight="1">
      <c r="A30" s="216"/>
      <c r="B30" s="216"/>
      <c r="C30" s="224"/>
      <c r="D30" s="216"/>
      <c r="E30" s="232">
        <f t="shared" ref="E30:M30" si="25">SUM(E25:E26,E28:E29)</f>
        <v>12</v>
      </c>
      <c r="F30" s="232">
        <f t="shared" si="25"/>
        <v>12</v>
      </c>
      <c r="G30" s="232">
        <f t="shared" si="25"/>
        <v>12</v>
      </c>
      <c r="H30" s="232">
        <f t="shared" si="25"/>
        <v>12</v>
      </c>
      <c r="I30" s="232">
        <f t="shared" si="25"/>
        <v>12</v>
      </c>
      <c r="J30" s="232">
        <f t="shared" si="25"/>
        <v>12</v>
      </c>
      <c r="K30" s="232">
        <f t="shared" si="25"/>
        <v>12</v>
      </c>
      <c r="L30" s="232">
        <f t="shared" si="25"/>
        <v>12</v>
      </c>
      <c r="M30" s="232">
        <f t="shared" si="25"/>
        <v>12</v>
      </c>
      <c r="N30" s="216"/>
      <c r="O30" s="226"/>
      <c r="P30" s="216"/>
      <c r="Q30" s="232">
        <f t="shared" ref="Q30:Z30" si="26">SUM(Q25:Q26,Q28:Q29)</f>
        <v>12</v>
      </c>
      <c r="R30" s="232">
        <f t="shared" si="26"/>
        <v>12</v>
      </c>
      <c r="S30" s="232">
        <f t="shared" si="26"/>
        <v>12</v>
      </c>
      <c r="T30" s="232">
        <f t="shared" si="26"/>
        <v>12</v>
      </c>
      <c r="U30" s="232">
        <f t="shared" si="26"/>
        <v>12</v>
      </c>
      <c r="V30" s="232">
        <f t="shared" si="26"/>
        <v>12</v>
      </c>
      <c r="W30" s="232">
        <f t="shared" si="26"/>
        <v>12</v>
      </c>
      <c r="X30" s="232">
        <f t="shared" si="26"/>
        <v>12</v>
      </c>
      <c r="Y30" s="232">
        <f t="shared" si="26"/>
        <v>12</v>
      </c>
      <c r="Z30" s="233">
        <f t="shared" si="26"/>
        <v>18</v>
      </c>
      <c r="AA30" s="235"/>
      <c r="AB30" s="236"/>
    </row>
  </sheetData>
  <mergeCells count="1">
    <mergeCell ref="B2:B4"/>
  </mergeCells>
  <conditionalFormatting sqref="E8:M8 Q8:Y8">
    <cfRule type="expression" dxfId="106" priority="8">
      <formula>OR(E$25=12,AND(E$19=12,E$25=6))</formula>
    </cfRule>
    <cfRule type="expression" dxfId="105" priority="9">
      <formula>AND(E$25&gt;0,E$20&gt;0,E$19&lt;=E$20)</formula>
    </cfRule>
    <cfRule type="expression" dxfId="104" priority="11">
      <formula>AND(E$25&gt;0,E$20&gt;0,E$19&gt;E$20)</formula>
    </cfRule>
  </conditionalFormatting>
  <conditionalFormatting sqref="E11:M11 Q11:Y11">
    <cfRule type="expression" dxfId="103" priority="7">
      <formula>OR(E$26=12,AND(E$19=12,E$26=6))</formula>
    </cfRule>
    <cfRule type="expression" dxfId="102" priority="10">
      <formula>AND(E$26&gt;0,E$20&gt;0,E$19&lt;=E$20)</formula>
    </cfRule>
    <cfRule type="expression" dxfId="101" priority="12">
      <formula>AND(E$26&gt;0,E$20&gt;0,E$19&gt;E$20)</formula>
    </cfRule>
  </conditionalFormatting>
  <conditionalFormatting sqref="E14:M14 Q14:Y14">
    <cfRule type="expression" dxfId="100" priority="1">
      <formula>OR(E$28=12,AND(E$20=12,E$28=6))</formula>
    </cfRule>
    <cfRule type="expression" dxfId="99" priority="3">
      <formula>AND(E$28&gt;0,E$19&gt;0,E$19&gt;=E$20)</formula>
    </cfRule>
    <cfRule type="expression" dxfId="98" priority="5">
      <formula>AND(E$28&gt;0,E$19&gt;0,E$19&lt;E$20)</formula>
    </cfRule>
  </conditionalFormatting>
  <conditionalFormatting sqref="E17:M17 Q17:Y17">
    <cfRule type="expression" dxfId="97" priority="2">
      <formula>OR(E$29=12,AND(E$20=12,E$29=6))</formula>
    </cfRule>
    <cfRule type="expression" dxfId="96" priority="4">
      <formula>AND(E$29&gt;0,E$19&gt;0,E$19&gt;=E$20)</formula>
    </cfRule>
    <cfRule type="expression" dxfId="95" priority="6">
      <formula>AND(E$29&gt;0,E$19&gt;0,E$19&lt;E$20)</formula>
    </cfRule>
  </conditionalFormatting>
  <printOptions horizontalCentered="1" gridLines="1"/>
  <pageMargins left="0.6" right="0.25" top="0.5" bottom="0.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FC5E8"/>
    <outlinePr summaryBelow="0" summaryRight="0"/>
    <pageSetUpPr fitToPage="1"/>
  </sheetPr>
  <dimension ref="A1:AB32"/>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263" t="s">
        <v>15</v>
      </c>
      <c r="B1" s="264">
        <f>'Master Input'!G3</f>
        <v>0.33958333333333335</v>
      </c>
      <c r="C1" s="265" t="str">
        <f>'Master Input'!$G$2</f>
        <v>Round 2</v>
      </c>
      <c r="D1" s="266"/>
      <c r="E1" s="265" t="str">
        <f>'Master Input'!$G$6</f>
        <v>The Wolverine - White</v>
      </c>
      <c r="F1" s="266"/>
      <c r="G1" s="266"/>
      <c r="H1" s="266"/>
      <c r="I1" s="266"/>
      <c r="J1" s="266"/>
      <c r="K1" s="266"/>
      <c r="L1" s="266"/>
      <c r="M1" s="266"/>
      <c r="N1" s="266"/>
      <c r="O1" s="72"/>
      <c r="P1" s="265" t="str">
        <f>'Master Input'!$G$2&amp;" - "&amp;A1</f>
        <v>Round 2 - Group 1</v>
      </c>
      <c r="Q1" s="266"/>
      <c r="R1" s="266"/>
      <c r="S1" s="266"/>
      <c r="T1" s="266"/>
      <c r="U1" s="265" t="str">
        <f>'Master Input'!$G$6</f>
        <v>The Wolverine - White</v>
      </c>
      <c r="V1" s="266"/>
      <c r="W1" s="266"/>
      <c r="X1" s="266"/>
      <c r="Y1" s="266"/>
      <c r="Z1" s="266"/>
      <c r="AA1" s="267"/>
      <c r="AB1" s="268"/>
    </row>
    <row r="2" spans="1:28" ht="14.25" customHeight="1">
      <c r="A2" s="75" t="s">
        <v>16</v>
      </c>
      <c r="B2" s="1164" t="str">
        <f>'Match Selection'!B9</f>
        <v>Singles Matches</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10" t="s">
        <v>27</v>
      </c>
      <c r="AB5" s="110" t="s">
        <v>28</v>
      </c>
    </row>
    <row r="6" spans="1:28" ht="7.5" customHeight="1">
      <c r="A6" s="112"/>
      <c r="B6" s="112"/>
      <c r="C6" s="280"/>
      <c r="D6" s="281"/>
      <c r="E6" s="116" t="str">
        <f t="shared" ref="E6:M6" ca="1" si="0">IF(E7=1,"O", IF(E7=2,"O   O",""))</f>
        <v/>
      </c>
      <c r="F6" s="116" t="str">
        <f t="shared" ca="1" si="0"/>
        <v/>
      </c>
      <c r="G6" s="116" t="str">
        <f t="shared" ca="1" si="0"/>
        <v/>
      </c>
      <c r="H6" s="116" t="str">
        <f t="shared" ca="1" si="0"/>
        <v/>
      </c>
      <c r="I6" s="116" t="str">
        <f t="shared" ca="1" si="0"/>
        <v/>
      </c>
      <c r="J6" s="116" t="str">
        <f t="shared" ca="1" si="0"/>
        <v/>
      </c>
      <c r="K6" s="116" t="str">
        <f t="shared" ca="1" si="0"/>
        <v/>
      </c>
      <c r="L6" s="116" t="str">
        <f t="shared" ca="1" si="0"/>
        <v/>
      </c>
      <c r="M6" s="116" t="str">
        <f t="shared" ca="1" si="0"/>
        <v/>
      </c>
      <c r="N6" s="282"/>
      <c r="O6" s="118"/>
      <c r="P6" s="283"/>
      <c r="Q6" s="116" t="str">
        <f t="shared" ref="Q6:Y6" ca="1" si="1">IF(Q7=1,"O", IF(Q7=2,"O   O",""))</f>
        <v/>
      </c>
      <c r="R6" s="116" t="str">
        <f t="shared" ca="1" si="1"/>
        <v/>
      </c>
      <c r="S6" s="116" t="str">
        <f t="shared" ca="1" si="1"/>
        <v/>
      </c>
      <c r="T6" s="116" t="str">
        <f t="shared" ca="1" si="1"/>
        <v/>
      </c>
      <c r="U6" s="116" t="str">
        <f t="shared" ca="1" si="1"/>
        <v/>
      </c>
      <c r="V6" s="116" t="str">
        <f t="shared" ca="1" si="1"/>
        <v/>
      </c>
      <c r="W6" s="116" t="str">
        <f t="shared" ca="1" si="1"/>
        <v/>
      </c>
      <c r="X6" s="116" t="str">
        <f t="shared" ca="1" si="1"/>
        <v/>
      </c>
      <c r="Y6" s="116" t="str">
        <f t="shared" ca="1" si="1"/>
        <v/>
      </c>
      <c r="Z6" s="284"/>
      <c r="AA6" s="285"/>
      <c r="AB6" s="285"/>
    </row>
    <row r="7" spans="1:28" ht="22.5" hidden="1" customHeight="1">
      <c r="A7" s="123"/>
      <c r="B7" s="124"/>
      <c r="C7" s="286"/>
      <c r="D7" s="287"/>
      <c r="E7" s="288">
        <f t="shared" ref="E7:M7" ca="1" si="2">IF($D8&gt;0,FLOOR($D8/18,1),0)+IF(AND(MOD($D8,18)&gt;=E$3,$D8&gt;0),1,0)-IF(E$3-18&gt;$D8,1,0)</f>
        <v>0</v>
      </c>
      <c r="F7" s="288">
        <f t="shared" ca="1" si="2"/>
        <v>0</v>
      </c>
      <c r="G7" s="288">
        <f t="shared" ca="1" si="2"/>
        <v>0</v>
      </c>
      <c r="H7" s="288">
        <f t="shared" ca="1" si="2"/>
        <v>0</v>
      </c>
      <c r="I7" s="288">
        <f t="shared" ca="1" si="2"/>
        <v>0</v>
      </c>
      <c r="J7" s="288">
        <f t="shared" ca="1" si="2"/>
        <v>0</v>
      </c>
      <c r="K7" s="288">
        <f t="shared" ca="1" si="2"/>
        <v>0</v>
      </c>
      <c r="L7" s="288">
        <f t="shared" ca="1" si="2"/>
        <v>0</v>
      </c>
      <c r="M7" s="288">
        <f t="shared" ca="1" si="2"/>
        <v>0</v>
      </c>
      <c r="N7" s="289"/>
      <c r="O7" s="131"/>
      <c r="P7" s="290"/>
      <c r="Q7" s="288">
        <f t="shared" ref="Q7:Y7" ca="1" si="3">IF($D8&gt;0,FLOOR($D8/18,1),0)+IF(AND(MOD($D8,18)&gt;=Q$3,$D8&gt;0),1,0)-IF(Q$3-18&gt;$D8,1,0)</f>
        <v>0</v>
      </c>
      <c r="R7" s="288">
        <f t="shared" ca="1" si="3"/>
        <v>0</v>
      </c>
      <c r="S7" s="288">
        <f t="shared" ca="1" si="3"/>
        <v>0</v>
      </c>
      <c r="T7" s="288">
        <f t="shared" ca="1" si="3"/>
        <v>0</v>
      </c>
      <c r="U7" s="288">
        <f t="shared" ca="1" si="3"/>
        <v>0</v>
      </c>
      <c r="V7" s="288">
        <f t="shared" ca="1" si="3"/>
        <v>0</v>
      </c>
      <c r="W7" s="288">
        <f t="shared" ca="1" si="3"/>
        <v>0</v>
      </c>
      <c r="X7" s="288">
        <f t="shared" ca="1" si="3"/>
        <v>0</v>
      </c>
      <c r="Y7" s="288">
        <f t="shared" ca="1" si="3"/>
        <v>0</v>
      </c>
      <c r="Z7" s="289"/>
      <c r="AA7" s="291"/>
      <c r="AB7" s="291"/>
    </row>
    <row r="8" spans="1:28" ht="22.5" customHeight="1">
      <c r="A8" s="136" t="str">
        <f>'Match Selection'!D9</f>
        <v>Jensen</v>
      </c>
      <c r="B8" s="137" t="str">
        <f>VLOOKUP(A8, 'Master Input'!$A$11:$B$27, 2, FALSE)</f>
        <v>WEEZ</v>
      </c>
      <c r="C8" s="292">
        <f ca="1">VLOOKUP(A8,'Master Input'!$A$11:$L$27,'Master Input'!$H$28, FALSE)</f>
        <v>5</v>
      </c>
      <c r="D8" s="293">
        <f ca="1">C8-SMALL($C$8:$C$11,1)</f>
        <v>0</v>
      </c>
      <c r="E8" s="294">
        <v>5</v>
      </c>
      <c r="F8" s="294">
        <v>4</v>
      </c>
      <c r="G8" s="294">
        <v>4</v>
      </c>
      <c r="H8" s="294">
        <v>6</v>
      </c>
      <c r="I8" s="294">
        <v>3</v>
      </c>
      <c r="J8" s="294">
        <v>5</v>
      </c>
      <c r="K8" s="294">
        <v>4</v>
      </c>
      <c r="L8" s="294">
        <v>5</v>
      </c>
      <c r="M8" s="294">
        <v>3</v>
      </c>
      <c r="N8" s="295">
        <f>IF(M8="","", SUM(E8:M8))</f>
        <v>39</v>
      </c>
      <c r="O8" s="131"/>
      <c r="P8" s="296" t="str">
        <f>A8</f>
        <v>Jensen</v>
      </c>
      <c r="Q8" s="294">
        <v>4</v>
      </c>
      <c r="R8" s="294">
        <v>6</v>
      </c>
      <c r="S8" s="294">
        <v>3</v>
      </c>
      <c r="T8" s="294">
        <v>4</v>
      </c>
      <c r="U8" s="294">
        <v>4</v>
      </c>
      <c r="V8" s="294">
        <v>5</v>
      </c>
      <c r="W8" s="294">
        <v>4</v>
      </c>
      <c r="X8" s="294">
        <v>4</v>
      </c>
      <c r="Y8" s="294">
        <v>6</v>
      </c>
      <c r="Z8" s="295">
        <f>IF(Y8="","", SUM(Q8:Y8))</f>
        <v>40</v>
      </c>
      <c r="AA8" s="297">
        <f>IF(Z8="", "", SUM(N8,Z8))</f>
        <v>79</v>
      </c>
      <c r="AB8" s="298">
        <f ca="1">IF(Y8="", "", AA8-C8)</f>
        <v>74</v>
      </c>
    </row>
    <row r="9" spans="1:28" ht="7.5" customHeight="1">
      <c r="A9" s="299"/>
      <c r="B9" s="300"/>
      <c r="C9" s="301"/>
      <c r="D9" s="302"/>
      <c r="E9" s="165" t="str">
        <f t="shared" ref="E9:M9" ca="1" si="4">IF(E10=1,"O", IF(E10=2,"O   O",""))</f>
        <v/>
      </c>
      <c r="F9" s="165" t="str">
        <f t="shared" ca="1" si="4"/>
        <v/>
      </c>
      <c r="G9" s="165" t="str">
        <f t="shared" ca="1" si="4"/>
        <v>O</v>
      </c>
      <c r="H9" s="165" t="str">
        <f t="shared" ca="1" si="4"/>
        <v/>
      </c>
      <c r="I9" s="165" t="str">
        <f t="shared" ca="1" si="4"/>
        <v/>
      </c>
      <c r="J9" s="165" t="str">
        <f t="shared" ca="1" si="4"/>
        <v/>
      </c>
      <c r="K9" s="165" t="str">
        <f t="shared" ca="1" si="4"/>
        <v/>
      </c>
      <c r="L9" s="165" t="str">
        <f t="shared" ca="1" si="4"/>
        <v/>
      </c>
      <c r="M9" s="165" t="str">
        <f t="shared" ca="1" si="4"/>
        <v/>
      </c>
      <c r="N9" s="303"/>
      <c r="O9" s="118"/>
      <c r="P9" s="304"/>
      <c r="Q9" s="165" t="str">
        <f t="shared" ref="Q9:Y9" ca="1" si="5">IF(Q10=1,"O", IF(Q10=2,"O   O",""))</f>
        <v/>
      </c>
      <c r="R9" s="165" t="str">
        <f t="shared" ca="1" si="5"/>
        <v>O</v>
      </c>
      <c r="S9" s="165" t="str">
        <f t="shared" ca="1" si="5"/>
        <v/>
      </c>
      <c r="T9" s="165" t="str">
        <f t="shared" ca="1" si="5"/>
        <v/>
      </c>
      <c r="U9" s="165" t="str">
        <f t="shared" ca="1" si="5"/>
        <v/>
      </c>
      <c r="V9" s="165" t="str">
        <f t="shared" ca="1" si="5"/>
        <v/>
      </c>
      <c r="W9" s="165" t="str">
        <f t="shared" ca="1" si="5"/>
        <v/>
      </c>
      <c r="X9" s="165" t="str">
        <f t="shared" ca="1" si="5"/>
        <v/>
      </c>
      <c r="Y9" s="165" t="str">
        <f t="shared" ca="1" si="5"/>
        <v/>
      </c>
      <c r="Z9" s="303"/>
      <c r="AA9" s="305"/>
      <c r="AB9" s="306"/>
    </row>
    <row r="10" spans="1:28" ht="22.5" hidden="1" customHeight="1">
      <c r="A10" s="171"/>
      <c r="B10" s="172"/>
      <c r="C10" s="307"/>
      <c r="D10" s="308"/>
      <c r="E10" s="177">
        <f t="shared" ref="E10:M10" ca="1" si="6">IF($D11&gt;0,FLOOR($D11/18,1),0)+IF(AND(MOD($D11,18)&gt;=E$3,$D11&gt;0),1,0)-IF(E$3-18&gt;$D11,1,0)</f>
        <v>0</v>
      </c>
      <c r="F10" s="177">
        <f t="shared" ca="1" si="6"/>
        <v>0</v>
      </c>
      <c r="G10" s="177">
        <f t="shared" ca="1" si="6"/>
        <v>1</v>
      </c>
      <c r="H10" s="177">
        <f t="shared" ca="1" si="6"/>
        <v>0</v>
      </c>
      <c r="I10" s="177">
        <f t="shared" ca="1" si="6"/>
        <v>0</v>
      </c>
      <c r="J10" s="177">
        <f t="shared" ca="1" si="6"/>
        <v>0</v>
      </c>
      <c r="K10" s="177">
        <f t="shared" ca="1" si="6"/>
        <v>0</v>
      </c>
      <c r="L10" s="177">
        <f t="shared" ca="1" si="6"/>
        <v>0</v>
      </c>
      <c r="M10" s="177">
        <f t="shared" ca="1" si="6"/>
        <v>0</v>
      </c>
      <c r="N10" s="289"/>
      <c r="O10" s="131"/>
      <c r="P10" s="309"/>
      <c r="Q10" s="177">
        <f t="shared" ref="Q10:Y10" ca="1" si="7">IF($D11&gt;0,FLOOR($D11/18,1),0)+IF(AND(MOD($D11,18)&gt;=Q$3,$D11&gt;0),1,0)-IF(Q$3-18&gt;$D11,1,0)</f>
        <v>0</v>
      </c>
      <c r="R10" s="177">
        <f t="shared" ca="1" si="7"/>
        <v>1</v>
      </c>
      <c r="S10" s="177">
        <f t="shared" ca="1" si="7"/>
        <v>0</v>
      </c>
      <c r="T10" s="177">
        <f t="shared" ca="1" si="7"/>
        <v>0</v>
      </c>
      <c r="U10" s="177">
        <f t="shared" ca="1" si="7"/>
        <v>0</v>
      </c>
      <c r="V10" s="177">
        <f t="shared" ca="1" si="7"/>
        <v>0</v>
      </c>
      <c r="W10" s="177">
        <f t="shared" ca="1" si="7"/>
        <v>0</v>
      </c>
      <c r="X10" s="177">
        <f t="shared" ca="1" si="7"/>
        <v>0</v>
      </c>
      <c r="Y10" s="177">
        <f t="shared" ca="1" si="7"/>
        <v>0</v>
      </c>
      <c r="Z10" s="289"/>
      <c r="AA10" s="291"/>
      <c r="AB10" s="310"/>
    </row>
    <row r="11" spans="1:28" ht="22.5" customHeight="1">
      <c r="A11" s="181" t="str">
        <f>'Match Selection'!G9</f>
        <v>CuzNick</v>
      </c>
      <c r="B11" s="182" t="str">
        <f>VLOOKUP(A11, 'Master Input'!$A$11:$B$27, 2, FALSE)</f>
        <v>TEES</v>
      </c>
      <c r="C11" s="311">
        <f ca="1">VLOOKUP(A11,'Master Input'!$A$11:$L$27,'Master Input'!$H$28, FALSE)</f>
        <v>7</v>
      </c>
      <c r="D11" s="312">
        <f ca="1">C11-SMALL($C$8:$C$11,1)</f>
        <v>2</v>
      </c>
      <c r="E11" s="313">
        <v>4</v>
      </c>
      <c r="F11" s="313">
        <v>4</v>
      </c>
      <c r="G11" s="313">
        <v>7</v>
      </c>
      <c r="H11" s="313">
        <v>5</v>
      </c>
      <c r="I11" s="313">
        <v>3</v>
      </c>
      <c r="J11" s="313">
        <v>6</v>
      </c>
      <c r="K11" s="313">
        <v>4</v>
      </c>
      <c r="L11" s="313">
        <v>5</v>
      </c>
      <c r="M11" s="313">
        <v>3</v>
      </c>
      <c r="N11" s="295">
        <f>IF(M11="","", SUM(E11:M11))</f>
        <v>41</v>
      </c>
      <c r="O11" s="131"/>
      <c r="P11" s="314" t="str">
        <f>A11</f>
        <v>CuzNick</v>
      </c>
      <c r="Q11" s="313">
        <v>6</v>
      </c>
      <c r="R11" s="313">
        <v>6</v>
      </c>
      <c r="S11" s="313">
        <v>3</v>
      </c>
      <c r="T11" s="313">
        <v>4</v>
      </c>
      <c r="U11" s="313">
        <v>4</v>
      </c>
      <c r="V11" s="313">
        <v>5</v>
      </c>
      <c r="W11" s="313">
        <v>8</v>
      </c>
      <c r="X11" s="313">
        <v>4</v>
      </c>
      <c r="Y11" s="313">
        <v>6</v>
      </c>
      <c r="Z11" s="295">
        <f>IF(Y11="","", SUM(Q11:Y11))</f>
        <v>46</v>
      </c>
      <c r="AA11" s="297">
        <f>IF(Z11="", "", SUM(N11,Z11))</f>
        <v>87</v>
      </c>
      <c r="AB11" s="298">
        <f ca="1">IF(Y11="", "", AA11-C11)</f>
        <v>80</v>
      </c>
    </row>
    <row r="12" spans="1:28" ht="7.5" customHeight="1">
      <c r="A12" s="245"/>
      <c r="B12" s="148"/>
      <c r="C12" s="315"/>
      <c r="D12" s="316"/>
      <c r="E12" s="317" t="str">
        <f t="shared" ref="E12:M12" ca="1" si="8">IF(E13=1,"O", IF(E13=2,"O   O",""))</f>
        <v/>
      </c>
      <c r="F12" s="317" t="str">
        <f t="shared" ca="1" si="8"/>
        <v/>
      </c>
      <c r="G12" s="317" t="str">
        <f t="shared" ca="1" si="8"/>
        <v/>
      </c>
      <c r="H12" s="317" t="str">
        <f t="shared" ca="1" si="8"/>
        <v/>
      </c>
      <c r="I12" s="317" t="str">
        <f t="shared" ca="1" si="8"/>
        <v/>
      </c>
      <c r="J12" s="317" t="str">
        <f t="shared" ca="1" si="8"/>
        <v/>
      </c>
      <c r="K12" s="317" t="str">
        <f t="shared" ca="1" si="8"/>
        <v/>
      </c>
      <c r="L12" s="317" t="str">
        <f t="shared" ca="1" si="8"/>
        <v/>
      </c>
      <c r="M12" s="317" t="str">
        <f t="shared" ca="1" si="8"/>
        <v/>
      </c>
      <c r="N12" s="318"/>
      <c r="O12" s="118"/>
      <c r="P12" s="319"/>
      <c r="Q12" s="317" t="str">
        <f t="shared" ref="Q12:Y12" ca="1" si="9">IF(Q13=1,"O", IF(Q13=2,"O   O",""))</f>
        <v/>
      </c>
      <c r="R12" s="317" t="str">
        <f t="shared" ca="1" si="9"/>
        <v/>
      </c>
      <c r="S12" s="317" t="str">
        <f t="shared" ca="1" si="9"/>
        <v/>
      </c>
      <c r="T12" s="317" t="str">
        <f t="shared" ca="1" si="9"/>
        <v/>
      </c>
      <c r="U12" s="317" t="str">
        <f t="shared" ca="1" si="9"/>
        <v/>
      </c>
      <c r="V12" s="317" t="str">
        <f t="shared" ca="1" si="9"/>
        <v/>
      </c>
      <c r="W12" s="317" t="str">
        <f t="shared" ca="1" si="9"/>
        <v/>
      </c>
      <c r="X12" s="317" t="str">
        <f t="shared" ca="1" si="9"/>
        <v/>
      </c>
      <c r="Y12" s="317" t="str">
        <f t="shared" ca="1" si="9"/>
        <v/>
      </c>
      <c r="Z12" s="303"/>
      <c r="AA12" s="305"/>
      <c r="AB12" s="320"/>
    </row>
    <row r="13" spans="1:28" ht="22.5" hidden="1" customHeight="1">
      <c r="A13" s="123"/>
      <c r="B13" s="124"/>
      <c r="C13" s="286"/>
      <c r="D13" s="287"/>
      <c r="E13" s="321">
        <f t="shared" ref="E13:M13" ca="1" si="10">IF($D14&gt;0,FLOOR($D14/18,1),0)+IF(AND(MOD($D14,18)&gt;=E$3,$D14&gt;0),1,0)-IF(E$3-18&gt;$D14,1,0)</f>
        <v>0</v>
      </c>
      <c r="F13" s="321">
        <f t="shared" ca="1" si="10"/>
        <v>0</v>
      </c>
      <c r="G13" s="321">
        <f t="shared" ca="1" si="10"/>
        <v>0</v>
      </c>
      <c r="H13" s="321">
        <f t="shared" ca="1" si="10"/>
        <v>0</v>
      </c>
      <c r="I13" s="321">
        <f t="shared" ca="1" si="10"/>
        <v>0</v>
      </c>
      <c r="J13" s="321">
        <f t="shared" ca="1" si="10"/>
        <v>0</v>
      </c>
      <c r="K13" s="321">
        <f t="shared" ca="1" si="10"/>
        <v>0</v>
      </c>
      <c r="L13" s="321">
        <f t="shared" ca="1" si="10"/>
        <v>0</v>
      </c>
      <c r="M13" s="321">
        <f t="shared" ca="1" si="10"/>
        <v>0</v>
      </c>
      <c r="N13" s="289"/>
      <c r="O13" s="131"/>
      <c r="P13" s="290"/>
      <c r="Q13" s="321">
        <f t="shared" ref="Q13:Y13" ca="1" si="11">IF($D14&gt;0,FLOOR($D14/18,1),0)+IF(AND(MOD($D14,18)&gt;=Q$3,$D14&gt;0),1,0)-IF(Q$3-18&gt;$D14,1,0)</f>
        <v>0</v>
      </c>
      <c r="R13" s="321">
        <f t="shared" ca="1" si="11"/>
        <v>0</v>
      </c>
      <c r="S13" s="321">
        <f t="shared" ca="1" si="11"/>
        <v>0</v>
      </c>
      <c r="T13" s="321">
        <f t="shared" ca="1" si="11"/>
        <v>0</v>
      </c>
      <c r="U13" s="321">
        <f t="shared" ca="1" si="11"/>
        <v>0</v>
      </c>
      <c r="V13" s="321">
        <f t="shared" ca="1" si="11"/>
        <v>0</v>
      </c>
      <c r="W13" s="321">
        <f t="shared" ca="1" si="11"/>
        <v>0</v>
      </c>
      <c r="X13" s="321">
        <f t="shared" ca="1" si="11"/>
        <v>0</v>
      </c>
      <c r="Y13" s="321">
        <f t="shared" ca="1" si="11"/>
        <v>0</v>
      </c>
      <c r="Z13" s="289"/>
      <c r="AA13" s="291"/>
      <c r="AB13" s="310"/>
    </row>
    <row r="14" spans="1:28" ht="22.5" customHeight="1">
      <c r="A14" s="136" t="str">
        <f>'Match Selection'!D10</f>
        <v>Elger</v>
      </c>
      <c r="B14" s="137" t="str">
        <f>VLOOKUP(A14, 'Master Input'!$A$11:$B$27, 2, FALSE)</f>
        <v>WEEZ</v>
      </c>
      <c r="C14" s="292">
        <f ca="1">VLOOKUP(A14,'Master Input'!$A$11:$L$27,'Master Input'!$H$28, FALSE)</f>
        <v>3</v>
      </c>
      <c r="D14" s="293">
        <f ca="1">C14-SMALL($C$14:$C$17,1)</f>
        <v>0</v>
      </c>
      <c r="E14" s="322">
        <v>5</v>
      </c>
      <c r="F14" s="322">
        <v>6</v>
      </c>
      <c r="G14" s="322">
        <v>6</v>
      </c>
      <c r="H14" s="322">
        <v>4</v>
      </c>
      <c r="I14" s="322">
        <v>3</v>
      </c>
      <c r="J14" s="322">
        <v>4</v>
      </c>
      <c r="K14" s="322">
        <v>4</v>
      </c>
      <c r="L14" s="322">
        <v>5</v>
      </c>
      <c r="M14" s="322">
        <v>5</v>
      </c>
      <c r="N14" s="295">
        <f>IF(M14="","", SUM(E14:M14))</f>
        <v>42</v>
      </c>
      <c r="O14" s="131"/>
      <c r="P14" s="296" t="str">
        <f>A14</f>
        <v>Elger</v>
      </c>
      <c r="Q14" s="322">
        <v>5</v>
      </c>
      <c r="R14" s="322">
        <v>5</v>
      </c>
      <c r="S14" s="322">
        <v>3</v>
      </c>
      <c r="T14" s="322">
        <v>4</v>
      </c>
      <c r="U14" s="322">
        <v>4</v>
      </c>
      <c r="V14" s="322">
        <v>4</v>
      </c>
      <c r="W14" s="322">
        <v>7</v>
      </c>
      <c r="X14" s="322">
        <v>4</v>
      </c>
      <c r="Y14" s="322">
        <v>6</v>
      </c>
      <c r="Z14" s="295">
        <f>IF(Y14="","", SUM(Q14:Y14))</f>
        <v>42</v>
      </c>
      <c r="AA14" s="297">
        <f>IF(Z14="", "", SUM(N14,Z14))</f>
        <v>84</v>
      </c>
      <c r="AB14" s="298">
        <f ca="1">IF(Y14="", "", AA14-C14)</f>
        <v>81</v>
      </c>
    </row>
    <row r="15" spans="1:28" ht="7.5" customHeight="1">
      <c r="A15" s="159"/>
      <c r="B15" s="160"/>
      <c r="C15" s="323"/>
      <c r="D15" s="324"/>
      <c r="E15" s="165" t="str">
        <f t="shared" ref="E15:M15" ca="1" si="12">IF(E16=1,"O", IF(E16=2,"O   O",""))</f>
        <v/>
      </c>
      <c r="F15" s="165" t="str">
        <f t="shared" ca="1" si="12"/>
        <v/>
      </c>
      <c r="G15" s="165" t="str">
        <f t="shared" ca="1" si="12"/>
        <v>O</v>
      </c>
      <c r="H15" s="165" t="str">
        <f t="shared" ca="1" si="12"/>
        <v/>
      </c>
      <c r="I15" s="165" t="str">
        <f t="shared" ca="1" si="12"/>
        <v/>
      </c>
      <c r="J15" s="165" t="str">
        <f t="shared" ca="1" si="12"/>
        <v>O</v>
      </c>
      <c r="K15" s="165" t="str">
        <f t="shared" ca="1" si="12"/>
        <v/>
      </c>
      <c r="L15" s="165" t="str">
        <f t="shared" ca="1" si="12"/>
        <v/>
      </c>
      <c r="M15" s="165" t="str">
        <f t="shared" ca="1" si="12"/>
        <v/>
      </c>
      <c r="N15" s="325"/>
      <c r="O15" s="118"/>
      <c r="P15" s="326"/>
      <c r="Q15" s="165" t="str">
        <f t="shared" ref="Q15:Y15" ca="1" si="13">IF(Q16=1,"O", IF(Q16=2,"O   O",""))</f>
        <v>O</v>
      </c>
      <c r="R15" s="165" t="str">
        <f t="shared" ca="1" si="13"/>
        <v>O</v>
      </c>
      <c r="S15" s="165" t="str">
        <f t="shared" ca="1" si="13"/>
        <v/>
      </c>
      <c r="T15" s="165" t="str">
        <f t="shared" ca="1" si="13"/>
        <v/>
      </c>
      <c r="U15" s="165" t="str">
        <f t="shared" ca="1" si="13"/>
        <v/>
      </c>
      <c r="V15" s="165" t="str">
        <f t="shared" ca="1" si="13"/>
        <v/>
      </c>
      <c r="W15" s="165" t="str">
        <f t="shared" ca="1" si="13"/>
        <v/>
      </c>
      <c r="X15" s="165" t="str">
        <f t="shared" ca="1" si="13"/>
        <v/>
      </c>
      <c r="Y15" s="165" t="str">
        <f t="shared" ca="1" si="13"/>
        <v/>
      </c>
      <c r="Z15" s="325"/>
      <c r="AA15" s="327"/>
      <c r="AB15" s="320"/>
    </row>
    <row r="16" spans="1:28" ht="22.5" hidden="1" customHeight="1">
      <c r="A16" s="171"/>
      <c r="B16" s="172"/>
      <c r="C16" s="307"/>
      <c r="D16" s="308"/>
      <c r="E16" s="177">
        <f t="shared" ref="E16:M16" ca="1" si="14">IF($D17&gt;0,FLOOR($D17/18,1),0)+IF(AND(MOD($D17,18)&gt;=E$3,$D17&gt;0),1,0)-IF(E$3-18&gt;$D17,1,0)</f>
        <v>0</v>
      </c>
      <c r="F16" s="177">
        <f t="shared" ca="1" si="14"/>
        <v>0</v>
      </c>
      <c r="G16" s="177">
        <f t="shared" ca="1" si="14"/>
        <v>1</v>
      </c>
      <c r="H16" s="177">
        <f t="shared" ca="1" si="14"/>
        <v>0</v>
      </c>
      <c r="I16" s="177">
        <f t="shared" ca="1" si="14"/>
        <v>0</v>
      </c>
      <c r="J16" s="177">
        <f t="shared" ca="1" si="14"/>
        <v>1</v>
      </c>
      <c r="K16" s="177">
        <f t="shared" ca="1" si="14"/>
        <v>0</v>
      </c>
      <c r="L16" s="177">
        <f t="shared" ca="1" si="14"/>
        <v>0</v>
      </c>
      <c r="M16" s="177">
        <f t="shared" ca="1" si="14"/>
        <v>0</v>
      </c>
      <c r="N16" s="289"/>
      <c r="O16" s="131"/>
      <c r="P16" s="309"/>
      <c r="Q16" s="177">
        <f t="shared" ref="Q16:Y16" ca="1" si="15">IF($D17&gt;0,FLOOR($D17/18,1),0)+IF(AND(MOD($D17,18)&gt;=Q$3,$D17&gt;0),1,0)-IF(Q$3-18&gt;$D17,1,0)</f>
        <v>1</v>
      </c>
      <c r="R16" s="177">
        <f t="shared" ca="1" si="15"/>
        <v>1</v>
      </c>
      <c r="S16" s="177">
        <f t="shared" ca="1" si="15"/>
        <v>0</v>
      </c>
      <c r="T16" s="177">
        <f t="shared" ca="1" si="15"/>
        <v>0</v>
      </c>
      <c r="U16" s="177">
        <f t="shared" ca="1" si="15"/>
        <v>0</v>
      </c>
      <c r="V16" s="177">
        <f t="shared" ca="1" si="15"/>
        <v>0</v>
      </c>
      <c r="W16" s="177">
        <f t="shared" ca="1" si="15"/>
        <v>0</v>
      </c>
      <c r="X16" s="177">
        <f t="shared" ca="1" si="15"/>
        <v>0</v>
      </c>
      <c r="Y16" s="177">
        <f t="shared" ca="1" si="15"/>
        <v>0</v>
      </c>
      <c r="Z16" s="289"/>
      <c r="AA16" s="328"/>
      <c r="AB16" s="310"/>
    </row>
    <row r="17" spans="1:28" ht="22.5" customHeight="1">
      <c r="A17" s="191" t="str">
        <f>'Match Selection'!G10</f>
        <v>House</v>
      </c>
      <c r="B17" s="182" t="str">
        <f>VLOOKUP(A17, 'Master Input'!$A$11:$B$27, 2, FALSE)</f>
        <v>TEES</v>
      </c>
      <c r="C17" s="311">
        <f ca="1">VLOOKUP(A17,'Master Input'!$A$11:$L$27,'Master Input'!$H$28, FALSE)</f>
        <v>7</v>
      </c>
      <c r="D17" s="312">
        <f ca="1">C17-SMALL($C$14:$C$17,1)</f>
        <v>4</v>
      </c>
      <c r="E17" s="313">
        <v>5</v>
      </c>
      <c r="F17" s="313">
        <v>5</v>
      </c>
      <c r="G17" s="313">
        <v>5</v>
      </c>
      <c r="H17" s="313">
        <v>4</v>
      </c>
      <c r="I17" s="313">
        <v>3</v>
      </c>
      <c r="J17" s="313">
        <v>4</v>
      </c>
      <c r="K17" s="313">
        <v>9</v>
      </c>
      <c r="L17" s="313">
        <v>5</v>
      </c>
      <c r="M17" s="313">
        <v>3</v>
      </c>
      <c r="N17" s="295">
        <f>IF(M17="","", SUM(E17:M17))</f>
        <v>43</v>
      </c>
      <c r="O17" s="131"/>
      <c r="P17" s="314" t="str">
        <f>A17</f>
        <v>House</v>
      </c>
      <c r="Q17" s="313">
        <v>4</v>
      </c>
      <c r="R17" s="313">
        <v>5</v>
      </c>
      <c r="S17" s="313">
        <v>3</v>
      </c>
      <c r="T17" s="313">
        <v>4</v>
      </c>
      <c r="U17" s="313">
        <v>6</v>
      </c>
      <c r="V17" s="313">
        <v>5</v>
      </c>
      <c r="W17" s="313">
        <v>5</v>
      </c>
      <c r="X17" s="313">
        <v>4</v>
      </c>
      <c r="Y17" s="313">
        <v>5</v>
      </c>
      <c r="Z17" s="295">
        <f>IF(Y17="","", SUM(Q17:Y17))</f>
        <v>41</v>
      </c>
      <c r="AA17" s="297">
        <f>IF(Z17="", "", SUM(N17,Z17))</f>
        <v>84</v>
      </c>
      <c r="AB17" s="298">
        <f ca="1">IF(Y17="", "", AA17-C17)</f>
        <v>77</v>
      </c>
    </row>
    <row r="18" spans="1:28" ht="11.25" customHeight="1">
      <c r="A18" s="329"/>
      <c r="B18" s="329"/>
      <c r="C18" s="330"/>
      <c r="D18" s="195"/>
      <c r="E18" s="331"/>
      <c r="F18" s="195"/>
      <c r="G18" s="195"/>
      <c r="H18" s="195"/>
      <c r="I18" s="195"/>
      <c r="J18" s="195"/>
      <c r="K18" s="195"/>
      <c r="L18" s="195"/>
      <c r="M18" s="195"/>
      <c r="N18" s="331" t="s">
        <v>7</v>
      </c>
      <c r="O18" s="196"/>
      <c r="P18" s="195"/>
      <c r="Q18" s="331"/>
      <c r="R18" s="195"/>
      <c r="S18" s="195"/>
      <c r="T18" s="195"/>
      <c r="U18" s="195"/>
      <c r="V18" s="195"/>
      <c r="W18" s="195"/>
      <c r="X18" s="195"/>
      <c r="Y18" s="195"/>
      <c r="Z18" s="331"/>
      <c r="AA18" s="195"/>
      <c r="AB18" s="197" t="s">
        <v>42</v>
      </c>
    </row>
    <row r="19" spans="1:28" ht="22.5" customHeight="1">
      <c r="A19" s="332" t="str">
        <f>B8&amp;" Top"</f>
        <v>WEEZ Top</v>
      </c>
      <c r="B19" s="333" t="s">
        <v>43</v>
      </c>
      <c r="C19" s="334"/>
      <c r="D19" s="335"/>
      <c r="E19" s="336">
        <f ca="1">IF(E26="",".",E26)</f>
        <v>-1</v>
      </c>
      <c r="F19" s="337">
        <f t="shared" ref="F19:M19" ca="1" si="16">IF(F26="",".",F26+E19)</f>
        <v>-1</v>
      </c>
      <c r="G19" s="337">
        <f t="shared" ca="1" si="16"/>
        <v>0</v>
      </c>
      <c r="H19" s="337">
        <f t="shared" ca="1" si="16"/>
        <v>-1</v>
      </c>
      <c r="I19" s="337">
        <f t="shared" ca="1" si="16"/>
        <v>-1</v>
      </c>
      <c r="J19" s="337">
        <f t="shared" ca="1" si="16"/>
        <v>0</v>
      </c>
      <c r="K19" s="337">
        <f t="shared" ca="1" si="16"/>
        <v>0</v>
      </c>
      <c r="L19" s="337">
        <f t="shared" ca="1" si="16"/>
        <v>0</v>
      </c>
      <c r="M19" s="337">
        <f t="shared" ca="1" si="16"/>
        <v>0</v>
      </c>
      <c r="N19" s="338">
        <f ca="1">IF(M19=".", "", IF(M19&lt;0, 0, IF(M19&gt;0, VLOOKUP($B$2,'Master Input'!$O$12:$R$23,'Master Input'!P$11,FALSE), VLOOKUP($B$2,'Master Input'!$O$12:$R$23,'Master Input'!P$11,FALSE)*0.5)))</f>
        <v>0.5</v>
      </c>
      <c r="O19" s="204"/>
      <c r="P19" s="339" t="s">
        <v>44</v>
      </c>
      <c r="Q19" s="340">
        <f ca="1">IF(Q26="",".",Q26+M19)</f>
        <v>1</v>
      </c>
      <c r="R19" s="341">
        <f t="shared" ref="R19:Y19" ca="1" si="17">IF(R26="",".",R26+Q19)</f>
        <v>0</v>
      </c>
      <c r="S19" s="341">
        <f t="shared" ca="1" si="17"/>
        <v>0</v>
      </c>
      <c r="T19" s="341">
        <f t="shared" ca="1" si="17"/>
        <v>0</v>
      </c>
      <c r="U19" s="341">
        <f t="shared" ca="1" si="17"/>
        <v>0</v>
      </c>
      <c r="V19" s="341">
        <f t="shared" ca="1" si="17"/>
        <v>0</v>
      </c>
      <c r="W19" s="341">
        <f t="shared" ca="1" si="17"/>
        <v>1</v>
      </c>
      <c r="X19" s="341">
        <f t="shared" ca="1" si="17"/>
        <v>1</v>
      </c>
      <c r="Y19" s="341">
        <f t="shared" ca="1" si="17"/>
        <v>1</v>
      </c>
      <c r="Z19" s="342">
        <f ca="1">IF(Y19=".", "", IF(Y19&lt;0, 0, IF(Y19&gt;0, VLOOKUP($B$2,'Master Input'!$O$12:$R$23,'Master Input'!R$11,FALSE), VLOOKUP($B$2,'Master Input'!$O$12:$R$23,'Master Input'!R$11,FALSE)*0.5)))</f>
        <v>1</v>
      </c>
      <c r="AA19" s="343" t="s">
        <v>44</v>
      </c>
      <c r="AB19" s="344">
        <f ca="1">IF(Z19="","", SUM(N19,Z19,Z20))</f>
        <v>2.5</v>
      </c>
    </row>
    <row r="20" spans="1:28" ht="22.5" customHeight="1">
      <c r="A20" s="345"/>
      <c r="B20" s="346"/>
      <c r="C20" s="347"/>
      <c r="D20" s="348"/>
      <c r="E20" s="349"/>
      <c r="F20" s="348"/>
      <c r="G20" s="348"/>
      <c r="H20" s="348"/>
      <c r="I20" s="348"/>
      <c r="J20" s="348"/>
      <c r="K20" s="348"/>
      <c r="L20" s="348"/>
      <c r="M20" s="348"/>
      <c r="N20" s="349"/>
      <c r="O20" s="204"/>
      <c r="P20" s="350" t="s">
        <v>45</v>
      </c>
      <c r="Q20" s="351">
        <f ca="1">IF(Q26="",".",Q26)</f>
        <v>1</v>
      </c>
      <c r="R20" s="352">
        <f t="shared" ref="R20:Y20" ca="1" si="18">IF(R26="",".",R26+Q20)</f>
        <v>0</v>
      </c>
      <c r="S20" s="352">
        <f t="shared" ca="1" si="18"/>
        <v>0</v>
      </c>
      <c r="T20" s="352">
        <f t="shared" ca="1" si="18"/>
        <v>0</v>
      </c>
      <c r="U20" s="352">
        <f t="shared" ca="1" si="18"/>
        <v>0</v>
      </c>
      <c r="V20" s="352">
        <f t="shared" ca="1" si="18"/>
        <v>0</v>
      </c>
      <c r="W20" s="352">
        <f t="shared" ca="1" si="18"/>
        <v>1</v>
      </c>
      <c r="X20" s="352">
        <f t="shared" ca="1" si="18"/>
        <v>1</v>
      </c>
      <c r="Y20" s="352">
        <f t="shared" ca="1" si="18"/>
        <v>1</v>
      </c>
      <c r="Z20" s="353">
        <f ca="1">IF(Y20=".", "", IF(Y20&lt;0, 0, IF(Y20&gt;0, VLOOKUP($B$2,'Master Input'!$O$12:$R$23,'Master Input'!Q$11,FALSE), VLOOKUP($B$2,'Master Input'!$O$12:$R$23,'Master Input'!Q$11,FALSE)*0.5)))</f>
        <v>1</v>
      </c>
      <c r="AA20" s="343" t="s">
        <v>45</v>
      </c>
      <c r="AB20" s="197" t="s">
        <v>42</v>
      </c>
    </row>
    <row r="21" spans="1:28" ht="22.5" customHeight="1">
      <c r="A21" s="354" t="str">
        <f>B8&amp;" Bottom"</f>
        <v>WEEZ Bottom</v>
      </c>
      <c r="B21" s="355" t="s">
        <v>46</v>
      </c>
      <c r="C21" s="356"/>
      <c r="D21" s="357"/>
      <c r="E21" s="336">
        <f ca="1">IF(E29="",".",E29)</f>
        <v>0</v>
      </c>
      <c r="F21" s="337">
        <f t="shared" ref="F21:M21" ca="1" si="19">IF(F29="",".",F29+E21)</f>
        <v>-1</v>
      </c>
      <c r="G21" s="337">
        <f t="shared" ca="1" si="19"/>
        <v>-2</v>
      </c>
      <c r="H21" s="337">
        <f t="shared" ca="1" si="19"/>
        <v>-2</v>
      </c>
      <c r="I21" s="337">
        <f t="shared" ca="1" si="19"/>
        <v>-2</v>
      </c>
      <c r="J21" s="337">
        <f t="shared" ca="1" si="19"/>
        <v>-3</v>
      </c>
      <c r="K21" s="337">
        <f t="shared" ca="1" si="19"/>
        <v>-2</v>
      </c>
      <c r="L21" s="337">
        <f t="shared" ca="1" si="19"/>
        <v>-2</v>
      </c>
      <c r="M21" s="337">
        <f t="shared" ca="1" si="19"/>
        <v>-3</v>
      </c>
      <c r="N21" s="338">
        <f ca="1">IF(M21=".", "", IF(M21&lt;0, 0, IF(M21&gt;0, VLOOKUP($B$2,'Master Input'!$O$12:$R$23,'Master Input'!P$11,FALSE), VLOOKUP($B$2,'Master Input'!$O$12:$R$23,'Master Input'!P$11,FALSE)*0.5)))</f>
        <v>0</v>
      </c>
      <c r="O21" s="204"/>
      <c r="P21" s="339" t="s">
        <v>47</v>
      </c>
      <c r="Q21" s="340">
        <f ca="1">IF(Q29="",".",Q29+M21)</f>
        <v>-4</v>
      </c>
      <c r="R21" s="341">
        <f t="shared" ref="R21:Y21" ca="1" si="20">IF(R29="",".",R29+Q21)</f>
        <v>-5</v>
      </c>
      <c r="S21" s="341">
        <f t="shared" ca="1" si="20"/>
        <v>-5</v>
      </c>
      <c r="T21" s="341">
        <f t="shared" ca="1" si="20"/>
        <v>-5</v>
      </c>
      <c r="U21" s="341">
        <f t="shared" ca="1" si="20"/>
        <v>-4</v>
      </c>
      <c r="V21" s="341">
        <f t="shared" ca="1" si="20"/>
        <v>-3</v>
      </c>
      <c r="W21" s="341">
        <f t="shared" ca="1" si="20"/>
        <v>-4</v>
      </c>
      <c r="X21" s="341">
        <f t="shared" ca="1" si="20"/>
        <v>-4</v>
      </c>
      <c r="Y21" s="341">
        <f t="shared" ca="1" si="20"/>
        <v>-5</v>
      </c>
      <c r="Z21" s="342">
        <f ca="1">IF(Y21=".", "", IF(Y21&lt;0, 0, IF(Y21&gt;0, VLOOKUP($B$2,'Master Input'!$O$12:$R$23,'Master Input'!R$11,FALSE), VLOOKUP($B$2,'Master Input'!$O$12:$R$23,'Master Input'!R$11,FALSE)*0.5)))</f>
        <v>0</v>
      </c>
      <c r="AA21" s="358" t="s">
        <v>48</v>
      </c>
      <c r="AB21" s="344">
        <f ca="1">IF(Z21="","", SUM(N21,Z21,Z22))</f>
        <v>0</v>
      </c>
    </row>
    <row r="22" spans="1:28" ht="22.5" customHeight="1">
      <c r="A22" s="359"/>
      <c r="B22" s="360"/>
      <c r="C22" s="361"/>
      <c r="D22" s="362"/>
      <c r="E22" s="362"/>
      <c r="F22" s="362"/>
      <c r="G22" s="362"/>
      <c r="H22" s="362"/>
      <c r="I22" s="362"/>
      <c r="J22" s="362"/>
      <c r="K22" s="362"/>
      <c r="L22" s="362"/>
      <c r="M22" s="362"/>
      <c r="N22" s="363"/>
      <c r="O22" s="72"/>
      <c r="P22" s="350" t="s">
        <v>49</v>
      </c>
      <c r="Q22" s="351">
        <f ca="1">IF(Q29="",".",Q29)</f>
        <v>-1</v>
      </c>
      <c r="R22" s="352">
        <f t="shared" ref="R22:Y22" ca="1" si="21">IF(R29="",".",R29+Q22)</f>
        <v>-2</v>
      </c>
      <c r="S22" s="352">
        <f t="shared" ca="1" si="21"/>
        <v>-2</v>
      </c>
      <c r="T22" s="352">
        <f t="shared" ca="1" si="21"/>
        <v>-2</v>
      </c>
      <c r="U22" s="352">
        <f t="shared" ca="1" si="21"/>
        <v>-1</v>
      </c>
      <c r="V22" s="352">
        <f t="shared" ca="1" si="21"/>
        <v>0</v>
      </c>
      <c r="W22" s="352">
        <f t="shared" ca="1" si="21"/>
        <v>-1</v>
      </c>
      <c r="X22" s="352">
        <f t="shared" ca="1" si="21"/>
        <v>-1</v>
      </c>
      <c r="Y22" s="352">
        <f t="shared" ca="1" si="21"/>
        <v>-2</v>
      </c>
      <c r="Z22" s="353">
        <f ca="1">IF(Y22=".", "", IF(Y22&lt;0, 0, IF(Y22&gt;0, VLOOKUP($B$2,'Master Input'!$O$12:$R$23,'Master Input'!Q$11,FALSE), VLOOKUP($B$2,'Master Input'!$O$12:$R$23,'Master Input'!Q$11,FALSE)*0.5)))</f>
        <v>0</v>
      </c>
      <c r="AA22" s="358" t="s">
        <v>50</v>
      </c>
      <c r="AB22" s="193"/>
    </row>
    <row r="23" spans="1:28" ht="22.5" hidden="1" customHeight="1">
      <c r="A23" s="193"/>
      <c r="B23" s="193"/>
      <c r="C23" s="194"/>
      <c r="D23" s="193"/>
      <c r="E23" s="193"/>
      <c r="F23" s="193"/>
      <c r="G23" s="193"/>
      <c r="H23" s="193"/>
      <c r="I23" s="193"/>
      <c r="J23" s="193"/>
      <c r="K23" s="193"/>
      <c r="L23" s="193"/>
      <c r="M23" s="193"/>
      <c r="N23" s="193"/>
      <c r="O23" s="364"/>
      <c r="P23" s="365"/>
      <c r="Q23" s="365"/>
      <c r="R23" s="365"/>
      <c r="S23" s="365"/>
      <c r="T23" s="365"/>
      <c r="U23" s="365"/>
      <c r="V23" s="365"/>
      <c r="W23" s="365"/>
      <c r="X23" s="365"/>
      <c r="Y23" s="365"/>
      <c r="Z23" s="365"/>
      <c r="AB23" s="193"/>
    </row>
    <row r="24" spans="1:28" ht="22.5" hidden="1" customHeight="1">
      <c r="A24" s="193"/>
      <c r="B24" s="193"/>
      <c r="C24" s="194"/>
      <c r="D24" s="193"/>
      <c r="E24" s="193"/>
      <c r="F24" s="193"/>
      <c r="G24" s="193"/>
      <c r="H24" s="193"/>
      <c r="I24" s="193"/>
      <c r="J24" s="193"/>
      <c r="K24" s="193"/>
      <c r="L24" s="193"/>
      <c r="M24" s="193"/>
      <c r="N24" s="193"/>
      <c r="O24" s="364"/>
      <c r="P24" s="365"/>
      <c r="Q24" s="365"/>
      <c r="R24" s="365"/>
      <c r="S24" s="365"/>
      <c r="T24" s="365"/>
      <c r="U24" s="365"/>
      <c r="V24" s="365"/>
      <c r="W24" s="365"/>
      <c r="X24" s="365"/>
      <c r="Y24" s="365"/>
      <c r="Z24" s="366" t="s">
        <v>32</v>
      </c>
      <c r="AA24" s="367" t="s">
        <v>33</v>
      </c>
      <c r="AB24" s="223" t="s">
        <v>34</v>
      </c>
    </row>
    <row r="25" spans="1:28" ht="22.5" hidden="1" customHeight="1">
      <c r="A25" s="193"/>
      <c r="B25" s="193"/>
      <c r="C25" s="194"/>
      <c r="D25" s="193"/>
      <c r="E25" s="193"/>
      <c r="F25" s="193"/>
      <c r="G25" s="193"/>
      <c r="H25" s="193"/>
      <c r="I25" s="193"/>
      <c r="J25" s="193"/>
      <c r="K25" s="193"/>
      <c r="L25" s="193"/>
      <c r="M25" s="193"/>
      <c r="N25" s="193"/>
      <c r="O25" s="364"/>
      <c r="P25" s="365"/>
      <c r="Q25" s="365"/>
      <c r="R25" s="365"/>
      <c r="S25" s="365"/>
      <c r="T25" s="365"/>
      <c r="U25" s="365"/>
      <c r="V25" s="365"/>
      <c r="W25" s="365"/>
      <c r="X25" s="365"/>
      <c r="Y25" s="365"/>
      <c r="Z25" s="366" t="s">
        <v>36</v>
      </c>
      <c r="AA25" s="367" t="s">
        <v>37</v>
      </c>
      <c r="AB25" s="223" t="s">
        <v>38</v>
      </c>
    </row>
    <row r="26" spans="1:28" ht="22.5" hidden="1" customHeight="1">
      <c r="A26" s="368"/>
      <c r="B26" s="369" t="str">
        <f>B19</f>
        <v>Top - Front</v>
      </c>
      <c r="C26" s="370"/>
      <c r="D26" s="369"/>
      <c r="E26" s="369">
        <f t="shared" ref="E26:M26" ca="1" si="22">IF(AND(E8="", E11=""), "",IF(E8-E7&lt;E11-E10,1,IF(E8-E7&gt;E11-E10,-1,0)))</f>
        <v>-1</v>
      </c>
      <c r="F26" s="369">
        <f t="shared" ca="1" si="22"/>
        <v>0</v>
      </c>
      <c r="G26" s="369">
        <f t="shared" ca="1" si="22"/>
        <v>1</v>
      </c>
      <c r="H26" s="369">
        <f t="shared" ca="1" si="22"/>
        <v>-1</v>
      </c>
      <c r="I26" s="369">
        <f t="shared" ca="1" si="22"/>
        <v>0</v>
      </c>
      <c r="J26" s="369">
        <f t="shared" ca="1" si="22"/>
        <v>1</v>
      </c>
      <c r="K26" s="369">
        <f t="shared" ca="1" si="22"/>
        <v>0</v>
      </c>
      <c r="L26" s="369">
        <f t="shared" ca="1" si="22"/>
        <v>0</v>
      </c>
      <c r="M26" s="369">
        <f t="shared" ca="1" si="22"/>
        <v>0</v>
      </c>
      <c r="N26" s="369">
        <f ca="1">SUM(N27:N28)</f>
        <v>9</v>
      </c>
      <c r="O26" s="369"/>
      <c r="P26" s="371"/>
      <c r="Q26" s="369">
        <f t="shared" ref="Q26:Y26" ca="1" si="23">IF(AND(Q8="", Q11=""), "",IF(Q8-Q7&lt;Q11-Q10,1,IF(Q8-Q7&gt;Q11-Q10,-1,0)))</f>
        <v>1</v>
      </c>
      <c r="R26" s="369">
        <f t="shared" ca="1" si="23"/>
        <v>-1</v>
      </c>
      <c r="S26" s="369">
        <f t="shared" ca="1" si="23"/>
        <v>0</v>
      </c>
      <c r="T26" s="369">
        <f t="shared" ca="1" si="23"/>
        <v>0</v>
      </c>
      <c r="U26" s="369">
        <f t="shared" ca="1" si="23"/>
        <v>0</v>
      </c>
      <c r="V26" s="369">
        <f t="shared" ca="1" si="23"/>
        <v>0</v>
      </c>
      <c r="W26" s="369">
        <f t="shared" ca="1" si="23"/>
        <v>1</v>
      </c>
      <c r="X26" s="369">
        <f t="shared" ca="1" si="23"/>
        <v>0</v>
      </c>
      <c r="Y26" s="369">
        <f t="shared" ca="1" si="23"/>
        <v>0</v>
      </c>
      <c r="Z26" s="369">
        <f ca="1">SUM(Z27:Z28)</f>
        <v>9</v>
      </c>
      <c r="AA26" s="372">
        <f ca="1">SUM(Z26,N26)</f>
        <v>18</v>
      </c>
      <c r="AB26" s="368"/>
    </row>
    <row r="27" spans="1:28" ht="22.5" hidden="1" customHeight="1">
      <c r="A27" s="193" t="str">
        <f>A8</f>
        <v>Jensen</v>
      </c>
      <c r="B27" s="193"/>
      <c r="C27" s="194"/>
      <c r="D27" s="193"/>
      <c r="E27" s="193">
        <f t="shared" ref="E27:M27" ca="1" si="24">(E26+1)/2</f>
        <v>0</v>
      </c>
      <c r="F27" s="193">
        <f t="shared" ca="1" si="24"/>
        <v>0.5</v>
      </c>
      <c r="G27" s="193">
        <f t="shared" ca="1" si="24"/>
        <v>1</v>
      </c>
      <c r="H27" s="193">
        <f t="shared" ca="1" si="24"/>
        <v>0</v>
      </c>
      <c r="I27" s="193">
        <f t="shared" ca="1" si="24"/>
        <v>0.5</v>
      </c>
      <c r="J27" s="193">
        <f t="shared" ca="1" si="24"/>
        <v>1</v>
      </c>
      <c r="K27" s="193">
        <f t="shared" ca="1" si="24"/>
        <v>0.5</v>
      </c>
      <c r="L27" s="193">
        <f t="shared" ca="1" si="24"/>
        <v>0.5</v>
      </c>
      <c r="M27" s="193">
        <f t="shared" ca="1" si="24"/>
        <v>0.5</v>
      </c>
      <c r="N27" s="193">
        <f t="shared" ref="N27:N28" ca="1" si="25">SUM(E27:M27)</f>
        <v>4.5</v>
      </c>
      <c r="O27" s="364"/>
      <c r="P27" s="365"/>
      <c r="Q27" s="193">
        <f t="shared" ref="Q27:Y27" ca="1" si="26">(Q26+1)/2</f>
        <v>1</v>
      </c>
      <c r="R27" s="193">
        <f t="shared" ca="1" si="26"/>
        <v>0</v>
      </c>
      <c r="S27" s="193">
        <f t="shared" ca="1" si="26"/>
        <v>0.5</v>
      </c>
      <c r="T27" s="193">
        <f t="shared" ca="1" si="26"/>
        <v>0.5</v>
      </c>
      <c r="U27" s="193">
        <f t="shared" ca="1" si="26"/>
        <v>0.5</v>
      </c>
      <c r="V27" s="193">
        <f t="shared" ca="1" si="26"/>
        <v>0.5</v>
      </c>
      <c r="W27" s="193">
        <f t="shared" ca="1" si="26"/>
        <v>1</v>
      </c>
      <c r="X27" s="193">
        <f t="shared" ca="1" si="26"/>
        <v>0.5</v>
      </c>
      <c r="Y27" s="193">
        <f t="shared" ca="1" si="26"/>
        <v>0.5</v>
      </c>
      <c r="Z27" s="193">
        <f ca="1">IF(Z19="","",SUM(Q27:Y27))</f>
        <v>5</v>
      </c>
      <c r="AA27" s="366">
        <f ca="1">IF(Z19="","",SUM(Z27,N27))</f>
        <v>9.5</v>
      </c>
      <c r="AB27" s="373">
        <f ca="1">IF(Z19="","",AB19)</f>
        <v>2.5</v>
      </c>
    </row>
    <row r="28" spans="1:28" ht="22.5" hidden="1" customHeight="1">
      <c r="A28" s="193" t="str">
        <f>A11</f>
        <v>CuzNick</v>
      </c>
      <c r="B28" s="193"/>
      <c r="C28" s="194"/>
      <c r="D28" s="193"/>
      <c r="E28" s="193">
        <f t="shared" ref="E28:M28" ca="1" si="27">1-E27</f>
        <v>1</v>
      </c>
      <c r="F28" s="193">
        <f t="shared" ca="1" si="27"/>
        <v>0.5</v>
      </c>
      <c r="G28" s="193">
        <f t="shared" ca="1" si="27"/>
        <v>0</v>
      </c>
      <c r="H28" s="193">
        <f t="shared" ca="1" si="27"/>
        <v>1</v>
      </c>
      <c r="I28" s="193">
        <f t="shared" ca="1" si="27"/>
        <v>0.5</v>
      </c>
      <c r="J28" s="193">
        <f t="shared" ca="1" si="27"/>
        <v>0</v>
      </c>
      <c r="K28" s="193">
        <f t="shared" ca="1" si="27"/>
        <v>0.5</v>
      </c>
      <c r="L28" s="193">
        <f t="shared" ca="1" si="27"/>
        <v>0.5</v>
      </c>
      <c r="M28" s="193">
        <f t="shared" ca="1" si="27"/>
        <v>0.5</v>
      </c>
      <c r="N28" s="193">
        <f t="shared" ca="1" si="25"/>
        <v>4.5</v>
      </c>
      <c r="O28" s="364"/>
      <c r="P28" s="365"/>
      <c r="Q28" s="193">
        <f t="shared" ref="Q28:Y28" ca="1" si="28">1-Q27</f>
        <v>0</v>
      </c>
      <c r="R28" s="193">
        <f t="shared" ca="1" si="28"/>
        <v>1</v>
      </c>
      <c r="S28" s="193">
        <f t="shared" ca="1" si="28"/>
        <v>0.5</v>
      </c>
      <c r="T28" s="193">
        <f t="shared" ca="1" si="28"/>
        <v>0.5</v>
      </c>
      <c r="U28" s="193">
        <f t="shared" ca="1" si="28"/>
        <v>0.5</v>
      </c>
      <c r="V28" s="193">
        <f t="shared" ca="1" si="28"/>
        <v>0.5</v>
      </c>
      <c r="W28" s="193">
        <f t="shared" ca="1" si="28"/>
        <v>0</v>
      </c>
      <c r="X28" s="193">
        <f t="shared" ca="1" si="28"/>
        <v>0.5</v>
      </c>
      <c r="Y28" s="193">
        <f t="shared" ca="1" si="28"/>
        <v>0.5</v>
      </c>
      <c r="Z28" s="193">
        <f ca="1">IF(Z19="","",SUM(Q28:Y28))</f>
        <v>4</v>
      </c>
      <c r="AA28" s="366">
        <f ca="1">IF(Z19="","",SUM(Z28,N28))</f>
        <v>8.5</v>
      </c>
      <c r="AB28" s="373">
        <f ca="1">IF(Z19="","",3-AB19)</f>
        <v>0.5</v>
      </c>
    </row>
    <row r="29" spans="1:28" ht="22.5" hidden="1" customHeight="1">
      <c r="A29" s="368"/>
      <c r="B29" s="369" t="str">
        <f>B21</f>
        <v>Bottom - Front</v>
      </c>
      <c r="C29" s="370"/>
      <c r="D29" s="369"/>
      <c r="E29" s="369">
        <f t="shared" ref="E29:M29" ca="1" si="29">IF(AND(E14="", E17=""), "",IF(E14-E13&lt;E17-E16,1,IF(E14-E13&gt;E17-E16,-1,0)))</f>
        <v>0</v>
      </c>
      <c r="F29" s="369">
        <f t="shared" ca="1" si="29"/>
        <v>-1</v>
      </c>
      <c r="G29" s="369">
        <f t="shared" ca="1" si="29"/>
        <v>-1</v>
      </c>
      <c r="H29" s="369">
        <f t="shared" ca="1" si="29"/>
        <v>0</v>
      </c>
      <c r="I29" s="369">
        <f t="shared" ca="1" si="29"/>
        <v>0</v>
      </c>
      <c r="J29" s="369">
        <f t="shared" ca="1" si="29"/>
        <v>-1</v>
      </c>
      <c r="K29" s="369">
        <f t="shared" ca="1" si="29"/>
        <v>1</v>
      </c>
      <c r="L29" s="369">
        <f t="shared" ca="1" si="29"/>
        <v>0</v>
      </c>
      <c r="M29" s="369">
        <f t="shared" ca="1" si="29"/>
        <v>-1</v>
      </c>
      <c r="N29" s="369">
        <f ca="1">SUM(N30:N31)</f>
        <v>9</v>
      </c>
      <c r="O29" s="369"/>
      <c r="P29" s="371"/>
      <c r="Q29" s="369">
        <f t="shared" ref="Q29:Y29" ca="1" si="30">IF(AND(Q14="", Q17=""), "",IF(Q14-Q13&lt;Q17-Q16,1,IF(Q14-Q13&gt;Q17-Q16,-1,0)))</f>
        <v>-1</v>
      </c>
      <c r="R29" s="369">
        <f t="shared" ca="1" si="30"/>
        <v>-1</v>
      </c>
      <c r="S29" s="369">
        <f t="shared" ca="1" si="30"/>
        <v>0</v>
      </c>
      <c r="T29" s="369">
        <f t="shared" ca="1" si="30"/>
        <v>0</v>
      </c>
      <c r="U29" s="369">
        <f t="shared" ca="1" si="30"/>
        <v>1</v>
      </c>
      <c r="V29" s="369">
        <f t="shared" ca="1" si="30"/>
        <v>1</v>
      </c>
      <c r="W29" s="369">
        <f t="shared" ca="1" si="30"/>
        <v>-1</v>
      </c>
      <c r="X29" s="369">
        <f t="shared" ca="1" si="30"/>
        <v>0</v>
      </c>
      <c r="Y29" s="369">
        <f t="shared" ca="1" si="30"/>
        <v>-1</v>
      </c>
      <c r="Z29" s="369">
        <f ca="1">SUM(Z30:Z31)</f>
        <v>9</v>
      </c>
      <c r="AA29" s="372">
        <f ca="1">SUM(Z29,N29)</f>
        <v>18</v>
      </c>
      <c r="AB29" s="369"/>
    </row>
    <row r="30" spans="1:28" ht="22.5" hidden="1" customHeight="1">
      <c r="A30" s="193" t="str">
        <f>A14</f>
        <v>Elger</v>
      </c>
      <c r="B30" s="193"/>
      <c r="C30" s="194"/>
      <c r="D30" s="193"/>
      <c r="E30" s="193">
        <f t="shared" ref="E30:M30" ca="1" si="31">(E29+1)/2</f>
        <v>0.5</v>
      </c>
      <c r="F30" s="193">
        <f t="shared" ca="1" si="31"/>
        <v>0</v>
      </c>
      <c r="G30" s="193">
        <f t="shared" ca="1" si="31"/>
        <v>0</v>
      </c>
      <c r="H30" s="193">
        <f t="shared" ca="1" si="31"/>
        <v>0.5</v>
      </c>
      <c r="I30" s="193">
        <f t="shared" ca="1" si="31"/>
        <v>0.5</v>
      </c>
      <c r="J30" s="193">
        <f t="shared" ca="1" si="31"/>
        <v>0</v>
      </c>
      <c r="K30" s="193">
        <f t="shared" ca="1" si="31"/>
        <v>1</v>
      </c>
      <c r="L30" s="193">
        <f t="shared" ca="1" si="31"/>
        <v>0.5</v>
      </c>
      <c r="M30" s="193">
        <f t="shared" ca="1" si="31"/>
        <v>0</v>
      </c>
      <c r="N30" s="193">
        <f t="shared" ref="N30:N31" ca="1" si="32">SUM(E30:M30)</f>
        <v>3</v>
      </c>
      <c r="O30" s="364"/>
      <c r="P30" s="365"/>
      <c r="Q30" s="193">
        <f t="shared" ref="Q30:Y30" ca="1" si="33">(Q29+1)/2</f>
        <v>0</v>
      </c>
      <c r="R30" s="193">
        <f t="shared" ca="1" si="33"/>
        <v>0</v>
      </c>
      <c r="S30" s="193">
        <f t="shared" ca="1" si="33"/>
        <v>0.5</v>
      </c>
      <c r="T30" s="193">
        <f t="shared" ca="1" si="33"/>
        <v>0.5</v>
      </c>
      <c r="U30" s="193">
        <f t="shared" ca="1" si="33"/>
        <v>1</v>
      </c>
      <c r="V30" s="193">
        <f t="shared" ca="1" si="33"/>
        <v>1</v>
      </c>
      <c r="W30" s="193">
        <f t="shared" ca="1" si="33"/>
        <v>0</v>
      </c>
      <c r="X30" s="193">
        <f t="shared" ca="1" si="33"/>
        <v>0.5</v>
      </c>
      <c r="Y30" s="193">
        <f t="shared" ca="1" si="33"/>
        <v>0</v>
      </c>
      <c r="Z30" s="193">
        <f ca="1">IF(Z19="","",SUM(Q30:Y30))</f>
        <v>3.5</v>
      </c>
      <c r="AA30" s="366">
        <f ca="1">IF(Z19="","",SUM(Z30,N30))</f>
        <v>6.5</v>
      </c>
      <c r="AB30" s="373">
        <f ca="1">IF(Z19="","",AB21)</f>
        <v>0</v>
      </c>
    </row>
    <row r="31" spans="1:28" ht="22.5" hidden="1" customHeight="1">
      <c r="A31" s="193" t="str">
        <f>A17</f>
        <v>House</v>
      </c>
      <c r="B31" s="193"/>
      <c r="C31" s="194"/>
      <c r="D31" s="193"/>
      <c r="E31" s="193">
        <f t="shared" ref="E31:M31" ca="1" si="34">1-E30</f>
        <v>0.5</v>
      </c>
      <c r="F31" s="193">
        <f t="shared" ca="1" si="34"/>
        <v>1</v>
      </c>
      <c r="G31" s="193">
        <f t="shared" ca="1" si="34"/>
        <v>1</v>
      </c>
      <c r="H31" s="193">
        <f t="shared" ca="1" si="34"/>
        <v>0.5</v>
      </c>
      <c r="I31" s="193">
        <f t="shared" ca="1" si="34"/>
        <v>0.5</v>
      </c>
      <c r="J31" s="193">
        <f t="shared" ca="1" si="34"/>
        <v>1</v>
      </c>
      <c r="K31" s="193">
        <f t="shared" ca="1" si="34"/>
        <v>0</v>
      </c>
      <c r="L31" s="193">
        <f t="shared" ca="1" si="34"/>
        <v>0.5</v>
      </c>
      <c r="M31" s="193">
        <f t="shared" ca="1" si="34"/>
        <v>1</v>
      </c>
      <c r="N31" s="193">
        <f t="shared" ca="1" si="32"/>
        <v>6</v>
      </c>
      <c r="O31" s="364"/>
      <c r="P31" s="365"/>
      <c r="Q31" s="193">
        <f t="shared" ref="Q31:Y31" ca="1" si="35">1-Q30</f>
        <v>1</v>
      </c>
      <c r="R31" s="193">
        <f t="shared" ca="1" si="35"/>
        <v>1</v>
      </c>
      <c r="S31" s="193">
        <f t="shared" ca="1" si="35"/>
        <v>0.5</v>
      </c>
      <c r="T31" s="193">
        <f t="shared" ca="1" si="35"/>
        <v>0.5</v>
      </c>
      <c r="U31" s="193">
        <f t="shared" ca="1" si="35"/>
        <v>0</v>
      </c>
      <c r="V31" s="193">
        <f t="shared" ca="1" si="35"/>
        <v>0</v>
      </c>
      <c r="W31" s="193">
        <f t="shared" ca="1" si="35"/>
        <v>1</v>
      </c>
      <c r="X31" s="193">
        <f t="shared" ca="1" si="35"/>
        <v>0.5</v>
      </c>
      <c r="Y31" s="193">
        <f t="shared" ca="1" si="35"/>
        <v>1</v>
      </c>
      <c r="Z31" s="193">
        <f ca="1">IF(Z19="","",SUM(Q31:Y31))</f>
        <v>5.5</v>
      </c>
      <c r="AA31" s="366">
        <f ca="1">IF(Z19="","",SUM(Z31,N31))</f>
        <v>11.5</v>
      </c>
      <c r="AB31" s="373">
        <f ca="1">IF(Z19="","",3-AB21)</f>
        <v>3</v>
      </c>
    </row>
    <row r="32" spans="1:28" ht="22.5" hidden="1" customHeight="1">
      <c r="A32" s="193"/>
      <c r="B32" s="193"/>
      <c r="C32" s="194"/>
      <c r="D32" s="193"/>
      <c r="E32" s="193">
        <f t="shared" ref="E32:N32" ca="1" si="36">SUM(E27:E28,E30:E31)</f>
        <v>2</v>
      </c>
      <c r="F32" s="193">
        <f t="shared" ca="1" si="36"/>
        <v>2</v>
      </c>
      <c r="G32" s="193">
        <f t="shared" ca="1" si="36"/>
        <v>2</v>
      </c>
      <c r="H32" s="193">
        <f t="shared" ca="1" si="36"/>
        <v>2</v>
      </c>
      <c r="I32" s="193">
        <f t="shared" ca="1" si="36"/>
        <v>2</v>
      </c>
      <c r="J32" s="193">
        <f t="shared" ca="1" si="36"/>
        <v>2</v>
      </c>
      <c r="K32" s="193">
        <f t="shared" ca="1" si="36"/>
        <v>2</v>
      </c>
      <c r="L32" s="193">
        <f t="shared" ca="1" si="36"/>
        <v>2</v>
      </c>
      <c r="M32" s="193">
        <f t="shared" ca="1" si="36"/>
        <v>2</v>
      </c>
      <c r="N32" s="193">
        <f t="shared" ca="1" si="36"/>
        <v>18</v>
      </c>
      <c r="O32" s="364"/>
      <c r="P32" s="365"/>
      <c r="Q32" s="193">
        <f t="shared" ref="Q32:AA32" ca="1" si="37">SUM(Q27:Q28,Q30:Q31)</f>
        <v>2</v>
      </c>
      <c r="R32" s="193">
        <f t="shared" ca="1" si="37"/>
        <v>2</v>
      </c>
      <c r="S32" s="193">
        <f t="shared" ca="1" si="37"/>
        <v>2</v>
      </c>
      <c r="T32" s="193">
        <f t="shared" ca="1" si="37"/>
        <v>2</v>
      </c>
      <c r="U32" s="193">
        <f t="shared" ca="1" si="37"/>
        <v>2</v>
      </c>
      <c r="V32" s="193">
        <f t="shared" ca="1" si="37"/>
        <v>2</v>
      </c>
      <c r="W32" s="193">
        <f t="shared" ca="1" si="37"/>
        <v>2</v>
      </c>
      <c r="X32" s="193">
        <f t="shared" ca="1" si="37"/>
        <v>2</v>
      </c>
      <c r="Y32" s="193">
        <f t="shared" ca="1" si="37"/>
        <v>2</v>
      </c>
      <c r="Z32" s="193">
        <f t="shared" ca="1" si="37"/>
        <v>18</v>
      </c>
      <c r="AA32" s="193">
        <f t="shared" ca="1" si="37"/>
        <v>36</v>
      </c>
      <c r="AB32" s="373"/>
    </row>
  </sheetData>
  <mergeCells count="1">
    <mergeCell ref="B2:B4"/>
  </mergeCells>
  <conditionalFormatting sqref="E8:M8 Q8:Y8">
    <cfRule type="expression" dxfId="94" priority="1">
      <formula>E$26=1</formula>
    </cfRule>
  </conditionalFormatting>
  <conditionalFormatting sqref="E11:M11 Q11:Y11 E8:M8 Q8:Y8">
    <cfRule type="expression" dxfId="93" priority="5">
      <formula>E$26=0</formula>
    </cfRule>
  </conditionalFormatting>
  <conditionalFormatting sqref="E11:M11 Q11:Y11">
    <cfRule type="expression" dxfId="92" priority="2">
      <formula>E$26=-1</formula>
    </cfRule>
  </conditionalFormatting>
  <conditionalFormatting sqref="E14:M14 Q14:Y14">
    <cfRule type="expression" dxfId="91" priority="3">
      <formula>E$29=1</formula>
    </cfRule>
  </conditionalFormatting>
  <conditionalFormatting sqref="E17:M17 Q17:Y17 E14:M14 Q14:Y14">
    <cfRule type="expression" dxfId="90" priority="6">
      <formula>E$29=0</formula>
    </cfRule>
  </conditionalFormatting>
  <conditionalFormatting sqref="E17:M17 Q17:Y17">
    <cfRule type="expression" dxfId="89" priority="4">
      <formula>E$29=-1</formula>
    </cfRule>
  </conditionalFormatting>
  <conditionalFormatting sqref="E19:M19 Q19:Y22 E21:M21">
    <cfRule type="cellIs" dxfId="88" priority="7" operator="equal">
      <formula>"."</formula>
    </cfRule>
  </conditionalFormatting>
  <printOptions horizontalCentered="1" gridLines="1"/>
  <pageMargins left="0.6" right="0.25" top="0.5" bottom="0.5" header="0" footer="0"/>
  <pageSetup fitToHeight="0" pageOrder="overThenDown" orientation="landscape" cellComments="atEnd"/>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FC5E8"/>
    <outlinePr summaryBelow="0" summaryRight="0"/>
    <pageSetUpPr fitToPage="1"/>
  </sheetPr>
  <dimension ref="A1:AB32"/>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263" t="s">
        <v>39</v>
      </c>
      <c r="B1" s="264">
        <f>'Master Input'!H3</f>
        <v>0.34583333333333333</v>
      </c>
      <c r="C1" s="265" t="str">
        <f>'Master Input'!$G$2</f>
        <v>Round 2</v>
      </c>
      <c r="D1" s="266"/>
      <c r="E1" s="265" t="str">
        <f>'Master Input'!$G$6</f>
        <v>The Wolverine - White</v>
      </c>
      <c r="F1" s="266"/>
      <c r="G1" s="266"/>
      <c r="H1" s="266"/>
      <c r="I1" s="266"/>
      <c r="J1" s="266"/>
      <c r="K1" s="266"/>
      <c r="L1" s="266"/>
      <c r="M1" s="266"/>
      <c r="N1" s="266"/>
      <c r="O1" s="72"/>
      <c r="P1" s="265" t="str">
        <f>'Master Input'!$G$2&amp;" - "&amp;A1</f>
        <v>Round 2 - Group 2</v>
      </c>
      <c r="Q1" s="266"/>
      <c r="R1" s="266"/>
      <c r="S1" s="266"/>
      <c r="T1" s="266"/>
      <c r="U1" s="265" t="str">
        <f>'Master Input'!$G$6</f>
        <v>The Wolverine - White</v>
      </c>
      <c r="V1" s="266"/>
      <c r="W1" s="266"/>
      <c r="X1" s="266"/>
      <c r="Y1" s="266"/>
      <c r="Z1" s="266"/>
      <c r="AA1" s="267"/>
      <c r="AB1" s="268"/>
    </row>
    <row r="2" spans="1:28" ht="14.25" customHeight="1">
      <c r="A2" s="75" t="s">
        <v>16</v>
      </c>
      <c r="B2" s="1164" t="str">
        <f>'Match Selection'!B9</f>
        <v>Singles Matches</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10" t="s">
        <v>27</v>
      </c>
      <c r="AB5" s="110" t="s">
        <v>28</v>
      </c>
    </row>
    <row r="6" spans="1:28" ht="7.5" customHeight="1">
      <c r="A6" s="112"/>
      <c r="B6" s="112"/>
      <c r="C6" s="280"/>
      <c r="D6" s="281"/>
      <c r="E6" s="116" t="str">
        <f t="shared" ref="E6:M6" ca="1" si="0">IF(E7=1,"O", IF(E7=2,"O   O",""))</f>
        <v/>
      </c>
      <c r="F6" s="116" t="str">
        <f t="shared" ca="1" si="0"/>
        <v/>
      </c>
      <c r="G6" s="116" t="str">
        <f t="shared" ca="1" si="0"/>
        <v>O</v>
      </c>
      <c r="H6" s="116" t="str">
        <f t="shared" ca="1" si="0"/>
        <v/>
      </c>
      <c r="I6" s="116" t="str">
        <f t="shared" ca="1" si="0"/>
        <v/>
      </c>
      <c r="J6" s="116" t="str">
        <f t="shared" ca="1" si="0"/>
        <v/>
      </c>
      <c r="K6" s="116" t="str">
        <f t="shared" ca="1" si="0"/>
        <v/>
      </c>
      <c r="L6" s="116" t="str">
        <f t="shared" ca="1" si="0"/>
        <v/>
      </c>
      <c r="M6" s="116" t="str">
        <f t="shared" ca="1" si="0"/>
        <v/>
      </c>
      <c r="N6" s="282"/>
      <c r="O6" s="118"/>
      <c r="P6" s="283"/>
      <c r="Q6" s="116" t="str">
        <f t="shared" ref="Q6:Y6" ca="1" si="1">IF(Q7=1,"O", IF(Q7=2,"O   O",""))</f>
        <v/>
      </c>
      <c r="R6" s="116" t="str">
        <f t="shared" ca="1" si="1"/>
        <v>O</v>
      </c>
      <c r="S6" s="116" t="str">
        <f t="shared" ca="1" si="1"/>
        <v/>
      </c>
      <c r="T6" s="116" t="str">
        <f t="shared" ca="1" si="1"/>
        <v/>
      </c>
      <c r="U6" s="116" t="str">
        <f t="shared" ca="1" si="1"/>
        <v/>
      </c>
      <c r="V6" s="116" t="str">
        <f t="shared" ca="1" si="1"/>
        <v/>
      </c>
      <c r="W6" s="116" t="str">
        <f t="shared" ca="1" si="1"/>
        <v/>
      </c>
      <c r="X6" s="116" t="str">
        <f t="shared" ca="1" si="1"/>
        <v/>
      </c>
      <c r="Y6" s="116" t="str">
        <f t="shared" ca="1" si="1"/>
        <v/>
      </c>
      <c r="Z6" s="284"/>
      <c r="AA6" s="285"/>
      <c r="AB6" s="285"/>
    </row>
    <row r="7" spans="1:28" ht="22.5" hidden="1" customHeight="1">
      <c r="A7" s="123"/>
      <c r="B7" s="124"/>
      <c r="C7" s="286"/>
      <c r="D7" s="287"/>
      <c r="E7" s="288">
        <f t="shared" ref="E7:M7" ca="1" si="2">IF($D8&gt;0,FLOOR($D8/18,1),0)+IF(AND(MOD($D8,18)&gt;=E$3,$D8&gt;0),1,0)-IF(E$3-18&gt;$D8,1,0)</f>
        <v>0</v>
      </c>
      <c r="F7" s="288">
        <f t="shared" ca="1" si="2"/>
        <v>0</v>
      </c>
      <c r="G7" s="288">
        <f t="shared" ca="1" si="2"/>
        <v>1</v>
      </c>
      <c r="H7" s="288">
        <f t="shared" ca="1" si="2"/>
        <v>0</v>
      </c>
      <c r="I7" s="288">
        <f t="shared" ca="1" si="2"/>
        <v>0</v>
      </c>
      <c r="J7" s="288">
        <f t="shared" ca="1" si="2"/>
        <v>0</v>
      </c>
      <c r="K7" s="288">
        <f t="shared" ca="1" si="2"/>
        <v>0</v>
      </c>
      <c r="L7" s="288">
        <f t="shared" ca="1" si="2"/>
        <v>0</v>
      </c>
      <c r="M7" s="288">
        <f t="shared" ca="1" si="2"/>
        <v>0</v>
      </c>
      <c r="N7" s="289"/>
      <c r="O7" s="131"/>
      <c r="P7" s="290"/>
      <c r="Q7" s="288">
        <f t="shared" ref="Q7:Y7" ca="1" si="3">IF($D8&gt;0,FLOOR($D8/18,1),0)+IF(AND(MOD($D8,18)&gt;=Q$3,$D8&gt;0),1,0)-IF(Q$3-18&gt;$D8,1,0)</f>
        <v>0</v>
      </c>
      <c r="R7" s="288">
        <f t="shared" ca="1" si="3"/>
        <v>1</v>
      </c>
      <c r="S7" s="288">
        <f t="shared" ca="1" si="3"/>
        <v>0</v>
      </c>
      <c r="T7" s="288">
        <f t="shared" ca="1" si="3"/>
        <v>0</v>
      </c>
      <c r="U7" s="288">
        <f t="shared" ca="1" si="3"/>
        <v>0</v>
      </c>
      <c r="V7" s="288">
        <f t="shared" ca="1" si="3"/>
        <v>0</v>
      </c>
      <c r="W7" s="288">
        <f t="shared" ca="1" si="3"/>
        <v>0</v>
      </c>
      <c r="X7" s="288">
        <f t="shared" ca="1" si="3"/>
        <v>0</v>
      </c>
      <c r="Y7" s="288">
        <f t="shared" ca="1" si="3"/>
        <v>0</v>
      </c>
      <c r="Z7" s="289"/>
      <c r="AA7" s="291"/>
      <c r="AB7" s="291"/>
    </row>
    <row r="8" spans="1:28" ht="22.5" customHeight="1">
      <c r="A8" s="136" t="str">
        <f>'Match Selection'!J9</f>
        <v>T-Mo</v>
      </c>
      <c r="B8" s="137" t="str">
        <f>VLOOKUP(A8, 'Master Input'!$A$11:$B$27,2, FALSE)</f>
        <v>WEEZ</v>
      </c>
      <c r="C8" s="292">
        <f ca="1">VLOOKUP(A8,'Master Input'!$A$11:$L$27,'Master Input'!$H$28, FALSE)</f>
        <v>8</v>
      </c>
      <c r="D8" s="293">
        <f ca="1">C8-SMALL($C$8:$C$11,1)</f>
        <v>2</v>
      </c>
      <c r="E8" s="294">
        <v>6</v>
      </c>
      <c r="F8" s="294">
        <v>4</v>
      </c>
      <c r="G8" s="294">
        <v>6</v>
      </c>
      <c r="H8" s="294">
        <v>4</v>
      </c>
      <c r="I8" s="294">
        <v>4</v>
      </c>
      <c r="J8" s="294">
        <v>5</v>
      </c>
      <c r="K8" s="294">
        <v>4</v>
      </c>
      <c r="L8" s="294">
        <v>6</v>
      </c>
      <c r="M8" s="294">
        <v>3</v>
      </c>
      <c r="N8" s="295">
        <f>IF(M8="","", SUM(E8:M8))</f>
        <v>42</v>
      </c>
      <c r="O8" s="131"/>
      <c r="P8" s="296" t="str">
        <f>A8</f>
        <v>T-Mo</v>
      </c>
      <c r="Q8" s="294">
        <v>4</v>
      </c>
      <c r="R8" s="294">
        <v>7</v>
      </c>
      <c r="S8" s="294">
        <v>4</v>
      </c>
      <c r="T8" s="294">
        <v>4</v>
      </c>
      <c r="U8" s="294">
        <v>3</v>
      </c>
      <c r="V8" s="294">
        <v>4</v>
      </c>
      <c r="W8" s="294">
        <v>7</v>
      </c>
      <c r="X8" s="294">
        <v>4</v>
      </c>
      <c r="Y8" s="294">
        <v>5</v>
      </c>
      <c r="Z8" s="295">
        <f>IF(Y8="","", SUM(Q8:Y8))</f>
        <v>42</v>
      </c>
      <c r="AA8" s="297">
        <f>IF(Z8="", "", SUM(N8,Z8))</f>
        <v>84</v>
      </c>
      <c r="AB8" s="298">
        <f ca="1">IF(Y8="", "", AA8-C8)</f>
        <v>76</v>
      </c>
    </row>
    <row r="9" spans="1:28" ht="7.5" customHeight="1">
      <c r="A9" s="299"/>
      <c r="B9" s="300"/>
      <c r="C9" s="301"/>
      <c r="D9" s="302"/>
      <c r="E9" s="165" t="str">
        <f t="shared" ref="E9:M9" ca="1" si="4">IF(E10=1,"O", IF(E10=2,"O   O",""))</f>
        <v/>
      </c>
      <c r="F9" s="165" t="str">
        <f t="shared" ca="1" si="4"/>
        <v/>
      </c>
      <c r="G9" s="165" t="str">
        <f t="shared" ca="1" si="4"/>
        <v/>
      </c>
      <c r="H9" s="165" t="str">
        <f t="shared" ca="1" si="4"/>
        <v/>
      </c>
      <c r="I9" s="165" t="str">
        <f t="shared" ca="1" si="4"/>
        <v/>
      </c>
      <c r="J9" s="165" t="str">
        <f t="shared" ca="1" si="4"/>
        <v/>
      </c>
      <c r="K9" s="165" t="str">
        <f t="shared" ca="1" si="4"/>
        <v/>
      </c>
      <c r="L9" s="165" t="str">
        <f t="shared" ca="1" si="4"/>
        <v/>
      </c>
      <c r="M9" s="165" t="str">
        <f t="shared" ca="1" si="4"/>
        <v/>
      </c>
      <c r="N9" s="303"/>
      <c r="O9" s="118"/>
      <c r="P9" s="304"/>
      <c r="Q9" s="165" t="str">
        <f t="shared" ref="Q9:Y9" ca="1" si="5">IF(Q10=1,"O", IF(Q10=2,"O   O",""))</f>
        <v/>
      </c>
      <c r="R9" s="165" t="str">
        <f t="shared" ca="1" si="5"/>
        <v/>
      </c>
      <c r="S9" s="165" t="str">
        <f t="shared" ca="1" si="5"/>
        <v/>
      </c>
      <c r="T9" s="165" t="str">
        <f t="shared" ca="1" si="5"/>
        <v/>
      </c>
      <c r="U9" s="165" t="str">
        <f t="shared" ca="1" si="5"/>
        <v/>
      </c>
      <c r="V9" s="165" t="str">
        <f t="shared" ca="1" si="5"/>
        <v/>
      </c>
      <c r="W9" s="165" t="str">
        <f t="shared" ca="1" si="5"/>
        <v/>
      </c>
      <c r="X9" s="165" t="str">
        <f t="shared" ca="1" si="5"/>
        <v/>
      </c>
      <c r="Y9" s="165" t="str">
        <f t="shared" ca="1" si="5"/>
        <v/>
      </c>
      <c r="Z9" s="303"/>
      <c r="AA9" s="305"/>
      <c r="AB9" s="306"/>
    </row>
    <row r="10" spans="1:28" ht="22.5" hidden="1" customHeight="1">
      <c r="A10" s="171"/>
      <c r="B10" s="172"/>
      <c r="C10" s="307"/>
      <c r="D10" s="308"/>
      <c r="E10" s="177">
        <f t="shared" ref="E10:M10" ca="1" si="6">IF($D11&gt;0,FLOOR($D11/18,1),0)+IF(AND(MOD($D11,18)&gt;=E$3,$D11&gt;0),1,0)-IF(E$3-18&gt;$D11,1,0)</f>
        <v>0</v>
      </c>
      <c r="F10" s="177">
        <f t="shared" ca="1" si="6"/>
        <v>0</v>
      </c>
      <c r="G10" s="177">
        <f t="shared" ca="1" si="6"/>
        <v>0</v>
      </c>
      <c r="H10" s="177">
        <f t="shared" ca="1" si="6"/>
        <v>0</v>
      </c>
      <c r="I10" s="177">
        <f t="shared" ca="1" si="6"/>
        <v>0</v>
      </c>
      <c r="J10" s="177">
        <f t="shared" ca="1" si="6"/>
        <v>0</v>
      </c>
      <c r="K10" s="177">
        <f t="shared" ca="1" si="6"/>
        <v>0</v>
      </c>
      <c r="L10" s="177">
        <f t="shared" ca="1" si="6"/>
        <v>0</v>
      </c>
      <c r="M10" s="177">
        <f t="shared" ca="1" si="6"/>
        <v>0</v>
      </c>
      <c r="N10" s="289"/>
      <c r="O10" s="131"/>
      <c r="P10" s="309"/>
      <c r="Q10" s="177">
        <f t="shared" ref="Q10:Y10" ca="1" si="7">IF($D11&gt;0,FLOOR($D11/18,1),0)+IF(AND(MOD($D11,18)&gt;=Q$3,$D11&gt;0),1,0)-IF(Q$3-18&gt;$D11,1,0)</f>
        <v>0</v>
      </c>
      <c r="R10" s="177">
        <f t="shared" ca="1" si="7"/>
        <v>0</v>
      </c>
      <c r="S10" s="177">
        <f t="shared" ca="1" si="7"/>
        <v>0</v>
      </c>
      <c r="T10" s="177">
        <f t="shared" ca="1" si="7"/>
        <v>0</v>
      </c>
      <c r="U10" s="177">
        <f t="shared" ca="1" si="7"/>
        <v>0</v>
      </c>
      <c r="V10" s="177">
        <f t="shared" ca="1" si="7"/>
        <v>0</v>
      </c>
      <c r="W10" s="177">
        <f t="shared" ca="1" si="7"/>
        <v>0</v>
      </c>
      <c r="X10" s="177">
        <f t="shared" ca="1" si="7"/>
        <v>0</v>
      </c>
      <c r="Y10" s="177">
        <f t="shared" ca="1" si="7"/>
        <v>0</v>
      </c>
      <c r="Z10" s="289"/>
      <c r="AA10" s="291"/>
      <c r="AB10" s="310"/>
    </row>
    <row r="11" spans="1:28" ht="22.5" customHeight="1">
      <c r="A11" s="181" t="str">
        <f>'Match Selection'!M9</f>
        <v>KJ</v>
      </c>
      <c r="B11" s="182" t="str">
        <f>VLOOKUP(A11, 'Master Input'!$A$11:$B$27,2, FALSE)</f>
        <v>TEES</v>
      </c>
      <c r="C11" s="311">
        <f ca="1">VLOOKUP(A11,'Master Input'!$A$11:$L$27,'Master Input'!$H$28, FALSE)</f>
        <v>6</v>
      </c>
      <c r="D11" s="312">
        <f ca="1">C11-SMALL($C$8:$C$11,1)</f>
        <v>0</v>
      </c>
      <c r="E11" s="313">
        <v>5</v>
      </c>
      <c r="F11" s="313">
        <v>4</v>
      </c>
      <c r="G11" s="313">
        <v>4</v>
      </c>
      <c r="H11" s="313">
        <v>6</v>
      </c>
      <c r="I11" s="313">
        <v>3</v>
      </c>
      <c r="J11" s="313">
        <v>4</v>
      </c>
      <c r="K11" s="313">
        <v>6</v>
      </c>
      <c r="L11" s="313">
        <v>5</v>
      </c>
      <c r="M11" s="313">
        <v>4</v>
      </c>
      <c r="N11" s="295">
        <f>IF(M11="","", SUM(E11:M11))</f>
        <v>41</v>
      </c>
      <c r="O11" s="131"/>
      <c r="P11" s="314" t="str">
        <f>A11</f>
        <v>KJ</v>
      </c>
      <c r="Q11" s="313">
        <v>4</v>
      </c>
      <c r="R11" s="313">
        <v>5</v>
      </c>
      <c r="S11" s="313">
        <v>4</v>
      </c>
      <c r="T11" s="313">
        <v>4</v>
      </c>
      <c r="U11" s="313">
        <v>4</v>
      </c>
      <c r="V11" s="313">
        <v>4</v>
      </c>
      <c r="W11" s="313">
        <v>6</v>
      </c>
      <c r="X11" s="313">
        <v>4</v>
      </c>
      <c r="Y11" s="313">
        <v>4</v>
      </c>
      <c r="Z11" s="295">
        <f>IF(Y11="","", SUM(Q11:Y11))</f>
        <v>39</v>
      </c>
      <c r="AA11" s="297">
        <f>IF(Z11="", "", SUM(N11,Z11))</f>
        <v>80</v>
      </c>
      <c r="AB11" s="298">
        <f ca="1">IF(Y11="", "", AA11-C11)</f>
        <v>74</v>
      </c>
    </row>
    <row r="12" spans="1:28" ht="7.5" customHeight="1">
      <c r="A12" s="245"/>
      <c r="B12" s="148"/>
      <c r="C12" s="315"/>
      <c r="D12" s="316"/>
      <c r="E12" s="317" t="str">
        <f t="shared" ref="E12:M12" ca="1" si="8">IF(E13=1,"O", IF(E13=2,"O   O",""))</f>
        <v/>
      </c>
      <c r="F12" s="317" t="str">
        <f t="shared" ca="1" si="8"/>
        <v/>
      </c>
      <c r="G12" s="317" t="str">
        <f t="shared" ca="1" si="8"/>
        <v>O</v>
      </c>
      <c r="H12" s="317" t="str">
        <f t="shared" ca="1" si="8"/>
        <v/>
      </c>
      <c r="I12" s="317" t="str">
        <f t="shared" ca="1" si="8"/>
        <v/>
      </c>
      <c r="J12" s="317" t="str">
        <f t="shared" ca="1" si="8"/>
        <v>O</v>
      </c>
      <c r="K12" s="317" t="str">
        <f t="shared" ca="1" si="8"/>
        <v/>
      </c>
      <c r="L12" s="317" t="str">
        <f t="shared" ca="1" si="8"/>
        <v/>
      </c>
      <c r="M12" s="317" t="str">
        <f t="shared" ca="1" si="8"/>
        <v/>
      </c>
      <c r="N12" s="318"/>
      <c r="O12" s="118"/>
      <c r="P12" s="319"/>
      <c r="Q12" s="317" t="str">
        <f t="shared" ref="Q12:Y12" ca="1" si="9">IF(Q13=1,"O", IF(Q13=2,"O   O",""))</f>
        <v>O</v>
      </c>
      <c r="R12" s="317" t="str">
        <f t="shared" ca="1" si="9"/>
        <v>O</v>
      </c>
      <c r="S12" s="317" t="str">
        <f t="shared" ca="1" si="9"/>
        <v/>
      </c>
      <c r="T12" s="317" t="str">
        <f t="shared" ca="1" si="9"/>
        <v/>
      </c>
      <c r="U12" s="317" t="str">
        <f t="shared" ca="1" si="9"/>
        <v/>
      </c>
      <c r="V12" s="317" t="str">
        <f t="shared" ca="1" si="9"/>
        <v/>
      </c>
      <c r="W12" s="317" t="str">
        <f t="shared" ca="1" si="9"/>
        <v/>
      </c>
      <c r="X12" s="317" t="str">
        <f t="shared" ca="1" si="9"/>
        <v/>
      </c>
      <c r="Y12" s="317" t="str">
        <f t="shared" ca="1" si="9"/>
        <v/>
      </c>
      <c r="Z12" s="303"/>
      <c r="AA12" s="305"/>
      <c r="AB12" s="320"/>
    </row>
    <row r="13" spans="1:28" ht="22.5" hidden="1" customHeight="1">
      <c r="A13" s="123"/>
      <c r="B13" s="124"/>
      <c r="C13" s="286"/>
      <c r="D13" s="287"/>
      <c r="E13" s="321">
        <f t="shared" ref="E13:M13" ca="1" si="10">IF($D14&gt;0,FLOOR($D14/18,1),0)+IF(AND(MOD($D14,18)&gt;=E$3,$D14&gt;0),1,0)-IF(E$3-18&gt;$D14,1,0)</f>
        <v>0</v>
      </c>
      <c r="F13" s="321">
        <f t="shared" ca="1" si="10"/>
        <v>0</v>
      </c>
      <c r="G13" s="321">
        <f t="shared" ca="1" si="10"/>
        <v>1</v>
      </c>
      <c r="H13" s="321">
        <f t="shared" ca="1" si="10"/>
        <v>0</v>
      </c>
      <c r="I13" s="321">
        <f t="shared" ca="1" si="10"/>
        <v>0</v>
      </c>
      <c r="J13" s="321">
        <f t="shared" ca="1" si="10"/>
        <v>1</v>
      </c>
      <c r="K13" s="321">
        <f t="shared" ca="1" si="10"/>
        <v>0</v>
      </c>
      <c r="L13" s="321">
        <f t="shared" ca="1" si="10"/>
        <v>0</v>
      </c>
      <c r="M13" s="321">
        <f t="shared" ca="1" si="10"/>
        <v>0</v>
      </c>
      <c r="N13" s="289"/>
      <c r="O13" s="131"/>
      <c r="P13" s="290"/>
      <c r="Q13" s="321">
        <f t="shared" ref="Q13:Y13" ca="1" si="11">IF($D14&gt;0,FLOOR($D14/18,1),0)+IF(AND(MOD($D14,18)&gt;=Q$3,$D14&gt;0),1,0)-IF(Q$3-18&gt;$D14,1,0)</f>
        <v>1</v>
      </c>
      <c r="R13" s="321">
        <f t="shared" ca="1" si="11"/>
        <v>1</v>
      </c>
      <c r="S13" s="321">
        <f t="shared" ca="1" si="11"/>
        <v>0</v>
      </c>
      <c r="T13" s="321">
        <f t="shared" ca="1" si="11"/>
        <v>0</v>
      </c>
      <c r="U13" s="321">
        <f t="shared" ca="1" si="11"/>
        <v>0</v>
      </c>
      <c r="V13" s="321">
        <f t="shared" ca="1" si="11"/>
        <v>0</v>
      </c>
      <c r="W13" s="321">
        <f t="shared" ca="1" si="11"/>
        <v>0</v>
      </c>
      <c r="X13" s="321">
        <f t="shared" ca="1" si="11"/>
        <v>0</v>
      </c>
      <c r="Y13" s="321">
        <f t="shared" ca="1" si="11"/>
        <v>0</v>
      </c>
      <c r="Z13" s="289"/>
      <c r="AA13" s="291"/>
      <c r="AB13" s="310"/>
    </row>
    <row r="14" spans="1:28" ht="22.5" customHeight="1">
      <c r="A14" s="136" t="str">
        <f>'Match Selection'!J10</f>
        <v>Weezy</v>
      </c>
      <c r="B14" s="137" t="str">
        <f>VLOOKUP(A14, 'Master Input'!$A$11:$B$27,2, FALSE)</f>
        <v>WEEZ</v>
      </c>
      <c r="C14" s="292">
        <f ca="1">VLOOKUP(A14,'Master Input'!$A$11:$L$27,'Master Input'!$H$28, FALSE)</f>
        <v>15</v>
      </c>
      <c r="D14" s="293">
        <f ca="1">C14-SMALL($C$14:$C$17,1)</f>
        <v>4</v>
      </c>
      <c r="E14" s="322">
        <v>4</v>
      </c>
      <c r="F14" s="322">
        <v>4</v>
      </c>
      <c r="G14" s="322">
        <v>7</v>
      </c>
      <c r="H14" s="322">
        <v>4</v>
      </c>
      <c r="I14" s="322">
        <v>3</v>
      </c>
      <c r="J14" s="322">
        <v>5</v>
      </c>
      <c r="K14" s="322">
        <v>5</v>
      </c>
      <c r="L14" s="322">
        <v>8</v>
      </c>
      <c r="M14" s="322">
        <v>4</v>
      </c>
      <c r="N14" s="295">
        <f>IF(M14="","", SUM(E14:M14))</f>
        <v>44</v>
      </c>
      <c r="O14" s="131"/>
      <c r="P14" s="296" t="str">
        <f>A14</f>
        <v>Weezy</v>
      </c>
      <c r="Q14" s="322">
        <v>5</v>
      </c>
      <c r="R14" s="322">
        <v>5</v>
      </c>
      <c r="S14" s="322">
        <v>4</v>
      </c>
      <c r="T14" s="322">
        <v>4</v>
      </c>
      <c r="U14" s="322">
        <v>5</v>
      </c>
      <c r="V14" s="322">
        <v>6</v>
      </c>
      <c r="W14" s="322">
        <v>6</v>
      </c>
      <c r="X14" s="322">
        <v>4</v>
      </c>
      <c r="Y14" s="322">
        <v>6</v>
      </c>
      <c r="Z14" s="295">
        <f>IF(Y14="","", SUM(Q14:Y14))</f>
        <v>45</v>
      </c>
      <c r="AA14" s="297">
        <f>IF(Z14="", "", SUM(N14,Z14))</f>
        <v>89</v>
      </c>
      <c r="AB14" s="298">
        <f ca="1">IF(Y14="", "", AA14-C14)</f>
        <v>74</v>
      </c>
    </row>
    <row r="15" spans="1:28" ht="7.5" customHeight="1">
      <c r="A15" s="159"/>
      <c r="B15" s="160"/>
      <c r="C15" s="323"/>
      <c r="D15" s="324"/>
      <c r="E15" s="165" t="str">
        <f t="shared" ref="E15:M15" ca="1" si="12">IF(E16=1,"O", IF(E16=2,"O   O",""))</f>
        <v/>
      </c>
      <c r="F15" s="165" t="str">
        <f t="shared" ca="1" si="12"/>
        <v/>
      </c>
      <c r="G15" s="165" t="str">
        <f t="shared" ca="1" si="12"/>
        <v/>
      </c>
      <c r="H15" s="165" t="str">
        <f t="shared" ca="1" si="12"/>
        <v/>
      </c>
      <c r="I15" s="165" t="str">
        <f t="shared" ca="1" si="12"/>
        <v/>
      </c>
      <c r="J15" s="165" t="str">
        <f t="shared" ca="1" si="12"/>
        <v/>
      </c>
      <c r="K15" s="165" t="str">
        <f t="shared" ca="1" si="12"/>
        <v/>
      </c>
      <c r="L15" s="165" t="str">
        <f t="shared" ca="1" si="12"/>
        <v/>
      </c>
      <c r="M15" s="165" t="str">
        <f t="shared" ca="1" si="12"/>
        <v/>
      </c>
      <c r="N15" s="325"/>
      <c r="O15" s="118"/>
      <c r="P15" s="326"/>
      <c r="Q15" s="165" t="str">
        <f t="shared" ref="Q15:Y15" ca="1" si="13">IF(Q16=1,"O", IF(Q16=2,"O   O",""))</f>
        <v/>
      </c>
      <c r="R15" s="165" t="str">
        <f t="shared" ca="1" si="13"/>
        <v/>
      </c>
      <c r="S15" s="165" t="str">
        <f t="shared" ca="1" si="13"/>
        <v/>
      </c>
      <c r="T15" s="165" t="str">
        <f t="shared" ca="1" si="13"/>
        <v/>
      </c>
      <c r="U15" s="165" t="str">
        <f t="shared" ca="1" si="13"/>
        <v/>
      </c>
      <c r="V15" s="165" t="str">
        <f t="shared" ca="1" si="13"/>
        <v/>
      </c>
      <c r="W15" s="165" t="str">
        <f t="shared" ca="1" si="13"/>
        <v/>
      </c>
      <c r="X15" s="165" t="str">
        <f t="shared" ca="1" si="13"/>
        <v/>
      </c>
      <c r="Y15" s="165" t="str">
        <f t="shared" ca="1" si="13"/>
        <v/>
      </c>
      <c r="Z15" s="325"/>
      <c r="AA15" s="327"/>
      <c r="AB15" s="320"/>
    </row>
    <row r="16" spans="1:28" ht="22.5" hidden="1" customHeight="1">
      <c r="A16" s="171"/>
      <c r="B16" s="172"/>
      <c r="C16" s="307"/>
      <c r="D16" s="308"/>
      <c r="E16" s="177">
        <f t="shared" ref="E16:M16" ca="1" si="14">IF($D17&gt;0,FLOOR($D17/18,1),0)+IF(AND(MOD($D17,18)&gt;=E$3,$D17&gt;0),1,0)-IF(E$3-18&gt;$D17,1,0)</f>
        <v>0</v>
      </c>
      <c r="F16" s="177">
        <f t="shared" ca="1" si="14"/>
        <v>0</v>
      </c>
      <c r="G16" s="177">
        <f t="shared" ca="1" si="14"/>
        <v>0</v>
      </c>
      <c r="H16" s="177">
        <f t="shared" ca="1" si="14"/>
        <v>0</v>
      </c>
      <c r="I16" s="177">
        <f t="shared" ca="1" si="14"/>
        <v>0</v>
      </c>
      <c r="J16" s="177">
        <f t="shared" ca="1" si="14"/>
        <v>0</v>
      </c>
      <c r="K16" s="177">
        <f t="shared" ca="1" si="14"/>
        <v>0</v>
      </c>
      <c r="L16" s="177">
        <f t="shared" ca="1" si="14"/>
        <v>0</v>
      </c>
      <c r="M16" s="177">
        <f t="shared" ca="1" si="14"/>
        <v>0</v>
      </c>
      <c r="N16" s="289"/>
      <c r="O16" s="131"/>
      <c r="P16" s="309"/>
      <c r="Q16" s="177">
        <f t="shared" ref="Q16:Y16" ca="1" si="15">IF($D17&gt;0,FLOOR($D17/18,1),0)+IF(AND(MOD($D17,18)&gt;=Q$3,$D17&gt;0),1,0)-IF(Q$3-18&gt;$D17,1,0)</f>
        <v>0</v>
      </c>
      <c r="R16" s="177">
        <f t="shared" ca="1" si="15"/>
        <v>0</v>
      </c>
      <c r="S16" s="177">
        <f t="shared" ca="1" si="15"/>
        <v>0</v>
      </c>
      <c r="T16" s="177">
        <f t="shared" ca="1" si="15"/>
        <v>0</v>
      </c>
      <c r="U16" s="177">
        <f t="shared" ca="1" si="15"/>
        <v>0</v>
      </c>
      <c r="V16" s="177">
        <f t="shared" ca="1" si="15"/>
        <v>0</v>
      </c>
      <c r="W16" s="177">
        <f t="shared" ca="1" si="15"/>
        <v>0</v>
      </c>
      <c r="X16" s="177">
        <f t="shared" ca="1" si="15"/>
        <v>0</v>
      </c>
      <c r="Y16" s="177">
        <f t="shared" ca="1" si="15"/>
        <v>0</v>
      </c>
      <c r="Z16" s="289"/>
      <c r="AA16" s="328"/>
      <c r="AB16" s="310"/>
    </row>
    <row r="17" spans="1:28" ht="22.5" customHeight="1">
      <c r="A17" s="191" t="str">
        <f>'Match Selection'!M10</f>
        <v>TJSC</v>
      </c>
      <c r="B17" s="182" t="str">
        <f>VLOOKUP(A17, 'Master Input'!$A$11:$B$27,2, FALSE)</f>
        <v>TEES</v>
      </c>
      <c r="C17" s="311">
        <f ca="1">VLOOKUP(A17,'Master Input'!$A$11:$L$27,'Master Input'!$H$28, FALSE)</f>
        <v>11</v>
      </c>
      <c r="D17" s="312">
        <f ca="1">C17-SMALL($C$14:$C$17,1)</f>
        <v>0</v>
      </c>
      <c r="E17" s="313">
        <v>5</v>
      </c>
      <c r="F17" s="313">
        <v>6</v>
      </c>
      <c r="G17" s="313">
        <v>6</v>
      </c>
      <c r="H17" s="313">
        <v>4</v>
      </c>
      <c r="I17" s="313">
        <v>4</v>
      </c>
      <c r="J17" s="313">
        <v>6</v>
      </c>
      <c r="K17" s="313">
        <v>4</v>
      </c>
      <c r="L17" s="313">
        <v>5</v>
      </c>
      <c r="M17" s="313">
        <v>4</v>
      </c>
      <c r="N17" s="295">
        <f>IF(M17="","", SUM(E17:M17))</f>
        <v>44</v>
      </c>
      <c r="O17" s="131"/>
      <c r="P17" s="314" t="str">
        <f>A17</f>
        <v>TJSC</v>
      </c>
      <c r="Q17" s="313">
        <v>4</v>
      </c>
      <c r="R17" s="313">
        <v>5</v>
      </c>
      <c r="S17" s="313">
        <v>4</v>
      </c>
      <c r="T17" s="313">
        <v>5</v>
      </c>
      <c r="U17" s="313">
        <v>4</v>
      </c>
      <c r="V17" s="313">
        <v>5</v>
      </c>
      <c r="W17" s="313">
        <v>7</v>
      </c>
      <c r="X17" s="313">
        <v>7</v>
      </c>
      <c r="Y17" s="313">
        <v>6</v>
      </c>
      <c r="Z17" s="295">
        <f>IF(Y17="","", SUM(Q17:Y17))</f>
        <v>47</v>
      </c>
      <c r="AA17" s="297">
        <f>IF(Z17="", "", SUM(N17,Z17))</f>
        <v>91</v>
      </c>
      <c r="AB17" s="298">
        <f ca="1">IF(Y17="", "", AA17-C17)</f>
        <v>80</v>
      </c>
    </row>
    <row r="18" spans="1:28" ht="11.25" customHeight="1">
      <c r="A18" s="329"/>
      <c r="B18" s="329"/>
      <c r="C18" s="330"/>
      <c r="D18" s="195"/>
      <c r="E18" s="331"/>
      <c r="F18" s="195"/>
      <c r="G18" s="195"/>
      <c r="H18" s="195"/>
      <c r="I18" s="195"/>
      <c r="J18" s="195"/>
      <c r="K18" s="195"/>
      <c r="L18" s="195"/>
      <c r="M18" s="195"/>
      <c r="N18" s="331" t="s">
        <v>7</v>
      </c>
      <c r="O18" s="196"/>
      <c r="P18" s="195"/>
      <c r="Q18" s="331"/>
      <c r="R18" s="195"/>
      <c r="S18" s="195"/>
      <c r="T18" s="195"/>
      <c r="U18" s="195"/>
      <c r="V18" s="195"/>
      <c r="W18" s="195"/>
      <c r="X18" s="195"/>
      <c r="Y18" s="195"/>
      <c r="Z18" s="331"/>
      <c r="AA18" s="195"/>
      <c r="AB18" s="197" t="s">
        <v>42</v>
      </c>
    </row>
    <row r="19" spans="1:28" ht="22.5" customHeight="1">
      <c r="A19" s="332" t="str">
        <f>B8&amp;" Top"</f>
        <v>WEEZ Top</v>
      </c>
      <c r="B19" s="333" t="s">
        <v>43</v>
      </c>
      <c r="C19" s="334"/>
      <c r="D19" s="335"/>
      <c r="E19" s="336">
        <f ca="1">IF(E26="",".",E26)</f>
        <v>-1</v>
      </c>
      <c r="F19" s="337">
        <f t="shared" ref="F19:M19" ca="1" si="16">IF(F26="",".",F26+E19)</f>
        <v>-1</v>
      </c>
      <c r="G19" s="337">
        <f t="shared" ca="1" si="16"/>
        <v>-2</v>
      </c>
      <c r="H19" s="337">
        <f t="shared" ca="1" si="16"/>
        <v>-1</v>
      </c>
      <c r="I19" s="337">
        <f t="shared" ca="1" si="16"/>
        <v>-2</v>
      </c>
      <c r="J19" s="337">
        <f t="shared" ca="1" si="16"/>
        <v>-3</v>
      </c>
      <c r="K19" s="337">
        <f t="shared" ca="1" si="16"/>
        <v>-2</v>
      </c>
      <c r="L19" s="337">
        <f t="shared" ca="1" si="16"/>
        <v>-3</v>
      </c>
      <c r="M19" s="337">
        <f t="shared" ca="1" si="16"/>
        <v>-2</v>
      </c>
      <c r="N19" s="338">
        <f ca="1">IF(M19=".", "", IF(M19&lt;0, 0, IF(M19&gt;0, VLOOKUP($B$2,'Master Input'!$O$12:$R$23,'Master Input'!P$11,FALSE), VLOOKUP($B$2,'Master Input'!$O$12:$R$23,'Master Input'!P$11,FALSE)*0.5)))</f>
        <v>0</v>
      </c>
      <c r="O19" s="204"/>
      <c r="P19" s="339" t="s">
        <v>44</v>
      </c>
      <c r="Q19" s="340">
        <f ca="1">IF(Q26="",".",Q26+M19)</f>
        <v>-2</v>
      </c>
      <c r="R19" s="341">
        <f t="shared" ref="R19:Y19" ca="1" si="17">IF(R26="",".",R26+Q19)</f>
        <v>-3</v>
      </c>
      <c r="S19" s="341">
        <f t="shared" ca="1" si="17"/>
        <v>-3</v>
      </c>
      <c r="T19" s="341">
        <f t="shared" ca="1" si="17"/>
        <v>-3</v>
      </c>
      <c r="U19" s="341">
        <f t="shared" ca="1" si="17"/>
        <v>-2</v>
      </c>
      <c r="V19" s="341">
        <f t="shared" ca="1" si="17"/>
        <v>-2</v>
      </c>
      <c r="W19" s="341">
        <f t="shared" ca="1" si="17"/>
        <v>-3</v>
      </c>
      <c r="X19" s="341">
        <f t="shared" ca="1" si="17"/>
        <v>-3</v>
      </c>
      <c r="Y19" s="341">
        <f t="shared" ca="1" si="17"/>
        <v>-4</v>
      </c>
      <c r="Z19" s="342">
        <f ca="1">IF(Y19=".", "", IF(Y19&lt;0, 0, IF(Y19&gt;0, VLOOKUP($B$2,'Master Input'!$O$12:$R$23,'Master Input'!R$11,FALSE), VLOOKUP($B$2,'Master Input'!$O$12:$R$23,'Master Input'!R$11,FALSE)*0.5)))</f>
        <v>0</v>
      </c>
      <c r="AA19" s="343" t="s">
        <v>44</v>
      </c>
      <c r="AB19" s="344">
        <f ca="1">IF(Z19="","", SUM(N19,Z19,Z20))</f>
        <v>0</v>
      </c>
    </row>
    <row r="20" spans="1:28" ht="22.5" customHeight="1">
      <c r="A20" s="345"/>
      <c r="B20" s="346"/>
      <c r="C20" s="347"/>
      <c r="D20" s="348"/>
      <c r="E20" s="349"/>
      <c r="F20" s="348"/>
      <c r="G20" s="348"/>
      <c r="H20" s="348"/>
      <c r="I20" s="348"/>
      <c r="J20" s="348"/>
      <c r="K20" s="348"/>
      <c r="L20" s="348"/>
      <c r="M20" s="348"/>
      <c r="N20" s="349"/>
      <c r="O20" s="204"/>
      <c r="P20" s="350" t="s">
        <v>45</v>
      </c>
      <c r="Q20" s="351">
        <f ca="1">IF(Q26="",".",Q26)</f>
        <v>0</v>
      </c>
      <c r="R20" s="352">
        <f t="shared" ref="R20:Y20" ca="1" si="18">IF(R26="",".",R26+Q20)</f>
        <v>-1</v>
      </c>
      <c r="S20" s="352">
        <f t="shared" ca="1" si="18"/>
        <v>-1</v>
      </c>
      <c r="T20" s="352">
        <f t="shared" ca="1" si="18"/>
        <v>-1</v>
      </c>
      <c r="U20" s="352">
        <f t="shared" ca="1" si="18"/>
        <v>0</v>
      </c>
      <c r="V20" s="352">
        <f t="shared" ca="1" si="18"/>
        <v>0</v>
      </c>
      <c r="W20" s="352">
        <f t="shared" ca="1" si="18"/>
        <v>-1</v>
      </c>
      <c r="X20" s="352">
        <f t="shared" ca="1" si="18"/>
        <v>-1</v>
      </c>
      <c r="Y20" s="352">
        <f t="shared" ca="1" si="18"/>
        <v>-2</v>
      </c>
      <c r="Z20" s="353">
        <f ca="1">IF(Y20=".", "", IF(Y20&lt;0, 0, IF(Y20&gt;0, VLOOKUP($B$2,'Master Input'!$O$12:$R$23,'Master Input'!Q$11,FALSE), VLOOKUP($B$2,'Master Input'!$O$12:$R$23,'Master Input'!Q$11,FALSE)*0.5)))</f>
        <v>0</v>
      </c>
      <c r="AA20" s="343" t="s">
        <v>45</v>
      </c>
      <c r="AB20" s="197" t="s">
        <v>42</v>
      </c>
    </row>
    <row r="21" spans="1:28" ht="22.5" customHeight="1">
      <c r="A21" s="354" t="str">
        <f>B8&amp;" Bottom"</f>
        <v>WEEZ Bottom</v>
      </c>
      <c r="B21" s="355" t="s">
        <v>46</v>
      </c>
      <c r="C21" s="356"/>
      <c r="D21" s="357"/>
      <c r="E21" s="336">
        <f ca="1">IF(E29="",".",E29)</f>
        <v>1</v>
      </c>
      <c r="F21" s="337">
        <f t="shared" ref="F21:M21" ca="1" si="19">IF(F29="",".",F29+E21)</f>
        <v>2</v>
      </c>
      <c r="G21" s="337">
        <f t="shared" ca="1" si="19"/>
        <v>2</v>
      </c>
      <c r="H21" s="337">
        <f t="shared" ca="1" si="19"/>
        <v>2</v>
      </c>
      <c r="I21" s="337">
        <f t="shared" ca="1" si="19"/>
        <v>3</v>
      </c>
      <c r="J21" s="337">
        <f t="shared" ca="1" si="19"/>
        <v>4</v>
      </c>
      <c r="K21" s="337">
        <f t="shared" ca="1" si="19"/>
        <v>3</v>
      </c>
      <c r="L21" s="337">
        <f t="shared" ca="1" si="19"/>
        <v>2</v>
      </c>
      <c r="M21" s="337">
        <f t="shared" ca="1" si="19"/>
        <v>2</v>
      </c>
      <c r="N21" s="338">
        <f ca="1">IF(M21=".", "", IF(M21&lt;0, 0, IF(M21&gt;0, VLOOKUP($B$2,'Master Input'!$O$12:$R$23,'Master Input'!P$11,FALSE), VLOOKUP($B$2,'Master Input'!$O$12:$R$23,'Master Input'!P$11,FALSE)*0.5)))</f>
        <v>1</v>
      </c>
      <c r="O21" s="204"/>
      <c r="P21" s="339" t="s">
        <v>47</v>
      </c>
      <c r="Q21" s="340">
        <f ca="1">IF(Q29="",".",Q29+M21)</f>
        <v>2</v>
      </c>
      <c r="R21" s="341">
        <f t="shared" ref="R21:Y21" ca="1" si="20">IF(R29="",".",R29+Q21)</f>
        <v>3</v>
      </c>
      <c r="S21" s="341">
        <f t="shared" ca="1" si="20"/>
        <v>3</v>
      </c>
      <c r="T21" s="341">
        <f t="shared" ca="1" si="20"/>
        <v>4</v>
      </c>
      <c r="U21" s="341">
        <f t="shared" ca="1" si="20"/>
        <v>3</v>
      </c>
      <c r="V21" s="341">
        <f t="shared" ca="1" si="20"/>
        <v>2</v>
      </c>
      <c r="W21" s="341">
        <f t="shared" ca="1" si="20"/>
        <v>3</v>
      </c>
      <c r="X21" s="341">
        <f t="shared" ca="1" si="20"/>
        <v>4</v>
      </c>
      <c r="Y21" s="341">
        <f t="shared" ca="1" si="20"/>
        <v>4</v>
      </c>
      <c r="Z21" s="342">
        <f ca="1">IF(Y21=".", "", IF(Y21&lt;0, 0, IF(Y21&gt;0, VLOOKUP($B$2,'Master Input'!$O$12:$R$23,'Master Input'!R$11,FALSE), VLOOKUP($B$2,'Master Input'!$O$12:$R$23,'Master Input'!R$11,FALSE)*0.5)))</f>
        <v>1</v>
      </c>
      <c r="AA21" s="358" t="s">
        <v>48</v>
      </c>
      <c r="AB21" s="344">
        <f ca="1">IF(Z21="","", SUM(N21,Z21,Z22))</f>
        <v>3</v>
      </c>
    </row>
    <row r="22" spans="1:28" ht="22.5" customHeight="1">
      <c r="A22" s="359"/>
      <c r="B22" s="360"/>
      <c r="C22" s="361"/>
      <c r="D22" s="362"/>
      <c r="E22" s="362"/>
      <c r="F22" s="362"/>
      <c r="G22" s="362"/>
      <c r="H22" s="362"/>
      <c r="I22" s="362"/>
      <c r="J22" s="362"/>
      <c r="K22" s="362"/>
      <c r="L22" s="362"/>
      <c r="M22" s="362"/>
      <c r="N22" s="363"/>
      <c r="O22" s="72"/>
      <c r="P22" s="350" t="s">
        <v>49</v>
      </c>
      <c r="Q22" s="351">
        <f ca="1">IF(Q29="",".",Q29)</f>
        <v>0</v>
      </c>
      <c r="R22" s="352">
        <f t="shared" ref="R22:Y22" ca="1" si="21">IF(R29="",".",R29+Q22)</f>
        <v>1</v>
      </c>
      <c r="S22" s="352">
        <f t="shared" ca="1" si="21"/>
        <v>1</v>
      </c>
      <c r="T22" s="352">
        <f t="shared" ca="1" si="21"/>
        <v>2</v>
      </c>
      <c r="U22" s="352">
        <f t="shared" ca="1" si="21"/>
        <v>1</v>
      </c>
      <c r="V22" s="352">
        <f t="shared" ca="1" si="21"/>
        <v>0</v>
      </c>
      <c r="W22" s="352">
        <f t="shared" ca="1" si="21"/>
        <v>1</v>
      </c>
      <c r="X22" s="352">
        <f t="shared" ca="1" si="21"/>
        <v>2</v>
      </c>
      <c r="Y22" s="352">
        <f t="shared" ca="1" si="21"/>
        <v>2</v>
      </c>
      <c r="Z22" s="353">
        <f ca="1">IF(Y22=".", "", IF(Y22&lt;0, 0, IF(Y22&gt;0, VLOOKUP($B$2,'Master Input'!$O$12:$R$23,'Master Input'!Q$11,FALSE), VLOOKUP($B$2,'Master Input'!$O$12:$R$23,'Master Input'!Q$11,FALSE)*0.5)))</f>
        <v>1</v>
      </c>
      <c r="AA22" s="358" t="s">
        <v>50</v>
      </c>
      <c r="AB22" s="193"/>
    </row>
    <row r="23" spans="1:28" ht="22.5" hidden="1" customHeight="1">
      <c r="A23" s="193"/>
      <c r="B23" s="193"/>
      <c r="C23" s="194"/>
      <c r="D23" s="193"/>
      <c r="E23" s="193"/>
      <c r="F23" s="193"/>
      <c r="G23" s="193"/>
      <c r="H23" s="193"/>
      <c r="I23" s="193"/>
      <c r="J23" s="193"/>
      <c r="K23" s="193"/>
      <c r="L23" s="193"/>
      <c r="M23" s="193"/>
      <c r="N23" s="193"/>
      <c r="O23" s="364"/>
      <c r="P23" s="365"/>
      <c r="Q23" s="365"/>
      <c r="R23" s="365"/>
      <c r="S23" s="365"/>
      <c r="T23" s="365"/>
      <c r="U23" s="365"/>
      <c r="V23" s="365"/>
      <c r="W23" s="365"/>
      <c r="X23" s="365"/>
      <c r="Y23" s="365"/>
      <c r="Z23" s="365"/>
      <c r="AB23" s="193"/>
    </row>
    <row r="24" spans="1:28" ht="22.5" hidden="1" customHeight="1">
      <c r="A24" s="193"/>
      <c r="B24" s="193"/>
      <c r="C24" s="194"/>
      <c r="D24" s="193"/>
      <c r="E24" s="193"/>
      <c r="F24" s="193"/>
      <c r="G24" s="193"/>
      <c r="H24" s="193"/>
      <c r="I24" s="193"/>
      <c r="J24" s="193"/>
      <c r="K24" s="193"/>
      <c r="L24" s="193"/>
      <c r="M24" s="193"/>
      <c r="N24" s="193"/>
      <c r="O24" s="364"/>
      <c r="P24" s="365"/>
      <c r="Q24" s="365"/>
      <c r="R24" s="365"/>
      <c r="S24" s="365"/>
      <c r="T24" s="365"/>
      <c r="U24" s="365"/>
      <c r="V24" s="365"/>
      <c r="W24" s="365"/>
      <c r="X24" s="365"/>
      <c r="Y24" s="365"/>
      <c r="Z24" s="366" t="s">
        <v>32</v>
      </c>
      <c r="AA24" s="367" t="s">
        <v>33</v>
      </c>
      <c r="AB24" s="223" t="s">
        <v>34</v>
      </c>
    </row>
    <row r="25" spans="1:28" ht="22.5" hidden="1" customHeight="1">
      <c r="A25" s="193"/>
      <c r="B25" s="193"/>
      <c r="C25" s="194"/>
      <c r="D25" s="193"/>
      <c r="E25" s="193"/>
      <c r="F25" s="193"/>
      <c r="G25" s="193"/>
      <c r="H25" s="193"/>
      <c r="I25" s="193"/>
      <c r="J25" s="193"/>
      <c r="K25" s="193"/>
      <c r="L25" s="193"/>
      <c r="M25" s="193"/>
      <c r="N25" s="193"/>
      <c r="O25" s="364"/>
      <c r="P25" s="365"/>
      <c r="Q25" s="365"/>
      <c r="R25" s="365"/>
      <c r="S25" s="365"/>
      <c r="T25" s="365"/>
      <c r="U25" s="365"/>
      <c r="V25" s="365"/>
      <c r="W25" s="365"/>
      <c r="X25" s="365"/>
      <c r="Y25" s="365"/>
      <c r="Z25" s="366" t="s">
        <v>36</v>
      </c>
      <c r="AA25" s="367" t="s">
        <v>37</v>
      </c>
      <c r="AB25" s="223" t="s">
        <v>38</v>
      </c>
    </row>
    <row r="26" spans="1:28" ht="22.5" hidden="1" customHeight="1">
      <c r="A26" s="368"/>
      <c r="B26" s="369" t="str">
        <f>B19</f>
        <v>Top - Front</v>
      </c>
      <c r="C26" s="370"/>
      <c r="D26" s="369"/>
      <c r="E26" s="369">
        <f t="shared" ref="E26:M26" ca="1" si="22">IF(AND(E8="", E11=""), "",IF(E8-E7&lt;E11-E10,1,IF(E8-E7&gt;E11-E10,-1,0)))</f>
        <v>-1</v>
      </c>
      <c r="F26" s="369">
        <f t="shared" ca="1" si="22"/>
        <v>0</v>
      </c>
      <c r="G26" s="369">
        <f t="shared" ca="1" si="22"/>
        <v>-1</v>
      </c>
      <c r="H26" s="369">
        <f t="shared" ca="1" si="22"/>
        <v>1</v>
      </c>
      <c r="I26" s="369">
        <f t="shared" ca="1" si="22"/>
        <v>-1</v>
      </c>
      <c r="J26" s="369">
        <f t="shared" ca="1" si="22"/>
        <v>-1</v>
      </c>
      <c r="K26" s="369">
        <f t="shared" ca="1" si="22"/>
        <v>1</v>
      </c>
      <c r="L26" s="369">
        <f t="shared" ca="1" si="22"/>
        <v>-1</v>
      </c>
      <c r="M26" s="369">
        <f t="shared" ca="1" si="22"/>
        <v>1</v>
      </c>
      <c r="N26" s="369">
        <f ca="1">SUM(N27:N28)</f>
        <v>9</v>
      </c>
      <c r="O26" s="369"/>
      <c r="P26" s="371"/>
      <c r="Q26" s="369">
        <f t="shared" ref="Q26:Y26" ca="1" si="23">IF(AND(Q8="", Q11=""), "",IF(Q8-Q7&lt;Q11-Q10,1,IF(Q8-Q7&gt;Q11-Q10,-1,0)))</f>
        <v>0</v>
      </c>
      <c r="R26" s="369">
        <f t="shared" ca="1" si="23"/>
        <v>-1</v>
      </c>
      <c r="S26" s="369">
        <f t="shared" ca="1" si="23"/>
        <v>0</v>
      </c>
      <c r="T26" s="369">
        <f t="shared" ca="1" si="23"/>
        <v>0</v>
      </c>
      <c r="U26" s="369">
        <f t="shared" ca="1" si="23"/>
        <v>1</v>
      </c>
      <c r="V26" s="369">
        <f t="shared" ca="1" si="23"/>
        <v>0</v>
      </c>
      <c r="W26" s="369">
        <f t="shared" ca="1" si="23"/>
        <v>-1</v>
      </c>
      <c r="X26" s="369">
        <f t="shared" ca="1" si="23"/>
        <v>0</v>
      </c>
      <c r="Y26" s="369">
        <f t="shared" ca="1" si="23"/>
        <v>-1</v>
      </c>
      <c r="Z26" s="369">
        <f ca="1">SUM(Z27:Z28)</f>
        <v>9</v>
      </c>
      <c r="AA26" s="372">
        <f ca="1">SUM(Z26,N26)</f>
        <v>18</v>
      </c>
      <c r="AB26" s="368"/>
    </row>
    <row r="27" spans="1:28" ht="22.5" hidden="1" customHeight="1">
      <c r="A27" s="193" t="str">
        <f>A8</f>
        <v>T-Mo</v>
      </c>
      <c r="B27" s="193"/>
      <c r="C27" s="194"/>
      <c r="D27" s="193"/>
      <c r="E27" s="193">
        <f t="shared" ref="E27:M27" ca="1" si="24">(E26+1)/2</f>
        <v>0</v>
      </c>
      <c r="F27" s="193">
        <f t="shared" ca="1" si="24"/>
        <v>0.5</v>
      </c>
      <c r="G27" s="193">
        <f t="shared" ca="1" si="24"/>
        <v>0</v>
      </c>
      <c r="H27" s="193">
        <f t="shared" ca="1" si="24"/>
        <v>1</v>
      </c>
      <c r="I27" s="193">
        <f t="shared" ca="1" si="24"/>
        <v>0</v>
      </c>
      <c r="J27" s="193">
        <f t="shared" ca="1" si="24"/>
        <v>0</v>
      </c>
      <c r="K27" s="193">
        <f t="shared" ca="1" si="24"/>
        <v>1</v>
      </c>
      <c r="L27" s="193">
        <f t="shared" ca="1" si="24"/>
        <v>0</v>
      </c>
      <c r="M27" s="193">
        <f t="shared" ca="1" si="24"/>
        <v>1</v>
      </c>
      <c r="N27" s="193">
        <f t="shared" ref="N27:N28" ca="1" si="25">SUM(E27:M27)</f>
        <v>3.5</v>
      </c>
      <c r="O27" s="364"/>
      <c r="P27" s="365"/>
      <c r="Q27" s="193">
        <f t="shared" ref="Q27:Y27" ca="1" si="26">(Q26+1)/2</f>
        <v>0.5</v>
      </c>
      <c r="R27" s="193">
        <f t="shared" ca="1" si="26"/>
        <v>0</v>
      </c>
      <c r="S27" s="193">
        <f t="shared" ca="1" si="26"/>
        <v>0.5</v>
      </c>
      <c r="T27" s="193">
        <f t="shared" ca="1" si="26"/>
        <v>0.5</v>
      </c>
      <c r="U27" s="193">
        <f t="shared" ca="1" si="26"/>
        <v>1</v>
      </c>
      <c r="V27" s="193">
        <f t="shared" ca="1" si="26"/>
        <v>0.5</v>
      </c>
      <c r="W27" s="193">
        <f t="shared" ca="1" si="26"/>
        <v>0</v>
      </c>
      <c r="X27" s="193">
        <f t="shared" ca="1" si="26"/>
        <v>0.5</v>
      </c>
      <c r="Y27" s="193">
        <f t="shared" ca="1" si="26"/>
        <v>0</v>
      </c>
      <c r="Z27" s="193">
        <f ca="1">IF(Z19="","",SUM(Q27:Y27))</f>
        <v>3.5</v>
      </c>
      <c r="AA27" s="366">
        <f ca="1">IF(Z19="","",SUM(Z27,N27))</f>
        <v>7</v>
      </c>
      <c r="AB27" s="373">
        <f ca="1">IF(Z19="","",AB19)</f>
        <v>0</v>
      </c>
    </row>
    <row r="28" spans="1:28" ht="22.5" hidden="1" customHeight="1">
      <c r="A28" s="193" t="str">
        <f>A11</f>
        <v>KJ</v>
      </c>
      <c r="B28" s="193"/>
      <c r="C28" s="194"/>
      <c r="D28" s="193"/>
      <c r="E28" s="193">
        <f t="shared" ref="E28:M28" ca="1" si="27">1-E27</f>
        <v>1</v>
      </c>
      <c r="F28" s="193">
        <f t="shared" ca="1" si="27"/>
        <v>0.5</v>
      </c>
      <c r="G28" s="193">
        <f t="shared" ca="1" si="27"/>
        <v>1</v>
      </c>
      <c r="H28" s="193">
        <f t="shared" ca="1" si="27"/>
        <v>0</v>
      </c>
      <c r="I28" s="193">
        <f t="shared" ca="1" si="27"/>
        <v>1</v>
      </c>
      <c r="J28" s="193">
        <f t="shared" ca="1" si="27"/>
        <v>1</v>
      </c>
      <c r="K28" s="193">
        <f t="shared" ca="1" si="27"/>
        <v>0</v>
      </c>
      <c r="L28" s="193">
        <f t="shared" ca="1" si="27"/>
        <v>1</v>
      </c>
      <c r="M28" s="193">
        <f t="shared" ca="1" si="27"/>
        <v>0</v>
      </c>
      <c r="N28" s="193">
        <f t="shared" ca="1" si="25"/>
        <v>5.5</v>
      </c>
      <c r="O28" s="364"/>
      <c r="P28" s="365"/>
      <c r="Q28" s="193">
        <f t="shared" ref="Q28:Y28" ca="1" si="28">1-Q27</f>
        <v>0.5</v>
      </c>
      <c r="R28" s="193">
        <f t="shared" ca="1" si="28"/>
        <v>1</v>
      </c>
      <c r="S28" s="193">
        <f t="shared" ca="1" si="28"/>
        <v>0.5</v>
      </c>
      <c r="T28" s="193">
        <f t="shared" ca="1" si="28"/>
        <v>0.5</v>
      </c>
      <c r="U28" s="193">
        <f t="shared" ca="1" si="28"/>
        <v>0</v>
      </c>
      <c r="V28" s="193">
        <f t="shared" ca="1" si="28"/>
        <v>0.5</v>
      </c>
      <c r="W28" s="193">
        <f t="shared" ca="1" si="28"/>
        <v>1</v>
      </c>
      <c r="X28" s="193">
        <f t="shared" ca="1" si="28"/>
        <v>0.5</v>
      </c>
      <c r="Y28" s="193">
        <f t="shared" ca="1" si="28"/>
        <v>1</v>
      </c>
      <c r="Z28" s="193">
        <f ca="1">IF(Z19="","",SUM(Q28:Y28))</f>
        <v>5.5</v>
      </c>
      <c r="AA28" s="366">
        <f ca="1">IF(Z19="","",SUM(Z28,N28))</f>
        <v>11</v>
      </c>
      <c r="AB28" s="373">
        <f ca="1">IF(Z19="","",3-AB19)</f>
        <v>3</v>
      </c>
    </row>
    <row r="29" spans="1:28" ht="22.5" hidden="1" customHeight="1">
      <c r="A29" s="368"/>
      <c r="B29" s="369" t="str">
        <f>B21</f>
        <v>Bottom - Front</v>
      </c>
      <c r="C29" s="370"/>
      <c r="D29" s="369"/>
      <c r="E29" s="369">
        <f t="shared" ref="E29:M29" ca="1" si="29">IF(AND(E14="", E17=""), "",IF(E14-E13&lt;E17-E16,1,IF(E14-E13&gt;E17-E16,-1,0)))</f>
        <v>1</v>
      </c>
      <c r="F29" s="369">
        <f t="shared" ca="1" si="29"/>
        <v>1</v>
      </c>
      <c r="G29" s="369">
        <f t="shared" ca="1" si="29"/>
        <v>0</v>
      </c>
      <c r="H29" s="369">
        <f t="shared" ca="1" si="29"/>
        <v>0</v>
      </c>
      <c r="I29" s="369">
        <f t="shared" ca="1" si="29"/>
        <v>1</v>
      </c>
      <c r="J29" s="369">
        <f t="shared" ca="1" si="29"/>
        <v>1</v>
      </c>
      <c r="K29" s="369">
        <f t="shared" ca="1" si="29"/>
        <v>-1</v>
      </c>
      <c r="L29" s="369">
        <f t="shared" ca="1" si="29"/>
        <v>-1</v>
      </c>
      <c r="M29" s="369">
        <f t="shared" ca="1" si="29"/>
        <v>0</v>
      </c>
      <c r="N29" s="369">
        <f ca="1">SUM(N30:N31)</f>
        <v>9</v>
      </c>
      <c r="O29" s="369"/>
      <c r="P29" s="371"/>
      <c r="Q29" s="369">
        <f t="shared" ref="Q29:Y29" ca="1" si="30">IF(AND(Q14="", Q17=""), "",IF(Q14-Q13&lt;Q17-Q16,1,IF(Q14-Q13&gt;Q17-Q16,-1,0)))</f>
        <v>0</v>
      </c>
      <c r="R29" s="369">
        <f t="shared" ca="1" si="30"/>
        <v>1</v>
      </c>
      <c r="S29" s="369">
        <f t="shared" ca="1" si="30"/>
        <v>0</v>
      </c>
      <c r="T29" s="369">
        <f t="shared" ca="1" si="30"/>
        <v>1</v>
      </c>
      <c r="U29" s="369">
        <f t="shared" ca="1" si="30"/>
        <v>-1</v>
      </c>
      <c r="V29" s="369">
        <f t="shared" ca="1" si="30"/>
        <v>-1</v>
      </c>
      <c r="W29" s="369">
        <f t="shared" ca="1" si="30"/>
        <v>1</v>
      </c>
      <c r="X29" s="369">
        <f t="shared" ca="1" si="30"/>
        <v>1</v>
      </c>
      <c r="Y29" s="369">
        <f t="shared" ca="1" si="30"/>
        <v>0</v>
      </c>
      <c r="Z29" s="369">
        <f ca="1">SUM(Z30:Z31)</f>
        <v>9</v>
      </c>
      <c r="AA29" s="372">
        <f ca="1">SUM(Z29,N29)</f>
        <v>18</v>
      </c>
      <c r="AB29" s="369"/>
    </row>
    <row r="30" spans="1:28" ht="22.5" hidden="1" customHeight="1">
      <c r="A30" s="193" t="str">
        <f>A14</f>
        <v>Weezy</v>
      </c>
      <c r="B30" s="193"/>
      <c r="C30" s="194"/>
      <c r="D30" s="193"/>
      <c r="E30" s="193">
        <f t="shared" ref="E30:M30" ca="1" si="31">(E29+1)/2</f>
        <v>1</v>
      </c>
      <c r="F30" s="193">
        <f t="shared" ca="1" si="31"/>
        <v>1</v>
      </c>
      <c r="G30" s="193">
        <f t="shared" ca="1" si="31"/>
        <v>0.5</v>
      </c>
      <c r="H30" s="193">
        <f t="shared" ca="1" si="31"/>
        <v>0.5</v>
      </c>
      <c r="I30" s="193">
        <f t="shared" ca="1" si="31"/>
        <v>1</v>
      </c>
      <c r="J30" s="193">
        <f t="shared" ca="1" si="31"/>
        <v>1</v>
      </c>
      <c r="K30" s="193">
        <f t="shared" ca="1" si="31"/>
        <v>0</v>
      </c>
      <c r="L30" s="193">
        <f t="shared" ca="1" si="31"/>
        <v>0</v>
      </c>
      <c r="M30" s="193">
        <f t="shared" ca="1" si="31"/>
        <v>0.5</v>
      </c>
      <c r="N30" s="193">
        <f t="shared" ref="N30:N31" ca="1" si="32">SUM(E30:M30)</f>
        <v>5.5</v>
      </c>
      <c r="O30" s="364"/>
      <c r="P30" s="365"/>
      <c r="Q30" s="193">
        <f t="shared" ref="Q30:Y30" ca="1" si="33">(Q29+1)/2</f>
        <v>0.5</v>
      </c>
      <c r="R30" s="193">
        <f t="shared" ca="1" si="33"/>
        <v>1</v>
      </c>
      <c r="S30" s="193">
        <f t="shared" ca="1" si="33"/>
        <v>0.5</v>
      </c>
      <c r="T30" s="193">
        <f t="shared" ca="1" si="33"/>
        <v>1</v>
      </c>
      <c r="U30" s="193">
        <f t="shared" ca="1" si="33"/>
        <v>0</v>
      </c>
      <c r="V30" s="193">
        <f t="shared" ca="1" si="33"/>
        <v>0</v>
      </c>
      <c r="W30" s="193">
        <f t="shared" ca="1" si="33"/>
        <v>1</v>
      </c>
      <c r="X30" s="193">
        <f t="shared" ca="1" si="33"/>
        <v>1</v>
      </c>
      <c r="Y30" s="193">
        <f t="shared" ca="1" si="33"/>
        <v>0.5</v>
      </c>
      <c r="Z30" s="193">
        <f ca="1">IF(Z19="","",SUM(Q30:Y30))</f>
        <v>5.5</v>
      </c>
      <c r="AA30" s="366">
        <f ca="1">IF(Z19="","",SUM(Z30,N30))</f>
        <v>11</v>
      </c>
      <c r="AB30" s="373">
        <f ca="1">IF(Z19="","",AB21)</f>
        <v>3</v>
      </c>
    </row>
    <row r="31" spans="1:28" ht="22.5" hidden="1" customHeight="1">
      <c r="A31" s="193" t="str">
        <f>A17</f>
        <v>TJSC</v>
      </c>
      <c r="B31" s="193"/>
      <c r="C31" s="194"/>
      <c r="D31" s="193"/>
      <c r="E31" s="193">
        <f t="shared" ref="E31:M31" ca="1" si="34">1-E30</f>
        <v>0</v>
      </c>
      <c r="F31" s="193">
        <f t="shared" ca="1" si="34"/>
        <v>0</v>
      </c>
      <c r="G31" s="193">
        <f t="shared" ca="1" si="34"/>
        <v>0.5</v>
      </c>
      <c r="H31" s="193">
        <f t="shared" ca="1" si="34"/>
        <v>0.5</v>
      </c>
      <c r="I31" s="193">
        <f t="shared" ca="1" si="34"/>
        <v>0</v>
      </c>
      <c r="J31" s="193">
        <f t="shared" ca="1" si="34"/>
        <v>0</v>
      </c>
      <c r="K31" s="193">
        <f t="shared" ca="1" si="34"/>
        <v>1</v>
      </c>
      <c r="L31" s="193">
        <f t="shared" ca="1" si="34"/>
        <v>1</v>
      </c>
      <c r="M31" s="193">
        <f t="shared" ca="1" si="34"/>
        <v>0.5</v>
      </c>
      <c r="N31" s="193">
        <f t="shared" ca="1" si="32"/>
        <v>3.5</v>
      </c>
      <c r="O31" s="364"/>
      <c r="P31" s="365"/>
      <c r="Q31" s="193">
        <f t="shared" ref="Q31:Y31" ca="1" si="35">1-Q30</f>
        <v>0.5</v>
      </c>
      <c r="R31" s="193">
        <f t="shared" ca="1" si="35"/>
        <v>0</v>
      </c>
      <c r="S31" s="193">
        <f t="shared" ca="1" si="35"/>
        <v>0.5</v>
      </c>
      <c r="T31" s="193">
        <f t="shared" ca="1" si="35"/>
        <v>0</v>
      </c>
      <c r="U31" s="193">
        <f t="shared" ca="1" si="35"/>
        <v>1</v>
      </c>
      <c r="V31" s="193">
        <f t="shared" ca="1" si="35"/>
        <v>1</v>
      </c>
      <c r="W31" s="193">
        <f t="shared" ca="1" si="35"/>
        <v>0</v>
      </c>
      <c r="X31" s="193">
        <f t="shared" ca="1" si="35"/>
        <v>0</v>
      </c>
      <c r="Y31" s="193">
        <f t="shared" ca="1" si="35"/>
        <v>0.5</v>
      </c>
      <c r="Z31" s="193">
        <f ca="1">IF(Z19="","",SUM(Q31:Y31))</f>
        <v>3.5</v>
      </c>
      <c r="AA31" s="366">
        <f ca="1">IF(Z19="","",SUM(Z31,N31))</f>
        <v>7</v>
      </c>
      <c r="AB31" s="373">
        <f ca="1">IF(Z19="","",3-AB21)</f>
        <v>0</v>
      </c>
    </row>
    <row r="32" spans="1:28" ht="22.5" hidden="1" customHeight="1">
      <c r="A32" s="193"/>
      <c r="B32" s="193"/>
      <c r="C32" s="194"/>
      <c r="D32" s="193"/>
      <c r="E32" s="193">
        <f t="shared" ref="E32:N32" ca="1" si="36">SUM(E27:E28,E30:E31)</f>
        <v>2</v>
      </c>
      <c r="F32" s="193">
        <f t="shared" ca="1" si="36"/>
        <v>2</v>
      </c>
      <c r="G32" s="193">
        <f t="shared" ca="1" si="36"/>
        <v>2</v>
      </c>
      <c r="H32" s="193">
        <f t="shared" ca="1" si="36"/>
        <v>2</v>
      </c>
      <c r="I32" s="193">
        <f t="shared" ca="1" si="36"/>
        <v>2</v>
      </c>
      <c r="J32" s="193">
        <f t="shared" ca="1" si="36"/>
        <v>2</v>
      </c>
      <c r="K32" s="193">
        <f t="shared" ca="1" si="36"/>
        <v>2</v>
      </c>
      <c r="L32" s="193">
        <f t="shared" ca="1" si="36"/>
        <v>2</v>
      </c>
      <c r="M32" s="193">
        <f t="shared" ca="1" si="36"/>
        <v>2</v>
      </c>
      <c r="N32" s="193">
        <f t="shared" ca="1" si="36"/>
        <v>18</v>
      </c>
      <c r="O32" s="364"/>
      <c r="P32" s="365"/>
      <c r="Q32" s="193">
        <f t="shared" ref="Q32:AA32" ca="1" si="37">SUM(Q27:Q28,Q30:Q31)</f>
        <v>2</v>
      </c>
      <c r="R32" s="193">
        <f t="shared" ca="1" si="37"/>
        <v>2</v>
      </c>
      <c r="S32" s="193">
        <f t="shared" ca="1" si="37"/>
        <v>2</v>
      </c>
      <c r="T32" s="193">
        <f t="shared" ca="1" si="37"/>
        <v>2</v>
      </c>
      <c r="U32" s="193">
        <f t="shared" ca="1" si="37"/>
        <v>2</v>
      </c>
      <c r="V32" s="193">
        <f t="shared" ca="1" si="37"/>
        <v>2</v>
      </c>
      <c r="W32" s="193">
        <f t="shared" ca="1" si="37"/>
        <v>2</v>
      </c>
      <c r="X32" s="193">
        <f t="shared" ca="1" si="37"/>
        <v>2</v>
      </c>
      <c r="Y32" s="193">
        <f t="shared" ca="1" si="37"/>
        <v>2</v>
      </c>
      <c r="Z32" s="193">
        <f t="shared" ca="1" si="37"/>
        <v>18</v>
      </c>
      <c r="AA32" s="193">
        <f t="shared" ca="1" si="37"/>
        <v>36</v>
      </c>
      <c r="AB32" s="373"/>
    </row>
  </sheetData>
  <mergeCells count="1">
    <mergeCell ref="B2:B4"/>
  </mergeCells>
  <conditionalFormatting sqref="E8:M8 Q8:Y8 E11:M11 Q11:Y11">
    <cfRule type="expression" dxfId="87" priority="6">
      <formula>E$26=0</formula>
    </cfRule>
  </conditionalFormatting>
  <conditionalFormatting sqref="E8:M8 Q8:Y8">
    <cfRule type="expression" dxfId="86" priority="4">
      <formula>E$26=1</formula>
    </cfRule>
  </conditionalFormatting>
  <conditionalFormatting sqref="E11:M11 Q11:Y11">
    <cfRule type="expression" dxfId="85" priority="2">
      <formula>E$26=-1</formula>
    </cfRule>
  </conditionalFormatting>
  <conditionalFormatting sqref="E14:M14 Q14:Y14 E17:M17 Q17:Y17">
    <cfRule type="expression" dxfId="84" priority="7">
      <formula>E$29=0</formula>
    </cfRule>
  </conditionalFormatting>
  <conditionalFormatting sqref="E14:M14 Q14:Y14">
    <cfRule type="expression" dxfId="83" priority="5">
      <formula>E$29=1</formula>
    </cfRule>
  </conditionalFormatting>
  <conditionalFormatting sqref="E17:M17 Q17:Y17">
    <cfRule type="expression" dxfId="82" priority="3">
      <formula>E$29=-1</formula>
    </cfRule>
  </conditionalFormatting>
  <conditionalFormatting sqref="E19:M19 Q19:Y22 E21:M21">
    <cfRule type="cellIs" dxfId="81" priority="1" operator="equal">
      <formula>"."</formula>
    </cfRule>
  </conditionalFormatting>
  <printOptions horizontalCentered="1" gridLines="1"/>
  <pageMargins left="0.6" right="0.25" top="0.5" bottom="0.25" header="0" footer="0"/>
  <pageSetup fitToHeight="0" pageOrder="overThenDown" orientation="landscape" cellComments="atEnd"/>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FC5E8"/>
    <outlinePr summaryBelow="0" summaryRight="0"/>
    <pageSetUpPr fitToPage="1"/>
  </sheetPr>
  <dimension ref="A1:AB32"/>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263" t="s">
        <v>40</v>
      </c>
      <c r="B1" s="264">
        <f>'Master Input'!G4</f>
        <v>0.35208333333333336</v>
      </c>
      <c r="C1" s="265" t="str">
        <f>'Master Input'!$G$2</f>
        <v>Round 2</v>
      </c>
      <c r="D1" s="266"/>
      <c r="E1" s="265" t="str">
        <f>'Master Input'!$G$6</f>
        <v>The Wolverine - White</v>
      </c>
      <c r="F1" s="266"/>
      <c r="G1" s="266"/>
      <c r="H1" s="266"/>
      <c r="I1" s="266"/>
      <c r="J1" s="266"/>
      <c r="K1" s="266"/>
      <c r="L1" s="266"/>
      <c r="M1" s="266"/>
      <c r="N1" s="266"/>
      <c r="O1" s="72"/>
      <c r="P1" s="265" t="str">
        <f>'Master Input'!$G$2&amp;" - "&amp;A1</f>
        <v>Round 2 - Group 3</v>
      </c>
      <c r="Q1" s="266"/>
      <c r="R1" s="266"/>
      <c r="S1" s="266"/>
      <c r="T1" s="266"/>
      <c r="U1" s="265" t="str">
        <f>'Master Input'!$G$6</f>
        <v>The Wolverine - White</v>
      </c>
      <c r="V1" s="266"/>
      <c r="W1" s="266"/>
      <c r="X1" s="266"/>
      <c r="Y1" s="266"/>
      <c r="Z1" s="266"/>
      <c r="AA1" s="267"/>
      <c r="AB1" s="268"/>
    </row>
    <row r="2" spans="1:28" ht="14.25" customHeight="1">
      <c r="A2" s="75" t="s">
        <v>16</v>
      </c>
      <c r="B2" s="1164" t="str">
        <f>'Match Selection'!B9</f>
        <v>Singles Matches</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10" t="s">
        <v>27</v>
      </c>
      <c r="AB5" s="110" t="s">
        <v>28</v>
      </c>
    </row>
    <row r="6" spans="1:28" ht="7.5" customHeight="1">
      <c r="A6" s="112"/>
      <c r="B6" s="112"/>
      <c r="C6" s="280"/>
      <c r="D6" s="281"/>
      <c r="E6" s="116" t="str">
        <f t="shared" ref="E6:M6" ca="1" si="0">IF(E7=1,"O", IF(E7=2,"O   O",""))</f>
        <v/>
      </c>
      <c r="F6" s="116" t="str">
        <f t="shared" ca="1" si="0"/>
        <v/>
      </c>
      <c r="G6" s="116" t="str">
        <f t="shared" ca="1" si="0"/>
        <v>O</v>
      </c>
      <c r="H6" s="116" t="str">
        <f t="shared" ca="1" si="0"/>
        <v/>
      </c>
      <c r="I6" s="116" t="str">
        <f t="shared" ca="1" si="0"/>
        <v/>
      </c>
      <c r="J6" s="116" t="str">
        <f t="shared" ca="1" si="0"/>
        <v/>
      </c>
      <c r="K6" s="116" t="str">
        <f t="shared" ca="1" si="0"/>
        <v/>
      </c>
      <c r="L6" s="116" t="str">
        <f t="shared" ca="1" si="0"/>
        <v/>
      </c>
      <c r="M6" s="116" t="str">
        <f t="shared" ca="1" si="0"/>
        <v/>
      </c>
      <c r="N6" s="282"/>
      <c r="O6" s="118"/>
      <c r="P6" s="283"/>
      <c r="Q6" s="116" t="str">
        <f t="shared" ref="Q6:Y6" ca="1" si="1">IF(Q7=1,"O", IF(Q7=2,"O   O",""))</f>
        <v/>
      </c>
      <c r="R6" s="116" t="str">
        <f t="shared" ca="1" si="1"/>
        <v/>
      </c>
      <c r="S6" s="116" t="str">
        <f t="shared" ca="1" si="1"/>
        <v/>
      </c>
      <c r="T6" s="116" t="str">
        <f t="shared" ca="1" si="1"/>
        <v/>
      </c>
      <c r="U6" s="116" t="str">
        <f t="shared" ca="1" si="1"/>
        <v/>
      </c>
      <c r="V6" s="116" t="str">
        <f t="shared" ca="1" si="1"/>
        <v/>
      </c>
      <c r="W6" s="116" t="str">
        <f t="shared" ca="1" si="1"/>
        <v/>
      </c>
      <c r="X6" s="116" t="str">
        <f t="shared" ca="1" si="1"/>
        <v/>
      </c>
      <c r="Y6" s="116" t="str">
        <f t="shared" ca="1" si="1"/>
        <v/>
      </c>
      <c r="Z6" s="284"/>
      <c r="AA6" s="285"/>
      <c r="AB6" s="285"/>
    </row>
    <row r="7" spans="1:28" ht="22.5" hidden="1" customHeight="1">
      <c r="A7" s="123"/>
      <c r="B7" s="124"/>
      <c r="C7" s="286"/>
      <c r="D7" s="287"/>
      <c r="E7" s="288">
        <f t="shared" ref="E7:M7" ca="1" si="2">IF($D8&gt;0,FLOOR($D8/18,1),0)+IF(AND(MOD($D8,18)&gt;=E$3,$D8&gt;0),1,0)-IF(E$3-18&gt;$D8,1,0)</f>
        <v>0</v>
      </c>
      <c r="F7" s="288">
        <f t="shared" ca="1" si="2"/>
        <v>0</v>
      </c>
      <c r="G7" s="288">
        <f t="shared" ca="1" si="2"/>
        <v>1</v>
      </c>
      <c r="H7" s="288">
        <f t="shared" ca="1" si="2"/>
        <v>0</v>
      </c>
      <c r="I7" s="288">
        <f t="shared" ca="1" si="2"/>
        <v>0</v>
      </c>
      <c r="J7" s="288">
        <f t="shared" ca="1" si="2"/>
        <v>0</v>
      </c>
      <c r="K7" s="288">
        <f t="shared" ca="1" si="2"/>
        <v>0</v>
      </c>
      <c r="L7" s="288">
        <f t="shared" ca="1" si="2"/>
        <v>0</v>
      </c>
      <c r="M7" s="288">
        <f t="shared" ca="1" si="2"/>
        <v>0</v>
      </c>
      <c r="N7" s="289"/>
      <c r="O7" s="131"/>
      <c r="P7" s="290"/>
      <c r="Q7" s="288">
        <f t="shared" ref="Q7:Y7" ca="1" si="3">IF($D8&gt;0,FLOOR($D8/18,1),0)+IF(AND(MOD($D8,18)&gt;=Q$3,$D8&gt;0),1,0)-IF(Q$3-18&gt;$D8,1,0)</f>
        <v>0</v>
      </c>
      <c r="R7" s="288">
        <f t="shared" ca="1" si="3"/>
        <v>0</v>
      </c>
      <c r="S7" s="288">
        <f t="shared" ca="1" si="3"/>
        <v>0</v>
      </c>
      <c r="T7" s="288">
        <f t="shared" ca="1" si="3"/>
        <v>0</v>
      </c>
      <c r="U7" s="288">
        <f t="shared" ca="1" si="3"/>
        <v>0</v>
      </c>
      <c r="V7" s="288">
        <f t="shared" ca="1" si="3"/>
        <v>0</v>
      </c>
      <c r="W7" s="288">
        <f t="shared" ca="1" si="3"/>
        <v>0</v>
      </c>
      <c r="X7" s="288">
        <f t="shared" ca="1" si="3"/>
        <v>0</v>
      </c>
      <c r="Y7" s="288">
        <f t="shared" ca="1" si="3"/>
        <v>0</v>
      </c>
      <c r="Z7" s="289"/>
      <c r="AA7" s="291"/>
      <c r="AB7" s="291"/>
    </row>
    <row r="8" spans="1:28" ht="22.5" customHeight="1">
      <c r="A8" s="136" t="str">
        <f>'Match Selection'!P9</f>
        <v>Pace</v>
      </c>
      <c r="B8" s="137" t="str">
        <f>VLOOKUP(A8, 'Master Input'!$A$11:$B$27,2, FALSE)</f>
        <v>WEEZ</v>
      </c>
      <c r="C8" s="292">
        <f ca="1">VLOOKUP(A8,'Master Input'!$A$11:$L$27,'Master Input'!$H$28, FALSE)</f>
        <v>7</v>
      </c>
      <c r="D8" s="293">
        <f ca="1">C8-SMALL($C$8:$C$11,1)</f>
        <v>1</v>
      </c>
      <c r="E8" s="294">
        <v>5</v>
      </c>
      <c r="F8" s="294">
        <v>6</v>
      </c>
      <c r="G8" s="294">
        <v>6</v>
      </c>
      <c r="H8" s="294">
        <v>3</v>
      </c>
      <c r="I8" s="294">
        <v>4</v>
      </c>
      <c r="J8" s="294">
        <v>5</v>
      </c>
      <c r="K8" s="294">
        <v>5</v>
      </c>
      <c r="L8" s="294">
        <v>4</v>
      </c>
      <c r="M8" s="294">
        <v>4</v>
      </c>
      <c r="N8" s="295">
        <f>IF(M8="","", SUM(E8:M8))</f>
        <v>42</v>
      </c>
      <c r="O8" s="131"/>
      <c r="P8" s="296" t="str">
        <f>A8</f>
        <v>Pace</v>
      </c>
      <c r="Q8" s="294">
        <v>4</v>
      </c>
      <c r="R8" s="294">
        <v>7</v>
      </c>
      <c r="S8" s="294">
        <v>4</v>
      </c>
      <c r="T8" s="294">
        <v>4</v>
      </c>
      <c r="U8" s="294">
        <v>3</v>
      </c>
      <c r="V8" s="294">
        <v>5</v>
      </c>
      <c r="W8" s="294">
        <v>6</v>
      </c>
      <c r="X8" s="294">
        <v>4</v>
      </c>
      <c r="Y8" s="294">
        <v>5</v>
      </c>
      <c r="Z8" s="295">
        <f>IF(Y8="","", SUM(Q8:Y8))</f>
        <v>42</v>
      </c>
      <c r="AA8" s="297">
        <f>IF(Z8="", "", SUM(N8,Z8))</f>
        <v>84</v>
      </c>
      <c r="AB8" s="298">
        <f ca="1">IF(Y8="", "", AA8-C8)</f>
        <v>77</v>
      </c>
    </row>
    <row r="9" spans="1:28" ht="7.5" customHeight="1">
      <c r="A9" s="299"/>
      <c r="B9" s="300"/>
      <c r="C9" s="301"/>
      <c r="D9" s="302"/>
      <c r="E9" s="165" t="str">
        <f t="shared" ref="E9:M9" ca="1" si="4">IF(E10=1,"O", IF(E10=2,"O   O",""))</f>
        <v/>
      </c>
      <c r="F9" s="165" t="str">
        <f t="shared" ca="1" si="4"/>
        <v/>
      </c>
      <c r="G9" s="165" t="str">
        <f t="shared" ca="1" si="4"/>
        <v/>
      </c>
      <c r="H9" s="165" t="str">
        <f t="shared" ca="1" si="4"/>
        <v/>
      </c>
      <c r="I9" s="165" t="str">
        <f t="shared" ca="1" si="4"/>
        <v/>
      </c>
      <c r="J9" s="165" t="str">
        <f t="shared" ca="1" si="4"/>
        <v/>
      </c>
      <c r="K9" s="165" t="str">
        <f t="shared" ca="1" si="4"/>
        <v/>
      </c>
      <c r="L9" s="165" t="str">
        <f t="shared" ca="1" si="4"/>
        <v/>
      </c>
      <c r="M9" s="165" t="str">
        <f t="shared" ca="1" si="4"/>
        <v/>
      </c>
      <c r="N9" s="303"/>
      <c r="O9" s="118"/>
      <c r="P9" s="304"/>
      <c r="Q9" s="165" t="str">
        <f t="shared" ref="Q9:Y9" ca="1" si="5">IF(Q10=1,"O", IF(Q10=2,"O   O",""))</f>
        <v/>
      </c>
      <c r="R9" s="165" t="str">
        <f t="shared" ca="1" si="5"/>
        <v/>
      </c>
      <c r="S9" s="165" t="str">
        <f t="shared" ca="1" si="5"/>
        <v/>
      </c>
      <c r="T9" s="165" t="str">
        <f t="shared" ca="1" si="5"/>
        <v/>
      </c>
      <c r="U9" s="165" t="str">
        <f t="shared" ca="1" si="5"/>
        <v/>
      </c>
      <c r="V9" s="165" t="str">
        <f t="shared" ca="1" si="5"/>
        <v/>
      </c>
      <c r="W9" s="165" t="str">
        <f t="shared" ca="1" si="5"/>
        <v/>
      </c>
      <c r="X9" s="165" t="str">
        <f t="shared" ca="1" si="5"/>
        <v/>
      </c>
      <c r="Y9" s="165" t="str">
        <f t="shared" ca="1" si="5"/>
        <v/>
      </c>
      <c r="Z9" s="303"/>
      <c r="AA9" s="305"/>
      <c r="AB9" s="306"/>
    </row>
    <row r="10" spans="1:28" ht="22.5" hidden="1" customHeight="1">
      <c r="A10" s="171"/>
      <c r="B10" s="172"/>
      <c r="C10" s="307"/>
      <c r="D10" s="308"/>
      <c r="E10" s="177">
        <f t="shared" ref="E10:M10" ca="1" si="6">IF($D11&gt;0,FLOOR($D11/18,1),0)+IF(AND(MOD($D11,18)&gt;=E$3,$D11&gt;0),1,0)-IF(E$3-18&gt;$D11,1,0)</f>
        <v>0</v>
      </c>
      <c r="F10" s="177">
        <f t="shared" ca="1" si="6"/>
        <v>0</v>
      </c>
      <c r="G10" s="177">
        <f t="shared" ca="1" si="6"/>
        <v>0</v>
      </c>
      <c r="H10" s="177">
        <f t="shared" ca="1" si="6"/>
        <v>0</v>
      </c>
      <c r="I10" s="177">
        <f t="shared" ca="1" si="6"/>
        <v>0</v>
      </c>
      <c r="J10" s="177">
        <f t="shared" ca="1" si="6"/>
        <v>0</v>
      </c>
      <c r="K10" s="177">
        <f t="shared" ca="1" si="6"/>
        <v>0</v>
      </c>
      <c r="L10" s="177">
        <f t="shared" ca="1" si="6"/>
        <v>0</v>
      </c>
      <c r="M10" s="177">
        <f t="shared" ca="1" si="6"/>
        <v>0</v>
      </c>
      <c r="N10" s="289"/>
      <c r="O10" s="131"/>
      <c r="P10" s="309"/>
      <c r="Q10" s="177">
        <f t="shared" ref="Q10:Y10" ca="1" si="7">IF($D11&gt;0,FLOOR($D11/18,1),0)+IF(AND(MOD($D11,18)&gt;=Q$3,$D11&gt;0),1,0)-IF(Q$3-18&gt;$D11,1,0)</f>
        <v>0</v>
      </c>
      <c r="R10" s="177">
        <f t="shared" ca="1" si="7"/>
        <v>0</v>
      </c>
      <c r="S10" s="177">
        <f t="shared" ca="1" si="7"/>
        <v>0</v>
      </c>
      <c r="T10" s="177">
        <f t="shared" ca="1" si="7"/>
        <v>0</v>
      </c>
      <c r="U10" s="177">
        <f t="shared" ca="1" si="7"/>
        <v>0</v>
      </c>
      <c r="V10" s="177">
        <f t="shared" ca="1" si="7"/>
        <v>0</v>
      </c>
      <c r="W10" s="177">
        <f t="shared" ca="1" si="7"/>
        <v>0</v>
      </c>
      <c r="X10" s="177">
        <f t="shared" ca="1" si="7"/>
        <v>0</v>
      </c>
      <c r="Y10" s="177">
        <f t="shared" ca="1" si="7"/>
        <v>0</v>
      </c>
      <c r="Z10" s="289"/>
      <c r="AA10" s="291"/>
      <c r="AB10" s="310"/>
    </row>
    <row r="11" spans="1:28" ht="22.5" customHeight="1">
      <c r="A11" s="181" t="str">
        <f>'Match Selection'!S9</f>
        <v>Telly</v>
      </c>
      <c r="B11" s="182" t="str">
        <f>VLOOKUP(A11, 'Master Input'!$A$11:$B$27,2, FALSE)</f>
        <v>TEES</v>
      </c>
      <c r="C11" s="311">
        <f ca="1">VLOOKUP(A11,'Master Input'!$A$11:$L$27,'Master Input'!$H$28, FALSE)</f>
        <v>6</v>
      </c>
      <c r="D11" s="312">
        <f ca="1">C11-SMALL($C$8:$C$11,1)</f>
        <v>0</v>
      </c>
      <c r="E11" s="313">
        <v>4</v>
      </c>
      <c r="F11" s="313">
        <v>5</v>
      </c>
      <c r="G11" s="313">
        <v>5</v>
      </c>
      <c r="H11" s="313">
        <v>4</v>
      </c>
      <c r="I11" s="313">
        <v>3</v>
      </c>
      <c r="J11" s="313">
        <v>4</v>
      </c>
      <c r="K11" s="313">
        <v>3</v>
      </c>
      <c r="L11" s="313">
        <v>5</v>
      </c>
      <c r="M11" s="313">
        <v>3</v>
      </c>
      <c r="N11" s="295">
        <f>IF(M11="","", SUM(E11:M11))</f>
        <v>36</v>
      </c>
      <c r="O11" s="131"/>
      <c r="P11" s="314" t="str">
        <f>A11</f>
        <v>Telly</v>
      </c>
      <c r="Q11" s="313">
        <v>5</v>
      </c>
      <c r="R11" s="313">
        <v>6</v>
      </c>
      <c r="S11" s="313">
        <v>4</v>
      </c>
      <c r="T11" s="313">
        <v>4</v>
      </c>
      <c r="U11" s="313">
        <v>3</v>
      </c>
      <c r="V11" s="313">
        <v>5</v>
      </c>
      <c r="W11" s="313">
        <v>4</v>
      </c>
      <c r="X11" s="313">
        <v>4</v>
      </c>
      <c r="Y11" s="313">
        <v>4</v>
      </c>
      <c r="Z11" s="295">
        <f>IF(Y11="","", SUM(Q11:Y11))</f>
        <v>39</v>
      </c>
      <c r="AA11" s="297">
        <f>IF(Z11="", "", SUM(N11,Z11))</f>
        <v>75</v>
      </c>
      <c r="AB11" s="298">
        <f ca="1">IF(Y11="", "", AA11-C11)</f>
        <v>69</v>
      </c>
    </row>
    <row r="12" spans="1:28" ht="7.5" customHeight="1">
      <c r="A12" s="245"/>
      <c r="B12" s="148"/>
      <c r="C12" s="315"/>
      <c r="D12" s="316"/>
      <c r="E12" s="317" t="str">
        <f t="shared" ref="E12:M12" ca="1" si="8">IF(E13=1,"O", IF(E13=2,"O   O",""))</f>
        <v/>
      </c>
      <c r="F12" s="317" t="str">
        <f t="shared" ca="1" si="8"/>
        <v/>
      </c>
      <c r="G12" s="317" t="str">
        <f t="shared" ca="1" si="8"/>
        <v/>
      </c>
      <c r="H12" s="317" t="str">
        <f t="shared" ca="1" si="8"/>
        <v/>
      </c>
      <c r="I12" s="317" t="str">
        <f t="shared" ca="1" si="8"/>
        <v/>
      </c>
      <c r="J12" s="317" t="str">
        <f t="shared" ca="1" si="8"/>
        <v/>
      </c>
      <c r="K12" s="317" t="str">
        <f t="shared" ca="1" si="8"/>
        <v/>
      </c>
      <c r="L12" s="317" t="str">
        <f t="shared" ca="1" si="8"/>
        <v/>
      </c>
      <c r="M12" s="317" t="str">
        <f t="shared" ca="1" si="8"/>
        <v/>
      </c>
      <c r="N12" s="318"/>
      <c r="O12" s="118"/>
      <c r="P12" s="319"/>
      <c r="Q12" s="317" t="str">
        <f t="shared" ref="Q12:Y12" ca="1" si="9">IF(Q13=1,"O", IF(Q13=2,"O   O",""))</f>
        <v/>
      </c>
      <c r="R12" s="317" t="str">
        <f t="shared" ca="1" si="9"/>
        <v/>
      </c>
      <c r="S12" s="317" t="str">
        <f t="shared" ca="1" si="9"/>
        <v/>
      </c>
      <c r="T12" s="317" t="str">
        <f t="shared" ca="1" si="9"/>
        <v/>
      </c>
      <c r="U12" s="317" t="str">
        <f t="shared" ca="1" si="9"/>
        <v/>
      </c>
      <c r="V12" s="317" t="str">
        <f t="shared" ca="1" si="9"/>
        <v/>
      </c>
      <c r="W12" s="317" t="str">
        <f t="shared" ca="1" si="9"/>
        <v/>
      </c>
      <c r="X12" s="317" t="str">
        <f t="shared" ca="1" si="9"/>
        <v/>
      </c>
      <c r="Y12" s="317" t="str">
        <f t="shared" ca="1" si="9"/>
        <v/>
      </c>
      <c r="Z12" s="303"/>
      <c r="AA12" s="305"/>
      <c r="AB12" s="320"/>
    </row>
    <row r="13" spans="1:28" ht="22.5" hidden="1" customHeight="1">
      <c r="A13" s="123"/>
      <c r="B13" s="124"/>
      <c r="C13" s="286"/>
      <c r="D13" s="287"/>
      <c r="E13" s="321">
        <f t="shared" ref="E13:M13" ca="1" si="10">IF($D14&gt;0,FLOOR($D14/18,1),0)+IF(AND(MOD($D14,18)&gt;=E$3,$D14&gt;0),1,0)-IF(E$3-18&gt;$D14,1,0)</f>
        <v>0</v>
      </c>
      <c r="F13" s="321">
        <f t="shared" ca="1" si="10"/>
        <v>0</v>
      </c>
      <c r="G13" s="321">
        <f t="shared" ca="1" si="10"/>
        <v>0</v>
      </c>
      <c r="H13" s="321">
        <f t="shared" ca="1" si="10"/>
        <v>0</v>
      </c>
      <c r="I13" s="321">
        <f t="shared" ca="1" si="10"/>
        <v>0</v>
      </c>
      <c r="J13" s="321">
        <f t="shared" ca="1" si="10"/>
        <v>0</v>
      </c>
      <c r="K13" s="321">
        <f t="shared" ca="1" si="10"/>
        <v>0</v>
      </c>
      <c r="L13" s="321">
        <f t="shared" ca="1" si="10"/>
        <v>0</v>
      </c>
      <c r="M13" s="321">
        <f t="shared" ca="1" si="10"/>
        <v>0</v>
      </c>
      <c r="N13" s="289"/>
      <c r="O13" s="131"/>
      <c r="P13" s="290"/>
      <c r="Q13" s="321">
        <f t="shared" ref="Q13:Y13" ca="1" si="11">IF($D14&gt;0,FLOOR($D14/18,1),0)+IF(AND(MOD($D14,18)&gt;=Q$3,$D14&gt;0),1,0)-IF(Q$3-18&gt;$D14,1,0)</f>
        <v>0</v>
      </c>
      <c r="R13" s="321">
        <f t="shared" ca="1" si="11"/>
        <v>0</v>
      </c>
      <c r="S13" s="321">
        <f t="shared" ca="1" si="11"/>
        <v>0</v>
      </c>
      <c r="T13" s="321">
        <f t="shared" ca="1" si="11"/>
        <v>0</v>
      </c>
      <c r="U13" s="321">
        <f t="shared" ca="1" si="11"/>
        <v>0</v>
      </c>
      <c r="V13" s="321">
        <f t="shared" ca="1" si="11"/>
        <v>0</v>
      </c>
      <c r="W13" s="321">
        <f t="shared" ca="1" si="11"/>
        <v>0</v>
      </c>
      <c r="X13" s="321">
        <f t="shared" ca="1" si="11"/>
        <v>0</v>
      </c>
      <c r="Y13" s="321">
        <f t="shared" ca="1" si="11"/>
        <v>0</v>
      </c>
      <c r="Z13" s="289"/>
      <c r="AA13" s="291"/>
      <c r="AB13" s="310"/>
    </row>
    <row r="14" spans="1:28" ht="22.5" customHeight="1">
      <c r="A14" s="136" t="str">
        <f>'Match Selection'!P10</f>
        <v>Andy</v>
      </c>
      <c r="B14" s="137" t="str">
        <f>VLOOKUP(A14, 'Master Input'!$A$11:$B$27,2, FALSE)</f>
        <v>WEEZ</v>
      </c>
      <c r="C14" s="292">
        <f ca="1">VLOOKUP(A14,'Master Input'!$A$11:$L$27,'Master Input'!$H$28, FALSE)</f>
        <v>4</v>
      </c>
      <c r="D14" s="293">
        <f ca="1">C14-SMALL($C$14:$C$17,1)</f>
        <v>0</v>
      </c>
      <c r="E14" s="322">
        <v>5</v>
      </c>
      <c r="F14" s="322">
        <v>5</v>
      </c>
      <c r="G14" s="322">
        <v>6</v>
      </c>
      <c r="H14" s="322">
        <v>5</v>
      </c>
      <c r="I14" s="322">
        <v>3</v>
      </c>
      <c r="J14" s="322">
        <v>5</v>
      </c>
      <c r="K14" s="322">
        <v>6</v>
      </c>
      <c r="L14" s="322">
        <v>5</v>
      </c>
      <c r="M14" s="322">
        <v>3</v>
      </c>
      <c r="N14" s="295">
        <f>IF(M14="","", SUM(E14:M14))</f>
        <v>43</v>
      </c>
      <c r="O14" s="131"/>
      <c r="P14" s="296" t="str">
        <f>A14</f>
        <v>Andy</v>
      </c>
      <c r="Q14" s="322">
        <v>5</v>
      </c>
      <c r="R14" s="322">
        <v>5</v>
      </c>
      <c r="S14" s="322">
        <v>4</v>
      </c>
      <c r="T14" s="322">
        <v>4</v>
      </c>
      <c r="U14" s="322">
        <v>4</v>
      </c>
      <c r="V14" s="322">
        <v>5</v>
      </c>
      <c r="W14" s="322">
        <v>7</v>
      </c>
      <c r="X14" s="322">
        <v>5</v>
      </c>
      <c r="Y14" s="322">
        <v>7</v>
      </c>
      <c r="Z14" s="295">
        <f>IF(Y14="","", SUM(Q14:Y14))</f>
        <v>46</v>
      </c>
      <c r="AA14" s="297">
        <f>IF(Z14="", "", SUM(N14,Z14))</f>
        <v>89</v>
      </c>
      <c r="AB14" s="298">
        <f ca="1">IF(Y14="", "", AA14-C14)</f>
        <v>85</v>
      </c>
    </row>
    <row r="15" spans="1:28" ht="7.5" customHeight="1">
      <c r="A15" s="159"/>
      <c r="B15" s="160"/>
      <c r="C15" s="323"/>
      <c r="D15" s="324"/>
      <c r="E15" s="165" t="str">
        <f t="shared" ref="E15:M15" ca="1" si="12">IF(E16=1,"O", IF(E16=2,"O   O",""))</f>
        <v/>
      </c>
      <c r="F15" s="165" t="str">
        <f t="shared" ca="1" si="12"/>
        <v>O</v>
      </c>
      <c r="G15" s="165" t="str">
        <f t="shared" ca="1" si="12"/>
        <v>O</v>
      </c>
      <c r="H15" s="165" t="str">
        <f t="shared" ca="1" si="12"/>
        <v/>
      </c>
      <c r="I15" s="165" t="str">
        <f t="shared" ca="1" si="12"/>
        <v/>
      </c>
      <c r="J15" s="165" t="str">
        <f t="shared" ca="1" si="12"/>
        <v>O</v>
      </c>
      <c r="K15" s="165" t="str">
        <f t="shared" ca="1" si="12"/>
        <v>O</v>
      </c>
      <c r="L15" s="165" t="str">
        <f t="shared" ca="1" si="12"/>
        <v>O</v>
      </c>
      <c r="M15" s="165" t="str">
        <f t="shared" ca="1" si="12"/>
        <v/>
      </c>
      <c r="N15" s="325"/>
      <c r="O15" s="118"/>
      <c r="P15" s="326"/>
      <c r="Q15" s="165" t="str">
        <f t="shared" ref="Q15:Y15" ca="1" si="13">IF(Q16=1,"O", IF(Q16=2,"O   O",""))</f>
        <v>O</v>
      </c>
      <c r="R15" s="165" t="str">
        <f t="shared" ca="1" si="13"/>
        <v>O</v>
      </c>
      <c r="S15" s="165" t="str">
        <f t="shared" ca="1" si="13"/>
        <v/>
      </c>
      <c r="T15" s="165" t="str">
        <f t="shared" ca="1" si="13"/>
        <v/>
      </c>
      <c r="U15" s="165" t="str">
        <f t="shared" ca="1" si="13"/>
        <v/>
      </c>
      <c r="V15" s="165" t="str">
        <f t="shared" ca="1" si="13"/>
        <v/>
      </c>
      <c r="W15" s="165" t="str">
        <f t="shared" ca="1" si="13"/>
        <v>O</v>
      </c>
      <c r="X15" s="165" t="str">
        <f t="shared" ca="1" si="13"/>
        <v/>
      </c>
      <c r="Y15" s="165" t="str">
        <f t="shared" ca="1" si="13"/>
        <v>O</v>
      </c>
      <c r="Z15" s="325"/>
      <c r="AA15" s="327"/>
      <c r="AB15" s="320"/>
    </row>
    <row r="16" spans="1:28" ht="22.5" hidden="1" customHeight="1">
      <c r="A16" s="171"/>
      <c r="B16" s="172"/>
      <c r="C16" s="307"/>
      <c r="D16" s="308"/>
      <c r="E16" s="177">
        <f t="shared" ref="E16:M16" ca="1" si="14">IF($D17&gt;0,FLOOR($D17/18,1),0)+IF(AND(MOD($D17,18)&gt;=E$3,$D17&gt;0),1,0)-IF(E$3-18&gt;$D17,1,0)</f>
        <v>0</v>
      </c>
      <c r="F16" s="177">
        <f t="shared" ca="1" si="14"/>
        <v>1</v>
      </c>
      <c r="G16" s="177">
        <f t="shared" ca="1" si="14"/>
        <v>1</v>
      </c>
      <c r="H16" s="177">
        <f t="shared" ca="1" si="14"/>
        <v>0</v>
      </c>
      <c r="I16" s="177">
        <f t="shared" ca="1" si="14"/>
        <v>0</v>
      </c>
      <c r="J16" s="177">
        <f t="shared" ca="1" si="14"/>
        <v>1</v>
      </c>
      <c r="K16" s="177">
        <f t="shared" ca="1" si="14"/>
        <v>1</v>
      </c>
      <c r="L16" s="177">
        <f t="shared" ca="1" si="14"/>
        <v>1</v>
      </c>
      <c r="M16" s="177">
        <f t="shared" ca="1" si="14"/>
        <v>0</v>
      </c>
      <c r="N16" s="289"/>
      <c r="O16" s="131"/>
      <c r="P16" s="309"/>
      <c r="Q16" s="177">
        <f t="shared" ref="Q16:Y16" ca="1" si="15">IF($D17&gt;0,FLOOR($D17/18,1),0)+IF(AND(MOD($D17,18)&gt;=Q$3,$D17&gt;0),1,0)-IF(Q$3-18&gt;$D17,1,0)</f>
        <v>1</v>
      </c>
      <c r="R16" s="177">
        <f t="shared" ca="1" si="15"/>
        <v>1</v>
      </c>
      <c r="S16" s="177">
        <f t="shared" ca="1" si="15"/>
        <v>0</v>
      </c>
      <c r="T16" s="177">
        <f t="shared" ca="1" si="15"/>
        <v>0</v>
      </c>
      <c r="U16" s="177">
        <f t="shared" ca="1" si="15"/>
        <v>0</v>
      </c>
      <c r="V16" s="177">
        <f t="shared" ca="1" si="15"/>
        <v>0</v>
      </c>
      <c r="W16" s="177">
        <f t="shared" ca="1" si="15"/>
        <v>1</v>
      </c>
      <c r="X16" s="177">
        <f t="shared" ca="1" si="15"/>
        <v>0</v>
      </c>
      <c r="Y16" s="177">
        <f t="shared" ca="1" si="15"/>
        <v>1</v>
      </c>
      <c r="Z16" s="289"/>
      <c r="AA16" s="328"/>
      <c r="AB16" s="310"/>
    </row>
    <row r="17" spans="1:28" ht="22.5" customHeight="1">
      <c r="A17" s="191" t="str">
        <f>'Match Selection'!S10</f>
        <v>DK</v>
      </c>
      <c r="B17" s="182" t="str">
        <f>VLOOKUP(A17, 'Master Input'!$A$11:$B$27,2, FALSE)</f>
        <v>TEES</v>
      </c>
      <c r="C17" s="311">
        <f ca="1">VLOOKUP(A17,'Master Input'!$A$11:$L$27,'Master Input'!$H$28, FALSE)</f>
        <v>13</v>
      </c>
      <c r="D17" s="312">
        <f ca="1">C17-SMALL($C$14:$C$17,1)</f>
        <v>9</v>
      </c>
      <c r="E17" s="313">
        <v>7</v>
      </c>
      <c r="F17" s="313">
        <v>5</v>
      </c>
      <c r="G17" s="313">
        <v>8</v>
      </c>
      <c r="H17" s="313">
        <v>4</v>
      </c>
      <c r="I17" s="313">
        <v>4</v>
      </c>
      <c r="J17" s="313">
        <v>5</v>
      </c>
      <c r="K17" s="313">
        <v>6</v>
      </c>
      <c r="L17" s="313">
        <v>7</v>
      </c>
      <c r="M17" s="313">
        <v>2</v>
      </c>
      <c r="N17" s="295">
        <f>IF(M17="","", SUM(E17:M17))</f>
        <v>48</v>
      </c>
      <c r="O17" s="131"/>
      <c r="P17" s="314" t="str">
        <f>A17</f>
        <v>DK</v>
      </c>
      <c r="Q17" s="313">
        <v>7</v>
      </c>
      <c r="R17" s="313">
        <v>6</v>
      </c>
      <c r="S17" s="313">
        <v>3</v>
      </c>
      <c r="T17" s="313">
        <v>5</v>
      </c>
      <c r="U17" s="313">
        <v>4</v>
      </c>
      <c r="V17" s="313">
        <v>5</v>
      </c>
      <c r="W17" s="313">
        <v>5</v>
      </c>
      <c r="X17" s="313">
        <v>4</v>
      </c>
      <c r="Y17" s="313">
        <v>4</v>
      </c>
      <c r="Z17" s="295">
        <f>IF(Y17="","", SUM(Q17:Y17))</f>
        <v>43</v>
      </c>
      <c r="AA17" s="297">
        <f>IF(Z17="", "", SUM(N17,Z17))</f>
        <v>91</v>
      </c>
      <c r="AB17" s="298">
        <f ca="1">IF(Y17="", "", AA17-C17)</f>
        <v>78</v>
      </c>
    </row>
    <row r="18" spans="1:28" ht="11.25" customHeight="1">
      <c r="A18" s="329"/>
      <c r="B18" s="329"/>
      <c r="C18" s="330"/>
      <c r="D18" s="195"/>
      <c r="E18" s="331"/>
      <c r="F18" s="195"/>
      <c r="G18" s="195"/>
      <c r="H18" s="195"/>
      <c r="I18" s="195"/>
      <c r="J18" s="195"/>
      <c r="K18" s="195"/>
      <c r="L18" s="195"/>
      <c r="M18" s="195"/>
      <c r="N18" s="331" t="s">
        <v>7</v>
      </c>
      <c r="O18" s="196"/>
      <c r="P18" s="195"/>
      <c r="Q18" s="331"/>
      <c r="R18" s="195"/>
      <c r="S18" s="195"/>
      <c r="T18" s="195"/>
      <c r="U18" s="195"/>
      <c r="V18" s="195"/>
      <c r="W18" s="195"/>
      <c r="X18" s="195"/>
      <c r="Y18" s="195"/>
      <c r="Z18" s="331"/>
      <c r="AA18" s="195"/>
      <c r="AB18" s="197" t="s">
        <v>42</v>
      </c>
    </row>
    <row r="19" spans="1:28" ht="22.5" customHeight="1">
      <c r="A19" s="332" t="str">
        <f>B8&amp;" Top"</f>
        <v>WEEZ Top</v>
      </c>
      <c r="B19" s="333" t="s">
        <v>43</v>
      </c>
      <c r="C19" s="334"/>
      <c r="D19" s="335"/>
      <c r="E19" s="336">
        <f ca="1">IF(E26="",".",E26)</f>
        <v>-1</v>
      </c>
      <c r="F19" s="337">
        <f t="shared" ref="F19:M19" ca="1" si="16">IF(F26="",".",F26+E19)</f>
        <v>-2</v>
      </c>
      <c r="G19" s="337">
        <f t="shared" ca="1" si="16"/>
        <v>-2</v>
      </c>
      <c r="H19" s="337">
        <f t="shared" ca="1" si="16"/>
        <v>-1</v>
      </c>
      <c r="I19" s="337">
        <f t="shared" ca="1" si="16"/>
        <v>-2</v>
      </c>
      <c r="J19" s="337">
        <f t="shared" ca="1" si="16"/>
        <v>-3</v>
      </c>
      <c r="K19" s="337">
        <f t="shared" ca="1" si="16"/>
        <v>-4</v>
      </c>
      <c r="L19" s="337">
        <f t="shared" ca="1" si="16"/>
        <v>-3</v>
      </c>
      <c r="M19" s="337">
        <f t="shared" ca="1" si="16"/>
        <v>-4</v>
      </c>
      <c r="N19" s="338">
        <f ca="1">IF(M19=".", "", IF(M19&lt;0, 0, IF(M19&gt;0, VLOOKUP($B$2,'Master Input'!$O$12:$R$23,'Master Input'!P$11,FALSE), VLOOKUP($B$2,'Master Input'!$O$12:$R$23,'Master Input'!P$11,FALSE)*0.5)))</f>
        <v>0</v>
      </c>
      <c r="O19" s="204"/>
      <c r="P19" s="339" t="s">
        <v>44</v>
      </c>
      <c r="Q19" s="340">
        <f ca="1">IF(Q26="",".",Q26+M19)</f>
        <v>-3</v>
      </c>
      <c r="R19" s="341">
        <f t="shared" ref="R19:Y19" ca="1" si="17">IF(R26="",".",R26+Q19)</f>
        <v>-4</v>
      </c>
      <c r="S19" s="341">
        <f t="shared" ca="1" si="17"/>
        <v>-4</v>
      </c>
      <c r="T19" s="341">
        <f t="shared" ca="1" si="17"/>
        <v>-4</v>
      </c>
      <c r="U19" s="341">
        <f t="shared" ca="1" si="17"/>
        <v>-4</v>
      </c>
      <c r="V19" s="341">
        <f t="shared" ca="1" si="17"/>
        <v>-4</v>
      </c>
      <c r="W19" s="341">
        <f t="shared" ca="1" si="17"/>
        <v>-5</v>
      </c>
      <c r="X19" s="341">
        <f t="shared" ca="1" si="17"/>
        <v>-5</v>
      </c>
      <c r="Y19" s="341">
        <f t="shared" ca="1" si="17"/>
        <v>-6</v>
      </c>
      <c r="Z19" s="342">
        <f ca="1">IF(Y19=".", "", IF(Y19&lt;0, 0, IF(Y19&gt;0, VLOOKUP($B$2,'Master Input'!$O$12:$R$23,'Master Input'!R$11,FALSE), VLOOKUP($B$2,'Master Input'!$O$12:$R$23,'Master Input'!R$11,FALSE)*0.5)))</f>
        <v>0</v>
      </c>
      <c r="AA19" s="343" t="s">
        <v>44</v>
      </c>
      <c r="AB19" s="344">
        <f ca="1">IF(Z19="","", SUM(N19,Z19,Z20))</f>
        <v>0</v>
      </c>
    </row>
    <row r="20" spans="1:28" ht="22.5" customHeight="1">
      <c r="A20" s="345"/>
      <c r="B20" s="346"/>
      <c r="C20" s="347"/>
      <c r="D20" s="348"/>
      <c r="E20" s="349"/>
      <c r="F20" s="348"/>
      <c r="G20" s="348"/>
      <c r="H20" s="348"/>
      <c r="I20" s="348"/>
      <c r="J20" s="348"/>
      <c r="K20" s="348"/>
      <c r="L20" s="348"/>
      <c r="M20" s="348"/>
      <c r="N20" s="349"/>
      <c r="O20" s="204"/>
      <c r="P20" s="350" t="s">
        <v>45</v>
      </c>
      <c r="Q20" s="351">
        <f ca="1">IF(Q26="",".",Q26)</f>
        <v>1</v>
      </c>
      <c r="R20" s="352">
        <f t="shared" ref="R20:Y20" ca="1" si="18">IF(R26="",".",R26+Q20)</f>
        <v>0</v>
      </c>
      <c r="S20" s="352">
        <f t="shared" ca="1" si="18"/>
        <v>0</v>
      </c>
      <c r="T20" s="352">
        <f t="shared" ca="1" si="18"/>
        <v>0</v>
      </c>
      <c r="U20" s="352">
        <f t="shared" ca="1" si="18"/>
        <v>0</v>
      </c>
      <c r="V20" s="352">
        <f t="shared" ca="1" si="18"/>
        <v>0</v>
      </c>
      <c r="W20" s="352">
        <f t="shared" ca="1" si="18"/>
        <v>-1</v>
      </c>
      <c r="X20" s="352">
        <f t="shared" ca="1" si="18"/>
        <v>-1</v>
      </c>
      <c r="Y20" s="352">
        <f t="shared" ca="1" si="18"/>
        <v>-2</v>
      </c>
      <c r="Z20" s="353">
        <f ca="1">IF(Y20=".", "", IF(Y20&lt;0, 0, IF(Y20&gt;0, VLOOKUP($B$2,'Master Input'!$O$12:$R$23,'Master Input'!Q$11,FALSE), VLOOKUP($B$2,'Master Input'!$O$12:$R$23,'Master Input'!Q$11,FALSE)*0.5)))</f>
        <v>0</v>
      </c>
      <c r="AA20" s="343" t="s">
        <v>45</v>
      </c>
      <c r="AB20" s="197" t="s">
        <v>42</v>
      </c>
    </row>
    <row r="21" spans="1:28" ht="22.5" customHeight="1">
      <c r="A21" s="354" t="str">
        <f>B8&amp;" Bottom"</f>
        <v>WEEZ Bottom</v>
      </c>
      <c r="B21" s="355" t="s">
        <v>46</v>
      </c>
      <c r="C21" s="356"/>
      <c r="D21" s="357"/>
      <c r="E21" s="336">
        <f ca="1">IF(E29="",".",E29)</f>
        <v>1</v>
      </c>
      <c r="F21" s="337">
        <f t="shared" ref="F21:M21" ca="1" si="19">IF(F29="",".",F29+E21)</f>
        <v>0</v>
      </c>
      <c r="G21" s="337">
        <f t="shared" ca="1" si="19"/>
        <v>1</v>
      </c>
      <c r="H21" s="337">
        <f t="shared" ca="1" si="19"/>
        <v>0</v>
      </c>
      <c r="I21" s="337">
        <f t="shared" ca="1" si="19"/>
        <v>1</v>
      </c>
      <c r="J21" s="337">
        <f t="shared" ca="1" si="19"/>
        <v>0</v>
      </c>
      <c r="K21" s="337">
        <f t="shared" ca="1" si="19"/>
        <v>-1</v>
      </c>
      <c r="L21" s="337">
        <f t="shared" ca="1" si="19"/>
        <v>0</v>
      </c>
      <c r="M21" s="337">
        <f t="shared" ca="1" si="19"/>
        <v>-1</v>
      </c>
      <c r="N21" s="338">
        <f ca="1">IF(M21=".", "", IF(M21&lt;0, 0, IF(M21&gt;0, VLOOKUP($B$2,'Master Input'!$O$12:$R$23,'Master Input'!P$11,FALSE), VLOOKUP($B$2,'Master Input'!$O$12:$R$23,'Master Input'!P$11,FALSE)*0.5)))</f>
        <v>0</v>
      </c>
      <c r="O21" s="204"/>
      <c r="P21" s="339" t="s">
        <v>47</v>
      </c>
      <c r="Q21" s="340">
        <f ca="1">IF(Q29="",".",Q29+M21)</f>
        <v>0</v>
      </c>
      <c r="R21" s="341">
        <f t="shared" ref="R21:Y21" ca="1" si="20">IF(R29="",".",R29+Q21)</f>
        <v>0</v>
      </c>
      <c r="S21" s="341">
        <f t="shared" ca="1" si="20"/>
        <v>-1</v>
      </c>
      <c r="T21" s="341">
        <f t="shared" ca="1" si="20"/>
        <v>0</v>
      </c>
      <c r="U21" s="341">
        <f t="shared" ca="1" si="20"/>
        <v>0</v>
      </c>
      <c r="V21" s="341">
        <f t="shared" ca="1" si="20"/>
        <v>0</v>
      </c>
      <c r="W21" s="341">
        <f t="shared" ca="1" si="20"/>
        <v>-1</v>
      </c>
      <c r="X21" s="341">
        <f t="shared" ca="1" si="20"/>
        <v>-2</v>
      </c>
      <c r="Y21" s="341">
        <f t="shared" ca="1" si="20"/>
        <v>-3</v>
      </c>
      <c r="Z21" s="342">
        <f ca="1">IF(Y21=".", "", IF(Y21&lt;0, 0, IF(Y21&gt;0, VLOOKUP($B$2,'Master Input'!$O$12:$R$23,'Master Input'!R$11,FALSE), VLOOKUP($B$2,'Master Input'!$O$12:$R$23,'Master Input'!R$11,FALSE)*0.5)))</f>
        <v>0</v>
      </c>
      <c r="AA21" s="358" t="s">
        <v>48</v>
      </c>
      <c r="AB21" s="344">
        <f ca="1">IF(Z21="","", SUM(N21,Z21,Z22))</f>
        <v>0</v>
      </c>
    </row>
    <row r="22" spans="1:28" ht="22.5" customHeight="1">
      <c r="A22" s="359"/>
      <c r="B22" s="360"/>
      <c r="C22" s="361"/>
      <c r="D22" s="362"/>
      <c r="E22" s="362"/>
      <c r="F22" s="362"/>
      <c r="G22" s="362"/>
      <c r="H22" s="362"/>
      <c r="I22" s="362"/>
      <c r="J22" s="362"/>
      <c r="K22" s="362"/>
      <c r="L22" s="362"/>
      <c r="M22" s="362"/>
      <c r="N22" s="363"/>
      <c r="O22" s="72"/>
      <c r="P22" s="350" t="s">
        <v>49</v>
      </c>
      <c r="Q22" s="351">
        <f ca="1">IF(Q29="",".",Q29)</f>
        <v>1</v>
      </c>
      <c r="R22" s="352">
        <f t="shared" ref="R22:Y22" ca="1" si="21">IF(R29="",".",R29+Q22)</f>
        <v>1</v>
      </c>
      <c r="S22" s="352">
        <f t="shared" ca="1" si="21"/>
        <v>0</v>
      </c>
      <c r="T22" s="352">
        <f t="shared" ca="1" si="21"/>
        <v>1</v>
      </c>
      <c r="U22" s="352">
        <f t="shared" ca="1" si="21"/>
        <v>1</v>
      </c>
      <c r="V22" s="352">
        <f t="shared" ca="1" si="21"/>
        <v>1</v>
      </c>
      <c r="W22" s="352">
        <f t="shared" ca="1" si="21"/>
        <v>0</v>
      </c>
      <c r="X22" s="352">
        <f t="shared" ca="1" si="21"/>
        <v>-1</v>
      </c>
      <c r="Y22" s="352">
        <f t="shared" ca="1" si="21"/>
        <v>-2</v>
      </c>
      <c r="Z22" s="353">
        <f ca="1">IF(Y22=".", "", IF(Y22&lt;0, 0, IF(Y22&gt;0, VLOOKUP($B$2,'Master Input'!$O$12:$R$23,'Master Input'!Q$11,FALSE), VLOOKUP($B$2,'Master Input'!$O$12:$R$23,'Master Input'!Q$11,FALSE)*0.5)))</f>
        <v>0</v>
      </c>
      <c r="AA22" s="358" t="s">
        <v>50</v>
      </c>
      <c r="AB22" s="193"/>
    </row>
    <row r="23" spans="1:28" ht="22.5" hidden="1" customHeight="1">
      <c r="A23" s="193"/>
      <c r="B23" s="193"/>
      <c r="C23" s="194"/>
      <c r="D23" s="193"/>
      <c r="E23" s="193"/>
      <c r="F23" s="193"/>
      <c r="G23" s="193"/>
      <c r="H23" s="193"/>
      <c r="I23" s="193"/>
      <c r="J23" s="193"/>
      <c r="K23" s="193"/>
      <c r="L23" s="193"/>
      <c r="M23" s="193"/>
      <c r="N23" s="193"/>
      <c r="O23" s="364"/>
      <c r="P23" s="365"/>
      <c r="Q23" s="365"/>
      <c r="R23" s="365"/>
      <c r="S23" s="365"/>
      <c r="T23" s="365"/>
      <c r="U23" s="365"/>
      <c r="V23" s="365"/>
      <c r="W23" s="365"/>
      <c r="X23" s="365"/>
      <c r="Y23" s="365"/>
      <c r="Z23" s="365"/>
      <c r="AB23" s="193"/>
    </row>
    <row r="24" spans="1:28" ht="22.5" hidden="1" customHeight="1">
      <c r="A24" s="193"/>
      <c r="B24" s="193"/>
      <c r="C24" s="194"/>
      <c r="D24" s="193"/>
      <c r="E24" s="193"/>
      <c r="F24" s="193"/>
      <c r="G24" s="193"/>
      <c r="H24" s="193"/>
      <c r="I24" s="193"/>
      <c r="J24" s="193"/>
      <c r="K24" s="193"/>
      <c r="L24" s="193"/>
      <c r="M24" s="193"/>
      <c r="N24" s="193"/>
      <c r="O24" s="364"/>
      <c r="P24" s="365"/>
      <c r="Q24" s="365"/>
      <c r="R24" s="365"/>
      <c r="S24" s="365"/>
      <c r="T24" s="365"/>
      <c r="U24" s="365"/>
      <c r="V24" s="365"/>
      <c r="W24" s="365"/>
      <c r="X24" s="365"/>
      <c r="Y24" s="365"/>
      <c r="Z24" s="366" t="s">
        <v>32</v>
      </c>
      <c r="AA24" s="367" t="s">
        <v>33</v>
      </c>
      <c r="AB24" s="223" t="s">
        <v>34</v>
      </c>
    </row>
    <row r="25" spans="1:28" ht="22.5" hidden="1" customHeight="1">
      <c r="A25" s="193"/>
      <c r="B25" s="193"/>
      <c r="C25" s="194"/>
      <c r="D25" s="193"/>
      <c r="E25" s="193"/>
      <c r="F25" s="193"/>
      <c r="G25" s="193"/>
      <c r="H25" s="193"/>
      <c r="I25" s="193"/>
      <c r="J25" s="193"/>
      <c r="K25" s="193"/>
      <c r="L25" s="193"/>
      <c r="M25" s="193"/>
      <c r="N25" s="193"/>
      <c r="O25" s="364"/>
      <c r="P25" s="365"/>
      <c r="Q25" s="365"/>
      <c r="R25" s="365"/>
      <c r="S25" s="365"/>
      <c r="T25" s="365"/>
      <c r="U25" s="365"/>
      <c r="V25" s="365"/>
      <c r="W25" s="365"/>
      <c r="X25" s="365"/>
      <c r="Y25" s="365"/>
      <c r="Z25" s="366" t="s">
        <v>36</v>
      </c>
      <c r="AA25" s="367" t="s">
        <v>37</v>
      </c>
      <c r="AB25" s="223" t="s">
        <v>38</v>
      </c>
    </row>
    <row r="26" spans="1:28" ht="22.5" hidden="1" customHeight="1">
      <c r="A26" s="368"/>
      <c r="B26" s="369" t="str">
        <f>B19</f>
        <v>Top - Front</v>
      </c>
      <c r="C26" s="370"/>
      <c r="D26" s="369"/>
      <c r="E26" s="369">
        <f t="shared" ref="E26:M26" ca="1" si="22">IF(AND(E8="", E11=""), "",IF(E8-E7&lt;E11-E10,1,IF(E8-E7&gt;E11-E10,-1,0)))</f>
        <v>-1</v>
      </c>
      <c r="F26" s="369">
        <f t="shared" ca="1" si="22"/>
        <v>-1</v>
      </c>
      <c r="G26" s="369">
        <f t="shared" ca="1" si="22"/>
        <v>0</v>
      </c>
      <c r="H26" s="369">
        <f t="shared" ca="1" si="22"/>
        <v>1</v>
      </c>
      <c r="I26" s="369">
        <f t="shared" ca="1" si="22"/>
        <v>-1</v>
      </c>
      <c r="J26" s="369">
        <f t="shared" ca="1" si="22"/>
        <v>-1</v>
      </c>
      <c r="K26" s="369">
        <f t="shared" ca="1" si="22"/>
        <v>-1</v>
      </c>
      <c r="L26" s="369">
        <f t="shared" ca="1" si="22"/>
        <v>1</v>
      </c>
      <c r="M26" s="369">
        <f t="shared" ca="1" si="22"/>
        <v>-1</v>
      </c>
      <c r="N26" s="369">
        <f ca="1">SUM(N27:N28)</f>
        <v>9</v>
      </c>
      <c r="O26" s="369"/>
      <c r="P26" s="371"/>
      <c r="Q26" s="369">
        <f t="shared" ref="Q26:Y26" ca="1" si="23">IF(AND(Q8="", Q11=""), "",IF(Q8-Q7&lt;Q11-Q10,1,IF(Q8-Q7&gt;Q11-Q10,-1,0)))</f>
        <v>1</v>
      </c>
      <c r="R26" s="369">
        <f t="shared" ca="1" si="23"/>
        <v>-1</v>
      </c>
      <c r="S26" s="369">
        <f t="shared" ca="1" si="23"/>
        <v>0</v>
      </c>
      <c r="T26" s="369">
        <f t="shared" ca="1" si="23"/>
        <v>0</v>
      </c>
      <c r="U26" s="369">
        <f t="shared" ca="1" si="23"/>
        <v>0</v>
      </c>
      <c r="V26" s="369">
        <f t="shared" ca="1" si="23"/>
        <v>0</v>
      </c>
      <c r="W26" s="369">
        <f t="shared" ca="1" si="23"/>
        <v>-1</v>
      </c>
      <c r="X26" s="369">
        <f t="shared" ca="1" si="23"/>
        <v>0</v>
      </c>
      <c r="Y26" s="369">
        <f t="shared" ca="1" si="23"/>
        <v>-1</v>
      </c>
      <c r="Z26" s="369">
        <f ca="1">SUM(Z27:Z28)</f>
        <v>9</v>
      </c>
      <c r="AA26" s="372">
        <f ca="1">SUM(Z26,N26)</f>
        <v>18</v>
      </c>
      <c r="AB26" s="368"/>
    </row>
    <row r="27" spans="1:28" ht="22.5" hidden="1" customHeight="1">
      <c r="A27" s="193" t="str">
        <f>A8</f>
        <v>Pace</v>
      </c>
      <c r="B27" s="193"/>
      <c r="C27" s="194"/>
      <c r="D27" s="193"/>
      <c r="E27" s="193">
        <f t="shared" ref="E27:M27" ca="1" si="24">(E26+1)/2</f>
        <v>0</v>
      </c>
      <c r="F27" s="193">
        <f t="shared" ca="1" si="24"/>
        <v>0</v>
      </c>
      <c r="G27" s="193">
        <f t="shared" ca="1" si="24"/>
        <v>0.5</v>
      </c>
      <c r="H27" s="193">
        <f t="shared" ca="1" si="24"/>
        <v>1</v>
      </c>
      <c r="I27" s="193">
        <f t="shared" ca="1" si="24"/>
        <v>0</v>
      </c>
      <c r="J27" s="193">
        <f t="shared" ca="1" si="24"/>
        <v>0</v>
      </c>
      <c r="K27" s="193">
        <f t="shared" ca="1" si="24"/>
        <v>0</v>
      </c>
      <c r="L27" s="193">
        <f t="shared" ca="1" si="24"/>
        <v>1</v>
      </c>
      <c r="M27" s="193">
        <f t="shared" ca="1" si="24"/>
        <v>0</v>
      </c>
      <c r="N27" s="193">
        <f t="shared" ref="N27:N28" ca="1" si="25">SUM(E27:M27)</f>
        <v>2.5</v>
      </c>
      <c r="O27" s="364"/>
      <c r="P27" s="365"/>
      <c r="Q27" s="193">
        <f t="shared" ref="Q27:Y27" ca="1" si="26">(Q26+1)/2</f>
        <v>1</v>
      </c>
      <c r="R27" s="193">
        <f t="shared" ca="1" si="26"/>
        <v>0</v>
      </c>
      <c r="S27" s="193">
        <f t="shared" ca="1" si="26"/>
        <v>0.5</v>
      </c>
      <c r="T27" s="193">
        <f t="shared" ca="1" si="26"/>
        <v>0.5</v>
      </c>
      <c r="U27" s="193">
        <f t="shared" ca="1" si="26"/>
        <v>0.5</v>
      </c>
      <c r="V27" s="193">
        <f t="shared" ca="1" si="26"/>
        <v>0.5</v>
      </c>
      <c r="W27" s="193">
        <f t="shared" ca="1" si="26"/>
        <v>0</v>
      </c>
      <c r="X27" s="193">
        <f t="shared" ca="1" si="26"/>
        <v>0.5</v>
      </c>
      <c r="Y27" s="193">
        <f t="shared" ca="1" si="26"/>
        <v>0</v>
      </c>
      <c r="Z27" s="193">
        <f ca="1">IF(Z19="","",SUM(Q27:Y27))</f>
        <v>3.5</v>
      </c>
      <c r="AA27" s="366">
        <f ca="1">IF(Z19="","",SUM(Z27,N27))</f>
        <v>6</v>
      </c>
      <c r="AB27" s="373">
        <f ca="1">IF(Z19="","",AB19)</f>
        <v>0</v>
      </c>
    </row>
    <row r="28" spans="1:28" ht="22.5" hidden="1" customHeight="1">
      <c r="A28" s="193" t="str">
        <f>A11</f>
        <v>Telly</v>
      </c>
      <c r="B28" s="193"/>
      <c r="C28" s="194"/>
      <c r="D28" s="193"/>
      <c r="E28" s="193">
        <f t="shared" ref="E28:M28" ca="1" si="27">1-E27</f>
        <v>1</v>
      </c>
      <c r="F28" s="193">
        <f t="shared" ca="1" si="27"/>
        <v>1</v>
      </c>
      <c r="G28" s="193">
        <f t="shared" ca="1" si="27"/>
        <v>0.5</v>
      </c>
      <c r="H28" s="193">
        <f t="shared" ca="1" si="27"/>
        <v>0</v>
      </c>
      <c r="I28" s="193">
        <f t="shared" ca="1" si="27"/>
        <v>1</v>
      </c>
      <c r="J28" s="193">
        <f t="shared" ca="1" si="27"/>
        <v>1</v>
      </c>
      <c r="K28" s="193">
        <f t="shared" ca="1" si="27"/>
        <v>1</v>
      </c>
      <c r="L28" s="193">
        <f t="shared" ca="1" si="27"/>
        <v>0</v>
      </c>
      <c r="M28" s="193">
        <f t="shared" ca="1" si="27"/>
        <v>1</v>
      </c>
      <c r="N28" s="193">
        <f t="shared" ca="1" si="25"/>
        <v>6.5</v>
      </c>
      <c r="O28" s="364"/>
      <c r="P28" s="365"/>
      <c r="Q28" s="193">
        <f t="shared" ref="Q28:Y28" ca="1" si="28">1-Q27</f>
        <v>0</v>
      </c>
      <c r="R28" s="193">
        <f t="shared" ca="1" si="28"/>
        <v>1</v>
      </c>
      <c r="S28" s="193">
        <f t="shared" ca="1" si="28"/>
        <v>0.5</v>
      </c>
      <c r="T28" s="193">
        <f t="shared" ca="1" si="28"/>
        <v>0.5</v>
      </c>
      <c r="U28" s="193">
        <f t="shared" ca="1" si="28"/>
        <v>0.5</v>
      </c>
      <c r="V28" s="193">
        <f t="shared" ca="1" si="28"/>
        <v>0.5</v>
      </c>
      <c r="W28" s="193">
        <f t="shared" ca="1" si="28"/>
        <v>1</v>
      </c>
      <c r="X28" s="193">
        <f t="shared" ca="1" si="28"/>
        <v>0.5</v>
      </c>
      <c r="Y28" s="193">
        <f t="shared" ca="1" si="28"/>
        <v>1</v>
      </c>
      <c r="Z28" s="193">
        <f ca="1">IF(Z19="","",SUM(Q28:Y28))</f>
        <v>5.5</v>
      </c>
      <c r="AA28" s="366">
        <f ca="1">IF(Z19="","",SUM(Z28,N28))</f>
        <v>12</v>
      </c>
      <c r="AB28" s="373">
        <f ca="1">IF(Z19="","",3-AB19)</f>
        <v>3</v>
      </c>
    </row>
    <row r="29" spans="1:28" ht="22.5" hidden="1" customHeight="1">
      <c r="A29" s="368"/>
      <c r="B29" s="369" t="str">
        <f>B21</f>
        <v>Bottom - Front</v>
      </c>
      <c r="C29" s="370"/>
      <c r="D29" s="369"/>
      <c r="E29" s="369">
        <f t="shared" ref="E29:M29" ca="1" si="29">IF(AND(E14="", E17=""), "",IF(E14-E13&lt;E17-E16,1,IF(E14-E13&gt;E17-E16,-1,0)))</f>
        <v>1</v>
      </c>
      <c r="F29" s="369">
        <f t="shared" ca="1" si="29"/>
        <v>-1</v>
      </c>
      <c r="G29" s="369">
        <f t="shared" ca="1" si="29"/>
        <v>1</v>
      </c>
      <c r="H29" s="369">
        <f t="shared" ca="1" si="29"/>
        <v>-1</v>
      </c>
      <c r="I29" s="369">
        <f t="shared" ca="1" si="29"/>
        <v>1</v>
      </c>
      <c r="J29" s="369">
        <f t="shared" ca="1" si="29"/>
        <v>-1</v>
      </c>
      <c r="K29" s="369">
        <f t="shared" ca="1" si="29"/>
        <v>-1</v>
      </c>
      <c r="L29" s="369">
        <f t="shared" ca="1" si="29"/>
        <v>1</v>
      </c>
      <c r="M29" s="369">
        <f t="shared" ca="1" si="29"/>
        <v>-1</v>
      </c>
      <c r="N29" s="369">
        <f ca="1">SUM(N30:N31)</f>
        <v>9</v>
      </c>
      <c r="O29" s="369"/>
      <c r="P29" s="371"/>
      <c r="Q29" s="369">
        <f t="shared" ref="Q29:Y29" ca="1" si="30">IF(AND(Q14="", Q17=""), "",IF(Q14-Q13&lt;Q17-Q16,1,IF(Q14-Q13&gt;Q17-Q16,-1,0)))</f>
        <v>1</v>
      </c>
      <c r="R29" s="369">
        <f t="shared" ca="1" si="30"/>
        <v>0</v>
      </c>
      <c r="S29" s="369">
        <f t="shared" ca="1" si="30"/>
        <v>-1</v>
      </c>
      <c r="T29" s="369">
        <f t="shared" ca="1" si="30"/>
        <v>1</v>
      </c>
      <c r="U29" s="369">
        <f t="shared" ca="1" si="30"/>
        <v>0</v>
      </c>
      <c r="V29" s="369">
        <f t="shared" ca="1" si="30"/>
        <v>0</v>
      </c>
      <c r="W29" s="369">
        <f t="shared" ca="1" si="30"/>
        <v>-1</v>
      </c>
      <c r="X29" s="369">
        <f t="shared" ca="1" si="30"/>
        <v>-1</v>
      </c>
      <c r="Y29" s="369">
        <f t="shared" ca="1" si="30"/>
        <v>-1</v>
      </c>
      <c r="Z29" s="369">
        <f ca="1">SUM(Z30:Z31)</f>
        <v>9</v>
      </c>
      <c r="AA29" s="372">
        <f ca="1">SUM(Z29,N29)</f>
        <v>18</v>
      </c>
      <c r="AB29" s="369"/>
    </row>
    <row r="30" spans="1:28" ht="22.5" hidden="1" customHeight="1">
      <c r="A30" s="193" t="str">
        <f>A14</f>
        <v>Andy</v>
      </c>
      <c r="B30" s="193"/>
      <c r="C30" s="194"/>
      <c r="D30" s="193"/>
      <c r="E30" s="193">
        <f t="shared" ref="E30:M30" ca="1" si="31">(E29+1)/2</f>
        <v>1</v>
      </c>
      <c r="F30" s="193">
        <f t="shared" ca="1" si="31"/>
        <v>0</v>
      </c>
      <c r="G30" s="193">
        <f t="shared" ca="1" si="31"/>
        <v>1</v>
      </c>
      <c r="H30" s="193">
        <f t="shared" ca="1" si="31"/>
        <v>0</v>
      </c>
      <c r="I30" s="193">
        <f t="shared" ca="1" si="31"/>
        <v>1</v>
      </c>
      <c r="J30" s="193">
        <f t="shared" ca="1" si="31"/>
        <v>0</v>
      </c>
      <c r="K30" s="193">
        <f t="shared" ca="1" si="31"/>
        <v>0</v>
      </c>
      <c r="L30" s="193">
        <f t="shared" ca="1" si="31"/>
        <v>1</v>
      </c>
      <c r="M30" s="193">
        <f t="shared" ca="1" si="31"/>
        <v>0</v>
      </c>
      <c r="N30" s="193">
        <f t="shared" ref="N30:N31" ca="1" si="32">SUM(E30:M30)</f>
        <v>4</v>
      </c>
      <c r="O30" s="364"/>
      <c r="P30" s="365"/>
      <c r="Q30" s="193">
        <f t="shared" ref="Q30:Y30" ca="1" si="33">(Q29+1)/2</f>
        <v>1</v>
      </c>
      <c r="R30" s="193">
        <f t="shared" ca="1" si="33"/>
        <v>0.5</v>
      </c>
      <c r="S30" s="193">
        <f t="shared" ca="1" si="33"/>
        <v>0</v>
      </c>
      <c r="T30" s="193">
        <f t="shared" ca="1" si="33"/>
        <v>1</v>
      </c>
      <c r="U30" s="193">
        <f t="shared" ca="1" si="33"/>
        <v>0.5</v>
      </c>
      <c r="V30" s="193">
        <f t="shared" ca="1" si="33"/>
        <v>0.5</v>
      </c>
      <c r="W30" s="193">
        <f t="shared" ca="1" si="33"/>
        <v>0</v>
      </c>
      <c r="X30" s="193">
        <f t="shared" ca="1" si="33"/>
        <v>0</v>
      </c>
      <c r="Y30" s="193">
        <f t="shared" ca="1" si="33"/>
        <v>0</v>
      </c>
      <c r="Z30" s="193">
        <f ca="1">IF(Z19="","",SUM(Q30:Y30))</f>
        <v>3.5</v>
      </c>
      <c r="AA30" s="366">
        <f ca="1">IF(Z19="","",SUM(Z30,N30))</f>
        <v>7.5</v>
      </c>
      <c r="AB30" s="373">
        <f ca="1">IF(Z19="","",AB21)</f>
        <v>0</v>
      </c>
    </row>
    <row r="31" spans="1:28" ht="22.5" hidden="1" customHeight="1">
      <c r="A31" s="193" t="str">
        <f>A17</f>
        <v>DK</v>
      </c>
      <c r="B31" s="193"/>
      <c r="C31" s="194"/>
      <c r="D31" s="193"/>
      <c r="E31" s="193">
        <f t="shared" ref="E31:M31" ca="1" si="34">1-E30</f>
        <v>0</v>
      </c>
      <c r="F31" s="193">
        <f t="shared" ca="1" si="34"/>
        <v>1</v>
      </c>
      <c r="G31" s="193">
        <f t="shared" ca="1" si="34"/>
        <v>0</v>
      </c>
      <c r="H31" s="193">
        <f t="shared" ca="1" si="34"/>
        <v>1</v>
      </c>
      <c r="I31" s="193">
        <f t="shared" ca="1" si="34"/>
        <v>0</v>
      </c>
      <c r="J31" s="193">
        <f t="shared" ca="1" si="34"/>
        <v>1</v>
      </c>
      <c r="K31" s="193">
        <f t="shared" ca="1" si="34"/>
        <v>1</v>
      </c>
      <c r="L31" s="193">
        <f t="shared" ca="1" si="34"/>
        <v>0</v>
      </c>
      <c r="M31" s="193">
        <f t="shared" ca="1" si="34"/>
        <v>1</v>
      </c>
      <c r="N31" s="193">
        <f t="shared" ca="1" si="32"/>
        <v>5</v>
      </c>
      <c r="O31" s="364"/>
      <c r="P31" s="365"/>
      <c r="Q31" s="193">
        <f t="shared" ref="Q31:Y31" ca="1" si="35">1-Q30</f>
        <v>0</v>
      </c>
      <c r="R31" s="193">
        <f t="shared" ca="1" si="35"/>
        <v>0.5</v>
      </c>
      <c r="S31" s="193">
        <f t="shared" ca="1" si="35"/>
        <v>1</v>
      </c>
      <c r="T31" s="193">
        <f t="shared" ca="1" si="35"/>
        <v>0</v>
      </c>
      <c r="U31" s="193">
        <f t="shared" ca="1" si="35"/>
        <v>0.5</v>
      </c>
      <c r="V31" s="193">
        <f t="shared" ca="1" si="35"/>
        <v>0.5</v>
      </c>
      <c r="W31" s="193">
        <f t="shared" ca="1" si="35"/>
        <v>1</v>
      </c>
      <c r="X31" s="193">
        <f t="shared" ca="1" si="35"/>
        <v>1</v>
      </c>
      <c r="Y31" s="193">
        <f t="shared" ca="1" si="35"/>
        <v>1</v>
      </c>
      <c r="Z31" s="193">
        <f ca="1">IF(Z19="","",SUM(Q31:Y31))</f>
        <v>5.5</v>
      </c>
      <c r="AA31" s="366">
        <f ca="1">IF(Z19="","",SUM(Z31,N31))</f>
        <v>10.5</v>
      </c>
      <c r="AB31" s="373">
        <f ca="1">IF(Z19="","",3-AB21)</f>
        <v>3</v>
      </c>
    </row>
    <row r="32" spans="1:28" ht="22.5" hidden="1" customHeight="1">
      <c r="A32" s="193"/>
      <c r="B32" s="193"/>
      <c r="C32" s="194"/>
      <c r="D32" s="193"/>
      <c r="E32" s="193">
        <f t="shared" ref="E32:N32" ca="1" si="36">SUM(E27:E28,E30:E31)</f>
        <v>2</v>
      </c>
      <c r="F32" s="193">
        <f t="shared" ca="1" si="36"/>
        <v>2</v>
      </c>
      <c r="G32" s="193">
        <f t="shared" ca="1" si="36"/>
        <v>2</v>
      </c>
      <c r="H32" s="193">
        <f t="shared" ca="1" si="36"/>
        <v>2</v>
      </c>
      <c r="I32" s="193">
        <f t="shared" ca="1" si="36"/>
        <v>2</v>
      </c>
      <c r="J32" s="193">
        <f t="shared" ca="1" si="36"/>
        <v>2</v>
      </c>
      <c r="K32" s="193">
        <f t="shared" ca="1" si="36"/>
        <v>2</v>
      </c>
      <c r="L32" s="193">
        <f t="shared" ca="1" si="36"/>
        <v>2</v>
      </c>
      <c r="M32" s="193">
        <f t="shared" ca="1" si="36"/>
        <v>2</v>
      </c>
      <c r="N32" s="193">
        <f t="shared" ca="1" si="36"/>
        <v>18</v>
      </c>
      <c r="O32" s="364"/>
      <c r="P32" s="365"/>
      <c r="Q32" s="193">
        <f t="shared" ref="Q32:AA32" ca="1" si="37">SUM(Q27:Q28,Q30:Q31)</f>
        <v>2</v>
      </c>
      <c r="R32" s="193">
        <f t="shared" ca="1" si="37"/>
        <v>2</v>
      </c>
      <c r="S32" s="193">
        <f t="shared" ca="1" si="37"/>
        <v>2</v>
      </c>
      <c r="T32" s="193">
        <f t="shared" ca="1" si="37"/>
        <v>2</v>
      </c>
      <c r="U32" s="193">
        <f t="shared" ca="1" si="37"/>
        <v>2</v>
      </c>
      <c r="V32" s="193">
        <f t="shared" ca="1" si="37"/>
        <v>2</v>
      </c>
      <c r="W32" s="193">
        <f t="shared" ca="1" si="37"/>
        <v>2</v>
      </c>
      <c r="X32" s="193">
        <f t="shared" ca="1" si="37"/>
        <v>2</v>
      </c>
      <c r="Y32" s="193">
        <f t="shared" ca="1" si="37"/>
        <v>2</v>
      </c>
      <c r="Z32" s="193">
        <f t="shared" ca="1" si="37"/>
        <v>18</v>
      </c>
      <c r="AA32" s="193">
        <f t="shared" ca="1" si="37"/>
        <v>36</v>
      </c>
      <c r="AB32" s="373"/>
    </row>
  </sheetData>
  <mergeCells count="1">
    <mergeCell ref="B2:B4"/>
  </mergeCells>
  <conditionalFormatting sqref="E8:M8 Q8:Y8 E11:M11 Q11:Y11">
    <cfRule type="expression" dxfId="80" priority="6">
      <formula>E$26=0</formula>
    </cfRule>
  </conditionalFormatting>
  <conditionalFormatting sqref="E8:M8 Q8:Y8">
    <cfRule type="expression" dxfId="79" priority="4">
      <formula>E$26=1</formula>
    </cfRule>
  </conditionalFormatting>
  <conditionalFormatting sqref="E11:M11 Q11:Y11">
    <cfRule type="expression" dxfId="78" priority="2">
      <formula>E$26=-1</formula>
    </cfRule>
  </conditionalFormatting>
  <conditionalFormatting sqref="E14:M14 Q14:Y14 E17:M17 Q17:Y17">
    <cfRule type="expression" dxfId="77" priority="7">
      <formula>E$29=0</formula>
    </cfRule>
  </conditionalFormatting>
  <conditionalFormatting sqref="E14:M14 Q14:Y14">
    <cfRule type="expression" dxfId="76" priority="5">
      <formula>E$29=1</formula>
    </cfRule>
  </conditionalFormatting>
  <conditionalFormatting sqref="E17:M17 Q17:Y17">
    <cfRule type="expression" dxfId="75" priority="3">
      <formula>E$29=-1</formula>
    </cfRule>
  </conditionalFormatting>
  <conditionalFormatting sqref="E19:M19 Q19:Y22 E21:M21">
    <cfRule type="cellIs" dxfId="74" priority="1" operator="equal">
      <formula>"."</formula>
    </cfRule>
  </conditionalFormatting>
  <printOptions horizontalCentered="1" gridLines="1"/>
  <pageMargins left="0.6" right="0.25" top="0.5" bottom="0.25" header="0" footer="0"/>
  <pageSetup fitToHeight="0" pageOrder="overThenDown" orientation="landscape" cellComments="atEnd"/>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FC5E8"/>
    <outlinePr summaryBelow="0" summaryRight="0"/>
    <pageSetUpPr fitToPage="1"/>
  </sheetPr>
  <dimension ref="A1:AB32"/>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263" t="s">
        <v>41</v>
      </c>
      <c r="B1" s="264">
        <f>'Master Input'!H4</f>
        <v>0.35833333333333334</v>
      </c>
      <c r="C1" s="265" t="str">
        <f>'Master Input'!$G$2</f>
        <v>Round 2</v>
      </c>
      <c r="D1" s="266"/>
      <c r="E1" s="265" t="str">
        <f>'Master Input'!$G$6</f>
        <v>The Wolverine - White</v>
      </c>
      <c r="F1" s="266"/>
      <c r="G1" s="266"/>
      <c r="H1" s="266"/>
      <c r="I1" s="266"/>
      <c r="J1" s="266"/>
      <c r="K1" s="266"/>
      <c r="L1" s="266"/>
      <c r="M1" s="266"/>
      <c r="N1" s="266"/>
      <c r="O1" s="72"/>
      <c r="P1" s="265" t="str">
        <f>'Master Input'!$G$2&amp;" - "&amp;A1</f>
        <v>Round 2 - Group 4</v>
      </c>
      <c r="Q1" s="266"/>
      <c r="R1" s="266"/>
      <c r="S1" s="266"/>
      <c r="T1" s="266"/>
      <c r="U1" s="265" t="str">
        <f>'Master Input'!$G$6</f>
        <v>The Wolverine - White</v>
      </c>
      <c r="V1" s="266"/>
      <c r="W1" s="266"/>
      <c r="X1" s="266"/>
      <c r="Y1" s="266"/>
      <c r="Z1" s="266"/>
      <c r="AA1" s="267"/>
      <c r="AB1" s="268"/>
    </row>
    <row r="2" spans="1:28" ht="14.25" customHeight="1">
      <c r="A2" s="75" t="s">
        <v>16</v>
      </c>
      <c r="B2" s="1164" t="str">
        <f>'Match Selection'!B9</f>
        <v>Singles Matches</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10" t="s">
        <v>27</v>
      </c>
      <c r="AB5" s="110" t="s">
        <v>28</v>
      </c>
    </row>
    <row r="6" spans="1:28" ht="7.5" customHeight="1">
      <c r="A6" s="112"/>
      <c r="B6" s="112"/>
      <c r="C6" s="280"/>
      <c r="D6" s="281"/>
      <c r="E6" s="116" t="str">
        <f t="shared" ref="E6:M6" ca="1" si="0">IF(E7=1,"O", IF(E7=2,"O   O",""))</f>
        <v/>
      </c>
      <c r="F6" s="116" t="str">
        <f t="shared" ca="1" si="0"/>
        <v>O</v>
      </c>
      <c r="G6" s="116" t="str">
        <f t="shared" ca="1" si="0"/>
        <v>O</v>
      </c>
      <c r="H6" s="116" t="str">
        <f t="shared" ca="1" si="0"/>
        <v/>
      </c>
      <c r="I6" s="116" t="str">
        <f t="shared" ca="1" si="0"/>
        <v/>
      </c>
      <c r="J6" s="116" t="str">
        <f t="shared" ca="1" si="0"/>
        <v>O</v>
      </c>
      <c r="K6" s="116" t="str">
        <f t="shared" ca="1" si="0"/>
        <v/>
      </c>
      <c r="L6" s="116" t="str">
        <f t="shared" ca="1" si="0"/>
        <v/>
      </c>
      <c r="M6" s="116" t="str">
        <f t="shared" ca="1" si="0"/>
        <v/>
      </c>
      <c r="N6" s="282"/>
      <c r="O6" s="118"/>
      <c r="P6" s="283"/>
      <c r="Q6" s="116" t="str">
        <f t="shared" ref="Q6:Y6" ca="1" si="1">IF(Q7=1,"O", IF(Q7=2,"O   O",""))</f>
        <v>O</v>
      </c>
      <c r="R6" s="116" t="str">
        <f t="shared" ca="1" si="1"/>
        <v>O</v>
      </c>
      <c r="S6" s="116" t="str">
        <f t="shared" ca="1" si="1"/>
        <v/>
      </c>
      <c r="T6" s="116" t="str">
        <f t="shared" ca="1" si="1"/>
        <v/>
      </c>
      <c r="U6" s="116" t="str">
        <f t="shared" ca="1" si="1"/>
        <v/>
      </c>
      <c r="V6" s="116" t="str">
        <f t="shared" ca="1" si="1"/>
        <v/>
      </c>
      <c r="W6" s="116" t="str">
        <f t="shared" ca="1" si="1"/>
        <v/>
      </c>
      <c r="X6" s="116" t="str">
        <f t="shared" ca="1" si="1"/>
        <v/>
      </c>
      <c r="Y6" s="116" t="str">
        <f t="shared" ca="1" si="1"/>
        <v/>
      </c>
      <c r="Z6" s="284"/>
      <c r="AA6" s="285"/>
      <c r="AB6" s="285"/>
    </row>
    <row r="7" spans="1:28" ht="22.5" hidden="1" customHeight="1">
      <c r="A7" s="123"/>
      <c r="B7" s="124"/>
      <c r="C7" s="286"/>
      <c r="D7" s="287"/>
      <c r="E7" s="288">
        <f t="shared" ref="E7:M7" ca="1" si="2">IF($D8&gt;0,FLOOR($D8/18,1),0)+IF(AND(MOD($D8,18)&gt;=E$3,$D8&gt;0),1,0)-IF(E$3-18&gt;$D8,1,0)</f>
        <v>0</v>
      </c>
      <c r="F7" s="288">
        <f t="shared" ca="1" si="2"/>
        <v>1</v>
      </c>
      <c r="G7" s="288">
        <f t="shared" ca="1" si="2"/>
        <v>1</v>
      </c>
      <c r="H7" s="288">
        <f t="shared" ca="1" si="2"/>
        <v>0</v>
      </c>
      <c r="I7" s="288">
        <f t="shared" ca="1" si="2"/>
        <v>0</v>
      </c>
      <c r="J7" s="288">
        <f t="shared" ca="1" si="2"/>
        <v>1</v>
      </c>
      <c r="K7" s="288">
        <f t="shared" ca="1" si="2"/>
        <v>0</v>
      </c>
      <c r="L7" s="288">
        <f t="shared" ca="1" si="2"/>
        <v>0</v>
      </c>
      <c r="M7" s="288">
        <f t="shared" ca="1" si="2"/>
        <v>0</v>
      </c>
      <c r="N7" s="289"/>
      <c r="O7" s="131"/>
      <c r="P7" s="290"/>
      <c r="Q7" s="288">
        <f t="shared" ref="Q7:Y7" ca="1" si="3">IF($D8&gt;0,FLOOR($D8/18,1),0)+IF(AND(MOD($D8,18)&gt;=Q$3,$D8&gt;0),1,0)-IF(Q$3-18&gt;$D8,1,0)</f>
        <v>1</v>
      </c>
      <c r="R7" s="288">
        <f t="shared" ca="1" si="3"/>
        <v>1</v>
      </c>
      <c r="S7" s="288">
        <f t="shared" ca="1" si="3"/>
        <v>0</v>
      </c>
      <c r="T7" s="288">
        <f t="shared" ca="1" si="3"/>
        <v>0</v>
      </c>
      <c r="U7" s="288">
        <f t="shared" ca="1" si="3"/>
        <v>0</v>
      </c>
      <c r="V7" s="288">
        <f t="shared" ca="1" si="3"/>
        <v>0</v>
      </c>
      <c r="W7" s="288">
        <f t="shared" ca="1" si="3"/>
        <v>0</v>
      </c>
      <c r="X7" s="288">
        <f t="shared" ca="1" si="3"/>
        <v>0</v>
      </c>
      <c r="Y7" s="288">
        <f t="shared" ca="1" si="3"/>
        <v>0</v>
      </c>
      <c r="Z7" s="289"/>
      <c r="AA7" s="291"/>
      <c r="AB7" s="291"/>
    </row>
    <row r="8" spans="1:28" ht="22.5" customHeight="1">
      <c r="A8" s="136" t="str">
        <f>'Match Selection'!V9</f>
        <v>Joe O</v>
      </c>
      <c r="B8" s="137" t="str">
        <f>VLOOKUP(A8, 'Master Input'!$A$11:$B$27,2, FALSE)</f>
        <v>WEEZ</v>
      </c>
      <c r="C8" s="292">
        <f ca="1">VLOOKUP(A8,'Master Input'!$A$11:$L$27,'Master Input'!$H$28, FALSE)</f>
        <v>12</v>
      </c>
      <c r="D8" s="293">
        <f ca="1">C8-SMALL($C$8:$C$11,1)</f>
        <v>5</v>
      </c>
      <c r="E8" s="294">
        <v>4</v>
      </c>
      <c r="F8" s="294">
        <v>5</v>
      </c>
      <c r="G8" s="294">
        <v>5</v>
      </c>
      <c r="H8" s="294">
        <v>4</v>
      </c>
      <c r="I8" s="294">
        <v>5</v>
      </c>
      <c r="J8" s="294">
        <v>6</v>
      </c>
      <c r="K8" s="294">
        <v>6</v>
      </c>
      <c r="L8" s="294">
        <v>6</v>
      </c>
      <c r="M8" s="294">
        <v>4</v>
      </c>
      <c r="N8" s="295">
        <f>IF(M8="","", SUM(E8:M8))</f>
        <v>45</v>
      </c>
      <c r="O8" s="131"/>
      <c r="P8" s="296" t="str">
        <f>A8</f>
        <v>Joe O</v>
      </c>
      <c r="Q8" s="294">
        <v>5</v>
      </c>
      <c r="R8" s="294">
        <v>7</v>
      </c>
      <c r="S8" s="294">
        <v>4</v>
      </c>
      <c r="T8" s="294">
        <v>4</v>
      </c>
      <c r="U8" s="294">
        <v>3</v>
      </c>
      <c r="V8" s="294">
        <v>6</v>
      </c>
      <c r="W8" s="294">
        <v>5</v>
      </c>
      <c r="X8" s="294">
        <v>5</v>
      </c>
      <c r="Y8" s="294">
        <v>5</v>
      </c>
      <c r="Z8" s="295">
        <f>IF(Y8="","", SUM(Q8:Y8))</f>
        <v>44</v>
      </c>
      <c r="AA8" s="297">
        <f>IF(Z8="", "", SUM(N8,Z8))</f>
        <v>89</v>
      </c>
      <c r="AB8" s="298">
        <f ca="1">IF(Y8="", "", AA8-C8)</f>
        <v>77</v>
      </c>
    </row>
    <row r="9" spans="1:28" ht="7.5" customHeight="1">
      <c r="A9" s="299"/>
      <c r="B9" s="300"/>
      <c r="C9" s="301"/>
      <c r="D9" s="302"/>
      <c r="E9" s="165" t="str">
        <f t="shared" ref="E9:M9" ca="1" si="4">IF(E10=1,"O", IF(E10=2,"O   O",""))</f>
        <v/>
      </c>
      <c r="F9" s="165" t="str">
        <f t="shared" ca="1" si="4"/>
        <v/>
      </c>
      <c r="G9" s="165" t="str">
        <f t="shared" ca="1" si="4"/>
        <v/>
      </c>
      <c r="H9" s="165" t="str">
        <f t="shared" ca="1" si="4"/>
        <v/>
      </c>
      <c r="I9" s="165" t="str">
        <f t="shared" ca="1" si="4"/>
        <v/>
      </c>
      <c r="J9" s="165" t="str">
        <f t="shared" ca="1" si="4"/>
        <v/>
      </c>
      <c r="K9" s="165" t="str">
        <f t="shared" ca="1" si="4"/>
        <v/>
      </c>
      <c r="L9" s="165" t="str">
        <f t="shared" ca="1" si="4"/>
        <v/>
      </c>
      <c r="M9" s="165" t="str">
        <f t="shared" ca="1" si="4"/>
        <v/>
      </c>
      <c r="N9" s="303"/>
      <c r="O9" s="118"/>
      <c r="P9" s="304"/>
      <c r="Q9" s="165" t="str">
        <f t="shared" ref="Q9:Y9" ca="1" si="5">IF(Q10=1,"O", IF(Q10=2,"O   O",""))</f>
        <v/>
      </c>
      <c r="R9" s="165" t="str">
        <f t="shared" ca="1" si="5"/>
        <v/>
      </c>
      <c r="S9" s="165" t="str">
        <f t="shared" ca="1" si="5"/>
        <v/>
      </c>
      <c r="T9" s="165" t="str">
        <f t="shared" ca="1" si="5"/>
        <v/>
      </c>
      <c r="U9" s="165" t="str">
        <f t="shared" ca="1" si="5"/>
        <v/>
      </c>
      <c r="V9" s="165" t="str">
        <f t="shared" ca="1" si="5"/>
        <v/>
      </c>
      <c r="W9" s="165" t="str">
        <f t="shared" ca="1" si="5"/>
        <v/>
      </c>
      <c r="X9" s="165" t="str">
        <f t="shared" ca="1" si="5"/>
        <v/>
      </c>
      <c r="Y9" s="165" t="str">
        <f t="shared" ca="1" si="5"/>
        <v/>
      </c>
      <c r="Z9" s="303"/>
      <c r="AA9" s="305"/>
      <c r="AB9" s="306"/>
    </row>
    <row r="10" spans="1:28" ht="22.5" hidden="1" customHeight="1">
      <c r="A10" s="171"/>
      <c r="B10" s="172"/>
      <c r="C10" s="307"/>
      <c r="D10" s="308"/>
      <c r="E10" s="177">
        <f t="shared" ref="E10:M10" ca="1" si="6">IF($D11&gt;0,FLOOR($D11/18,1),0)+IF(AND(MOD($D11,18)&gt;=E$3,$D11&gt;0),1,0)-IF(E$3-18&gt;$D11,1,0)</f>
        <v>0</v>
      </c>
      <c r="F10" s="177">
        <f t="shared" ca="1" si="6"/>
        <v>0</v>
      </c>
      <c r="G10" s="177">
        <f t="shared" ca="1" si="6"/>
        <v>0</v>
      </c>
      <c r="H10" s="177">
        <f t="shared" ca="1" si="6"/>
        <v>0</v>
      </c>
      <c r="I10" s="177">
        <f t="shared" ca="1" si="6"/>
        <v>0</v>
      </c>
      <c r="J10" s="177">
        <f t="shared" ca="1" si="6"/>
        <v>0</v>
      </c>
      <c r="K10" s="177">
        <f t="shared" ca="1" si="6"/>
        <v>0</v>
      </c>
      <c r="L10" s="177">
        <f t="shared" ca="1" si="6"/>
        <v>0</v>
      </c>
      <c r="M10" s="177">
        <f t="shared" ca="1" si="6"/>
        <v>0</v>
      </c>
      <c r="N10" s="289"/>
      <c r="O10" s="131"/>
      <c r="P10" s="309"/>
      <c r="Q10" s="177">
        <f t="shared" ref="Q10:Y10" ca="1" si="7">IF($D11&gt;0,FLOOR($D11/18,1),0)+IF(AND(MOD($D11,18)&gt;=Q$3,$D11&gt;0),1,0)-IF(Q$3-18&gt;$D11,1,0)</f>
        <v>0</v>
      </c>
      <c r="R10" s="177">
        <f t="shared" ca="1" si="7"/>
        <v>0</v>
      </c>
      <c r="S10" s="177">
        <f t="shared" ca="1" si="7"/>
        <v>0</v>
      </c>
      <c r="T10" s="177">
        <f t="shared" ca="1" si="7"/>
        <v>0</v>
      </c>
      <c r="U10" s="177">
        <f t="shared" ca="1" si="7"/>
        <v>0</v>
      </c>
      <c r="V10" s="177">
        <f t="shared" ca="1" si="7"/>
        <v>0</v>
      </c>
      <c r="W10" s="177">
        <f t="shared" ca="1" si="7"/>
        <v>0</v>
      </c>
      <c r="X10" s="177">
        <f t="shared" ca="1" si="7"/>
        <v>0</v>
      </c>
      <c r="Y10" s="177">
        <f t="shared" ca="1" si="7"/>
        <v>0</v>
      </c>
      <c r="Z10" s="289"/>
      <c r="AA10" s="291"/>
      <c r="AB10" s="310"/>
    </row>
    <row r="11" spans="1:28" ht="22.5" customHeight="1">
      <c r="A11" s="181" t="str">
        <f>'Match Selection'!Y9</f>
        <v>R-Mac</v>
      </c>
      <c r="B11" s="182" t="str">
        <f>VLOOKUP(A11, 'Master Input'!$A$11:$B$27,2, FALSE)</f>
        <v>TEES</v>
      </c>
      <c r="C11" s="311">
        <f ca="1">VLOOKUP(A11,'Master Input'!$A$11:$L$27,'Master Input'!$H$28, FALSE)</f>
        <v>7</v>
      </c>
      <c r="D11" s="312">
        <f ca="1">C11-SMALL($C$8:$C$11,1)</f>
        <v>0</v>
      </c>
      <c r="E11" s="313">
        <v>3</v>
      </c>
      <c r="F11" s="313">
        <v>4</v>
      </c>
      <c r="G11" s="313">
        <v>6</v>
      </c>
      <c r="H11" s="313">
        <v>4</v>
      </c>
      <c r="I11" s="313">
        <v>3</v>
      </c>
      <c r="J11" s="313">
        <v>5</v>
      </c>
      <c r="K11" s="313">
        <v>4</v>
      </c>
      <c r="L11" s="313">
        <v>6</v>
      </c>
      <c r="M11" s="313">
        <v>3</v>
      </c>
      <c r="N11" s="295">
        <f>IF(M11="","", SUM(E11:M11))</f>
        <v>38</v>
      </c>
      <c r="O11" s="131"/>
      <c r="P11" s="314" t="str">
        <f>A11</f>
        <v>R-Mac</v>
      </c>
      <c r="Q11" s="313">
        <v>4</v>
      </c>
      <c r="R11" s="313">
        <v>5</v>
      </c>
      <c r="S11" s="313">
        <v>4</v>
      </c>
      <c r="T11" s="313">
        <v>5</v>
      </c>
      <c r="U11" s="313">
        <v>3</v>
      </c>
      <c r="V11" s="313">
        <v>4</v>
      </c>
      <c r="W11" s="313">
        <v>6</v>
      </c>
      <c r="X11" s="313">
        <v>4</v>
      </c>
      <c r="Y11" s="313">
        <v>4</v>
      </c>
      <c r="Z11" s="295">
        <f>IF(Y11="","", SUM(Q11:Y11))</f>
        <v>39</v>
      </c>
      <c r="AA11" s="297">
        <f>IF(Z11="", "", SUM(N11,Z11))</f>
        <v>77</v>
      </c>
      <c r="AB11" s="298">
        <f ca="1">IF(Y11="", "", AA11-C11)</f>
        <v>70</v>
      </c>
    </row>
    <row r="12" spans="1:28" ht="7.5" customHeight="1">
      <c r="A12" s="245"/>
      <c r="B12" s="148"/>
      <c r="C12" s="315"/>
      <c r="D12" s="316"/>
      <c r="E12" s="317" t="str">
        <f t="shared" ref="E12:M12" ca="1" si="8">IF(E13=1,"O", IF(E13=2,"O   O",""))</f>
        <v/>
      </c>
      <c r="F12" s="317" t="str">
        <f t="shared" ca="1" si="8"/>
        <v/>
      </c>
      <c r="G12" s="317" t="str">
        <f t="shared" ca="1" si="8"/>
        <v/>
      </c>
      <c r="H12" s="317" t="str">
        <f t="shared" ca="1" si="8"/>
        <v/>
      </c>
      <c r="I12" s="317" t="str">
        <f t="shared" ca="1" si="8"/>
        <v/>
      </c>
      <c r="J12" s="317" t="str">
        <f t="shared" ca="1" si="8"/>
        <v/>
      </c>
      <c r="K12" s="317" t="str">
        <f t="shared" ca="1" si="8"/>
        <v/>
      </c>
      <c r="L12" s="317" t="str">
        <f t="shared" ca="1" si="8"/>
        <v/>
      </c>
      <c r="M12" s="317" t="str">
        <f t="shared" ca="1" si="8"/>
        <v/>
      </c>
      <c r="N12" s="318"/>
      <c r="O12" s="118"/>
      <c r="P12" s="319"/>
      <c r="Q12" s="317" t="str">
        <f t="shared" ref="Q12:Y12" ca="1" si="9">IF(Q13=1,"O", IF(Q13=2,"O   O",""))</f>
        <v/>
      </c>
      <c r="R12" s="317" t="str">
        <f t="shared" ca="1" si="9"/>
        <v/>
      </c>
      <c r="S12" s="317" t="str">
        <f t="shared" ca="1" si="9"/>
        <v/>
      </c>
      <c r="T12" s="317" t="str">
        <f t="shared" ca="1" si="9"/>
        <v/>
      </c>
      <c r="U12" s="317" t="str">
        <f t="shared" ca="1" si="9"/>
        <v/>
      </c>
      <c r="V12" s="317" t="str">
        <f t="shared" ca="1" si="9"/>
        <v/>
      </c>
      <c r="W12" s="317" t="str">
        <f t="shared" ca="1" si="9"/>
        <v/>
      </c>
      <c r="X12" s="317" t="str">
        <f t="shared" ca="1" si="9"/>
        <v/>
      </c>
      <c r="Y12" s="317" t="str">
        <f t="shared" ca="1" si="9"/>
        <v/>
      </c>
      <c r="Z12" s="303"/>
      <c r="AA12" s="305"/>
      <c r="AB12" s="320"/>
    </row>
    <row r="13" spans="1:28" ht="22.5" hidden="1" customHeight="1">
      <c r="A13" s="123"/>
      <c r="B13" s="124"/>
      <c r="C13" s="286"/>
      <c r="D13" s="287"/>
      <c r="E13" s="321">
        <f t="shared" ref="E13:M13" ca="1" si="10">IF($D14&gt;0,FLOOR($D14/18,1),0)+IF(AND(MOD($D14,18)&gt;=E$3,$D14&gt;0),1,0)-IF(E$3-18&gt;$D14,1,0)</f>
        <v>0</v>
      </c>
      <c r="F13" s="321">
        <f t="shared" ca="1" si="10"/>
        <v>0</v>
      </c>
      <c r="G13" s="321">
        <f t="shared" ca="1" si="10"/>
        <v>0</v>
      </c>
      <c r="H13" s="321">
        <f t="shared" ca="1" si="10"/>
        <v>0</v>
      </c>
      <c r="I13" s="321">
        <f t="shared" ca="1" si="10"/>
        <v>0</v>
      </c>
      <c r="J13" s="321">
        <f t="shared" ca="1" si="10"/>
        <v>0</v>
      </c>
      <c r="K13" s="321">
        <f t="shared" ca="1" si="10"/>
        <v>0</v>
      </c>
      <c r="L13" s="321">
        <f t="shared" ca="1" si="10"/>
        <v>0</v>
      </c>
      <c r="M13" s="321">
        <f t="shared" ca="1" si="10"/>
        <v>0</v>
      </c>
      <c r="N13" s="289"/>
      <c r="O13" s="131"/>
      <c r="P13" s="290"/>
      <c r="Q13" s="321">
        <f t="shared" ref="Q13:Y13" ca="1" si="11">IF($D14&gt;0,FLOOR($D14/18,1),0)+IF(AND(MOD($D14,18)&gt;=Q$3,$D14&gt;0),1,0)-IF(Q$3-18&gt;$D14,1,0)</f>
        <v>0</v>
      </c>
      <c r="R13" s="321">
        <f t="shared" ca="1" si="11"/>
        <v>0</v>
      </c>
      <c r="S13" s="321">
        <f t="shared" ca="1" si="11"/>
        <v>0</v>
      </c>
      <c r="T13" s="321">
        <f t="shared" ca="1" si="11"/>
        <v>0</v>
      </c>
      <c r="U13" s="321">
        <f t="shared" ca="1" si="11"/>
        <v>0</v>
      </c>
      <c r="V13" s="321">
        <f t="shared" ca="1" si="11"/>
        <v>0</v>
      </c>
      <c r="W13" s="321">
        <f t="shared" ca="1" si="11"/>
        <v>0</v>
      </c>
      <c r="X13" s="321">
        <f t="shared" ca="1" si="11"/>
        <v>0</v>
      </c>
      <c r="Y13" s="321">
        <f t="shared" ca="1" si="11"/>
        <v>0</v>
      </c>
      <c r="Z13" s="289"/>
      <c r="AA13" s="291"/>
      <c r="AB13" s="310"/>
    </row>
    <row r="14" spans="1:28" ht="22.5" customHeight="1">
      <c r="A14" s="136" t="str">
        <f>'Match Selection'!V10</f>
        <v>Hile</v>
      </c>
      <c r="B14" s="137" t="str">
        <f>VLOOKUP(A14, 'Master Input'!$A$11:$B$27,2, FALSE)</f>
        <v>WEEZ</v>
      </c>
      <c r="C14" s="292">
        <f ca="1">VLOOKUP(A14,'Master Input'!$A$11:$L$27,'Master Input'!$H$28, FALSE)</f>
        <v>14</v>
      </c>
      <c r="D14" s="293">
        <f ca="1">C14-SMALL($C$14:$C$17,1)</f>
        <v>0</v>
      </c>
      <c r="E14" s="322">
        <v>6</v>
      </c>
      <c r="F14" s="322">
        <v>6</v>
      </c>
      <c r="G14" s="322">
        <v>6</v>
      </c>
      <c r="H14" s="322">
        <v>5</v>
      </c>
      <c r="I14" s="322">
        <v>3</v>
      </c>
      <c r="J14" s="322">
        <v>5</v>
      </c>
      <c r="K14" s="322">
        <v>5</v>
      </c>
      <c r="L14" s="322">
        <v>7</v>
      </c>
      <c r="M14" s="322">
        <v>5</v>
      </c>
      <c r="N14" s="295">
        <f>IF(M14="","", SUM(E14:M14))</f>
        <v>48</v>
      </c>
      <c r="O14" s="131"/>
      <c r="P14" s="296" t="str">
        <f>A14</f>
        <v>Hile</v>
      </c>
      <c r="Q14" s="322">
        <v>5</v>
      </c>
      <c r="R14" s="322">
        <v>6</v>
      </c>
      <c r="S14" s="322">
        <v>4</v>
      </c>
      <c r="T14" s="322">
        <v>4</v>
      </c>
      <c r="U14" s="322">
        <v>4</v>
      </c>
      <c r="V14" s="322">
        <v>5</v>
      </c>
      <c r="W14" s="322">
        <v>6</v>
      </c>
      <c r="X14" s="322">
        <v>6</v>
      </c>
      <c r="Y14" s="322">
        <v>6</v>
      </c>
      <c r="Z14" s="295">
        <f>IF(Y14="","", SUM(Q14:Y14))</f>
        <v>46</v>
      </c>
      <c r="AA14" s="297">
        <f>IF(Z14="", "", SUM(N14,Z14))</f>
        <v>94</v>
      </c>
      <c r="AB14" s="298">
        <f ca="1">IF(Y14="", "", AA14-C14)</f>
        <v>80</v>
      </c>
    </row>
    <row r="15" spans="1:28" ht="7.5" customHeight="1">
      <c r="A15" s="159"/>
      <c r="B15" s="160"/>
      <c r="C15" s="323"/>
      <c r="D15" s="324"/>
      <c r="E15" s="165" t="str">
        <f t="shared" ref="E15:M15" ca="1" si="12">IF(E16=1,"O", IF(E16=2,"O   O",""))</f>
        <v>O</v>
      </c>
      <c r="F15" s="165" t="str">
        <f t="shared" ca="1" si="12"/>
        <v>O</v>
      </c>
      <c r="G15" s="165" t="str">
        <f t="shared" ca="1" si="12"/>
        <v>O</v>
      </c>
      <c r="H15" s="165" t="str">
        <f t="shared" ca="1" si="12"/>
        <v>O</v>
      </c>
      <c r="I15" s="165" t="str">
        <f t="shared" ca="1" si="12"/>
        <v>O</v>
      </c>
      <c r="J15" s="165" t="str">
        <f t="shared" ca="1" si="12"/>
        <v>O</v>
      </c>
      <c r="K15" s="165" t="str">
        <f t="shared" ca="1" si="12"/>
        <v>O</v>
      </c>
      <c r="L15" s="165" t="str">
        <f t="shared" ca="1" si="12"/>
        <v>O</v>
      </c>
      <c r="M15" s="165" t="str">
        <f t="shared" ca="1" si="12"/>
        <v>O</v>
      </c>
      <c r="N15" s="325"/>
      <c r="O15" s="118"/>
      <c r="P15" s="326"/>
      <c r="Q15" s="165" t="str">
        <f t="shared" ref="Q15:Y15" ca="1" si="13">IF(Q16=1,"O", IF(Q16=2,"O   O",""))</f>
        <v>O</v>
      </c>
      <c r="R15" s="165" t="str">
        <f t="shared" ca="1" si="13"/>
        <v>O</v>
      </c>
      <c r="S15" s="165" t="str">
        <f t="shared" ca="1" si="13"/>
        <v>O</v>
      </c>
      <c r="T15" s="165" t="str">
        <f t="shared" ca="1" si="13"/>
        <v>O</v>
      </c>
      <c r="U15" s="165" t="str">
        <f t="shared" ca="1" si="13"/>
        <v/>
      </c>
      <c r="V15" s="165" t="str">
        <f t="shared" ca="1" si="13"/>
        <v>O</v>
      </c>
      <c r="W15" s="165" t="str">
        <f t="shared" ca="1" si="13"/>
        <v>O</v>
      </c>
      <c r="X15" s="165" t="str">
        <f t="shared" ca="1" si="13"/>
        <v>O</v>
      </c>
      <c r="Y15" s="165" t="str">
        <f t="shared" ca="1" si="13"/>
        <v>O</v>
      </c>
      <c r="Z15" s="325"/>
      <c r="AA15" s="327"/>
      <c r="AB15" s="320"/>
    </row>
    <row r="16" spans="1:28" ht="22.5" hidden="1" customHeight="1">
      <c r="A16" s="171"/>
      <c r="B16" s="172"/>
      <c r="C16" s="307"/>
      <c r="D16" s="308"/>
      <c r="E16" s="177">
        <f t="shared" ref="E16:M16" ca="1" si="14">IF($D17&gt;0,FLOOR($D17/18,1),0)+IF(AND(MOD($D17,18)&gt;=E$3,$D17&gt;0),1,0)-IF(E$3-18&gt;$D17,1,0)</f>
        <v>1</v>
      </c>
      <c r="F16" s="177">
        <f t="shared" ca="1" si="14"/>
        <v>1</v>
      </c>
      <c r="G16" s="177">
        <f t="shared" ca="1" si="14"/>
        <v>1</v>
      </c>
      <c r="H16" s="177">
        <f t="shared" ca="1" si="14"/>
        <v>1</v>
      </c>
      <c r="I16" s="177">
        <f t="shared" ca="1" si="14"/>
        <v>1</v>
      </c>
      <c r="J16" s="177">
        <f t="shared" ca="1" si="14"/>
        <v>1</v>
      </c>
      <c r="K16" s="177">
        <f t="shared" ca="1" si="14"/>
        <v>1</v>
      </c>
      <c r="L16" s="177">
        <f t="shared" ca="1" si="14"/>
        <v>1</v>
      </c>
      <c r="M16" s="177">
        <f t="shared" ca="1" si="14"/>
        <v>1</v>
      </c>
      <c r="N16" s="289"/>
      <c r="O16" s="131"/>
      <c r="P16" s="309"/>
      <c r="Q16" s="177">
        <f t="shared" ref="Q16:Y16" ca="1" si="15">IF($D17&gt;0,FLOOR($D17/18,1),0)+IF(AND(MOD($D17,18)&gt;=Q$3,$D17&gt;0),1,0)-IF(Q$3-18&gt;$D17,1,0)</f>
        <v>1</v>
      </c>
      <c r="R16" s="177">
        <f t="shared" ca="1" si="15"/>
        <v>1</v>
      </c>
      <c r="S16" s="177">
        <f t="shared" ca="1" si="15"/>
        <v>1</v>
      </c>
      <c r="T16" s="177">
        <f t="shared" ca="1" si="15"/>
        <v>1</v>
      </c>
      <c r="U16" s="177">
        <f t="shared" ca="1" si="15"/>
        <v>0</v>
      </c>
      <c r="V16" s="177">
        <f t="shared" ca="1" si="15"/>
        <v>1</v>
      </c>
      <c r="W16" s="177">
        <f t="shared" ca="1" si="15"/>
        <v>1</v>
      </c>
      <c r="X16" s="177">
        <f t="shared" ca="1" si="15"/>
        <v>1</v>
      </c>
      <c r="Y16" s="177">
        <f t="shared" ca="1" si="15"/>
        <v>1</v>
      </c>
      <c r="Z16" s="289"/>
      <c r="AA16" s="328"/>
      <c r="AB16" s="310"/>
    </row>
    <row r="17" spans="1:28" ht="22.5" customHeight="1">
      <c r="A17" s="191" t="str">
        <f>'Match Selection'!Y10</f>
        <v>Saugy</v>
      </c>
      <c r="B17" s="182" t="str">
        <f>VLOOKUP(A17, 'Master Input'!$A$11:$B$27,2, FALSE)</f>
        <v>TEES</v>
      </c>
      <c r="C17" s="311">
        <f ca="1">VLOOKUP(A17,'Master Input'!$A$11:$L$27,'Master Input'!$H$28, FALSE)</f>
        <v>31</v>
      </c>
      <c r="D17" s="312">
        <f ca="1">C17-SMALL($C$14:$C$17,1)</f>
        <v>17</v>
      </c>
      <c r="E17" s="313">
        <v>4</v>
      </c>
      <c r="F17" s="313">
        <v>7</v>
      </c>
      <c r="G17" s="313">
        <v>6</v>
      </c>
      <c r="H17" s="313">
        <v>4</v>
      </c>
      <c r="I17" s="313">
        <v>6</v>
      </c>
      <c r="J17" s="313">
        <v>6</v>
      </c>
      <c r="K17" s="313">
        <v>6</v>
      </c>
      <c r="L17" s="313">
        <v>10</v>
      </c>
      <c r="M17" s="313">
        <v>6</v>
      </c>
      <c r="N17" s="295">
        <f>IF(M17="","", SUM(E17:M17))</f>
        <v>55</v>
      </c>
      <c r="O17" s="131"/>
      <c r="P17" s="314" t="str">
        <f>A17</f>
        <v>Saugy</v>
      </c>
      <c r="Q17" s="313">
        <v>6</v>
      </c>
      <c r="R17" s="313">
        <v>7</v>
      </c>
      <c r="S17" s="313">
        <v>2</v>
      </c>
      <c r="T17" s="313">
        <v>8</v>
      </c>
      <c r="U17" s="313">
        <v>5</v>
      </c>
      <c r="V17" s="313">
        <v>8</v>
      </c>
      <c r="W17" s="313">
        <v>9</v>
      </c>
      <c r="X17" s="313">
        <v>4</v>
      </c>
      <c r="Y17" s="313">
        <v>5</v>
      </c>
      <c r="Z17" s="295">
        <f>IF(Y17="","", SUM(Q17:Y17))</f>
        <v>54</v>
      </c>
      <c r="AA17" s="297">
        <f>IF(Z17="", "", SUM(N17,Z17))</f>
        <v>109</v>
      </c>
      <c r="AB17" s="298">
        <f ca="1">IF(Y17="", "", AA17-C17)</f>
        <v>78</v>
      </c>
    </row>
    <row r="18" spans="1:28" ht="11.25" customHeight="1">
      <c r="A18" s="329"/>
      <c r="B18" s="329"/>
      <c r="C18" s="330"/>
      <c r="D18" s="195"/>
      <c r="E18" s="331"/>
      <c r="F18" s="195"/>
      <c r="G18" s="195"/>
      <c r="H18" s="195"/>
      <c r="I18" s="195"/>
      <c r="J18" s="195"/>
      <c r="K18" s="195"/>
      <c r="L18" s="195"/>
      <c r="M18" s="195"/>
      <c r="N18" s="331" t="s">
        <v>7</v>
      </c>
      <c r="O18" s="196"/>
      <c r="P18" s="195"/>
      <c r="Q18" s="331"/>
      <c r="R18" s="195"/>
      <c r="S18" s="195"/>
      <c r="T18" s="195"/>
      <c r="U18" s="195"/>
      <c r="V18" s="195"/>
      <c r="W18" s="195"/>
      <c r="X18" s="195"/>
      <c r="Y18" s="195"/>
      <c r="Z18" s="331"/>
      <c r="AA18" s="195"/>
      <c r="AB18" s="197" t="s">
        <v>42</v>
      </c>
    </row>
    <row r="19" spans="1:28" ht="22.5" customHeight="1">
      <c r="A19" s="332" t="str">
        <f>B8&amp;" Top"</f>
        <v>WEEZ Top</v>
      </c>
      <c r="B19" s="333" t="s">
        <v>43</v>
      </c>
      <c r="C19" s="334"/>
      <c r="D19" s="335"/>
      <c r="E19" s="336">
        <f ca="1">IF(E26="",".",E26)</f>
        <v>-1</v>
      </c>
      <c r="F19" s="337">
        <f t="shared" ref="F19:M19" ca="1" si="16">IF(F26="",".",F26+E19)</f>
        <v>-1</v>
      </c>
      <c r="G19" s="337">
        <f t="shared" ca="1" si="16"/>
        <v>0</v>
      </c>
      <c r="H19" s="337">
        <f t="shared" ca="1" si="16"/>
        <v>0</v>
      </c>
      <c r="I19" s="337">
        <f t="shared" ca="1" si="16"/>
        <v>-1</v>
      </c>
      <c r="J19" s="337">
        <f t="shared" ca="1" si="16"/>
        <v>-1</v>
      </c>
      <c r="K19" s="337">
        <f t="shared" ca="1" si="16"/>
        <v>-2</v>
      </c>
      <c r="L19" s="337">
        <f t="shared" ca="1" si="16"/>
        <v>-2</v>
      </c>
      <c r="M19" s="337">
        <f t="shared" ca="1" si="16"/>
        <v>-3</v>
      </c>
      <c r="N19" s="338">
        <f ca="1">IF(M19=".", "", IF(M19&lt;0, 0, IF(M19&gt;0, VLOOKUP($B$2,'Master Input'!$O$12:$R$23,'Master Input'!P$11,FALSE), VLOOKUP($B$2,'Master Input'!$O$12:$R$23,'Master Input'!P$11,FALSE)*0.5)))</f>
        <v>0</v>
      </c>
      <c r="O19" s="204"/>
      <c r="P19" s="339" t="s">
        <v>44</v>
      </c>
      <c r="Q19" s="340">
        <f ca="1">IF(Q26="",".",Q26+M19)</f>
        <v>-3</v>
      </c>
      <c r="R19" s="341">
        <f t="shared" ref="R19:Y19" ca="1" si="17">IF(R26="",".",R26+Q19)</f>
        <v>-4</v>
      </c>
      <c r="S19" s="341">
        <f t="shared" ca="1" si="17"/>
        <v>-4</v>
      </c>
      <c r="T19" s="341">
        <f t="shared" ca="1" si="17"/>
        <v>-3</v>
      </c>
      <c r="U19" s="341">
        <f t="shared" ca="1" si="17"/>
        <v>-3</v>
      </c>
      <c r="V19" s="341">
        <f t="shared" ca="1" si="17"/>
        <v>-4</v>
      </c>
      <c r="W19" s="341">
        <f t="shared" ca="1" si="17"/>
        <v>-3</v>
      </c>
      <c r="X19" s="341">
        <f t="shared" ca="1" si="17"/>
        <v>-4</v>
      </c>
      <c r="Y19" s="341">
        <f t="shared" ca="1" si="17"/>
        <v>-5</v>
      </c>
      <c r="Z19" s="342">
        <f ca="1">IF(Y19=".", "", IF(Y19&lt;0, 0, IF(Y19&gt;0, VLOOKUP($B$2,'Master Input'!$O$12:$R$23,'Master Input'!R$11,FALSE), VLOOKUP($B$2,'Master Input'!$O$12:$R$23,'Master Input'!R$11,FALSE)*0.5)))</f>
        <v>0</v>
      </c>
      <c r="AA19" s="343" t="s">
        <v>44</v>
      </c>
      <c r="AB19" s="344">
        <f ca="1">IF(Z19="","", SUM(N19,Z19,Z20))</f>
        <v>0</v>
      </c>
    </row>
    <row r="20" spans="1:28" ht="22.5" customHeight="1">
      <c r="A20" s="345"/>
      <c r="B20" s="346"/>
      <c r="C20" s="347"/>
      <c r="D20" s="348"/>
      <c r="E20" s="349"/>
      <c r="F20" s="348"/>
      <c r="G20" s="348"/>
      <c r="H20" s="348"/>
      <c r="I20" s="348"/>
      <c r="J20" s="348"/>
      <c r="K20" s="348"/>
      <c r="L20" s="348"/>
      <c r="M20" s="348"/>
      <c r="N20" s="349"/>
      <c r="O20" s="204"/>
      <c r="P20" s="350" t="s">
        <v>45</v>
      </c>
      <c r="Q20" s="351">
        <f ca="1">IF(Q26="",".",Q26)</f>
        <v>0</v>
      </c>
      <c r="R20" s="352">
        <f t="shared" ref="R20:Y20" ca="1" si="18">IF(R26="",".",R26+Q20)</f>
        <v>-1</v>
      </c>
      <c r="S20" s="352">
        <f t="shared" ca="1" si="18"/>
        <v>-1</v>
      </c>
      <c r="T20" s="352">
        <f t="shared" ca="1" si="18"/>
        <v>0</v>
      </c>
      <c r="U20" s="352">
        <f t="shared" ca="1" si="18"/>
        <v>0</v>
      </c>
      <c r="V20" s="352">
        <f t="shared" ca="1" si="18"/>
        <v>-1</v>
      </c>
      <c r="W20" s="352">
        <f t="shared" ca="1" si="18"/>
        <v>0</v>
      </c>
      <c r="X20" s="352">
        <f t="shared" ca="1" si="18"/>
        <v>-1</v>
      </c>
      <c r="Y20" s="352">
        <f t="shared" ca="1" si="18"/>
        <v>-2</v>
      </c>
      <c r="Z20" s="353">
        <f ca="1">IF(Y20=".", "", IF(Y20&lt;0, 0, IF(Y20&gt;0, VLOOKUP($B$2,'Master Input'!$O$12:$R$23,'Master Input'!Q$11,FALSE), VLOOKUP($B$2,'Master Input'!$O$12:$R$23,'Master Input'!Q$11,FALSE)*0.5)))</f>
        <v>0</v>
      </c>
      <c r="AA20" s="343" t="s">
        <v>45</v>
      </c>
      <c r="AB20" s="197" t="s">
        <v>42</v>
      </c>
    </row>
    <row r="21" spans="1:28" ht="22.5" customHeight="1">
      <c r="A21" s="354" t="str">
        <f>B8&amp;" Bottom"</f>
        <v>WEEZ Bottom</v>
      </c>
      <c r="B21" s="355" t="s">
        <v>46</v>
      </c>
      <c r="C21" s="356"/>
      <c r="D21" s="357"/>
      <c r="E21" s="336">
        <f ca="1">IF(E29="",".",E29)</f>
        <v>-1</v>
      </c>
      <c r="F21" s="337">
        <f t="shared" ref="F21:M21" ca="1" si="19">IF(F29="",".",F29+E21)</f>
        <v>-1</v>
      </c>
      <c r="G21" s="337">
        <f t="shared" ca="1" si="19"/>
        <v>-2</v>
      </c>
      <c r="H21" s="337">
        <f t="shared" ca="1" si="19"/>
        <v>-3</v>
      </c>
      <c r="I21" s="337">
        <f t="shared" ca="1" si="19"/>
        <v>-2</v>
      </c>
      <c r="J21" s="337">
        <f t="shared" ca="1" si="19"/>
        <v>-2</v>
      </c>
      <c r="K21" s="337">
        <f t="shared" ca="1" si="19"/>
        <v>-2</v>
      </c>
      <c r="L21" s="337">
        <f t="shared" ca="1" si="19"/>
        <v>-1</v>
      </c>
      <c r="M21" s="337">
        <f t="shared" ca="1" si="19"/>
        <v>-1</v>
      </c>
      <c r="N21" s="338">
        <f ca="1">IF(M21=".", "", IF(M21&lt;0, 0, IF(M21&gt;0, VLOOKUP($B$2,'Master Input'!$O$12:$R$23,'Master Input'!P$11,FALSE), VLOOKUP($B$2,'Master Input'!$O$12:$R$23,'Master Input'!P$11,FALSE)*0.5)))</f>
        <v>0</v>
      </c>
      <c r="O21" s="204"/>
      <c r="P21" s="339" t="s">
        <v>47</v>
      </c>
      <c r="Q21" s="340">
        <f ca="1">IF(Q29="",".",Q29+M21)</f>
        <v>-1</v>
      </c>
      <c r="R21" s="341">
        <f t="shared" ref="R21:Y21" ca="1" si="20">IF(R29="",".",R29+Q21)</f>
        <v>-1</v>
      </c>
      <c r="S21" s="341">
        <f t="shared" ca="1" si="20"/>
        <v>-2</v>
      </c>
      <c r="T21" s="341">
        <f t="shared" ca="1" si="20"/>
        <v>-1</v>
      </c>
      <c r="U21" s="341">
        <f t="shared" ca="1" si="20"/>
        <v>0</v>
      </c>
      <c r="V21" s="341">
        <f t="shared" ca="1" si="20"/>
        <v>1</v>
      </c>
      <c r="W21" s="341">
        <f t="shared" ca="1" si="20"/>
        <v>2</v>
      </c>
      <c r="X21" s="341">
        <f t="shared" ca="1" si="20"/>
        <v>1</v>
      </c>
      <c r="Y21" s="341">
        <f t="shared" ca="1" si="20"/>
        <v>0</v>
      </c>
      <c r="Z21" s="342">
        <f ca="1">IF(Y21=".", "", IF(Y21&lt;0, 0, IF(Y21&gt;0, VLOOKUP($B$2,'Master Input'!$O$12:$R$23,'Master Input'!R$11,FALSE), VLOOKUP($B$2,'Master Input'!$O$12:$R$23,'Master Input'!R$11,FALSE)*0.5)))</f>
        <v>0.5</v>
      </c>
      <c r="AA21" s="358" t="s">
        <v>48</v>
      </c>
      <c r="AB21" s="344">
        <f ca="1">IF(Z21="","", SUM(N21,Z21,Z22))</f>
        <v>1.5</v>
      </c>
    </row>
    <row r="22" spans="1:28" ht="22.5" customHeight="1">
      <c r="A22" s="359"/>
      <c r="B22" s="360"/>
      <c r="C22" s="361"/>
      <c r="D22" s="362"/>
      <c r="E22" s="362"/>
      <c r="F22" s="362"/>
      <c r="G22" s="362"/>
      <c r="H22" s="362"/>
      <c r="I22" s="362"/>
      <c r="J22" s="362"/>
      <c r="K22" s="362"/>
      <c r="L22" s="362"/>
      <c r="M22" s="362"/>
      <c r="N22" s="363"/>
      <c r="O22" s="72"/>
      <c r="P22" s="350" t="s">
        <v>49</v>
      </c>
      <c r="Q22" s="351">
        <f ca="1">IF(Q29="",".",Q29)</f>
        <v>0</v>
      </c>
      <c r="R22" s="352">
        <f t="shared" ref="R22:Y22" ca="1" si="21">IF(R29="",".",R29+Q22)</f>
        <v>0</v>
      </c>
      <c r="S22" s="352">
        <f t="shared" ca="1" si="21"/>
        <v>-1</v>
      </c>
      <c r="T22" s="352">
        <f t="shared" ca="1" si="21"/>
        <v>0</v>
      </c>
      <c r="U22" s="352">
        <f t="shared" ca="1" si="21"/>
        <v>1</v>
      </c>
      <c r="V22" s="352">
        <f t="shared" ca="1" si="21"/>
        <v>2</v>
      </c>
      <c r="W22" s="352">
        <f t="shared" ca="1" si="21"/>
        <v>3</v>
      </c>
      <c r="X22" s="352">
        <f t="shared" ca="1" si="21"/>
        <v>2</v>
      </c>
      <c r="Y22" s="352">
        <f t="shared" ca="1" si="21"/>
        <v>1</v>
      </c>
      <c r="Z22" s="353">
        <f ca="1">IF(Y22=".", "", IF(Y22&lt;0, 0, IF(Y22&gt;0, VLOOKUP($B$2,'Master Input'!$O$12:$R$23,'Master Input'!Q$11,FALSE), VLOOKUP($B$2,'Master Input'!$O$12:$R$23,'Master Input'!Q$11,FALSE)*0.5)))</f>
        <v>1</v>
      </c>
      <c r="AA22" s="358" t="s">
        <v>50</v>
      </c>
      <c r="AB22" s="193"/>
    </row>
    <row r="23" spans="1:28" ht="22.5" hidden="1" customHeight="1">
      <c r="A23" s="193"/>
      <c r="B23" s="193"/>
      <c r="C23" s="194"/>
      <c r="D23" s="193"/>
      <c r="E23" s="193"/>
      <c r="F23" s="193"/>
      <c r="G23" s="193"/>
      <c r="H23" s="193"/>
      <c r="I23" s="193"/>
      <c r="J23" s="193"/>
      <c r="K23" s="193"/>
      <c r="L23" s="193"/>
      <c r="M23" s="193"/>
      <c r="N23" s="193"/>
      <c r="O23" s="364"/>
      <c r="P23" s="365"/>
      <c r="Q23" s="365"/>
      <c r="R23" s="365"/>
      <c r="S23" s="365"/>
      <c r="T23" s="365"/>
      <c r="U23" s="365"/>
      <c r="V23" s="365"/>
      <c r="W23" s="365"/>
      <c r="X23" s="365"/>
      <c r="Y23" s="365"/>
      <c r="Z23" s="365"/>
      <c r="AB23" s="193"/>
    </row>
    <row r="24" spans="1:28" ht="22.5" hidden="1" customHeight="1">
      <c r="A24" s="193"/>
      <c r="B24" s="193"/>
      <c r="C24" s="194"/>
      <c r="D24" s="193"/>
      <c r="E24" s="193"/>
      <c r="F24" s="193"/>
      <c r="G24" s="193"/>
      <c r="H24" s="193"/>
      <c r="I24" s="193"/>
      <c r="J24" s="193"/>
      <c r="K24" s="193"/>
      <c r="L24" s="193"/>
      <c r="M24" s="193"/>
      <c r="N24" s="193"/>
      <c r="O24" s="364"/>
      <c r="P24" s="365"/>
      <c r="Q24" s="365"/>
      <c r="R24" s="365"/>
      <c r="S24" s="365"/>
      <c r="T24" s="365"/>
      <c r="U24" s="365"/>
      <c r="V24" s="365"/>
      <c r="W24" s="365"/>
      <c r="X24" s="365"/>
      <c r="Y24" s="365"/>
      <c r="Z24" s="366" t="s">
        <v>32</v>
      </c>
      <c r="AA24" s="367" t="s">
        <v>33</v>
      </c>
      <c r="AB24" s="223" t="s">
        <v>34</v>
      </c>
    </row>
    <row r="25" spans="1:28" ht="22.5" hidden="1" customHeight="1">
      <c r="A25" s="193"/>
      <c r="B25" s="193"/>
      <c r="C25" s="194"/>
      <c r="D25" s="193"/>
      <c r="E25" s="193"/>
      <c r="F25" s="193"/>
      <c r="G25" s="193"/>
      <c r="H25" s="193"/>
      <c r="I25" s="193"/>
      <c r="J25" s="193"/>
      <c r="K25" s="193"/>
      <c r="L25" s="193"/>
      <c r="M25" s="193"/>
      <c r="N25" s="193"/>
      <c r="O25" s="364"/>
      <c r="P25" s="365"/>
      <c r="Q25" s="365"/>
      <c r="R25" s="365"/>
      <c r="S25" s="365"/>
      <c r="T25" s="365"/>
      <c r="U25" s="365"/>
      <c r="V25" s="365"/>
      <c r="W25" s="365"/>
      <c r="X25" s="365"/>
      <c r="Y25" s="365"/>
      <c r="Z25" s="366" t="s">
        <v>36</v>
      </c>
      <c r="AA25" s="367" t="s">
        <v>37</v>
      </c>
      <c r="AB25" s="223" t="s">
        <v>38</v>
      </c>
    </row>
    <row r="26" spans="1:28" ht="22.5" hidden="1" customHeight="1">
      <c r="A26" s="368"/>
      <c r="B26" s="369" t="str">
        <f>B19</f>
        <v>Top - Front</v>
      </c>
      <c r="C26" s="370"/>
      <c r="D26" s="369"/>
      <c r="E26" s="369">
        <f t="shared" ref="E26:M26" ca="1" si="22">IF(AND(E8="", E11=""), "",IF(E8-E7&lt;E11-E10,1,IF(E8-E7&gt;E11-E10,-1,0)))</f>
        <v>-1</v>
      </c>
      <c r="F26" s="369">
        <f t="shared" ca="1" si="22"/>
        <v>0</v>
      </c>
      <c r="G26" s="369">
        <f t="shared" ca="1" si="22"/>
        <v>1</v>
      </c>
      <c r="H26" s="369">
        <f t="shared" ca="1" si="22"/>
        <v>0</v>
      </c>
      <c r="I26" s="369">
        <f t="shared" ca="1" si="22"/>
        <v>-1</v>
      </c>
      <c r="J26" s="369">
        <f t="shared" ca="1" si="22"/>
        <v>0</v>
      </c>
      <c r="K26" s="369">
        <f t="shared" ca="1" si="22"/>
        <v>-1</v>
      </c>
      <c r="L26" s="369">
        <f t="shared" ca="1" si="22"/>
        <v>0</v>
      </c>
      <c r="M26" s="369">
        <f t="shared" ca="1" si="22"/>
        <v>-1</v>
      </c>
      <c r="N26" s="369">
        <f ca="1">SUM(N27:N28)</f>
        <v>9</v>
      </c>
      <c r="O26" s="369"/>
      <c r="P26" s="371"/>
      <c r="Q26" s="369">
        <f t="shared" ref="Q26:Y26" ca="1" si="23">IF(AND(Q8="", Q11=""), "",IF(Q8-Q7&lt;Q11-Q10,1,IF(Q8-Q7&gt;Q11-Q10,-1,0)))</f>
        <v>0</v>
      </c>
      <c r="R26" s="369">
        <f t="shared" ca="1" si="23"/>
        <v>-1</v>
      </c>
      <c r="S26" s="369">
        <f t="shared" ca="1" si="23"/>
        <v>0</v>
      </c>
      <c r="T26" s="369">
        <f t="shared" ca="1" si="23"/>
        <v>1</v>
      </c>
      <c r="U26" s="369">
        <f t="shared" ca="1" si="23"/>
        <v>0</v>
      </c>
      <c r="V26" s="369">
        <f t="shared" ca="1" si="23"/>
        <v>-1</v>
      </c>
      <c r="W26" s="369">
        <f t="shared" ca="1" si="23"/>
        <v>1</v>
      </c>
      <c r="X26" s="369">
        <f t="shared" ca="1" si="23"/>
        <v>-1</v>
      </c>
      <c r="Y26" s="369">
        <f t="shared" ca="1" si="23"/>
        <v>-1</v>
      </c>
      <c r="Z26" s="369">
        <f ca="1">SUM(Z27:Z28)</f>
        <v>9</v>
      </c>
      <c r="AA26" s="372">
        <f ca="1">SUM(Z26,N26)</f>
        <v>18</v>
      </c>
      <c r="AB26" s="368"/>
    </row>
    <row r="27" spans="1:28" ht="22.5" hidden="1" customHeight="1">
      <c r="A27" s="193" t="str">
        <f>A8</f>
        <v>Joe O</v>
      </c>
      <c r="B27" s="193"/>
      <c r="C27" s="194"/>
      <c r="D27" s="193"/>
      <c r="E27" s="193">
        <f t="shared" ref="E27:M27" ca="1" si="24">(E26+1)/2</f>
        <v>0</v>
      </c>
      <c r="F27" s="193">
        <f t="shared" ca="1" si="24"/>
        <v>0.5</v>
      </c>
      <c r="G27" s="193">
        <f t="shared" ca="1" si="24"/>
        <v>1</v>
      </c>
      <c r="H27" s="193">
        <f t="shared" ca="1" si="24"/>
        <v>0.5</v>
      </c>
      <c r="I27" s="193">
        <f t="shared" ca="1" si="24"/>
        <v>0</v>
      </c>
      <c r="J27" s="193">
        <f t="shared" ca="1" si="24"/>
        <v>0.5</v>
      </c>
      <c r="K27" s="193">
        <f t="shared" ca="1" si="24"/>
        <v>0</v>
      </c>
      <c r="L27" s="193">
        <f t="shared" ca="1" si="24"/>
        <v>0.5</v>
      </c>
      <c r="M27" s="193">
        <f t="shared" ca="1" si="24"/>
        <v>0</v>
      </c>
      <c r="N27" s="193">
        <f t="shared" ref="N27:N28" ca="1" si="25">SUM(E27:M27)</f>
        <v>3</v>
      </c>
      <c r="O27" s="364"/>
      <c r="P27" s="365"/>
      <c r="Q27" s="193">
        <f t="shared" ref="Q27:Y27" ca="1" si="26">(Q26+1)/2</f>
        <v>0.5</v>
      </c>
      <c r="R27" s="193">
        <f t="shared" ca="1" si="26"/>
        <v>0</v>
      </c>
      <c r="S27" s="193">
        <f t="shared" ca="1" si="26"/>
        <v>0.5</v>
      </c>
      <c r="T27" s="193">
        <f t="shared" ca="1" si="26"/>
        <v>1</v>
      </c>
      <c r="U27" s="193">
        <f t="shared" ca="1" si="26"/>
        <v>0.5</v>
      </c>
      <c r="V27" s="193">
        <f t="shared" ca="1" si="26"/>
        <v>0</v>
      </c>
      <c r="W27" s="193">
        <f t="shared" ca="1" si="26"/>
        <v>1</v>
      </c>
      <c r="X27" s="193">
        <f t="shared" ca="1" si="26"/>
        <v>0</v>
      </c>
      <c r="Y27" s="193">
        <f t="shared" ca="1" si="26"/>
        <v>0</v>
      </c>
      <c r="Z27" s="193">
        <f ca="1">IF(Z19="","",SUM(Q27:Y27))</f>
        <v>3.5</v>
      </c>
      <c r="AA27" s="366">
        <f ca="1">IF(Z19="","",SUM(Z27,N27))</f>
        <v>6.5</v>
      </c>
      <c r="AB27" s="373">
        <f ca="1">IF(Z19="","",AB19)</f>
        <v>0</v>
      </c>
    </row>
    <row r="28" spans="1:28" ht="22.5" hidden="1" customHeight="1">
      <c r="A28" s="193" t="str">
        <f>A11</f>
        <v>R-Mac</v>
      </c>
      <c r="B28" s="193"/>
      <c r="C28" s="194"/>
      <c r="D28" s="193"/>
      <c r="E28" s="193">
        <f t="shared" ref="E28:M28" ca="1" si="27">1-E27</f>
        <v>1</v>
      </c>
      <c r="F28" s="193">
        <f t="shared" ca="1" si="27"/>
        <v>0.5</v>
      </c>
      <c r="G28" s="193">
        <f t="shared" ca="1" si="27"/>
        <v>0</v>
      </c>
      <c r="H28" s="193">
        <f t="shared" ca="1" si="27"/>
        <v>0.5</v>
      </c>
      <c r="I28" s="193">
        <f t="shared" ca="1" si="27"/>
        <v>1</v>
      </c>
      <c r="J28" s="193">
        <f t="shared" ca="1" si="27"/>
        <v>0.5</v>
      </c>
      <c r="K28" s="193">
        <f t="shared" ca="1" si="27"/>
        <v>1</v>
      </c>
      <c r="L28" s="193">
        <f t="shared" ca="1" si="27"/>
        <v>0.5</v>
      </c>
      <c r="M28" s="193">
        <f t="shared" ca="1" si="27"/>
        <v>1</v>
      </c>
      <c r="N28" s="193">
        <f t="shared" ca="1" si="25"/>
        <v>6</v>
      </c>
      <c r="O28" s="364"/>
      <c r="P28" s="365"/>
      <c r="Q28" s="193">
        <f t="shared" ref="Q28:Y28" ca="1" si="28">1-Q27</f>
        <v>0.5</v>
      </c>
      <c r="R28" s="193">
        <f t="shared" ca="1" si="28"/>
        <v>1</v>
      </c>
      <c r="S28" s="193">
        <f t="shared" ca="1" si="28"/>
        <v>0.5</v>
      </c>
      <c r="T28" s="193">
        <f t="shared" ca="1" si="28"/>
        <v>0</v>
      </c>
      <c r="U28" s="193">
        <f t="shared" ca="1" si="28"/>
        <v>0.5</v>
      </c>
      <c r="V28" s="193">
        <f t="shared" ca="1" si="28"/>
        <v>1</v>
      </c>
      <c r="W28" s="193">
        <f t="shared" ca="1" si="28"/>
        <v>0</v>
      </c>
      <c r="X28" s="193">
        <f t="shared" ca="1" si="28"/>
        <v>1</v>
      </c>
      <c r="Y28" s="193">
        <f t="shared" ca="1" si="28"/>
        <v>1</v>
      </c>
      <c r="Z28" s="193">
        <f ca="1">IF(Z19="","",SUM(Q28:Y28))</f>
        <v>5.5</v>
      </c>
      <c r="AA28" s="366">
        <f ca="1">IF(Z19="","",SUM(Z28,N28))</f>
        <v>11.5</v>
      </c>
      <c r="AB28" s="373">
        <f ca="1">IF(Z19="","",3-AB19)</f>
        <v>3</v>
      </c>
    </row>
    <row r="29" spans="1:28" ht="22.5" hidden="1" customHeight="1">
      <c r="A29" s="368"/>
      <c r="B29" s="369" t="str">
        <f>B21</f>
        <v>Bottom - Front</v>
      </c>
      <c r="C29" s="370"/>
      <c r="D29" s="369"/>
      <c r="E29" s="369">
        <f t="shared" ref="E29:M29" ca="1" si="29">IF(AND(E14="", E17=""), "",IF(E14-E13&lt;E17-E16,1,IF(E14-E13&gt;E17-E16,-1,0)))</f>
        <v>-1</v>
      </c>
      <c r="F29" s="369">
        <f t="shared" ca="1" si="29"/>
        <v>0</v>
      </c>
      <c r="G29" s="369">
        <f t="shared" ca="1" si="29"/>
        <v>-1</v>
      </c>
      <c r="H29" s="369">
        <f t="shared" ca="1" si="29"/>
        <v>-1</v>
      </c>
      <c r="I29" s="369">
        <f t="shared" ca="1" si="29"/>
        <v>1</v>
      </c>
      <c r="J29" s="369">
        <f t="shared" ca="1" si="29"/>
        <v>0</v>
      </c>
      <c r="K29" s="369">
        <f t="shared" ca="1" si="29"/>
        <v>0</v>
      </c>
      <c r="L29" s="369">
        <f t="shared" ca="1" si="29"/>
        <v>1</v>
      </c>
      <c r="M29" s="369">
        <f t="shared" ca="1" si="29"/>
        <v>0</v>
      </c>
      <c r="N29" s="369">
        <f ca="1">SUM(N30:N31)</f>
        <v>9</v>
      </c>
      <c r="O29" s="369"/>
      <c r="P29" s="371"/>
      <c r="Q29" s="369">
        <f t="shared" ref="Q29:Y29" ca="1" si="30">IF(AND(Q14="", Q17=""), "",IF(Q14-Q13&lt;Q17-Q16,1,IF(Q14-Q13&gt;Q17-Q16,-1,0)))</f>
        <v>0</v>
      </c>
      <c r="R29" s="369">
        <f t="shared" ca="1" si="30"/>
        <v>0</v>
      </c>
      <c r="S29" s="369">
        <f t="shared" ca="1" si="30"/>
        <v>-1</v>
      </c>
      <c r="T29" s="369">
        <f t="shared" ca="1" si="30"/>
        <v>1</v>
      </c>
      <c r="U29" s="369">
        <f t="shared" ca="1" si="30"/>
        <v>1</v>
      </c>
      <c r="V29" s="369">
        <f t="shared" ca="1" si="30"/>
        <v>1</v>
      </c>
      <c r="W29" s="369">
        <f t="shared" ca="1" si="30"/>
        <v>1</v>
      </c>
      <c r="X29" s="369">
        <f t="shared" ca="1" si="30"/>
        <v>-1</v>
      </c>
      <c r="Y29" s="369">
        <f t="shared" ca="1" si="30"/>
        <v>-1</v>
      </c>
      <c r="Z29" s="369">
        <f ca="1">SUM(Z30:Z31)</f>
        <v>9</v>
      </c>
      <c r="AA29" s="372">
        <f ca="1">SUM(Z29,N29)</f>
        <v>18</v>
      </c>
      <c r="AB29" s="369"/>
    </row>
    <row r="30" spans="1:28" ht="22.5" hidden="1" customHeight="1">
      <c r="A30" s="193" t="str">
        <f>A14</f>
        <v>Hile</v>
      </c>
      <c r="B30" s="193"/>
      <c r="C30" s="194"/>
      <c r="D30" s="193"/>
      <c r="E30" s="193">
        <f t="shared" ref="E30:M30" ca="1" si="31">(E29+1)/2</f>
        <v>0</v>
      </c>
      <c r="F30" s="193">
        <f t="shared" ca="1" si="31"/>
        <v>0.5</v>
      </c>
      <c r="G30" s="193">
        <f t="shared" ca="1" si="31"/>
        <v>0</v>
      </c>
      <c r="H30" s="193">
        <f t="shared" ca="1" si="31"/>
        <v>0</v>
      </c>
      <c r="I30" s="193">
        <f t="shared" ca="1" si="31"/>
        <v>1</v>
      </c>
      <c r="J30" s="193">
        <f t="shared" ca="1" si="31"/>
        <v>0.5</v>
      </c>
      <c r="K30" s="193">
        <f t="shared" ca="1" si="31"/>
        <v>0.5</v>
      </c>
      <c r="L30" s="193">
        <f t="shared" ca="1" si="31"/>
        <v>1</v>
      </c>
      <c r="M30" s="193">
        <f t="shared" ca="1" si="31"/>
        <v>0.5</v>
      </c>
      <c r="N30" s="193">
        <f t="shared" ref="N30:N31" ca="1" si="32">SUM(E30:M30)</f>
        <v>4</v>
      </c>
      <c r="O30" s="364"/>
      <c r="P30" s="365"/>
      <c r="Q30" s="193">
        <f t="shared" ref="Q30:Y30" ca="1" si="33">(Q29+1)/2</f>
        <v>0.5</v>
      </c>
      <c r="R30" s="193">
        <f t="shared" ca="1" si="33"/>
        <v>0.5</v>
      </c>
      <c r="S30" s="193">
        <f t="shared" ca="1" si="33"/>
        <v>0</v>
      </c>
      <c r="T30" s="193">
        <f t="shared" ca="1" si="33"/>
        <v>1</v>
      </c>
      <c r="U30" s="193">
        <f t="shared" ca="1" si="33"/>
        <v>1</v>
      </c>
      <c r="V30" s="193">
        <f t="shared" ca="1" si="33"/>
        <v>1</v>
      </c>
      <c r="W30" s="193">
        <f t="shared" ca="1" si="33"/>
        <v>1</v>
      </c>
      <c r="X30" s="193">
        <f t="shared" ca="1" si="33"/>
        <v>0</v>
      </c>
      <c r="Y30" s="193">
        <f t="shared" ca="1" si="33"/>
        <v>0</v>
      </c>
      <c r="Z30" s="193">
        <f ca="1">IF(Z19="","",SUM(Q30:Y30))</f>
        <v>5</v>
      </c>
      <c r="AA30" s="366">
        <f ca="1">IF(Z19="","",SUM(Z30,N30))</f>
        <v>9</v>
      </c>
      <c r="AB30" s="373">
        <f ca="1">IF(Z19="","",AB21)</f>
        <v>1.5</v>
      </c>
    </row>
    <row r="31" spans="1:28" ht="22.5" hidden="1" customHeight="1">
      <c r="A31" s="193" t="str">
        <f>A17</f>
        <v>Saugy</v>
      </c>
      <c r="B31" s="193"/>
      <c r="C31" s="194"/>
      <c r="D31" s="193"/>
      <c r="E31" s="193">
        <f t="shared" ref="E31:M31" ca="1" si="34">1-E30</f>
        <v>1</v>
      </c>
      <c r="F31" s="193">
        <f t="shared" ca="1" si="34"/>
        <v>0.5</v>
      </c>
      <c r="G31" s="193">
        <f t="shared" ca="1" si="34"/>
        <v>1</v>
      </c>
      <c r="H31" s="193">
        <f t="shared" ca="1" si="34"/>
        <v>1</v>
      </c>
      <c r="I31" s="193">
        <f t="shared" ca="1" si="34"/>
        <v>0</v>
      </c>
      <c r="J31" s="193">
        <f t="shared" ca="1" si="34"/>
        <v>0.5</v>
      </c>
      <c r="K31" s="193">
        <f t="shared" ca="1" si="34"/>
        <v>0.5</v>
      </c>
      <c r="L31" s="193">
        <f t="shared" ca="1" si="34"/>
        <v>0</v>
      </c>
      <c r="M31" s="193">
        <f t="shared" ca="1" si="34"/>
        <v>0.5</v>
      </c>
      <c r="N31" s="193">
        <f t="shared" ca="1" si="32"/>
        <v>5</v>
      </c>
      <c r="O31" s="364"/>
      <c r="P31" s="365"/>
      <c r="Q31" s="193">
        <f t="shared" ref="Q31:Y31" ca="1" si="35">1-Q30</f>
        <v>0.5</v>
      </c>
      <c r="R31" s="193">
        <f t="shared" ca="1" si="35"/>
        <v>0.5</v>
      </c>
      <c r="S31" s="193">
        <f t="shared" ca="1" si="35"/>
        <v>1</v>
      </c>
      <c r="T31" s="193">
        <f t="shared" ca="1" si="35"/>
        <v>0</v>
      </c>
      <c r="U31" s="193">
        <f t="shared" ca="1" si="35"/>
        <v>0</v>
      </c>
      <c r="V31" s="193">
        <f t="shared" ca="1" si="35"/>
        <v>0</v>
      </c>
      <c r="W31" s="193">
        <f t="shared" ca="1" si="35"/>
        <v>0</v>
      </c>
      <c r="X31" s="193">
        <f t="shared" ca="1" si="35"/>
        <v>1</v>
      </c>
      <c r="Y31" s="193">
        <f t="shared" ca="1" si="35"/>
        <v>1</v>
      </c>
      <c r="Z31" s="193">
        <f ca="1">IF(Z19="","",SUM(Q31:Y31))</f>
        <v>4</v>
      </c>
      <c r="AA31" s="366">
        <f ca="1">IF(Z19="","",SUM(Z31,N31))</f>
        <v>9</v>
      </c>
      <c r="AB31" s="373">
        <f ca="1">IF(Z19="","",3-AB21)</f>
        <v>1.5</v>
      </c>
    </row>
    <row r="32" spans="1:28" ht="22.5" hidden="1" customHeight="1">
      <c r="A32" s="193"/>
      <c r="B32" s="193"/>
      <c r="C32" s="194"/>
      <c r="D32" s="193"/>
      <c r="E32" s="193">
        <f t="shared" ref="E32:N32" ca="1" si="36">SUM(E27:E28,E30:E31)</f>
        <v>2</v>
      </c>
      <c r="F32" s="193">
        <f t="shared" ca="1" si="36"/>
        <v>2</v>
      </c>
      <c r="G32" s="193">
        <f t="shared" ca="1" si="36"/>
        <v>2</v>
      </c>
      <c r="H32" s="193">
        <f t="shared" ca="1" si="36"/>
        <v>2</v>
      </c>
      <c r="I32" s="193">
        <f t="shared" ca="1" si="36"/>
        <v>2</v>
      </c>
      <c r="J32" s="193">
        <f t="shared" ca="1" si="36"/>
        <v>2</v>
      </c>
      <c r="K32" s="193">
        <f t="shared" ca="1" si="36"/>
        <v>2</v>
      </c>
      <c r="L32" s="193">
        <f t="shared" ca="1" si="36"/>
        <v>2</v>
      </c>
      <c r="M32" s="193">
        <f t="shared" ca="1" si="36"/>
        <v>2</v>
      </c>
      <c r="N32" s="193">
        <f t="shared" ca="1" si="36"/>
        <v>18</v>
      </c>
      <c r="O32" s="364"/>
      <c r="P32" s="365"/>
      <c r="Q32" s="193">
        <f t="shared" ref="Q32:AA32" ca="1" si="37">SUM(Q27:Q28,Q30:Q31)</f>
        <v>2</v>
      </c>
      <c r="R32" s="193">
        <f t="shared" ca="1" si="37"/>
        <v>2</v>
      </c>
      <c r="S32" s="193">
        <f t="shared" ca="1" si="37"/>
        <v>2</v>
      </c>
      <c r="T32" s="193">
        <f t="shared" ca="1" si="37"/>
        <v>2</v>
      </c>
      <c r="U32" s="193">
        <f t="shared" ca="1" si="37"/>
        <v>2</v>
      </c>
      <c r="V32" s="193">
        <f t="shared" ca="1" si="37"/>
        <v>2</v>
      </c>
      <c r="W32" s="193">
        <f t="shared" ca="1" si="37"/>
        <v>2</v>
      </c>
      <c r="X32" s="193">
        <f t="shared" ca="1" si="37"/>
        <v>2</v>
      </c>
      <c r="Y32" s="193">
        <f t="shared" ca="1" si="37"/>
        <v>2</v>
      </c>
      <c r="Z32" s="193">
        <f t="shared" ca="1" si="37"/>
        <v>18</v>
      </c>
      <c r="AA32" s="193">
        <f t="shared" ca="1" si="37"/>
        <v>36</v>
      </c>
      <c r="AB32" s="373"/>
    </row>
  </sheetData>
  <mergeCells count="1">
    <mergeCell ref="B2:B4"/>
  </mergeCells>
  <conditionalFormatting sqref="E8:M8 Q8:Y8 E11:M11 Q11:Y11">
    <cfRule type="expression" dxfId="73" priority="6">
      <formula>E$26=0</formula>
    </cfRule>
  </conditionalFormatting>
  <conditionalFormatting sqref="E8:M8 Q8:Y8">
    <cfRule type="expression" dxfId="72" priority="4">
      <formula>E$26=1</formula>
    </cfRule>
  </conditionalFormatting>
  <conditionalFormatting sqref="E11:M11 Q11:Y11">
    <cfRule type="expression" dxfId="71" priority="2">
      <formula>E$26=-1</formula>
    </cfRule>
  </conditionalFormatting>
  <conditionalFormatting sqref="E14:M14 Q14:Y14 E17:M17 Q17:Y17">
    <cfRule type="expression" dxfId="70" priority="7">
      <formula>E$29=0</formula>
    </cfRule>
  </conditionalFormatting>
  <conditionalFormatting sqref="E14:M14 Q14:Y14">
    <cfRule type="expression" dxfId="69" priority="5">
      <formula>E$29=1</formula>
    </cfRule>
  </conditionalFormatting>
  <conditionalFormatting sqref="E17:M17 Q17:Y17">
    <cfRule type="expression" dxfId="68" priority="3">
      <formula>E$29=-1</formula>
    </cfRule>
  </conditionalFormatting>
  <conditionalFormatting sqref="E19:M19 Q19:Y22 E21:M21">
    <cfRule type="cellIs" dxfId="67" priority="1" operator="equal">
      <formula>"."</formula>
    </cfRule>
  </conditionalFormatting>
  <printOptions horizontalCentered="1" gridLines="1"/>
  <pageMargins left="0.6" right="0.25" top="0.5" bottom="0.25" header="0" footer="0"/>
  <pageSetup fitToHeight="0" pageOrder="overThenDown" orientation="landscape" cellComments="atEnd"/>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6B26B"/>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374" t="s">
        <v>15</v>
      </c>
      <c r="B1" s="375">
        <f>'Master Input'!I3</f>
        <v>8.9583333333333334E-2</v>
      </c>
      <c r="C1" s="376" t="str">
        <f>'Master Input'!$I$2</f>
        <v>Round 3</v>
      </c>
      <c r="D1" s="377"/>
      <c r="E1" s="376" t="str">
        <f>'Master Input'!$I$6</f>
        <v>The Wolverine - Blue</v>
      </c>
      <c r="F1" s="378"/>
      <c r="G1" s="378"/>
      <c r="H1" s="378"/>
      <c r="I1" s="378"/>
      <c r="J1" s="378"/>
      <c r="K1" s="378"/>
      <c r="L1" s="378"/>
      <c r="M1" s="378"/>
      <c r="N1" s="378"/>
      <c r="O1" s="72"/>
      <c r="P1" s="376" t="str">
        <f>'Master Input'!$I$2&amp;" - "&amp;A1</f>
        <v>Round 3 - Group 1</v>
      </c>
      <c r="Q1" s="377"/>
      <c r="R1" s="378"/>
      <c r="S1" s="378"/>
      <c r="T1" s="378"/>
      <c r="U1" s="376" t="str">
        <f>'Master Input'!$I$6</f>
        <v>The Wolverine - Blue</v>
      </c>
      <c r="V1" s="378"/>
      <c r="W1" s="378"/>
      <c r="X1" s="378"/>
      <c r="Y1" s="378"/>
      <c r="Z1" s="378"/>
      <c r="AA1" s="379"/>
      <c r="AB1" s="380"/>
    </row>
    <row r="2" spans="1:28" ht="14.25" customHeight="1">
      <c r="A2" s="75" t="s">
        <v>16</v>
      </c>
      <c r="B2" s="1165" t="str">
        <f>'Match Selection'!B14</f>
        <v>2-Man Scramble</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237" t="s">
        <v>24</v>
      </c>
      <c r="C5" s="381" t="s">
        <v>51</v>
      </c>
      <c r="D5" s="101"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09" t="s">
        <v>27</v>
      </c>
      <c r="AB5" s="109" t="s">
        <v>52</v>
      </c>
    </row>
    <row r="6" spans="1:28" ht="7.5" customHeight="1">
      <c r="A6" s="111"/>
      <c r="B6" s="111"/>
      <c r="C6" s="280"/>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382"/>
      <c r="O6" s="118"/>
      <c r="P6" s="240"/>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
      </c>
      <c r="Z6" s="383"/>
      <c r="AA6" s="384"/>
      <c r="AB6" s="384"/>
    </row>
    <row r="7" spans="1:28" ht="22.5" hidden="1" customHeight="1">
      <c r="A7" s="123"/>
      <c r="B7" s="124"/>
      <c r="C7" s="38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386"/>
      <c r="O7" s="131"/>
      <c r="P7" s="123"/>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0</v>
      </c>
      <c r="Z7" s="387"/>
      <c r="AA7" s="388"/>
      <c r="AB7" s="389"/>
    </row>
    <row r="8" spans="1:28" ht="22.5" customHeight="1">
      <c r="A8" s="136" t="str">
        <f>'Match Selection'!D14</f>
        <v>Elger</v>
      </c>
      <c r="B8" s="137" t="str">
        <f>VLOOKUP(A8, 'Master Input'!$A$11:$B$27,2, FALSE)</f>
        <v>WEEZ</v>
      </c>
      <c r="C8" s="390">
        <f ca="1">ROUND(VLOOKUP(A8,'Master Input'!$A$11:$L$27,'Master Input'!$J$28, FALSE) * 0.35
+VLOOKUP(A11,'Master Input'!$A$11:$L$27,'Master Input'!$J$28, FALSE) * 0.15,1)</f>
        <v>3.2</v>
      </c>
      <c r="D8" s="139">
        <v>0</v>
      </c>
      <c r="E8" s="140">
        <v>4</v>
      </c>
      <c r="F8" s="141">
        <v>4</v>
      </c>
      <c r="G8" s="142">
        <v>5</v>
      </c>
      <c r="H8" s="141">
        <v>3</v>
      </c>
      <c r="I8" s="142">
        <v>3</v>
      </c>
      <c r="J8" s="141">
        <v>4</v>
      </c>
      <c r="K8" s="142">
        <v>4</v>
      </c>
      <c r="L8" s="141">
        <v>5</v>
      </c>
      <c r="M8" s="142">
        <v>3</v>
      </c>
      <c r="N8" s="391">
        <f>IF(M8="","", SUM(E8:M8))</f>
        <v>35</v>
      </c>
      <c r="O8" s="131"/>
      <c r="P8" s="136" t="str">
        <f>A8</f>
        <v>Elger</v>
      </c>
      <c r="Q8" s="140">
        <v>4</v>
      </c>
      <c r="R8" s="141">
        <v>4</v>
      </c>
      <c r="S8" s="142">
        <v>3</v>
      </c>
      <c r="T8" s="141">
        <v>4</v>
      </c>
      <c r="U8" s="142">
        <v>4</v>
      </c>
      <c r="V8" s="141">
        <v>5</v>
      </c>
      <c r="W8" s="142">
        <v>4</v>
      </c>
      <c r="X8" s="141">
        <v>4</v>
      </c>
      <c r="Y8" s="142">
        <v>4</v>
      </c>
      <c r="Z8" s="392">
        <f>IF(Y8="","", SUM(Q8:Y8))</f>
        <v>36</v>
      </c>
      <c r="AA8" s="393">
        <f>IF(Z8="", "", SUM(N8,Z8))</f>
        <v>71</v>
      </c>
      <c r="AB8" s="394">
        <f ca="1">IF(Y8="", "", AA8-C8)</f>
        <v>67.8</v>
      </c>
    </row>
    <row r="9" spans="1:28" ht="7.5" customHeight="1">
      <c r="A9" s="147"/>
      <c r="B9" s="259"/>
      <c r="C9" s="315"/>
      <c r="D9" s="395"/>
      <c r="E9" s="396" t="str">
        <f t="shared" ref="E9:M9" ca="1" si="4">IF(E10=1,"O", IF(E10=2,"O   O",""))</f>
        <v/>
      </c>
      <c r="F9" s="397" t="str">
        <f t="shared" ca="1" si="4"/>
        <v/>
      </c>
      <c r="G9" s="398" t="str">
        <f t="shared" ca="1" si="4"/>
        <v/>
      </c>
      <c r="H9" s="397" t="str">
        <f t="shared" ca="1" si="4"/>
        <v/>
      </c>
      <c r="I9" s="398" t="str">
        <f t="shared" ca="1" si="4"/>
        <v/>
      </c>
      <c r="J9" s="397" t="str">
        <f t="shared" ca="1" si="4"/>
        <v/>
      </c>
      <c r="K9" s="398" t="str">
        <f t="shared" ca="1" si="4"/>
        <v/>
      </c>
      <c r="L9" s="397" t="str">
        <f t="shared" ca="1" si="4"/>
        <v/>
      </c>
      <c r="M9" s="398" t="str">
        <f t="shared" ca="1" si="4"/>
        <v/>
      </c>
      <c r="N9" s="399"/>
      <c r="O9" s="118"/>
      <c r="P9" s="245"/>
      <c r="Q9" s="396" t="str">
        <f t="shared" ref="Q9:Y9" ca="1" si="5">IF(Q10=1,"O", IF(Q10=2,"O   O",""))</f>
        <v/>
      </c>
      <c r="R9" s="397" t="str">
        <f t="shared" ca="1" si="5"/>
        <v/>
      </c>
      <c r="S9" s="398" t="str">
        <f t="shared" ca="1" si="5"/>
        <v/>
      </c>
      <c r="T9" s="397" t="str">
        <f t="shared" ca="1" si="5"/>
        <v/>
      </c>
      <c r="U9" s="398" t="str">
        <f t="shared" ca="1" si="5"/>
        <v/>
      </c>
      <c r="V9" s="397" t="str">
        <f t="shared" ca="1" si="5"/>
        <v/>
      </c>
      <c r="W9" s="398" t="str">
        <f t="shared" ca="1" si="5"/>
        <v/>
      </c>
      <c r="X9" s="397" t="str">
        <f t="shared" ca="1" si="5"/>
        <v/>
      </c>
      <c r="Y9" s="398" t="str">
        <f t="shared" ca="1" si="5"/>
        <v/>
      </c>
      <c r="Z9" s="400"/>
      <c r="AA9" s="401"/>
      <c r="AB9" s="402"/>
    </row>
    <row r="10" spans="1:28" ht="22.5" hidden="1" customHeight="1">
      <c r="A10" s="260"/>
      <c r="B10" s="261"/>
      <c r="C10" s="286"/>
      <c r="D10" s="403"/>
      <c r="E10" s="404">
        <f t="shared" ref="E10:M10" ca="1" si="6">IF($D11&gt;0,FLOOR($D11/18,1),0)+IF(AND(MOD($D11,18)&gt;=E$3,$D11&gt;0),1,0)-IF(E$3-18&gt;$D11,1,0)</f>
        <v>0</v>
      </c>
      <c r="F10" s="405">
        <f t="shared" ca="1" si="6"/>
        <v>0</v>
      </c>
      <c r="G10" s="406">
        <f t="shared" ca="1" si="6"/>
        <v>0</v>
      </c>
      <c r="H10" s="405">
        <f t="shared" ca="1" si="6"/>
        <v>0</v>
      </c>
      <c r="I10" s="406">
        <f t="shared" ca="1" si="6"/>
        <v>0</v>
      </c>
      <c r="J10" s="405">
        <f t="shared" ca="1" si="6"/>
        <v>0</v>
      </c>
      <c r="K10" s="406">
        <f t="shared" ca="1" si="6"/>
        <v>0</v>
      </c>
      <c r="L10" s="405">
        <f t="shared" ca="1" si="6"/>
        <v>0</v>
      </c>
      <c r="M10" s="406">
        <f t="shared" ca="1" si="6"/>
        <v>0</v>
      </c>
      <c r="N10" s="407"/>
      <c r="O10" s="131"/>
      <c r="P10" s="123"/>
      <c r="Q10" s="404">
        <f t="shared" ref="Q10:Y10" ca="1" si="7">IF($D11&gt;0,FLOOR($D11/18,1),0)+IF(AND(MOD($D11,18)&gt;=Q$3,$D11&gt;0),1,0)-IF(Q$3-18&gt;$D11,1,0)</f>
        <v>0</v>
      </c>
      <c r="R10" s="405">
        <f t="shared" ca="1" si="7"/>
        <v>0</v>
      </c>
      <c r="S10" s="406">
        <f t="shared" ca="1" si="7"/>
        <v>0</v>
      </c>
      <c r="T10" s="405">
        <f t="shared" ca="1" si="7"/>
        <v>0</v>
      </c>
      <c r="U10" s="406">
        <f t="shared" ca="1" si="7"/>
        <v>0</v>
      </c>
      <c r="V10" s="405">
        <f t="shared" ca="1" si="7"/>
        <v>0</v>
      </c>
      <c r="W10" s="406">
        <f t="shared" ca="1" si="7"/>
        <v>0</v>
      </c>
      <c r="X10" s="405">
        <f t="shared" ca="1" si="7"/>
        <v>0</v>
      </c>
      <c r="Y10" s="406">
        <f t="shared" ca="1" si="7"/>
        <v>0</v>
      </c>
      <c r="Z10" s="408"/>
      <c r="AA10" s="409"/>
      <c r="AB10" s="410"/>
    </row>
    <row r="11" spans="1:28" ht="22.5" customHeight="1">
      <c r="A11" s="157" t="str">
        <f>'Match Selection'!D15</f>
        <v>Andy</v>
      </c>
      <c r="B11" s="262" t="str">
        <f>VLOOKUP(A11, 'Master Input'!$A$11:$B$27,2, FALSE)</f>
        <v>WEEZ</v>
      </c>
      <c r="C11" s="411">
        <f ca="1">C8</f>
        <v>3.2</v>
      </c>
      <c r="D11" s="412">
        <f>IF(D8="", 0,D8)</f>
        <v>0</v>
      </c>
      <c r="E11" s="413">
        <f t="shared" ref="E11:M11" si="8">IF(E8="","-",E8)</f>
        <v>4</v>
      </c>
      <c r="F11" s="414">
        <f t="shared" si="8"/>
        <v>4</v>
      </c>
      <c r="G11" s="415">
        <f t="shared" si="8"/>
        <v>5</v>
      </c>
      <c r="H11" s="414">
        <f t="shared" si="8"/>
        <v>3</v>
      </c>
      <c r="I11" s="415">
        <f t="shared" si="8"/>
        <v>3</v>
      </c>
      <c r="J11" s="414">
        <f t="shared" si="8"/>
        <v>4</v>
      </c>
      <c r="K11" s="415">
        <f t="shared" si="8"/>
        <v>4</v>
      </c>
      <c r="L11" s="414">
        <f t="shared" si="8"/>
        <v>5</v>
      </c>
      <c r="M11" s="415">
        <f t="shared" si="8"/>
        <v>3</v>
      </c>
      <c r="N11" s="416">
        <f>IF(M11="-","-", SUM(E11:M11))</f>
        <v>35</v>
      </c>
      <c r="O11" s="131"/>
      <c r="P11" s="136" t="str">
        <f>A11</f>
        <v>Andy</v>
      </c>
      <c r="Q11" s="413">
        <f t="shared" ref="Q11:Y11" si="9">IF(Q8="","-",Q8)</f>
        <v>4</v>
      </c>
      <c r="R11" s="414">
        <f t="shared" si="9"/>
        <v>4</v>
      </c>
      <c r="S11" s="415">
        <f t="shared" si="9"/>
        <v>3</v>
      </c>
      <c r="T11" s="414">
        <f t="shared" si="9"/>
        <v>4</v>
      </c>
      <c r="U11" s="415">
        <f t="shared" si="9"/>
        <v>4</v>
      </c>
      <c r="V11" s="414">
        <f t="shared" si="9"/>
        <v>5</v>
      </c>
      <c r="W11" s="415">
        <f t="shared" si="9"/>
        <v>4</v>
      </c>
      <c r="X11" s="414">
        <f t="shared" si="9"/>
        <v>4</v>
      </c>
      <c r="Y11" s="415">
        <f t="shared" si="9"/>
        <v>4</v>
      </c>
      <c r="Z11" s="416">
        <f>IF(Y11="-","-", SUM(Q11:Y11))</f>
        <v>36</v>
      </c>
      <c r="AA11" s="417">
        <f>IF(Z11="-", "-", SUM(N11,Z11))</f>
        <v>71</v>
      </c>
      <c r="AB11" s="418">
        <f ca="1">IF(Y11="-", "-", AA11-C8)</f>
        <v>67.8</v>
      </c>
    </row>
    <row r="12" spans="1:28" ht="7.5" customHeight="1">
      <c r="A12" s="159"/>
      <c r="B12" s="254"/>
      <c r="C12" s="323"/>
      <c r="D12" s="162"/>
      <c r="E12" s="163" t="str">
        <f t="shared" ref="E12:M12" ca="1" si="10">IF(E13=1,"O", IF(E13=2,"O   O",""))</f>
        <v/>
      </c>
      <c r="F12" s="164" t="str">
        <f t="shared" ca="1" si="10"/>
        <v/>
      </c>
      <c r="G12" s="165" t="str">
        <f t="shared" ca="1" si="10"/>
        <v>O</v>
      </c>
      <c r="H12" s="164" t="str">
        <f t="shared" ca="1" si="10"/>
        <v/>
      </c>
      <c r="I12" s="165" t="str">
        <f t="shared" ca="1" si="10"/>
        <v/>
      </c>
      <c r="J12" s="164" t="str">
        <f t="shared" ca="1" si="10"/>
        <v/>
      </c>
      <c r="K12" s="165" t="str">
        <f t="shared" ca="1" si="10"/>
        <v/>
      </c>
      <c r="L12" s="164" t="str">
        <f t="shared" ca="1" si="10"/>
        <v/>
      </c>
      <c r="M12" s="165" t="str">
        <f t="shared" ca="1" si="10"/>
        <v/>
      </c>
      <c r="N12" s="419"/>
      <c r="O12" s="118"/>
      <c r="P12" s="159"/>
      <c r="Q12" s="163" t="str">
        <f t="shared" ref="Q12:Y12" ca="1" si="11">IF(Q13=1,"O", IF(Q13=2,"O   O",""))</f>
        <v/>
      </c>
      <c r="R12" s="164" t="str">
        <f t="shared" ca="1" si="11"/>
        <v/>
      </c>
      <c r="S12" s="165" t="str">
        <f t="shared" ca="1" si="11"/>
        <v/>
      </c>
      <c r="T12" s="164" t="str">
        <f t="shared" ca="1" si="11"/>
        <v/>
      </c>
      <c r="U12" s="165" t="str">
        <f t="shared" ca="1" si="11"/>
        <v/>
      </c>
      <c r="V12" s="164" t="str">
        <f t="shared" ca="1" si="11"/>
        <v/>
      </c>
      <c r="W12" s="165" t="str">
        <f t="shared" ca="1" si="11"/>
        <v/>
      </c>
      <c r="X12" s="164" t="str">
        <f t="shared" ca="1" si="11"/>
        <v/>
      </c>
      <c r="Y12" s="165" t="str">
        <f t="shared" ca="1" si="11"/>
        <v/>
      </c>
      <c r="Z12" s="420"/>
      <c r="AA12" s="421"/>
      <c r="AB12" s="422"/>
    </row>
    <row r="13" spans="1:28" ht="22.5" hidden="1" customHeight="1">
      <c r="A13" s="171"/>
      <c r="B13" s="255"/>
      <c r="C13" s="307"/>
      <c r="D13" s="174"/>
      <c r="E13" s="175">
        <f t="shared" ref="E13:M13" ca="1" si="12">IF($D14&gt;0,FLOOR($D14/18,1),0)+IF(AND(MOD($D14,18)&gt;=E$3,$D14&gt;0),1,0)-IF(E$3-18&gt;$D14,1,0)</f>
        <v>0</v>
      </c>
      <c r="F13" s="176">
        <f t="shared" ca="1" si="12"/>
        <v>0</v>
      </c>
      <c r="G13" s="177">
        <f t="shared" ca="1" si="12"/>
        <v>1</v>
      </c>
      <c r="H13" s="176">
        <f t="shared" ca="1" si="12"/>
        <v>0</v>
      </c>
      <c r="I13" s="177">
        <f t="shared" ca="1" si="12"/>
        <v>0</v>
      </c>
      <c r="J13" s="176">
        <f t="shared" ca="1" si="12"/>
        <v>0</v>
      </c>
      <c r="K13" s="177">
        <f t="shared" ca="1" si="12"/>
        <v>0</v>
      </c>
      <c r="L13" s="176">
        <f t="shared" ca="1" si="12"/>
        <v>0</v>
      </c>
      <c r="M13" s="177">
        <f t="shared" ca="1" si="12"/>
        <v>0</v>
      </c>
      <c r="N13" s="423"/>
      <c r="O13" s="131"/>
      <c r="P13" s="171"/>
      <c r="Q13" s="175">
        <f t="shared" ref="Q13:Y13" ca="1" si="13">IF($D14&gt;0,FLOOR($D14/18,1),0)+IF(AND(MOD($D14,18)&gt;=Q$3,$D14&gt;0),1,0)-IF(Q$3-18&gt;$D14,1,0)</f>
        <v>0</v>
      </c>
      <c r="R13" s="176">
        <f t="shared" ca="1" si="13"/>
        <v>0</v>
      </c>
      <c r="S13" s="177">
        <f t="shared" ca="1" si="13"/>
        <v>0</v>
      </c>
      <c r="T13" s="176">
        <f t="shared" ca="1" si="13"/>
        <v>0</v>
      </c>
      <c r="U13" s="177">
        <f t="shared" ca="1" si="13"/>
        <v>0</v>
      </c>
      <c r="V13" s="176">
        <f t="shared" ca="1" si="13"/>
        <v>0</v>
      </c>
      <c r="W13" s="177">
        <f t="shared" ca="1" si="13"/>
        <v>0</v>
      </c>
      <c r="X13" s="176">
        <f t="shared" ca="1" si="13"/>
        <v>0</v>
      </c>
      <c r="Y13" s="177">
        <f t="shared" ca="1" si="13"/>
        <v>0</v>
      </c>
      <c r="Z13" s="408"/>
      <c r="AA13" s="424"/>
      <c r="AB13" s="410"/>
    </row>
    <row r="14" spans="1:28" ht="22.5" customHeight="1">
      <c r="A14" s="181" t="str">
        <f>'Match Selection'!G14</f>
        <v>Telly</v>
      </c>
      <c r="B14" s="257" t="str">
        <f>VLOOKUP(A14, 'Master Input'!$A$11:$B$27,2, FALSE)</f>
        <v>TEES</v>
      </c>
      <c r="C14" s="425">
        <f ca="1">ROUND(VLOOKUP(A14,'Master Input'!$A$11:$L$27,'Master Input'!$J$28, FALSE) * 0.35
+VLOOKUP(A17,'Master Input'!$A$11:$L$27,'Master Input'!$J$28, FALSE) * 0.15,1)</f>
        <v>4.5</v>
      </c>
      <c r="D14" s="184">
        <v>1</v>
      </c>
      <c r="E14" s="185">
        <v>4</v>
      </c>
      <c r="F14" s="186">
        <v>4</v>
      </c>
      <c r="G14" s="187">
        <v>5</v>
      </c>
      <c r="H14" s="186">
        <v>3</v>
      </c>
      <c r="I14" s="187">
        <v>2</v>
      </c>
      <c r="J14" s="186">
        <v>4</v>
      </c>
      <c r="K14" s="187">
        <v>4</v>
      </c>
      <c r="L14" s="186">
        <v>4</v>
      </c>
      <c r="M14" s="187">
        <v>2</v>
      </c>
      <c r="N14" s="426">
        <f>IF(M14="","", SUM(E14:M14))</f>
        <v>32</v>
      </c>
      <c r="O14" s="131"/>
      <c r="P14" s="181" t="str">
        <f>A14</f>
        <v>Telly</v>
      </c>
      <c r="Q14" s="185">
        <v>6</v>
      </c>
      <c r="R14" s="186">
        <v>6</v>
      </c>
      <c r="S14" s="187">
        <v>3</v>
      </c>
      <c r="T14" s="186">
        <v>5</v>
      </c>
      <c r="U14" s="187">
        <v>4</v>
      </c>
      <c r="V14" s="186">
        <v>4</v>
      </c>
      <c r="W14" s="187">
        <v>4</v>
      </c>
      <c r="X14" s="186">
        <v>4</v>
      </c>
      <c r="Y14" s="187">
        <v>4</v>
      </c>
      <c r="Z14" s="427">
        <f>IF(Y14="","", SUM(Q14:Y14))</f>
        <v>40</v>
      </c>
      <c r="AA14" s="428">
        <f>IF(Z14="", "", SUM(N14,Z14))</f>
        <v>72</v>
      </c>
      <c r="AB14" s="394">
        <f ca="1">IF(Y14="", "", AA14-C14)</f>
        <v>67.5</v>
      </c>
    </row>
    <row r="15" spans="1:28" ht="7.5" customHeight="1">
      <c r="A15" s="159"/>
      <c r="B15" s="254"/>
      <c r="C15" s="323"/>
      <c r="D15" s="429"/>
      <c r="E15" s="430" t="str">
        <f t="shared" ref="E15:M15" ca="1" si="14">IF(E16=1,"O", IF(E16=2,"O   O",""))</f>
        <v/>
      </c>
      <c r="F15" s="431" t="str">
        <f t="shared" ca="1" si="14"/>
        <v/>
      </c>
      <c r="G15" s="432" t="str">
        <f t="shared" ca="1" si="14"/>
        <v>O</v>
      </c>
      <c r="H15" s="431" t="str">
        <f t="shared" ca="1" si="14"/>
        <v/>
      </c>
      <c r="I15" s="432" t="str">
        <f t="shared" ca="1" si="14"/>
        <v/>
      </c>
      <c r="J15" s="431" t="str">
        <f t="shared" ca="1" si="14"/>
        <v/>
      </c>
      <c r="K15" s="432" t="str">
        <f t="shared" ca="1" si="14"/>
        <v/>
      </c>
      <c r="L15" s="431" t="str">
        <f t="shared" ca="1" si="14"/>
        <v/>
      </c>
      <c r="M15" s="432" t="str">
        <f t="shared" ca="1" si="14"/>
        <v/>
      </c>
      <c r="N15" s="433"/>
      <c r="O15" s="118"/>
      <c r="P15" s="159"/>
      <c r="Q15" s="430" t="str">
        <f t="shared" ref="Q15:Y15" ca="1" si="15">IF(Q16=1,"O", IF(Q16=2,"O   O",""))</f>
        <v/>
      </c>
      <c r="R15" s="431" t="str">
        <f t="shared" ca="1" si="15"/>
        <v/>
      </c>
      <c r="S15" s="432" t="str">
        <f t="shared" ca="1" si="15"/>
        <v/>
      </c>
      <c r="T15" s="431" t="str">
        <f t="shared" ca="1" si="15"/>
        <v/>
      </c>
      <c r="U15" s="432" t="str">
        <f t="shared" ca="1" si="15"/>
        <v/>
      </c>
      <c r="V15" s="431" t="str">
        <f t="shared" ca="1" si="15"/>
        <v/>
      </c>
      <c r="W15" s="432" t="str">
        <f t="shared" ca="1" si="15"/>
        <v/>
      </c>
      <c r="X15" s="431" t="str">
        <f t="shared" ca="1" si="15"/>
        <v/>
      </c>
      <c r="Y15" s="432" t="str">
        <f t="shared" ca="1" si="15"/>
        <v/>
      </c>
      <c r="Z15" s="420"/>
      <c r="AA15" s="434"/>
      <c r="AB15" s="422"/>
    </row>
    <row r="16" spans="1:28" ht="22.5" hidden="1" customHeight="1">
      <c r="A16" s="171"/>
      <c r="B16" s="255"/>
      <c r="C16" s="307"/>
      <c r="D16" s="435"/>
      <c r="E16" s="436">
        <f t="shared" ref="E16:M16" ca="1" si="16">IF($D17&gt;0,FLOOR($D17/18,1),0)+IF(AND(MOD($D17,18)&gt;=E$3,$D17&gt;0),1,0)-IF(E$3-18&gt;$D17,1,0)</f>
        <v>0</v>
      </c>
      <c r="F16" s="437">
        <f t="shared" ca="1" si="16"/>
        <v>0</v>
      </c>
      <c r="G16" s="438">
        <f t="shared" ca="1" si="16"/>
        <v>1</v>
      </c>
      <c r="H16" s="437">
        <f t="shared" ca="1" si="16"/>
        <v>0</v>
      </c>
      <c r="I16" s="438">
        <f t="shared" ca="1" si="16"/>
        <v>0</v>
      </c>
      <c r="J16" s="437">
        <f t="shared" ca="1" si="16"/>
        <v>0</v>
      </c>
      <c r="K16" s="438">
        <f t="shared" ca="1" si="16"/>
        <v>0</v>
      </c>
      <c r="L16" s="437">
        <f t="shared" ca="1" si="16"/>
        <v>0</v>
      </c>
      <c r="M16" s="438">
        <f t="shared" ca="1" si="16"/>
        <v>0</v>
      </c>
      <c r="N16" s="439"/>
      <c r="O16" s="131"/>
      <c r="P16" s="171"/>
      <c r="Q16" s="436">
        <f t="shared" ref="Q16:Y16" ca="1" si="17">IF($D17&gt;0,FLOOR($D17/18,1),0)+IF(AND(MOD($D17,18)&gt;=Q$3,$D17&gt;0),1,0)-IF(Q$3-18&gt;$D17,1,0)</f>
        <v>0</v>
      </c>
      <c r="R16" s="437">
        <f t="shared" ca="1" si="17"/>
        <v>0</v>
      </c>
      <c r="S16" s="438">
        <f t="shared" ca="1" si="17"/>
        <v>0</v>
      </c>
      <c r="T16" s="437">
        <f t="shared" ca="1" si="17"/>
        <v>0</v>
      </c>
      <c r="U16" s="438">
        <f t="shared" ca="1" si="17"/>
        <v>0</v>
      </c>
      <c r="V16" s="437">
        <f t="shared" ca="1" si="17"/>
        <v>0</v>
      </c>
      <c r="W16" s="438">
        <f t="shared" ca="1" si="17"/>
        <v>0</v>
      </c>
      <c r="X16" s="437">
        <f t="shared" ca="1" si="17"/>
        <v>0</v>
      </c>
      <c r="Y16" s="438">
        <f t="shared" ca="1" si="17"/>
        <v>0</v>
      </c>
      <c r="Z16" s="408"/>
      <c r="AA16" s="424"/>
      <c r="AB16" s="410"/>
    </row>
    <row r="17" spans="1:28" ht="22.5" customHeight="1">
      <c r="A17" s="191" t="str">
        <f>'Match Selection'!G15</f>
        <v>KJ</v>
      </c>
      <c r="B17" s="257" t="str">
        <f>VLOOKUP(A17, 'Master Input'!$A$11:$B$27,2, FALSE)</f>
        <v>TEES</v>
      </c>
      <c r="C17" s="440">
        <f ca="1">C14</f>
        <v>4.5</v>
      </c>
      <c r="D17" s="441">
        <f>IF(D14="", 0,D14)</f>
        <v>1</v>
      </c>
      <c r="E17" s="442">
        <f t="shared" ref="E17:M17" si="18">IF(E14="","-",E14)</f>
        <v>4</v>
      </c>
      <c r="F17" s="443">
        <f t="shared" si="18"/>
        <v>4</v>
      </c>
      <c r="G17" s="444">
        <f t="shared" si="18"/>
        <v>5</v>
      </c>
      <c r="H17" s="443">
        <f t="shared" si="18"/>
        <v>3</v>
      </c>
      <c r="I17" s="443">
        <f t="shared" si="18"/>
        <v>2</v>
      </c>
      <c r="J17" s="443">
        <f t="shared" si="18"/>
        <v>4</v>
      </c>
      <c r="K17" s="443">
        <f t="shared" si="18"/>
        <v>4</v>
      </c>
      <c r="L17" s="443">
        <f t="shared" si="18"/>
        <v>4</v>
      </c>
      <c r="M17" s="443">
        <f t="shared" si="18"/>
        <v>2</v>
      </c>
      <c r="N17" s="445">
        <f>IF(M17="-","-", SUM(E17:M17))</f>
        <v>32</v>
      </c>
      <c r="O17" s="131"/>
      <c r="P17" s="181" t="str">
        <f>A17</f>
        <v>KJ</v>
      </c>
      <c r="Q17" s="442">
        <f t="shared" ref="Q17:Y17" si="19">IF(Q14="","-",Q14)</f>
        <v>6</v>
      </c>
      <c r="R17" s="443">
        <f t="shared" si="19"/>
        <v>6</v>
      </c>
      <c r="S17" s="444">
        <f t="shared" si="19"/>
        <v>3</v>
      </c>
      <c r="T17" s="443">
        <f t="shared" si="19"/>
        <v>5</v>
      </c>
      <c r="U17" s="444">
        <f t="shared" si="19"/>
        <v>4</v>
      </c>
      <c r="V17" s="443">
        <f t="shared" si="19"/>
        <v>4</v>
      </c>
      <c r="W17" s="444">
        <f t="shared" si="19"/>
        <v>4</v>
      </c>
      <c r="X17" s="443">
        <f t="shared" si="19"/>
        <v>4</v>
      </c>
      <c r="Y17" s="444">
        <f t="shared" si="19"/>
        <v>4</v>
      </c>
      <c r="Z17" s="446">
        <f>IF(Y17="-","-", SUM(Q17:Y17))</f>
        <v>40</v>
      </c>
      <c r="AA17" s="447">
        <f>IF(Z17="-", "-", SUM(N17,Z17))</f>
        <v>72</v>
      </c>
      <c r="AB17" s="418">
        <f ca="1">IF(Y17="-", "-", AA17-C14)</f>
        <v>67.5</v>
      </c>
    </row>
    <row r="18" spans="1:28" ht="11.25" customHeight="1">
      <c r="A18" s="448"/>
      <c r="B18" s="448"/>
      <c r="C18" s="449"/>
      <c r="D18" s="450"/>
      <c r="E18" s="451"/>
      <c r="F18" s="450"/>
      <c r="G18" s="450"/>
      <c r="H18" s="450"/>
      <c r="I18" s="450"/>
      <c r="J18" s="450"/>
      <c r="K18" s="450"/>
      <c r="L18" s="450"/>
      <c r="M18" s="450"/>
      <c r="N18" s="331" t="s">
        <v>53</v>
      </c>
      <c r="O18" s="196"/>
      <c r="P18" s="195"/>
      <c r="Q18" s="331"/>
      <c r="R18" s="195" t="s">
        <v>9</v>
      </c>
      <c r="S18" s="195" t="s">
        <v>35</v>
      </c>
      <c r="T18" s="195" t="s">
        <v>54</v>
      </c>
      <c r="U18" s="195"/>
      <c r="V18" s="195" t="s">
        <v>9</v>
      </c>
      <c r="W18" s="195" t="s">
        <v>35</v>
      </c>
      <c r="X18" s="195" t="s">
        <v>54</v>
      </c>
      <c r="Y18" s="195"/>
      <c r="Z18" s="331" t="s">
        <v>9</v>
      </c>
      <c r="AA18" s="195" t="s">
        <v>29</v>
      </c>
      <c r="AB18" s="197" t="s">
        <v>42</v>
      </c>
    </row>
    <row r="19" spans="1:28" ht="14.25" customHeight="1">
      <c r="A19" s="452" t="str">
        <f>B8&amp;" Status"</f>
        <v>WEEZ Status</v>
      </c>
      <c r="B19" s="453" t="s">
        <v>55</v>
      </c>
      <c r="C19" s="454"/>
      <c r="D19" s="455"/>
      <c r="E19" s="456">
        <f ca="1">IF(OR(E8="", E14=""), ".",E23)</f>
        <v>0</v>
      </c>
      <c r="F19" s="457">
        <f t="shared" ref="F19:M19" ca="1" si="20">IF(OR(F8="", F14=""), ".",F23+E19)</f>
        <v>0</v>
      </c>
      <c r="G19" s="457">
        <f t="shared" ca="1" si="20"/>
        <v>-1</v>
      </c>
      <c r="H19" s="457">
        <f t="shared" ca="1" si="20"/>
        <v>-1</v>
      </c>
      <c r="I19" s="457">
        <f t="shared" ca="1" si="20"/>
        <v>-2</v>
      </c>
      <c r="J19" s="457">
        <f t="shared" ca="1" si="20"/>
        <v>-2</v>
      </c>
      <c r="K19" s="457">
        <f t="shared" ca="1" si="20"/>
        <v>-2</v>
      </c>
      <c r="L19" s="457">
        <f t="shared" ca="1" si="20"/>
        <v>-3</v>
      </c>
      <c r="M19" s="457">
        <f t="shared" ca="1" si="20"/>
        <v>-4</v>
      </c>
      <c r="N19" s="458">
        <f ca="1">IF(M19=".", "", IF(M19&lt;0, 0, IF(M19&gt;0, VLOOKUP($B$2,'Master Input'!$O$12:$R$23,'Master Input'!P$11,FALSE), VLOOKUP($B$2,'Master Input'!$O$12:$R$23,'Master Input'!P$11,FALSE)*0.5)))</f>
        <v>0</v>
      </c>
      <c r="O19" s="204"/>
      <c r="P19" s="459" t="s">
        <v>56</v>
      </c>
      <c r="Q19" s="460">
        <f ca="1">IF(OR(Q8="", Q14=""), ".",Q23+M19)</f>
        <v>-3</v>
      </c>
      <c r="R19" s="457">
        <f t="shared" ref="R19:Y19" ca="1" si="21">IF(OR(R8="", R14=""), ".",R23+Q19)</f>
        <v>-2</v>
      </c>
      <c r="S19" s="457">
        <f t="shared" ca="1" si="21"/>
        <v>-2</v>
      </c>
      <c r="T19" s="457">
        <f t="shared" ca="1" si="21"/>
        <v>-1</v>
      </c>
      <c r="U19" s="457">
        <f t="shared" ca="1" si="21"/>
        <v>-1</v>
      </c>
      <c r="V19" s="457">
        <f t="shared" ca="1" si="21"/>
        <v>-2</v>
      </c>
      <c r="W19" s="457">
        <f t="shared" ca="1" si="21"/>
        <v>-2</v>
      </c>
      <c r="X19" s="457">
        <f t="shared" ca="1" si="21"/>
        <v>-2</v>
      </c>
      <c r="Y19" s="455">
        <f t="shared" ca="1" si="21"/>
        <v>-2</v>
      </c>
      <c r="Z19" s="461">
        <f ca="1">IF(Y19=".", "", IF(Y19&lt;0, 0, IF(Y19&gt;0, VLOOKUP($B$2,'Master Input'!$O$12:$R$23,'Master Input'!R$11,FALSE), VLOOKUP($B$2,'Master Input'!$O$12:$R$23,'Master Input'!R$11,FALSE)*0.5)))</f>
        <v>0</v>
      </c>
      <c r="AA19" s="365" t="s">
        <v>29</v>
      </c>
      <c r="AB19" s="458">
        <f ca="1">IF(Z19="","", SUM(N19,Z19,Z20))</f>
        <v>1</v>
      </c>
    </row>
    <row r="20" spans="1:28" ht="14.25" customHeight="1">
      <c r="A20" s="362"/>
      <c r="B20" s="362"/>
      <c r="C20" s="361"/>
      <c r="D20" s="362"/>
      <c r="E20" s="362"/>
      <c r="F20" s="362"/>
      <c r="G20" s="362"/>
      <c r="H20" s="362"/>
      <c r="I20" s="362"/>
      <c r="J20" s="362"/>
      <c r="K20" s="362"/>
      <c r="L20" s="362"/>
      <c r="M20" s="362"/>
      <c r="N20" s="362"/>
      <c r="O20" s="204"/>
      <c r="P20" s="462" t="s">
        <v>57</v>
      </c>
      <c r="Q20" s="463">
        <f ca="1">IF(OR(Q8="", Q14=""), ".",Q23)</f>
        <v>1</v>
      </c>
      <c r="R20" s="464">
        <f t="shared" ref="R20:Y20" ca="1" si="22">IF(OR(R8="", R14=""), ".",R23+Q20)</f>
        <v>2</v>
      </c>
      <c r="S20" s="464">
        <f t="shared" ca="1" si="22"/>
        <v>2</v>
      </c>
      <c r="T20" s="464">
        <f t="shared" ca="1" si="22"/>
        <v>3</v>
      </c>
      <c r="U20" s="464">
        <f t="shared" ca="1" si="22"/>
        <v>3</v>
      </c>
      <c r="V20" s="464">
        <f t="shared" ca="1" si="22"/>
        <v>2</v>
      </c>
      <c r="W20" s="464">
        <f t="shared" ca="1" si="22"/>
        <v>2</v>
      </c>
      <c r="X20" s="464">
        <f t="shared" ca="1" si="22"/>
        <v>2</v>
      </c>
      <c r="Y20" s="464">
        <f t="shared" ca="1" si="22"/>
        <v>2</v>
      </c>
      <c r="Z20" s="465">
        <f ca="1">IF(Y20=".", "", IF(Y20&lt;0, 0, IF(Y20&gt;0, VLOOKUP($B$2,'Master Input'!$O$12:$R$23,'Master Input'!Q$11,FALSE), VLOOKUP($B$2,'Master Input'!$O$12:$R$23,'Master Input'!Q$11,FALSE)*0.5)))</f>
        <v>1</v>
      </c>
      <c r="AA20" s="365" t="s">
        <v>9</v>
      </c>
      <c r="AB20" s="193"/>
    </row>
    <row r="21" spans="1:28" ht="14.25" customHeight="1">
      <c r="A21" s="193"/>
      <c r="B21" s="193"/>
      <c r="C21" s="194"/>
      <c r="D21" s="193"/>
      <c r="E21" s="193"/>
      <c r="F21" s="193"/>
      <c r="G21" s="193"/>
      <c r="H21" s="193"/>
      <c r="I21" s="193"/>
      <c r="J21" s="193"/>
      <c r="K21" s="193"/>
      <c r="L21" s="193"/>
      <c r="M21" s="193"/>
      <c r="N21" s="193"/>
      <c r="O21" s="204"/>
      <c r="P21" s="365"/>
      <c r="Q21" s="365"/>
      <c r="R21" s="365"/>
      <c r="S21" s="365"/>
      <c r="T21" s="365"/>
      <c r="U21" s="365"/>
      <c r="V21" s="365"/>
      <c r="W21" s="365"/>
      <c r="X21" s="365"/>
      <c r="Y21" s="365"/>
      <c r="Z21" s="365"/>
      <c r="AB21" s="193"/>
    </row>
    <row r="22" spans="1:28" ht="14.25" customHeight="1">
      <c r="A22" s="193"/>
      <c r="B22" s="193"/>
      <c r="C22" s="194"/>
      <c r="D22" s="193"/>
      <c r="E22" s="193"/>
      <c r="F22" s="193"/>
      <c r="G22" s="193"/>
      <c r="H22" s="193"/>
      <c r="I22" s="193"/>
      <c r="J22" s="193"/>
      <c r="K22" s="193"/>
      <c r="L22" s="193"/>
      <c r="M22" s="193"/>
      <c r="N22" s="193"/>
      <c r="O22" s="72"/>
      <c r="P22" s="365"/>
      <c r="Q22" s="365"/>
      <c r="R22" s="365"/>
      <c r="S22" s="365"/>
      <c r="T22" s="365"/>
      <c r="U22" s="365"/>
      <c r="V22" s="365"/>
      <c r="W22" s="365"/>
      <c r="X22" s="365"/>
      <c r="Y22" s="365"/>
      <c r="Z22" s="366" t="s">
        <v>32</v>
      </c>
      <c r="AA22" s="367" t="s">
        <v>33</v>
      </c>
      <c r="AB22" s="223" t="s">
        <v>34</v>
      </c>
    </row>
    <row r="23" spans="1:28" ht="14.25" customHeight="1">
      <c r="A23" s="193"/>
      <c r="B23" s="193" t="s">
        <v>35</v>
      </c>
      <c r="C23" s="194"/>
      <c r="D23" s="193"/>
      <c r="E23" s="466">
        <f t="shared" ref="E23:M23" ca="1" si="23">IF(OR(E8="", E14=""), "",
IF(E8-E7&lt;E14-E13,1,
IF(E8-E7&gt;E14-E13,-1,
0)))</f>
        <v>0</v>
      </c>
      <c r="F23" s="466">
        <f t="shared" ca="1" si="23"/>
        <v>0</v>
      </c>
      <c r="G23" s="466">
        <f t="shared" ca="1" si="23"/>
        <v>-1</v>
      </c>
      <c r="H23" s="466">
        <f t="shared" ca="1" si="23"/>
        <v>0</v>
      </c>
      <c r="I23" s="466">
        <f t="shared" ca="1" si="23"/>
        <v>-1</v>
      </c>
      <c r="J23" s="466">
        <f t="shared" ca="1" si="23"/>
        <v>0</v>
      </c>
      <c r="K23" s="466">
        <f t="shared" ca="1" si="23"/>
        <v>0</v>
      </c>
      <c r="L23" s="466">
        <f t="shared" ca="1" si="23"/>
        <v>-1</v>
      </c>
      <c r="M23" s="466">
        <f t="shared" ca="1" si="23"/>
        <v>-1</v>
      </c>
      <c r="N23" s="193"/>
      <c r="O23" s="364"/>
      <c r="P23" s="365"/>
      <c r="Q23" s="466">
        <f t="shared" ref="Q23:Y23" ca="1" si="24">IF(OR(Q8="", Q14=""), "",
IF(Q8-Q7&lt;Q14-Q13,1,
IF(Q8-Q7&gt;Q14-Q13,-1,
0)))</f>
        <v>1</v>
      </c>
      <c r="R23" s="466">
        <f t="shared" ca="1" si="24"/>
        <v>1</v>
      </c>
      <c r="S23" s="466">
        <f t="shared" ca="1" si="24"/>
        <v>0</v>
      </c>
      <c r="T23" s="466">
        <f t="shared" ca="1" si="24"/>
        <v>1</v>
      </c>
      <c r="U23" s="466">
        <f t="shared" ca="1" si="24"/>
        <v>0</v>
      </c>
      <c r="V23" s="466">
        <f t="shared" ca="1" si="24"/>
        <v>-1</v>
      </c>
      <c r="W23" s="466">
        <f t="shared" ca="1" si="24"/>
        <v>0</v>
      </c>
      <c r="X23" s="466">
        <f t="shared" ca="1" si="24"/>
        <v>0</v>
      </c>
      <c r="Y23" s="466">
        <f t="shared" ca="1" si="24"/>
        <v>0</v>
      </c>
      <c r="Z23" s="366" t="s">
        <v>36</v>
      </c>
      <c r="AA23" s="367" t="s">
        <v>37</v>
      </c>
      <c r="AB23" s="223" t="s">
        <v>38</v>
      </c>
    </row>
    <row r="24" spans="1:28" ht="14.25" customHeight="1">
      <c r="A24" s="368"/>
      <c r="B24" s="369" t="str">
        <f>B8</f>
        <v>WEEZ</v>
      </c>
      <c r="C24" s="370"/>
      <c r="D24" s="369"/>
      <c r="E24" s="369">
        <f t="shared" ref="E24:M24" ca="1" si="25">(E23+1)/2</f>
        <v>0.5</v>
      </c>
      <c r="F24" s="369">
        <f t="shared" ca="1" si="25"/>
        <v>0.5</v>
      </c>
      <c r="G24" s="369">
        <f t="shared" ca="1" si="25"/>
        <v>0</v>
      </c>
      <c r="H24" s="369">
        <f t="shared" ca="1" si="25"/>
        <v>0.5</v>
      </c>
      <c r="I24" s="369">
        <f t="shared" ca="1" si="25"/>
        <v>0</v>
      </c>
      <c r="J24" s="369">
        <f t="shared" ca="1" si="25"/>
        <v>0.5</v>
      </c>
      <c r="K24" s="369">
        <f t="shared" ca="1" si="25"/>
        <v>0.5</v>
      </c>
      <c r="L24" s="369">
        <f t="shared" ca="1" si="25"/>
        <v>0</v>
      </c>
      <c r="M24" s="369">
        <f t="shared" ca="1" si="25"/>
        <v>0</v>
      </c>
      <c r="N24" s="369">
        <f ca="1">SUM(N25:N26)</f>
        <v>2.5</v>
      </c>
      <c r="O24" s="369"/>
      <c r="P24" s="371"/>
      <c r="Q24" s="369">
        <f t="shared" ref="Q24:Y24" ca="1" si="26">(Q23+1)/2</f>
        <v>1</v>
      </c>
      <c r="R24" s="369">
        <f t="shared" ca="1" si="26"/>
        <v>1</v>
      </c>
      <c r="S24" s="369">
        <f t="shared" ca="1" si="26"/>
        <v>0.5</v>
      </c>
      <c r="T24" s="369">
        <f t="shared" ca="1" si="26"/>
        <v>1</v>
      </c>
      <c r="U24" s="369">
        <f t="shared" ca="1" si="26"/>
        <v>0.5</v>
      </c>
      <c r="V24" s="369">
        <f t="shared" ca="1" si="26"/>
        <v>0</v>
      </c>
      <c r="W24" s="369">
        <f t="shared" ca="1" si="26"/>
        <v>0.5</v>
      </c>
      <c r="X24" s="369">
        <f t="shared" ca="1" si="26"/>
        <v>0.5</v>
      </c>
      <c r="Y24" s="369">
        <f t="shared" ca="1" si="26"/>
        <v>0.5</v>
      </c>
      <c r="Z24" s="369">
        <f ca="1">SUM(Z25:Z26)</f>
        <v>5.5</v>
      </c>
      <c r="AA24" s="372">
        <f ca="1">SUM(Z24,N24)</f>
        <v>8</v>
      </c>
      <c r="AB24" s="368"/>
    </row>
    <row r="25" spans="1:28" ht="14.25" customHeight="1">
      <c r="A25" s="193" t="str">
        <f>A8</f>
        <v>Elger</v>
      </c>
      <c r="B25" s="193"/>
      <c r="C25" s="194"/>
      <c r="D25" s="193"/>
      <c r="E25" s="193">
        <f t="shared" ref="E25:M25" ca="1" si="27">E24/2</f>
        <v>0.25</v>
      </c>
      <c r="F25" s="193">
        <f t="shared" ca="1" si="27"/>
        <v>0.25</v>
      </c>
      <c r="G25" s="193">
        <f t="shared" ca="1" si="27"/>
        <v>0</v>
      </c>
      <c r="H25" s="193">
        <f t="shared" ca="1" si="27"/>
        <v>0.25</v>
      </c>
      <c r="I25" s="193">
        <f t="shared" ca="1" si="27"/>
        <v>0</v>
      </c>
      <c r="J25" s="193">
        <f t="shared" ca="1" si="27"/>
        <v>0.25</v>
      </c>
      <c r="K25" s="193">
        <f t="shared" ca="1" si="27"/>
        <v>0.25</v>
      </c>
      <c r="L25" s="193">
        <f t="shared" ca="1" si="27"/>
        <v>0</v>
      </c>
      <c r="M25" s="193">
        <f t="shared" ca="1" si="27"/>
        <v>0</v>
      </c>
      <c r="N25" s="193">
        <f t="shared" ref="N25:N26" ca="1" si="28">SUM(E25:M25)</f>
        <v>1.25</v>
      </c>
      <c r="O25" s="364"/>
      <c r="P25" s="365"/>
      <c r="Q25" s="193">
        <f t="shared" ref="Q25:Y25" ca="1" si="29">Q24/2</f>
        <v>0.5</v>
      </c>
      <c r="R25" s="193">
        <f t="shared" ca="1" si="29"/>
        <v>0.5</v>
      </c>
      <c r="S25" s="193">
        <f t="shared" ca="1" si="29"/>
        <v>0.25</v>
      </c>
      <c r="T25" s="193">
        <f t="shared" ca="1" si="29"/>
        <v>0.5</v>
      </c>
      <c r="U25" s="193">
        <f t="shared" ca="1" si="29"/>
        <v>0.25</v>
      </c>
      <c r="V25" s="193">
        <f t="shared" ca="1" si="29"/>
        <v>0</v>
      </c>
      <c r="W25" s="193">
        <f t="shared" ca="1" si="29"/>
        <v>0.25</v>
      </c>
      <c r="X25" s="193">
        <f t="shared" ca="1" si="29"/>
        <v>0.25</v>
      </c>
      <c r="Y25" s="193">
        <f t="shared" ca="1" si="29"/>
        <v>0.25</v>
      </c>
      <c r="Z25" s="366">
        <f t="shared" ref="Z25:Z26" ca="1" si="30">SUM(Q25:Y25)</f>
        <v>2.75</v>
      </c>
      <c r="AA25">
        <f ca="1">IF(Z19="","",SUM(Z25,N25))</f>
        <v>4</v>
      </c>
      <c r="AB25" s="373">
        <f ca="1">IF(Z19="","",((N25/$N$24)*$N$19)+((Z25/$Z$24)*$Z$20)+((AA25/$AA$24)*$Z$19))</f>
        <v>0.5</v>
      </c>
    </row>
    <row r="26" spans="1:28" ht="14.25" customHeight="1">
      <c r="A26" s="193" t="str">
        <f>A11</f>
        <v>Andy</v>
      </c>
      <c r="B26" s="193"/>
      <c r="C26" s="194"/>
      <c r="D26" s="193"/>
      <c r="E26" s="193">
        <f t="shared" ref="E26:M26" ca="1" si="31">E24/2</f>
        <v>0.25</v>
      </c>
      <c r="F26" s="193">
        <f t="shared" ca="1" si="31"/>
        <v>0.25</v>
      </c>
      <c r="G26" s="193">
        <f t="shared" ca="1" si="31"/>
        <v>0</v>
      </c>
      <c r="H26" s="193">
        <f t="shared" ca="1" si="31"/>
        <v>0.25</v>
      </c>
      <c r="I26" s="193">
        <f t="shared" ca="1" si="31"/>
        <v>0</v>
      </c>
      <c r="J26" s="193">
        <f t="shared" ca="1" si="31"/>
        <v>0.25</v>
      </c>
      <c r="K26" s="193">
        <f t="shared" ca="1" si="31"/>
        <v>0.25</v>
      </c>
      <c r="L26" s="193">
        <f t="shared" ca="1" si="31"/>
        <v>0</v>
      </c>
      <c r="M26" s="193">
        <f t="shared" ca="1" si="31"/>
        <v>0</v>
      </c>
      <c r="N26" s="193">
        <f t="shared" ca="1" si="28"/>
        <v>1.25</v>
      </c>
      <c r="O26" s="364"/>
      <c r="P26" s="365"/>
      <c r="Q26" s="193">
        <f t="shared" ref="Q26:Y26" ca="1" si="32">Q24/2</f>
        <v>0.5</v>
      </c>
      <c r="R26" s="193">
        <f t="shared" ca="1" si="32"/>
        <v>0.5</v>
      </c>
      <c r="S26" s="193">
        <f t="shared" ca="1" si="32"/>
        <v>0.25</v>
      </c>
      <c r="T26" s="193">
        <f t="shared" ca="1" si="32"/>
        <v>0.5</v>
      </c>
      <c r="U26" s="193">
        <f t="shared" ca="1" si="32"/>
        <v>0.25</v>
      </c>
      <c r="V26" s="193">
        <f t="shared" ca="1" si="32"/>
        <v>0</v>
      </c>
      <c r="W26" s="193">
        <f t="shared" ca="1" si="32"/>
        <v>0.25</v>
      </c>
      <c r="X26" s="193">
        <f t="shared" ca="1" si="32"/>
        <v>0.25</v>
      </c>
      <c r="Y26" s="193">
        <f t="shared" ca="1" si="32"/>
        <v>0.25</v>
      </c>
      <c r="Z26" s="366">
        <f t="shared" ca="1" si="30"/>
        <v>2.75</v>
      </c>
      <c r="AA26">
        <f ca="1">IF(Z19="","",SUM(Z26,N26))</f>
        <v>4</v>
      </c>
      <c r="AB26" s="373">
        <f ca="1">IF(Z19="","",((N26/$N$24)*$N$19)+((Z26/$Z$24)*$Z$20)+((AA26/$AA$24)*$Z$19))</f>
        <v>0.5</v>
      </c>
    </row>
    <row r="27" spans="1:28" ht="14.25" customHeight="1">
      <c r="A27" s="368"/>
      <c r="B27" s="369" t="str">
        <f>B14</f>
        <v>TEES</v>
      </c>
      <c r="C27" s="370"/>
      <c r="D27" s="369"/>
      <c r="E27" s="369">
        <f t="shared" ref="E27:M27" ca="1" si="33">(1-E23)/2</f>
        <v>0.5</v>
      </c>
      <c r="F27" s="369">
        <f t="shared" ca="1" si="33"/>
        <v>0.5</v>
      </c>
      <c r="G27" s="369">
        <f t="shared" ca="1" si="33"/>
        <v>1</v>
      </c>
      <c r="H27" s="369">
        <f t="shared" ca="1" si="33"/>
        <v>0.5</v>
      </c>
      <c r="I27" s="369">
        <f t="shared" ca="1" si="33"/>
        <v>1</v>
      </c>
      <c r="J27" s="369">
        <f t="shared" ca="1" si="33"/>
        <v>0.5</v>
      </c>
      <c r="K27" s="369">
        <f t="shared" ca="1" si="33"/>
        <v>0.5</v>
      </c>
      <c r="L27" s="369">
        <f t="shared" ca="1" si="33"/>
        <v>1</v>
      </c>
      <c r="M27" s="369">
        <f t="shared" ca="1" si="33"/>
        <v>1</v>
      </c>
      <c r="N27" s="369">
        <f ca="1">SUM(N28:N29)</f>
        <v>6.5</v>
      </c>
      <c r="O27" s="369"/>
      <c r="P27" s="371"/>
      <c r="Q27" s="369">
        <f t="shared" ref="Q27:Y27" ca="1" si="34">(1-Q23)/2</f>
        <v>0</v>
      </c>
      <c r="R27" s="369">
        <f t="shared" ca="1" si="34"/>
        <v>0</v>
      </c>
      <c r="S27" s="369">
        <f t="shared" ca="1" si="34"/>
        <v>0.5</v>
      </c>
      <c r="T27" s="369">
        <f t="shared" ca="1" si="34"/>
        <v>0</v>
      </c>
      <c r="U27" s="369">
        <f t="shared" ca="1" si="34"/>
        <v>0.5</v>
      </c>
      <c r="V27" s="369">
        <f t="shared" ca="1" si="34"/>
        <v>1</v>
      </c>
      <c r="W27" s="369">
        <f t="shared" ca="1" si="34"/>
        <v>0.5</v>
      </c>
      <c r="X27" s="369">
        <f t="shared" ca="1" si="34"/>
        <v>0.5</v>
      </c>
      <c r="Y27" s="369">
        <f t="shared" ca="1" si="34"/>
        <v>0.5</v>
      </c>
      <c r="Z27" s="369">
        <f ca="1">SUM(Z28:Z29)</f>
        <v>3.5</v>
      </c>
      <c r="AA27" s="372">
        <f ca="1">SUM(Z27,N27)</f>
        <v>10</v>
      </c>
      <c r="AB27" s="369"/>
    </row>
    <row r="28" spans="1:28" ht="14.25" customHeight="1">
      <c r="A28" s="193" t="str">
        <f>A14</f>
        <v>Telly</v>
      </c>
      <c r="B28" s="193"/>
      <c r="C28" s="194"/>
      <c r="D28" s="193"/>
      <c r="E28" s="193">
        <f t="shared" ref="E28:M28" ca="1" si="35">E27/2</f>
        <v>0.25</v>
      </c>
      <c r="F28" s="193">
        <f t="shared" ca="1" si="35"/>
        <v>0.25</v>
      </c>
      <c r="G28" s="193">
        <f t="shared" ca="1" si="35"/>
        <v>0.5</v>
      </c>
      <c r="H28" s="193">
        <f t="shared" ca="1" si="35"/>
        <v>0.25</v>
      </c>
      <c r="I28" s="193">
        <f t="shared" ca="1" si="35"/>
        <v>0.5</v>
      </c>
      <c r="J28" s="193">
        <f t="shared" ca="1" si="35"/>
        <v>0.25</v>
      </c>
      <c r="K28" s="193">
        <f t="shared" ca="1" si="35"/>
        <v>0.25</v>
      </c>
      <c r="L28" s="193">
        <f t="shared" ca="1" si="35"/>
        <v>0.5</v>
      </c>
      <c r="M28" s="193">
        <f t="shared" ca="1" si="35"/>
        <v>0.5</v>
      </c>
      <c r="N28" s="193">
        <f t="shared" ref="N28:N29" ca="1" si="36">SUM(E28:M28)</f>
        <v>3.25</v>
      </c>
      <c r="O28" s="364"/>
      <c r="P28" s="365"/>
      <c r="Q28" s="193">
        <f t="shared" ref="Q28:Y28" ca="1" si="37">Q27/2</f>
        <v>0</v>
      </c>
      <c r="R28" s="193">
        <f t="shared" ca="1" si="37"/>
        <v>0</v>
      </c>
      <c r="S28" s="193">
        <f t="shared" ca="1" si="37"/>
        <v>0.25</v>
      </c>
      <c r="T28" s="193">
        <f t="shared" ca="1" si="37"/>
        <v>0</v>
      </c>
      <c r="U28" s="193">
        <f t="shared" ca="1" si="37"/>
        <v>0.25</v>
      </c>
      <c r="V28" s="193">
        <f t="shared" ca="1" si="37"/>
        <v>0.5</v>
      </c>
      <c r="W28" s="193">
        <f t="shared" ca="1" si="37"/>
        <v>0.25</v>
      </c>
      <c r="X28" s="193">
        <f t="shared" ca="1" si="37"/>
        <v>0.25</v>
      </c>
      <c r="Y28" s="193">
        <f t="shared" ca="1" si="37"/>
        <v>0.25</v>
      </c>
      <c r="Z28" s="366">
        <f t="shared" ref="Z28:Z29" ca="1" si="38">SUM(Q28:Y28)</f>
        <v>1.75</v>
      </c>
      <c r="AA28">
        <f ca="1">IF(Z19="","",SUM(Z28,N28))</f>
        <v>5</v>
      </c>
      <c r="AB28" s="373">
        <f ca="1">IF(Z19="","",((N28/$N$27)*('Master Input'!$P$18-$N$19))+((Z28/$Z$27)*('Master Input'!$Q$18-$Z$20))+((AA28/$AA$27)*('Master Input'!$R$18-$Z$19)))</f>
        <v>1.5</v>
      </c>
    </row>
    <row r="29" spans="1:28" ht="14.25" customHeight="1">
      <c r="A29" s="193" t="str">
        <f>A17</f>
        <v>KJ</v>
      </c>
      <c r="B29" s="193"/>
      <c r="C29" s="194"/>
      <c r="D29" s="193"/>
      <c r="E29" s="193">
        <f t="shared" ref="E29:M29" ca="1" si="39">E27/2</f>
        <v>0.25</v>
      </c>
      <c r="F29" s="193">
        <f t="shared" ca="1" si="39"/>
        <v>0.25</v>
      </c>
      <c r="G29" s="193">
        <f t="shared" ca="1" si="39"/>
        <v>0.5</v>
      </c>
      <c r="H29" s="193">
        <f t="shared" ca="1" si="39"/>
        <v>0.25</v>
      </c>
      <c r="I29" s="193">
        <f t="shared" ca="1" si="39"/>
        <v>0.5</v>
      </c>
      <c r="J29" s="193">
        <f t="shared" ca="1" si="39"/>
        <v>0.25</v>
      </c>
      <c r="K29" s="193">
        <f t="shared" ca="1" si="39"/>
        <v>0.25</v>
      </c>
      <c r="L29" s="193">
        <f t="shared" ca="1" si="39"/>
        <v>0.5</v>
      </c>
      <c r="M29" s="193">
        <f t="shared" ca="1" si="39"/>
        <v>0.5</v>
      </c>
      <c r="N29" s="193">
        <f t="shared" ca="1" si="36"/>
        <v>3.25</v>
      </c>
      <c r="O29" s="364"/>
      <c r="P29" s="365"/>
      <c r="Q29" s="193">
        <f t="shared" ref="Q29:Y29" ca="1" si="40">Q27/2</f>
        <v>0</v>
      </c>
      <c r="R29" s="193">
        <f t="shared" ca="1" si="40"/>
        <v>0</v>
      </c>
      <c r="S29" s="193">
        <f t="shared" ca="1" si="40"/>
        <v>0.25</v>
      </c>
      <c r="T29" s="193">
        <f t="shared" ca="1" si="40"/>
        <v>0</v>
      </c>
      <c r="U29" s="193">
        <f t="shared" ca="1" si="40"/>
        <v>0.25</v>
      </c>
      <c r="V29" s="193">
        <f t="shared" ca="1" si="40"/>
        <v>0.5</v>
      </c>
      <c r="W29" s="193">
        <f t="shared" ca="1" si="40"/>
        <v>0.25</v>
      </c>
      <c r="X29" s="193">
        <f t="shared" ca="1" si="40"/>
        <v>0.25</v>
      </c>
      <c r="Y29" s="193">
        <f t="shared" ca="1" si="40"/>
        <v>0.25</v>
      </c>
      <c r="Z29" s="366">
        <f t="shared" ca="1" si="38"/>
        <v>1.75</v>
      </c>
      <c r="AA29">
        <f ca="1">IF(Z19="","",SUM(Z29,N29))</f>
        <v>5</v>
      </c>
      <c r="AB29" s="373">
        <f ca="1">IF(Z19="","",((N29/$N$27)*('Master Input'!$P$18-$N$19))+((Z29/$Z$27)*('Master Input'!$Q$18-$Z$20))+((AA29/$AA$27)*('Master Input'!$R$18-$Z$19)))</f>
        <v>1.5</v>
      </c>
    </row>
    <row r="30" spans="1:28" ht="14.25" customHeight="1">
      <c r="A30" s="193"/>
      <c r="B30" s="193"/>
      <c r="C30" s="194"/>
      <c r="D30" s="193"/>
      <c r="E30" s="193">
        <f t="shared" ref="E30:N30" ca="1" si="41">SUM(E25:E26,E28:E29)</f>
        <v>1</v>
      </c>
      <c r="F30" s="193">
        <f t="shared" ca="1" si="41"/>
        <v>1</v>
      </c>
      <c r="G30" s="193">
        <f t="shared" ca="1" si="41"/>
        <v>1</v>
      </c>
      <c r="H30" s="193">
        <f t="shared" ca="1" si="41"/>
        <v>1</v>
      </c>
      <c r="I30" s="193">
        <f t="shared" ca="1" si="41"/>
        <v>1</v>
      </c>
      <c r="J30" s="193">
        <f t="shared" ca="1" si="41"/>
        <v>1</v>
      </c>
      <c r="K30" s="193">
        <f t="shared" ca="1" si="41"/>
        <v>1</v>
      </c>
      <c r="L30" s="193">
        <f t="shared" ca="1" si="41"/>
        <v>1</v>
      </c>
      <c r="M30" s="193">
        <f t="shared" ca="1" si="41"/>
        <v>1</v>
      </c>
      <c r="N30" s="193">
        <f t="shared" ca="1" si="41"/>
        <v>9</v>
      </c>
      <c r="O30" s="364"/>
      <c r="P30" s="365"/>
      <c r="Q30" s="193">
        <f t="shared" ref="Q30:AA30" ca="1" si="42">SUM(Q25:Q26,Q28:Q29)</f>
        <v>1</v>
      </c>
      <c r="R30" s="193">
        <f t="shared" ca="1" si="42"/>
        <v>1</v>
      </c>
      <c r="S30" s="193">
        <f t="shared" ca="1" si="42"/>
        <v>1</v>
      </c>
      <c r="T30" s="193">
        <f t="shared" ca="1" si="42"/>
        <v>1</v>
      </c>
      <c r="U30" s="193">
        <f t="shared" ca="1" si="42"/>
        <v>1</v>
      </c>
      <c r="V30" s="193">
        <f t="shared" ca="1" si="42"/>
        <v>1</v>
      </c>
      <c r="W30" s="193">
        <f t="shared" ca="1" si="42"/>
        <v>1</v>
      </c>
      <c r="X30" s="193">
        <f t="shared" ca="1" si="42"/>
        <v>1</v>
      </c>
      <c r="Y30" s="193">
        <f t="shared" ca="1" si="42"/>
        <v>1</v>
      </c>
      <c r="Z30" s="193">
        <f t="shared" ca="1" si="42"/>
        <v>9</v>
      </c>
      <c r="AA30">
        <f t="shared" ca="1" si="42"/>
        <v>18</v>
      </c>
      <c r="AB30" s="373"/>
    </row>
  </sheetData>
  <mergeCells count="1">
    <mergeCell ref="B2:B4"/>
  </mergeCells>
  <conditionalFormatting sqref="E8:M8 Q8:Y8">
    <cfRule type="expression" dxfId="66" priority="1">
      <formula>AND(E$24=1,E$25&gt;0)</formula>
    </cfRule>
  </conditionalFormatting>
  <conditionalFormatting sqref="E14:M14 Q14:Y14 E8:M8 Q8:Y8">
    <cfRule type="expression" dxfId="65" priority="3">
      <formula>E$23=0</formula>
    </cfRule>
  </conditionalFormatting>
  <conditionalFormatting sqref="E14:M14 Q14:Y14">
    <cfRule type="expression" dxfId="64" priority="2">
      <formula>AND(E$27=1,E$28&gt;0)</formula>
    </cfRule>
  </conditionalFormatting>
  <conditionalFormatting sqref="E19:M19 Q19:Y20">
    <cfRule type="cellIs" dxfId="63" priority="4" operator="equal">
      <formula>"."</formula>
    </cfRule>
  </conditionalFormatting>
  <printOptions horizontalCentered="1" gridLines="1"/>
  <pageMargins left="0.6" right="0.25" top="0.5" bottom="0.5" header="0" footer="0"/>
  <pageSetup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6B26B"/>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374" t="s">
        <v>39</v>
      </c>
      <c r="B1" s="375">
        <f>'Master Input'!J3</f>
        <v>9.583333333333334E-2</v>
      </c>
      <c r="C1" s="376" t="str">
        <f>'Master Input'!$I$2</f>
        <v>Round 3</v>
      </c>
      <c r="D1" s="377"/>
      <c r="E1" s="376" t="str">
        <f>'Master Input'!$I$6</f>
        <v>The Wolverine - Blue</v>
      </c>
      <c r="F1" s="378"/>
      <c r="G1" s="378"/>
      <c r="H1" s="378"/>
      <c r="I1" s="378"/>
      <c r="J1" s="378"/>
      <c r="K1" s="378"/>
      <c r="L1" s="378"/>
      <c r="M1" s="378"/>
      <c r="N1" s="378"/>
      <c r="O1" s="72"/>
      <c r="P1" s="376" t="str">
        <f>'Master Input'!$I$2&amp;" - "&amp;A1</f>
        <v>Round 3 - Group 2</v>
      </c>
      <c r="Q1" s="377"/>
      <c r="R1" s="378"/>
      <c r="S1" s="378"/>
      <c r="T1" s="378"/>
      <c r="U1" s="376" t="str">
        <f>'Master Input'!$I$6</f>
        <v>The Wolverine - Blue</v>
      </c>
      <c r="V1" s="378"/>
      <c r="W1" s="378"/>
      <c r="X1" s="378"/>
      <c r="Y1" s="378"/>
      <c r="Z1" s="378"/>
      <c r="AA1" s="379"/>
      <c r="AB1" s="380"/>
    </row>
    <row r="2" spans="1:28" ht="14.25" customHeight="1">
      <c r="A2" s="75" t="s">
        <v>16</v>
      </c>
      <c r="B2" s="1165" t="str">
        <f>'Match Selection'!B14</f>
        <v>2-Man Scramble</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237" t="s">
        <v>24</v>
      </c>
      <c r="C5" s="381" t="s">
        <v>58</v>
      </c>
      <c r="D5" s="101"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09" t="s">
        <v>27</v>
      </c>
      <c r="AB5" s="109" t="s">
        <v>52</v>
      </c>
    </row>
    <row r="6" spans="1:28" ht="7.5" customHeight="1">
      <c r="A6" s="111"/>
      <c r="B6" s="111"/>
      <c r="C6" s="280"/>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382"/>
      <c r="O6" s="118"/>
      <c r="P6" s="240"/>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
      </c>
      <c r="Z6" s="383"/>
      <c r="AA6" s="384"/>
      <c r="AB6" s="384"/>
    </row>
    <row r="7" spans="1:28" ht="22.5" hidden="1" customHeight="1">
      <c r="A7" s="123"/>
      <c r="B7" s="124"/>
      <c r="C7" s="38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386"/>
      <c r="O7" s="131"/>
      <c r="P7" s="123"/>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0</v>
      </c>
      <c r="Z7" s="387"/>
      <c r="AA7" s="388"/>
      <c r="AB7" s="389"/>
    </row>
    <row r="8" spans="1:28" ht="22.5" customHeight="1">
      <c r="A8" s="136" t="str">
        <f>'Match Selection'!J14</f>
        <v>Jensen</v>
      </c>
      <c r="B8" s="137" t="str">
        <f>VLOOKUP(A8, 'Master Input'!$A$11:$B$27,2, FALSE)</f>
        <v>WEEZ</v>
      </c>
      <c r="C8" s="390">
        <f ca="1">ROUND(VLOOKUP(A8,'Master Input'!$A$11:$L$27,'Master Input'!$J$28, FALSE) * 0.35
+VLOOKUP(A11,'Master Input'!$A$11:$L$27,'Master Input'!$J$28, FALSE) * 0.15,1)</f>
        <v>4.4000000000000004</v>
      </c>
      <c r="D8" s="139">
        <v>0</v>
      </c>
      <c r="E8" s="140">
        <v>3</v>
      </c>
      <c r="F8" s="141">
        <v>5</v>
      </c>
      <c r="G8" s="142">
        <v>5</v>
      </c>
      <c r="H8" s="141">
        <v>3</v>
      </c>
      <c r="I8" s="142">
        <v>3</v>
      </c>
      <c r="J8" s="141">
        <v>5</v>
      </c>
      <c r="K8" s="142">
        <v>4</v>
      </c>
      <c r="L8" s="141">
        <v>4</v>
      </c>
      <c r="M8" s="142">
        <v>3</v>
      </c>
      <c r="N8" s="391">
        <f>IF(M8="","", SUM(E8:M8))</f>
        <v>35</v>
      </c>
      <c r="O8" s="131"/>
      <c r="P8" s="136" t="str">
        <f>A8</f>
        <v>Jensen</v>
      </c>
      <c r="Q8" s="140">
        <v>3</v>
      </c>
      <c r="R8" s="141">
        <v>4</v>
      </c>
      <c r="S8" s="142">
        <v>2</v>
      </c>
      <c r="T8" s="141">
        <v>4</v>
      </c>
      <c r="U8" s="142">
        <v>3</v>
      </c>
      <c r="V8" s="141">
        <v>4</v>
      </c>
      <c r="W8" s="142">
        <v>4</v>
      </c>
      <c r="X8" s="141">
        <v>4</v>
      </c>
      <c r="Y8" s="142">
        <v>4</v>
      </c>
      <c r="Z8" s="392">
        <f>IF(Y8="","", SUM(Q8:Y8))</f>
        <v>32</v>
      </c>
      <c r="AA8" s="393">
        <f>IF(Z8="", "", SUM(N8,Z8))</f>
        <v>67</v>
      </c>
      <c r="AB8" s="394">
        <f ca="1">IF(Y8="", "", AA8-C8)</f>
        <v>62.6</v>
      </c>
    </row>
    <row r="9" spans="1:28" ht="7.5" customHeight="1">
      <c r="A9" s="147"/>
      <c r="B9" s="259"/>
      <c r="C9" s="315"/>
      <c r="D9" s="395"/>
      <c r="E9" s="396" t="str">
        <f t="shared" ref="E9:M9" ca="1" si="4">IF(E10=1,"O", IF(E10=2,"O   O",""))</f>
        <v/>
      </c>
      <c r="F9" s="397" t="str">
        <f t="shared" ca="1" si="4"/>
        <v/>
      </c>
      <c r="G9" s="398" t="str">
        <f t="shared" ca="1" si="4"/>
        <v/>
      </c>
      <c r="H9" s="397" t="str">
        <f t="shared" ca="1" si="4"/>
        <v/>
      </c>
      <c r="I9" s="398" t="str">
        <f t="shared" ca="1" si="4"/>
        <v/>
      </c>
      <c r="J9" s="397" t="str">
        <f t="shared" ca="1" si="4"/>
        <v/>
      </c>
      <c r="K9" s="398" t="str">
        <f t="shared" ca="1" si="4"/>
        <v/>
      </c>
      <c r="L9" s="397" t="str">
        <f t="shared" ca="1" si="4"/>
        <v/>
      </c>
      <c r="M9" s="398" t="str">
        <f t="shared" ca="1" si="4"/>
        <v/>
      </c>
      <c r="N9" s="399"/>
      <c r="O9" s="118"/>
      <c r="P9" s="245"/>
      <c r="Q9" s="396" t="str">
        <f t="shared" ref="Q9:Y9" ca="1" si="5">IF(Q10=1,"O", IF(Q10=2,"O   O",""))</f>
        <v/>
      </c>
      <c r="R9" s="397" t="str">
        <f t="shared" ca="1" si="5"/>
        <v/>
      </c>
      <c r="S9" s="398" t="str">
        <f t="shared" ca="1" si="5"/>
        <v/>
      </c>
      <c r="T9" s="397" t="str">
        <f t="shared" ca="1" si="5"/>
        <v/>
      </c>
      <c r="U9" s="398" t="str">
        <f t="shared" ca="1" si="5"/>
        <v/>
      </c>
      <c r="V9" s="397" t="str">
        <f t="shared" ca="1" si="5"/>
        <v/>
      </c>
      <c r="W9" s="398" t="str">
        <f t="shared" ca="1" si="5"/>
        <v/>
      </c>
      <c r="X9" s="397" t="str">
        <f t="shared" ca="1" si="5"/>
        <v/>
      </c>
      <c r="Y9" s="398" t="str">
        <f t="shared" ca="1" si="5"/>
        <v/>
      </c>
      <c r="Z9" s="400"/>
      <c r="AA9" s="401"/>
      <c r="AB9" s="402"/>
    </row>
    <row r="10" spans="1:28" ht="22.5" hidden="1" customHeight="1">
      <c r="A10" s="260"/>
      <c r="B10" s="261"/>
      <c r="C10" s="286"/>
      <c r="D10" s="403"/>
      <c r="E10" s="404">
        <f t="shared" ref="E10:M10" ca="1" si="6">IF($D11&gt;0,FLOOR($D11/18,1),0)+IF(AND(MOD($D11,18)&gt;=E$3,$D11&gt;0),1,0)-IF(E$3-18&gt;$D11,1,0)</f>
        <v>0</v>
      </c>
      <c r="F10" s="405">
        <f t="shared" ca="1" si="6"/>
        <v>0</v>
      </c>
      <c r="G10" s="406">
        <f t="shared" ca="1" si="6"/>
        <v>0</v>
      </c>
      <c r="H10" s="405">
        <f t="shared" ca="1" si="6"/>
        <v>0</v>
      </c>
      <c r="I10" s="406">
        <f t="shared" ca="1" si="6"/>
        <v>0</v>
      </c>
      <c r="J10" s="405">
        <f t="shared" ca="1" si="6"/>
        <v>0</v>
      </c>
      <c r="K10" s="406">
        <f t="shared" ca="1" si="6"/>
        <v>0</v>
      </c>
      <c r="L10" s="405">
        <f t="shared" ca="1" si="6"/>
        <v>0</v>
      </c>
      <c r="M10" s="406">
        <f t="shared" ca="1" si="6"/>
        <v>0</v>
      </c>
      <c r="N10" s="407"/>
      <c r="O10" s="131"/>
      <c r="P10" s="123"/>
      <c r="Q10" s="404">
        <f t="shared" ref="Q10:Y10" ca="1" si="7">IF($D11&gt;0,FLOOR($D11/18,1),0)+IF(AND(MOD($D11,18)&gt;=Q$3,$D11&gt;0),1,0)-IF(Q$3-18&gt;$D11,1,0)</f>
        <v>0</v>
      </c>
      <c r="R10" s="405">
        <f t="shared" ca="1" si="7"/>
        <v>0</v>
      </c>
      <c r="S10" s="406">
        <f t="shared" ca="1" si="7"/>
        <v>0</v>
      </c>
      <c r="T10" s="405">
        <f t="shared" ca="1" si="7"/>
        <v>0</v>
      </c>
      <c r="U10" s="406">
        <f t="shared" ca="1" si="7"/>
        <v>0</v>
      </c>
      <c r="V10" s="405">
        <f t="shared" ca="1" si="7"/>
        <v>0</v>
      </c>
      <c r="W10" s="406">
        <f t="shared" ca="1" si="7"/>
        <v>0</v>
      </c>
      <c r="X10" s="405">
        <f t="shared" ca="1" si="7"/>
        <v>0</v>
      </c>
      <c r="Y10" s="406">
        <f t="shared" ca="1" si="7"/>
        <v>0</v>
      </c>
      <c r="Z10" s="408"/>
      <c r="AA10" s="409"/>
      <c r="AB10" s="410"/>
    </row>
    <row r="11" spans="1:28" ht="22.5" customHeight="1">
      <c r="A11" s="157" t="str">
        <f>'Match Selection'!J15</f>
        <v>Pace</v>
      </c>
      <c r="B11" s="262" t="str">
        <f>VLOOKUP(A11, 'Master Input'!$A$11:$B$27,2, FALSE)</f>
        <v>WEEZ</v>
      </c>
      <c r="C11" s="411">
        <f ca="1">C8</f>
        <v>4.4000000000000004</v>
      </c>
      <c r="D11" s="412">
        <f>IF(D8="", 0,D8)</f>
        <v>0</v>
      </c>
      <c r="E11" s="413">
        <f t="shared" ref="E11:M11" si="8">IF(E8="","-",E8)</f>
        <v>3</v>
      </c>
      <c r="F11" s="414">
        <f t="shared" si="8"/>
        <v>5</v>
      </c>
      <c r="G11" s="415">
        <f t="shared" si="8"/>
        <v>5</v>
      </c>
      <c r="H11" s="414">
        <f t="shared" si="8"/>
        <v>3</v>
      </c>
      <c r="I11" s="415">
        <f t="shared" si="8"/>
        <v>3</v>
      </c>
      <c r="J11" s="414">
        <f t="shared" si="8"/>
        <v>5</v>
      </c>
      <c r="K11" s="415">
        <f t="shared" si="8"/>
        <v>4</v>
      </c>
      <c r="L11" s="414">
        <f t="shared" si="8"/>
        <v>4</v>
      </c>
      <c r="M11" s="415">
        <f t="shared" si="8"/>
        <v>3</v>
      </c>
      <c r="N11" s="416">
        <f>IF(M11="-","-", SUM(E11:M11))</f>
        <v>35</v>
      </c>
      <c r="O11" s="131"/>
      <c r="P11" s="136" t="str">
        <f>A11</f>
        <v>Pace</v>
      </c>
      <c r="Q11" s="413">
        <f t="shared" ref="Q11:Y11" si="9">IF(Q8="","-",Q8)</f>
        <v>3</v>
      </c>
      <c r="R11" s="414">
        <f t="shared" si="9"/>
        <v>4</v>
      </c>
      <c r="S11" s="415">
        <f t="shared" si="9"/>
        <v>2</v>
      </c>
      <c r="T11" s="414">
        <f t="shared" si="9"/>
        <v>4</v>
      </c>
      <c r="U11" s="415">
        <f t="shared" si="9"/>
        <v>3</v>
      </c>
      <c r="V11" s="414">
        <f t="shared" si="9"/>
        <v>4</v>
      </c>
      <c r="W11" s="415">
        <f t="shared" si="9"/>
        <v>4</v>
      </c>
      <c r="X11" s="414">
        <f t="shared" si="9"/>
        <v>4</v>
      </c>
      <c r="Y11" s="415">
        <f t="shared" si="9"/>
        <v>4</v>
      </c>
      <c r="Z11" s="416">
        <f>IF(Y11="-","-", SUM(Q11:Y11))</f>
        <v>32</v>
      </c>
      <c r="AA11" s="417">
        <f>IF(Z11="-", "-", SUM(N11,Z11))</f>
        <v>67</v>
      </c>
      <c r="AB11" s="418">
        <f ca="1">IF(Y11="-", "-", AA11-C8)</f>
        <v>62.6</v>
      </c>
    </row>
    <row r="12" spans="1:28" ht="7.5" customHeight="1">
      <c r="A12" s="159"/>
      <c r="B12" s="254"/>
      <c r="C12" s="323"/>
      <c r="D12" s="162"/>
      <c r="E12" s="163" t="str">
        <f t="shared" ref="E12:M12" ca="1" si="10">IF(E13=1,"O", IF(E13=2,"O   O",""))</f>
        <v/>
      </c>
      <c r="F12" s="164" t="str">
        <f t="shared" ca="1" si="10"/>
        <v/>
      </c>
      <c r="G12" s="165" t="str">
        <f t="shared" ca="1" si="10"/>
        <v>O</v>
      </c>
      <c r="H12" s="164" t="str">
        <f t="shared" ca="1" si="10"/>
        <v/>
      </c>
      <c r="I12" s="165" t="str">
        <f t="shared" ca="1" si="10"/>
        <v/>
      </c>
      <c r="J12" s="164" t="str">
        <f t="shared" ca="1" si="10"/>
        <v/>
      </c>
      <c r="K12" s="165" t="str">
        <f t="shared" ca="1" si="10"/>
        <v/>
      </c>
      <c r="L12" s="164" t="str">
        <f t="shared" ca="1" si="10"/>
        <v/>
      </c>
      <c r="M12" s="165" t="str">
        <f t="shared" ca="1" si="10"/>
        <v/>
      </c>
      <c r="N12" s="419"/>
      <c r="O12" s="118"/>
      <c r="P12" s="159"/>
      <c r="Q12" s="163" t="str">
        <f t="shared" ref="Q12:Y12" ca="1" si="11">IF(Q13=1,"O", IF(Q13=2,"O   O",""))</f>
        <v/>
      </c>
      <c r="R12" s="164" t="str">
        <f t="shared" ca="1" si="11"/>
        <v/>
      </c>
      <c r="S12" s="165" t="str">
        <f t="shared" ca="1" si="11"/>
        <v/>
      </c>
      <c r="T12" s="164" t="str">
        <f t="shared" ca="1" si="11"/>
        <v/>
      </c>
      <c r="U12" s="165" t="str">
        <f t="shared" ca="1" si="11"/>
        <v/>
      </c>
      <c r="V12" s="164" t="str">
        <f t="shared" ca="1" si="11"/>
        <v/>
      </c>
      <c r="W12" s="165" t="str">
        <f t="shared" ca="1" si="11"/>
        <v/>
      </c>
      <c r="X12" s="164" t="str">
        <f t="shared" ca="1" si="11"/>
        <v/>
      </c>
      <c r="Y12" s="165" t="str">
        <f t="shared" ca="1" si="11"/>
        <v/>
      </c>
      <c r="Z12" s="420"/>
      <c r="AA12" s="421"/>
      <c r="AB12" s="422"/>
    </row>
    <row r="13" spans="1:28" ht="22.5" hidden="1" customHeight="1">
      <c r="A13" s="171"/>
      <c r="B13" s="255"/>
      <c r="C13" s="307"/>
      <c r="D13" s="174"/>
      <c r="E13" s="175">
        <f t="shared" ref="E13:M13" ca="1" si="12">IF($D14&gt;0,FLOOR($D14/18,1),0)+IF(AND(MOD($D14,18)&gt;=E$3,$D14&gt;0),1,0)-IF(E$3-18&gt;$D14,1,0)</f>
        <v>0</v>
      </c>
      <c r="F13" s="176">
        <f t="shared" ca="1" si="12"/>
        <v>0</v>
      </c>
      <c r="G13" s="177">
        <f t="shared" ca="1" si="12"/>
        <v>1</v>
      </c>
      <c r="H13" s="176">
        <f t="shared" ca="1" si="12"/>
        <v>0</v>
      </c>
      <c r="I13" s="177">
        <f t="shared" ca="1" si="12"/>
        <v>0</v>
      </c>
      <c r="J13" s="176">
        <f t="shared" ca="1" si="12"/>
        <v>0</v>
      </c>
      <c r="K13" s="177">
        <f t="shared" ca="1" si="12"/>
        <v>0</v>
      </c>
      <c r="L13" s="176">
        <f t="shared" ca="1" si="12"/>
        <v>0</v>
      </c>
      <c r="M13" s="177">
        <f t="shared" ca="1" si="12"/>
        <v>0</v>
      </c>
      <c r="N13" s="423"/>
      <c r="O13" s="131"/>
      <c r="P13" s="171"/>
      <c r="Q13" s="175">
        <f t="shared" ref="Q13:Y13" ca="1" si="13">IF($D14&gt;0,FLOOR($D14/18,1),0)+IF(AND(MOD($D14,18)&gt;=Q$3,$D14&gt;0),1,0)-IF(Q$3-18&gt;$D14,1,0)</f>
        <v>0</v>
      </c>
      <c r="R13" s="176">
        <f t="shared" ca="1" si="13"/>
        <v>0</v>
      </c>
      <c r="S13" s="177">
        <f t="shared" ca="1" si="13"/>
        <v>0</v>
      </c>
      <c r="T13" s="176">
        <f t="shared" ca="1" si="13"/>
        <v>0</v>
      </c>
      <c r="U13" s="177">
        <f t="shared" ca="1" si="13"/>
        <v>0</v>
      </c>
      <c r="V13" s="176">
        <f t="shared" ca="1" si="13"/>
        <v>0</v>
      </c>
      <c r="W13" s="177">
        <f t="shared" ca="1" si="13"/>
        <v>0</v>
      </c>
      <c r="X13" s="176">
        <f t="shared" ca="1" si="13"/>
        <v>0</v>
      </c>
      <c r="Y13" s="177">
        <f t="shared" ca="1" si="13"/>
        <v>0</v>
      </c>
      <c r="Z13" s="408"/>
      <c r="AA13" s="424"/>
      <c r="AB13" s="410"/>
    </row>
    <row r="14" spans="1:28" ht="22.5" customHeight="1">
      <c r="A14" s="181" t="str">
        <f>'Match Selection'!M14</f>
        <v>R-Mac</v>
      </c>
      <c r="B14" s="257" t="str">
        <f>VLOOKUP(A14, 'Master Input'!$A$11:$B$27,2, FALSE)</f>
        <v>TEES</v>
      </c>
      <c r="C14" s="425">
        <f ca="1">ROUND(VLOOKUP(A14,'Master Input'!$A$11:$L$27,'Master Input'!$J$28, FALSE) * 0.35
+VLOOKUP(A17,'Master Input'!$A$11:$L$27,'Master Input'!$J$28, FALSE) * 0.15,1)</f>
        <v>5.0999999999999996</v>
      </c>
      <c r="D14" s="184">
        <v>1</v>
      </c>
      <c r="E14" s="185">
        <v>4</v>
      </c>
      <c r="F14" s="186">
        <v>5</v>
      </c>
      <c r="G14" s="187">
        <v>4</v>
      </c>
      <c r="H14" s="186">
        <v>4</v>
      </c>
      <c r="I14" s="187">
        <v>4</v>
      </c>
      <c r="J14" s="186">
        <v>4</v>
      </c>
      <c r="K14" s="187">
        <v>4</v>
      </c>
      <c r="L14" s="186">
        <v>5</v>
      </c>
      <c r="M14" s="187">
        <v>2</v>
      </c>
      <c r="N14" s="426">
        <f>IF(M14="","", SUM(E14:M14))</f>
        <v>36</v>
      </c>
      <c r="O14" s="131"/>
      <c r="P14" s="181" t="str">
        <f>A14</f>
        <v>R-Mac</v>
      </c>
      <c r="Q14" s="185">
        <v>3</v>
      </c>
      <c r="R14" s="186">
        <v>6</v>
      </c>
      <c r="S14" s="187">
        <v>4</v>
      </c>
      <c r="T14" s="186">
        <v>4</v>
      </c>
      <c r="U14" s="187">
        <v>4</v>
      </c>
      <c r="V14" s="186">
        <v>4</v>
      </c>
      <c r="W14" s="187">
        <v>5</v>
      </c>
      <c r="X14" s="186">
        <v>5</v>
      </c>
      <c r="Y14" s="187">
        <v>5</v>
      </c>
      <c r="Z14" s="427">
        <f>IF(Y14="","", SUM(Q14:Y14))</f>
        <v>40</v>
      </c>
      <c r="AA14" s="428">
        <f>IF(Z14="", "", SUM(N14,Z14))</f>
        <v>76</v>
      </c>
      <c r="AB14" s="394">
        <f ca="1">IF(Y14="", "", AA14-C14)</f>
        <v>70.900000000000006</v>
      </c>
    </row>
    <row r="15" spans="1:28" ht="7.5" customHeight="1">
      <c r="A15" s="159"/>
      <c r="B15" s="254"/>
      <c r="C15" s="323"/>
      <c r="D15" s="429"/>
      <c r="E15" s="430" t="str">
        <f t="shared" ref="E15:M15" ca="1" si="14">IF(E16=1,"O", IF(E16=2,"O   O",""))</f>
        <v/>
      </c>
      <c r="F15" s="431" t="str">
        <f t="shared" ca="1" si="14"/>
        <v/>
      </c>
      <c r="G15" s="432" t="str">
        <f t="shared" ca="1" si="14"/>
        <v>O</v>
      </c>
      <c r="H15" s="431" t="str">
        <f t="shared" ca="1" si="14"/>
        <v/>
      </c>
      <c r="I15" s="432" t="str">
        <f t="shared" ca="1" si="14"/>
        <v/>
      </c>
      <c r="J15" s="431" t="str">
        <f t="shared" ca="1" si="14"/>
        <v/>
      </c>
      <c r="K15" s="432" t="str">
        <f t="shared" ca="1" si="14"/>
        <v/>
      </c>
      <c r="L15" s="431" t="str">
        <f t="shared" ca="1" si="14"/>
        <v/>
      </c>
      <c r="M15" s="432" t="str">
        <f t="shared" ca="1" si="14"/>
        <v/>
      </c>
      <c r="N15" s="433"/>
      <c r="O15" s="118"/>
      <c r="P15" s="159"/>
      <c r="Q15" s="430" t="str">
        <f t="shared" ref="Q15:Y15" ca="1" si="15">IF(Q16=1,"O", IF(Q16=2,"O   O",""))</f>
        <v/>
      </c>
      <c r="R15" s="431" t="str">
        <f t="shared" ca="1" si="15"/>
        <v/>
      </c>
      <c r="S15" s="432" t="str">
        <f t="shared" ca="1" si="15"/>
        <v/>
      </c>
      <c r="T15" s="431" t="str">
        <f t="shared" ca="1" si="15"/>
        <v/>
      </c>
      <c r="U15" s="432" t="str">
        <f t="shared" ca="1" si="15"/>
        <v/>
      </c>
      <c r="V15" s="431" t="str">
        <f t="shared" ca="1" si="15"/>
        <v/>
      </c>
      <c r="W15" s="432" t="str">
        <f t="shared" ca="1" si="15"/>
        <v/>
      </c>
      <c r="X15" s="431" t="str">
        <f t="shared" ca="1" si="15"/>
        <v/>
      </c>
      <c r="Y15" s="432" t="str">
        <f t="shared" ca="1" si="15"/>
        <v/>
      </c>
      <c r="Z15" s="420"/>
      <c r="AA15" s="434"/>
      <c r="AB15" s="422"/>
    </row>
    <row r="16" spans="1:28" ht="22.5" hidden="1" customHeight="1">
      <c r="A16" s="171"/>
      <c r="B16" s="255"/>
      <c r="C16" s="307"/>
      <c r="D16" s="435"/>
      <c r="E16" s="436">
        <f t="shared" ref="E16:M16" ca="1" si="16">IF($D17&gt;0,FLOOR($D17/18,1),0)+IF(AND(MOD($D17,18)&gt;=E$3,$D17&gt;0),1,0)-IF(E$3-18&gt;$D17,1,0)</f>
        <v>0</v>
      </c>
      <c r="F16" s="437">
        <f t="shared" ca="1" si="16"/>
        <v>0</v>
      </c>
      <c r="G16" s="438">
        <f t="shared" ca="1" si="16"/>
        <v>1</v>
      </c>
      <c r="H16" s="437">
        <f t="shared" ca="1" si="16"/>
        <v>0</v>
      </c>
      <c r="I16" s="438">
        <f t="shared" ca="1" si="16"/>
        <v>0</v>
      </c>
      <c r="J16" s="437">
        <f t="shared" ca="1" si="16"/>
        <v>0</v>
      </c>
      <c r="K16" s="438">
        <f t="shared" ca="1" si="16"/>
        <v>0</v>
      </c>
      <c r="L16" s="437">
        <f t="shared" ca="1" si="16"/>
        <v>0</v>
      </c>
      <c r="M16" s="438">
        <f t="shared" ca="1" si="16"/>
        <v>0</v>
      </c>
      <c r="N16" s="439"/>
      <c r="O16" s="131"/>
      <c r="P16" s="171"/>
      <c r="Q16" s="436">
        <f t="shared" ref="Q16:Y16" ca="1" si="17">IF($D17&gt;0,FLOOR($D17/18,1),0)+IF(AND(MOD($D17,18)&gt;=Q$3,$D17&gt;0),1,0)-IF(Q$3-18&gt;$D17,1,0)</f>
        <v>0</v>
      </c>
      <c r="R16" s="437">
        <f t="shared" ca="1" si="17"/>
        <v>0</v>
      </c>
      <c r="S16" s="438">
        <f t="shared" ca="1" si="17"/>
        <v>0</v>
      </c>
      <c r="T16" s="437">
        <f t="shared" ca="1" si="17"/>
        <v>0</v>
      </c>
      <c r="U16" s="438">
        <f t="shared" ca="1" si="17"/>
        <v>0</v>
      </c>
      <c r="V16" s="437">
        <f t="shared" ca="1" si="17"/>
        <v>0</v>
      </c>
      <c r="W16" s="438">
        <f t="shared" ca="1" si="17"/>
        <v>0</v>
      </c>
      <c r="X16" s="437">
        <f t="shared" ca="1" si="17"/>
        <v>0</v>
      </c>
      <c r="Y16" s="438">
        <f t="shared" ca="1" si="17"/>
        <v>0</v>
      </c>
      <c r="Z16" s="408"/>
      <c r="AA16" s="424"/>
      <c r="AB16" s="410"/>
    </row>
    <row r="17" spans="1:28" ht="22.5" customHeight="1">
      <c r="A17" s="191" t="str">
        <f>'Match Selection'!M15</f>
        <v>CuzNick</v>
      </c>
      <c r="B17" s="257" t="str">
        <f>VLOOKUP(A17, 'Master Input'!$A$11:$B$27,2, FALSE)</f>
        <v>TEES</v>
      </c>
      <c r="C17" s="440">
        <f ca="1">C14</f>
        <v>5.0999999999999996</v>
      </c>
      <c r="D17" s="441">
        <f>IF(D14="", 0,D14)</f>
        <v>1</v>
      </c>
      <c r="E17" s="442">
        <f t="shared" ref="E17:M17" si="18">IF(E14="","-",E14)</f>
        <v>4</v>
      </c>
      <c r="F17" s="443">
        <f t="shared" si="18"/>
        <v>5</v>
      </c>
      <c r="G17" s="444">
        <f t="shared" si="18"/>
        <v>4</v>
      </c>
      <c r="H17" s="443">
        <f t="shared" si="18"/>
        <v>4</v>
      </c>
      <c r="I17" s="443">
        <f t="shared" si="18"/>
        <v>4</v>
      </c>
      <c r="J17" s="443">
        <f t="shared" si="18"/>
        <v>4</v>
      </c>
      <c r="K17" s="443">
        <f t="shared" si="18"/>
        <v>4</v>
      </c>
      <c r="L17" s="443">
        <f t="shared" si="18"/>
        <v>5</v>
      </c>
      <c r="M17" s="443">
        <f t="shared" si="18"/>
        <v>2</v>
      </c>
      <c r="N17" s="445">
        <f>IF(M17="-","-", SUM(E17:M17))</f>
        <v>36</v>
      </c>
      <c r="O17" s="131"/>
      <c r="P17" s="181" t="str">
        <f>A17</f>
        <v>CuzNick</v>
      </c>
      <c r="Q17" s="442">
        <f t="shared" ref="Q17:Y17" si="19">IF(Q14="","-",Q14)</f>
        <v>3</v>
      </c>
      <c r="R17" s="443">
        <f t="shared" si="19"/>
        <v>6</v>
      </c>
      <c r="S17" s="444">
        <f t="shared" si="19"/>
        <v>4</v>
      </c>
      <c r="T17" s="443">
        <f t="shared" si="19"/>
        <v>4</v>
      </c>
      <c r="U17" s="444">
        <f t="shared" si="19"/>
        <v>4</v>
      </c>
      <c r="V17" s="443">
        <f t="shared" si="19"/>
        <v>4</v>
      </c>
      <c r="W17" s="444">
        <f t="shared" si="19"/>
        <v>5</v>
      </c>
      <c r="X17" s="443">
        <f t="shared" si="19"/>
        <v>5</v>
      </c>
      <c r="Y17" s="444">
        <f t="shared" si="19"/>
        <v>5</v>
      </c>
      <c r="Z17" s="446">
        <f>IF(Y17="-","-", SUM(Q17:Y17))</f>
        <v>40</v>
      </c>
      <c r="AA17" s="447">
        <f>IF(Z17="-", "-", SUM(N17,Z17))</f>
        <v>76</v>
      </c>
      <c r="AB17" s="418">
        <f ca="1">IF(Y17="-", "-", AA17-C14)</f>
        <v>70.900000000000006</v>
      </c>
    </row>
    <row r="18" spans="1:28" ht="11.25" customHeight="1">
      <c r="A18" s="448"/>
      <c r="B18" s="448"/>
      <c r="C18" s="449"/>
      <c r="D18" s="450"/>
      <c r="E18" s="451"/>
      <c r="F18" s="450"/>
      <c r="G18" s="450"/>
      <c r="H18" s="450"/>
      <c r="I18" s="450"/>
      <c r="J18" s="450"/>
      <c r="K18" s="450"/>
      <c r="L18" s="450"/>
      <c r="M18" s="450"/>
      <c r="N18" s="331" t="s">
        <v>7</v>
      </c>
      <c r="O18" s="196"/>
      <c r="P18" s="195"/>
      <c r="Q18" s="331"/>
      <c r="R18" s="195" t="s">
        <v>9</v>
      </c>
      <c r="S18" s="195" t="s">
        <v>35</v>
      </c>
      <c r="T18" s="195" t="s">
        <v>54</v>
      </c>
      <c r="U18" s="195"/>
      <c r="V18" s="195" t="s">
        <v>9</v>
      </c>
      <c r="W18" s="195" t="s">
        <v>35</v>
      </c>
      <c r="X18" s="195" t="s">
        <v>54</v>
      </c>
      <c r="Y18" s="195"/>
      <c r="Z18" s="331" t="s">
        <v>9</v>
      </c>
      <c r="AA18" s="195" t="s">
        <v>29</v>
      </c>
      <c r="AB18" s="197" t="s">
        <v>42</v>
      </c>
    </row>
    <row r="19" spans="1:28" ht="14.25" customHeight="1">
      <c r="A19" s="452" t="str">
        <f>B8&amp;" Status"</f>
        <v>WEEZ Status</v>
      </c>
      <c r="B19" s="453" t="s">
        <v>55</v>
      </c>
      <c r="C19" s="454"/>
      <c r="D19" s="455"/>
      <c r="E19" s="456">
        <f ca="1">IF(OR(E8="", E14=""), ".",E23)</f>
        <v>1</v>
      </c>
      <c r="F19" s="457">
        <f t="shared" ref="F19:M19" ca="1" si="20">IF(OR(F8="", F14=""), ".",F23+E19)</f>
        <v>1</v>
      </c>
      <c r="G19" s="457">
        <f t="shared" ca="1" si="20"/>
        <v>0</v>
      </c>
      <c r="H19" s="457">
        <f t="shared" ca="1" si="20"/>
        <v>1</v>
      </c>
      <c r="I19" s="457">
        <f t="shared" ca="1" si="20"/>
        <v>2</v>
      </c>
      <c r="J19" s="457">
        <f t="shared" ca="1" si="20"/>
        <v>1</v>
      </c>
      <c r="K19" s="457">
        <f t="shared" ca="1" si="20"/>
        <v>1</v>
      </c>
      <c r="L19" s="457">
        <f t="shared" ca="1" si="20"/>
        <v>2</v>
      </c>
      <c r="M19" s="457">
        <f t="shared" ca="1" si="20"/>
        <v>1</v>
      </c>
      <c r="N19" s="458">
        <f ca="1">IF(M19=".", "", IF(M19&lt;0, 0, IF(M19&gt;0, VLOOKUP($B$2,'Master Input'!$O$12:$R$23,'Master Input'!P$11,FALSE), VLOOKUP($B$2,'Master Input'!$O$12:$R$23,'Master Input'!P$11,FALSE)*0.5)))</f>
        <v>1</v>
      </c>
      <c r="O19" s="204"/>
      <c r="P19" s="459" t="s">
        <v>56</v>
      </c>
      <c r="Q19" s="460">
        <f ca="1">IF(OR(Q8="", Q14=""), ".",Q23+M19)</f>
        <v>1</v>
      </c>
      <c r="R19" s="457">
        <f t="shared" ref="R19:Y19" ca="1" si="21">IF(OR(R8="", R14=""), ".",R23+Q19)</f>
        <v>2</v>
      </c>
      <c r="S19" s="457">
        <f t="shared" ca="1" si="21"/>
        <v>3</v>
      </c>
      <c r="T19" s="457">
        <f t="shared" ca="1" si="21"/>
        <v>3</v>
      </c>
      <c r="U19" s="457">
        <f t="shared" ca="1" si="21"/>
        <v>4</v>
      </c>
      <c r="V19" s="457">
        <f t="shared" ca="1" si="21"/>
        <v>4</v>
      </c>
      <c r="W19" s="457">
        <f t="shared" ca="1" si="21"/>
        <v>5</v>
      </c>
      <c r="X19" s="457">
        <f t="shared" ca="1" si="21"/>
        <v>6</v>
      </c>
      <c r="Y19" s="455">
        <f t="shared" ca="1" si="21"/>
        <v>7</v>
      </c>
      <c r="Z19" s="461">
        <f ca="1">IF(Y19=".", "", IF(Y19&lt;0, 0, IF(Y19&gt;0, VLOOKUP($B$2,'Master Input'!$O$12:$R$23,'Master Input'!R$11,FALSE), VLOOKUP($B$2,'Master Input'!$O$12:$R$23,'Master Input'!R$11,FALSE)*0.5)))</f>
        <v>2</v>
      </c>
      <c r="AA19" s="365" t="s">
        <v>29</v>
      </c>
      <c r="AB19" s="458">
        <f ca="1">IF(Z19="","", SUM(N19,Z19,Z20))</f>
        <v>4</v>
      </c>
    </row>
    <row r="20" spans="1:28" ht="14.25" customHeight="1">
      <c r="A20" s="362"/>
      <c r="B20" s="362"/>
      <c r="C20" s="361"/>
      <c r="D20" s="362"/>
      <c r="E20" s="362"/>
      <c r="F20" s="362"/>
      <c r="G20" s="362"/>
      <c r="H20" s="362"/>
      <c r="I20" s="362"/>
      <c r="J20" s="362"/>
      <c r="K20" s="362"/>
      <c r="L20" s="362"/>
      <c r="M20" s="362"/>
      <c r="N20" s="362"/>
      <c r="O20" s="204"/>
      <c r="P20" s="462" t="s">
        <v>57</v>
      </c>
      <c r="Q20" s="463">
        <f ca="1">IF(OR(Q8="", Q14=""), ".",Q23)</f>
        <v>0</v>
      </c>
      <c r="R20" s="464">
        <f t="shared" ref="R20:Y20" ca="1" si="22">IF(OR(R8="", R14=""), ".",R23+Q20)</f>
        <v>1</v>
      </c>
      <c r="S20" s="464">
        <f t="shared" ca="1" si="22"/>
        <v>2</v>
      </c>
      <c r="T20" s="464">
        <f t="shared" ca="1" si="22"/>
        <v>2</v>
      </c>
      <c r="U20" s="464">
        <f t="shared" ca="1" si="22"/>
        <v>3</v>
      </c>
      <c r="V20" s="464">
        <f t="shared" ca="1" si="22"/>
        <v>3</v>
      </c>
      <c r="W20" s="464">
        <f t="shared" ca="1" si="22"/>
        <v>4</v>
      </c>
      <c r="X20" s="464">
        <f t="shared" ca="1" si="22"/>
        <v>5</v>
      </c>
      <c r="Y20" s="464">
        <f t="shared" ca="1" si="22"/>
        <v>6</v>
      </c>
      <c r="Z20" s="465">
        <f ca="1">IF(Y20=".", "", IF(Y20&lt;0, 0, IF(Y20&gt;0, VLOOKUP($B$2,'Master Input'!$O$12:$R$23,'Master Input'!Q$11,FALSE), VLOOKUP($B$2,'Master Input'!$O$12:$R$23,'Master Input'!Q$11,FALSE)*0.5)))</f>
        <v>1</v>
      </c>
      <c r="AA20" s="365" t="s">
        <v>9</v>
      </c>
      <c r="AB20" s="193"/>
    </row>
    <row r="21" spans="1:28" ht="14.25" hidden="1" customHeight="1">
      <c r="A21" s="193"/>
      <c r="B21" s="193"/>
      <c r="C21" s="194"/>
      <c r="D21" s="193"/>
      <c r="E21" s="193"/>
      <c r="F21" s="193"/>
      <c r="G21" s="193"/>
      <c r="H21" s="193"/>
      <c r="I21" s="193"/>
      <c r="J21" s="193"/>
      <c r="K21" s="193"/>
      <c r="L21" s="193"/>
      <c r="M21" s="193"/>
      <c r="N21" s="193"/>
      <c r="O21" s="204"/>
      <c r="P21" s="365"/>
      <c r="Q21" s="365"/>
      <c r="R21" s="365"/>
      <c r="S21" s="365"/>
      <c r="T21" s="365"/>
      <c r="U21" s="365"/>
      <c r="V21" s="365"/>
      <c r="W21" s="365"/>
      <c r="X21" s="365"/>
      <c r="Y21" s="365"/>
      <c r="Z21" s="365"/>
      <c r="AB21" s="193"/>
    </row>
    <row r="22" spans="1:28" ht="14.25" hidden="1" customHeight="1">
      <c r="A22" s="193"/>
      <c r="B22" s="193"/>
      <c r="C22" s="194"/>
      <c r="D22" s="193"/>
      <c r="E22" s="193"/>
      <c r="F22" s="193"/>
      <c r="G22" s="193"/>
      <c r="H22" s="193"/>
      <c r="I22" s="193"/>
      <c r="J22" s="193"/>
      <c r="K22" s="193"/>
      <c r="L22" s="193"/>
      <c r="M22" s="193"/>
      <c r="N22" s="193"/>
      <c r="O22" s="72"/>
      <c r="P22" s="365"/>
      <c r="Q22" s="365"/>
      <c r="R22" s="365"/>
      <c r="S22" s="365"/>
      <c r="T22" s="365"/>
      <c r="U22" s="365"/>
      <c r="V22" s="365"/>
      <c r="W22" s="365"/>
      <c r="X22" s="365"/>
      <c r="Y22" s="365"/>
      <c r="Z22" s="367"/>
      <c r="AA22" s="367" t="s">
        <v>33</v>
      </c>
      <c r="AB22" s="223" t="s">
        <v>34</v>
      </c>
    </row>
    <row r="23" spans="1:28" ht="14.25" hidden="1" customHeight="1">
      <c r="A23" s="193"/>
      <c r="B23" s="193" t="s">
        <v>35</v>
      </c>
      <c r="C23" s="194"/>
      <c r="D23" s="193"/>
      <c r="E23" s="466">
        <f t="shared" ref="E23:M23" ca="1" si="23">IF(OR(E8="", E14=""), "",
IF(E8-E7&lt;E14-E13,1,
IF(E8-E7&gt;E14-E13,-1,
0)))</f>
        <v>1</v>
      </c>
      <c r="F23" s="466">
        <f t="shared" ca="1" si="23"/>
        <v>0</v>
      </c>
      <c r="G23" s="466">
        <f t="shared" ca="1" si="23"/>
        <v>-1</v>
      </c>
      <c r="H23" s="466">
        <f t="shared" ca="1" si="23"/>
        <v>1</v>
      </c>
      <c r="I23" s="466">
        <f t="shared" ca="1" si="23"/>
        <v>1</v>
      </c>
      <c r="J23" s="466">
        <f t="shared" ca="1" si="23"/>
        <v>-1</v>
      </c>
      <c r="K23" s="466">
        <f t="shared" ca="1" si="23"/>
        <v>0</v>
      </c>
      <c r="L23" s="466">
        <f t="shared" ca="1" si="23"/>
        <v>1</v>
      </c>
      <c r="M23" s="466">
        <f t="shared" ca="1" si="23"/>
        <v>-1</v>
      </c>
      <c r="N23" s="193"/>
      <c r="O23" s="364"/>
      <c r="P23" s="365"/>
      <c r="Q23" s="466">
        <f t="shared" ref="Q23:Y23" ca="1" si="24">IF(OR(Q8="", Q14=""), "",
IF(Q8-Q7&lt;Q14-Q13,1,
IF(Q8-Q7&gt;Q14-Q13,-1,
0)))</f>
        <v>0</v>
      </c>
      <c r="R23" s="466">
        <f t="shared" ca="1" si="24"/>
        <v>1</v>
      </c>
      <c r="S23" s="466">
        <f t="shared" ca="1" si="24"/>
        <v>1</v>
      </c>
      <c r="T23" s="466">
        <f t="shared" ca="1" si="24"/>
        <v>0</v>
      </c>
      <c r="U23" s="466">
        <f t="shared" ca="1" si="24"/>
        <v>1</v>
      </c>
      <c r="V23" s="466">
        <f t="shared" ca="1" si="24"/>
        <v>0</v>
      </c>
      <c r="W23" s="466">
        <f t="shared" ca="1" si="24"/>
        <v>1</v>
      </c>
      <c r="X23" s="466">
        <f t="shared" ca="1" si="24"/>
        <v>1</v>
      </c>
      <c r="Y23" s="466">
        <f t="shared" ca="1" si="24"/>
        <v>1</v>
      </c>
      <c r="Z23" s="367"/>
      <c r="AA23" s="367" t="s">
        <v>37</v>
      </c>
      <c r="AB23" s="223" t="s">
        <v>38</v>
      </c>
    </row>
    <row r="24" spans="1:28" ht="14.25" hidden="1" customHeight="1">
      <c r="A24" s="368"/>
      <c r="B24" s="369" t="str">
        <f>B8</f>
        <v>WEEZ</v>
      </c>
      <c r="C24" s="370"/>
      <c r="D24" s="369"/>
      <c r="E24" s="369">
        <f t="shared" ref="E24:M24" ca="1" si="25">(E23+1)/2</f>
        <v>1</v>
      </c>
      <c r="F24" s="369">
        <f t="shared" ca="1" si="25"/>
        <v>0.5</v>
      </c>
      <c r="G24" s="369">
        <f t="shared" ca="1" si="25"/>
        <v>0</v>
      </c>
      <c r="H24" s="369">
        <f t="shared" ca="1" si="25"/>
        <v>1</v>
      </c>
      <c r="I24" s="369">
        <f t="shared" ca="1" si="25"/>
        <v>1</v>
      </c>
      <c r="J24" s="369">
        <f t="shared" ca="1" si="25"/>
        <v>0</v>
      </c>
      <c r="K24" s="369">
        <f t="shared" ca="1" si="25"/>
        <v>0.5</v>
      </c>
      <c r="L24" s="369">
        <f t="shared" ca="1" si="25"/>
        <v>1</v>
      </c>
      <c r="M24" s="369">
        <f t="shared" ca="1" si="25"/>
        <v>0</v>
      </c>
      <c r="N24" s="369">
        <f ca="1">SUM(N25:N26)</f>
        <v>5</v>
      </c>
      <c r="O24" s="369"/>
      <c r="P24" s="371"/>
      <c r="Q24" s="369">
        <f t="shared" ref="Q24:Y24" ca="1" si="26">(Q23+1)/2</f>
        <v>0.5</v>
      </c>
      <c r="R24" s="369">
        <f t="shared" ca="1" si="26"/>
        <v>1</v>
      </c>
      <c r="S24" s="369">
        <f t="shared" ca="1" si="26"/>
        <v>1</v>
      </c>
      <c r="T24" s="369">
        <f t="shared" ca="1" si="26"/>
        <v>0.5</v>
      </c>
      <c r="U24" s="369">
        <f t="shared" ca="1" si="26"/>
        <v>1</v>
      </c>
      <c r="V24" s="369">
        <f t="shared" ca="1" si="26"/>
        <v>0.5</v>
      </c>
      <c r="W24" s="369">
        <f t="shared" ca="1" si="26"/>
        <v>1</v>
      </c>
      <c r="X24" s="369">
        <f t="shared" ca="1" si="26"/>
        <v>1</v>
      </c>
      <c r="Y24" s="369">
        <f t="shared" ca="1" si="26"/>
        <v>1</v>
      </c>
      <c r="Z24" s="369">
        <f ca="1">SUM(Z25:Z26)</f>
        <v>7.5</v>
      </c>
      <c r="AA24" s="372">
        <f t="shared" ref="AA24:AA29" ca="1" si="27">SUM(Z24,N24)</f>
        <v>12.5</v>
      </c>
      <c r="AB24" s="368"/>
    </row>
    <row r="25" spans="1:28" ht="14.25" hidden="1" customHeight="1">
      <c r="A25" s="193" t="str">
        <f>A8</f>
        <v>Jensen</v>
      </c>
      <c r="B25" s="193"/>
      <c r="C25" s="194"/>
      <c r="D25" s="193"/>
      <c r="E25" s="193">
        <f t="shared" ref="E25:M25" ca="1" si="28">E24/2</f>
        <v>0.5</v>
      </c>
      <c r="F25" s="193">
        <f t="shared" ca="1" si="28"/>
        <v>0.25</v>
      </c>
      <c r="G25" s="193">
        <f t="shared" ca="1" si="28"/>
        <v>0</v>
      </c>
      <c r="H25" s="193">
        <f t="shared" ca="1" si="28"/>
        <v>0.5</v>
      </c>
      <c r="I25" s="193">
        <f t="shared" ca="1" si="28"/>
        <v>0.5</v>
      </c>
      <c r="J25" s="193">
        <f t="shared" ca="1" si="28"/>
        <v>0</v>
      </c>
      <c r="K25" s="193">
        <f t="shared" ca="1" si="28"/>
        <v>0.25</v>
      </c>
      <c r="L25" s="193">
        <f t="shared" ca="1" si="28"/>
        <v>0.5</v>
      </c>
      <c r="M25" s="193">
        <f t="shared" ca="1" si="28"/>
        <v>0</v>
      </c>
      <c r="N25" s="193">
        <f t="shared" ref="N25:N26" ca="1" si="29">SUM(E25:M25)</f>
        <v>2.5</v>
      </c>
      <c r="O25" s="364"/>
      <c r="P25" s="365"/>
      <c r="Q25" s="193">
        <f t="shared" ref="Q25:Y25" ca="1" si="30">Q24/2</f>
        <v>0.25</v>
      </c>
      <c r="R25" s="193">
        <f t="shared" ca="1" si="30"/>
        <v>0.5</v>
      </c>
      <c r="S25" s="193">
        <f t="shared" ca="1" si="30"/>
        <v>0.5</v>
      </c>
      <c r="T25" s="193">
        <f t="shared" ca="1" si="30"/>
        <v>0.25</v>
      </c>
      <c r="U25" s="193">
        <f t="shared" ca="1" si="30"/>
        <v>0.5</v>
      </c>
      <c r="V25" s="193">
        <f t="shared" ca="1" si="30"/>
        <v>0.25</v>
      </c>
      <c r="W25" s="193">
        <f t="shared" ca="1" si="30"/>
        <v>0.5</v>
      </c>
      <c r="X25" s="193">
        <f t="shared" ca="1" si="30"/>
        <v>0.5</v>
      </c>
      <c r="Y25" s="193">
        <f t="shared" ca="1" si="30"/>
        <v>0.5</v>
      </c>
      <c r="Z25" s="366">
        <f t="shared" ref="Z25:Z26" ca="1" si="31">SUM(Q25:Y25)</f>
        <v>3.75</v>
      </c>
      <c r="AA25">
        <f t="shared" ca="1" si="27"/>
        <v>6.25</v>
      </c>
      <c r="AB25" s="373">
        <f t="shared" ref="AB25:AB26" ca="1" si="32">((N25/$N$24)*$N$19)+((Z25/$Z$24)*$Z$20)+((AA25/$AA$24)*$Z$19)</f>
        <v>2</v>
      </c>
    </row>
    <row r="26" spans="1:28" ht="14.25" hidden="1" customHeight="1">
      <c r="A26" s="193" t="str">
        <f>A11</f>
        <v>Pace</v>
      </c>
      <c r="B26" s="193"/>
      <c r="C26" s="194"/>
      <c r="D26" s="193"/>
      <c r="E26" s="193">
        <f t="shared" ref="E26:M26" ca="1" si="33">E24/2</f>
        <v>0.5</v>
      </c>
      <c r="F26" s="193">
        <f t="shared" ca="1" si="33"/>
        <v>0.25</v>
      </c>
      <c r="G26" s="193">
        <f t="shared" ca="1" si="33"/>
        <v>0</v>
      </c>
      <c r="H26" s="193">
        <f t="shared" ca="1" si="33"/>
        <v>0.5</v>
      </c>
      <c r="I26" s="193">
        <f t="shared" ca="1" si="33"/>
        <v>0.5</v>
      </c>
      <c r="J26" s="193">
        <f t="shared" ca="1" si="33"/>
        <v>0</v>
      </c>
      <c r="K26" s="193">
        <f t="shared" ca="1" si="33"/>
        <v>0.25</v>
      </c>
      <c r="L26" s="193">
        <f t="shared" ca="1" si="33"/>
        <v>0.5</v>
      </c>
      <c r="M26" s="193">
        <f t="shared" ca="1" si="33"/>
        <v>0</v>
      </c>
      <c r="N26" s="193">
        <f t="shared" ca="1" si="29"/>
        <v>2.5</v>
      </c>
      <c r="O26" s="364"/>
      <c r="P26" s="365"/>
      <c r="Q26" s="193">
        <f t="shared" ref="Q26:Y26" ca="1" si="34">Q24/2</f>
        <v>0.25</v>
      </c>
      <c r="R26" s="193">
        <f t="shared" ca="1" si="34"/>
        <v>0.5</v>
      </c>
      <c r="S26" s="193">
        <f t="shared" ca="1" si="34"/>
        <v>0.5</v>
      </c>
      <c r="T26" s="193">
        <f t="shared" ca="1" si="34"/>
        <v>0.25</v>
      </c>
      <c r="U26" s="193">
        <f t="shared" ca="1" si="34"/>
        <v>0.5</v>
      </c>
      <c r="V26" s="193">
        <f t="shared" ca="1" si="34"/>
        <v>0.25</v>
      </c>
      <c r="W26" s="193">
        <f t="shared" ca="1" si="34"/>
        <v>0.5</v>
      </c>
      <c r="X26" s="193">
        <f t="shared" ca="1" si="34"/>
        <v>0.5</v>
      </c>
      <c r="Y26" s="193">
        <f t="shared" ca="1" si="34"/>
        <v>0.5</v>
      </c>
      <c r="Z26" s="366">
        <f t="shared" ca="1" si="31"/>
        <v>3.75</v>
      </c>
      <c r="AA26">
        <f t="shared" ca="1" si="27"/>
        <v>6.25</v>
      </c>
      <c r="AB26" s="373">
        <f t="shared" ca="1" si="32"/>
        <v>2</v>
      </c>
    </row>
    <row r="27" spans="1:28" ht="14.25" hidden="1" customHeight="1">
      <c r="A27" s="368"/>
      <c r="B27" s="369" t="str">
        <f>B14</f>
        <v>TEES</v>
      </c>
      <c r="C27" s="370"/>
      <c r="D27" s="369"/>
      <c r="E27" s="369">
        <f t="shared" ref="E27:M27" ca="1" si="35">(1-E23)/2</f>
        <v>0</v>
      </c>
      <c r="F27" s="369">
        <f t="shared" ca="1" si="35"/>
        <v>0.5</v>
      </c>
      <c r="G27" s="369">
        <f t="shared" ca="1" si="35"/>
        <v>1</v>
      </c>
      <c r="H27" s="369">
        <f t="shared" ca="1" si="35"/>
        <v>0</v>
      </c>
      <c r="I27" s="369">
        <f t="shared" ca="1" si="35"/>
        <v>0</v>
      </c>
      <c r="J27" s="369">
        <f t="shared" ca="1" si="35"/>
        <v>1</v>
      </c>
      <c r="K27" s="369">
        <f t="shared" ca="1" si="35"/>
        <v>0.5</v>
      </c>
      <c r="L27" s="369">
        <f t="shared" ca="1" si="35"/>
        <v>0</v>
      </c>
      <c r="M27" s="369">
        <f t="shared" ca="1" si="35"/>
        <v>1</v>
      </c>
      <c r="N27" s="369">
        <f ca="1">SUM(N28:N29)</f>
        <v>4</v>
      </c>
      <c r="O27" s="369"/>
      <c r="P27" s="371"/>
      <c r="Q27" s="369">
        <f t="shared" ref="Q27:Y27" ca="1" si="36">(1-Q23)/2</f>
        <v>0.5</v>
      </c>
      <c r="R27" s="369">
        <f t="shared" ca="1" si="36"/>
        <v>0</v>
      </c>
      <c r="S27" s="369">
        <f t="shared" ca="1" si="36"/>
        <v>0</v>
      </c>
      <c r="T27" s="369">
        <f t="shared" ca="1" si="36"/>
        <v>0.5</v>
      </c>
      <c r="U27" s="369">
        <f t="shared" ca="1" si="36"/>
        <v>0</v>
      </c>
      <c r="V27" s="369">
        <f t="shared" ca="1" si="36"/>
        <v>0.5</v>
      </c>
      <c r="W27" s="369">
        <f t="shared" ca="1" si="36"/>
        <v>0</v>
      </c>
      <c r="X27" s="369">
        <f t="shared" ca="1" si="36"/>
        <v>0</v>
      </c>
      <c r="Y27" s="369">
        <f t="shared" ca="1" si="36"/>
        <v>0</v>
      </c>
      <c r="Z27" s="369">
        <f ca="1">SUM(Z28:Z29)</f>
        <v>1.5</v>
      </c>
      <c r="AA27" s="372">
        <f t="shared" ca="1" si="27"/>
        <v>5.5</v>
      </c>
      <c r="AB27" s="369"/>
    </row>
    <row r="28" spans="1:28" ht="14.25" hidden="1" customHeight="1">
      <c r="A28" s="193" t="str">
        <f>A14</f>
        <v>R-Mac</v>
      </c>
      <c r="B28" s="193"/>
      <c r="C28" s="194"/>
      <c r="D28" s="193"/>
      <c r="E28" s="193">
        <f t="shared" ref="E28:M28" ca="1" si="37">E27/2</f>
        <v>0</v>
      </c>
      <c r="F28" s="193">
        <f t="shared" ca="1" si="37"/>
        <v>0.25</v>
      </c>
      <c r="G28" s="193">
        <f t="shared" ca="1" si="37"/>
        <v>0.5</v>
      </c>
      <c r="H28" s="193">
        <f t="shared" ca="1" si="37"/>
        <v>0</v>
      </c>
      <c r="I28" s="193">
        <f t="shared" ca="1" si="37"/>
        <v>0</v>
      </c>
      <c r="J28" s="193">
        <f t="shared" ca="1" si="37"/>
        <v>0.5</v>
      </c>
      <c r="K28" s="193">
        <f t="shared" ca="1" si="37"/>
        <v>0.25</v>
      </c>
      <c r="L28" s="193">
        <f t="shared" ca="1" si="37"/>
        <v>0</v>
      </c>
      <c r="M28" s="193">
        <f t="shared" ca="1" si="37"/>
        <v>0.5</v>
      </c>
      <c r="N28" s="193">
        <f t="shared" ref="N28:N29" ca="1" si="38">SUM(E28:M28)</f>
        <v>2</v>
      </c>
      <c r="O28" s="364"/>
      <c r="P28" s="365"/>
      <c r="Q28" s="193">
        <f t="shared" ref="Q28:Y28" ca="1" si="39">Q27/2</f>
        <v>0.25</v>
      </c>
      <c r="R28" s="193">
        <f t="shared" ca="1" si="39"/>
        <v>0</v>
      </c>
      <c r="S28" s="193">
        <f t="shared" ca="1" si="39"/>
        <v>0</v>
      </c>
      <c r="T28" s="193">
        <f t="shared" ca="1" si="39"/>
        <v>0.25</v>
      </c>
      <c r="U28" s="193">
        <f t="shared" ca="1" si="39"/>
        <v>0</v>
      </c>
      <c r="V28" s="193">
        <f t="shared" ca="1" si="39"/>
        <v>0.25</v>
      </c>
      <c r="W28" s="193">
        <f t="shared" ca="1" si="39"/>
        <v>0</v>
      </c>
      <c r="X28" s="193">
        <f t="shared" ca="1" si="39"/>
        <v>0</v>
      </c>
      <c r="Y28" s="193">
        <f t="shared" ca="1" si="39"/>
        <v>0</v>
      </c>
      <c r="Z28" s="366">
        <f t="shared" ref="Z28:Z29" ca="1" si="40">SUM(Q28:Y28)</f>
        <v>0.75</v>
      </c>
      <c r="AA28">
        <f t="shared" ca="1" si="27"/>
        <v>2.75</v>
      </c>
      <c r="AB28" s="373">
        <f ca="1">((N28/$N$27)*('Master Input'!$P$18-$N$19))+((Z28/$Z$27)*('Master Input'!$Q$18-$Z$20))+((AA28/$AA$27)*('Master Input'!$R$18-$Z$19))</f>
        <v>0</v>
      </c>
    </row>
    <row r="29" spans="1:28" ht="14.25" hidden="1" customHeight="1">
      <c r="A29" s="193" t="str">
        <f>A17</f>
        <v>CuzNick</v>
      </c>
      <c r="B29" s="193"/>
      <c r="C29" s="194"/>
      <c r="D29" s="193"/>
      <c r="E29" s="193">
        <f t="shared" ref="E29:M29" ca="1" si="41">E27/2</f>
        <v>0</v>
      </c>
      <c r="F29" s="193">
        <f t="shared" ca="1" si="41"/>
        <v>0.25</v>
      </c>
      <c r="G29" s="193">
        <f t="shared" ca="1" si="41"/>
        <v>0.5</v>
      </c>
      <c r="H29" s="193">
        <f t="shared" ca="1" si="41"/>
        <v>0</v>
      </c>
      <c r="I29" s="193">
        <f t="shared" ca="1" si="41"/>
        <v>0</v>
      </c>
      <c r="J29" s="193">
        <f t="shared" ca="1" si="41"/>
        <v>0.5</v>
      </c>
      <c r="K29" s="193">
        <f t="shared" ca="1" si="41"/>
        <v>0.25</v>
      </c>
      <c r="L29" s="193">
        <f t="shared" ca="1" si="41"/>
        <v>0</v>
      </c>
      <c r="M29" s="193">
        <f t="shared" ca="1" si="41"/>
        <v>0.5</v>
      </c>
      <c r="N29" s="193">
        <f t="shared" ca="1" si="38"/>
        <v>2</v>
      </c>
      <c r="O29" s="364"/>
      <c r="P29" s="365"/>
      <c r="Q29" s="193">
        <f t="shared" ref="Q29:Y29" ca="1" si="42">Q27/2</f>
        <v>0.25</v>
      </c>
      <c r="R29" s="193">
        <f t="shared" ca="1" si="42"/>
        <v>0</v>
      </c>
      <c r="S29" s="193">
        <f t="shared" ca="1" si="42"/>
        <v>0</v>
      </c>
      <c r="T29" s="193">
        <f t="shared" ca="1" si="42"/>
        <v>0.25</v>
      </c>
      <c r="U29" s="193">
        <f t="shared" ca="1" si="42"/>
        <v>0</v>
      </c>
      <c r="V29" s="193">
        <f t="shared" ca="1" si="42"/>
        <v>0.25</v>
      </c>
      <c r="W29" s="193">
        <f t="shared" ca="1" si="42"/>
        <v>0</v>
      </c>
      <c r="X29" s="193">
        <f t="shared" ca="1" si="42"/>
        <v>0</v>
      </c>
      <c r="Y29" s="193">
        <f t="shared" ca="1" si="42"/>
        <v>0</v>
      </c>
      <c r="Z29" s="366">
        <f t="shared" ca="1" si="40"/>
        <v>0.75</v>
      </c>
      <c r="AA29">
        <f t="shared" ca="1" si="27"/>
        <v>2.75</v>
      </c>
      <c r="AB29" s="373">
        <f ca="1">((N29/$N$27)*('Master Input'!$P$18-$N$19))+((Z29/$Z$27)*('Master Input'!$Q$18-$Z$20))+((AA29/$AA$27)*('Master Input'!$R$18-$Z$19))</f>
        <v>0</v>
      </c>
    </row>
    <row r="30" spans="1:28" ht="14.25" hidden="1" customHeight="1">
      <c r="A30" s="193"/>
      <c r="B30" s="193"/>
      <c r="C30" s="194"/>
      <c r="D30" s="193"/>
      <c r="E30" s="193">
        <f t="shared" ref="E30:N30" ca="1" si="43">SUM(E25:E26,E28:E29)</f>
        <v>1</v>
      </c>
      <c r="F30" s="193">
        <f t="shared" ca="1" si="43"/>
        <v>1</v>
      </c>
      <c r="G30" s="193">
        <f t="shared" ca="1" si="43"/>
        <v>1</v>
      </c>
      <c r="H30" s="193">
        <f t="shared" ca="1" si="43"/>
        <v>1</v>
      </c>
      <c r="I30" s="193">
        <f t="shared" ca="1" si="43"/>
        <v>1</v>
      </c>
      <c r="J30" s="193">
        <f t="shared" ca="1" si="43"/>
        <v>1</v>
      </c>
      <c r="K30" s="193">
        <f t="shared" ca="1" si="43"/>
        <v>1</v>
      </c>
      <c r="L30" s="193">
        <f t="shared" ca="1" si="43"/>
        <v>1</v>
      </c>
      <c r="M30" s="193">
        <f t="shared" ca="1" si="43"/>
        <v>1</v>
      </c>
      <c r="N30" s="193">
        <f t="shared" ca="1" si="43"/>
        <v>9</v>
      </c>
      <c r="O30" s="364"/>
      <c r="P30" s="365"/>
      <c r="Q30" s="193">
        <f t="shared" ref="Q30:AA30" ca="1" si="44">SUM(Q25:Q26,Q28:Q29)</f>
        <v>1</v>
      </c>
      <c r="R30" s="193">
        <f t="shared" ca="1" si="44"/>
        <v>1</v>
      </c>
      <c r="S30" s="193">
        <f t="shared" ca="1" si="44"/>
        <v>1</v>
      </c>
      <c r="T30" s="193">
        <f t="shared" ca="1" si="44"/>
        <v>1</v>
      </c>
      <c r="U30" s="193">
        <f t="shared" ca="1" si="44"/>
        <v>1</v>
      </c>
      <c r="V30" s="193">
        <f t="shared" ca="1" si="44"/>
        <v>1</v>
      </c>
      <c r="W30" s="193">
        <f t="shared" ca="1" si="44"/>
        <v>1</v>
      </c>
      <c r="X30" s="193">
        <f t="shared" ca="1" si="44"/>
        <v>1</v>
      </c>
      <c r="Y30" s="193">
        <f t="shared" ca="1" si="44"/>
        <v>1</v>
      </c>
      <c r="Z30" s="193">
        <f t="shared" ca="1" si="44"/>
        <v>9</v>
      </c>
      <c r="AA30">
        <f t="shared" ca="1" si="44"/>
        <v>18</v>
      </c>
      <c r="AB30" s="373"/>
    </row>
  </sheetData>
  <mergeCells count="1">
    <mergeCell ref="B2:B4"/>
  </mergeCells>
  <conditionalFormatting sqref="E8:M8 Q8:Y8 E14:M14 Q14:Y14">
    <cfRule type="expression" dxfId="62" priority="4">
      <formula>E$23=0</formula>
    </cfRule>
  </conditionalFormatting>
  <conditionalFormatting sqref="E8:M8 Q8:Y8">
    <cfRule type="expression" dxfId="61" priority="3">
      <formula>AND(E$24=1,E$25&gt;0)</formula>
    </cfRule>
  </conditionalFormatting>
  <conditionalFormatting sqref="E14:M14 Q14:Y14">
    <cfRule type="expression" dxfId="60" priority="2">
      <formula>AND(E$27=1,E$28&gt;0)</formula>
    </cfRule>
  </conditionalFormatting>
  <conditionalFormatting sqref="E19:M19 Q19:Y20">
    <cfRule type="cellIs" dxfId="59" priority="1" operator="equal">
      <formula>"."</formula>
    </cfRule>
  </conditionalFormatting>
  <printOptions horizontalCentered="1" gridLines="1"/>
  <pageMargins left="0.6" right="0.25" top="0.5" bottom="0.5" header="0" footer="0"/>
  <pageSetup fitToHeight="0" pageOrder="overThenDown" orientation="landscape"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6B26B"/>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374" t="s">
        <v>40</v>
      </c>
      <c r="B1" s="375">
        <f>'Master Input'!I4</f>
        <v>0.10208333333333333</v>
      </c>
      <c r="C1" s="376" t="str">
        <f>'Master Input'!$I$2</f>
        <v>Round 3</v>
      </c>
      <c r="D1" s="377"/>
      <c r="E1" s="376" t="str">
        <f>'Master Input'!$I$6</f>
        <v>The Wolverine - Blue</v>
      </c>
      <c r="F1" s="378"/>
      <c r="G1" s="378"/>
      <c r="H1" s="378"/>
      <c r="I1" s="378"/>
      <c r="J1" s="378"/>
      <c r="K1" s="378"/>
      <c r="L1" s="378"/>
      <c r="M1" s="378"/>
      <c r="N1" s="378"/>
      <c r="O1" s="72"/>
      <c r="P1" s="376" t="str">
        <f>'Master Input'!$I$2&amp;" - "&amp;A1</f>
        <v>Round 3 - Group 3</v>
      </c>
      <c r="Q1" s="377"/>
      <c r="R1" s="378"/>
      <c r="S1" s="378"/>
      <c r="T1" s="378"/>
      <c r="U1" s="376" t="str">
        <f>'Master Input'!$I$6</f>
        <v>The Wolverine - Blue</v>
      </c>
      <c r="V1" s="378"/>
      <c r="W1" s="378"/>
      <c r="X1" s="378"/>
      <c r="Y1" s="378"/>
      <c r="Z1" s="378"/>
      <c r="AA1" s="379"/>
      <c r="AB1" s="380"/>
    </row>
    <row r="2" spans="1:28" ht="14.25" customHeight="1">
      <c r="A2" s="75" t="s">
        <v>16</v>
      </c>
      <c r="B2" s="1165" t="str">
        <f>'Match Selection'!B14</f>
        <v>2-Man Scramble</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237" t="s">
        <v>24</v>
      </c>
      <c r="C5" s="381" t="s">
        <v>59</v>
      </c>
      <c r="D5" s="101"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09" t="s">
        <v>27</v>
      </c>
      <c r="AB5" s="109" t="s">
        <v>52</v>
      </c>
    </row>
    <row r="6" spans="1:28" ht="7.5" customHeight="1">
      <c r="A6" s="111"/>
      <c r="B6" s="111"/>
      <c r="C6" s="280"/>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382"/>
      <c r="O6" s="118"/>
      <c r="P6" s="240"/>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
      </c>
      <c r="Z6" s="383"/>
      <c r="AA6" s="384"/>
      <c r="AB6" s="384"/>
    </row>
    <row r="7" spans="1:28" ht="22.5" hidden="1" customHeight="1">
      <c r="A7" s="123"/>
      <c r="B7" s="124"/>
      <c r="C7" s="38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386"/>
      <c r="O7" s="131"/>
      <c r="P7" s="123"/>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0</v>
      </c>
      <c r="Z7" s="387"/>
      <c r="AA7" s="388"/>
      <c r="AB7" s="389"/>
    </row>
    <row r="8" spans="1:28" ht="22.5" customHeight="1">
      <c r="A8" s="136" t="str">
        <f>'Match Selection'!P14</f>
        <v>T-Mo</v>
      </c>
      <c r="B8" s="137" t="str">
        <f>VLOOKUP(A8, 'Master Input'!$A$11:$B$27,2, FALSE)</f>
        <v>WEEZ</v>
      </c>
      <c r="C8" s="390">
        <f ca="1">ROUND(VLOOKUP(A8,'Master Input'!$A$11:$L$27,'Master Input'!$J$28, FALSE) * 0.35
+VLOOKUP(A11,'Master Input'!$A$11:$L$27,'Master Input'!$J$28, FALSE) * 0.15,1)</f>
        <v>6.3</v>
      </c>
      <c r="D8" s="139">
        <v>0</v>
      </c>
      <c r="E8" s="140">
        <v>4</v>
      </c>
      <c r="F8" s="141">
        <v>4</v>
      </c>
      <c r="G8" s="142">
        <v>4</v>
      </c>
      <c r="H8" s="141">
        <v>4</v>
      </c>
      <c r="I8" s="142">
        <v>3</v>
      </c>
      <c r="J8" s="141">
        <v>4</v>
      </c>
      <c r="K8" s="142">
        <v>4</v>
      </c>
      <c r="L8" s="141">
        <v>5</v>
      </c>
      <c r="M8" s="142">
        <v>3</v>
      </c>
      <c r="N8" s="391">
        <f>IF(M8="","", SUM(E8:M8))</f>
        <v>35</v>
      </c>
      <c r="O8" s="131"/>
      <c r="P8" s="136" t="str">
        <f>A8</f>
        <v>T-Mo</v>
      </c>
      <c r="Q8" s="140">
        <v>4</v>
      </c>
      <c r="R8" s="141">
        <v>6</v>
      </c>
      <c r="S8" s="142">
        <v>3</v>
      </c>
      <c r="T8" s="141">
        <v>4</v>
      </c>
      <c r="U8" s="142">
        <v>3</v>
      </c>
      <c r="V8" s="141">
        <v>5</v>
      </c>
      <c r="W8" s="142">
        <v>4</v>
      </c>
      <c r="X8" s="141">
        <v>5</v>
      </c>
      <c r="Y8" s="142">
        <v>4</v>
      </c>
      <c r="Z8" s="392">
        <f>IF(Y8="","", SUM(Q8:Y8))</f>
        <v>38</v>
      </c>
      <c r="AA8" s="393">
        <f>IF(Z8="", "", SUM(N8,Z8))</f>
        <v>73</v>
      </c>
      <c r="AB8" s="394">
        <f ca="1">IF(Y8="", "", AA8-C8)</f>
        <v>66.7</v>
      </c>
    </row>
    <row r="9" spans="1:28" ht="7.5" customHeight="1">
      <c r="A9" s="147"/>
      <c r="B9" s="259"/>
      <c r="C9" s="315"/>
      <c r="D9" s="395"/>
      <c r="E9" s="396" t="str">
        <f t="shared" ref="E9:M9" ca="1" si="4">IF(E10=1,"O", IF(E10=2,"O   O",""))</f>
        <v/>
      </c>
      <c r="F9" s="397" t="str">
        <f t="shared" ca="1" si="4"/>
        <v/>
      </c>
      <c r="G9" s="398" t="str">
        <f t="shared" ca="1" si="4"/>
        <v/>
      </c>
      <c r="H9" s="397" t="str">
        <f t="shared" ca="1" si="4"/>
        <v/>
      </c>
      <c r="I9" s="398" t="str">
        <f t="shared" ca="1" si="4"/>
        <v/>
      </c>
      <c r="J9" s="397" t="str">
        <f t="shared" ca="1" si="4"/>
        <v/>
      </c>
      <c r="K9" s="398" t="str">
        <f t="shared" ca="1" si="4"/>
        <v/>
      </c>
      <c r="L9" s="397" t="str">
        <f t="shared" ca="1" si="4"/>
        <v/>
      </c>
      <c r="M9" s="398" t="str">
        <f t="shared" ca="1" si="4"/>
        <v/>
      </c>
      <c r="N9" s="399"/>
      <c r="O9" s="118"/>
      <c r="P9" s="245"/>
      <c r="Q9" s="396" t="str">
        <f t="shared" ref="Q9:Y9" ca="1" si="5">IF(Q10=1,"O", IF(Q10=2,"O   O",""))</f>
        <v/>
      </c>
      <c r="R9" s="397" t="str">
        <f t="shared" ca="1" si="5"/>
        <v/>
      </c>
      <c r="S9" s="398" t="str">
        <f t="shared" ca="1" si="5"/>
        <v/>
      </c>
      <c r="T9" s="397" t="str">
        <f t="shared" ca="1" si="5"/>
        <v/>
      </c>
      <c r="U9" s="398" t="str">
        <f t="shared" ca="1" si="5"/>
        <v/>
      </c>
      <c r="V9" s="397" t="str">
        <f t="shared" ca="1" si="5"/>
        <v/>
      </c>
      <c r="W9" s="398" t="str">
        <f t="shared" ca="1" si="5"/>
        <v/>
      </c>
      <c r="X9" s="397" t="str">
        <f t="shared" ca="1" si="5"/>
        <v/>
      </c>
      <c r="Y9" s="398" t="str">
        <f t="shared" ca="1" si="5"/>
        <v/>
      </c>
      <c r="Z9" s="400"/>
      <c r="AA9" s="401"/>
      <c r="AB9" s="402"/>
    </row>
    <row r="10" spans="1:28" ht="22.5" hidden="1" customHeight="1">
      <c r="A10" s="260"/>
      <c r="B10" s="261"/>
      <c r="C10" s="286"/>
      <c r="D10" s="403"/>
      <c r="E10" s="404">
        <f t="shared" ref="E10:M10" ca="1" si="6">IF($D11&gt;0,FLOOR($D11/18,1),0)+IF(AND(MOD($D11,18)&gt;=E$3,$D11&gt;0),1,0)-IF(E$3-18&gt;$D11,1,0)</f>
        <v>0</v>
      </c>
      <c r="F10" s="405">
        <f t="shared" ca="1" si="6"/>
        <v>0</v>
      </c>
      <c r="G10" s="406">
        <f t="shared" ca="1" si="6"/>
        <v>0</v>
      </c>
      <c r="H10" s="405">
        <f t="shared" ca="1" si="6"/>
        <v>0</v>
      </c>
      <c r="I10" s="406">
        <f t="shared" ca="1" si="6"/>
        <v>0</v>
      </c>
      <c r="J10" s="405">
        <f t="shared" ca="1" si="6"/>
        <v>0</v>
      </c>
      <c r="K10" s="406">
        <f t="shared" ca="1" si="6"/>
        <v>0</v>
      </c>
      <c r="L10" s="405">
        <f t="shared" ca="1" si="6"/>
        <v>0</v>
      </c>
      <c r="M10" s="406">
        <f t="shared" ca="1" si="6"/>
        <v>0</v>
      </c>
      <c r="N10" s="407"/>
      <c r="O10" s="131"/>
      <c r="P10" s="123"/>
      <c r="Q10" s="404">
        <f t="shared" ref="Q10:Y10" ca="1" si="7">IF($D11&gt;0,FLOOR($D11/18,1),0)+IF(AND(MOD($D11,18)&gt;=Q$3,$D11&gt;0),1,0)-IF(Q$3-18&gt;$D11,1,0)</f>
        <v>0</v>
      </c>
      <c r="R10" s="405">
        <f t="shared" ca="1" si="7"/>
        <v>0</v>
      </c>
      <c r="S10" s="406">
        <f t="shared" ca="1" si="7"/>
        <v>0</v>
      </c>
      <c r="T10" s="405">
        <f t="shared" ca="1" si="7"/>
        <v>0</v>
      </c>
      <c r="U10" s="406">
        <f t="shared" ca="1" si="7"/>
        <v>0</v>
      </c>
      <c r="V10" s="405">
        <f t="shared" ca="1" si="7"/>
        <v>0</v>
      </c>
      <c r="W10" s="406">
        <f t="shared" ca="1" si="7"/>
        <v>0</v>
      </c>
      <c r="X10" s="405">
        <f t="shared" ca="1" si="7"/>
        <v>0</v>
      </c>
      <c r="Y10" s="406">
        <f t="shared" ca="1" si="7"/>
        <v>0</v>
      </c>
      <c r="Z10" s="408"/>
      <c r="AA10" s="409"/>
      <c r="AB10" s="410"/>
    </row>
    <row r="11" spans="1:28" ht="22.5" customHeight="1">
      <c r="A11" s="157" t="str">
        <f>'Match Selection'!P15</f>
        <v>Joe O</v>
      </c>
      <c r="B11" s="262" t="str">
        <f>VLOOKUP(A11, 'Master Input'!$A$11:$B$27,2, FALSE)</f>
        <v>WEEZ</v>
      </c>
      <c r="C11" s="411">
        <f ca="1">C8</f>
        <v>6.3</v>
      </c>
      <c r="D11" s="412">
        <f>IF(D8="", 0,D8)</f>
        <v>0</v>
      </c>
      <c r="E11" s="413">
        <f t="shared" ref="E11:M11" si="8">IF(E8="","-",E8)</f>
        <v>4</v>
      </c>
      <c r="F11" s="414">
        <f t="shared" si="8"/>
        <v>4</v>
      </c>
      <c r="G11" s="415">
        <f t="shared" si="8"/>
        <v>4</v>
      </c>
      <c r="H11" s="414">
        <f t="shared" si="8"/>
        <v>4</v>
      </c>
      <c r="I11" s="415">
        <f t="shared" si="8"/>
        <v>3</v>
      </c>
      <c r="J11" s="414">
        <f t="shared" si="8"/>
        <v>4</v>
      </c>
      <c r="K11" s="415">
        <f t="shared" si="8"/>
        <v>4</v>
      </c>
      <c r="L11" s="414">
        <f t="shared" si="8"/>
        <v>5</v>
      </c>
      <c r="M11" s="415">
        <f t="shared" si="8"/>
        <v>3</v>
      </c>
      <c r="N11" s="416">
        <f>IF(M11="-","-", SUM(E11:M11))</f>
        <v>35</v>
      </c>
      <c r="O11" s="131"/>
      <c r="P11" s="136" t="str">
        <f>A11</f>
        <v>Joe O</v>
      </c>
      <c r="Q11" s="413">
        <f t="shared" ref="Q11:Y11" si="9">IF(Q8="","-",Q8)</f>
        <v>4</v>
      </c>
      <c r="R11" s="414">
        <f t="shared" si="9"/>
        <v>6</v>
      </c>
      <c r="S11" s="415">
        <f t="shared" si="9"/>
        <v>3</v>
      </c>
      <c r="T11" s="414">
        <f t="shared" si="9"/>
        <v>4</v>
      </c>
      <c r="U11" s="415">
        <f t="shared" si="9"/>
        <v>3</v>
      </c>
      <c r="V11" s="414">
        <f t="shared" si="9"/>
        <v>5</v>
      </c>
      <c r="W11" s="415">
        <f t="shared" si="9"/>
        <v>4</v>
      </c>
      <c r="X11" s="414">
        <f t="shared" si="9"/>
        <v>5</v>
      </c>
      <c r="Y11" s="415">
        <f t="shared" si="9"/>
        <v>4</v>
      </c>
      <c r="Z11" s="416">
        <f>IF(Y11="-","-", SUM(Q11:Y11))</f>
        <v>38</v>
      </c>
      <c r="AA11" s="417">
        <f>IF(Z11="-", "-", SUM(N11,Z11))</f>
        <v>73</v>
      </c>
      <c r="AB11" s="418">
        <f ca="1">IF(Y11="-", "-", AA11-C8)</f>
        <v>66.7</v>
      </c>
    </row>
    <row r="12" spans="1:28" ht="7.5" customHeight="1">
      <c r="A12" s="159"/>
      <c r="B12" s="254"/>
      <c r="C12" s="323"/>
      <c r="D12" s="162"/>
      <c r="E12" s="163" t="str">
        <f t="shared" ref="E12:M12" ca="1" si="10">IF(E13=1,"O", IF(E13=2,"O   O",""))</f>
        <v/>
      </c>
      <c r="F12" s="164" t="str">
        <f t="shared" ca="1" si="10"/>
        <v/>
      </c>
      <c r="G12" s="165" t="str">
        <f t="shared" ca="1" si="10"/>
        <v/>
      </c>
      <c r="H12" s="164" t="str">
        <f t="shared" ca="1" si="10"/>
        <v/>
      </c>
      <c r="I12" s="165" t="str">
        <f t="shared" ca="1" si="10"/>
        <v/>
      </c>
      <c r="J12" s="164" t="str">
        <f t="shared" ca="1" si="10"/>
        <v/>
      </c>
      <c r="K12" s="165" t="str">
        <f t="shared" ca="1" si="10"/>
        <v/>
      </c>
      <c r="L12" s="164" t="str">
        <f t="shared" ca="1" si="10"/>
        <v/>
      </c>
      <c r="M12" s="165" t="str">
        <f t="shared" ca="1" si="10"/>
        <v/>
      </c>
      <c r="N12" s="419"/>
      <c r="O12" s="118"/>
      <c r="P12" s="159"/>
      <c r="Q12" s="163" t="str">
        <f t="shared" ref="Q12:Y12" ca="1" si="11">IF(Q13=1,"O", IF(Q13=2,"O   O",""))</f>
        <v/>
      </c>
      <c r="R12" s="164" t="str">
        <f t="shared" ca="1" si="11"/>
        <v/>
      </c>
      <c r="S12" s="165" t="str">
        <f t="shared" ca="1" si="11"/>
        <v/>
      </c>
      <c r="T12" s="164" t="str">
        <f t="shared" ca="1" si="11"/>
        <v/>
      </c>
      <c r="U12" s="165" t="str">
        <f t="shared" ca="1" si="11"/>
        <v/>
      </c>
      <c r="V12" s="164" t="str">
        <f t="shared" ca="1" si="11"/>
        <v/>
      </c>
      <c r="W12" s="165" t="str">
        <f t="shared" ca="1" si="11"/>
        <v/>
      </c>
      <c r="X12" s="164" t="str">
        <f t="shared" ca="1" si="11"/>
        <v/>
      </c>
      <c r="Y12" s="165" t="str">
        <f t="shared" ca="1" si="11"/>
        <v/>
      </c>
      <c r="Z12" s="420"/>
      <c r="AA12" s="421"/>
      <c r="AB12" s="422"/>
    </row>
    <row r="13" spans="1:28" ht="22.5" hidden="1" customHeight="1">
      <c r="A13" s="171"/>
      <c r="B13" s="255"/>
      <c r="C13" s="307"/>
      <c r="D13" s="174"/>
      <c r="E13" s="175">
        <f t="shared" ref="E13:M13" ca="1" si="12">IF($D14&gt;0,FLOOR($D14/18,1),0)+IF(AND(MOD($D14,18)&gt;=E$3,$D14&gt;0),1,0)-IF(E$3-18&gt;$D14,1,0)</f>
        <v>0</v>
      </c>
      <c r="F13" s="176">
        <f t="shared" ca="1" si="12"/>
        <v>0</v>
      </c>
      <c r="G13" s="177">
        <f t="shared" ca="1" si="12"/>
        <v>0</v>
      </c>
      <c r="H13" s="176">
        <f t="shared" ca="1" si="12"/>
        <v>0</v>
      </c>
      <c r="I13" s="177">
        <f t="shared" ca="1" si="12"/>
        <v>0</v>
      </c>
      <c r="J13" s="176">
        <f t="shared" ca="1" si="12"/>
        <v>0</v>
      </c>
      <c r="K13" s="177">
        <f t="shared" ca="1" si="12"/>
        <v>0</v>
      </c>
      <c r="L13" s="176">
        <f t="shared" ca="1" si="12"/>
        <v>0</v>
      </c>
      <c r="M13" s="177">
        <f t="shared" ca="1" si="12"/>
        <v>0</v>
      </c>
      <c r="N13" s="423"/>
      <c r="O13" s="131"/>
      <c r="P13" s="171"/>
      <c r="Q13" s="175">
        <f t="shared" ref="Q13:Y13" ca="1" si="13">IF($D14&gt;0,FLOOR($D14/18,1),0)+IF(AND(MOD($D14,18)&gt;=Q$3,$D14&gt;0),1,0)-IF(Q$3-18&gt;$D14,1,0)</f>
        <v>0</v>
      </c>
      <c r="R13" s="176">
        <f t="shared" ca="1" si="13"/>
        <v>0</v>
      </c>
      <c r="S13" s="177">
        <f t="shared" ca="1" si="13"/>
        <v>0</v>
      </c>
      <c r="T13" s="176">
        <f t="shared" ca="1" si="13"/>
        <v>0</v>
      </c>
      <c r="U13" s="177">
        <f t="shared" ca="1" si="13"/>
        <v>0</v>
      </c>
      <c r="V13" s="176">
        <f t="shared" ca="1" si="13"/>
        <v>0</v>
      </c>
      <c r="W13" s="177">
        <f t="shared" ca="1" si="13"/>
        <v>0</v>
      </c>
      <c r="X13" s="176">
        <f t="shared" ca="1" si="13"/>
        <v>0</v>
      </c>
      <c r="Y13" s="177">
        <f t="shared" ca="1" si="13"/>
        <v>0</v>
      </c>
      <c r="Z13" s="408"/>
      <c r="AA13" s="424"/>
      <c r="AB13" s="410"/>
    </row>
    <row r="14" spans="1:28" ht="22.5" customHeight="1">
      <c r="A14" s="181" t="str">
        <f>'Match Selection'!S14</f>
        <v>House</v>
      </c>
      <c r="B14" s="257" t="str">
        <f>VLOOKUP(A14, 'Master Input'!$A$11:$B$27,2, FALSE)</f>
        <v>TEES</v>
      </c>
      <c r="C14" s="425">
        <f ca="1">ROUND(VLOOKUP(A14,'Master Input'!$A$11:$L$27,'Master Input'!$J$28, FALSE) * 0.35
+VLOOKUP(A17,'Master Input'!$A$11:$L$27,'Master Input'!$J$28, FALSE) * 0.15,1)</f>
        <v>5.9</v>
      </c>
      <c r="D14" s="184">
        <v>0</v>
      </c>
      <c r="E14" s="185">
        <v>5</v>
      </c>
      <c r="F14" s="186">
        <v>4</v>
      </c>
      <c r="G14" s="187">
        <v>5</v>
      </c>
      <c r="H14" s="186">
        <v>4</v>
      </c>
      <c r="I14" s="187">
        <v>3</v>
      </c>
      <c r="J14" s="186">
        <v>4</v>
      </c>
      <c r="K14" s="187">
        <v>4</v>
      </c>
      <c r="L14" s="186">
        <v>6</v>
      </c>
      <c r="M14" s="187">
        <v>3</v>
      </c>
      <c r="N14" s="426">
        <f>IF(M14="","", SUM(E14:M14))</f>
        <v>38</v>
      </c>
      <c r="O14" s="131"/>
      <c r="P14" s="181" t="str">
        <f>A14</f>
        <v>House</v>
      </c>
      <c r="Q14" s="185">
        <v>3</v>
      </c>
      <c r="R14" s="186">
        <v>4</v>
      </c>
      <c r="S14" s="187">
        <v>3</v>
      </c>
      <c r="T14" s="186">
        <v>4</v>
      </c>
      <c r="U14" s="187">
        <v>3</v>
      </c>
      <c r="V14" s="186">
        <v>4</v>
      </c>
      <c r="W14" s="187">
        <v>4</v>
      </c>
      <c r="X14" s="186">
        <v>4</v>
      </c>
      <c r="Y14" s="187">
        <v>4</v>
      </c>
      <c r="Z14" s="427">
        <f>IF(Y14="","", SUM(Q14:Y14))</f>
        <v>33</v>
      </c>
      <c r="AA14" s="428">
        <f>IF(Z14="", "", SUM(N14,Z14))</f>
        <v>71</v>
      </c>
      <c r="AB14" s="394">
        <f ca="1">IF(Y14="", "", AA14-C14)</f>
        <v>65.099999999999994</v>
      </c>
    </row>
    <row r="15" spans="1:28" ht="7.5" customHeight="1">
      <c r="A15" s="159"/>
      <c r="B15" s="254"/>
      <c r="C15" s="323"/>
      <c r="D15" s="429"/>
      <c r="E15" s="430" t="str">
        <f t="shared" ref="E15:M15" ca="1" si="14">IF(E16=1,"O", IF(E16=2,"O   O",""))</f>
        <v/>
      </c>
      <c r="F15" s="431" t="str">
        <f t="shared" ca="1" si="14"/>
        <v/>
      </c>
      <c r="G15" s="432" t="str">
        <f t="shared" ca="1" si="14"/>
        <v/>
      </c>
      <c r="H15" s="431" t="str">
        <f t="shared" ca="1" si="14"/>
        <v/>
      </c>
      <c r="I15" s="432" t="str">
        <f t="shared" ca="1" si="14"/>
        <v/>
      </c>
      <c r="J15" s="431" t="str">
        <f t="shared" ca="1" si="14"/>
        <v/>
      </c>
      <c r="K15" s="432" t="str">
        <f t="shared" ca="1" si="14"/>
        <v/>
      </c>
      <c r="L15" s="431" t="str">
        <f t="shared" ca="1" si="14"/>
        <v/>
      </c>
      <c r="M15" s="432" t="str">
        <f t="shared" ca="1" si="14"/>
        <v/>
      </c>
      <c r="N15" s="433"/>
      <c r="O15" s="118"/>
      <c r="P15" s="159"/>
      <c r="Q15" s="430" t="str">
        <f t="shared" ref="Q15:Y15" ca="1" si="15">IF(Q16=1,"O", IF(Q16=2,"O   O",""))</f>
        <v/>
      </c>
      <c r="R15" s="431" t="str">
        <f t="shared" ca="1" si="15"/>
        <v/>
      </c>
      <c r="S15" s="432" t="str">
        <f t="shared" ca="1" si="15"/>
        <v/>
      </c>
      <c r="T15" s="431" t="str">
        <f t="shared" ca="1" si="15"/>
        <v/>
      </c>
      <c r="U15" s="432" t="str">
        <f t="shared" ca="1" si="15"/>
        <v/>
      </c>
      <c r="V15" s="431" t="str">
        <f t="shared" ca="1" si="15"/>
        <v/>
      </c>
      <c r="W15" s="432" t="str">
        <f t="shared" ca="1" si="15"/>
        <v/>
      </c>
      <c r="X15" s="431" t="str">
        <f t="shared" ca="1" si="15"/>
        <v/>
      </c>
      <c r="Y15" s="432" t="str">
        <f t="shared" ca="1" si="15"/>
        <v/>
      </c>
      <c r="Z15" s="420"/>
      <c r="AA15" s="434"/>
      <c r="AB15" s="422"/>
    </row>
    <row r="16" spans="1:28" ht="22.5" hidden="1" customHeight="1">
      <c r="A16" s="171"/>
      <c r="B16" s="255"/>
      <c r="C16" s="307"/>
      <c r="D16" s="435"/>
      <c r="E16" s="436">
        <f t="shared" ref="E16:M16" ca="1" si="16">IF($D17&gt;0,FLOOR($D17/18,1),0)+IF(AND(MOD($D17,18)&gt;=E$3,$D17&gt;0),1,0)-IF(E$3-18&gt;$D17,1,0)</f>
        <v>0</v>
      </c>
      <c r="F16" s="437">
        <f t="shared" ca="1" si="16"/>
        <v>0</v>
      </c>
      <c r="G16" s="438">
        <f t="shared" ca="1" si="16"/>
        <v>0</v>
      </c>
      <c r="H16" s="437">
        <f t="shared" ca="1" si="16"/>
        <v>0</v>
      </c>
      <c r="I16" s="438">
        <f t="shared" ca="1" si="16"/>
        <v>0</v>
      </c>
      <c r="J16" s="437">
        <f t="shared" ca="1" si="16"/>
        <v>0</v>
      </c>
      <c r="K16" s="438">
        <f t="shared" ca="1" si="16"/>
        <v>0</v>
      </c>
      <c r="L16" s="437">
        <f t="shared" ca="1" si="16"/>
        <v>0</v>
      </c>
      <c r="M16" s="438">
        <f t="shared" ca="1" si="16"/>
        <v>0</v>
      </c>
      <c r="N16" s="439"/>
      <c r="O16" s="131"/>
      <c r="P16" s="171"/>
      <c r="Q16" s="436">
        <f t="shared" ref="Q16:Y16" ca="1" si="17">IF($D17&gt;0,FLOOR($D17/18,1),0)+IF(AND(MOD($D17,18)&gt;=Q$3,$D17&gt;0),1,0)-IF(Q$3-18&gt;$D17,1,0)</f>
        <v>0</v>
      </c>
      <c r="R16" s="437">
        <f t="shared" ca="1" si="17"/>
        <v>0</v>
      </c>
      <c r="S16" s="438">
        <f t="shared" ca="1" si="17"/>
        <v>0</v>
      </c>
      <c r="T16" s="437">
        <f t="shared" ca="1" si="17"/>
        <v>0</v>
      </c>
      <c r="U16" s="438">
        <f t="shared" ca="1" si="17"/>
        <v>0</v>
      </c>
      <c r="V16" s="437">
        <f t="shared" ca="1" si="17"/>
        <v>0</v>
      </c>
      <c r="W16" s="438">
        <f t="shared" ca="1" si="17"/>
        <v>0</v>
      </c>
      <c r="X16" s="437">
        <f t="shared" ca="1" si="17"/>
        <v>0</v>
      </c>
      <c r="Y16" s="438">
        <f t="shared" ca="1" si="17"/>
        <v>0</v>
      </c>
      <c r="Z16" s="408"/>
      <c r="AA16" s="424"/>
      <c r="AB16" s="410"/>
    </row>
    <row r="17" spans="1:28" ht="22.5" customHeight="1">
      <c r="A17" s="191" t="str">
        <f>'Match Selection'!S15</f>
        <v>TJSC</v>
      </c>
      <c r="B17" s="257" t="str">
        <f>VLOOKUP(A17, 'Master Input'!$A$11:$B$27,2, FALSE)</f>
        <v>TEES</v>
      </c>
      <c r="C17" s="440">
        <f ca="1">C14</f>
        <v>5.9</v>
      </c>
      <c r="D17" s="441">
        <f>IF(D14="", 0,D14)</f>
        <v>0</v>
      </c>
      <c r="E17" s="442">
        <f t="shared" ref="E17:M17" si="18">IF(E14="","-",E14)</f>
        <v>5</v>
      </c>
      <c r="F17" s="443">
        <f t="shared" si="18"/>
        <v>4</v>
      </c>
      <c r="G17" s="444">
        <f t="shared" si="18"/>
        <v>5</v>
      </c>
      <c r="H17" s="443">
        <f t="shared" si="18"/>
        <v>4</v>
      </c>
      <c r="I17" s="443">
        <f t="shared" si="18"/>
        <v>3</v>
      </c>
      <c r="J17" s="443">
        <f t="shared" si="18"/>
        <v>4</v>
      </c>
      <c r="K17" s="443">
        <f t="shared" si="18"/>
        <v>4</v>
      </c>
      <c r="L17" s="443">
        <f t="shared" si="18"/>
        <v>6</v>
      </c>
      <c r="M17" s="443">
        <f t="shared" si="18"/>
        <v>3</v>
      </c>
      <c r="N17" s="445">
        <f>IF(M17="-","-", SUM(E17:M17))</f>
        <v>38</v>
      </c>
      <c r="O17" s="131"/>
      <c r="P17" s="181" t="str">
        <f>A17</f>
        <v>TJSC</v>
      </c>
      <c r="Q17" s="442">
        <f t="shared" ref="Q17:Y17" si="19">IF(Q14="","-",Q14)</f>
        <v>3</v>
      </c>
      <c r="R17" s="443">
        <f t="shared" si="19"/>
        <v>4</v>
      </c>
      <c r="S17" s="444">
        <f t="shared" si="19"/>
        <v>3</v>
      </c>
      <c r="T17" s="443">
        <f t="shared" si="19"/>
        <v>4</v>
      </c>
      <c r="U17" s="444">
        <f t="shared" si="19"/>
        <v>3</v>
      </c>
      <c r="V17" s="443">
        <f t="shared" si="19"/>
        <v>4</v>
      </c>
      <c r="W17" s="444">
        <f t="shared" si="19"/>
        <v>4</v>
      </c>
      <c r="X17" s="443">
        <f t="shared" si="19"/>
        <v>4</v>
      </c>
      <c r="Y17" s="444">
        <f t="shared" si="19"/>
        <v>4</v>
      </c>
      <c r="Z17" s="446">
        <f>IF(Y17="-","-", SUM(Q17:Y17))</f>
        <v>33</v>
      </c>
      <c r="AA17" s="447">
        <f>IF(Z17="-", "-", SUM(N17,Z17))</f>
        <v>71</v>
      </c>
      <c r="AB17" s="418">
        <f ca="1">IF(Y17="-", "-", AA17-C14)</f>
        <v>65.099999999999994</v>
      </c>
    </row>
    <row r="18" spans="1:28" ht="11.25" customHeight="1">
      <c r="A18" s="448"/>
      <c r="B18" s="448"/>
      <c r="C18" s="449"/>
      <c r="D18" s="450"/>
      <c r="E18" s="451"/>
      <c r="F18" s="450"/>
      <c r="G18" s="450"/>
      <c r="H18" s="450"/>
      <c r="I18" s="450"/>
      <c r="J18" s="450"/>
      <c r="K18" s="450"/>
      <c r="L18" s="450"/>
      <c r="M18" s="450"/>
      <c r="N18" s="331" t="s">
        <v>7</v>
      </c>
      <c r="O18" s="196"/>
      <c r="P18" s="195"/>
      <c r="Q18" s="331"/>
      <c r="R18" s="195" t="s">
        <v>9</v>
      </c>
      <c r="S18" s="195" t="s">
        <v>35</v>
      </c>
      <c r="T18" s="195" t="s">
        <v>54</v>
      </c>
      <c r="U18" s="195"/>
      <c r="V18" s="195" t="s">
        <v>9</v>
      </c>
      <c r="W18" s="195" t="s">
        <v>35</v>
      </c>
      <c r="X18" s="195" t="s">
        <v>54</v>
      </c>
      <c r="Y18" s="195"/>
      <c r="Z18" s="331" t="s">
        <v>9</v>
      </c>
      <c r="AA18" s="195" t="s">
        <v>29</v>
      </c>
      <c r="AB18" s="197" t="s">
        <v>42</v>
      </c>
    </row>
    <row r="19" spans="1:28" ht="14.25" customHeight="1">
      <c r="A19" s="452" t="str">
        <f>B8&amp;" Status"</f>
        <v>WEEZ Status</v>
      </c>
      <c r="B19" s="453" t="s">
        <v>55</v>
      </c>
      <c r="C19" s="454"/>
      <c r="D19" s="455"/>
      <c r="E19" s="456">
        <f ca="1">IF(OR(E8="", E14=""), ".",E23)</f>
        <v>1</v>
      </c>
      <c r="F19" s="457">
        <f t="shared" ref="F19:M19" ca="1" si="20">IF(OR(F8="", F14=""), ".",F23+E19)</f>
        <v>1</v>
      </c>
      <c r="G19" s="457">
        <f t="shared" ca="1" si="20"/>
        <v>2</v>
      </c>
      <c r="H19" s="457">
        <f t="shared" ca="1" si="20"/>
        <v>2</v>
      </c>
      <c r="I19" s="457">
        <f t="shared" ca="1" si="20"/>
        <v>2</v>
      </c>
      <c r="J19" s="457">
        <f t="shared" ca="1" si="20"/>
        <v>2</v>
      </c>
      <c r="K19" s="457">
        <f t="shared" ca="1" si="20"/>
        <v>2</v>
      </c>
      <c r="L19" s="457">
        <f t="shared" ca="1" si="20"/>
        <v>3</v>
      </c>
      <c r="M19" s="457">
        <f t="shared" ca="1" si="20"/>
        <v>3</v>
      </c>
      <c r="N19" s="458">
        <f ca="1">IF(M19=".", "", IF(M19&lt;0, 0, IF(M19&gt;0, VLOOKUP($B$2,'Master Input'!$O$12:$R$23,'Master Input'!P$11,FALSE), VLOOKUP($B$2,'Master Input'!$O$12:$R$23,'Master Input'!P$11,FALSE)*0.5)))</f>
        <v>1</v>
      </c>
      <c r="O19" s="204"/>
      <c r="P19" s="459" t="s">
        <v>56</v>
      </c>
      <c r="Q19" s="460">
        <f ca="1">IF(OR(Q8="", Q14=""), ".",Q23+M19)</f>
        <v>2</v>
      </c>
      <c r="R19" s="457">
        <f t="shared" ref="R19:Y19" ca="1" si="21">IF(OR(R8="", R14=""), ".",R23+Q19)</f>
        <v>1</v>
      </c>
      <c r="S19" s="457">
        <f t="shared" ca="1" si="21"/>
        <v>1</v>
      </c>
      <c r="T19" s="457">
        <f t="shared" ca="1" si="21"/>
        <v>1</v>
      </c>
      <c r="U19" s="457">
        <f t="shared" ca="1" si="21"/>
        <v>1</v>
      </c>
      <c r="V19" s="457">
        <f t="shared" ca="1" si="21"/>
        <v>0</v>
      </c>
      <c r="W19" s="457">
        <f t="shared" ca="1" si="21"/>
        <v>0</v>
      </c>
      <c r="X19" s="457">
        <f t="shared" ca="1" si="21"/>
        <v>-1</v>
      </c>
      <c r="Y19" s="455">
        <f t="shared" ca="1" si="21"/>
        <v>-1</v>
      </c>
      <c r="Z19" s="461">
        <f ca="1">IF(Y19=".", "", IF(Y19&lt;0, 0, IF(Y19&gt;0, VLOOKUP($B$2,'Master Input'!$O$12:$R$23,'Master Input'!R$11,FALSE), VLOOKUP($B$2,'Master Input'!$O$12:$R$23,'Master Input'!R$11,FALSE)*0.5)))</f>
        <v>0</v>
      </c>
      <c r="AA19" s="365" t="s">
        <v>29</v>
      </c>
      <c r="AB19" s="458">
        <f ca="1">IF(Z19="","", SUM(N19,Z19,Z20))</f>
        <v>1</v>
      </c>
    </row>
    <row r="20" spans="1:28" ht="14.25" customHeight="1">
      <c r="A20" s="362"/>
      <c r="B20" s="362"/>
      <c r="C20" s="361"/>
      <c r="D20" s="362"/>
      <c r="E20" s="362"/>
      <c r="F20" s="362"/>
      <c r="G20" s="362"/>
      <c r="H20" s="362"/>
      <c r="I20" s="362"/>
      <c r="J20" s="362"/>
      <c r="K20" s="362"/>
      <c r="L20" s="362"/>
      <c r="M20" s="362"/>
      <c r="N20" s="362"/>
      <c r="O20" s="204"/>
      <c r="P20" s="462" t="s">
        <v>57</v>
      </c>
      <c r="Q20" s="463">
        <f ca="1">IF(OR(Q8="", Q14=""), ".",Q23)</f>
        <v>-1</v>
      </c>
      <c r="R20" s="464">
        <f t="shared" ref="R20:Y20" ca="1" si="22">IF(OR(R8="", R14=""), ".",R23+Q20)</f>
        <v>-2</v>
      </c>
      <c r="S20" s="464">
        <f t="shared" ca="1" si="22"/>
        <v>-2</v>
      </c>
      <c r="T20" s="464">
        <f t="shared" ca="1" si="22"/>
        <v>-2</v>
      </c>
      <c r="U20" s="464">
        <f t="shared" ca="1" si="22"/>
        <v>-2</v>
      </c>
      <c r="V20" s="464">
        <f t="shared" ca="1" si="22"/>
        <v>-3</v>
      </c>
      <c r="W20" s="464">
        <f t="shared" ca="1" si="22"/>
        <v>-3</v>
      </c>
      <c r="X20" s="464">
        <f t="shared" ca="1" si="22"/>
        <v>-4</v>
      </c>
      <c r="Y20" s="464">
        <f t="shared" ca="1" si="22"/>
        <v>-4</v>
      </c>
      <c r="Z20" s="465">
        <f ca="1">IF(Y20=".", "", IF(Y20&lt;0, 0, IF(Y20&gt;0, VLOOKUP($B$2,'Master Input'!$O$12:$R$23,'Master Input'!Q$11,FALSE), VLOOKUP($B$2,'Master Input'!$O$12:$R$23,'Master Input'!Q$11,FALSE)*0.5)))</f>
        <v>0</v>
      </c>
      <c r="AA20" s="365" t="s">
        <v>9</v>
      </c>
      <c r="AB20" s="193"/>
    </row>
    <row r="21" spans="1:28" ht="14.25" hidden="1" customHeight="1">
      <c r="A21" s="193"/>
      <c r="B21" s="193"/>
      <c r="C21" s="194"/>
      <c r="D21" s="193"/>
      <c r="E21" s="193"/>
      <c r="F21" s="193"/>
      <c r="G21" s="193"/>
      <c r="H21" s="193"/>
      <c r="I21" s="193"/>
      <c r="J21" s="193"/>
      <c r="K21" s="193"/>
      <c r="L21" s="193"/>
      <c r="M21" s="193"/>
      <c r="N21" s="193"/>
      <c r="O21" s="364"/>
      <c r="P21" s="365"/>
      <c r="Q21" s="365"/>
      <c r="R21" s="365"/>
      <c r="S21" s="365"/>
      <c r="T21" s="365"/>
      <c r="U21" s="365"/>
      <c r="V21" s="365"/>
      <c r="W21" s="365"/>
      <c r="X21" s="365"/>
      <c r="Y21" s="365"/>
      <c r="Z21" s="365"/>
      <c r="AB21" s="193"/>
    </row>
    <row r="22" spans="1:28" ht="14.25" hidden="1" customHeight="1">
      <c r="A22" s="193"/>
      <c r="B22" s="193"/>
      <c r="C22" s="194"/>
      <c r="D22" s="193"/>
      <c r="E22" s="193"/>
      <c r="F22" s="193"/>
      <c r="G22" s="193"/>
      <c r="H22" s="193"/>
      <c r="I22" s="193"/>
      <c r="J22" s="193"/>
      <c r="K22" s="193"/>
      <c r="L22" s="193"/>
      <c r="M22" s="193"/>
      <c r="N22" s="193"/>
      <c r="O22" s="364"/>
      <c r="P22" s="365"/>
      <c r="Q22" s="365"/>
      <c r="R22" s="365"/>
      <c r="S22" s="365"/>
      <c r="T22" s="365"/>
      <c r="U22" s="365"/>
      <c r="V22" s="365"/>
      <c r="W22" s="365"/>
      <c r="X22" s="365"/>
      <c r="Y22" s="365"/>
      <c r="Z22" s="367"/>
      <c r="AA22" s="367" t="s">
        <v>33</v>
      </c>
      <c r="AB22" s="223" t="s">
        <v>34</v>
      </c>
    </row>
    <row r="23" spans="1:28" ht="14.25" hidden="1" customHeight="1">
      <c r="A23" s="193"/>
      <c r="B23" s="193" t="s">
        <v>35</v>
      </c>
      <c r="C23" s="194"/>
      <c r="D23" s="193"/>
      <c r="E23" s="466">
        <f t="shared" ref="E23:M23" ca="1" si="23">IF(OR(E8="", E14=""), "",
IF(E8-E7&lt;E14-E13,1,
IF(E8-E7&gt;E14-E13,-1,
0)))</f>
        <v>1</v>
      </c>
      <c r="F23" s="466">
        <f t="shared" ca="1" si="23"/>
        <v>0</v>
      </c>
      <c r="G23" s="466">
        <f t="shared" ca="1" si="23"/>
        <v>1</v>
      </c>
      <c r="H23" s="466">
        <f t="shared" ca="1" si="23"/>
        <v>0</v>
      </c>
      <c r="I23" s="466">
        <f t="shared" ca="1" si="23"/>
        <v>0</v>
      </c>
      <c r="J23" s="466">
        <f t="shared" ca="1" si="23"/>
        <v>0</v>
      </c>
      <c r="K23" s="466">
        <f t="shared" ca="1" si="23"/>
        <v>0</v>
      </c>
      <c r="L23" s="466">
        <f t="shared" ca="1" si="23"/>
        <v>1</v>
      </c>
      <c r="M23" s="466">
        <f t="shared" ca="1" si="23"/>
        <v>0</v>
      </c>
      <c r="N23" s="193"/>
      <c r="O23" s="364"/>
      <c r="P23" s="365"/>
      <c r="Q23" s="466">
        <f t="shared" ref="Q23:Y23" ca="1" si="24">IF(OR(Q8="", Q14=""), "",
IF(Q8-Q7&lt;Q14-Q13,1,
IF(Q8-Q7&gt;Q14-Q13,-1,
0)))</f>
        <v>-1</v>
      </c>
      <c r="R23" s="466">
        <f t="shared" ca="1" si="24"/>
        <v>-1</v>
      </c>
      <c r="S23" s="466">
        <f t="shared" ca="1" si="24"/>
        <v>0</v>
      </c>
      <c r="T23" s="466">
        <f t="shared" ca="1" si="24"/>
        <v>0</v>
      </c>
      <c r="U23" s="466">
        <f t="shared" ca="1" si="24"/>
        <v>0</v>
      </c>
      <c r="V23" s="466">
        <f t="shared" ca="1" si="24"/>
        <v>-1</v>
      </c>
      <c r="W23" s="466">
        <f t="shared" ca="1" si="24"/>
        <v>0</v>
      </c>
      <c r="X23" s="466">
        <f t="shared" ca="1" si="24"/>
        <v>-1</v>
      </c>
      <c r="Y23" s="466">
        <f t="shared" ca="1" si="24"/>
        <v>0</v>
      </c>
      <c r="Z23" s="367"/>
      <c r="AA23" s="367" t="s">
        <v>37</v>
      </c>
      <c r="AB23" s="223" t="s">
        <v>38</v>
      </c>
    </row>
    <row r="24" spans="1:28" ht="14.25" hidden="1" customHeight="1">
      <c r="A24" s="368"/>
      <c r="B24" s="369" t="str">
        <f>B8</f>
        <v>WEEZ</v>
      </c>
      <c r="C24" s="370"/>
      <c r="D24" s="369"/>
      <c r="E24" s="369">
        <f t="shared" ref="E24:M24" ca="1" si="25">(E23+1)/2</f>
        <v>1</v>
      </c>
      <c r="F24" s="369">
        <f t="shared" ca="1" si="25"/>
        <v>0.5</v>
      </c>
      <c r="G24" s="369">
        <f t="shared" ca="1" si="25"/>
        <v>1</v>
      </c>
      <c r="H24" s="369">
        <f t="shared" ca="1" si="25"/>
        <v>0.5</v>
      </c>
      <c r="I24" s="369">
        <f t="shared" ca="1" si="25"/>
        <v>0.5</v>
      </c>
      <c r="J24" s="369">
        <f t="shared" ca="1" si="25"/>
        <v>0.5</v>
      </c>
      <c r="K24" s="369">
        <f t="shared" ca="1" si="25"/>
        <v>0.5</v>
      </c>
      <c r="L24" s="369">
        <f t="shared" ca="1" si="25"/>
        <v>1</v>
      </c>
      <c r="M24" s="369">
        <f t="shared" ca="1" si="25"/>
        <v>0.5</v>
      </c>
      <c r="N24" s="369">
        <f ca="1">SUM(N25:N26)</f>
        <v>6</v>
      </c>
      <c r="O24" s="369"/>
      <c r="P24" s="371"/>
      <c r="Q24" s="369">
        <f t="shared" ref="Q24:Y24" ca="1" si="26">(Q23+1)/2</f>
        <v>0</v>
      </c>
      <c r="R24" s="369">
        <f t="shared" ca="1" si="26"/>
        <v>0</v>
      </c>
      <c r="S24" s="369">
        <f t="shared" ca="1" si="26"/>
        <v>0.5</v>
      </c>
      <c r="T24" s="369">
        <f t="shared" ca="1" si="26"/>
        <v>0.5</v>
      </c>
      <c r="U24" s="369">
        <f t="shared" ca="1" si="26"/>
        <v>0.5</v>
      </c>
      <c r="V24" s="369">
        <f t="shared" ca="1" si="26"/>
        <v>0</v>
      </c>
      <c r="W24" s="369">
        <f t="shared" ca="1" si="26"/>
        <v>0.5</v>
      </c>
      <c r="X24" s="369">
        <f t="shared" ca="1" si="26"/>
        <v>0</v>
      </c>
      <c r="Y24" s="369">
        <f t="shared" ca="1" si="26"/>
        <v>0.5</v>
      </c>
      <c r="Z24" s="369">
        <f ca="1">SUM(Z25:Z26)</f>
        <v>2.5</v>
      </c>
      <c r="AA24" s="372">
        <f t="shared" ref="AA24:AA29" ca="1" si="27">SUM(Z24,N24)</f>
        <v>8.5</v>
      </c>
      <c r="AB24" s="368"/>
    </row>
    <row r="25" spans="1:28" ht="14.25" hidden="1" customHeight="1">
      <c r="A25" s="193" t="str">
        <f>A8</f>
        <v>T-Mo</v>
      </c>
      <c r="B25" s="193"/>
      <c r="C25" s="194"/>
      <c r="D25" s="193"/>
      <c r="E25" s="193">
        <f t="shared" ref="E25:M25" ca="1" si="28">E24/2</f>
        <v>0.5</v>
      </c>
      <c r="F25" s="193">
        <f t="shared" ca="1" si="28"/>
        <v>0.25</v>
      </c>
      <c r="G25" s="193">
        <f t="shared" ca="1" si="28"/>
        <v>0.5</v>
      </c>
      <c r="H25" s="193">
        <f t="shared" ca="1" si="28"/>
        <v>0.25</v>
      </c>
      <c r="I25" s="193">
        <f t="shared" ca="1" si="28"/>
        <v>0.25</v>
      </c>
      <c r="J25" s="193">
        <f t="shared" ca="1" si="28"/>
        <v>0.25</v>
      </c>
      <c r="K25" s="193">
        <f t="shared" ca="1" si="28"/>
        <v>0.25</v>
      </c>
      <c r="L25" s="193">
        <f t="shared" ca="1" si="28"/>
        <v>0.5</v>
      </c>
      <c r="M25" s="193">
        <f t="shared" ca="1" si="28"/>
        <v>0.25</v>
      </c>
      <c r="N25" s="193">
        <f t="shared" ref="N25:N26" ca="1" si="29">SUM(E25:M25)</f>
        <v>3</v>
      </c>
      <c r="O25" s="364"/>
      <c r="P25" s="365"/>
      <c r="Q25" s="193">
        <f t="shared" ref="Q25:Y25" ca="1" si="30">Q24/2</f>
        <v>0</v>
      </c>
      <c r="R25" s="193">
        <f t="shared" ca="1" si="30"/>
        <v>0</v>
      </c>
      <c r="S25" s="193">
        <f t="shared" ca="1" si="30"/>
        <v>0.25</v>
      </c>
      <c r="T25" s="193">
        <f t="shared" ca="1" si="30"/>
        <v>0.25</v>
      </c>
      <c r="U25" s="193">
        <f t="shared" ca="1" si="30"/>
        <v>0.25</v>
      </c>
      <c r="V25" s="193">
        <f t="shared" ca="1" si="30"/>
        <v>0</v>
      </c>
      <c r="W25" s="193">
        <f t="shared" ca="1" si="30"/>
        <v>0.25</v>
      </c>
      <c r="X25" s="193">
        <f t="shared" ca="1" si="30"/>
        <v>0</v>
      </c>
      <c r="Y25" s="193">
        <f t="shared" ca="1" si="30"/>
        <v>0.25</v>
      </c>
      <c r="Z25" s="366">
        <f t="shared" ref="Z25:Z26" ca="1" si="31">SUM(Q25:Y25)</f>
        <v>1.25</v>
      </c>
      <c r="AA25">
        <f t="shared" ca="1" si="27"/>
        <v>4.25</v>
      </c>
      <c r="AB25" s="373">
        <f t="shared" ref="AB25:AB26" ca="1" si="32">((N25/$N$24)*$N$19)+((Z25/$Z$24)*$Z$20)+((AA25/$AA$24)*$Z$19)</f>
        <v>0.5</v>
      </c>
    </row>
    <row r="26" spans="1:28" ht="14.25" hidden="1" customHeight="1">
      <c r="A26" s="193" t="str">
        <f>A11</f>
        <v>Joe O</v>
      </c>
      <c r="B26" s="193"/>
      <c r="C26" s="194"/>
      <c r="D26" s="193"/>
      <c r="E26" s="193">
        <f t="shared" ref="E26:M26" ca="1" si="33">E24/2</f>
        <v>0.5</v>
      </c>
      <c r="F26" s="193">
        <f t="shared" ca="1" si="33"/>
        <v>0.25</v>
      </c>
      <c r="G26" s="193">
        <f t="shared" ca="1" si="33"/>
        <v>0.5</v>
      </c>
      <c r="H26" s="193">
        <f t="shared" ca="1" si="33"/>
        <v>0.25</v>
      </c>
      <c r="I26" s="193">
        <f t="shared" ca="1" si="33"/>
        <v>0.25</v>
      </c>
      <c r="J26" s="193">
        <f t="shared" ca="1" si="33"/>
        <v>0.25</v>
      </c>
      <c r="K26" s="193">
        <f t="shared" ca="1" si="33"/>
        <v>0.25</v>
      </c>
      <c r="L26" s="193">
        <f t="shared" ca="1" si="33"/>
        <v>0.5</v>
      </c>
      <c r="M26" s="193">
        <f t="shared" ca="1" si="33"/>
        <v>0.25</v>
      </c>
      <c r="N26" s="193">
        <f t="shared" ca="1" si="29"/>
        <v>3</v>
      </c>
      <c r="O26" s="364"/>
      <c r="P26" s="365"/>
      <c r="Q26" s="193">
        <f t="shared" ref="Q26:Y26" ca="1" si="34">Q24/2</f>
        <v>0</v>
      </c>
      <c r="R26" s="193">
        <f t="shared" ca="1" si="34"/>
        <v>0</v>
      </c>
      <c r="S26" s="193">
        <f t="shared" ca="1" si="34"/>
        <v>0.25</v>
      </c>
      <c r="T26" s="193">
        <f t="shared" ca="1" si="34"/>
        <v>0.25</v>
      </c>
      <c r="U26" s="193">
        <f t="shared" ca="1" si="34"/>
        <v>0.25</v>
      </c>
      <c r="V26" s="193">
        <f t="shared" ca="1" si="34"/>
        <v>0</v>
      </c>
      <c r="W26" s="193">
        <f t="shared" ca="1" si="34"/>
        <v>0.25</v>
      </c>
      <c r="X26" s="193">
        <f t="shared" ca="1" si="34"/>
        <v>0</v>
      </c>
      <c r="Y26" s="193">
        <f t="shared" ca="1" si="34"/>
        <v>0.25</v>
      </c>
      <c r="Z26" s="366">
        <f t="shared" ca="1" si="31"/>
        <v>1.25</v>
      </c>
      <c r="AA26">
        <f t="shared" ca="1" si="27"/>
        <v>4.25</v>
      </c>
      <c r="AB26" s="373">
        <f t="shared" ca="1" si="32"/>
        <v>0.5</v>
      </c>
    </row>
    <row r="27" spans="1:28" ht="14.25" hidden="1" customHeight="1">
      <c r="A27" s="368"/>
      <c r="B27" s="369" t="str">
        <f>B14</f>
        <v>TEES</v>
      </c>
      <c r="C27" s="370"/>
      <c r="D27" s="369"/>
      <c r="E27" s="369">
        <f t="shared" ref="E27:M27" ca="1" si="35">(1-E23)/2</f>
        <v>0</v>
      </c>
      <c r="F27" s="369">
        <f t="shared" ca="1" si="35"/>
        <v>0.5</v>
      </c>
      <c r="G27" s="369">
        <f t="shared" ca="1" si="35"/>
        <v>0</v>
      </c>
      <c r="H27" s="369">
        <f t="shared" ca="1" si="35"/>
        <v>0.5</v>
      </c>
      <c r="I27" s="369">
        <f t="shared" ca="1" si="35"/>
        <v>0.5</v>
      </c>
      <c r="J27" s="369">
        <f t="shared" ca="1" si="35"/>
        <v>0.5</v>
      </c>
      <c r="K27" s="369">
        <f t="shared" ca="1" si="35"/>
        <v>0.5</v>
      </c>
      <c r="L27" s="369">
        <f t="shared" ca="1" si="35"/>
        <v>0</v>
      </c>
      <c r="M27" s="369">
        <f t="shared" ca="1" si="35"/>
        <v>0.5</v>
      </c>
      <c r="N27" s="369">
        <f ca="1">SUM(N28:N29)</f>
        <v>3</v>
      </c>
      <c r="O27" s="369"/>
      <c r="P27" s="371"/>
      <c r="Q27" s="369">
        <f t="shared" ref="Q27:Y27" ca="1" si="36">(1-Q23)/2</f>
        <v>1</v>
      </c>
      <c r="R27" s="369">
        <f t="shared" ca="1" si="36"/>
        <v>1</v>
      </c>
      <c r="S27" s="369">
        <f t="shared" ca="1" si="36"/>
        <v>0.5</v>
      </c>
      <c r="T27" s="369">
        <f t="shared" ca="1" si="36"/>
        <v>0.5</v>
      </c>
      <c r="U27" s="369">
        <f t="shared" ca="1" si="36"/>
        <v>0.5</v>
      </c>
      <c r="V27" s="369">
        <f t="shared" ca="1" si="36"/>
        <v>1</v>
      </c>
      <c r="W27" s="369">
        <f t="shared" ca="1" si="36"/>
        <v>0.5</v>
      </c>
      <c r="X27" s="369">
        <f t="shared" ca="1" si="36"/>
        <v>1</v>
      </c>
      <c r="Y27" s="369">
        <f t="shared" ca="1" si="36"/>
        <v>0.5</v>
      </c>
      <c r="Z27" s="369">
        <f ca="1">SUM(Z28:Z29)</f>
        <v>6.5</v>
      </c>
      <c r="AA27" s="372">
        <f t="shared" ca="1" si="27"/>
        <v>9.5</v>
      </c>
      <c r="AB27" s="369"/>
    </row>
    <row r="28" spans="1:28" ht="14.25" hidden="1" customHeight="1">
      <c r="A28" s="193" t="str">
        <f>A14</f>
        <v>House</v>
      </c>
      <c r="B28" s="193"/>
      <c r="C28" s="194"/>
      <c r="D28" s="193"/>
      <c r="E28" s="193">
        <f t="shared" ref="E28:M28" ca="1" si="37">E27/2</f>
        <v>0</v>
      </c>
      <c r="F28" s="193">
        <f t="shared" ca="1" si="37"/>
        <v>0.25</v>
      </c>
      <c r="G28" s="193">
        <f t="shared" ca="1" si="37"/>
        <v>0</v>
      </c>
      <c r="H28" s="193">
        <f t="shared" ca="1" si="37"/>
        <v>0.25</v>
      </c>
      <c r="I28" s="193">
        <f t="shared" ca="1" si="37"/>
        <v>0.25</v>
      </c>
      <c r="J28" s="193">
        <f t="shared" ca="1" si="37"/>
        <v>0.25</v>
      </c>
      <c r="K28" s="193">
        <f t="shared" ca="1" si="37"/>
        <v>0.25</v>
      </c>
      <c r="L28" s="193">
        <f t="shared" ca="1" si="37"/>
        <v>0</v>
      </c>
      <c r="M28" s="193">
        <f t="shared" ca="1" si="37"/>
        <v>0.25</v>
      </c>
      <c r="N28" s="193">
        <f t="shared" ref="N28:N29" ca="1" si="38">SUM(E28:M28)</f>
        <v>1.5</v>
      </c>
      <c r="O28" s="364"/>
      <c r="P28" s="365"/>
      <c r="Q28" s="193">
        <f t="shared" ref="Q28:Y28" ca="1" si="39">Q27/2</f>
        <v>0.5</v>
      </c>
      <c r="R28" s="193">
        <f t="shared" ca="1" si="39"/>
        <v>0.5</v>
      </c>
      <c r="S28" s="193">
        <f t="shared" ca="1" si="39"/>
        <v>0.25</v>
      </c>
      <c r="T28" s="193">
        <f t="shared" ca="1" si="39"/>
        <v>0.25</v>
      </c>
      <c r="U28" s="193">
        <f t="shared" ca="1" si="39"/>
        <v>0.25</v>
      </c>
      <c r="V28" s="193">
        <f t="shared" ca="1" si="39"/>
        <v>0.5</v>
      </c>
      <c r="W28" s="193">
        <f t="shared" ca="1" si="39"/>
        <v>0.25</v>
      </c>
      <c r="X28" s="193">
        <f t="shared" ca="1" si="39"/>
        <v>0.5</v>
      </c>
      <c r="Y28" s="193">
        <f t="shared" ca="1" si="39"/>
        <v>0.25</v>
      </c>
      <c r="Z28" s="366">
        <f t="shared" ref="Z28:Z29" ca="1" si="40">SUM(Q28:Y28)</f>
        <v>3.25</v>
      </c>
      <c r="AA28">
        <f t="shared" ca="1" si="27"/>
        <v>4.75</v>
      </c>
      <c r="AB28" s="373">
        <f ca="1">((N28/$N$27)*('Master Input'!$P$18-$N$19))+((Z28/$Z$27)*('Master Input'!$Q$18-$Z$20))+((AA28/$AA$27)*('Master Input'!$R$18-$Z$19))</f>
        <v>1.5</v>
      </c>
    </row>
    <row r="29" spans="1:28" ht="14.25" hidden="1" customHeight="1">
      <c r="A29" s="193" t="str">
        <f>A17</f>
        <v>TJSC</v>
      </c>
      <c r="B29" s="193"/>
      <c r="C29" s="194"/>
      <c r="D29" s="193"/>
      <c r="E29" s="193">
        <f t="shared" ref="E29:M29" ca="1" si="41">E27/2</f>
        <v>0</v>
      </c>
      <c r="F29" s="193">
        <f t="shared" ca="1" si="41"/>
        <v>0.25</v>
      </c>
      <c r="G29" s="193">
        <f t="shared" ca="1" si="41"/>
        <v>0</v>
      </c>
      <c r="H29" s="193">
        <f t="shared" ca="1" si="41"/>
        <v>0.25</v>
      </c>
      <c r="I29" s="193">
        <f t="shared" ca="1" si="41"/>
        <v>0.25</v>
      </c>
      <c r="J29" s="193">
        <f t="shared" ca="1" si="41"/>
        <v>0.25</v>
      </c>
      <c r="K29" s="193">
        <f t="shared" ca="1" si="41"/>
        <v>0.25</v>
      </c>
      <c r="L29" s="193">
        <f t="shared" ca="1" si="41"/>
        <v>0</v>
      </c>
      <c r="M29" s="193">
        <f t="shared" ca="1" si="41"/>
        <v>0.25</v>
      </c>
      <c r="N29" s="193">
        <f t="shared" ca="1" si="38"/>
        <v>1.5</v>
      </c>
      <c r="O29" s="364"/>
      <c r="P29" s="365"/>
      <c r="Q29" s="193">
        <f t="shared" ref="Q29:Y29" ca="1" si="42">Q27/2</f>
        <v>0.5</v>
      </c>
      <c r="R29" s="193">
        <f t="shared" ca="1" si="42"/>
        <v>0.5</v>
      </c>
      <c r="S29" s="193">
        <f t="shared" ca="1" si="42"/>
        <v>0.25</v>
      </c>
      <c r="T29" s="193">
        <f t="shared" ca="1" si="42"/>
        <v>0.25</v>
      </c>
      <c r="U29" s="193">
        <f t="shared" ca="1" si="42"/>
        <v>0.25</v>
      </c>
      <c r="V29" s="193">
        <f t="shared" ca="1" si="42"/>
        <v>0.5</v>
      </c>
      <c r="W29" s="193">
        <f t="shared" ca="1" si="42"/>
        <v>0.25</v>
      </c>
      <c r="X29" s="193">
        <f t="shared" ca="1" si="42"/>
        <v>0.5</v>
      </c>
      <c r="Y29" s="193">
        <f t="shared" ca="1" si="42"/>
        <v>0.25</v>
      </c>
      <c r="Z29" s="366">
        <f t="shared" ca="1" si="40"/>
        <v>3.25</v>
      </c>
      <c r="AA29">
        <f t="shared" ca="1" si="27"/>
        <v>4.75</v>
      </c>
      <c r="AB29" s="373">
        <f ca="1">((N29/$N$27)*('Master Input'!$P$18-$N$19))+((Z29/$Z$27)*('Master Input'!$Q$18-$Z$20))+((AA29/$AA$27)*('Master Input'!$R$18-$Z$19))</f>
        <v>1.5</v>
      </c>
    </row>
    <row r="30" spans="1:28" ht="14.25" hidden="1" customHeight="1">
      <c r="A30" s="193"/>
      <c r="B30" s="193"/>
      <c r="C30" s="194"/>
      <c r="D30" s="193"/>
      <c r="E30" s="193">
        <f t="shared" ref="E30:N30" ca="1" si="43">SUM(E25:E26,E28:E29)</f>
        <v>1</v>
      </c>
      <c r="F30" s="193">
        <f t="shared" ca="1" si="43"/>
        <v>1</v>
      </c>
      <c r="G30" s="193">
        <f t="shared" ca="1" si="43"/>
        <v>1</v>
      </c>
      <c r="H30" s="193">
        <f t="shared" ca="1" si="43"/>
        <v>1</v>
      </c>
      <c r="I30" s="193">
        <f t="shared" ca="1" si="43"/>
        <v>1</v>
      </c>
      <c r="J30" s="193">
        <f t="shared" ca="1" si="43"/>
        <v>1</v>
      </c>
      <c r="K30" s="193">
        <f t="shared" ca="1" si="43"/>
        <v>1</v>
      </c>
      <c r="L30" s="193">
        <f t="shared" ca="1" si="43"/>
        <v>1</v>
      </c>
      <c r="M30" s="193">
        <f t="shared" ca="1" si="43"/>
        <v>1</v>
      </c>
      <c r="N30" s="193">
        <f t="shared" ca="1" si="43"/>
        <v>9</v>
      </c>
      <c r="O30" s="364"/>
      <c r="P30" s="365"/>
      <c r="Q30" s="193">
        <f t="shared" ref="Q30:AA30" ca="1" si="44">SUM(Q25:Q26,Q28:Q29)</f>
        <v>1</v>
      </c>
      <c r="R30" s="193">
        <f t="shared" ca="1" si="44"/>
        <v>1</v>
      </c>
      <c r="S30" s="193">
        <f t="shared" ca="1" si="44"/>
        <v>1</v>
      </c>
      <c r="T30" s="193">
        <f t="shared" ca="1" si="44"/>
        <v>1</v>
      </c>
      <c r="U30" s="193">
        <f t="shared" ca="1" si="44"/>
        <v>1</v>
      </c>
      <c r="V30" s="193">
        <f t="shared" ca="1" si="44"/>
        <v>1</v>
      </c>
      <c r="W30" s="193">
        <f t="shared" ca="1" si="44"/>
        <v>1</v>
      </c>
      <c r="X30" s="193">
        <f t="shared" ca="1" si="44"/>
        <v>1</v>
      </c>
      <c r="Y30" s="193">
        <f t="shared" ca="1" si="44"/>
        <v>1</v>
      </c>
      <c r="Z30" s="193">
        <f t="shared" ca="1" si="44"/>
        <v>9</v>
      </c>
      <c r="AA30">
        <f t="shared" ca="1" si="44"/>
        <v>18</v>
      </c>
      <c r="AB30" s="373"/>
    </row>
  </sheetData>
  <mergeCells count="1">
    <mergeCell ref="B2:B4"/>
  </mergeCells>
  <conditionalFormatting sqref="E8:M8 Q8:Y8 E14:M14 Q14:Y14">
    <cfRule type="expression" dxfId="58" priority="4">
      <formula>E$23=0</formula>
    </cfRule>
  </conditionalFormatting>
  <conditionalFormatting sqref="E8:M8 Q8:Y8">
    <cfRule type="expression" dxfId="57" priority="3">
      <formula>AND(E$24=1,E$25&gt;0)</formula>
    </cfRule>
  </conditionalFormatting>
  <conditionalFormatting sqref="E14:M14 Q14:Y14">
    <cfRule type="expression" dxfId="56" priority="2">
      <formula>AND(E$27=1,E$28&gt;0)</formula>
    </cfRule>
  </conditionalFormatting>
  <conditionalFormatting sqref="E19:M19 Q19:Y20">
    <cfRule type="cellIs" dxfId="55" priority="1" operator="equal">
      <formula>"."</formula>
    </cfRule>
  </conditionalFormatting>
  <printOptions horizontalCentered="1" gridLines="1"/>
  <pageMargins left="0.6" right="0.25" top="0.5" bottom="0.5" header="0" footer="0"/>
  <pageSetup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6B26B"/>
    <outlinePr summaryBelow="0" summaryRight="0"/>
    <pageSetUpPr fitToPage="1"/>
  </sheetPr>
  <dimension ref="A1:AB30"/>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374" t="s">
        <v>41</v>
      </c>
      <c r="B1" s="375">
        <f>'Master Input'!J4</f>
        <v>0.10833333333333334</v>
      </c>
      <c r="C1" s="376" t="str">
        <f>'Master Input'!$I$2</f>
        <v>Round 3</v>
      </c>
      <c r="D1" s="377"/>
      <c r="E1" s="376" t="str">
        <f>'Master Input'!$I$6</f>
        <v>The Wolverine - Blue</v>
      </c>
      <c r="F1" s="378"/>
      <c r="G1" s="378"/>
      <c r="H1" s="378"/>
      <c r="I1" s="378"/>
      <c r="J1" s="378"/>
      <c r="K1" s="378"/>
      <c r="L1" s="378"/>
      <c r="M1" s="378"/>
      <c r="N1" s="378"/>
      <c r="O1" s="72"/>
      <c r="P1" s="376" t="str">
        <f>'Master Input'!$I$2&amp;" - "&amp;A1</f>
        <v>Round 3 - Group 4</v>
      </c>
      <c r="Q1" s="377"/>
      <c r="R1" s="378"/>
      <c r="S1" s="378"/>
      <c r="T1" s="378"/>
      <c r="U1" s="376" t="str">
        <f>'Master Input'!$I$6</f>
        <v>The Wolverine - Blue</v>
      </c>
      <c r="V1" s="378"/>
      <c r="W1" s="378"/>
      <c r="X1" s="378"/>
      <c r="Y1" s="378"/>
      <c r="Z1" s="378"/>
      <c r="AA1" s="379"/>
      <c r="AB1" s="380"/>
    </row>
    <row r="2" spans="1:28" ht="14.25" customHeight="1">
      <c r="A2" s="75" t="s">
        <v>16</v>
      </c>
      <c r="B2" s="1165" t="str">
        <f>'Match Selection'!B14</f>
        <v>2-Man Scramble</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5</v>
      </c>
      <c r="G3" s="88">
        <f ca="1">VLOOKUP($E1, 'Course List'!$A$3:$AS$14,5+G2, FALSE)</f>
        <v>1</v>
      </c>
      <c r="H3" s="88">
        <f ca="1">VLOOKUP($E1, 'Course List'!$A$3:$AS$14,5+H2, FALSE)</f>
        <v>13</v>
      </c>
      <c r="I3" s="88">
        <f ca="1">VLOOKUP($E1, 'Course List'!$A$3:$AS$14,5+I2, FALSE)</f>
        <v>15</v>
      </c>
      <c r="J3" s="88">
        <f ca="1">VLOOKUP($E1, 'Course List'!$A$3:$AS$14,5+J2, FALSE)</f>
        <v>3</v>
      </c>
      <c r="K3" s="88">
        <f ca="1">VLOOKUP($E1, 'Course List'!$A$3:$AS$14,5+K2, FALSE)</f>
        <v>9</v>
      </c>
      <c r="L3" s="88">
        <f ca="1">VLOOKUP($E1, 'Course List'!$A$3:$AS$14,5+L2, FALSE)</f>
        <v>7</v>
      </c>
      <c r="M3" s="89">
        <f ca="1">VLOOKUP($E1, 'Course List'!$A$3:$AS$14,5+M2, FALSE)</f>
        <v>17</v>
      </c>
      <c r="N3" s="274"/>
      <c r="O3" s="72"/>
      <c r="P3" s="86" t="s">
        <v>21</v>
      </c>
      <c r="Q3" s="273">
        <f ca="1">VLOOKUP($E1, 'Course List'!$A$3:$AS$14,5+Q2, FALSE)</f>
        <v>4</v>
      </c>
      <c r="R3" s="88">
        <f ca="1">VLOOKUP($E1, 'Course List'!$A$3:$AS$14,5+R2, FALSE)</f>
        <v>2</v>
      </c>
      <c r="S3" s="88">
        <f ca="1">VLOOKUP($E1, 'Course List'!$A$3:$AS$14,5+S2, FALSE)</f>
        <v>14</v>
      </c>
      <c r="T3" s="88">
        <f ca="1">VLOOKUP($E1, 'Course List'!$A$3:$AS$14,5+T2, FALSE)</f>
        <v>10</v>
      </c>
      <c r="U3" s="88">
        <f ca="1">VLOOKUP($E1, 'Course List'!$A$3:$AS$14,5+U2, FALSE)</f>
        <v>18</v>
      </c>
      <c r="V3" s="88">
        <f ca="1">VLOOKUP($E1, 'Course List'!$A$3:$AS$14,5+V2, FALSE)</f>
        <v>16</v>
      </c>
      <c r="W3" s="88">
        <f ca="1">VLOOKUP($E1, 'Course List'!$A$3:$AS$14,5+W2, FALSE)</f>
        <v>8</v>
      </c>
      <c r="X3" s="88">
        <f ca="1">VLOOKUP($E1, 'Course List'!$A$3:$AS$14,5+X2, FALSE)</f>
        <v>12</v>
      </c>
      <c r="Y3" s="89">
        <f ca="1">VLOOKUP($E1, 'Course List'!$A$3:$AS$14,5+Y2, FALSE)</f>
        <v>6</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4</v>
      </c>
      <c r="I4" s="94">
        <f ca="1">VLOOKUP($E1, 'Course List'!$A$3:$AS$14,27+I2, FALSE)</f>
        <v>3</v>
      </c>
      <c r="J4" s="94">
        <f ca="1">VLOOKUP($E1, 'Course List'!$A$3:$AS$14,27+J2, FALSE)</f>
        <v>4</v>
      </c>
      <c r="K4" s="94">
        <f ca="1">VLOOKUP($E1, 'Course List'!$A$3:$AS$14,27+K2, FALSE)</f>
        <v>4</v>
      </c>
      <c r="L4" s="94">
        <f ca="1">VLOOKUP($E1, 'Course List'!$A$3:$AS$14,27+L2, FALSE)</f>
        <v>5</v>
      </c>
      <c r="M4" s="95">
        <f ca="1">VLOOKUP($E1, 'Course List'!$A$3:$AS$14,27+M2, FALSE)</f>
        <v>3</v>
      </c>
      <c r="N4" s="275">
        <f ca="1">SUM(E4:M4)</f>
        <v>36</v>
      </c>
      <c r="O4" s="72"/>
      <c r="P4" s="86" t="s">
        <v>22</v>
      </c>
      <c r="Q4" s="275">
        <f ca="1">VLOOKUP($E1, 'Course List'!$A$3:$AS$14,27+Q2, FALSE)</f>
        <v>4</v>
      </c>
      <c r="R4" s="94">
        <f ca="1">VLOOKUP($E1, 'Course List'!$A$3:$AS$14,27+R2, FALSE)</f>
        <v>5</v>
      </c>
      <c r="S4" s="94">
        <f ca="1">VLOOKUP($E1, 'Course List'!$A$3:$AS$14,27+S2, FALSE)</f>
        <v>3</v>
      </c>
      <c r="T4" s="94">
        <f ca="1">VLOOKUP($E1, 'Course List'!$A$3:$AS$14,27+T2, FALSE)</f>
        <v>4</v>
      </c>
      <c r="U4" s="94">
        <f ca="1">VLOOKUP($E1, 'Course List'!$A$3:$AS$14,27+U2, FALSE)</f>
        <v>3</v>
      </c>
      <c r="V4" s="94">
        <f ca="1">VLOOKUP($E1, 'Course List'!$A$3:$AS$14,27+V2, FALSE)</f>
        <v>4</v>
      </c>
      <c r="W4" s="94">
        <f ca="1">VLOOKUP($E1, 'Course List'!$A$3:$AS$14,27+W2, FALSE)</f>
        <v>4</v>
      </c>
      <c r="X4" s="94">
        <f ca="1">VLOOKUP($E1, 'Course List'!$A$3:$AS$14,27+X2, FALSE)</f>
        <v>4</v>
      </c>
      <c r="Y4" s="95">
        <f ca="1">VLOOKUP($E1, 'Course List'!$A$3:$AS$14,27+Y2, FALSE)</f>
        <v>5</v>
      </c>
      <c r="Z4" s="275">
        <f ca="1">SUM(Q4:Y4)</f>
        <v>36</v>
      </c>
      <c r="AA4" s="97">
        <f ca="1">N4+Z4</f>
        <v>72</v>
      </c>
      <c r="AB4" s="98"/>
    </row>
    <row r="5" spans="1:28" ht="14.25" customHeight="1">
      <c r="A5" s="99" t="s">
        <v>23</v>
      </c>
      <c r="B5" s="237" t="s">
        <v>24</v>
      </c>
      <c r="C5" s="381" t="s">
        <v>60</v>
      </c>
      <c r="D5" s="101"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109" t="s">
        <v>27</v>
      </c>
      <c r="AB5" s="109" t="s">
        <v>52</v>
      </c>
    </row>
    <row r="6" spans="1:28" ht="7.5" customHeight="1">
      <c r="A6" s="111"/>
      <c r="B6" s="111"/>
      <c r="C6" s="280"/>
      <c r="D6" s="112"/>
      <c r="E6" s="114" t="str">
        <f t="shared" ref="E6:M6" ca="1" si="0">IF(E7=1,"O", IF(E7=2,"O   O",""))</f>
        <v/>
      </c>
      <c r="F6" s="115" t="str">
        <f t="shared" ca="1" si="0"/>
        <v/>
      </c>
      <c r="G6" s="116" t="str">
        <f t="shared" ca="1" si="0"/>
        <v/>
      </c>
      <c r="H6" s="115" t="str">
        <f t="shared" ca="1" si="0"/>
        <v/>
      </c>
      <c r="I6" s="116" t="str">
        <f t="shared" ca="1" si="0"/>
        <v/>
      </c>
      <c r="J6" s="115" t="str">
        <f t="shared" ca="1" si="0"/>
        <v/>
      </c>
      <c r="K6" s="116" t="str">
        <f t="shared" ca="1" si="0"/>
        <v/>
      </c>
      <c r="L6" s="115" t="str">
        <f t="shared" ca="1" si="0"/>
        <v/>
      </c>
      <c r="M6" s="116" t="str">
        <f t="shared" ca="1" si="0"/>
        <v/>
      </c>
      <c r="N6" s="382"/>
      <c r="O6" s="118"/>
      <c r="P6" s="240"/>
      <c r="Q6" s="114" t="str">
        <f t="shared" ref="Q6:Y6" ca="1" si="1">IF(Q7=1,"O", IF(Q7=2,"O   O",""))</f>
        <v/>
      </c>
      <c r="R6" s="115" t="str">
        <f t="shared" ca="1" si="1"/>
        <v/>
      </c>
      <c r="S6" s="116" t="str">
        <f t="shared" ca="1" si="1"/>
        <v/>
      </c>
      <c r="T6" s="115" t="str">
        <f t="shared" ca="1" si="1"/>
        <v/>
      </c>
      <c r="U6" s="116" t="str">
        <f t="shared" ca="1" si="1"/>
        <v/>
      </c>
      <c r="V6" s="115" t="str">
        <f t="shared" ca="1" si="1"/>
        <v/>
      </c>
      <c r="W6" s="116" t="str">
        <f t="shared" ca="1" si="1"/>
        <v/>
      </c>
      <c r="X6" s="115" t="str">
        <f t="shared" ca="1" si="1"/>
        <v/>
      </c>
      <c r="Y6" s="116" t="str">
        <f t="shared" ca="1" si="1"/>
        <v/>
      </c>
      <c r="Z6" s="383"/>
      <c r="AA6" s="384"/>
      <c r="AB6" s="384"/>
    </row>
    <row r="7" spans="1:28" ht="22.5" hidden="1" customHeight="1">
      <c r="A7" s="123"/>
      <c r="B7" s="124"/>
      <c r="C7" s="385"/>
      <c r="D7" s="126"/>
      <c r="E7" s="127">
        <f t="shared" ref="E7:M7" ca="1" si="2">IF($D8&gt;0,FLOOR($D8/18,1),0)+IF(AND(MOD($D8,18)&gt;=E$3,$D8&gt;0),1,0)-IF(E$3-18&gt;$D8,1,0)</f>
        <v>0</v>
      </c>
      <c r="F7" s="128">
        <f t="shared" ca="1" si="2"/>
        <v>0</v>
      </c>
      <c r="G7" s="129">
        <f t="shared" ca="1" si="2"/>
        <v>0</v>
      </c>
      <c r="H7" s="128">
        <f t="shared" ca="1" si="2"/>
        <v>0</v>
      </c>
      <c r="I7" s="129">
        <f t="shared" ca="1" si="2"/>
        <v>0</v>
      </c>
      <c r="J7" s="128">
        <f t="shared" ca="1" si="2"/>
        <v>0</v>
      </c>
      <c r="K7" s="129">
        <f t="shared" ca="1" si="2"/>
        <v>0</v>
      </c>
      <c r="L7" s="128">
        <f t="shared" ca="1" si="2"/>
        <v>0</v>
      </c>
      <c r="M7" s="129">
        <f t="shared" ca="1" si="2"/>
        <v>0</v>
      </c>
      <c r="N7" s="386"/>
      <c r="O7" s="131"/>
      <c r="P7" s="123"/>
      <c r="Q7" s="127">
        <f t="shared" ref="Q7:Y7" ca="1" si="3">IF($D8&gt;0,FLOOR($D8/18,1),0)+IF(AND(MOD($D8,18)&gt;=Q$3,$D8&gt;0),1,0)-IF(Q$3-18&gt;$D8,1,0)</f>
        <v>0</v>
      </c>
      <c r="R7" s="128">
        <f t="shared" ca="1" si="3"/>
        <v>0</v>
      </c>
      <c r="S7" s="129">
        <f t="shared" ca="1" si="3"/>
        <v>0</v>
      </c>
      <c r="T7" s="128">
        <f t="shared" ca="1" si="3"/>
        <v>0</v>
      </c>
      <c r="U7" s="129">
        <f t="shared" ca="1" si="3"/>
        <v>0</v>
      </c>
      <c r="V7" s="128">
        <f t="shared" ca="1" si="3"/>
        <v>0</v>
      </c>
      <c r="W7" s="129">
        <f t="shared" ca="1" si="3"/>
        <v>0</v>
      </c>
      <c r="X7" s="128">
        <f t="shared" ca="1" si="3"/>
        <v>0</v>
      </c>
      <c r="Y7" s="129">
        <f t="shared" ca="1" si="3"/>
        <v>0</v>
      </c>
      <c r="Z7" s="387"/>
      <c r="AA7" s="388"/>
      <c r="AB7" s="389"/>
    </row>
    <row r="8" spans="1:28" ht="22.5" customHeight="1">
      <c r="A8" s="136" t="str">
        <f>'Match Selection'!V14</f>
        <v>Hile</v>
      </c>
      <c r="B8" s="137" t="str">
        <f>VLOOKUP(A8, 'Master Input'!$A$11:$B$27,2, FALSE)</f>
        <v>WEEZ</v>
      </c>
      <c r="C8" s="390">
        <f ca="1">ROUND(VLOOKUP(A8,'Master Input'!$A$11:$L$27,'Master Input'!$J$28, FALSE) * 0.35
+VLOOKUP(A11,'Master Input'!$A$11:$L$27,'Master Input'!$J$28, FALSE) * 0.15,1)</f>
        <v>9.1</v>
      </c>
      <c r="D8" s="139">
        <v>0</v>
      </c>
      <c r="E8" s="140">
        <v>4</v>
      </c>
      <c r="F8" s="141">
        <v>4</v>
      </c>
      <c r="G8" s="142">
        <v>5</v>
      </c>
      <c r="H8" s="141">
        <v>4</v>
      </c>
      <c r="I8" s="142">
        <v>4</v>
      </c>
      <c r="J8" s="141">
        <v>4</v>
      </c>
      <c r="K8" s="142">
        <v>4</v>
      </c>
      <c r="L8" s="141">
        <v>5</v>
      </c>
      <c r="M8" s="142">
        <v>3</v>
      </c>
      <c r="N8" s="391">
        <f>IF(M8="","", SUM(E8:M8))</f>
        <v>37</v>
      </c>
      <c r="O8" s="131"/>
      <c r="P8" s="136" t="str">
        <f>A8</f>
        <v>Hile</v>
      </c>
      <c r="Q8" s="140">
        <v>4</v>
      </c>
      <c r="R8" s="141">
        <v>4</v>
      </c>
      <c r="S8" s="142">
        <v>4</v>
      </c>
      <c r="T8" s="141">
        <v>4</v>
      </c>
      <c r="U8" s="142">
        <v>3</v>
      </c>
      <c r="V8" s="141">
        <v>4</v>
      </c>
      <c r="W8" s="142">
        <v>5</v>
      </c>
      <c r="X8" s="141">
        <v>4</v>
      </c>
      <c r="Y8" s="142">
        <v>5</v>
      </c>
      <c r="Z8" s="392">
        <f>IF(Y8="","", SUM(Q8:Y8))</f>
        <v>37</v>
      </c>
      <c r="AA8" s="393">
        <f>IF(Z8="", "", SUM(N8,Z8))</f>
        <v>74</v>
      </c>
      <c r="AB8" s="394">
        <f ca="1">IF(Y8="", "", AA8-C8)</f>
        <v>64.900000000000006</v>
      </c>
    </row>
    <row r="9" spans="1:28" ht="7.5" customHeight="1">
      <c r="A9" s="147"/>
      <c r="B9" s="259"/>
      <c r="C9" s="315"/>
      <c r="D9" s="395"/>
      <c r="E9" s="396" t="str">
        <f t="shared" ref="E9:M9" ca="1" si="4">IF(E10=1,"O", IF(E10=2,"O   O",""))</f>
        <v/>
      </c>
      <c r="F9" s="397" t="str">
        <f t="shared" ca="1" si="4"/>
        <v/>
      </c>
      <c r="G9" s="398" t="str">
        <f t="shared" ca="1" si="4"/>
        <v/>
      </c>
      <c r="H9" s="397" t="str">
        <f t="shared" ca="1" si="4"/>
        <v/>
      </c>
      <c r="I9" s="398" t="str">
        <f t="shared" ca="1" si="4"/>
        <v/>
      </c>
      <c r="J9" s="397" t="str">
        <f t="shared" ca="1" si="4"/>
        <v/>
      </c>
      <c r="K9" s="398" t="str">
        <f t="shared" ca="1" si="4"/>
        <v/>
      </c>
      <c r="L9" s="397" t="str">
        <f t="shared" ca="1" si="4"/>
        <v/>
      </c>
      <c r="M9" s="398" t="str">
        <f t="shared" ca="1" si="4"/>
        <v/>
      </c>
      <c r="N9" s="399"/>
      <c r="O9" s="118"/>
      <c r="P9" s="245"/>
      <c r="Q9" s="396" t="str">
        <f t="shared" ref="Q9:Y9" ca="1" si="5">IF(Q10=1,"O", IF(Q10=2,"O   O",""))</f>
        <v/>
      </c>
      <c r="R9" s="397" t="str">
        <f t="shared" ca="1" si="5"/>
        <v/>
      </c>
      <c r="S9" s="398" t="str">
        <f t="shared" ca="1" si="5"/>
        <v/>
      </c>
      <c r="T9" s="397" t="str">
        <f t="shared" ca="1" si="5"/>
        <v/>
      </c>
      <c r="U9" s="398" t="str">
        <f t="shared" ca="1" si="5"/>
        <v/>
      </c>
      <c r="V9" s="397" t="str">
        <f t="shared" ca="1" si="5"/>
        <v/>
      </c>
      <c r="W9" s="398" t="str">
        <f t="shared" ca="1" si="5"/>
        <v/>
      </c>
      <c r="X9" s="397" t="str">
        <f t="shared" ca="1" si="5"/>
        <v/>
      </c>
      <c r="Y9" s="398" t="str">
        <f t="shared" ca="1" si="5"/>
        <v/>
      </c>
      <c r="Z9" s="400"/>
      <c r="AA9" s="401"/>
      <c r="AB9" s="402"/>
    </row>
    <row r="10" spans="1:28" ht="22.5" hidden="1" customHeight="1">
      <c r="A10" s="260"/>
      <c r="B10" s="261"/>
      <c r="C10" s="286"/>
      <c r="D10" s="403"/>
      <c r="E10" s="404">
        <f t="shared" ref="E10:M10" ca="1" si="6">IF($D11&gt;0,FLOOR($D11/18,1),0)+IF(AND(MOD($D11,18)&gt;=E$3,$D11&gt;0),1,0)-IF(E$3-18&gt;$D11,1,0)</f>
        <v>0</v>
      </c>
      <c r="F10" s="405">
        <f t="shared" ca="1" si="6"/>
        <v>0</v>
      </c>
      <c r="G10" s="406">
        <f t="shared" ca="1" si="6"/>
        <v>0</v>
      </c>
      <c r="H10" s="405">
        <f t="shared" ca="1" si="6"/>
        <v>0</v>
      </c>
      <c r="I10" s="406">
        <f t="shared" ca="1" si="6"/>
        <v>0</v>
      </c>
      <c r="J10" s="405">
        <f t="shared" ca="1" si="6"/>
        <v>0</v>
      </c>
      <c r="K10" s="406">
        <f t="shared" ca="1" si="6"/>
        <v>0</v>
      </c>
      <c r="L10" s="405">
        <f t="shared" ca="1" si="6"/>
        <v>0</v>
      </c>
      <c r="M10" s="406">
        <f t="shared" ca="1" si="6"/>
        <v>0</v>
      </c>
      <c r="N10" s="407"/>
      <c r="O10" s="131"/>
      <c r="P10" s="123"/>
      <c r="Q10" s="404">
        <f t="shared" ref="Q10:Y10" ca="1" si="7">IF($D11&gt;0,FLOOR($D11/18,1),0)+IF(AND(MOD($D11,18)&gt;=Q$3,$D11&gt;0),1,0)-IF(Q$3-18&gt;$D11,1,0)</f>
        <v>0</v>
      </c>
      <c r="R10" s="405">
        <f t="shared" ca="1" si="7"/>
        <v>0</v>
      </c>
      <c r="S10" s="406">
        <f t="shared" ca="1" si="7"/>
        <v>0</v>
      </c>
      <c r="T10" s="405">
        <f t="shared" ca="1" si="7"/>
        <v>0</v>
      </c>
      <c r="U10" s="406">
        <f t="shared" ca="1" si="7"/>
        <v>0</v>
      </c>
      <c r="V10" s="405">
        <f t="shared" ca="1" si="7"/>
        <v>0</v>
      </c>
      <c r="W10" s="406">
        <f t="shared" ca="1" si="7"/>
        <v>0</v>
      </c>
      <c r="X10" s="405">
        <f t="shared" ca="1" si="7"/>
        <v>0</v>
      </c>
      <c r="Y10" s="406">
        <f t="shared" ca="1" si="7"/>
        <v>0</v>
      </c>
      <c r="Z10" s="408"/>
      <c r="AA10" s="409"/>
      <c r="AB10" s="410"/>
    </row>
    <row r="11" spans="1:28" ht="22.5" customHeight="1">
      <c r="A11" s="157" t="str">
        <f>'Match Selection'!V15</f>
        <v>Weezy</v>
      </c>
      <c r="B11" s="262" t="str">
        <f>VLOOKUP(A11, 'Master Input'!$A$11:$B$27,2, FALSE)</f>
        <v>WEEZ</v>
      </c>
      <c r="C11" s="411">
        <f ca="1">C8</f>
        <v>9.1</v>
      </c>
      <c r="D11" s="412">
        <f>IF(D8="", 0,D8)</f>
        <v>0</v>
      </c>
      <c r="E11" s="413">
        <f t="shared" ref="E11:M11" si="8">IF(E8="","-",E8)</f>
        <v>4</v>
      </c>
      <c r="F11" s="414">
        <f t="shared" si="8"/>
        <v>4</v>
      </c>
      <c r="G11" s="415">
        <f t="shared" si="8"/>
        <v>5</v>
      </c>
      <c r="H11" s="414">
        <f t="shared" si="8"/>
        <v>4</v>
      </c>
      <c r="I11" s="415">
        <f t="shared" si="8"/>
        <v>4</v>
      </c>
      <c r="J11" s="414">
        <f t="shared" si="8"/>
        <v>4</v>
      </c>
      <c r="K11" s="415">
        <f t="shared" si="8"/>
        <v>4</v>
      </c>
      <c r="L11" s="414">
        <f t="shared" si="8"/>
        <v>5</v>
      </c>
      <c r="M11" s="415">
        <f t="shared" si="8"/>
        <v>3</v>
      </c>
      <c r="N11" s="416">
        <f>IF(M11="-","-", SUM(E11:M11))</f>
        <v>37</v>
      </c>
      <c r="O11" s="131"/>
      <c r="P11" s="136" t="str">
        <f>A11</f>
        <v>Weezy</v>
      </c>
      <c r="Q11" s="413">
        <f t="shared" ref="Q11:Y11" si="9">IF(Q8="","-",Q8)</f>
        <v>4</v>
      </c>
      <c r="R11" s="414">
        <f t="shared" si="9"/>
        <v>4</v>
      </c>
      <c r="S11" s="415">
        <f t="shared" si="9"/>
        <v>4</v>
      </c>
      <c r="T11" s="414">
        <f t="shared" si="9"/>
        <v>4</v>
      </c>
      <c r="U11" s="415">
        <f t="shared" si="9"/>
        <v>3</v>
      </c>
      <c r="V11" s="414">
        <f t="shared" si="9"/>
        <v>4</v>
      </c>
      <c r="W11" s="415">
        <f t="shared" si="9"/>
        <v>5</v>
      </c>
      <c r="X11" s="414">
        <f t="shared" si="9"/>
        <v>4</v>
      </c>
      <c r="Y11" s="415">
        <f t="shared" si="9"/>
        <v>5</v>
      </c>
      <c r="Z11" s="416">
        <f>IF(Y11="-","-", SUM(Q11:Y11))</f>
        <v>37</v>
      </c>
      <c r="AA11" s="417">
        <f>IF(Z11="-", "-", SUM(N11,Z11))</f>
        <v>74</v>
      </c>
      <c r="AB11" s="418">
        <f ca="1">IF(Y11="-", "-", AA11-C8)</f>
        <v>64.900000000000006</v>
      </c>
    </row>
    <row r="12" spans="1:28" ht="7.5" customHeight="1">
      <c r="A12" s="159"/>
      <c r="B12" s="254"/>
      <c r="C12" s="323"/>
      <c r="D12" s="162"/>
      <c r="E12" s="163" t="str">
        <f t="shared" ref="E12:M12" ca="1" si="10">IF(E13=1,"O", IF(E13=2,"O   O",""))</f>
        <v/>
      </c>
      <c r="F12" s="164" t="str">
        <f t="shared" ca="1" si="10"/>
        <v/>
      </c>
      <c r="G12" s="165" t="str">
        <f t="shared" ca="1" si="10"/>
        <v>O</v>
      </c>
      <c r="H12" s="164" t="str">
        <f t="shared" ca="1" si="10"/>
        <v/>
      </c>
      <c r="I12" s="165" t="str">
        <f t="shared" ca="1" si="10"/>
        <v/>
      </c>
      <c r="J12" s="164" t="str">
        <f t="shared" ca="1" si="10"/>
        <v/>
      </c>
      <c r="K12" s="165" t="str">
        <f t="shared" ca="1" si="10"/>
        <v/>
      </c>
      <c r="L12" s="164" t="str">
        <f t="shared" ca="1" si="10"/>
        <v/>
      </c>
      <c r="M12" s="165" t="str">
        <f t="shared" ca="1" si="10"/>
        <v/>
      </c>
      <c r="N12" s="419"/>
      <c r="O12" s="118"/>
      <c r="P12" s="159"/>
      <c r="Q12" s="163" t="str">
        <f t="shared" ref="Q12:Y12" ca="1" si="11">IF(Q13=1,"O", IF(Q13=2,"O   O",""))</f>
        <v/>
      </c>
      <c r="R12" s="164" t="str">
        <f t="shared" ca="1" si="11"/>
        <v>O</v>
      </c>
      <c r="S12" s="165" t="str">
        <f t="shared" ca="1" si="11"/>
        <v/>
      </c>
      <c r="T12" s="164" t="str">
        <f t="shared" ca="1" si="11"/>
        <v/>
      </c>
      <c r="U12" s="165" t="str">
        <f t="shared" ca="1" si="11"/>
        <v/>
      </c>
      <c r="V12" s="164" t="str">
        <f t="shared" ca="1" si="11"/>
        <v/>
      </c>
      <c r="W12" s="165" t="str">
        <f t="shared" ca="1" si="11"/>
        <v/>
      </c>
      <c r="X12" s="164" t="str">
        <f t="shared" ca="1" si="11"/>
        <v/>
      </c>
      <c r="Y12" s="165" t="str">
        <f t="shared" ca="1" si="11"/>
        <v/>
      </c>
      <c r="Z12" s="420"/>
      <c r="AA12" s="421"/>
      <c r="AB12" s="422"/>
    </row>
    <row r="13" spans="1:28" ht="22.5" hidden="1" customHeight="1">
      <c r="A13" s="171"/>
      <c r="B13" s="255"/>
      <c r="C13" s="307"/>
      <c r="D13" s="174"/>
      <c r="E13" s="175">
        <f t="shared" ref="E13:M13" ca="1" si="12">IF($D14&gt;0,FLOOR($D14/18,1),0)+IF(AND(MOD($D14,18)&gt;=E$3,$D14&gt;0),1,0)-IF(E$3-18&gt;$D14,1,0)</f>
        <v>0</v>
      </c>
      <c r="F13" s="176">
        <f t="shared" ca="1" si="12"/>
        <v>0</v>
      </c>
      <c r="G13" s="177">
        <f t="shared" ca="1" si="12"/>
        <v>1</v>
      </c>
      <c r="H13" s="176">
        <f t="shared" ca="1" si="12"/>
        <v>0</v>
      </c>
      <c r="I13" s="177">
        <f t="shared" ca="1" si="12"/>
        <v>0</v>
      </c>
      <c r="J13" s="176">
        <f t="shared" ca="1" si="12"/>
        <v>0</v>
      </c>
      <c r="K13" s="177">
        <f t="shared" ca="1" si="12"/>
        <v>0</v>
      </c>
      <c r="L13" s="176">
        <f t="shared" ca="1" si="12"/>
        <v>0</v>
      </c>
      <c r="M13" s="177">
        <f t="shared" ca="1" si="12"/>
        <v>0</v>
      </c>
      <c r="N13" s="423"/>
      <c r="O13" s="131"/>
      <c r="P13" s="171"/>
      <c r="Q13" s="175">
        <f t="shared" ref="Q13:Y13" ca="1" si="13">IF($D14&gt;0,FLOOR($D14/18,1),0)+IF(AND(MOD($D14,18)&gt;=Q$3,$D14&gt;0),1,0)-IF(Q$3-18&gt;$D14,1,0)</f>
        <v>0</v>
      </c>
      <c r="R13" s="176">
        <f t="shared" ca="1" si="13"/>
        <v>1</v>
      </c>
      <c r="S13" s="177">
        <f t="shared" ca="1" si="13"/>
        <v>0</v>
      </c>
      <c r="T13" s="176">
        <f t="shared" ca="1" si="13"/>
        <v>0</v>
      </c>
      <c r="U13" s="177">
        <f t="shared" ca="1" si="13"/>
        <v>0</v>
      </c>
      <c r="V13" s="176">
        <f t="shared" ca="1" si="13"/>
        <v>0</v>
      </c>
      <c r="W13" s="177">
        <f t="shared" ca="1" si="13"/>
        <v>0</v>
      </c>
      <c r="X13" s="176">
        <f t="shared" ca="1" si="13"/>
        <v>0</v>
      </c>
      <c r="Y13" s="177">
        <f t="shared" ca="1" si="13"/>
        <v>0</v>
      </c>
      <c r="Z13" s="408"/>
      <c r="AA13" s="424"/>
      <c r="AB13" s="410"/>
    </row>
    <row r="14" spans="1:28" ht="22.5" customHeight="1">
      <c r="A14" s="181" t="str">
        <f>'Match Selection'!Y14</f>
        <v>DK</v>
      </c>
      <c r="B14" s="257" t="str">
        <f>VLOOKUP(A14, 'Master Input'!$A$11:$B$27,2, FALSE)</f>
        <v>TEES</v>
      </c>
      <c r="C14" s="425">
        <f ca="1">ROUND(VLOOKUP(A14,'Master Input'!$A$11:$L$27,'Master Input'!$J$28, FALSE) * 0.35
+VLOOKUP(A17,'Master Input'!$A$11:$L$27,'Master Input'!$J$28, FALSE) * 0.15,1)</f>
        <v>10.9</v>
      </c>
      <c r="D14" s="184">
        <v>2</v>
      </c>
      <c r="E14" s="185">
        <v>4</v>
      </c>
      <c r="F14" s="186">
        <v>4</v>
      </c>
      <c r="G14" s="187">
        <v>5</v>
      </c>
      <c r="H14" s="186">
        <v>4</v>
      </c>
      <c r="I14" s="187">
        <v>3</v>
      </c>
      <c r="J14" s="186">
        <v>5</v>
      </c>
      <c r="K14" s="187">
        <v>5</v>
      </c>
      <c r="L14" s="186">
        <v>4</v>
      </c>
      <c r="M14" s="187">
        <v>2</v>
      </c>
      <c r="N14" s="426">
        <f>IF(M14="","", SUM(E14:M14))</f>
        <v>36</v>
      </c>
      <c r="O14" s="131"/>
      <c r="P14" s="181" t="str">
        <f>A14</f>
        <v>DK</v>
      </c>
      <c r="Q14" s="185">
        <v>4</v>
      </c>
      <c r="R14" s="186">
        <v>5</v>
      </c>
      <c r="S14" s="187">
        <v>3</v>
      </c>
      <c r="T14" s="186">
        <v>4</v>
      </c>
      <c r="U14" s="187">
        <v>3</v>
      </c>
      <c r="V14" s="186">
        <v>5</v>
      </c>
      <c r="W14" s="187">
        <v>4</v>
      </c>
      <c r="X14" s="186">
        <v>4</v>
      </c>
      <c r="Y14" s="187">
        <v>5</v>
      </c>
      <c r="Z14" s="427">
        <f>IF(Y14="","", SUM(Q14:Y14))</f>
        <v>37</v>
      </c>
      <c r="AA14" s="428">
        <f>IF(Z14="", "", SUM(N14,Z14))</f>
        <v>73</v>
      </c>
      <c r="AB14" s="394">
        <f ca="1">IF(Y14="", "", AA14-C14)</f>
        <v>62.1</v>
      </c>
    </row>
    <row r="15" spans="1:28" ht="7.5" customHeight="1">
      <c r="A15" s="159"/>
      <c r="B15" s="254"/>
      <c r="C15" s="323"/>
      <c r="D15" s="429"/>
      <c r="E15" s="430" t="str">
        <f t="shared" ref="E15:M15" ca="1" si="14">IF(E16=1,"O", IF(E16=2,"O   O",""))</f>
        <v/>
      </c>
      <c r="F15" s="431" t="str">
        <f t="shared" ca="1" si="14"/>
        <v/>
      </c>
      <c r="G15" s="432" t="str">
        <f t="shared" ca="1" si="14"/>
        <v>O</v>
      </c>
      <c r="H15" s="431" t="str">
        <f t="shared" ca="1" si="14"/>
        <v/>
      </c>
      <c r="I15" s="432" t="str">
        <f t="shared" ca="1" si="14"/>
        <v/>
      </c>
      <c r="J15" s="431" t="str">
        <f t="shared" ca="1" si="14"/>
        <v/>
      </c>
      <c r="K15" s="432" t="str">
        <f t="shared" ca="1" si="14"/>
        <v/>
      </c>
      <c r="L15" s="431" t="str">
        <f t="shared" ca="1" si="14"/>
        <v/>
      </c>
      <c r="M15" s="432" t="str">
        <f t="shared" ca="1" si="14"/>
        <v/>
      </c>
      <c r="N15" s="433"/>
      <c r="O15" s="118"/>
      <c r="P15" s="159"/>
      <c r="Q15" s="430" t="str">
        <f t="shared" ref="Q15:Y15" ca="1" si="15">IF(Q16=1,"O", IF(Q16=2,"O   O",""))</f>
        <v/>
      </c>
      <c r="R15" s="431" t="str">
        <f t="shared" ca="1" si="15"/>
        <v>O</v>
      </c>
      <c r="S15" s="432" t="str">
        <f t="shared" ca="1" si="15"/>
        <v/>
      </c>
      <c r="T15" s="431" t="str">
        <f t="shared" ca="1" si="15"/>
        <v/>
      </c>
      <c r="U15" s="432" t="str">
        <f t="shared" ca="1" si="15"/>
        <v/>
      </c>
      <c r="V15" s="431" t="str">
        <f t="shared" ca="1" si="15"/>
        <v/>
      </c>
      <c r="W15" s="432" t="str">
        <f t="shared" ca="1" si="15"/>
        <v/>
      </c>
      <c r="X15" s="431" t="str">
        <f t="shared" ca="1" si="15"/>
        <v/>
      </c>
      <c r="Y15" s="432" t="str">
        <f t="shared" ca="1" si="15"/>
        <v/>
      </c>
      <c r="Z15" s="420"/>
      <c r="AA15" s="434"/>
      <c r="AB15" s="422"/>
    </row>
    <row r="16" spans="1:28" ht="22.5" hidden="1" customHeight="1">
      <c r="A16" s="171"/>
      <c r="B16" s="255"/>
      <c r="C16" s="307"/>
      <c r="D16" s="435"/>
      <c r="E16" s="436">
        <f t="shared" ref="E16:M16" ca="1" si="16">IF($D17&gt;0,FLOOR($D17/18,1),0)+IF(AND(MOD($D17,18)&gt;=E$3,$D17&gt;0),1,0)-IF(E$3-18&gt;$D17,1,0)</f>
        <v>0</v>
      </c>
      <c r="F16" s="437">
        <f t="shared" ca="1" si="16"/>
        <v>0</v>
      </c>
      <c r="G16" s="438">
        <f t="shared" ca="1" si="16"/>
        <v>1</v>
      </c>
      <c r="H16" s="437">
        <f t="shared" ca="1" si="16"/>
        <v>0</v>
      </c>
      <c r="I16" s="438">
        <f t="shared" ca="1" si="16"/>
        <v>0</v>
      </c>
      <c r="J16" s="437">
        <f t="shared" ca="1" si="16"/>
        <v>0</v>
      </c>
      <c r="K16" s="438">
        <f t="shared" ca="1" si="16"/>
        <v>0</v>
      </c>
      <c r="L16" s="437">
        <f t="shared" ca="1" si="16"/>
        <v>0</v>
      </c>
      <c r="M16" s="438">
        <f t="shared" ca="1" si="16"/>
        <v>0</v>
      </c>
      <c r="N16" s="439"/>
      <c r="O16" s="131"/>
      <c r="P16" s="171"/>
      <c r="Q16" s="436">
        <f t="shared" ref="Q16:Y16" ca="1" si="17">IF($D17&gt;0,FLOOR($D17/18,1),0)+IF(AND(MOD($D17,18)&gt;=Q$3,$D17&gt;0),1,0)-IF(Q$3-18&gt;$D17,1,0)</f>
        <v>0</v>
      </c>
      <c r="R16" s="437">
        <f t="shared" ca="1" si="17"/>
        <v>1</v>
      </c>
      <c r="S16" s="438">
        <f t="shared" ca="1" si="17"/>
        <v>0</v>
      </c>
      <c r="T16" s="437">
        <f t="shared" ca="1" si="17"/>
        <v>0</v>
      </c>
      <c r="U16" s="438">
        <f t="shared" ca="1" si="17"/>
        <v>0</v>
      </c>
      <c r="V16" s="437">
        <f t="shared" ca="1" si="17"/>
        <v>0</v>
      </c>
      <c r="W16" s="438">
        <f t="shared" ca="1" si="17"/>
        <v>0</v>
      </c>
      <c r="X16" s="437">
        <f t="shared" ca="1" si="17"/>
        <v>0</v>
      </c>
      <c r="Y16" s="438">
        <f t="shared" ca="1" si="17"/>
        <v>0</v>
      </c>
      <c r="Z16" s="408"/>
      <c r="AA16" s="424"/>
      <c r="AB16" s="410"/>
    </row>
    <row r="17" spans="1:28" ht="22.5" customHeight="1">
      <c r="A17" s="191" t="str">
        <f>'Match Selection'!Y15</f>
        <v>Saugy</v>
      </c>
      <c r="B17" s="257" t="str">
        <f>VLOOKUP(A17, 'Master Input'!$A$11:$B$27,2, FALSE)</f>
        <v>TEES</v>
      </c>
      <c r="C17" s="440">
        <f ca="1">C14</f>
        <v>10.9</v>
      </c>
      <c r="D17" s="441">
        <f>IF(D14="", 0,D14)</f>
        <v>2</v>
      </c>
      <c r="E17" s="442">
        <f t="shared" ref="E17:M17" si="18">IF(E14="","-",E14)</f>
        <v>4</v>
      </c>
      <c r="F17" s="443">
        <f t="shared" si="18"/>
        <v>4</v>
      </c>
      <c r="G17" s="444">
        <f t="shared" si="18"/>
        <v>5</v>
      </c>
      <c r="H17" s="443">
        <f t="shared" si="18"/>
        <v>4</v>
      </c>
      <c r="I17" s="443">
        <f t="shared" si="18"/>
        <v>3</v>
      </c>
      <c r="J17" s="443">
        <f t="shared" si="18"/>
        <v>5</v>
      </c>
      <c r="K17" s="443">
        <f t="shared" si="18"/>
        <v>5</v>
      </c>
      <c r="L17" s="443">
        <f t="shared" si="18"/>
        <v>4</v>
      </c>
      <c r="M17" s="443">
        <f t="shared" si="18"/>
        <v>2</v>
      </c>
      <c r="N17" s="445">
        <f>IF(M17="-","-", SUM(E17:M17))</f>
        <v>36</v>
      </c>
      <c r="O17" s="131"/>
      <c r="P17" s="181" t="str">
        <f>A17</f>
        <v>Saugy</v>
      </c>
      <c r="Q17" s="442">
        <f t="shared" ref="Q17:Y17" si="19">IF(Q14="","-",Q14)</f>
        <v>4</v>
      </c>
      <c r="R17" s="443">
        <f t="shared" si="19"/>
        <v>5</v>
      </c>
      <c r="S17" s="444">
        <f t="shared" si="19"/>
        <v>3</v>
      </c>
      <c r="T17" s="443">
        <f t="shared" si="19"/>
        <v>4</v>
      </c>
      <c r="U17" s="444">
        <f t="shared" si="19"/>
        <v>3</v>
      </c>
      <c r="V17" s="443">
        <f t="shared" si="19"/>
        <v>5</v>
      </c>
      <c r="W17" s="444">
        <f t="shared" si="19"/>
        <v>4</v>
      </c>
      <c r="X17" s="443">
        <f t="shared" si="19"/>
        <v>4</v>
      </c>
      <c r="Y17" s="444">
        <f t="shared" si="19"/>
        <v>5</v>
      </c>
      <c r="Z17" s="446">
        <f>IF(Y17="-","-", SUM(Q17:Y17))</f>
        <v>37</v>
      </c>
      <c r="AA17" s="447">
        <f>IF(Z17="-", "-", SUM(N17,Z17))</f>
        <v>73</v>
      </c>
      <c r="AB17" s="418">
        <f ca="1">IF(Y17="-", "-", AA17-C14)</f>
        <v>62.1</v>
      </c>
    </row>
    <row r="18" spans="1:28" ht="11.25" customHeight="1">
      <c r="A18" s="448"/>
      <c r="B18" s="448"/>
      <c r="C18" s="449"/>
      <c r="D18" s="450"/>
      <c r="E18" s="451"/>
      <c r="F18" s="450"/>
      <c r="G18" s="450"/>
      <c r="H18" s="450"/>
      <c r="I18" s="450"/>
      <c r="J18" s="450"/>
      <c r="K18" s="450"/>
      <c r="L18" s="450"/>
      <c r="M18" s="450"/>
      <c r="N18" s="331" t="s">
        <v>7</v>
      </c>
      <c r="O18" s="196"/>
      <c r="P18" s="195"/>
      <c r="Q18" s="331"/>
      <c r="R18" s="195" t="s">
        <v>9</v>
      </c>
      <c r="S18" s="195" t="s">
        <v>35</v>
      </c>
      <c r="T18" s="195" t="s">
        <v>54</v>
      </c>
      <c r="U18" s="195"/>
      <c r="V18" s="195" t="s">
        <v>9</v>
      </c>
      <c r="W18" s="195" t="s">
        <v>35</v>
      </c>
      <c r="X18" s="195" t="s">
        <v>54</v>
      </c>
      <c r="Y18" s="195"/>
      <c r="Z18" s="331" t="s">
        <v>9</v>
      </c>
      <c r="AA18" s="195" t="s">
        <v>29</v>
      </c>
      <c r="AB18" s="197" t="s">
        <v>42</v>
      </c>
    </row>
    <row r="19" spans="1:28" ht="14.25" customHeight="1">
      <c r="A19" s="452" t="str">
        <f>B8&amp;" Status"</f>
        <v>WEEZ Status</v>
      </c>
      <c r="B19" s="453" t="s">
        <v>55</v>
      </c>
      <c r="C19" s="454"/>
      <c r="D19" s="455"/>
      <c r="E19" s="456">
        <f ca="1">IF(OR(E8="", E14=""), ".",E23)</f>
        <v>0</v>
      </c>
      <c r="F19" s="457">
        <f t="shared" ref="F19:M19" ca="1" si="20">IF(OR(F8="", F14=""), ".",F23+E19)</f>
        <v>0</v>
      </c>
      <c r="G19" s="457">
        <f t="shared" ca="1" si="20"/>
        <v>-1</v>
      </c>
      <c r="H19" s="457">
        <f t="shared" ca="1" si="20"/>
        <v>-1</v>
      </c>
      <c r="I19" s="457">
        <f t="shared" ca="1" si="20"/>
        <v>-2</v>
      </c>
      <c r="J19" s="457">
        <f t="shared" ca="1" si="20"/>
        <v>-1</v>
      </c>
      <c r="K19" s="457">
        <f t="shared" ca="1" si="20"/>
        <v>0</v>
      </c>
      <c r="L19" s="457">
        <f t="shared" ca="1" si="20"/>
        <v>-1</v>
      </c>
      <c r="M19" s="457">
        <f t="shared" ca="1" si="20"/>
        <v>-2</v>
      </c>
      <c r="N19" s="458">
        <f ca="1">IF(M19=".", "", IF(M19&lt;0, 0, IF(M19&gt;0, VLOOKUP($B$2,'Master Input'!$O$12:$R$23,'Master Input'!P$11,FALSE), VLOOKUP($B$2,'Master Input'!$O$12:$R$23,'Master Input'!P$11,FALSE)*0.5)))</f>
        <v>0</v>
      </c>
      <c r="O19" s="204"/>
      <c r="P19" s="459" t="s">
        <v>56</v>
      </c>
      <c r="Q19" s="460">
        <f ca="1">IF(OR(Q8="", Q14=""), ".",Q23+M19)</f>
        <v>-2</v>
      </c>
      <c r="R19" s="457">
        <f t="shared" ref="R19:Y19" ca="1" si="21">IF(OR(R8="", R14=""), ".",R23+Q19)</f>
        <v>-2</v>
      </c>
      <c r="S19" s="457">
        <f t="shared" ca="1" si="21"/>
        <v>-3</v>
      </c>
      <c r="T19" s="457">
        <f t="shared" ca="1" si="21"/>
        <v>-3</v>
      </c>
      <c r="U19" s="457">
        <f t="shared" ca="1" si="21"/>
        <v>-3</v>
      </c>
      <c r="V19" s="457">
        <f t="shared" ca="1" si="21"/>
        <v>-2</v>
      </c>
      <c r="W19" s="457">
        <f t="shared" ca="1" si="21"/>
        <v>-3</v>
      </c>
      <c r="X19" s="457">
        <f t="shared" ca="1" si="21"/>
        <v>-3</v>
      </c>
      <c r="Y19" s="455">
        <f t="shared" ca="1" si="21"/>
        <v>-3</v>
      </c>
      <c r="Z19" s="461">
        <f ca="1">IF(Y19=".", "", IF(Y19&lt;0, 0, IF(Y19&gt;0, VLOOKUP($B$2,'Master Input'!$O$12:$R$23,'Master Input'!R$11,FALSE), VLOOKUP($B$2,'Master Input'!$O$12:$R$23,'Master Input'!R$11,FALSE)*0.5)))</f>
        <v>0</v>
      </c>
      <c r="AA19" s="365" t="s">
        <v>29</v>
      </c>
      <c r="AB19" s="458">
        <f ca="1">IF(Z19="","", SUM(N19,Z19,Z20))</f>
        <v>0</v>
      </c>
    </row>
    <row r="20" spans="1:28" ht="14.25" customHeight="1">
      <c r="A20" s="362"/>
      <c r="B20" s="362"/>
      <c r="C20" s="361"/>
      <c r="D20" s="362"/>
      <c r="E20" s="362"/>
      <c r="F20" s="362"/>
      <c r="G20" s="362"/>
      <c r="H20" s="362"/>
      <c r="I20" s="362"/>
      <c r="J20" s="362"/>
      <c r="K20" s="362"/>
      <c r="L20" s="362"/>
      <c r="M20" s="362"/>
      <c r="N20" s="362"/>
      <c r="O20" s="204"/>
      <c r="P20" s="462" t="s">
        <v>57</v>
      </c>
      <c r="Q20" s="463">
        <f ca="1">IF(OR(Q8="", Q14=""), ".",Q23)</f>
        <v>0</v>
      </c>
      <c r="R20" s="464">
        <f t="shared" ref="R20:Y20" ca="1" si="22">IF(OR(R8="", R14=""), ".",R23+Q20)</f>
        <v>0</v>
      </c>
      <c r="S20" s="464">
        <f t="shared" ca="1" si="22"/>
        <v>-1</v>
      </c>
      <c r="T20" s="464">
        <f t="shared" ca="1" si="22"/>
        <v>-1</v>
      </c>
      <c r="U20" s="464">
        <f t="shared" ca="1" si="22"/>
        <v>-1</v>
      </c>
      <c r="V20" s="464">
        <f t="shared" ca="1" si="22"/>
        <v>0</v>
      </c>
      <c r="W20" s="464">
        <f t="shared" ca="1" si="22"/>
        <v>-1</v>
      </c>
      <c r="X20" s="464">
        <f t="shared" ca="1" si="22"/>
        <v>-1</v>
      </c>
      <c r="Y20" s="464">
        <f t="shared" ca="1" si="22"/>
        <v>-1</v>
      </c>
      <c r="Z20" s="465">
        <f ca="1">IF(Y20=".", "", IF(Y20&lt;0, 0, IF(Y20&gt;0, VLOOKUP($B$2,'Master Input'!$O$12:$R$23,'Master Input'!Q$11,FALSE), VLOOKUP($B$2,'Master Input'!$O$12:$R$23,'Master Input'!Q$11,FALSE)*0.5)))</f>
        <v>0</v>
      </c>
      <c r="AA20" s="365" t="s">
        <v>9</v>
      </c>
      <c r="AB20" s="193"/>
    </row>
    <row r="21" spans="1:28" ht="14.25" hidden="1" customHeight="1">
      <c r="A21" s="193"/>
      <c r="B21" s="193"/>
      <c r="C21" s="194"/>
      <c r="D21" s="193"/>
      <c r="E21" s="193"/>
      <c r="F21" s="193"/>
      <c r="G21" s="193"/>
      <c r="H21" s="193"/>
      <c r="I21" s="193"/>
      <c r="J21" s="193"/>
      <c r="K21" s="193"/>
      <c r="L21" s="193"/>
      <c r="M21" s="193"/>
      <c r="N21" s="193"/>
      <c r="O21" s="364"/>
      <c r="P21" s="365"/>
      <c r="Q21" s="365"/>
      <c r="R21" s="365"/>
      <c r="S21" s="365"/>
      <c r="T21" s="365"/>
      <c r="U21" s="365"/>
      <c r="V21" s="365"/>
      <c r="W21" s="365"/>
      <c r="X21" s="365"/>
      <c r="Y21" s="365"/>
      <c r="Z21" s="365"/>
      <c r="AB21" s="193"/>
    </row>
    <row r="22" spans="1:28" ht="14.25" hidden="1" customHeight="1">
      <c r="A22" s="193"/>
      <c r="B22" s="193"/>
      <c r="C22" s="194"/>
      <c r="D22" s="193"/>
      <c r="E22" s="193"/>
      <c r="F22" s="193"/>
      <c r="G22" s="193"/>
      <c r="H22" s="193"/>
      <c r="I22" s="193"/>
      <c r="J22" s="193"/>
      <c r="K22" s="193"/>
      <c r="L22" s="193"/>
      <c r="M22" s="193"/>
      <c r="N22" s="193"/>
      <c r="O22" s="364"/>
      <c r="P22" s="365"/>
      <c r="Q22" s="365"/>
      <c r="R22" s="365"/>
      <c r="S22" s="365"/>
      <c r="T22" s="365"/>
      <c r="U22" s="365"/>
      <c r="V22" s="365"/>
      <c r="W22" s="365"/>
      <c r="X22" s="365"/>
      <c r="Y22" s="365"/>
      <c r="Z22" s="367"/>
      <c r="AA22" s="367" t="s">
        <v>33</v>
      </c>
      <c r="AB22" s="223" t="s">
        <v>34</v>
      </c>
    </row>
    <row r="23" spans="1:28" ht="14.25" hidden="1" customHeight="1">
      <c r="A23" s="193"/>
      <c r="B23" s="193" t="s">
        <v>35</v>
      </c>
      <c r="C23" s="194"/>
      <c r="D23" s="193"/>
      <c r="E23" s="466">
        <f t="shared" ref="E23:M23" ca="1" si="23">IF(OR(E8="", E14=""), "",
IF(E8-E7&lt;E14-E13,1,
IF(E8-E7&gt;E14-E13,-1,
0)))</f>
        <v>0</v>
      </c>
      <c r="F23" s="466">
        <f t="shared" ca="1" si="23"/>
        <v>0</v>
      </c>
      <c r="G23" s="466">
        <f t="shared" ca="1" si="23"/>
        <v>-1</v>
      </c>
      <c r="H23" s="466">
        <f t="shared" ca="1" si="23"/>
        <v>0</v>
      </c>
      <c r="I23" s="466">
        <f t="shared" ca="1" si="23"/>
        <v>-1</v>
      </c>
      <c r="J23" s="466">
        <f t="shared" ca="1" si="23"/>
        <v>1</v>
      </c>
      <c r="K23" s="466">
        <f t="shared" ca="1" si="23"/>
        <v>1</v>
      </c>
      <c r="L23" s="466">
        <f t="shared" ca="1" si="23"/>
        <v>-1</v>
      </c>
      <c r="M23" s="466">
        <f t="shared" ca="1" si="23"/>
        <v>-1</v>
      </c>
      <c r="N23" s="193"/>
      <c r="O23" s="364"/>
      <c r="P23" s="365"/>
      <c r="Q23" s="466">
        <f t="shared" ref="Q23:Y23" ca="1" si="24">IF(OR(Q8="", Q14=""), "",
IF(Q8-Q7&lt;Q14-Q13,1,
IF(Q8-Q7&gt;Q14-Q13,-1,
0)))</f>
        <v>0</v>
      </c>
      <c r="R23" s="466">
        <f t="shared" ca="1" si="24"/>
        <v>0</v>
      </c>
      <c r="S23" s="466">
        <f t="shared" ca="1" si="24"/>
        <v>-1</v>
      </c>
      <c r="T23" s="466">
        <f t="shared" ca="1" si="24"/>
        <v>0</v>
      </c>
      <c r="U23" s="466">
        <f t="shared" ca="1" si="24"/>
        <v>0</v>
      </c>
      <c r="V23" s="466">
        <f t="shared" ca="1" si="24"/>
        <v>1</v>
      </c>
      <c r="W23" s="466">
        <f t="shared" ca="1" si="24"/>
        <v>-1</v>
      </c>
      <c r="X23" s="466">
        <f t="shared" ca="1" si="24"/>
        <v>0</v>
      </c>
      <c r="Y23" s="466">
        <f t="shared" ca="1" si="24"/>
        <v>0</v>
      </c>
      <c r="Z23" s="367"/>
      <c r="AA23" s="367" t="s">
        <v>37</v>
      </c>
      <c r="AB23" s="223" t="s">
        <v>38</v>
      </c>
    </row>
    <row r="24" spans="1:28" ht="14.25" hidden="1" customHeight="1">
      <c r="A24" s="368"/>
      <c r="B24" s="369" t="str">
        <f>B8</f>
        <v>WEEZ</v>
      </c>
      <c r="C24" s="370"/>
      <c r="D24" s="369"/>
      <c r="E24" s="369">
        <f t="shared" ref="E24:M24" ca="1" si="25">(E23+1)/2</f>
        <v>0.5</v>
      </c>
      <c r="F24" s="369">
        <f t="shared" ca="1" si="25"/>
        <v>0.5</v>
      </c>
      <c r="G24" s="369">
        <f t="shared" ca="1" si="25"/>
        <v>0</v>
      </c>
      <c r="H24" s="369">
        <f t="shared" ca="1" si="25"/>
        <v>0.5</v>
      </c>
      <c r="I24" s="369">
        <f t="shared" ca="1" si="25"/>
        <v>0</v>
      </c>
      <c r="J24" s="369">
        <f t="shared" ca="1" si="25"/>
        <v>1</v>
      </c>
      <c r="K24" s="369">
        <f t="shared" ca="1" si="25"/>
        <v>1</v>
      </c>
      <c r="L24" s="369">
        <f t="shared" ca="1" si="25"/>
        <v>0</v>
      </c>
      <c r="M24" s="369">
        <f t="shared" ca="1" si="25"/>
        <v>0</v>
      </c>
      <c r="N24" s="369">
        <f ca="1">SUM(N25:N26)</f>
        <v>3.5</v>
      </c>
      <c r="O24" s="369"/>
      <c r="P24" s="371"/>
      <c r="Q24" s="369">
        <f t="shared" ref="Q24:Y24" ca="1" si="26">(Q23+1)/2</f>
        <v>0.5</v>
      </c>
      <c r="R24" s="369">
        <f t="shared" ca="1" si="26"/>
        <v>0.5</v>
      </c>
      <c r="S24" s="369">
        <f t="shared" ca="1" si="26"/>
        <v>0</v>
      </c>
      <c r="T24" s="369">
        <f t="shared" ca="1" si="26"/>
        <v>0.5</v>
      </c>
      <c r="U24" s="369">
        <f t="shared" ca="1" si="26"/>
        <v>0.5</v>
      </c>
      <c r="V24" s="369">
        <f t="shared" ca="1" si="26"/>
        <v>1</v>
      </c>
      <c r="W24" s="369">
        <f t="shared" ca="1" si="26"/>
        <v>0</v>
      </c>
      <c r="X24" s="369">
        <f t="shared" ca="1" si="26"/>
        <v>0.5</v>
      </c>
      <c r="Y24" s="369">
        <f t="shared" ca="1" si="26"/>
        <v>0.5</v>
      </c>
      <c r="Z24" s="369">
        <f ca="1">SUM(Z25:Z26)</f>
        <v>4</v>
      </c>
      <c r="AA24" s="372">
        <f t="shared" ref="AA24:AA29" ca="1" si="27">SUM(Z24,N24)</f>
        <v>7.5</v>
      </c>
      <c r="AB24" s="368"/>
    </row>
    <row r="25" spans="1:28" ht="14.25" hidden="1" customHeight="1">
      <c r="A25" s="193" t="str">
        <f>A8</f>
        <v>Hile</v>
      </c>
      <c r="B25" s="193"/>
      <c r="C25" s="194"/>
      <c r="D25" s="193"/>
      <c r="E25" s="193">
        <f t="shared" ref="E25:M25" ca="1" si="28">E24/2</f>
        <v>0.25</v>
      </c>
      <c r="F25" s="193">
        <f t="shared" ca="1" si="28"/>
        <v>0.25</v>
      </c>
      <c r="G25" s="193">
        <f t="shared" ca="1" si="28"/>
        <v>0</v>
      </c>
      <c r="H25" s="193">
        <f t="shared" ca="1" si="28"/>
        <v>0.25</v>
      </c>
      <c r="I25" s="193">
        <f t="shared" ca="1" si="28"/>
        <v>0</v>
      </c>
      <c r="J25" s="193">
        <f t="shared" ca="1" si="28"/>
        <v>0.5</v>
      </c>
      <c r="K25" s="193">
        <f t="shared" ca="1" si="28"/>
        <v>0.5</v>
      </c>
      <c r="L25" s="193">
        <f t="shared" ca="1" si="28"/>
        <v>0</v>
      </c>
      <c r="M25" s="193">
        <f t="shared" ca="1" si="28"/>
        <v>0</v>
      </c>
      <c r="N25" s="193">
        <f t="shared" ref="N25:N26" ca="1" si="29">SUM(E25:M25)</f>
        <v>1.75</v>
      </c>
      <c r="O25" s="364"/>
      <c r="P25" s="365"/>
      <c r="Q25" s="193">
        <f t="shared" ref="Q25:Y25" ca="1" si="30">Q24/2</f>
        <v>0.25</v>
      </c>
      <c r="R25" s="193">
        <f t="shared" ca="1" si="30"/>
        <v>0.25</v>
      </c>
      <c r="S25" s="193">
        <f t="shared" ca="1" si="30"/>
        <v>0</v>
      </c>
      <c r="T25" s="193">
        <f t="shared" ca="1" si="30"/>
        <v>0.25</v>
      </c>
      <c r="U25" s="193">
        <f t="shared" ca="1" si="30"/>
        <v>0.25</v>
      </c>
      <c r="V25" s="193">
        <f t="shared" ca="1" si="30"/>
        <v>0.5</v>
      </c>
      <c r="W25" s="193">
        <f t="shared" ca="1" si="30"/>
        <v>0</v>
      </c>
      <c r="X25" s="193">
        <f t="shared" ca="1" si="30"/>
        <v>0.25</v>
      </c>
      <c r="Y25" s="193">
        <f t="shared" ca="1" si="30"/>
        <v>0.25</v>
      </c>
      <c r="Z25" s="366">
        <f t="shared" ref="Z25:Z26" ca="1" si="31">SUM(Q25:Y25)</f>
        <v>2</v>
      </c>
      <c r="AA25">
        <f t="shared" ca="1" si="27"/>
        <v>3.75</v>
      </c>
      <c r="AB25" s="373">
        <f t="shared" ref="AB25:AB26" ca="1" si="32">((N25/$N$24)*$N$19)+((Z25/$Z$24)*$Z$20)+((AA25/$AA$24)*$Z$19)</f>
        <v>0</v>
      </c>
    </row>
    <row r="26" spans="1:28" ht="14.25" hidden="1" customHeight="1">
      <c r="A26" s="193" t="str">
        <f>A11</f>
        <v>Weezy</v>
      </c>
      <c r="B26" s="193"/>
      <c r="C26" s="194"/>
      <c r="D26" s="193"/>
      <c r="E26" s="193">
        <f t="shared" ref="E26:M26" ca="1" si="33">E24/2</f>
        <v>0.25</v>
      </c>
      <c r="F26" s="193">
        <f t="shared" ca="1" si="33"/>
        <v>0.25</v>
      </c>
      <c r="G26" s="193">
        <f t="shared" ca="1" si="33"/>
        <v>0</v>
      </c>
      <c r="H26" s="193">
        <f t="shared" ca="1" si="33"/>
        <v>0.25</v>
      </c>
      <c r="I26" s="193">
        <f t="shared" ca="1" si="33"/>
        <v>0</v>
      </c>
      <c r="J26" s="193">
        <f t="shared" ca="1" si="33"/>
        <v>0.5</v>
      </c>
      <c r="K26" s="193">
        <f t="shared" ca="1" si="33"/>
        <v>0.5</v>
      </c>
      <c r="L26" s="193">
        <f t="shared" ca="1" si="33"/>
        <v>0</v>
      </c>
      <c r="M26" s="193">
        <f t="shared" ca="1" si="33"/>
        <v>0</v>
      </c>
      <c r="N26" s="193">
        <f t="shared" ca="1" si="29"/>
        <v>1.75</v>
      </c>
      <c r="O26" s="364"/>
      <c r="P26" s="365"/>
      <c r="Q26" s="193">
        <f t="shared" ref="Q26:Y26" ca="1" si="34">Q24/2</f>
        <v>0.25</v>
      </c>
      <c r="R26" s="193">
        <f t="shared" ca="1" si="34"/>
        <v>0.25</v>
      </c>
      <c r="S26" s="193">
        <f t="shared" ca="1" si="34"/>
        <v>0</v>
      </c>
      <c r="T26" s="193">
        <f t="shared" ca="1" si="34"/>
        <v>0.25</v>
      </c>
      <c r="U26" s="193">
        <f t="shared" ca="1" si="34"/>
        <v>0.25</v>
      </c>
      <c r="V26" s="193">
        <f t="shared" ca="1" si="34"/>
        <v>0.5</v>
      </c>
      <c r="W26" s="193">
        <f t="shared" ca="1" si="34"/>
        <v>0</v>
      </c>
      <c r="X26" s="193">
        <f t="shared" ca="1" si="34"/>
        <v>0.25</v>
      </c>
      <c r="Y26" s="193">
        <f t="shared" ca="1" si="34"/>
        <v>0.25</v>
      </c>
      <c r="Z26" s="366">
        <f t="shared" ca="1" si="31"/>
        <v>2</v>
      </c>
      <c r="AA26">
        <f t="shared" ca="1" si="27"/>
        <v>3.75</v>
      </c>
      <c r="AB26" s="373">
        <f t="shared" ca="1" si="32"/>
        <v>0</v>
      </c>
    </row>
    <row r="27" spans="1:28" ht="14.25" hidden="1" customHeight="1">
      <c r="A27" s="368"/>
      <c r="B27" s="369" t="str">
        <f>B14</f>
        <v>TEES</v>
      </c>
      <c r="C27" s="370"/>
      <c r="D27" s="369"/>
      <c r="E27" s="369">
        <f t="shared" ref="E27:M27" ca="1" si="35">(1-E23)/2</f>
        <v>0.5</v>
      </c>
      <c r="F27" s="369">
        <f t="shared" ca="1" si="35"/>
        <v>0.5</v>
      </c>
      <c r="G27" s="369">
        <f t="shared" ca="1" si="35"/>
        <v>1</v>
      </c>
      <c r="H27" s="369">
        <f t="shared" ca="1" si="35"/>
        <v>0.5</v>
      </c>
      <c r="I27" s="369">
        <f t="shared" ca="1" si="35"/>
        <v>1</v>
      </c>
      <c r="J27" s="369">
        <f t="shared" ca="1" si="35"/>
        <v>0</v>
      </c>
      <c r="K27" s="369">
        <f t="shared" ca="1" si="35"/>
        <v>0</v>
      </c>
      <c r="L27" s="369">
        <f t="shared" ca="1" si="35"/>
        <v>1</v>
      </c>
      <c r="M27" s="369">
        <f t="shared" ca="1" si="35"/>
        <v>1</v>
      </c>
      <c r="N27" s="369">
        <f ca="1">SUM(N28:N29)</f>
        <v>5.5</v>
      </c>
      <c r="O27" s="369"/>
      <c r="P27" s="371"/>
      <c r="Q27" s="369">
        <f t="shared" ref="Q27:Y27" ca="1" si="36">(1-Q23)/2</f>
        <v>0.5</v>
      </c>
      <c r="R27" s="369">
        <f t="shared" ca="1" si="36"/>
        <v>0.5</v>
      </c>
      <c r="S27" s="369">
        <f t="shared" ca="1" si="36"/>
        <v>1</v>
      </c>
      <c r="T27" s="369">
        <f t="shared" ca="1" si="36"/>
        <v>0.5</v>
      </c>
      <c r="U27" s="369">
        <f t="shared" ca="1" si="36"/>
        <v>0.5</v>
      </c>
      <c r="V27" s="369">
        <f t="shared" ca="1" si="36"/>
        <v>0</v>
      </c>
      <c r="W27" s="369">
        <f t="shared" ca="1" si="36"/>
        <v>1</v>
      </c>
      <c r="X27" s="369">
        <f t="shared" ca="1" si="36"/>
        <v>0.5</v>
      </c>
      <c r="Y27" s="369">
        <f t="shared" ca="1" si="36"/>
        <v>0.5</v>
      </c>
      <c r="Z27" s="369">
        <f ca="1">SUM(Z28:Z29)</f>
        <v>5</v>
      </c>
      <c r="AA27" s="372">
        <f t="shared" ca="1" si="27"/>
        <v>10.5</v>
      </c>
      <c r="AB27" s="369"/>
    </row>
    <row r="28" spans="1:28" ht="14.25" hidden="1" customHeight="1">
      <c r="A28" s="193" t="str">
        <f>A14</f>
        <v>DK</v>
      </c>
      <c r="B28" s="193"/>
      <c r="C28" s="194"/>
      <c r="D28" s="193"/>
      <c r="E28" s="193">
        <f t="shared" ref="E28:M28" ca="1" si="37">E27/2</f>
        <v>0.25</v>
      </c>
      <c r="F28" s="193">
        <f t="shared" ca="1" si="37"/>
        <v>0.25</v>
      </c>
      <c r="G28" s="193">
        <f t="shared" ca="1" si="37"/>
        <v>0.5</v>
      </c>
      <c r="H28" s="193">
        <f t="shared" ca="1" si="37"/>
        <v>0.25</v>
      </c>
      <c r="I28" s="193">
        <f t="shared" ca="1" si="37"/>
        <v>0.5</v>
      </c>
      <c r="J28" s="193">
        <f t="shared" ca="1" si="37"/>
        <v>0</v>
      </c>
      <c r="K28" s="193">
        <f t="shared" ca="1" si="37"/>
        <v>0</v>
      </c>
      <c r="L28" s="193">
        <f t="shared" ca="1" si="37"/>
        <v>0.5</v>
      </c>
      <c r="M28" s="193">
        <f t="shared" ca="1" si="37"/>
        <v>0.5</v>
      </c>
      <c r="N28" s="193">
        <f t="shared" ref="N28:N29" ca="1" si="38">SUM(E28:M28)</f>
        <v>2.75</v>
      </c>
      <c r="O28" s="364"/>
      <c r="P28" s="365"/>
      <c r="Q28" s="193">
        <f t="shared" ref="Q28:Y28" ca="1" si="39">Q27/2</f>
        <v>0.25</v>
      </c>
      <c r="R28" s="193">
        <f t="shared" ca="1" si="39"/>
        <v>0.25</v>
      </c>
      <c r="S28" s="193">
        <f t="shared" ca="1" si="39"/>
        <v>0.5</v>
      </c>
      <c r="T28" s="193">
        <f t="shared" ca="1" si="39"/>
        <v>0.25</v>
      </c>
      <c r="U28" s="193">
        <f t="shared" ca="1" si="39"/>
        <v>0.25</v>
      </c>
      <c r="V28" s="193">
        <f t="shared" ca="1" si="39"/>
        <v>0</v>
      </c>
      <c r="W28" s="193">
        <f t="shared" ca="1" si="39"/>
        <v>0.5</v>
      </c>
      <c r="X28" s="193">
        <f t="shared" ca="1" si="39"/>
        <v>0.25</v>
      </c>
      <c r="Y28" s="193">
        <f t="shared" ca="1" si="39"/>
        <v>0.25</v>
      </c>
      <c r="Z28" s="366">
        <f t="shared" ref="Z28:Z29" ca="1" si="40">SUM(Q28:Y28)</f>
        <v>2.5</v>
      </c>
      <c r="AA28">
        <f t="shared" ca="1" si="27"/>
        <v>5.25</v>
      </c>
      <c r="AB28" s="373">
        <f ca="1">((N28/$N$27)*('Master Input'!$P$18-$N$19))+((Z28/$Z$27)*('Master Input'!$Q$18-$Z$20))+((AA28/$AA$27)*('Master Input'!$R$18-$Z$19))</f>
        <v>2</v>
      </c>
    </row>
    <row r="29" spans="1:28" ht="14.25" hidden="1" customHeight="1">
      <c r="A29" s="193" t="str">
        <f>A17</f>
        <v>Saugy</v>
      </c>
      <c r="B29" s="193"/>
      <c r="C29" s="194"/>
      <c r="D29" s="193"/>
      <c r="E29" s="193">
        <f t="shared" ref="E29:M29" ca="1" si="41">E27/2</f>
        <v>0.25</v>
      </c>
      <c r="F29" s="193">
        <f t="shared" ca="1" si="41"/>
        <v>0.25</v>
      </c>
      <c r="G29" s="193">
        <f t="shared" ca="1" si="41"/>
        <v>0.5</v>
      </c>
      <c r="H29" s="193">
        <f t="shared" ca="1" si="41"/>
        <v>0.25</v>
      </c>
      <c r="I29" s="193">
        <f t="shared" ca="1" si="41"/>
        <v>0.5</v>
      </c>
      <c r="J29" s="193">
        <f t="shared" ca="1" si="41"/>
        <v>0</v>
      </c>
      <c r="K29" s="193">
        <f t="shared" ca="1" si="41"/>
        <v>0</v>
      </c>
      <c r="L29" s="193">
        <f t="shared" ca="1" si="41"/>
        <v>0.5</v>
      </c>
      <c r="M29" s="193">
        <f t="shared" ca="1" si="41"/>
        <v>0.5</v>
      </c>
      <c r="N29" s="193">
        <f t="shared" ca="1" si="38"/>
        <v>2.75</v>
      </c>
      <c r="O29" s="364"/>
      <c r="P29" s="365"/>
      <c r="Q29" s="193">
        <f t="shared" ref="Q29:Y29" ca="1" si="42">Q27/2</f>
        <v>0.25</v>
      </c>
      <c r="R29" s="193">
        <f t="shared" ca="1" si="42"/>
        <v>0.25</v>
      </c>
      <c r="S29" s="193">
        <f t="shared" ca="1" si="42"/>
        <v>0.5</v>
      </c>
      <c r="T29" s="193">
        <f t="shared" ca="1" si="42"/>
        <v>0.25</v>
      </c>
      <c r="U29" s="193">
        <f t="shared" ca="1" si="42"/>
        <v>0.25</v>
      </c>
      <c r="V29" s="193">
        <f t="shared" ca="1" si="42"/>
        <v>0</v>
      </c>
      <c r="W29" s="193">
        <f t="shared" ca="1" si="42"/>
        <v>0.5</v>
      </c>
      <c r="X29" s="193">
        <f t="shared" ca="1" si="42"/>
        <v>0.25</v>
      </c>
      <c r="Y29" s="193">
        <f t="shared" ca="1" si="42"/>
        <v>0.25</v>
      </c>
      <c r="Z29" s="366">
        <f t="shared" ca="1" si="40"/>
        <v>2.5</v>
      </c>
      <c r="AA29">
        <f t="shared" ca="1" si="27"/>
        <v>5.25</v>
      </c>
      <c r="AB29" s="373">
        <f ca="1">((N29/$N$27)*('Master Input'!$P$18-$N$19))+((Z29/$Z$27)*('Master Input'!$Q$18-$Z$20))+((AA29/$AA$27)*('Master Input'!$R$18-$Z$19))</f>
        <v>2</v>
      </c>
    </row>
    <row r="30" spans="1:28" ht="14.25" hidden="1" customHeight="1">
      <c r="A30" s="193"/>
      <c r="B30" s="193"/>
      <c r="C30" s="194"/>
      <c r="D30" s="193"/>
      <c r="E30" s="193">
        <f t="shared" ref="E30:N30" ca="1" si="43">SUM(E25:E26,E28:E29)</f>
        <v>1</v>
      </c>
      <c r="F30" s="193">
        <f t="shared" ca="1" si="43"/>
        <v>1</v>
      </c>
      <c r="G30" s="193">
        <f t="shared" ca="1" si="43"/>
        <v>1</v>
      </c>
      <c r="H30" s="193">
        <f t="shared" ca="1" si="43"/>
        <v>1</v>
      </c>
      <c r="I30" s="193">
        <f t="shared" ca="1" si="43"/>
        <v>1</v>
      </c>
      <c r="J30" s="193">
        <f t="shared" ca="1" si="43"/>
        <v>1</v>
      </c>
      <c r="K30" s="193">
        <f t="shared" ca="1" si="43"/>
        <v>1</v>
      </c>
      <c r="L30" s="193">
        <f t="shared" ca="1" si="43"/>
        <v>1</v>
      </c>
      <c r="M30" s="193">
        <f t="shared" ca="1" si="43"/>
        <v>1</v>
      </c>
      <c r="N30" s="193">
        <f t="shared" ca="1" si="43"/>
        <v>9</v>
      </c>
      <c r="O30" s="364"/>
      <c r="P30" s="365"/>
      <c r="Q30" s="193">
        <f t="shared" ref="Q30:AA30" ca="1" si="44">SUM(Q25:Q26,Q28:Q29)</f>
        <v>1</v>
      </c>
      <c r="R30" s="193">
        <f t="shared" ca="1" si="44"/>
        <v>1</v>
      </c>
      <c r="S30" s="193">
        <f t="shared" ca="1" si="44"/>
        <v>1</v>
      </c>
      <c r="T30" s="193">
        <f t="shared" ca="1" si="44"/>
        <v>1</v>
      </c>
      <c r="U30" s="193">
        <f t="shared" ca="1" si="44"/>
        <v>1</v>
      </c>
      <c r="V30" s="193">
        <f t="shared" ca="1" si="44"/>
        <v>1</v>
      </c>
      <c r="W30" s="193">
        <f t="shared" ca="1" si="44"/>
        <v>1</v>
      </c>
      <c r="X30" s="193">
        <f t="shared" ca="1" si="44"/>
        <v>1</v>
      </c>
      <c r="Y30" s="193">
        <f t="shared" ca="1" si="44"/>
        <v>1</v>
      </c>
      <c r="Z30" s="193">
        <f t="shared" ca="1" si="44"/>
        <v>9</v>
      </c>
      <c r="AA30">
        <f t="shared" ca="1" si="44"/>
        <v>18</v>
      </c>
      <c r="AB30" s="373"/>
    </row>
  </sheetData>
  <mergeCells count="1">
    <mergeCell ref="B2:B4"/>
  </mergeCells>
  <conditionalFormatting sqref="E8:M8 Q8:Y8 E14:M14 Q14:Y14">
    <cfRule type="expression" dxfId="54" priority="4">
      <formula>E$23=0</formula>
    </cfRule>
  </conditionalFormatting>
  <conditionalFormatting sqref="E8:M8 Q8:Y8">
    <cfRule type="expression" dxfId="53" priority="3">
      <formula>AND(E$24=1,E$25&gt;0)</formula>
    </cfRule>
  </conditionalFormatting>
  <conditionalFormatting sqref="E14:M14 Q14:Y14">
    <cfRule type="expression" dxfId="52" priority="2">
      <formula>AND(E$27=1,E$28&gt;0)</formula>
    </cfRule>
  </conditionalFormatting>
  <conditionalFormatting sqref="E19:M19 Q19:Y20">
    <cfRule type="cellIs" dxfId="51" priority="1" operator="equal">
      <formula>"."</formula>
    </cfRule>
  </conditionalFormatting>
  <printOptions horizontalCentered="1" gridLines="1"/>
  <pageMargins left="0.6" right="0.25" top="0.5" bottom="0.5" header="0" footer="0"/>
  <pageSetup fitToHeight="0" pageOrder="overThenDown" orientation="landscape"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6D7A8"/>
    <outlinePr summaryBelow="0" summaryRight="0"/>
    <pageSetUpPr fitToPage="1"/>
  </sheetPr>
  <dimension ref="A1:AB33"/>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467" t="s">
        <v>15</v>
      </c>
      <c r="B1" s="468">
        <f>'Master Input'!K3</f>
        <v>0.4236111111111111</v>
      </c>
      <c r="C1" s="469" t="str">
        <f>'Master Input'!$K$2</f>
        <v>Round 4</v>
      </c>
      <c r="D1" s="470"/>
      <c r="E1" s="469" t="str">
        <f>'Master Input'!$K$6</f>
        <v>The Bear - White</v>
      </c>
      <c r="F1" s="471"/>
      <c r="G1" s="471"/>
      <c r="H1" s="471"/>
      <c r="I1" s="471"/>
      <c r="J1" s="471"/>
      <c r="K1" s="471"/>
      <c r="L1" s="471"/>
      <c r="M1" s="471"/>
      <c r="N1" s="471"/>
      <c r="O1" s="72"/>
      <c r="P1" s="469" t="str">
        <f>'Master Input'!$K$2&amp;" - "&amp;A1</f>
        <v>Round 4 - Group 1</v>
      </c>
      <c r="Q1" s="470"/>
      <c r="R1" s="471"/>
      <c r="S1" s="471"/>
      <c r="T1" s="471"/>
      <c r="U1" s="469" t="str">
        <f>'Master Input'!$K$6</f>
        <v>The Bear - White</v>
      </c>
      <c r="V1" s="471"/>
      <c r="W1" s="471"/>
      <c r="X1" s="471"/>
      <c r="Y1" s="471"/>
      <c r="Z1" s="471"/>
      <c r="AA1" s="472"/>
      <c r="AB1" s="473"/>
    </row>
    <row r="2" spans="1:28" ht="14.25" customHeight="1">
      <c r="A2" s="75" t="s">
        <v>16</v>
      </c>
      <c r="B2" s="1166" t="str">
        <f>'Match Selection'!B19</f>
        <v>Team Best Ball</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3</v>
      </c>
      <c r="G3" s="88">
        <f ca="1">VLOOKUP($E1, 'Course List'!$A$3:$AS$14,5+G2, FALSE)</f>
        <v>15</v>
      </c>
      <c r="H3" s="88">
        <f ca="1">VLOOKUP($E1, 'Course List'!$A$3:$AS$14,5+H2, FALSE)</f>
        <v>13</v>
      </c>
      <c r="I3" s="88">
        <f ca="1">VLOOKUP($E1, 'Course List'!$A$3:$AS$14,5+I2, FALSE)</f>
        <v>1</v>
      </c>
      <c r="J3" s="88">
        <f ca="1">VLOOKUP($E1, 'Course List'!$A$3:$AS$14,5+J2, FALSE)</f>
        <v>17</v>
      </c>
      <c r="K3" s="88">
        <f ca="1">VLOOKUP($E1, 'Course List'!$A$3:$AS$14,5+K2, FALSE)</f>
        <v>5</v>
      </c>
      <c r="L3" s="88">
        <f ca="1">VLOOKUP($E1, 'Course List'!$A$3:$AS$14,5+L2, FALSE)</f>
        <v>7</v>
      </c>
      <c r="M3" s="89">
        <f ca="1">VLOOKUP($E1, 'Course List'!$A$3:$AS$14,5+M2, FALSE)</f>
        <v>9</v>
      </c>
      <c r="N3" s="274"/>
      <c r="O3" s="72"/>
      <c r="P3" s="86" t="s">
        <v>21</v>
      </c>
      <c r="Q3" s="273">
        <f ca="1">VLOOKUP($E1, 'Course List'!$A$3:$AS$14,5+Q2, FALSE)</f>
        <v>18</v>
      </c>
      <c r="R3" s="88">
        <f ca="1">VLOOKUP($E1, 'Course List'!$A$3:$AS$14,5+R2, FALSE)</f>
        <v>4</v>
      </c>
      <c r="S3" s="88">
        <f ca="1">VLOOKUP($E1, 'Course List'!$A$3:$AS$14,5+S2, FALSE)</f>
        <v>6</v>
      </c>
      <c r="T3" s="88">
        <f ca="1">VLOOKUP($E1, 'Course List'!$A$3:$AS$14,5+T2, FALSE)</f>
        <v>12</v>
      </c>
      <c r="U3" s="88">
        <f ca="1">VLOOKUP($E1, 'Course List'!$A$3:$AS$14,5+U2, FALSE)</f>
        <v>16</v>
      </c>
      <c r="V3" s="88">
        <f ca="1">VLOOKUP($E1, 'Course List'!$A$3:$AS$14,5+V2, FALSE)</f>
        <v>14</v>
      </c>
      <c r="W3" s="88">
        <f ca="1">VLOOKUP($E1, 'Course List'!$A$3:$AS$14,5+W2, FALSE)</f>
        <v>2</v>
      </c>
      <c r="X3" s="88">
        <f ca="1">VLOOKUP($E1, 'Course List'!$A$3:$AS$14,5+X2, FALSE)</f>
        <v>8</v>
      </c>
      <c r="Y3" s="89">
        <f ca="1">VLOOKUP($E1, 'Course List'!$A$3:$AS$14,5+Y2, FALSE)</f>
        <v>10</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3</v>
      </c>
      <c r="I4" s="94">
        <f ca="1">VLOOKUP($E1, 'Course List'!$A$3:$AS$14,27+I2, FALSE)</f>
        <v>4</v>
      </c>
      <c r="J4" s="94">
        <f ca="1">VLOOKUP($E1, 'Course List'!$A$3:$AS$14,27+J2, FALSE)</f>
        <v>5</v>
      </c>
      <c r="K4" s="94">
        <f ca="1">VLOOKUP($E1, 'Course List'!$A$3:$AS$14,27+K2, FALSE)</f>
        <v>4</v>
      </c>
      <c r="L4" s="94">
        <f ca="1">VLOOKUP($E1, 'Course List'!$A$3:$AS$14,27+L2, FALSE)</f>
        <v>4</v>
      </c>
      <c r="M4" s="95">
        <f ca="1">VLOOKUP($E1, 'Course List'!$A$3:$AS$14,27+M2, FALSE)</f>
        <v>3</v>
      </c>
      <c r="N4" s="275">
        <f ca="1">SUM(E4:M4)</f>
        <v>36</v>
      </c>
      <c r="O4" s="72"/>
      <c r="P4" s="86" t="s">
        <v>22</v>
      </c>
      <c r="Q4" s="275">
        <f ca="1">VLOOKUP($E1, 'Course List'!$A$3:$AS$14,27+Q2, FALSE)</f>
        <v>5</v>
      </c>
      <c r="R4" s="94">
        <f ca="1">VLOOKUP($E1, 'Course List'!$A$3:$AS$14,27+R2, FALSE)</f>
        <v>4</v>
      </c>
      <c r="S4" s="94">
        <f ca="1">VLOOKUP($E1, 'Course List'!$A$3:$AS$14,27+S2, FALSE)</f>
        <v>4</v>
      </c>
      <c r="T4" s="94">
        <f ca="1">VLOOKUP($E1, 'Course List'!$A$3:$AS$14,27+T2, FALSE)</f>
        <v>3</v>
      </c>
      <c r="U4" s="94">
        <f ca="1">VLOOKUP($E1, 'Course List'!$A$3:$AS$14,27+U2, FALSE)</f>
        <v>4</v>
      </c>
      <c r="V4" s="94">
        <f ca="1">VLOOKUP($E1, 'Course List'!$A$3:$AS$14,27+V2, FALSE)</f>
        <v>5</v>
      </c>
      <c r="W4" s="94">
        <f ca="1">VLOOKUP($E1, 'Course List'!$A$3:$AS$14,27+W2, FALSE)</f>
        <v>4</v>
      </c>
      <c r="X4" s="94">
        <f ca="1">VLOOKUP($E1, 'Course List'!$A$3:$AS$14,27+X2, FALSE)</f>
        <v>3</v>
      </c>
      <c r="Y4" s="95">
        <f ca="1">VLOOKUP($E1, 'Course List'!$A$3:$AS$14,27+Y2, FALSE)</f>
        <v>4</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474" t="s">
        <v>27</v>
      </c>
      <c r="AB5" s="474" t="s">
        <v>52</v>
      </c>
    </row>
    <row r="6" spans="1:28" ht="7.5" customHeight="1">
      <c r="A6" s="112"/>
      <c r="B6" s="112"/>
      <c r="C6" s="280"/>
      <c r="D6" s="112"/>
      <c r="E6" s="114" t="str">
        <f t="shared" ref="E6:M6" ca="1" si="0">IF(E7=1,"O", IF(E7=2,"O   O",""))</f>
        <v/>
      </c>
      <c r="F6" s="115" t="str">
        <f t="shared" ca="1" si="0"/>
        <v>O</v>
      </c>
      <c r="G6" s="115" t="str">
        <f t="shared" ca="1" si="0"/>
        <v/>
      </c>
      <c r="H6" s="115" t="str">
        <f t="shared" ca="1" si="0"/>
        <v/>
      </c>
      <c r="I6" s="115" t="str">
        <f t="shared" ca="1" si="0"/>
        <v>O</v>
      </c>
      <c r="J6" s="115" t="str">
        <f t="shared" ca="1" si="0"/>
        <v/>
      </c>
      <c r="K6" s="115" t="str">
        <f t="shared" ca="1" si="0"/>
        <v>O</v>
      </c>
      <c r="L6" s="115" t="str">
        <f t="shared" ca="1" si="0"/>
        <v>O</v>
      </c>
      <c r="M6" s="115" t="str">
        <f t="shared" ca="1" si="0"/>
        <v/>
      </c>
      <c r="N6" s="475"/>
      <c r="O6" s="118"/>
      <c r="P6" s="240"/>
      <c r="Q6" s="114" t="str">
        <f t="shared" ref="Q6:Y6" ca="1" si="1">IF(Q7=1,"O", IF(Q7=2,"O   O",""))</f>
        <v/>
      </c>
      <c r="R6" s="115" t="str">
        <f t="shared" ca="1" si="1"/>
        <v>O</v>
      </c>
      <c r="S6" s="115" t="str">
        <f t="shared" ca="1" si="1"/>
        <v>O</v>
      </c>
      <c r="T6" s="115" t="str">
        <f t="shared" ca="1" si="1"/>
        <v/>
      </c>
      <c r="U6" s="115" t="str">
        <f t="shared" ca="1" si="1"/>
        <v/>
      </c>
      <c r="V6" s="115" t="str">
        <f t="shared" ca="1" si="1"/>
        <v/>
      </c>
      <c r="W6" s="115" t="str">
        <f t="shared" ca="1" si="1"/>
        <v>O</v>
      </c>
      <c r="X6" s="115" t="str">
        <f t="shared" ca="1" si="1"/>
        <v/>
      </c>
      <c r="Y6" s="115" t="str">
        <f t="shared" ca="1" si="1"/>
        <v/>
      </c>
      <c r="Z6" s="476"/>
      <c r="AA6" s="477"/>
      <c r="AB6" s="477"/>
    </row>
    <row r="7" spans="1:28" ht="22.5" hidden="1" customHeight="1">
      <c r="A7" s="123"/>
      <c r="B7" s="124"/>
      <c r="C7" s="286"/>
      <c r="D7" s="126"/>
      <c r="E7" s="478">
        <f t="shared" ref="E7:M7" ca="1" si="2">IF($D8&gt;0,FLOOR($D8/18,1),0)+IF(AND(MOD($D8,18)&gt;=E$3,$D8&gt;0),1,0)-IF(E$3-18&gt;$D8,1,0)</f>
        <v>0</v>
      </c>
      <c r="F7" s="128">
        <f t="shared" ca="1" si="2"/>
        <v>1</v>
      </c>
      <c r="G7" s="128">
        <f t="shared" ca="1" si="2"/>
        <v>0</v>
      </c>
      <c r="H7" s="128">
        <f t="shared" ca="1" si="2"/>
        <v>0</v>
      </c>
      <c r="I7" s="128">
        <f t="shared" ca="1" si="2"/>
        <v>1</v>
      </c>
      <c r="J7" s="128">
        <f t="shared" ca="1" si="2"/>
        <v>0</v>
      </c>
      <c r="K7" s="128">
        <f t="shared" ca="1" si="2"/>
        <v>1</v>
      </c>
      <c r="L7" s="128">
        <f t="shared" ca="1" si="2"/>
        <v>1</v>
      </c>
      <c r="M7" s="128">
        <f t="shared" ca="1" si="2"/>
        <v>0</v>
      </c>
      <c r="N7" s="479"/>
      <c r="O7" s="131"/>
      <c r="P7" s="123"/>
      <c r="Q7" s="478">
        <f t="shared" ref="Q7:Y7" ca="1" si="3">IF($D8&gt;0,FLOOR($D8/18,1),0)+IF(AND(MOD($D8,18)&gt;=Q$3,$D8&gt;0),1,0)-IF(Q$3-18&gt;$D8,1,0)</f>
        <v>0</v>
      </c>
      <c r="R7" s="128">
        <f t="shared" ca="1" si="3"/>
        <v>1</v>
      </c>
      <c r="S7" s="128">
        <f t="shared" ca="1" si="3"/>
        <v>1</v>
      </c>
      <c r="T7" s="128">
        <f t="shared" ca="1" si="3"/>
        <v>0</v>
      </c>
      <c r="U7" s="128">
        <f t="shared" ca="1" si="3"/>
        <v>0</v>
      </c>
      <c r="V7" s="128">
        <f t="shared" ca="1" si="3"/>
        <v>0</v>
      </c>
      <c r="W7" s="128">
        <f t="shared" ca="1" si="3"/>
        <v>1</v>
      </c>
      <c r="X7" s="128">
        <f t="shared" ca="1" si="3"/>
        <v>0</v>
      </c>
      <c r="Y7" s="128">
        <f t="shared" ca="1" si="3"/>
        <v>0</v>
      </c>
      <c r="Z7" s="479"/>
      <c r="AA7" s="480"/>
      <c r="AB7" s="481"/>
    </row>
    <row r="8" spans="1:28" ht="22.5" customHeight="1">
      <c r="A8" s="136" t="str">
        <f>'Match Selection'!D19</f>
        <v>Jensen</v>
      </c>
      <c r="B8" s="137" t="str">
        <f>VLOOKUP(A8, 'Master Input'!$A$11:$B$27,2, FALSE)</f>
        <v>WEEZ</v>
      </c>
      <c r="C8" s="292">
        <f ca="1">VLOOKUP(A8,'Master Input'!$A$11:$L$27,'Master Input'!$L$28, FALSE)</f>
        <v>7</v>
      </c>
      <c r="D8" s="139">
        <f ca="1">C8</f>
        <v>7</v>
      </c>
      <c r="E8" s="482">
        <v>5</v>
      </c>
      <c r="F8" s="141">
        <v>3</v>
      </c>
      <c r="G8" s="141">
        <v>6</v>
      </c>
      <c r="H8" s="141">
        <v>3</v>
      </c>
      <c r="I8" s="141">
        <v>3</v>
      </c>
      <c r="J8" s="141">
        <v>5</v>
      </c>
      <c r="K8" s="141">
        <v>3</v>
      </c>
      <c r="L8" s="141">
        <v>6</v>
      </c>
      <c r="M8" s="141">
        <v>3</v>
      </c>
      <c r="N8" s="483">
        <f>IF(M8="","", SUM(E8:M8))</f>
        <v>37</v>
      </c>
      <c r="O8" s="131"/>
      <c r="P8" s="136" t="str">
        <f>A8</f>
        <v>Jensen</v>
      </c>
      <c r="Q8" s="482">
        <v>3</v>
      </c>
      <c r="R8" s="141">
        <v>5</v>
      </c>
      <c r="S8" s="141">
        <v>4</v>
      </c>
      <c r="T8" s="141">
        <v>4</v>
      </c>
      <c r="U8" s="141">
        <v>4</v>
      </c>
      <c r="V8" s="141">
        <v>5</v>
      </c>
      <c r="W8" s="141">
        <v>4</v>
      </c>
      <c r="X8" s="141">
        <v>3</v>
      </c>
      <c r="Y8" s="141">
        <v>7</v>
      </c>
      <c r="Z8" s="483">
        <f>IF(Y8="","", SUM(Q8:Y8))</f>
        <v>39</v>
      </c>
      <c r="AA8" s="484">
        <f>IF(Z8="", "", SUM(N8,Z8))</f>
        <v>76</v>
      </c>
      <c r="AB8" s="485">
        <f ca="1">IF(Y8="", "", AA8-C8)</f>
        <v>69</v>
      </c>
    </row>
    <row r="9" spans="1:28" ht="7.5" customHeight="1">
      <c r="A9" s="299"/>
      <c r="B9" s="300"/>
      <c r="C9" s="301"/>
      <c r="D9" s="486"/>
      <c r="E9" s="163" t="str">
        <f t="shared" ref="E9:M9" ca="1" si="4">IF(E10=1,"O", IF(E10=2,"O   O",""))</f>
        <v>O</v>
      </c>
      <c r="F9" s="164" t="str">
        <f t="shared" ca="1" si="4"/>
        <v>O</v>
      </c>
      <c r="G9" s="164" t="str">
        <f t="shared" ca="1" si="4"/>
        <v>O</v>
      </c>
      <c r="H9" s="164" t="str">
        <f t="shared" ca="1" si="4"/>
        <v>O</v>
      </c>
      <c r="I9" s="164" t="str">
        <f t="shared" ca="1" si="4"/>
        <v>O</v>
      </c>
      <c r="J9" s="164" t="str">
        <f t="shared" ca="1" si="4"/>
        <v/>
      </c>
      <c r="K9" s="164" t="str">
        <f t="shared" ca="1" si="4"/>
        <v>O</v>
      </c>
      <c r="L9" s="164" t="str">
        <f t="shared" ca="1" si="4"/>
        <v>O</v>
      </c>
      <c r="M9" s="164" t="str">
        <f t="shared" ca="1" si="4"/>
        <v>O</v>
      </c>
      <c r="N9" s="487"/>
      <c r="O9" s="118"/>
      <c r="P9" s="299"/>
      <c r="Q9" s="163" t="str">
        <f t="shared" ref="Q9:Y9" ca="1" si="5">IF(Q10=1,"O", IF(Q10=2,"O   O",""))</f>
        <v/>
      </c>
      <c r="R9" s="164" t="str">
        <f t="shared" ca="1" si="5"/>
        <v>O</v>
      </c>
      <c r="S9" s="164" t="str">
        <f t="shared" ca="1" si="5"/>
        <v>O</v>
      </c>
      <c r="T9" s="164" t="str">
        <f t="shared" ca="1" si="5"/>
        <v>O</v>
      </c>
      <c r="U9" s="164" t="str">
        <f t="shared" ca="1" si="5"/>
        <v/>
      </c>
      <c r="V9" s="164" t="str">
        <f t="shared" ca="1" si="5"/>
        <v>O</v>
      </c>
      <c r="W9" s="164" t="str">
        <f t="shared" ca="1" si="5"/>
        <v>O</v>
      </c>
      <c r="X9" s="164" t="str">
        <f t="shared" ca="1" si="5"/>
        <v>O</v>
      </c>
      <c r="Y9" s="164" t="str">
        <f t="shared" ca="1" si="5"/>
        <v>O</v>
      </c>
      <c r="Z9" s="487"/>
      <c r="AA9" s="488"/>
      <c r="AB9" s="489"/>
    </row>
    <row r="10" spans="1:28" ht="22.5" hidden="1" customHeight="1">
      <c r="A10" s="171"/>
      <c r="B10" s="172"/>
      <c r="C10" s="307"/>
      <c r="D10" s="174"/>
      <c r="E10" s="175">
        <f t="shared" ref="E10:M10" ca="1" si="6">IF($D11&gt;0,FLOOR($D11/18,1),0)+IF(AND(MOD($D11,18)&gt;=E$3,$D11&gt;0),1,0)-IF(E$3-18&gt;$D11,1,0)</f>
        <v>1</v>
      </c>
      <c r="F10" s="176">
        <f t="shared" ca="1" si="6"/>
        <v>1</v>
      </c>
      <c r="G10" s="176">
        <f t="shared" ca="1" si="6"/>
        <v>1</v>
      </c>
      <c r="H10" s="176">
        <f t="shared" ca="1" si="6"/>
        <v>1</v>
      </c>
      <c r="I10" s="176">
        <f t="shared" ca="1" si="6"/>
        <v>1</v>
      </c>
      <c r="J10" s="176">
        <f t="shared" ca="1" si="6"/>
        <v>0</v>
      </c>
      <c r="K10" s="176">
        <f t="shared" ca="1" si="6"/>
        <v>1</v>
      </c>
      <c r="L10" s="176">
        <f t="shared" ca="1" si="6"/>
        <v>1</v>
      </c>
      <c r="M10" s="176">
        <f t="shared" ca="1" si="6"/>
        <v>1</v>
      </c>
      <c r="N10" s="479"/>
      <c r="O10" s="131"/>
      <c r="P10" s="171"/>
      <c r="Q10" s="175">
        <f t="shared" ref="Q10:Y10" ca="1" si="7">IF($D11&gt;0,FLOOR($D11/18,1),0)+IF(AND(MOD($D11,18)&gt;=Q$3,$D11&gt;0),1,0)-IF(Q$3-18&gt;$D11,1,0)</f>
        <v>0</v>
      </c>
      <c r="R10" s="176">
        <f t="shared" ca="1" si="7"/>
        <v>1</v>
      </c>
      <c r="S10" s="176">
        <f t="shared" ca="1" si="7"/>
        <v>1</v>
      </c>
      <c r="T10" s="176">
        <f t="shared" ca="1" si="7"/>
        <v>1</v>
      </c>
      <c r="U10" s="176">
        <f t="shared" ca="1" si="7"/>
        <v>0</v>
      </c>
      <c r="V10" s="176">
        <f t="shared" ca="1" si="7"/>
        <v>1</v>
      </c>
      <c r="W10" s="176">
        <f t="shared" ca="1" si="7"/>
        <v>1</v>
      </c>
      <c r="X10" s="176">
        <f t="shared" ca="1" si="7"/>
        <v>1</v>
      </c>
      <c r="Y10" s="176">
        <f t="shared" ca="1" si="7"/>
        <v>1</v>
      </c>
      <c r="Z10" s="479"/>
      <c r="AA10" s="480"/>
      <c r="AB10" s="481"/>
    </row>
    <row r="11" spans="1:28" ht="22.5" customHeight="1">
      <c r="A11" s="181" t="str">
        <f>'Match Selection'!D20</f>
        <v>Joe O</v>
      </c>
      <c r="B11" s="182" t="str">
        <f>VLOOKUP(A11, 'Master Input'!$A$11:$B$27,2, FALSE)</f>
        <v>WEEZ</v>
      </c>
      <c r="C11" s="311">
        <f ca="1">VLOOKUP(A11,'Master Input'!$A$11:$L$27,'Master Input'!$L$28, FALSE)</f>
        <v>15</v>
      </c>
      <c r="D11" s="184">
        <f ca="1">C11</f>
        <v>15</v>
      </c>
      <c r="E11" s="490">
        <v>5</v>
      </c>
      <c r="F11" s="186">
        <v>5</v>
      </c>
      <c r="G11" s="186">
        <v>7</v>
      </c>
      <c r="H11" s="186">
        <v>4</v>
      </c>
      <c r="I11" s="186">
        <v>4</v>
      </c>
      <c r="J11" s="186">
        <v>6</v>
      </c>
      <c r="K11" s="186">
        <v>5</v>
      </c>
      <c r="L11" s="186">
        <v>4</v>
      </c>
      <c r="M11" s="186">
        <v>3</v>
      </c>
      <c r="N11" s="483">
        <f>IF(M11="","", SUM(E11:M11))</f>
        <v>43</v>
      </c>
      <c r="O11" s="131"/>
      <c r="P11" s="181" t="str">
        <f>A11</f>
        <v>Joe O</v>
      </c>
      <c r="Q11" s="490">
        <v>7</v>
      </c>
      <c r="R11" s="186">
        <v>6</v>
      </c>
      <c r="S11" s="186">
        <v>6</v>
      </c>
      <c r="T11" s="186">
        <v>7</v>
      </c>
      <c r="U11" s="186">
        <v>8</v>
      </c>
      <c r="V11" s="186">
        <v>10</v>
      </c>
      <c r="W11" s="186">
        <v>6</v>
      </c>
      <c r="X11" s="186">
        <v>5</v>
      </c>
      <c r="Y11" s="186">
        <v>5</v>
      </c>
      <c r="Z11" s="483">
        <f>IF(Y11="","", SUM(Q11:Y11))</f>
        <v>60</v>
      </c>
      <c r="AA11" s="484">
        <f>IF(Z11="", "", SUM(N11,Z11))</f>
        <v>103</v>
      </c>
      <c r="AB11" s="485">
        <f ca="1">IF(Y11="", "", AA11-C11)</f>
        <v>88</v>
      </c>
    </row>
    <row r="12" spans="1:28" ht="7.5" customHeight="1">
      <c r="A12" s="245"/>
      <c r="B12" s="148"/>
      <c r="C12" s="315"/>
      <c r="D12" s="150"/>
      <c r="E12" s="491" t="str">
        <f t="shared" ref="E12:M12" ca="1" si="8">IF(E13=1,"O", IF(E13=2,"O   O",""))</f>
        <v/>
      </c>
      <c r="F12" s="492" t="str">
        <f t="shared" ca="1" si="8"/>
        <v>O</v>
      </c>
      <c r="G12" s="492" t="str">
        <f t="shared" ca="1" si="8"/>
        <v/>
      </c>
      <c r="H12" s="492" t="str">
        <f t="shared" ca="1" si="8"/>
        <v/>
      </c>
      <c r="I12" s="492" t="str">
        <f t="shared" ca="1" si="8"/>
        <v>O</v>
      </c>
      <c r="J12" s="492" t="str">
        <f t="shared" ca="1" si="8"/>
        <v/>
      </c>
      <c r="K12" s="492" t="str">
        <f t="shared" ca="1" si="8"/>
        <v>O</v>
      </c>
      <c r="L12" s="492" t="str">
        <f t="shared" ca="1" si="8"/>
        <v/>
      </c>
      <c r="M12" s="492" t="str">
        <f t="shared" ca="1" si="8"/>
        <v/>
      </c>
      <c r="N12" s="475"/>
      <c r="O12" s="118"/>
      <c r="P12" s="240"/>
      <c r="Q12" s="491" t="str">
        <f t="shared" ref="Q12:Y12" ca="1" si="9">IF(Q13=1,"O", IF(Q13=2,"O   O",""))</f>
        <v/>
      </c>
      <c r="R12" s="492" t="str">
        <f t="shared" ca="1" si="9"/>
        <v>O</v>
      </c>
      <c r="S12" s="492" t="str">
        <f t="shared" ca="1" si="9"/>
        <v/>
      </c>
      <c r="T12" s="492" t="str">
        <f t="shared" ca="1" si="9"/>
        <v/>
      </c>
      <c r="U12" s="492" t="str">
        <f t="shared" ca="1" si="9"/>
        <v/>
      </c>
      <c r="V12" s="492" t="str">
        <f t="shared" ca="1" si="9"/>
        <v/>
      </c>
      <c r="W12" s="492" t="str">
        <f t="shared" ca="1" si="9"/>
        <v>O</v>
      </c>
      <c r="X12" s="492" t="str">
        <f t="shared" ca="1" si="9"/>
        <v/>
      </c>
      <c r="Y12" s="492" t="str">
        <f t="shared" ca="1" si="9"/>
        <v/>
      </c>
      <c r="Z12" s="487"/>
      <c r="AA12" s="488"/>
      <c r="AB12" s="493"/>
    </row>
    <row r="13" spans="1:28" ht="22.5" hidden="1" customHeight="1">
      <c r="A13" s="123"/>
      <c r="B13" s="124"/>
      <c r="C13" s="286"/>
      <c r="D13" s="126"/>
      <c r="E13" s="494">
        <f t="shared" ref="E13:M13" ca="1" si="10">IF($D14&gt;0,FLOOR($D14/18,1),0)+IF(AND(MOD($D14,18)&gt;=E$3,$D14&gt;0),1,0)-IF(E$3-18&gt;$D14,1,0)</f>
        <v>0</v>
      </c>
      <c r="F13" s="495">
        <f t="shared" ca="1" si="10"/>
        <v>1</v>
      </c>
      <c r="G13" s="495">
        <f t="shared" ca="1" si="10"/>
        <v>0</v>
      </c>
      <c r="H13" s="495">
        <f t="shared" ca="1" si="10"/>
        <v>0</v>
      </c>
      <c r="I13" s="495">
        <f t="shared" ca="1" si="10"/>
        <v>1</v>
      </c>
      <c r="J13" s="495">
        <f t="shared" ca="1" si="10"/>
        <v>0</v>
      </c>
      <c r="K13" s="495">
        <f t="shared" ca="1" si="10"/>
        <v>1</v>
      </c>
      <c r="L13" s="495">
        <f t="shared" ca="1" si="10"/>
        <v>0</v>
      </c>
      <c r="M13" s="495">
        <f t="shared" ca="1" si="10"/>
        <v>0</v>
      </c>
      <c r="N13" s="479"/>
      <c r="O13" s="131"/>
      <c r="P13" s="123"/>
      <c r="Q13" s="494">
        <f t="shared" ref="Q13:Y13" ca="1" si="11">IF($D14&gt;0,FLOOR($D14/18,1),0)+IF(AND(MOD($D14,18)&gt;=Q$3,$D14&gt;0),1,0)-IF(Q$3-18&gt;$D14,1,0)</f>
        <v>0</v>
      </c>
      <c r="R13" s="495">
        <f t="shared" ca="1" si="11"/>
        <v>1</v>
      </c>
      <c r="S13" s="495">
        <f t="shared" ca="1" si="11"/>
        <v>0</v>
      </c>
      <c r="T13" s="495">
        <f t="shared" ca="1" si="11"/>
        <v>0</v>
      </c>
      <c r="U13" s="495">
        <f t="shared" ca="1" si="11"/>
        <v>0</v>
      </c>
      <c r="V13" s="495">
        <f t="shared" ca="1" si="11"/>
        <v>0</v>
      </c>
      <c r="W13" s="495">
        <f t="shared" ca="1" si="11"/>
        <v>1</v>
      </c>
      <c r="X13" s="495">
        <f t="shared" ca="1" si="11"/>
        <v>0</v>
      </c>
      <c r="Y13" s="495">
        <f t="shared" ca="1" si="11"/>
        <v>0</v>
      </c>
      <c r="Z13" s="479"/>
      <c r="AA13" s="480"/>
      <c r="AB13" s="481"/>
    </row>
    <row r="14" spans="1:28" ht="22.5" customHeight="1">
      <c r="A14" s="136" t="str">
        <f>'Match Selection'!G19</f>
        <v>Elger</v>
      </c>
      <c r="B14" s="137" t="str">
        <f>VLOOKUP(A14, 'Master Input'!$A$11:$B$27,2, FALSE)</f>
        <v>WEEZ</v>
      </c>
      <c r="C14" s="292">
        <f ca="1">VLOOKUP(A14,'Master Input'!$A$11:$L$27,'Master Input'!$L$28, FALSE)</f>
        <v>5</v>
      </c>
      <c r="D14" s="139">
        <f ca="1">C14</f>
        <v>5</v>
      </c>
      <c r="E14" s="496">
        <v>5</v>
      </c>
      <c r="F14" s="497">
        <v>6</v>
      </c>
      <c r="G14" s="497">
        <v>5</v>
      </c>
      <c r="H14" s="497">
        <v>4</v>
      </c>
      <c r="I14" s="497">
        <v>5</v>
      </c>
      <c r="J14" s="497">
        <v>5</v>
      </c>
      <c r="K14" s="497">
        <v>6</v>
      </c>
      <c r="L14" s="497">
        <v>6</v>
      </c>
      <c r="M14" s="497">
        <v>4</v>
      </c>
      <c r="N14" s="483">
        <f>IF(M14="","", SUM(E14:M14))</f>
        <v>46</v>
      </c>
      <c r="O14" s="131"/>
      <c r="P14" s="136" t="str">
        <f>A14</f>
        <v>Elger</v>
      </c>
      <c r="Q14" s="496">
        <v>5</v>
      </c>
      <c r="R14" s="497">
        <v>5</v>
      </c>
      <c r="S14" s="497">
        <v>4</v>
      </c>
      <c r="T14" s="497">
        <v>4</v>
      </c>
      <c r="U14" s="497">
        <v>4</v>
      </c>
      <c r="V14" s="497">
        <v>6</v>
      </c>
      <c r="W14" s="497">
        <v>3</v>
      </c>
      <c r="X14" s="497">
        <v>3</v>
      </c>
      <c r="Y14" s="497">
        <v>7</v>
      </c>
      <c r="Z14" s="483">
        <f>IF(Y14="","", SUM(Q14:Y14))</f>
        <v>41</v>
      </c>
      <c r="AA14" s="484">
        <f>IF(Z14="", "", SUM(N14,Z14))</f>
        <v>87</v>
      </c>
      <c r="AB14" s="485">
        <f ca="1">IF(Y14="", "", AA14-C14)</f>
        <v>82</v>
      </c>
    </row>
    <row r="15" spans="1:28" ht="7.5" customHeight="1">
      <c r="A15" s="159"/>
      <c r="B15" s="160"/>
      <c r="C15" s="323"/>
      <c r="D15" s="162"/>
      <c r="E15" s="163" t="str">
        <f t="shared" ref="E15:M15" ca="1" si="12">IF(E16=1,"O", IF(E16=2,"O   O",""))</f>
        <v>O</v>
      </c>
      <c r="F15" s="164" t="str">
        <f t="shared" ca="1" si="12"/>
        <v>O</v>
      </c>
      <c r="G15" s="164" t="str">
        <f t="shared" ca="1" si="12"/>
        <v>O</v>
      </c>
      <c r="H15" s="164" t="str">
        <f t="shared" ca="1" si="12"/>
        <v>O</v>
      </c>
      <c r="I15" s="164" t="str">
        <f t="shared" ca="1" si="12"/>
        <v>O</v>
      </c>
      <c r="J15" s="164" t="str">
        <f t="shared" ca="1" si="12"/>
        <v>O</v>
      </c>
      <c r="K15" s="164" t="str">
        <f t="shared" ca="1" si="12"/>
        <v>O</v>
      </c>
      <c r="L15" s="164" t="str">
        <f t="shared" ca="1" si="12"/>
        <v>O</v>
      </c>
      <c r="M15" s="164" t="str">
        <f t="shared" ca="1" si="12"/>
        <v>O</v>
      </c>
      <c r="N15" s="498"/>
      <c r="O15" s="118"/>
      <c r="P15" s="159"/>
      <c r="Q15" s="163" t="str">
        <f t="shared" ref="Q15:Y15" ca="1" si="13">IF(Q16=1,"O", IF(Q16=2,"O   O",""))</f>
        <v>O</v>
      </c>
      <c r="R15" s="164" t="str">
        <f t="shared" ca="1" si="13"/>
        <v>O</v>
      </c>
      <c r="S15" s="164" t="str">
        <f t="shared" ca="1" si="13"/>
        <v>O</v>
      </c>
      <c r="T15" s="164" t="str">
        <f t="shared" ca="1" si="13"/>
        <v>O</v>
      </c>
      <c r="U15" s="164" t="str">
        <f t="shared" ca="1" si="13"/>
        <v>O</v>
      </c>
      <c r="V15" s="164" t="str">
        <f t="shared" ca="1" si="13"/>
        <v>O</v>
      </c>
      <c r="W15" s="164" t="str">
        <f t="shared" ca="1" si="13"/>
        <v>O</v>
      </c>
      <c r="X15" s="164" t="str">
        <f t="shared" ca="1" si="13"/>
        <v>O</v>
      </c>
      <c r="Y15" s="164" t="str">
        <f t="shared" ca="1" si="13"/>
        <v>O</v>
      </c>
      <c r="Z15" s="498"/>
      <c r="AA15" s="499"/>
      <c r="AB15" s="493"/>
    </row>
    <row r="16" spans="1:28" ht="22.5" hidden="1" customHeight="1">
      <c r="A16" s="171"/>
      <c r="B16" s="172"/>
      <c r="C16" s="307"/>
      <c r="D16" s="174"/>
      <c r="E16" s="175">
        <f t="shared" ref="E16:M16" ca="1" si="14">IF($D17&gt;0,FLOOR($D17/18,1),0)+IF(AND(MOD($D17,18)&gt;=E$3,$D17&gt;0),1,0)-IF(E$3-18&gt;$D17,1,0)</f>
        <v>1</v>
      </c>
      <c r="F16" s="176">
        <f t="shared" ca="1" si="14"/>
        <v>1</v>
      </c>
      <c r="G16" s="176">
        <f t="shared" ca="1" si="14"/>
        <v>1</v>
      </c>
      <c r="H16" s="176">
        <f t="shared" ca="1" si="14"/>
        <v>1</v>
      </c>
      <c r="I16" s="176">
        <f t="shared" ca="1" si="14"/>
        <v>1</v>
      </c>
      <c r="J16" s="176">
        <f t="shared" ca="1" si="14"/>
        <v>1</v>
      </c>
      <c r="K16" s="176">
        <f t="shared" ca="1" si="14"/>
        <v>1</v>
      </c>
      <c r="L16" s="176">
        <f t="shared" ca="1" si="14"/>
        <v>1</v>
      </c>
      <c r="M16" s="176">
        <f t="shared" ca="1" si="14"/>
        <v>1</v>
      </c>
      <c r="N16" s="479"/>
      <c r="O16" s="131"/>
      <c r="P16" s="171"/>
      <c r="Q16" s="175">
        <f t="shared" ref="Q16:Y16" ca="1" si="15">IF($D17&gt;0,FLOOR($D17/18,1),0)+IF(AND(MOD($D17,18)&gt;=Q$3,$D17&gt;0),1,0)-IF(Q$3-18&gt;$D17,1,0)</f>
        <v>1</v>
      </c>
      <c r="R16" s="176">
        <f t="shared" ca="1" si="15"/>
        <v>1</v>
      </c>
      <c r="S16" s="176">
        <f t="shared" ca="1" si="15"/>
        <v>1</v>
      </c>
      <c r="T16" s="176">
        <f t="shared" ca="1" si="15"/>
        <v>1</v>
      </c>
      <c r="U16" s="176">
        <f t="shared" ca="1" si="15"/>
        <v>1</v>
      </c>
      <c r="V16" s="176">
        <f t="shared" ca="1" si="15"/>
        <v>1</v>
      </c>
      <c r="W16" s="176">
        <f t="shared" ca="1" si="15"/>
        <v>1</v>
      </c>
      <c r="X16" s="176">
        <f t="shared" ca="1" si="15"/>
        <v>1</v>
      </c>
      <c r="Y16" s="176">
        <f t="shared" ca="1" si="15"/>
        <v>1</v>
      </c>
      <c r="Z16" s="479"/>
      <c r="AA16" s="500"/>
      <c r="AB16" s="481"/>
    </row>
    <row r="17" spans="1:28" ht="22.5" customHeight="1">
      <c r="A17" s="191" t="str">
        <f>'Match Selection'!G20</f>
        <v>Weezy</v>
      </c>
      <c r="B17" s="182" t="str">
        <f>VLOOKUP(A17, 'Master Input'!$A$11:$B$27,2, FALSE)</f>
        <v>WEEZ</v>
      </c>
      <c r="C17" s="311">
        <f ca="1">VLOOKUP(A17,'Master Input'!$A$11:$L$27,'Master Input'!$L$28, FALSE)</f>
        <v>18</v>
      </c>
      <c r="D17" s="184">
        <f ca="1">C17</f>
        <v>18</v>
      </c>
      <c r="E17" s="490">
        <v>5</v>
      </c>
      <c r="F17" s="186">
        <v>6</v>
      </c>
      <c r="G17" s="186">
        <v>7</v>
      </c>
      <c r="H17" s="186">
        <v>4</v>
      </c>
      <c r="I17" s="186">
        <v>6</v>
      </c>
      <c r="J17" s="186">
        <v>6</v>
      </c>
      <c r="K17" s="186">
        <v>6</v>
      </c>
      <c r="L17" s="186">
        <v>5</v>
      </c>
      <c r="M17" s="186">
        <v>4</v>
      </c>
      <c r="N17" s="483">
        <f>IF(M17="","", SUM(E17:M17))</f>
        <v>49</v>
      </c>
      <c r="O17" s="131"/>
      <c r="P17" s="181" t="str">
        <f>A17</f>
        <v>Weezy</v>
      </c>
      <c r="Q17" s="490">
        <v>8</v>
      </c>
      <c r="R17" s="186">
        <v>5</v>
      </c>
      <c r="S17" s="186">
        <v>6</v>
      </c>
      <c r="T17" s="186">
        <v>2</v>
      </c>
      <c r="U17" s="186">
        <v>3</v>
      </c>
      <c r="V17" s="186">
        <v>6</v>
      </c>
      <c r="W17" s="186">
        <v>5</v>
      </c>
      <c r="X17" s="186">
        <v>3</v>
      </c>
      <c r="Y17" s="186">
        <v>7</v>
      </c>
      <c r="Z17" s="483">
        <f>IF(Y17="","", SUM(Q17:Y17))</f>
        <v>45</v>
      </c>
      <c r="AA17" s="484">
        <f>IF(Z17="", "", SUM(N17,Z17))</f>
        <v>94</v>
      </c>
      <c r="AB17" s="485">
        <f ca="1">IF(Y17="", "", AA17-C17)</f>
        <v>76</v>
      </c>
    </row>
    <row r="18" spans="1:28" ht="11.25" customHeight="1">
      <c r="A18" s="329"/>
      <c r="B18" s="329"/>
      <c r="C18" s="330"/>
      <c r="D18" s="195"/>
      <c r="E18" s="331"/>
      <c r="F18" s="195"/>
      <c r="G18" s="195"/>
      <c r="H18" s="195"/>
      <c r="I18" s="195"/>
      <c r="J18" s="195"/>
      <c r="K18" s="195"/>
      <c r="L18" s="195"/>
      <c r="M18" s="195"/>
      <c r="N18" s="195"/>
      <c r="O18" s="196"/>
      <c r="P18" s="195"/>
      <c r="Q18" s="195"/>
      <c r="R18" s="195"/>
      <c r="S18" s="195"/>
      <c r="T18" s="195"/>
      <c r="U18" s="195"/>
      <c r="V18" s="195"/>
      <c r="W18" s="195"/>
      <c r="X18" s="195"/>
      <c r="Y18" s="195"/>
      <c r="Z18" s="195"/>
      <c r="AA18" s="195"/>
      <c r="AB18" s="195"/>
    </row>
    <row r="19" spans="1:28" ht="14.25" customHeight="1">
      <c r="A19" s="501" t="s">
        <v>61</v>
      </c>
      <c r="B19" s="502"/>
      <c r="C19" s="503"/>
      <c r="D19" s="504"/>
      <c r="E19" s="505">
        <v>3</v>
      </c>
      <c r="F19" s="506">
        <v>3</v>
      </c>
      <c r="G19" s="506">
        <v>3</v>
      </c>
      <c r="H19" s="506">
        <v>3</v>
      </c>
      <c r="I19" s="506">
        <v>3</v>
      </c>
      <c r="J19" s="506">
        <v>3</v>
      </c>
      <c r="K19" s="506">
        <v>4</v>
      </c>
      <c r="L19" s="506">
        <v>4</v>
      </c>
      <c r="M19" s="507">
        <v>4</v>
      </c>
      <c r="N19" s="195"/>
      <c r="O19" s="204"/>
      <c r="P19" s="508" t="s">
        <v>61</v>
      </c>
      <c r="Q19" s="505">
        <v>4</v>
      </c>
      <c r="R19" s="506">
        <v>4</v>
      </c>
      <c r="S19" s="506">
        <v>4</v>
      </c>
      <c r="T19" s="506">
        <v>5</v>
      </c>
      <c r="U19" s="506">
        <v>5</v>
      </c>
      <c r="V19" s="506">
        <v>5</v>
      </c>
      <c r="W19" s="506">
        <v>5</v>
      </c>
      <c r="X19" s="506">
        <v>5</v>
      </c>
      <c r="Y19" s="507">
        <v>5</v>
      </c>
      <c r="AA19" s="509" t="s">
        <v>62</v>
      </c>
      <c r="AB19" s="510"/>
    </row>
    <row r="20" spans="1:28" ht="18.75" customHeight="1">
      <c r="A20" s="501" t="s">
        <v>63</v>
      </c>
      <c r="B20" s="502"/>
      <c r="C20" s="503"/>
      <c r="D20" s="504"/>
      <c r="E20" s="511">
        <f t="shared" ref="E20:M20" si="16">IF(E23="","",E23/E19)</f>
        <v>4</v>
      </c>
      <c r="F20" s="512">
        <f t="shared" si="16"/>
        <v>3.3333333333333335</v>
      </c>
      <c r="G20" s="512">
        <f t="shared" si="16"/>
        <v>5.666666666666667</v>
      </c>
      <c r="H20" s="512">
        <f t="shared" si="16"/>
        <v>3</v>
      </c>
      <c r="I20" s="512">
        <f t="shared" si="16"/>
        <v>2.6666666666666665</v>
      </c>
      <c r="J20" s="512">
        <f t="shared" si="16"/>
        <v>4.666666666666667</v>
      </c>
      <c r="K20" s="512">
        <f t="shared" si="16"/>
        <v>3.75</v>
      </c>
      <c r="L20" s="512">
        <f t="shared" si="16"/>
        <v>3.75</v>
      </c>
      <c r="M20" s="513">
        <f t="shared" si="16"/>
        <v>2.25</v>
      </c>
      <c r="N20" s="195"/>
      <c r="O20" s="204"/>
      <c r="P20" s="508" t="s">
        <v>64</v>
      </c>
      <c r="Q20" s="511">
        <f t="shared" ref="Q20:Y20" si="17">IF(Q23="","",Q23/Q19)</f>
        <v>4.5</v>
      </c>
      <c r="R20" s="512">
        <f t="shared" si="17"/>
        <v>3.75</v>
      </c>
      <c r="S20" s="512">
        <f t="shared" si="17"/>
        <v>3.25</v>
      </c>
      <c r="T20" s="512">
        <f t="shared" si="17"/>
        <v>2.6</v>
      </c>
      <c r="U20" s="512">
        <f t="shared" si="17"/>
        <v>3.6</v>
      </c>
      <c r="V20" s="512">
        <f t="shared" si="17"/>
        <v>5.4</v>
      </c>
      <c r="W20" s="512">
        <f t="shared" si="17"/>
        <v>3.2</v>
      </c>
      <c r="X20" s="512">
        <f t="shared" si="17"/>
        <v>2.8</v>
      </c>
      <c r="Y20" s="513">
        <f t="shared" si="17"/>
        <v>4.2</v>
      </c>
      <c r="AA20" s="514" t="s">
        <v>65</v>
      </c>
      <c r="AB20" s="515"/>
    </row>
    <row r="21" spans="1:28" ht="18.75" customHeight="1">
      <c r="A21" s="516" t="s">
        <v>66</v>
      </c>
      <c r="B21" s="517"/>
      <c r="C21" s="518"/>
      <c r="D21" s="519"/>
      <c r="E21" s="520">
        <f t="shared" ref="E21:M21" ca="1" si="18">IF(E23="","",E23-E4*E19)</f>
        <v>0</v>
      </c>
      <c r="F21" s="521">
        <f t="shared" ca="1" si="18"/>
        <v>-2</v>
      </c>
      <c r="G21" s="521">
        <f t="shared" ca="1" si="18"/>
        <v>2</v>
      </c>
      <c r="H21" s="521">
        <f t="shared" ca="1" si="18"/>
        <v>0</v>
      </c>
      <c r="I21" s="521">
        <f t="shared" ca="1" si="18"/>
        <v>-4</v>
      </c>
      <c r="J21" s="521">
        <f t="shared" ca="1" si="18"/>
        <v>-1</v>
      </c>
      <c r="K21" s="521">
        <f t="shared" ca="1" si="18"/>
        <v>-1</v>
      </c>
      <c r="L21" s="521">
        <f t="shared" ca="1" si="18"/>
        <v>-1</v>
      </c>
      <c r="M21" s="522">
        <f t="shared" ca="1" si="18"/>
        <v>-3</v>
      </c>
      <c r="N21" s="195"/>
      <c r="O21" s="204"/>
      <c r="P21" s="523" t="s">
        <v>66</v>
      </c>
      <c r="Q21" s="520">
        <f t="shared" ref="Q21:Y21" ca="1" si="19">IF(Q23="","",Q23-Q4*Q19)</f>
        <v>-2</v>
      </c>
      <c r="R21" s="521">
        <f t="shared" ca="1" si="19"/>
        <v>-1</v>
      </c>
      <c r="S21" s="521">
        <f t="shared" ca="1" si="19"/>
        <v>-3</v>
      </c>
      <c r="T21" s="521">
        <f t="shared" ca="1" si="19"/>
        <v>-2</v>
      </c>
      <c r="U21" s="521">
        <f t="shared" ca="1" si="19"/>
        <v>-2</v>
      </c>
      <c r="V21" s="521">
        <f t="shared" ca="1" si="19"/>
        <v>2</v>
      </c>
      <c r="W21" s="521">
        <f t="shared" ca="1" si="19"/>
        <v>-4</v>
      </c>
      <c r="X21" s="521">
        <f t="shared" ca="1" si="19"/>
        <v>-1</v>
      </c>
      <c r="Y21" s="522">
        <f t="shared" ca="1" si="19"/>
        <v>1</v>
      </c>
      <c r="AA21" s="524" t="s">
        <v>67</v>
      </c>
      <c r="AB21" s="525"/>
    </row>
    <row r="22" spans="1:28" ht="18.75" customHeight="1">
      <c r="N22" s="195"/>
      <c r="O22" s="72"/>
      <c r="Z22" s="367" t="s">
        <v>32</v>
      </c>
      <c r="AA22" s="526" t="s">
        <v>33</v>
      </c>
      <c r="AB22" s="223" t="s">
        <v>34</v>
      </c>
    </row>
    <row r="23" spans="1:28" ht="18.75" customHeight="1">
      <c r="A23" s="527" t="s">
        <v>68</v>
      </c>
      <c r="B23" s="527" t="s">
        <v>68</v>
      </c>
      <c r="C23" s="528"/>
      <c r="D23" s="529"/>
      <c r="E23" s="530">
        <v>12</v>
      </c>
      <c r="F23" s="530">
        <v>10</v>
      </c>
      <c r="G23" s="530">
        <v>17</v>
      </c>
      <c r="H23" s="530">
        <v>9</v>
      </c>
      <c r="I23" s="530">
        <v>8</v>
      </c>
      <c r="J23" s="530">
        <v>14</v>
      </c>
      <c r="K23" s="530">
        <v>15</v>
      </c>
      <c r="L23" s="530">
        <v>15</v>
      </c>
      <c r="M23" s="530">
        <v>9</v>
      </c>
      <c r="N23" s="531"/>
      <c r="O23" s="531"/>
      <c r="P23" s="527" t="s">
        <v>68</v>
      </c>
      <c r="Q23" s="530">
        <v>18</v>
      </c>
      <c r="R23" s="530">
        <v>15</v>
      </c>
      <c r="S23" s="530">
        <v>13</v>
      </c>
      <c r="T23" s="530">
        <v>13</v>
      </c>
      <c r="U23" s="530">
        <v>18</v>
      </c>
      <c r="V23" s="530">
        <v>27</v>
      </c>
      <c r="W23" s="530">
        <v>16</v>
      </c>
      <c r="X23" s="530">
        <v>14</v>
      </c>
      <c r="Y23" s="530">
        <v>21</v>
      </c>
      <c r="Z23" s="367" t="s">
        <v>36</v>
      </c>
      <c r="AA23" s="526" t="s">
        <v>37</v>
      </c>
      <c r="AB23" s="223" t="s">
        <v>38</v>
      </c>
    </row>
    <row r="24" spans="1:28" ht="18.75" customHeight="1">
      <c r="A24" s="368"/>
      <c r="B24" s="369" t="str">
        <f>B8</f>
        <v>WEEZ</v>
      </c>
      <c r="C24" s="370"/>
      <c r="D24" s="369"/>
      <c r="E24" s="369">
        <f>'FINAL COUNTDOWN'!J3</f>
        <v>0</v>
      </c>
      <c r="F24" s="369">
        <f>'FINAL COUNTDOWN'!J4</f>
        <v>0.5</v>
      </c>
      <c r="G24" s="369">
        <f>'FINAL COUNTDOWN'!J5</f>
        <v>0</v>
      </c>
      <c r="H24" s="369">
        <f>'FINAL COUNTDOWN'!J6</f>
        <v>0.5</v>
      </c>
      <c r="I24" s="369">
        <f>'FINAL COUNTDOWN'!J7</f>
        <v>1</v>
      </c>
      <c r="J24" s="369">
        <f>'FINAL COUNTDOWN'!J8</f>
        <v>0.5</v>
      </c>
      <c r="K24" s="369">
        <f>'FINAL COUNTDOWN'!J9</f>
        <v>1</v>
      </c>
      <c r="L24" s="369">
        <f>'FINAL COUNTDOWN'!J10</f>
        <v>0</v>
      </c>
      <c r="M24" s="369">
        <f>'FINAL COUNTDOWN'!J11</f>
        <v>1</v>
      </c>
      <c r="N24" s="369"/>
      <c r="O24" s="369"/>
      <c r="P24" s="371"/>
      <c r="Q24" s="369">
        <f>'FINAL COUNTDOWN'!J12</f>
        <v>2</v>
      </c>
      <c r="R24" s="369">
        <f>'FINAL COUNTDOWN'!J13</f>
        <v>0</v>
      </c>
      <c r="S24" s="369">
        <f>'FINAL COUNTDOWN'!J14</f>
        <v>2</v>
      </c>
      <c r="T24" s="369">
        <f>'FINAL COUNTDOWN'!J15</f>
        <v>2</v>
      </c>
      <c r="U24" s="369">
        <f>'FINAL COUNTDOWN'!J16</f>
        <v>2</v>
      </c>
      <c r="V24" s="369">
        <f>'FINAL COUNTDOWN'!J17</f>
        <v>0</v>
      </c>
      <c r="W24" s="369">
        <f>'FINAL COUNTDOWN'!J18</f>
        <v>2</v>
      </c>
      <c r="X24" s="369">
        <f>'FINAL COUNTDOWN'!J19</f>
        <v>2</v>
      </c>
      <c r="Y24" s="369">
        <f>'FINAL COUNTDOWN'!J20</f>
        <v>0</v>
      </c>
      <c r="Z24" s="372"/>
      <c r="AA24" s="372"/>
      <c r="AB24" s="368">
        <f>SUM(E24:Y24)</f>
        <v>16.5</v>
      </c>
    </row>
    <row r="25" spans="1:28" ht="18.75" customHeight="1">
      <c r="A25" s="193" t="str">
        <f>A8</f>
        <v>Jensen</v>
      </c>
      <c r="B25" s="193"/>
      <c r="C25" s="194"/>
      <c r="D25" s="193"/>
      <c r="E25" s="233">
        <f ca="1">IF('Captains Card 1'!E39&lt;SMALL('Captains Card 1'!E$39:E$46,E$19),1,
 IF('Captains Card 1'!E39=SMALL('Captains Card 1'!E$39:E$46,E$19),
 (E$19-COUNTIF('Captains Card 1'!E$39:E$46,"&lt;"&amp;SMALL('Captains Card 1'!E$39:E$46,E$19)))/COUNTIF('Captains Card 1'!E$39:E$46,SMALL('Captains Card 1'!E$39:E$46,E$19)),0))</f>
        <v>0</v>
      </c>
      <c r="F25" s="233">
        <f ca="1">IF('Captains Card 1'!F39&lt;SMALL('Captains Card 1'!F$39:F$46,F$19),1,
 IF('Captains Card 1'!F39=SMALL('Captains Card 1'!F$39:F$46,F$19),
 (F$19-COUNTIF('Captains Card 1'!F$39:F$46,"&lt;"&amp;SMALL('Captains Card 1'!F$39:F$46,F$19)))/COUNTIF('Captains Card 1'!F$39:F$46,SMALL('Captains Card 1'!F$39:F$46,F$19)),0))</f>
        <v>1</v>
      </c>
      <c r="G25" s="233">
        <f ca="1">IF('Captains Card 1'!G39&lt;SMALL('Captains Card 1'!G$39:G$46,G$19),1,
 IF('Captains Card 1'!G39=SMALL('Captains Card 1'!G$39:G$46,G$19),
 (G$19-COUNTIF('Captains Card 1'!G$39:G$46,"&lt;"&amp;SMALL('Captains Card 1'!G$39:G$46,G$19)))/COUNTIF('Captains Card 1'!G$39:G$46,SMALL('Captains Card 1'!G$39:G$46,G$19)),0))</f>
        <v>0.33333333333333331</v>
      </c>
      <c r="H25" s="233">
        <f ca="1">IF('Captains Card 1'!H39&lt;SMALL('Captains Card 1'!H$39:H$46,H$19),1,
 IF('Captains Card 1'!H39=SMALL('Captains Card 1'!H$39:H$46,H$19),
 (H$19-COUNTIF('Captains Card 1'!H$39:H$46,"&lt;"&amp;SMALL('Captains Card 1'!H$39:H$46,H$19)))/COUNTIF('Captains Card 1'!H$39:H$46,SMALL('Captains Card 1'!H$39:H$46,H$19)),0))</f>
        <v>0.75</v>
      </c>
      <c r="I25" s="233">
        <f ca="1">IF('Captains Card 1'!I39&lt;SMALL('Captains Card 1'!I$39:I$46,I$19),1,
 IF('Captains Card 1'!I39=SMALL('Captains Card 1'!I$39:I$46,I$19),
 (I$19-COUNTIF('Captains Card 1'!I$39:I$46,"&lt;"&amp;SMALL('Captains Card 1'!I$39:I$46,I$19)))/COUNTIF('Captains Card 1'!I$39:I$46,SMALL('Captains Card 1'!I$39:I$46,I$19)),0))</f>
        <v>1</v>
      </c>
      <c r="J25" s="233">
        <f ca="1">IF('Captains Card 1'!J39&lt;SMALL('Captains Card 1'!J$39:J$46,J$19),1,
 IF('Captains Card 1'!J39=SMALL('Captains Card 1'!J$39:J$46,J$19),
 (J$19-COUNTIF('Captains Card 1'!J$39:J$46,"&lt;"&amp;SMALL('Captains Card 1'!J$39:J$46,J$19)))/COUNTIF('Captains Card 1'!J$39:J$46,SMALL('Captains Card 1'!J$39:J$46,J$19)),0))</f>
        <v>0.33333333333333331</v>
      </c>
      <c r="K25" s="233">
        <f ca="1">IF('Captains Card 1'!K39&lt;SMALL('Captains Card 1'!K$39:K$46,K$19),1,
 IF('Captains Card 1'!K39=SMALL('Captains Card 1'!K$39:K$46,K$19),
 (K$19-COUNTIF('Captains Card 1'!K$39:K$46,"&lt;"&amp;SMALL('Captains Card 1'!K$39:K$46,K$19)))/COUNTIF('Captains Card 1'!K$39:K$46,SMALL('Captains Card 1'!K$39:K$46,K$19)),0))</f>
        <v>1</v>
      </c>
      <c r="L25" s="233">
        <f ca="1">IF('Captains Card 1'!L39&lt;SMALL('Captains Card 1'!L$39:L$46,L$19),1,
 IF('Captains Card 1'!L39=SMALL('Captains Card 1'!L$39:L$46,L$19),
 (L$19-COUNTIF('Captains Card 1'!L$39:L$46,"&lt;"&amp;SMALL('Captains Card 1'!L$39:L$46,L$19)))/COUNTIF('Captains Card 1'!L$39:L$46,SMALL('Captains Card 1'!L$39:L$46,L$19)),0))</f>
        <v>0.33333333333333331</v>
      </c>
      <c r="M25" s="233">
        <f ca="1">IF('Captains Card 1'!M39&lt;SMALL('Captains Card 1'!M$39:M$46,M$19),1,
 IF('Captains Card 1'!M39=SMALL('Captains Card 1'!M$39:M$46,M$19),
 (M$19-COUNTIF('Captains Card 1'!M$39:M$46,"&lt;"&amp;SMALL('Captains Card 1'!M$39:M$46,M$19)))/COUNTIF('Captains Card 1'!M$39:M$46,SMALL('Captains Card 1'!M$39:M$46,M$19)),0))</f>
        <v>0.5</v>
      </c>
      <c r="N25" s="193"/>
      <c r="O25" s="195"/>
      <c r="P25" s="193"/>
      <c r="Q25" s="233">
        <f ca="1">IF('Captains Card 1'!Q39&lt;SMALL('Captains Card 1'!Q$39:Q$46,Q$19),1,
 IF('Captains Card 1'!Q39=SMALL('Captains Card 1'!Q$39:Q$46,Q$19),
 (Q$19-COUNTIF('Captains Card 1'!Q$39:Q$46,"&lt;"&amp;SMALL('Captains Card 1'!Q$39:Q$46,Q$19)))/COUNTIF('Captains Card 1'!Q$39:Q$46,SMALL('Captains Card 1'!Q$39:Q$46,Q$19)),0))</f>
        <v>1</v>
      </c>
      <c r="R25" s="233">
        <f ca="1">IF('Captains Card 1'!R39&lt;SMALL('Captains Card 1'!R$39:R$46,R$19),1,
 IF('Captains Card 1'!R39=SMALL('Captains Card 1'!R$39:R$46,R$19),
 (R$19-COUNTIF('Captains Card 1'!R$39:R$46,"&lt;"&amp;SMALL('Captains Card 1'!R$39:R$46,R$19)))/COUNTIF('Captains Card 1'!R$39:R$46,SMALL('Captains Card 1'!R$39:R$46,R$19)),0))</f>
        <v>0.75</v>
      </c>
      <c r="S25" s="233">
        <f ca="1">IF('Captains Card 1'!S39&lt;SMALL('Captains Card 1'!S$39:S$46,S$19),1,
 IF('Captains Card 1'!S39=SMALL('Captains Card 1'!S$39:S$46,S$19),
 (S$19-COUNTIF('Captains Card 1'!S$39:S$46,"&lt;"&amp;SMALL('Captains Card 1'!S$39:S$46,S$19)))/COUNTIF('Captains Card 1'!S$39:S$46,SMALL('Captains Card 1'!S$39:S$46,S$19)),0))</f>
        <v>1</v>
      </c>
      <c r="T25" s="233">
        <f ca="1">IF('Captains Card 1'!T39&lt;SMALL('Captains Card 1'!T$39:T$46,T$19),1,
 IF('Captains Card 1'!T39=SMALL('Captains Card 1'!T$39:T$46,T$19),
 (T$19-COUNTIF('Captains Card 1'!T$39:T$46,"&lt;"&amp;SMALL('Captains Card 1'!T$39:T$46,T$19)))/COUNTIF('Captains Card 1'!T$39:T$46,SMALL('Captains Card 1'!T$39:T$46,T$19)),0))</f>
        <v>0.33333333333333331</v>
      </c>
      <c r="U25" s="233">
        <f ca="1">IF('Captains Card 1'!U39&lt;SMALL('Captains Card 1'!U$39:U$46,U$19),1,
 IF('Captains Card 1'!U39=SMALL('Captains Card 1'!U$39:U$46,U$19),
 (U$19-COUNTIF('Captains Card 1'!U$39:U$46,"&lt;"&amp;SMALL('Captains Card 1'!U$39:U$46,U$19)))/COUNTIF('Captains Card 1'!U$39:U$46,SMALL('Captains Card 1'!U$39:U$46,U$19)),0))</f>
        <v>0.8</v>
      </c>
      <c r="V25" s="233">
        <f ca="1">IF('Captains Card 1'!V39&lt;SMALL('Captains Card 1'!V$39:V$46,V$19),1,
 IF('Captains Card 1'!V39=SMALL('Captains Card 1'!V$39:V$46,V$19),
 (V$19-COUNTIF('Captains Card 1'!V$39:V$46,"&lt;"&amp;SMALL('Captains Card 1'!V$39:V$46,V$19)))/COUNTIF('Captains Card 1'!V$39:V$46,SMALL('Captains Card 1'!V$39:V$46,V$19)),0))</f>
        <v>1</v>
      </c>
      <c r="W25" s="233">
        <f ca="1">IF('Captains Card 1'!W39&lt;SMALL('Captains Card 1'!W$39:W$46,W$19),1,
 IF('Captains Card 1'!W39=SMALL('Captains Card 1'!W$39:W$46,W$19),
 (W$19-COUNTIF('Captains Card 1'!W$39:W$46,"&lt;"&amp;SMALL('Captains Card 1'!W$39:W$46,W$19)))/COUNTIF('Captains Card 1'!W$39:W$46,SMALL('Captains Card 1'!W$39:W$46,W$19)),0))</f>
        <v>1</v>
      </c>
      <c r="X25" s="233">
        <f ca="1">IF('Captains Card 1'!X39&lt;SMALL('Captains Card 1'!X$39:X$46,X$19),1,
 IF('Captains Card 1'!X39=SMALL('Captains Card 1'!X$39:X$46,X$19),
 (X$19-COUNTIF('Captains Card 1'!X$39:X$46,"&lt;"&amp;SMALL('Captains Card 1'!X$39:X$46,X$19)))/COUNTIF('Captains Card 1'!X$39:X$46,SMALL('Captains Card 1'!X$39:X$46,X$19)),0))</f>
        <v>1</v>
      </c>
      <c r="Y25" s="233">
        <f ca="1">IF('Captains Card 1'!Y39&lt;SMALL('Captains Card 1'!Y$39:Y$46,Y$19),1,
 IF('Captains Card 1'!Y39=SMALL('Captains Card 1'!Y$39:Y$46,Y$19),
 (Y$19-COUNTIF('Captains Card 1'!Y$39:Y$46,"&lt;"&amp;SMALL('Captains Card 1'!Y$39:Y$46,Y$19)))/COUNTIF('Captains Card 1'!Y$39:Y$46,SMALL('Captains Card 1'!Y$39:Y$46,Y$19)),0))</f>
        <v>0</v>
      </c>
      <c r="Z25" s="532">
        <f t="shared" ref="Z25:Z28" ca="1" si="20">SUM(E25:M25,Q25:Y25)</f>
        <v>12.133333333333333</v>
      </c>
      <c r="AA25" s="234">
        <f t="shared" ref="AA25:AA28" ca="1" si="21">SUMIF($E$24:$M$24,"&gt;0.5",E25:M25)+SUMIF($E$24:$M$24,0.5,E25:M25)/2+SUMIF($Q$24:$Y$24,"&gt;1",Q25:Y25)+SUMIF($Q$24:$Y$24,1,Q25:Y25)/2</f>
        <v>8.6750000000000007</v>
      </c>
      <c r="AB25" s="233">
        <f t="shared" ref="AB25:AB28" ca="1" si="22">Z25/(SUM($E$19:$M$19,$Q$19:$Y$19))*$AB$24</f>
        <v>2.7805555555555554</v>
      </c>
    </row>
    <row r="26" spans="1:28" ht="18.75" customHeight="1">
      <c r="A26" s="193" t="str">
        <f>A11</f>
        <v>Joe O</v>
      </c>
      <c r="B26" s="193"/>
      <c r="C26" s="194"/>
      <c r="D26" s="193"/>
      <c r="E26" s="233">
        <f ca="1">IF('Captains Card 1'!E40&lt;SMALL('Captains Card 1'!E$39:E$46,E$19),1,
 IF('Captains Card 1'!E40=SMALL('Captains Card 1'!E$39:E$46,E$19),
 (E$19-COUNTIF('Captains Card 1'!E$39:E$46,"&lt;"&amp;SMALL('Captains Card 1'!E$39:E$46,E$19)))/COUNTIF('Captains Card 1'!E$39:E$46,SMALL('Captains Card 1'!E$39:E$46,E$19)),0))</f>
        <v>0.6</v>
      </c>
      <c r="F26" s="233">
        <f ca="1">IF('Captains Card 1'!F40&lt;SMALL('Captains Card 1'!F$39:F$46,F$19),1,
 IF('Captains Card 1'!F40=SMALL('Captains Card 1'!F$39:F$46,F$19),
 (F$19-COUNTIF('Captains Card 1'!F$39:F$46,"&lt;"&amp;SMALL('Captains Card 1'!F$39:F$46,F$19)))/COUNTIF('Captains Card 1'!F$39:F$46,SMALL('Captains Card 1'!F$39:F$46,F$19)),0))</f>
        <v>0.66666666666666663</v>
      </c>
      <c r="G26" s="233">
        <f ca="1">IF('Captains Card 1'!G40&lt;SMALL('Captains Card 1'!G$39:G$46,G$19),1,
 IF('Captains Card 1'!G40=SMALL('Captains Card 1'!G$39:G$46,G$19),
 (G$19-COUNTIF('Captains Card 1'!G$39:G$46,"&lt;"&amp;SMALL('Captains Card 1'!G$39:G$46,G$19)))/COUNTIF('Captains Card 1'!G$39:G$46,SMALL('Captains Card 1'!G$39:G$46,G$19)),0))</f>
        <v>0.33333333333333331</v>
      </c>
      <c r="H26" s="233">
        <f ca="1">IF('Captains Card 1'!H40&lt;SMALL('Captains Card 1'!H$39:H$46,H$19),1,
 IF('Captains Card 1'!H40=SMALL('Captains Card 1'!H$39:H$46,H$19),
 (H$19-COUNTIF('Captains Card 1'!H$39:H$46,"&lt;"&amp;SMALL('Captains Card 1'!H$39:H$46,H$19)))/COUNTIF('Captains Card 1'!H$39:H$46,SMALL('Captains Card 1'!H$39:H$46,H$19)),0))</f>
        <v>0.75</v>
      </c>
      <c r="I26" s="233">
        <f ca="1">IF('Captains Card 1'!I40&lt;SMALL('Captains Card 1'!I$39:I$46,I$19),1,
 IF('Captains Card 1'!I40=SMALL('Captains Card 1'!I$39:I$46,I$19),
 (I$19-COUNTIF('Captains Card 1'!I$39:I$46,"&lt;"&amp;SMALL('Captains Card 1'!I$39:I$46,I$19)))/COUNTIF('Captains Card 1'!I$39:I$46,SMALL('Captains Card 1'!I$39:I$46,I$19)),0))</f>
        <v>0.66666666666666663</v>
      </c>
      <c r="J26" s="233">
        <f ca="1">IF('Captains Card 1'!J40&lt;SMALL('Captains Card 1'!J$39:J$46,J$19),1,
 IF('Captains Card 1'!J40=SMALL('Captains Card 1'!J$39:J$46,J$19),
 (J$19-COUNTIF('Captains Card 1'!J$39:J$46,"&lt;"&amp;SMALL('Captains Card 1'!J$39:J$46,J$19)))/COUNTIF('Captains Card 1'!J$39:J$46,SMALL('Captains Card 1'!J$39:J$46,J$19)),0))</f>
        <v>0</v>
      </c>
      <c r="K26" s="233">
        <f ca="1">IF('Captains Card 1'!K40&lt;SMALL('Captains Card 1'!K$39:K$46,K$19),1,
 IF('Captains Card 1'!K40=SMALL('Captains Card 1'!K$39:K$46,K$19),
 (K$19-COUNTIF('Captains Card 1'!K$39:K$46,"&lt;"&amp;SMALL('Captains Card 1'!K$39:K$46,K$19)))/COUNTIF('Captains Card 1'!K$39:K$46,SMALL('Captains Card 1'!K$39:K$46,K$19)),0))</f>
        <v>1</v>
      </c>
      <c r="L26" s="233">
        <f ca="1">IF('Captains Card 1'!L40&lt;SMALL('Captains Card 1'!L$39:L$46,L$19),1,
 IF('Captains Card 1'!L40=SMALL('Captains Card 1'!L$39:L$46,L$19),
 (L$19-COUNTIF('Captains Card 1'!L$39:L$46,"&lt;"&amp;SMALL('Captains Card 1'!L$39:L$46,L$19)))/COUNTIF('Captains Card 1'!L$39:L$46,SMALL('Captains Card 1'!L$39:L$46,L$19)),0))</f>
        <v>1</v>
      </c>
      <c r="M26" s="233">
        <f ca="1">IF('Captains Card 1'!M40&lt;SMALL('Captains Card 1'!M$39:M$46,M$19),1,
 IF('Captains Card 1'!M40=SMALL('Captains Card 1'!M$39:M$46,M$19),
 (M$19-COUNTIF('Captains Card 1'!M$39:M$46,"&lt;"&amp;SMALL('Captains Card 1'!M$39:M$46,M$19)))/COUNTIF('Captains Card 1'!M$39:M$46,SMALL('Captains Card 1'!M$39:M$46,M$19)),0))</f>
        <v>1</v>
      </c>
      <c r="N26" s="193"/>
      <c r="O26" s="195"/>
      <c r="P26" s="193"/>
      <c r="Q26" s="233">
        <f ca="1">IF('Captains Card 1'!Q40&lt;SMALL('Captains Card 1'!Q$39:Q$46,Q$19),1,
 IF('Captains Card 1'!Q40=SMALL('Captains Card 1'!Q$39:Q$46,Q$19),
 (Q$19-COUNTIF('Captains Card 1'!Q$39:Q$46,"&lt;"&amp;SMALL('Captains Card 1'!Q$39:Q$46,Q$19)))/COUNTIF('Captains Card 1'!Q$39:Q$46,SMALL('Captains Card 1'!Q$39:Q$46,Q$19)),0))</f>
        <v>0</v>
      </c>
      <c r="R26" s="233">
        <f ca="1">IF('Captains Card 1'!R40&lt;SMALL('Captains Card 1'!R$39:R$46,R$19),1,
 IF('Captains Card 1'!R40=SMALL('Captains Card 1'!R$39:R$46,R$19),
 (R$19-COUNTIF('Captains Card 1'!R$39:R$46,"&lt;"&amp;SMALL('Captains Card 1'!R$39:R$46,R$19)))/COUNTIF('Captains Card 1'!R$39:R$46,SMALL('Captains Card 1'!R$39:R$46,R$19)),0))</f>
        <v>0</v>
      </c>
      <c r="S26" s="233">
        <f ca="1">IF('Captains Card 1'!S40&lt;SMALL('Captains Card 1'!S$39:S$46,S$19),1,
 IF('Captains Card 1'!S40=SMALL('Captains Card 1'!S$39:S$46,S$19),
 (S$19-COUNTIF('Captains Card 1'!S$39:S$46,"&lt;"&amp;SMALL('Captains Card 1'!S$39:S$46,S$19)))/COUNTIF('Captains Card 1'!S$39:S$46,SMALL('Captains Card 1'!S$39:S$46,S$19)),0))</f>
        <v>0</v>
      </c>
      <c r="T26" s="233">
        <f ca="1">IF('Captains Card 1'!T40&lt;SMALL('Captains Card 1'!T$39:T$46,T$19),1,
 IF('Captains Card 1'!T40=SMALL('Captains Card 1'!T$39:T$46,T$19),
 (T$19-COUNTIF('Captains Card 1'!T$39:T$46,"&lt;"&amp;SMALL('Captains Card 1'!T$39:T$46,T$19)))/COUNTIF('Captains Card 1'!T$39:T$46,SMALL('Captains Card 1'!T$39:T$46,T$19)),0))</f>
        <v>0</v>
      </c>
      <c r="U26" s="233">
        <f ca="1">IF('Captains Card 1'!U40&lt;SMALL('Captains Card 1'!U$39:U$46,U$19),1,
 IF('Captains Card 1'!U40=SMALL('Captains Card 1'!U$39:U$46,U$19),
 (U$19-COUNTIF('Captains Card 1'!U$39:U$46,"&lt;"&amp;SMALL('Captains Card 1'!U$39:U$46,U$19)))/COUNTIF('Captains Card 1'!U$39:U$46,SMALL('Captains Card 1'!U$39:U$46,U$19)),0))</f>
        <v>0</v>
      </c>
      <c r="V26" s="233">
        <f ca="1">IF('Captains Card 1'!V40&lt;SMALL('Captains Card 1'!V$39:V$46,V$19),1,
 IF('Captains Card 1'!V40=SMALL('Captains Card 1'!V$39:V$46,V$19),
 (V$19-COUNTIF('Captains Card 1'!V$39:V$46,"&lt;"&amp;SMALL('Captains Card 1'!V$39:V$46,V$19)))/COUNTIF('Captains Card 1'!V$39:V$46,SMALL('Captains Card 1'!V$39:V$46,V$19)),0))</f>
        <v>0</v>
      </c>
      <c r="W26" s="233">
        <f ca="1">IF('Captains Card 1'!W40&lt;SMALL('Captains Card 1'!W$39:W$46,W$19),1,
 IF('Captains Card 1'!W40=SMALL('Captains Card 1'!W$39:W$46,W$19),
 (W$19-COUNTIF('Captains Card 1'!W$39:W$46,"&lt;"&amp;SMALL('Captains Card 1'!W$39:W$46,W$19)))/COUNTIF('Captains Card 1'!W$39:W$46,SMALL('Captains Card 1'!W$39:W$46,W$19)),0))</f>
        <v>0</v>
      </c>
      <c r="X26" s="233">
        <f ca="1">IF('Captains Card 1'!X40&lt;SMALL('Captains Card 1'!X$39:X$46,X$19),1,
 IF('Captains Card 1'!X40=SMALL('Captains Card 1'!X$39:X$46,X$19),
 (X$19-COUNTIF('Captains Card 1'!X$39:X$46,"&lt;"&amp;SMALL('Captains Card 1'!X$39:X$46,X$19)))/COUNTIF('Captains Card 1'!X$39:X$46,SMALL('Captains Card 1'!X$39:X$46,X$19)),0))</f>
        <v>0</v>
      </c>
      <c r="Y26" s="233">
        <f ca="1">IF('Captains Card 1'!Y40&lt;SMALL('Captains Card 1'!Y$39:Y$46,Y$19),1,
 IF('Captains Card 1'!Y40=SMALL('Captains Card 1'!Y$39:Y$46,Y$19),
 (Y$19-COUNTIF('Captains Card 1'!Y$39:Y$46,"&lt;"&amp;SMALL('Captains Card 1'!Y$39:Y$46,Y$19)))/COUNTIF('Captains Card 1'!Y$39:Y$46,SMALL('Captains Card 1'!Y$39:Y$46,Y$19)),0))</f>
        <v>1</v>
      </c>
      <c r="Z26" s="532">
        <f t="shared" ca="1" si="20"/>
        <v>7.0166666666666657</v>
      </c>
      <c r="AA26" s="234">
        <f t="shared" ca="1" si="21"/>
        <v>3.375</v>
      </c>
      <c r="AB26" s="233">
        <f t="shared" ca="1" si="22"/>
        <v>1.6079861111111109</v>
      </c>
    </row>
    <row r="27" spans="1:28" ht="18.75" customHeight="1">
      <c r="A27" s="193" t="str">
        <f>A14</f>
        <v>Elger</v>
      </c>
      <c r="B27" s="193"/>
      <c r="C27" s="194"/>
      <c r="D27" s="193"/>
      <c r="E27" s="233">
        <f ca="1">IF('Captains Card 1'!E41&lt;SMALL('Captains Card 1'!E$39:E$46,E$19),1,
 IF('Captains Card 1'!E41=SMALL('Captains Card 1'!E$39:E$46,E$19),
 (E$19-COUNTIF('Captains Card 1'!E$39:E$46,"&lt;"&amp;SMALL('Captains Card 1'!E$39:E$46,E$19)))/COUNTIF('Captains Card 1'!E$39:E$46,SMALL('Captains Card 1'!E$39:E$46,E$19)),0))</f>
        <v>0</v>
      </c>
      <c r="F27" s="233">
        <f ca="1">IF('Captains Card 1'!F41&lt;SMALL('Captains Card 1'!F$39:F$46,F$19),1,
 IF('Captains Card 1'!F41=SMALL('Captains Card 1'!F$39:F$46,F$19),
 (F$19-COUNTIF('Captains Card 1'!F$39:F$46,"&lt;"&amp;SMALL('Captains Card 1'!F$39:F$46,F$19)))/COUNTIF('Captains Card 1'!F$39:F$46,SMALL('Captains Card 1'!F$39:F$46,F$19)),0))</f>
        <v>0</v>
      </c>
      <c r="G27" s="233">
        <f ca="1">IF('Captains Card 1'!G41&lt;SMALL('Captains Card 1'!G$39:G$46,G$19),1,
 IF('Captains Card 1'!G41=SMALL('Captains Card 1'!G$39:G$46,G$19),
 (G$19-COUNTIF('Captains Card 1'!G$39:G$46,"&lt;"&amp;SMALL('Captains Card 1'!G$39:G$46,G$19)))/COUNTIF('Captains Card 1'!G$39:G$46,SMALL('Captains Card 1'!G$39:G$46,G$19)),0))</f>
        <v>1</v>
      </c>
      <c r="H27" s="233">
        <f ca="1">IF('Captains Card 1'!H41&lt;SMALL('Captains Card 1'!H$39:H$46,H$19),1,
 IF('Captains Card 1'!H41=SMALL('Captains Card 1'!H$39:H$46,H$19),
 (H$19-COUNTIF('Captains Card 1'!H$39:H$46,"&lt;"&amp;SMALL('Captains Card 1'!H$39:H$46,H$19)))/COUNTIF('Captains Card 1'!H$39:H$46,SMALL('Captains Card 1'!H$39:H$46,H$19)),0))</f>
        <v>0</v>
      </c>
      <c r="I27" s="233">
        <f ca="1">IF('Captains Card 1'!I41&lt;SMALL('Captains Card 1'!I$39:I$46,I$19),1,
 IF('Captains Card 1'!I41=SMALL('Captains Card 1'!I$39:I$46,I$19),
 (I$19-COUNTIF('Captains Card 1'!I$39:I$46,"&lt;"&amp;SMALL('Captains Card 1'!I$39:I$46,I$19)))/COUNTIF('Captains Card 1'!I$39:I$46,SMALL('Captains Card 1'!I$39:I$46,I$19)),0))</f>
        <v>0</v>
      </c>
      <c r="J27" s="233">
        <f ca="1">IF('Captains Card 1'!J41&lt;SMALL('Captains Card 1'!J$39:J$46,J$19),1,
 IF('Captains Card 1'!J41=SMALL('Captains Card 1'!J$39:J$46,J$19),
 (J$19-COUNTIF('Captains Card 1'!J$39:J$46,"&lt;"&amp;SMALL('Captains Card 1'!J$39:J$46,J$19)))/COUNTIF('Captains Card 1'!J$39:J$46,SMALL('Captains Card 1'!J$39:J$46,J$19)),0))</f>
        <v>0.33333333333333331</v>
      </c>
      <c r="K27" s="233">
        <f ca="1">IF('Captains Card 1'!K41&lt;SMALL('Captains Card 1'!K$39:K$46,K$19),1,
 IF('Captains Card 1'!K41=SMALL('Captains Card 1'!K$39:K$46,K$19),
 (K$19-COUNTIF('Captains Card 1'!K$39:K$46,"&lt;"&amp;SMALL('Captains Card 1'!K$39:K$46,K$19)))/COUNTIF('Captains Card 1'!K$39:K$46,SMALL('Captains Card 1'!K$39:K$46,K$19)),0))</f>
        <v>0.2</v>
      </c>
      <c r="L27" s="233">
        <f ca="1">IF('Captains Card 1'!L41&lt;SMALL('Captains Card 1'!L$39:L$46,L$19),1,
 IF('Captains Card 1'!L41=SMALL('Captains Card 1'!L$39:L$46,L$19),
 (L$19-COUNTIF('Captains Card 1'!L$39:L$46,"&lt;"&amp;SMALL('Captains Card 1'!L$39:L$46,L$19)))/COUNTIF('Captains Card 1'!L$39:L$46,SMALL('Captains Card 1'!L$39:L$46,L$19)),0))</f>
        <v>0</v>
      </c>
      <c r="M27" s="233">
        <f ca="1">IF('Captains Card 1'!M41&lt;SMALL('Captains Card 1'!M$39:M$46,M$19),1,
 IF('Captains Card 1'!M41=SMALL('Captains Card 1'!M$39:M$46,M$19),
 (M$19-COUNTIF('Captains Card 1'!M$39:M$46,"&lt;"&amp;SMALL('Captains Card 1'!M$39:M$46,M$19)))/COUNTIF('Captains Card 1'!M$39:M$46,SMALL('Captains Card 1'!M$39:M$46,M$19)),0))</f>
        <v>0</v>
      </c>
      <c r="N27" s="193"/>
      <c r="O27" s="195"/>
      <c r="P27" s="193"/>
      <c r="Q27" s="233">
        <f ca="1">IF('Captains Card 1'!Q41&lt;SMALL('Captains Card 1'!Q$39:Q$46,Q$19),1,
 IF('Captains Card 1'!Q41=SMALL('Captains Card 1'!Q$39:Q$46,Q$19),
 (Q$19-COUNTIF('Captains Card 1'!Q$39:Q$46,"&lt;"&amp;SMALL('Captains Card 1'!Q$39:Q$46,Q$19)))/COUNTIF('Captains Card 1'!Q$39:Q$46,SMALL('Captains Card 1'!Q$39:Q$46,Q$19)),0))</f>
        <v>1</v>
      </c>
      <c r="R27" s="233">
        <f ca="1">IF('Captains Card 1'!R41&lt;SMALL('Captains Card 1'!R$39:R$46,R$19),1,
 IF('Captains Card 1'!R41=SMALL('Captains Card 1'!R$39:R$46,R$19),
 (R$19-COUNTIF('Captains Card 1'!R$39:R$46,"&lt;"&amp;SMALL('Captains Card 1'!R$39:R$46,R$19)))/COUNTIF('Captains Card 1'!R$39:R$46,SMALL('Captains Card 1'!R$39:R$46,R$19)),0))</f>
        <v>0.75</v>
      </c>
      <c r="S27" s="233">
        <f ca="1">IF('Captains Card 1'!S41&lt;SMALL('Captains Card 1'!S$39:S$46,S$19),1,
 IF('Captains Card 1'!S41=SMALL('Captains Card 1'!S$39:S$46,S$19),
 (S$19-COUNTIF('Captains Card 1'!S$39:S$46,"&lt;"&amp;SMALL('Captains Card 1'!S$39:S$46,S$19)))/COUNTIF('Captains Card 1'!S$39:S$46,SMALL('Captains Card 1'!S$39:S$46,S$19)),0))</f>
        <v>0.5</v>
      </c>
      <c r="T27" s="233">
        <f ca="1">IF('Captains Card 1'!T41&lt;SMALL('Captains Card 1'!T$39:T$46,T$19),1,
 IF('Captains Card 1'!T41=SMALL('Captains Card 1'!T$39:T$46,T$19),
 (T$19-COUNTIF('Captains Card 1'!T$39:T$46,"&lt;"&amp;SMALL('Captains Card 1'!T$39:T$46,T$19)))/COUNTIF('Captains Card 1'!T$39:T$46,SMALL('Captains Card 1'!T$39:T$46,T$19)),0))</f>
        <v>0.33333333333333331</v>
      </c>
      <c r="U27" s="233">
        <f ca="1">IF('Captains Card 1'!U41&lt;SMALL('Captains Card 1'!U$39:U$46,U$19),1,
 IF('Captains Card 1'!U41=SMALL('Captains Card 1'!U$39:U$46,U$19),
 (U$19-COUNTIF('Captains Card 1'!U$39:U$46,"&lt;"&amp;SMALL('Captains Card 1'!U$39:U$46,U$19)))/COUNTIF('Captains Card 1'!U$39:U$46,SMALL('Captains Card 1'!U$39:U$46,U$19)),0))</f>
        <v>0.8</v>
      </c>
      <c r="V27" s="233">
        <f ca="1">IF('Captains Card 1'!V41&lt;SMALL('Captains Card 1'!V$39:V$46,V$19),1,
 IF('Captains Card 1'!V41=SMALL('Captains Card 1'!V$39:V$46,V$19),
 (V$19-COUNTIF('Captains Card 1'!V$39:V$46,"&lt;"&amp;SMALL('Captains Card 1'!V$39:V$46,V$19)))/COUNTIF('Captains Card 1'!V$39:V$46,SMALL('Captains Card 1'!V$39:V$46,V$19)),0))</f>
        <v>0.66666666666666663</v>
      </c>
      <c r="W27" s="233">
        <f ca="1">IF('Captains Card 1'!W41&lt;SMALL('Captains Card 1'!W$39:W$46,W$19),1,
 IF('Captains Card 1'!W41=SMALL('Captains Card 1'!W$39:W$46,W$19),
 (W$19-COUNTIF('Captains Card 1'!W$39:W$46,"&lt;"&amp;SMALL('Captains Card 1'!W$39:W$46,W$19)))/COUNTIF('Captains Card 1'!W$39:W$46,SMALL('Captains Card 1'!W$39:W$46,W$19)),0))</f>
        <v>1</v>
      </c>
      <c r="X27" s="233">
        <f ca="1">IF('Captains Card 1'!X41&lt;SMALL('Captains Card 1'!X$39:X$46,X$19),1,
 IF('Captains Card 1'!X41=SMALL('Captains Card 1'!X$39:X$46,X$19),
 (X$19-COUNTIF('Captains Card 1'!X$39:X$46,"&lt;"&amp;SMALL('Captains Card 1'!X$39:X$46,X$19)))/COUNTIF('Captains Card 1'!X$39:X$46,SMALL('Captains Card 1'!X$39:X$46,X$19)),0))</f>
        <v>1</v>
      </c>
      <c r="Y27" s="233">
        <f ca="1">IF('Captains Card 1'!Y41&lt;SMALL('Captains Card 1'!Y$39:Y$46,Y$19),1,
 IF('Captains Card 1'!Y41=SMALL('Captains Card 1'!Y$39:Y$46,Y$19),
 (Y$19-COUNTIF('Captains Card 1'!Y$39:Y$46,"&lt;"&amp;SMALL('Captains Card 1'!Y$39:Y$46,Y$19)))/COUNTIF('Captains Card 1'!Y$39:Y$46,SMALL('Captains Card 1'!Y$39:Y$46,Y$19)),0))</f>
        <v>0</v>
      </c>
      <c r="Z27" s="532">
        <f t="shared" ca="1" si="20"/>
        <v>7.583333333333333</v>
      </c>
      <c r="AA27" s="234">
        <f t="shared" ca="1" si="21"/>
        <v>5</v>
      </c>
      <c r="AB27" s="233">
        <f t="shared" ca="1" si="22"/>
        <v>1.7378472222222221</v>
      </c>
    </row>
    <row r="28" spans="1:28" ht="18.75" customHeight="1">
      <c r="A28" s="193" t="str">
        <f>A17</f>
        <v>Weezy</v>
      </c>
      <c r="B28" s="193"/>
      <c r="C28" s="194"/>
      <c r="D28" s="193"/>
      <c r="E28" s="233">
        <f ca="1">IF('Captains Card 1'!E42&lt;SMALL('Captains Card 1'!E$39:E$46,E$19),1,
 IF('Captains Card 1'!E42=SMALL('Captains Card 1'!E$39:E$46,E$19),
 (E$19-COUNTIF('Captains Card 1'!E$39:E$46,"&lt;"&amp;SMALL('Captains Card 1'!E$39:E$46,E$19)))/COUNTIF('Captains Card 1'!E$39:E$46,SMALL('Captains Card 1'!E$39:E$46,E$19)),0))</f>
        <v>0.6</v>
      </c>
      <c r="F28" s="233">
        <f ca="1">IF('Captains Card 1'!F42&lt;SMALL('Captains Card 1'!F$39:F$46,F$19),1,
 IF('Captains Card 1'!F42=SMALL('Captains Card 1'!F$39:F$46,F$19),
 (F$19-COUNTIF('Captains Card 1'!F$39:F$46,"&lt;"&amp;SMALL('Captains Card 1'!F$39:F$46,F$19)))/COUNTIF('Captains Card 1'!F$39:F$46,SMALL('Captains Card 1'!F$39:F$46,F$19)),0))</f>
        <v>0</v>
      </c>
      <c r="G28" s="233">
        <f ca="1">IF('Captains Card 1'!G42&lt;SMALL('Captains Card 1'!G$39:G$46,G$19),1,
 IF('Captains Card 1'!G42=SMALL('Captains Card 1'!G$39:G$46,G$19),
 (G$19-COUNTIF('Captains Card 1'!G$39:G$46,"&lt;"&amp;SMALL('Captains Card 1'!G$39:G$46,G$19)))/COUNTIF('Captains Card 1'!G$39:G$46,SMALL('Captains Card 1'!G$39:G$46,G$19)),0))</f>
        <v>0.33333333333333331</v>
      </c>
      <c r="H28" s="233">
        <f ca="1">IF('Captains Card 1'!H42&lt;SMALL('Captains Card 1'!H$39:H$46,H$19),1,
 IF('Captains Card 1'!H42=SMALL('Captains Card 1'!H$39:H$46,H$19),
 (H$19-COUNTIF('Captains Card 1'!H$39:H$46,"&lt;"&amp;SMALL('Captains Card 1'!H$39:H$46,H$19)))/COUNTIF('Captains Card 1'!H$39:H$46,SMALL('Captains Card 1'!H$39:H$46,H$19)),0))</f>
        <v>0.75</v>
      </c>
      <c r="I28" s="233">
        <f ca="1">IF('Captains Card 1'!I42&lt;SMALL('Captains Card 1'!I$39:I$46,I$19),1,
 IF('Captains Card 1'!I42=SMALL('Captains Card 1'!I$39:I$46,I$19),
 (I$19-COUNTIF('Captains Card 1'!I$39:I$46,"&lt;"&amp;SMALL('Captains Card 1'!I$39:I$46,I$19)))/COUNTIF('Captains Card 1'!I$39:I$46,SMALL('Captains Card 1'!I$39:I$46,I$19)),0))</f>
        <v>0</v>
      </c>
      <c r="J28" s="233">
        <f ca="1">IF('Captains Card 1'!J42&lt;SMALL('Captains Card 1'!J$39:J$46,J$19),1,
 IF('Captains Card 1'!J42=SMALL('Captains Card 1'!J$39:J$46,J$19),
 (J$19-COUNTIF('Captains Card 1'!J$39:J$46,"&lt;"&amp;SMALL('Captains Card 1'!J$39:J$46,J$19)))/COUNTIF('Captains Card 1'!J$39:J$46,SMALL('Captains Card 1'!J$39:J$46,J$19)),0))</f>
        <v>0.33333333333333331</v>
      </c>
      <c r="K28" s="233">
        <f ca="1">IF('Captains Card 1'!K42&lt;SMALL('Captains Card 1'!K$39:K$46,K$19),1,
 IF('Captains Card 1'!K42=SMALL('Captains Card 1'!K$39:K$46,K$19),
 (K$19-COUNTIF('Captains Card 1'!K$39:K$46,"&lt;"&amp;SMALL('Captains Card 1'!K$39:K$46,K$19)))/COUNTIF('Captains Card 1'!K$39:K$46,SMALL('Captains Card 1'!K$39:K$46,K$19)),0))</f>
        <v>0.2</v>
      </c>
      <c r="L28" s="233">
        <f ca="1">IF('Captains Card 1'!L42&lt;SMALL('Captains Card 1'!L$39:L$46,L$19),1,
 IF('Captains Card 1'!L42=SMALL('Captains Card 1'!L$39:L$46,L$19),
 (L$19-COUNTIF('Captains Card 1'!L$39:L$46,"&lt;"&amp;SMALL('Captains Card 1'!L$39:L$46,L$19)))/COUNTIF('Captains Card 1'!L$39:L$46,SMALL('Captains Card 1'!L$39:L$46,L$19)),0))</f>
        <v>1</v>
      </c>
      <c r="M28" s="233">
        <f ca="1">IF('Captains Card 1'!M42&lt;SMALL('Captains Card 1'!M$39:M$46,M$19),1,
 IF('Captains Card 1'!M42=SMALL('Captains Card 1'!M$39:M$46,M$19),
 (M$19-COUNTIF('Captains Card 1'!M$39:M$46,"&lt;"&amp;SMALL('Captains Card 1'!M$39:M$46,M$19)))/COUNTIF('Captains Card 1'!M$39:M$46,SMALL('Captains Card 1'!M$39:M$46,M$19)),0))</f>
        <v>0.5</v>
      </c>
      <c r="N28" s="193"/>
      <c r="O28" s="195"/>
      <c r="P28" s="193"/>
      <c r="Q28" s="233">
        <f ca="1">IF('Captains Card 1'!Q42&lt;SMALL('Captains Card 1'!Q$39:Q$46,Q$19),1,
 IF('Captains Card 1'!Q42=SMALL('Captains Card 1'!Q$39:Q$46,Q$19),
 (Q$19-COUNTIF('Captains Card 1'!Q$39:Q$46,"&lt;"&amp;SMALL('Captains Card 1'!Q$39:Q$46,Q$19)))/COUNTIF('Captains Card 1'!Q$39:Q$46,SMALL('Captains Card 1'!Q$39:Q$46,Q$19)),0))</f>
        <v>0</v>
      </c>
      <c r="R28" s="233">
        <f ca="1">IF('Captains Card 1'!R42&lt;SMALL('Captains Card 1'!R$39:R$46,R$19),1,
 IF('Captains Card 1'!R42=SMALL('Captains Card 1'!R$39:R$46,R$19),
 (R$19-COUNTIF('Captains Card 1'!R$39:R$46,"&lt;"&amp;SMALL('Captains Card 1'!R$39:R$46,R$19)))/COUNTIF('Captains Card 1'!R$39:R$46,SMALL('Captains Card 1'!R$39:R$46,R$19)),0))</f>
        <v>0.75</v>
      </c>
      <c r="S28" s="233">
        <f ca="1">IF('Captains Card 1'!S42&lt;SMALL('Captains Card 1'!S$39:S$46,S$19),1,
 IF('Captains Card 1'!S42=SMALL('Captains Card 1'!S$39:S$46,S$19),
 (S$19-COUNTIF('Captains Card 1'!S$39:S$46,"&lt;"&amp;SMALL('Captains Card 1'!S$39:S$46,S$19)))/COUNTIF('Captains Card 1'!S$39:S$46,SMALL('Captains Card 1'!S$39:S$46,S$19)),0))</f>
        <v>0</v>
      </c>
      <c r="T28" s="233">
        <f ca="1">IF('Captains Card 1'!T42&lt;SMALL('Captains Card 1'!T$39:T$46,T$19),1,
 IF('Captains Card 1'!T42=SMALL('Captains Card 1'!T$39:T$46,T$19),
 (T$19-COUNTIF('Captains Card 1'!T$39:T$46,"&lt;"&amp;SMALL('Captains Card 1'!T$39:T$46,T$19)))/COUNTIF('Captains Card 1'!T$39:T$46,SMALL('Captains Card 1'!T$39:T$46,T$19)),0))</f>
        <v>1</v>
      </c>
      <c r="U28" s="233">
        <f ca="1">IF('Captains Card 1'!U42&lt;SMALL('Captains Card 1'!U$39:U$46,U$19),1,
 IF('Captains Card 1'!U42=SMALL('Captains Card 1'!U$39:U$46,U$19),
 (U$19-COUNTIF('Captains Card 1'!U$39:U$46,"&lt;"&amp;SMALL('Captains Card 1'!U$39:U$46,U$19)))/COUNTIF('Captains Card 1'!U$39:U$46,SMALL('Captains Card 1'!U$39:U$46,U$19)),0))</f>
        <v>1</v>
      </c>
      <c r="V28" s="233">
        <f ca="1">IF('Captains Card 1'!V42&lt;SMALL('Captains Card 1'!V$39:V$46,V$19),1,
 IF('Captains Card 1'!V42=SMALL('Captains Card 1'!V$39:V$46,V$19),
 (V$19-COUNTIF('Captains Card 1'!V$39:V$46,"&lt;"&amp;SMALL('Captains Card 1'!V$39:V$46,V$19)))/COUNTIF('Captains Card 1'!V$39:V$46,SMALL('Captains Card 1'!V$39:V$46,V$19)),0))</f>
        <v>1</v>
      </c>
      <c r="W28" s="233">
        <f ca="1">IF('Captains Card 1'!W42&lt;SMALL('Captains Card 1'!W$39:W$46,W$19),1,
 IF('Captains Card 1'!W42=SMALL('Captains Card 1'!W$39:W$46,W$19),
 (W$19-COUNTIF('Captains Card 1'!W$39:W$46,"&lt;"&amp;SMALL('Captains Card 1'!W$39:W$46,W$19)))/COUNTIF('Captains Card 1'!W$39:W$46,SMALL('Captains Card 1'!W$39:W$46,W$19)),0))</f>
        <v>0.66666666666666663</v>
      </c>
      <c r="X28" s="233">
        <f ca="1">IF('Captains Card 1'!X42&lt;SMALL('Captains Card 1'!X$39:X$46,X$19),1,
 IF('Captains Card 1'!X42=SMALL('Captains Card 1'!X$39:X$46,X$19),
 (X$19-COUNTIF('Captains Card 1'!X$39:X$46,"&lt;"&amp;SMALL('Captains Card 1'!X$39:X$46,X$19)))/COUNTIF('Captains Card 1'!X$39:X$46,SMALL('Captains Card 1'!X$39:X$46,X$19)),0))</f>
        <v>1</v>
      </c>
      <c r="Y28" s="233">
        <f ca="1">IF('Captains Card 1'!Y42&lt;SMALL('Captains Card 1'!Y$39:Y$46,Y$19),1,
 IF('Captains Card 1'!Y42=SMALL('Captains Card 1'!Y$39:Y$46,Y$19),
 (Y$19-COUNTIF('Captains Card 1'!Y$39:Y$46,"&lt;"&amp;SMALL('Captains Card 1'!Y$39:Y$46,Y$19)))/COUNTIF('Captains Card 1'!Y$39:Y$46,SMALL('Captains Card 1'!Y$39:Y$46,Y$19)),0))</f>
        <v>0</v>
      </c>
      <c r="Z28" s="532">
        <f t="shared" ca="1" si="20"/>
        <v>9.1333333333333329</v>
      </c>
      <c r="AA28" s="234">
        <f t="shared" ca="1" si="21"/>
        <v>4.9083333333333332</v>
      </c>
      <c r="AB28" s="233">
        <f t="shared" ca="1" si="22"/>
        <v>2.0930555555555554</v>
      </c>
    </row>
    <row r="29" spans="1:28" ht="18.75" customHeight="1">
      <c r="A29" s="193"/>
      <c r="B29" s="193"/>
      <c r="C29" s="194"/>
      <c r="D29" s="193"/>
      <c r="E29" s="193"/>
      <c r="F29" s="193"/>
      <c r="G29" s="193"/>
      <c r="H29" s="193"/>
      <c r="I29" s="193"/>
      <c r="J29" s="193"/>
      <c r="K29" s="193"/>
      <c r="L29" s="193"/>
      <c r="M29" s="193"/>
      <c r="N29" s="193"/>
      <c r="O29" s="195"/>
      <c r="P29" s="193"/>
      <c r="Q29" s="193"/>
      <c r="R29" s="193"/>
      <c r="S29" s="193"/>
      <c r="T29" s="193"/>
      <c r="U29" s="193"/>
      <c r="V29" s="193"/>
      <c r="W29" s="193"/>
      <c r="X29" s="193"/>
      <c r="Y29" s="193"/>
      <c r="Z29" s="233">
        <f ca="1">SUM(Z25:Z28)</f>
        <v>35.86666666666666</v>
      </c>
      <c r="AA29" s="533"/>
      <c r="AB29" s="233">
        <f ca="1">SUM(AB25:AB28,'R4_G2'!AB25:AB28)</f>
        <v>13.792708333333335</v>
      </c>
    </row>
    <row r="30" spans="1:28" ht="18.75" customHeight="1">
      <c r="A30" s="193" t="str">
        <f t="shared" ref="A30:A33" si="23">A25</f>
        <v>Jensen</v>
      </c>
      <c r="B30" s="193"/>
      <c r="C30" s="193"/>
      <c r="D30" s="193"/>
      <c r="E30" s="233">
        <f t="shared" ref="E30:M30" ca="1" si="24">(E25/E$19)*E$24</f>
        <v>0</v>
      </c>
      <c r="F30" s="233">
        <f t="shared" ca="1" si="24"/>
        <v>0.16666666666666666</v>
      </c>
      <c r="G30" s="233">
        <f t="shared" ca="1" si="24"/>
        <v>0</v>
      </c>
      <c r="H30" s="233">
        <f t="shared" ca="1" si="24"/>
        <v>0.125</v>
      </c>
      <c r="I30" s="233">
        <f t="shared" ca="1" si="24"/>
        <v>0.33333333333333331</v>
      </c>
      <c r="J30" s="233">
        <f t="shared" ca="1" si="24"/>
        <v>5.5555555555555552E-2</v>
      </c>
      <c r="K30" s="233">
        <f t="shared" ca="1" si="24"/>
        <v>0.25</v>
      </c>
      <c r="L30" s="233">
        <f t="shared" ca="1" si="24"/>
        <v>0</v>
      </c>
      <c r="M30" s="233">
        <f t="shared" ca="1" si="24"/>
        <v>0.125</v>
      </c>
      <c r="N30" s="193"/>
      <c r="O30" s="195"/>
      <c r="P30" s="193"/>
      <c r="Q30" s="233">
        <f t="shared" ref="Q30:Y30" ca="1" si="25">(Q25/Q$19)*Q$24</f>
        <v>0.5</v>
      </c>
      <c r="R30" s="233">
        <f t="shared" ca="1" si="25"/>
        <v>0</v>
      </c>
      <c r="S30" s="233">
        <f t="shared" ca="1" si="25"/>
        <v>0.5</v>
      </c>
      <c r="T30" s="233">
        <f t="shared" ca="1" si="25"/>
        <v>0.13333333333333333</v>
      </c>
      <c r="U30" s="233">
        <f t="shared" ca="1" si="25"/>
        <v>0.32</v>
      </c>
      <c r="V30" s="233">
        <f t="shared" ca="1" si="25"/>
        <v>0</v>
      </c>
      <c r="W30" s="233">
        <f t="shared" ca="1" si="25"/>
        <v>0.4</v>
      </c>
      <c r="X30" s="233">
        <f t="shared" ca="1" si="25"/>
        <v>0.4</v>
      </c>
      <c r="Y30" s="233">
        <f t="shared" ca="1" si="25"/>
        <v>0</v>
      </c>
      <c r="Z30" s="193"/>
      <c r="AA30" s="193"/>
      <c r="AB30" s="534">
        <f t="shared" ref="AB30:AB33" ca="1" si="26">AB25/$AB$24</f>
        <v>0.16851851851851851</v>
      </c>
    </row>
    <row r="31" spans="1:28" ht="18.75" customHeight="1">
      <c r="A31" s="193" t="str">
        <f t="shared" si="23"/>
        <v>Joe O</v>
      </c>
      <c r="B31" s="193"/>
      <c r="C31" s="193"/>
      <c r="D31" s="193"/>
      <c r="E31" s="233">
        <f t="shared" ref="E31:M31" ca="1" si="27">(E26/E$19)*E$24</f>
        <v>0</v>
      </c>
      <c r="F31" s="233">
        <f t="shared" ca="1" si="27"/>
        <v>0.1111111111111111</v>
      </c>
      <c r="G31" s="233">
        <f t="shared" ca="1" si="27"/>
        <v>0</v>
      </c>
      <c r="H31" s="233">
        <f t="shared" ca="1" si="27"/>
        <v>0.125</v>
      </c>
      <c r="I31" s="233">
        <f t="shared" ca="1" si="27"/>
        <v>0.22222222222222221</v>
      </c>
      <c r="J31" s="233">
        <f t="shared" ca="1" si="27"/>
        <v>0</v>
      </c>
      <c r="K31" s="233">
        <f t="shared" ca="1" si="27"/>
        <v>0.25</v>
      </c>
      <c r="L31" s="233">
        <f t="shared" ca="1" si="27"/>
        <v>0</v>
      </c>
      <c r="M31" s="233">
        <f t="shared" ca="1" si="27"/>
        <v>0.25</v>
      </c>
      <c r="N31" s="193"/>
      <c r="O31" s="195"/>
      <c r="P31" s="193"/>
      <c r="Q31" s="233">
        <f t="shared" ref="Q31:Y31" ca="1" si="28">(Q26/Q$19)*Q$24</f>
        <v>0</v>
      </c>
      <c r="R31" s="233">
        <f t="shared" ca="1" si="28"/>
        <v>0</v>
      </c>
      <c r="S31" s="233">
        <f t="shared" ca="1" si="28"/>
        <v>0</v>
      </c>
      <c r="T31" s="233">
        <f t="shared" ca="1" si="28"/>
        <v>0</v>
      </c>
      <c r="U31" s="233">
        <f t="shared" ca="1" si="28"/>
        <v>0</v>
      </c>
      <c r="V31" s="233">
        <f t="shared" ca="1" si="28"/>
        <v>0</v>
      </c>
      <c r="W31" s="233">
        <f t="shared" ca="1" si="28"/>
        <v>0</v>
      </c>
      <c r="X31" s="233">
        <f t="shared" ca="1" si="28"/>
        <v>0</v>
      </c>
      <c r="Y31" s="233">
        <f t="shared" ca="1" si="28"/>
        <v>0</v>
      </c>
      <c r="Z31" s="193"/>
      <c r="AA31" s="193"/>
      <c r="AB31" s="534">
        <f t="shared" ca="1" si="26"/>
        <v>9.7453703703703695E-2</v>
      </c>
    </row>
    <row r="32" spans="1:28" ht="18.75" customHeight="1">
      <c r="A32" s="193" t="str">
        <f t="shared" si="23"/>
        <v>Elger</v>
      </c>
      <c r="B32" s="193"/>
      <c r="C32" s="193"/>
      <c r="D32" s="193"/>
      <c r="E32" s="233">
        <f t="shared" ref="E32:M32" ca="1" si="29">(E27/E$19)*E$24</f>
        <v>0</v>
      </c>
      <c r="F32" s="233">
        <f t="shared" ca="1" si="29"/>
        <v>0</v>
      </c>
      <c r="G32" s="233">
        <f t="shared" ca="1" si="29"/>
        <v>0</v>
      </c>
      <c r="H32" s="233">
        <f t="shared" ca="1" si="29"/>
        <v>0</v>
      </c>
      <c r="I32" s="233">
        <f t="shared" ca="1" si="29"/>
        <v>0</v>
      </c>
      <c r="J32" s="233">
        <f t="shared" ca="1" si="29"/>
        <v>5.5555555555555552E-2</v>
      </c>
      <c r="K32" s="233">
        <f t="shared" ca="1" si="29"/>
        <v>0.05</v>
      </c>
      <c r="L32" s="233">
        <f t="shared" ca="1" si="29"/>
        <v>0</v>
      </c>
      <c r="M32" s="233">
        <f t="shared" ca="1" si="29"/>
        <v>0</v>
      </c>
      <c r="N32" s="193"/>
      <c r="O32" s="195"/>
      <c r="P32" s="193"/>
      <c r="Q32" s="233">
        <f t="shared" ref="Q32:Y32" ca="1" si="30">(Q27/Q$19)*Q$24</f>
        <v>0.5</v>
      </c>
      <c r="R32" s="233">
        <f t="shared" ca="1" si="30"/>
        <v>0</v>
      </c>
      <c r="S32" s="233">
        <f t="shared" ca="1" si="30"/>
        <v>0.25</v>
      </c>
      <c r="T32" s="233">
        <f t="shared" ca="1" si="30"/>
        <v>0.13333333333333333</v>
      </c>
      <c r="U32" s="233">
        <f t="shared" ca="1" si="30"/>
        <v>0.32</v>
      </c>
      <c r="V32" s="233">
        <f t="shared" ca="1" si="30"/>
        <v>0</v>
      </c>
      <c r="W32" s="233">
        <f t="shared" ca="1" si="30"/>
        <v>0.4</v>
      </c>
      <c r="X32" s="233">
        <f t="shared" ca="1" si="30"/>
        <v>0.4</v>
      </c>
      <c r="Y32" s="233">
        <f t="shared" ca="1" si="30"/>
        <v>0</v>
      </c>
      <c r="Z32" s="193"/>
      <c r="AA32" s="193"/>
      <c r="AB32" s="534">
        <f t="shared" ca="1" si="26"/>
        <v>0.10532407407407407</v>
      </c>
    </row>
    <row r="33" spans="1:28" ht="18.75" customHeight="1">
      <c r="A33" s="193" t="str">
        <f t="shared" si="23"/>
        <v>Weezy</v>
      </c>
      <c r="B33" s="193"/>
      <c r="C33" s="193"/>
      <c r="D33" s="193"/>
      <c r="E33" s="233">
        <f t="shared" ref="E33:M33" ca="1" si="31">(E28/E$19)*E$24</f>
        <v>0</v>
      </c>
      <c r="F33" s="233">
        <f t="shared" ca="1" si="31"/>
        <v>0</v>
      </c>
      <c r="G33" s="233">
        <f t="shared" ca="1" si="31"/>
        <v>0</v>
      </c>
      <c r="H33" s="233">
        <f t="shared" ca="1" si="31"/>
        <v>0.125</v>
      </c>
      <c r="I33" s="233">
        <f t="shared" ca="1" si="31"/>
        <v>0</v>
      </c>
      <c r="J33" s="233">
        <f t="shared" ca="1" si="31"/>
        <v>5.5555555555555552E-2</v>
      </c>
      <c r="K33" s="233">
        <f t="shared" ca="1" si="31"/>
        <v>0.05</v>
      </c>
      <c r="L33" s="233">
        <f t="shared" ca="1" si="31"/>
        <v>0</v>
      </c>
      <c r="M33" s="233">
        <f t="shared" ca="1" si="31"/>
        <v>0.125</v>
      </c>
      <c r="N33" s="193"/>
      <c r="O33" s="195"/>
      <c r="P33" s="193"/>
      <c r="Q33" s="233">
        <f t="shared" ref="Q33:Y33" ca="1" si="32">(Q28/Q$19)*Q$24</f>
        <v>0</v>
      </c>
      <c r="R33" s="233">
        <f t="shared" ca="1" si="32"/>
        <v>0</v>
      </c>
      <c r="S33" s="233">
        <f t="shared" ca="1" si="32"/>
        <v>0</v>
      </c>
      <c r="T33" s="233">
        <f t="shared" ca="1" si="32"/>
        <v>0.4</v>
      </c>
      <c r="U33" s="233">
        <f t="shared" ca="1" si="32"/>
        <v>0.4</v>
      </c>
      <c r="V33" s="233">
        <f t="shared" ca="1" si="32"/>
        <v>0</v>
      </c>
      <c r="W33" s="233">
        <f t="shared" ca="1" si="32"/>
        <v>0.26666666666666666</v>
      </c>
      <c r="X33" s="233">
        <f t="shared" ca="1" si="32"/>
        <v>0.4</v>
      </c>
      <c r="Y33" s="233">
        <f t="shared" ca="1" si="32"/>
        <v>0</v>
      </c>
      <c r="Z33" s="193"/>
      <c r="AA33" s="193"/>
      <c r="AB33" s="534">
        <f t="shared" ca="1" si="26"/>
        <v>0.12685185185185185</v>
      </c>
    </row>
  </sheetData>
  <mergeCells count="1">
    <mergeCell ref="B2:B4"/>
  </mergeCells>
  <conditionalFormatting sqref="E8:M8 Q8:Y8">
    <cfRule type="expression" dxfId="50" priority="5">
      <formula>AND(E$23&lt;&gt;"",E$25=1)</formula>
    </cfRule>
    <cfRule type="expression" dxfId="49" priority="6">
      <formula>AND(E$23&lt;&gt;"",E$25&lt;1,E$25&gt;0)</formula>
    </cfRule>
  </conditionalFormatting>
  <conditionalFormatting sqref="E11:M11 Q11:Y11">
    <cfRule type="expression" dxfId="48" priority="7">
      <formula>AND(E$23&lt;&gt;"",E$26=1)</formula>
    </cfRule>
    <cfRule type="expression" dxfId="47" priority="8">
      <formula>AND(E$23&lt;&gt;"",E$26&lt;1,E$26&gt;0)</formula>
    </cfRule>
  </conditionalFormatting>
  <conditionalFormatting sqref="E14:M14 Q14:Y14">
    <cfRule type="expression" dxfId="46" priority="1">
      <formula>AND(E$23&lt;&gt;"",E$27=1)</formula>
    </cfRule>
    <cfRule type="expression" dxfId="45" priority="3">
      <formula>AND(E$23&lt;&gt;"",E$27&lt;1,E$27&gt;0)</formula>
    </cfRule>
  </conditionalFormatting>
  <conditionalFormatting sqref="E17:M17 Q17:Y17">
    <cfRule type="expression" dxfId="44" priority="2">
      <formula>AND(E$23&lt;&gt;"",E$28=1)</formula>
    </cfRule>
    <cfRule type="expression" dxfId="43" priority="4">
      <formula>AND(E$23&lt;&gt;"",E$28&lt;1,E$28&gt;0)</formula>
    </cfRule>
  </conditionalFormatting>
  <printOptions horizontalCentered="1" gridLines="1"/>
  <pageMargins left="0.25" right="0.6" top="0.5" bottom="0.5" header="0" footer="0"/>
  <pageSetup fitToHeight="0" pageOrder="overThenDown" orientation="landscape" cellComments="atEnd"/>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6D7A8"/>
    <outlinePr summaryBelow="0" summaryRight="0"/>
    <pageSetUpPr fitToPage="1"/>
  </sheetPr>
  <dimension ref="A1:AB33"/>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467" t="s">
        <v>39</v>
      </c>
      <c r="B1" s="468">
        <f>'Master Input'!L3</f>
        <v>0.43055555555555558</v>
      </c>
      <c r="C1" s="469" t="str">
        <f>'Master Input'!$K$2</f>
        <v>Round 4</v>
      </c>
      <c r="D1" s="470"/>
      <c r="E1" s="469" t="str">
        <f>'Master Input'!$K$6</f>
        <v>The Bear - White</v>
      </c>
      <c r="F1" s="471"/>
      <c r="G1" s="471"/>
      <c r="H1" s="471"/>
      <c r="I1" s="471"/>
      <c r="J1" s="471"/>
      <c r="K1" s="471"/>
      <c r="L1" s="471"/>
      <c r="M1" s="471"/>
      <c r="N1" s="471"/>
      <c r="O1" s="72"/>
      <c r="P1" s="469" t="str">
        <f>'Master Input'!$K$2&amp;" - "&amp;A1</f>
        <v>Round 4 - Group 2</v>
      </c>
      <c r="Q1" s="470"/>
      <c r="R1" s="471"/>
      <c r="S1" s="471"/>
      <c r="T1" s="471"/>
      <c r="U1" s="469" t="str">
        <f>'Master Input'!$K$6</f>
        <v>The Bear - White</v>
      </c>
      <c r="V1" s="471"/>
      <c r="W1" s="471"/>
      <c r="X1" s="471"/>
      <c r="Y1" s="471"/>
      <c r="Z1" s="471"/>
      <c r="AA1" s="472"/>
      <c r="AB1" s="473"/>
    </row>
    <row r="2" spans="1:28" ht="14.25" customHeight="1">
      <c r="A2" s="75" t="s">
        <v>16</v>
      </c>
      <c r="B2" s="1166" t="str">
        <f>'Match Selection'!B19</f>
        <v>Team Best Ball</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3</v>
      </c>
      <c r="G3" s="88">
        <f ca="1">VLOOKUP($E1, 'Course List'!$A$3:$AS$14,5+G2, FALSE)</f>
        <v>15</v>
      </c>
      <c r="H3" s="88">
        <f ca="1">VLOOKUP($E1, 'Course List'!$A$3:$AS$14,5+H2, FALSE)</f>
        <v>13</v>
      </c>
      <c r="I3" s="88">
        <f ca="1">VLOOKUP($E1, 'Course List'!$A$3:$AS$14,5+I2, FALSE)</f>
        <v>1</v>
      </c>
      <c r="J3" s="88">
        <f ca="1">VLOOKUP($E1, 'Course List'!$A$3:$AS$14,5+J2, FALSE)</f>
        <v>17</v>
      </c>
      <c r="K3" s="88">
        <f ca="1">VLOOKUP($E1, 'Course List'!$A$3:$AS$14,5+K2, FALSE)</f>
        <v>5</v>
      </c>
      <c r="L3" s="88">
        <f ca="1">VLOOKUP($E1, 'Course List'!$A$3:$AS$14,5+L2, FALSE)</f>
        <v>7</v>
      </c>
      <c r="M3" s="89">
        <f ca="1">VLOOKUP($E1, 'Course List'!$A$3:$AS$14,5+M2, FALSE)</f>
        <v>9</v>
      </c>
      <c r="N3" s="274"/>
      <c r="O3" s="72"/>
      <c r="P3" s="86" t="s">
        <v>21</v>
      </c>
      <c r="Q3" s="273">
        <f ca="1">VLOOKUP($E1, 'Course List'!$A$3:$AS$14,5+Q2, FALSE)</f>
        <v>18</v>
      </c>
      <c r="R3" s="88">
        <f ca="1">VLOOKUP($E1, 'Course List'!$A$3:$AS$14,5+R2, FALSE)</f>
        <v>4</v>
      </c>
      <c r="S3" s="88">
        <f ca="1">VLOOKUP($E1, 'Course List'!$A$3:$AS$14,5+S2, FALSE)</f>
        <v>6</v>
      </c>
      <c r="T3" s="88">
        <f ca="1">VLOOKUP($E1, 'Course List'!$A$3:$AS$14,5+T2, FALSE)</f>
        <v>12</v>
      </c>
      <c r="U3" s="88">
        <f ca="1">VLOOKUP($E1, 'Course List'!$A$3:$AS$14,5+U2, FALSE)</f>
        <v>16</v>
      </c>
      <c r="V3" s="88">
        <f ca="1">VLOOKUP($E1, 'Course List'!$A$3:$AS$14,5+V2, FALSE)</f>
        <v>14</v>
      </c>
      <c r="W3" s="88">
        <f ca="1">VLOOKUP($E1, 'Course List'!$A$3:$AS$14,5+W2, FALSE)</f>
        <v>2</v>
      </c>
      <c r="X3" s="88">
        <f ca="1">VLOOKUP($E1, 'Course List'!$A$3:$AS$14,5+X2, FALSE)</f>
        <v>8</v>
      </c>
      <c r="Y3" s="89">
        <f ca="1">VLOOKUP($E1, 'Course List'!$A$3:$AS$14,5+Y2, FALSE)</f>
        <v>10</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3</v>
      </c>
      <c r="I4" s="94">
        <f ca="1">VLOOKUP($E1, 'Course List'!$A$3:$AS$14,27+I2, FALSE)</f>
        <v>4</v>
      </c>
      <c r="J4" s="94">
        <f ca="1">VLOOKUP($E1, 'Course List'!$A$3:$AS$14,27+J2, FALSE)</f>
        <v>5</v>
      </c>
      <c r="K4" s="94">
        <f ca="1">VLOOKUP($E1, 'Course List'!$A$3:$AS$14,27+K2, FALSE)</f>
        <v>4</v>
      </c>
      <c r="L4" s="94">
        <f ca="1">VLOOKUP($E1, 'Course List'!$A$3:$AS$14,27+L2, FALSE)</f>
        <v>4</v>
      </c>
      <c r="M4" s="95">
        <f ca="1">VLOOKUP($E1, 'Course List'!$A$3:$AS$14,27+M2, FALSE)</f>
        <v>3</v>
      </c>
      <c r="N4" s="275">
        <f ca="1">SUM(E4:M4)</f>
        <v>36</v>
      </c>
      <c r="O4" s="72"/>
      <c r="P4" s="86" t="s">
        <v>22</v>
      </c>
      <c r="Q4" s="275">
        <f ca="1">VLOOKUP($E1, 'Course List'!$A$3:$AS$14,27+Q2, FALSE)</f>
        <v>5</v>
      </c>
      <c r="R4" s="94">
        <f ca="1">VLOOKUP($E1, 'Course List'!$A$3:$AS$14,27+R2, FALSE)</f>
        <v>4</v>
      </c>
      <c r="S4" s="94">
        <f ca="1">VLOOKUP($E1, 'Course List'!$A$3:$AS$14,27+S2, FALSE)</f>
        <v>4</v>
      </c>
      <c r="T4" s="94">
        <f ca="1">VLOOKUP($E1, 'Course List'!$A$3:$AS$14,27+T2, FALSE)</f>
        <v>3</v>
      </c>
      <c r="U4" s="94">
        <f ca="1">VLOOKUP($E1, 'Course List'!$A$3:$AS$14,27+U2, FALSE)</f>
        <v>4</v>
      </c>
      <c r="V4" s="94">
        <f ca="1">VLOOKUP($E1, 'Course List'!$A$3:$AS$14,27+V2, FALSE)</f>
        <v>5</v>
      </c>
      <c r="W4" s="94">
        <f ca="1">VLOOKUP($E1, 'Course List'!$A$3:$AS$14,27+W2, FALSE)</f>
        <v>4</v>
      </c>
      <c r="X4" s="94">
        <f ca="1">VLOOKUP($E1, 'Course List'!$A$3:$AS$14,27+X2, FALSE)</f>
        <v>3</v>
      </c>
      <c r="Y4" s="95">
        <f ca="1">VLOOKUP($E1, 'Course List'!$A$3:$AS$14,27+Y2, FALSE)</f>
        <v>4</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474" t="s">
        <v>27</v>
      </c>
      <c r="AB5" s="474" t="s">
        <v>52</v>
      </c>
    </row>
    <row r="6" spans="1:28" ht="7.5" customHeight="1">
      <c r="A6" s="112"/>
      <c r="B6" s="112"/>
      <c r="C6" s="280"/>
      <c r="D6" s="112"/>
      <c r="E6" s="114" t="str">
        <f t="shared" ref="E6:M6" ca="1" si="0">IF(E7=1,"O", IF(E7=2,"O   O",""))</f>
        <v>O</v>
      </c>
      <c r="F6" s="115" t="str">
        <f t="shared" ca="1" si="0"/>
        <v>O</v>
      </c>
      <c r="G6" s="115" t="str">
        <f t="shared" ca="1" si="0"/>
        <v/>
      </c>
      <c r="H6" s="115" t="str">
        <f t="shared" ca="1" si="0"/>
        <v>O</v>
      </c>
      <c r="I6" s="115" t="str">
        <f t="shared" ca="1" si="0"/>
        <v>O</v>
      </c>
      <c r="J6" s="115" t="str">
        <f t="shared" ca="1" si="0"/>
        <v/>
      </c>
      <c r="K6" s="115" t="str">
        <f t="shared" ca="1" si="0"/>
        <v>O</v>
      </c>
      <c r="L6" s="115" t="str">
        <f t="shared" ca="1" si="0"/>
        <v>O</v>
      </c>
      <c r="M6" s="115" t="str">
        <f t="shared" ca="1" si="0"/>
        <v>O</v>
      </c>
      <c r="N6" s="475"/>
      <c r="O6" s="118"/>
      <c r="P6" s="240"/>
      <c r="Q6" s="114" t="str">
        <f t="shared" ref="Q6:Y6" ca="1" si="1">IF(Q7=1,"O", IF(Q7=2,"O   O",""))</f>
        <v/>
      </c>
      <c r="R6" s="115" t="str">
        <f t="shared" ca="1" si="1"/>
        <v>O</v>
      </c>
      <c r="S6" s="115" t="str">
        <f t="shared" ca="1" si="1"/>
        <v>O</v>
      </c>
      <c r="T6" s="115" t="str">
        <f t="shared" ca="1" si="1"/>
        <v>O</v>
      </c>
      <c r="U6" s="115" t="str">
        <f t="shared" ca="1" si="1"/>
        <v/>
      </c>
      <c r="V6" s="115" t="str">
        <f t="shared" ca="1" si="1"/>
        <v>O</v>
      </c>
      <c r="W6" s="115" t="str">
        <f t="shared" ca="1" si="1"/>
        <v>O</v>
      </c>
      <c r="X6" s="115" t="str">
        <f t="shared" ca="1" si="1"/>
        <v>O</v>
      </c>
      <c r="Y6" s="115" t="str">
        <f t="shared" ca="1" si="1"/>
        <v>O</v>
      </c>
      <c r="Z6" s="476"/>
      <c r="AA6" s="477"/>
      <c r="AB6" s="477"/>
    </row>
    <row r="7" spans="1:28" ht="22.5" hidden="1" customHeight="1">
      <c r="A7" s="123"/>
      <c r="B7" s="124"/>
      <c r="C7" s="286"/>
      <c r="D7" s="126"/>
      <c r="E7" s="478">
        <f t="shared" ref="E7:M7" ca="1" si="2">IF($D8&gt;0,FLOOR($D8/18,1),0)+IF(AND(MOD($D8,18)&gt;=E$3,$D8&gt;0),1,0)-IF(E$3-18&gt;$D8,1,0)</f>
        <v>1</v>
      </c>
      <c r="F7" s="128">
        <f t="shared" ca="1" si="2"/>
        <v>1</v>
      </c>
      <c r="G7" s="128">
        <f t="shared" ca="1" si="2"/>
        <v>0</v>
      </c>
      <c r="H7" s="128">
        <f t="shared" ca="1" si="2"/>
        <v>1</v>
      </c>
      <c r="I7" s="128">
        <f t="shared" ca="1" si="2"/>
        <v>1</v>
      </c>
      <c r="J7" s="128">
        <f t="shared" ca="1" si="2"/>
        <v>0</v>
      </c>
      <c r="K7" s="128">
        <f t="shared" ca="1" si="2"/>
        <v>1</v>
      </c>
      <c r="L7" s="128">
        <f t="shared" ca="1" si="2"/>
        <v>1</v>
      </c>
      <c r="M7" s="128">
        <f t="shared" ca="1" si="2"/>
        <v>1</v>
      </c>
      <c r="N7" s="479"/>
      <c r="O7" s="131"/>
      <c r="P7" s="123"/>
      <c r="Q7" s="478">
        <f t="shared" ref="Q7:Y7" ca="1" si="3">IF($D8&gt;0,FLOOR($D8/18,1),0)+IF(AND(MOD($D8,18)&gt;=Q$3,$D8&gt;0),1,0)-IF(Q$3-18&gt;$D8,1,0)</f>
        <v>0</v>
      </c>
      <c r="R7" s="128">
        <f t="shared" ca="1" si="3"/>
        <v>1</v>
      </c>
      <c r="S7" s="128">
        <f t="shared" ca="1" si="3"/>
        <v>1</v>
      </c>
      <c r="T7" s="128">
        <f t="shared" ca="1" si="3"/>
        <v>1</v>
      </c>
      <c r="U7" s="128">
        <f t="shared" ca="1" si="3"/>
        <v>0</v>
      </c>
      <c r="V7" s="128">
        <f t="shared" ca="1" si="3"/>
        <v>1</v>
      </c>
      <c r="W7" s="128">
        <f t="shared" ca="1" si="3"/>
        <v>1</v>
      </c>
      <c r="X7" s="128">
        <f t="shared" ca="1" si="3"/>
        <v>1</v>
      </c>
      <c r="Y7" s="128">
        <f t="shared" ca="1" si="3"/>
        <v>1</v>
      </c>
      <c r="Z7" s="479"/>
      <c r="AA7" s="480"/>
      <c r="AB7" s="481"/>
    </row>
    <row r="8" spans="1:28" ht="22.5" customHeight="1">
      <c r="A8" s="136" t="str">
        <f>'Match Selection'!J19</f>
        <v>TJSC</v>
      </c>
      <c r="B8" s="137" t="str">
        <f>VLOOKUP(A8, 'Master Input'!$A$11:$B$27,2, FALSE)</f>
        <v>TEES</v>
      </c>
      <c r="C8" s="292">
        <f ca="1">VLOOKUP(A8,'Master Input'!$A$11:$L$27,'Master Input'!$L$28, FALSE)</f>
        <v>14</v>
      </c>
      <c r="D8" s="139">
        <f ca="1">C8</f>
        <v>14</v>
      </c>
      <c r="E8" s="482">
        <v>5</v>
      </c>
      <c r="F8" s="141">
        <v>6</v>
      </c>
      <c r="G8" s="141">
        <v>6</v>
      </c>
      <c r="H8" s="141">
        <v>6</v>
      </c>
      <c r="I8" s="141">
        <v>4</v>
      </c>
      <c r="J8" s="141">
        <v>5</v>
      </c>
      <c r="K8" s="141">
        <v>6</v>
      </c>
      <c r="L8" s="141">
        <v>5</v>
      </c>
      <c r="M8" s="141">
        <v>4</v>
      </c>
      <c r="N8" s="483">
        <f>IF(M8="","", SUM(E8:M8))</f>
        <v>47</v>
      </c>
      <c r="O8" s="131"/>
      <c r="P8" s="136" t="str">
        <f>A8</f>
        <v>TJSC</v>
      </c>
      <c r="Q8" s="482">
        <v>5</v>
      </c>
      <c r="R8" s="141">
        <v>6</v>
      </c>
      <c r="S8" s="141">
        <v>6</v>
      </c>
      <c r="T8" s="141">
        <v>4</v>
      </c>
      <c r="U8" s="141">
        <v>6</v>
      </c>
      <c r="V8" s="141">
        <v>7</v>
      </c>
      <c r="W8" s="141">
        <v>6</v>
      </c>
      <c r="X8" s="141">
        <v>4</v>
      </c>
      <c r="Y8" s="141">
        <v>5</v>
      </c>
      <c r="Z8" s="483">
        <f>IF(Y8="","", SUM(Q8:Y8))</f>
        <v>49</v>
      </c>
      <c r="AA8" s="484">
        <f>IF(Z8="", "", SUM(N8,Z8))</f>
        <v>96</v>
      </c>
      <c r="AB8" s="485">
        <f ca="1">IF(Y8="", "", AA8-C8)</f>
        <v>82</v>
      </c>
    </row>
    <row r="9" spans="1:28" ht="7.5" customHeight="1">
      <c r="A9" s="299"/>
      <c r="B9" s="300"/>
      <c r="C9" s="301"/>
      <c r="D9" s="486"/>
      <c r="E9" s="163" t="str">
        <f t="shared" ref="E9:M9" ca="1" si="4">IF(E10=1,"O", IF(E10=2,"O   O",""))</f>
        <v/>
      </c>
      <c r="F9" s="164" t="str">
        <f t="shared" ca="1" si="4"/>
        <v>O</v>
      </c>
      <c r="G9" s="164" t="str">
        <f t="shared" ca="1" si="4"/>
        <v/>
      </c>
      <c r="H9" s="164" t="str">
        <f t="shared" ca="1" si="4"/>
        <v/>
      </c>
      <c r="I9" s="164" t="str">
        <f t="shared" ca="1" si="4"/>
        <v>O</v>
      </c>
      <c r="J9" s="164" t="str">
        <f t="shared" ca="1" si="4"/>
        <v/>
      </c>
      <c r="K9" s="164" t="str">
        <f t="shared" ca="1" si="4"/>
        <v>O</v>
      </c>
      <c r="L9" s="164" t="str">
        <f t="shared" ca="1" si="4"/>
        <v>O</v>
      </c>
      <c r="M9" s="164" t="str">
        <f t="shared" ca="1" si="4"/>
        <v>O</v>
      </c>
      <c r="N9" s="487"/>
      <c r="O9" s="118"/>
      <c r="P9" s="299"/>
      <c r="Q9" s="163" t="str">
        <f t="shared" ref="Q9:Y9" ca="1" si="5">IF(Q10=1,"O", IF(Q10=2,"O   O",""))</f>
        <v/>
      </c>
      <c r="R9" s="164" t="str">
        <f t="shared" ca="1" si="5"/>
        <v>O</v>
      </c>
      <c r="S9" s="164" t="str">
        <f t="shared" ca="1" si="5"/>
        <v>O</v>
      </c>
      <c r="T9" s="164" t="str">
        <f t="shared" ca="1" si="5"/>
        <v/>
      </c>
      <c r="U9" s="164" t="str">
        <f t="shared" ca="1" si="5"/>
        <v/>
      </c>
      <c r="V9" s="164" t="str">
        <f t="shared" ca="1" si="5"/>
        <v/>
      </c>
      <c r="W9" s="164" t="str">
        <f t="shared" ca="1" si="5"/>
        <v>O</v>
      </c>
      <c r="X9" s="164" t="str">
        <f t="shared" ca="1" si="5"/>
        <v>O</v>
      </c>
      <c r="Y9" s="164" t="str">
        <f t="shared" ca="1" si="5"/>
        <v>O</v>
      </c>
      <c r="Z9" s="487"/>
      <c r="AA9" s="488"/>
      <c r="AB9" s="489"/>
    </row>
    <row r="10" spans="1:28" ht="22.5" hidden="1" customHeight="1">
      <c r="A10" s="171"/>
      <c r="B10" s="172"/>
      <c r="C10" s="307"/>
      <c r="D10" s="174"/>
      <c r="E10" s="175">
        <f t="shared" ref="E10:M10" ca="1" si="6">IF($D11&gt;0,FLOOR($D11/18,1),0)+IF(AND(MOD($D11,18)&gt;=E$3,$D11&gt;0),1,0)-IF(E$3-18&gt;$D11,1,0)</f>
        <v>0</v>
      </c>
      <c r="F10" s="176">
        <f t="shared" ca="1" si="6"/>
        <v>1</v>
      </c>
      <c r="G10" s="176">
        <f t="shared" ca="1" si="6"/>
        <v>0</v>
      </c>
      <c r="H10" s="176">
        <f t="shared" ca="1" si="6"/>
        <v>0</v>
      </c>
      <c r="I10" s="176">
        <f t="shared" ca="1" si="6"/>
        <v>1</v>
      </c>
      <c r="J10" s="176">
        <f t="shared" ca="1" si="6"/>
        <v>0</v>
      </c>
      <c r="K10" s="176">
        <f t="shared" ca="1" si="6"/>
        <v>1</v>
      </c>
      <c r="L10" s="176">
        <f t="shared" ca="1" si="6"/>
        <v>1</v>
      </c>
      <c r="M10" s="176">
        <f t="shared" ca="1" si="6"/>
        <v>1</v>
      </c>
      <c r="N10" s="479"/>
      <c r="O10" s="131"/>
      <c r="P10" s="171"/>
      <c r="Q10" s="175">
        <f t="shared" ref="Q10:Y10" ca="1" si="7">IF($D11&gt;0,FLOOR($D11/18,1),0)+IF(AND(MOD($D11,18)&gt;=Q$3,$D11&gt;0),1,0)-IF(Q$3-18&gt;$D11,1,0)</f>
        <v>0</v>
      </c>
      <c r="R10" s="176">
        <f t="shared" ca="1" si="7"/>
        <v>1</v>
      </c>
      <c r="S10" s="176">
        <f t="shared" ca="1" si="7"/>
        <v>1</v>
      </c>
      <c r="T10" s="176">
        <f t="shared" ca="1" si="7"/>
        <v>0</v>
      </c>
      <c r="U10" s="176">
        <f t="shared" ca="1" si="7"/>
        <v>0</v>
      </c>
      <c r="V10" s="176">
        <f t="shared" ca="1" si="7"/>
        <v>0</v>
      </c>
      <c r="W10" s="176">
        <f t="shared" ca="1" si="7"/>
        <v>1</v>
      </c>
      <c r="X10" s="176">
        <f t="shared" ca="1" si="7"/>
        <v>1</v>
      </c>
      <c r="Y10" s="176">
        <f t="shared" ca="1" si="7"/>
        <v>1</v>
      </c>
      <c r="Z10" s="479"/>
      <c r="AA10" s="480"/>
      <c r="AB10" s="481"/>
    </row>
    <row r="11" spans="1:28" ht="22.5" customHeight="1">
      <c r="A11" s="181" t="str">
        <f>'Match Selection'!J20</f>
        <v>CuzNick</v>
      </c>
      <c r="B11" s="182" t="str">
        <f>VLOOKUP(A11, 'Master Input'!$A$11:$B$27,2, FALSE)</f>
        <v>TEES</v>
      </c>
      <c r="C11" s="311">
        <f ca="1">VLOOKUP(A11,'Master Input'!$A$11:$L$27,'Master Input'!$L$28, FALSE)</f>
        <v>10</v>
      </c>
      <c r="D11" s="184">
        <f ca="1">C11</f>
        <v>10</v>
      </c>
      <c r="E11" s="490">
        <v>5</v>
      </c>
      <c r="F11" s="186">
        <v>5</v>
      </c>
      <c r="G11" s="186">
        <v>5</v>
      </c>
      <c r="H11" s="186">
        <v>4</v>
      </c>
      <c r="I11" s="186">
        <v>5</v>
      </c>
      <c r="J11" s="186">
        <v>6</v>
      </c>
      <c r="K11" s="186">
        <v>4</v>
      </c>
      <c r="L11" s="186">
        <v>5</v>
      </c>
      <c r="M11" s="186">
        <v>3</v>
      </c>
      <c r="N11" s="483">
        <f>IF(M11="","", SUM(E11:M11))</f>
        <v>42</v>
      </c>
      <c r="O11" s="131"/>
      <c r="P11" s="181" t="str">
        <f>A11</f>
        <v>CuzNick</v>
      </c>
      <c r="Q11" s="490">
        <v>5</v>
      </c>
      <c r="R11" s="186">
        <v>4</v>
      </c>
      <c r="S11" s="186">
        <v>5</v>
      </c>
      <c r="T11" s="186">
        <v>3</v>
      </c>
      <c r="U11" s="186">
        <v>7</v>
      </c>
      <c r="V11" s="186">
        <v>5</v>
      </c>
      <c r="W11" s="186">
        <v>5</v>
      </c>
      <c r="X11" s="186">
        <v>5</v>
      </c>
      <c r="Y11" s="186">
        <v>8</v>
      </c>
      <c r="Z11" s="483">
        <f>IF(Y11="","", SUM(Q11:Y11))</f>
        <v>47</v>
      </c>
      <c r="AA11" s="484">
        <f>IF(Z11="", "", SUM(N11,Z11))</f>
        <v>89</v>
      </c>
      <c r="AB11" s="485">
        <f ca="1">IF(Y11="", "", AA11-C11)</f>
        <v>79</v>
      </c>
    </row>
    <row r="12" spans="1:28" ht="7.5" customHeight="1">
      <c r="A12" s="245"/>
      <c r="B12" s="148"/>
      <c r="C12" s="315"/>
      <c r="D12" s="150"/>
      <c r="E12" s="491" t="str">
        <f t="shared" ref="E12:M12" ca="1" si="8">IF(E13=1,"O", IF(E13=2,"O   O",""))</f>
        <v>O</v>
      </c>
      <c r="F12" s="492" t="str">
        <f t="shared" ca="1" si="8"/>
        <v>O</v>
      </c>
      <c r="G12" s="492" t="str">
        <f t="shared" ca="1" si="8"/>
        <v>O</v>
      </c>
      <c r="H12" s="492" t="str">
        <f t="shared" ca="1" si="8"/>
        <v>O</v>
      </c>
      <c r="I12" s="492" t="str">
        <f t="shared" ca="1" si="8"/>
        <v>O</v>
      </c>
      <c r="J12" s="492" t="str">
        <f t="shared" ca="1" si="8"/>
        <v/>
      </c>
      <c r="K12" s="492" t="str">
        <f t="shared" ca="1" si="8"/>
        <v>O</v>
      </c>
      <c r="L12" s="492" t="str">
        <f t="shared" ca="1" si="8"/>
        <v>O</v>
      </c>
      <c r="M12" s="492" t="str">
        <f t="shared" ca="1" si="8"/>
        <v>O</v>
      </c>
      <c r="N12" s="475"/>
      <c r="O12" s="118"/>
      <c r="P12" s="240"/>
      <c r="Q12" s="491" t="str">
        <f t="shared" ref="Q12:Y12" ca="1" si="9">IF(Q13=1,"O", IF(Q13=2,"O   O",""))</f>
        <v/>
      </c>
      <c r="R12" s="492" t="str">
        <f t="shared" ca="1" si="9"/>
        <v>O</v>
      </c>
      <c r="S12" s="492" t="str">
        <f t="shared" ca="1" si="9"/>
        <v>O</v>
      </c>
      <c r="T12" s="492" t="str">
        <f t="shared" ca="1" si="9"/>
        <v>O</v>
      </c>
      <c r="U12" s="492" t="str">
        <f t="shared" ca="1" si="9"/>
        <v>O</v>
      </c>
      <c r="V12" s="492" t="str">
        <f t="shared" ca="1" si="9"/>
        <v>O</v>
      </c>
      <c r="W12" s="492" t="str">
        <f t="shared" ca="1" si="9"/>
        <v>O</v>
      </c>
      <c r="X12" s="492" t="str">
        <f t="shared" ca="1" si="9"/>
        <v>O</v>
      </c>
      <c r="Y12" s="492" t="str">
        <f t="shared" ca="1" si="9"/>
        <v>O</v>
      </c>
      <c r="Z12" s="487"/>
      <c r="AA12" s="488"/>
      <c r="AB12" s="493"/>
    </row>
    <row r="13" spans="1:28" ht="22.5" hidden="1" customHeight="1">
      <c r="A13" s="123"/>
      <c r="B13" s="124"/>
      <c r="C13" s="286"/>
      <c r="D13" s="126"/>
      <c r="E13" s="494">
        <f t="shared" ref="E13:M13" ca="1" si="10">IF($D14&gt;0,FLOOR($D14/18,1),0)+IF(AND(MOD($D14,18)&gt;=E$3,$D14&gt;0),1,0)-IF(E$3-18&gt;$D14,1,0)</f>
        <v>1</v>
      </c>
      <c r="F13" s="495">
        <f t="shared" ca="1" si="10"/>
        <v>1</v>
      </c>
      <c r="G13" s="495">
        <f t="shared" ca="1" si="10"/>
        <v>1</v>
      </c>
      <c r="H13" s="495">
        <f t="shared" ca="1" si="10"/>
        <v>1</v>
      </c>
      <c r="I13" s="495">
        <f t="shared" ca="1" si="10"/>
        <v>1</v>
      </c>
      <c r="J13" s="495">
        <f t="shared" ca="1" si="10"/>
        <v>0</v>
      </c>
      <c r="K13" s="495">
        <f t="shared" ca="1" si="10"/>
        <v>1</v>
      </c>
      <c r="L13" s="495">
        <f t="shared" ca="1" si="10"/>
        <v>1</v>
      </c>
      <c r="M13" s="495">
        <f t="shared" ca="1" si="10"/>
        <v>1</v>
      </c>
      <c r="N13" s="479"/>
      <c r="O13" s="131"/>
      <c r="P13" s="123"/>
      <c r="Q13" s="494">
        <f t="shared" ref="Q13:Y13" ca="1" si="11">IF($D14&gt;0,FLOOR($D14/18,1),0)+IF(AND(MOD($D14,18)&gt;=Q$3,$D14&gt;0),1,0)-IF(Q$3-18&gt;$D14,1,0)</f>
        <v>0</v>
      </c>
      <c r="R13" s="495">
        <f t="shared" ca="1" si="11"/>
        <v>1</v>
      </c>
      <c r="S13" s="495">
        <f t="shared" ca="1" si="11"/>
        <v>1</v>
      </c>
      <c r="T13" s="495">
        <f t="shared" ca="1" si="11"/>
        <v>1</v>
      </c>
      <c r="U13" s="495">
        <f t="shared" ca="1" si="11"/>
        <v>1</v>
      </c>
      <c r="V13" s="495">
        <f t="shared" ca="1" si="11"/>
        <v>1</v>
      </c>
      <c r="W13" s="495">
        <f t="shared" ca="1" si="11"/>
        <v>1</v>
      </c>
      <c r="X13" s="495">
        <f t="shared" ca="1" si="11"/>
        <v>1</v>
      </c>
      <c r="Y13" s="495">
        <f t="shared" ca="1" si="11"/>
        <v>1</v>
      </c>
      <c r="Z13" s="479"/>
      <c r="AA13" s="480"/>
      <c r="AB13" s="481"/>
    </row>
    <row r="14" spans="1:28" ht="22.5" customHeight="1">
      <c r="A14" s="136" t="str">
        <f>'Match Selection'!M19</f>
        <v>DK</v>
      </c>
      <c r="B14" s="137" t="str">
        <f>VLOOKUP(A14, 'Master Input'!$A$11:$B$27,2, FALSE)</f>
        <v>TEES</v>
      </c>
      <c r="C14" s="292">
        <f ca="1">VLOOKUP(A14,'Master Input'!$A$11:$L$27,'Master Input'!$L$28, FALSE)</f>
        <v>16</v>
      </c>
      <c r="D14" s="139">
        <f ca="1">C14</f>
        <v>16</v>
      </c>
      <c r="E14" s="496">
        <v>5</v>
      </c>
      <c r="F14" s="497">
        <v>5</v>
      </c>
      <c r="G14" s="497">
        <v>6</v>
      </c>
      <c r="H14" s="497">
        <v>5</v>
      </c>
      <c r="I14" s="497">
        <v>6</v>
      </c>
      <c r="J14" s="497">
        <v>4</v>
      </c>
      <c r="K14" s="497">
        <v>6</v>
      </c>
      <c r="L14" s="497">
        <v>4</v>
      </c>
      <c r="M14" s="497">
        <v>4</v>
      </c>
      <c r="N14" s="483">
        <f>IF(M14="","", SUM(E14:M14))</f>
        <v>45</v>
      </c>
      <c r="O14" s="131"/>
      <c r="P14" s="136" t="str">
        <f>A14</f>
        <v>DK</v>
      </c>
      <c r="Q14" s="496">
        <v>4</v>
      </c>
      <c r="R14" s="497">
        <v>7</v>
      </c>
      <c r="S14" s="497">
        <v>4</v>
      </c>
      <c r="T14" s="497">
        <v>4</v>
      </c>
      <c r="U14" s="497">
        <v>5</v>
      </c>
      <c r="V14" s="497">
        <v>6</v>
      </c>
      <c r="W14" s="497">
        <v>4</v>
      </c>
      <c r="X14" s="497">
        <v>5</v>
      </c>
      <c r="Y14" s="497">
        <v>5</v>
      </c>
      <c r="Z14" s="483">
        <f>IF(Y14="","", SUM(Q14:Y14))</f>
        <v>44</v>
      </c>
      <c r="AA14" s="484">
        <f>IF(Z14="", "", SUM(N14,Z14))</f>
        <v>89</v>
      </c>
      <c r="AB14" s="485">
        <f ca="1">IF(Y14="", "", AA14-C14)</f>
        <v>73</v>
      </c>
    </row>
    <row r="15" spans="1:28" ht="7.5" customHeight="1">
      <c r="A15" s="159"/>
      <c r="B15" s="160"/>
      <c r="C15" s="323"/>
      <c r="D15" s="162"/>
      <c r="E15" s="163" t="str">
        <f t="shared" ref="E15:M15" ca="1" si="12">IF(E16=1,"O", IF(E16=2,"O   O",""))</f>
        <v/>
      </c>
      <c r="F15" s="164" t="str">
        <f t="shared" ca="1" si="12"/>
        <v>O</v>
      </c>
      <c r="G15" s="164" t="str">
        <f t="shared" ca="1" si="12"/>
        <v/>
      </c>
      <c r="H15" s="164" t="str">
        <f t="shared" ca="1" si="12"/>
        <v/>
      </c>
      <c r="I15" s="164" t="str">
        <f t="shared" ca="1" si="12"/>
        <v>O</v>
      </c>
      <c r="J15" s="164" t="str">
        <f t="shared" ca="1" si="12"/>
        <v/>
      </c>
      <c r="K15" s="164" t="str">
        <f t="shared" ca="1" si="12"/>
        <v>O</v>
      </c>
      <c r="L15" s="164" t="str">
        <f t="shared" ca="1" si="12"/>
        <v>O</v>
      </c>
      <c r="M15" s="164" t="str">
        <f t="shared" ca="1" si="12"/>
        <v>O</v>
      </c>
      <c r="N15" s="498"/>
      <c r="O15" s="118"/>
      <c r="P15" s="159"/>
      <c r="Q15" s="163" t="str">
        <f t="shared" ref="Q15:Y15" ca="1" si="13">IF(Q16=1,"O", IF(Q16=2,"O   O",""))</f>
        <v/>
      </c>
      <c r="R15" s="164" t="str">
        <f t="shared" ca="1" si="13"/>
        <v>O</v>
      </c>
      <c r="S15" s="164" t="str">
        <f t="shared" ca="1" si="13"/>
        <v>O</v>
      </c>
      <c r="T15" s="164" t="str">
        <f t="shared" ca="1" si="13"/>
        <v/>
      </c>
      <c r="U15" s="164" t="str">
        <f t="shared" ca="1" si="13"/>
        <v/>
      </c>
      <c r="V15" s="164" t="str">
        <f t="shared" ca="1" si="13"/>
        <v/>
      </c>
      <c r="W15" s="164" t="str">
        <f t="shared" ca="1" si="13"/>
        <v>O</v>
      </c>
      <c r="X15" s="164" t="str">
        <f t="shared" ca="1" si="13"/>
        <v>O</v>
      </c>
      <c r="Y15" s="164" t="str">
        <f t="shared" ca="1" si="13"/>
        <v/>
      </c>
      <c r="Z15" s="498"/>
      <c r="AA15" s="499"/>
      <c r="AB15" s="493"/>
    </row>
    <row r="16" spans="1:28" ht="22.5" hidden="1" customHeight="1">
      <c r="A16" s="171"/>
      <c r="B16" s="172"/>
      <c r="C16" s="307"/>
      <c r="D16" s="174"/>
      <c r="E16" s="175">
        <f t="shared" ref="E16:M16" ca="1" si="14">IF($D17&gt;0,FLOOR($D17/18,1),0)+IF(AND(MOD($D17,18)&gt;=E$3,$D17&gt;0),1,0)-IF(E$3-18&gt;$D17,1,0)</f>
        <v>0</v>
      </c>
      <c r="F16" s="176">
        <f t="shared" ca="1" si="14"/>
        <v>1</v>
      </c>
      <c r="G16" s="176">
        <f t="shared" ca="1" si="14"/>
        <v>0</v>
      </c>
      <c r="H16" s="176">
        <f t="shared" ca="1" si="14"/>
        <v>0</v>
      </c>
      <c r="I16" s="176">
        <f t="shared" ca="1" si="14"/>
        <v>1</v>
      </c>
      <c r="J16" s="176">
        <f t="shared" ca="1" si="14"/>
        <v>0</v>
      </c>
      <c r="K16" s="176">
        <f t="shared" ca="1" si="14"/>
        <v>1</v>
      </c>
      <c r="L16" s="176">
        <f t="shared" ca="1" si="14"/>
        <v>1</v>
      </c>
      <c r="M16" s="176">
        <f t="shared" ca="1" si="14"/>
        <v>1</v>
      </c>
      <c r="N16" s="479"/>
      <c r="O16" s="131"/>
      <c r="P16" s="171"/>
      <c r="Q16" s="175">
        <f t="shared" ref="Q16:Y16" ca="1" si="15">IF($D17&gt;0,FLOOR($D17/18,1),0)+IF(AND(MOD($D17,18)&gt;=Q$3,$D17&gt;0),1,0)-IF(Q$3-18&gt;$D17,1,0)</f>
        <v>0</v>
      </c>
      <c r="R16" s="176">
        <f t="shared" ca="1" si="15"/>
        <v>1</v>
      </c>
      <c r="S16" s="176">
        <f t="shared" ca="1" si="15"/>
        <v>1</v>
      </c>
      <c r="T16" s="176">
        <f t="shared" ca="1" si="15"/>
        <v>0</v>
      </c>
      <c r="U16" s="176">
        <f t="shared" ca="1" si="15"/>
        <v>0</v>
      </c>
      <c r="V16" s="176">
        <f t="shared" ca="1" si="15"/>
        <v>0</v>
      </c>
      <c r="W16" s="176">
        <f t="shared" ca="1" si="15"/>
        <v>1</v>
      </c>
      <c r="X16" s="176">
        <f t="shared" ca="1" si="15"/>
        <v>1</v>
      </c>
      <c r="Y16" s="176">
        <f t="shared" ca="1" si="15"/>
        <v>0</v>
      </c>
      <c r="Z16" s="479"/>
      <c r="AA16" s="500"/>
      <c r="AB16" s="481"/>
    </row>
    <row r="17" spans="1:28" ht="22.5" customHeight="1">
      <c r="A17" s="191" t="str">
        <f>'Match Selection'!M20</f>
        <v>R-Mac</v>
      </c>
      <c r="B17" s="182" t="str">
        <f>IF(A17="","", VLOOKUP(A17, 'Master Input'!$A$11:$B$27,2, FALSE))</f>
        <v>TEES</v>
      </c>
      <c r="C17" s="311">
        <f ca="1">IF(A17="",0, VLOOKUP(A17,'Master Input'!$A$11:$L$27,'Master Input'!$L$28, FALSE))</f>
        <v>9</v>
      </c>
      <c r="D17" s="184">
        <f ca="1">C17</f>
        <v>9</v>
      </c>
      <c r="E17" s="490">
        <v>4</v>
      </c>
      <c r="F17" s="186">
        <v>5</v>
      </c>
      <c r="G17" s="186">
        <v>8</v>
      </c>
      <c r="H17" s="186">
        <v>4</v>
      </c>
      <c r="I17" s="186">
        <v>7</v>
      </c>
      <c r="J17" s="186">
        <v>6</v>
      </c>
      <c r="K17" s="186">
        <v>5</v>
      </c>
      <c r="L17" s="186">
        <v>5</v>
      </c>
      <c r="M17" s="186">
        <v>4</v>
      </c>
      <c r="N17" s="483">
        <f>IF(M17="","", SUM(E17:M17))</f>
        <v>48</v>
      </c>
      <c r="O17" s="131"/>
      <c r="P17" s="181" t="str">
        <f>A17</f>
        <v>R-Mac</v>
      </c>
      <c r="Q17" s="490">
        <v>5</v>
      </c>
      <c r="R17" s="186">
        <v>5</v>
      </c>
      <c r="S17" s="186">
        <v>5</v>
      </c>
      <c r="T17" s="186">
        <v>4</v>
      </c>
      <c r="U17" s="186">
        <v>5</v>
      </c>
      <c r="V17" s="186">
        <v>5</v>
      </c>
      <c r="W17" s="186">
        <v>4</v>
      </c>
      <c r="X17" s="186">
        <v>4</v>
      </c>
      <c r="Y17" s="186">
        <v>4</v>
      </c>
      <c r="Z17" s="483">
        <f>IF(Y17="","", SUM(Q17:Y17))</f>
        <v>41</v>
      </c>
      <c r="AA17" s="484">
        <f>IF(Z17="", "", SUM(N17,Z17))</f>
        <v>89</v>
      </c>
      <c r="AB17" s="485">
        <f ca="1">IF(Y17="", "", AA17-C17)</f>
        <v>80</v>
      </c>
    </row>
    <row r="18" spans="1:28" ht="11.25" customHeight="1">
      <c r="A18" s="329"/>
      <c r="B18" s="329"/>
      <c r="C18" s="330"/>
      <c r="D18" s="195"/>
      <c r="E18" s="331"/>
      <c r="F18" s="195"/>
      <c r="G18" s="195"/>
      <c r="H18" s="195"/>
      <c r="I18" s="195"/>
      <c r="J18" s="195"/>
      <c r="K18" s="195"/>
      <c r="L18" s="195"/>
      <c r="M18" s="195"/>
      <c r="N18" s="331"/>
      <c r="O18" s="196"/>
      <c r="P18" s="195"/>
      <c r="Q18" s="331"/>
      <c r="R18" s="195"/>
      <c r="S18" s="195"/>
      <c r="T18" s="195"/>
      <c r="U18" s="195"/>
      <c r="V18" s="195"/>
      <c r="W18" s="195"/>
      <c r="X18" s="195"/>
      <c r="Y18" s="195"/>
      <c r="Z18" s="195"/>
      <c r="AA18" s="195"/>
      <c r="AB18" s="195"/>
    </row>
    <row r="19" spans="1:28" ht="14.25" customHeight="1">
      <c r="A19" s="508" t="s">
        <v>61</v>
      </c>
      <c r="B19" s="502"/>
      <c r="C19" s="503"/>
      <c r="D19" s="504"/>
      <c r="E19" s="535">
        <f>'R4_G1'!E19</f>
        <v>3</v>
      </c>
      <c r="F19" s="536">
        <f>'R4_G1'!F19</f>
        <v>3</v>
      </c>
      <c r="G19" s="536">
        <f>'R4_G1'!G19</f>
        <v>3</v>
      </c>
      <c r="H19" s="536">
        <f>'R4_G1'!H19</f>
        <v>3</v>
      </c>
      <c r="I19" s="536">
        <f>'R4_G1'!I19</f>
        <v>3</v>
      </c>
      <c r="J19" s="536">
        <f>'R4_G1'!J19</f>
        <v>3</v>
      </c>
      <c r="K19" s="536">
        <f>'R4_G1'!K19</f>
        <v>4</v>
      </c>
      <c r="L19" s="536">
        <f>'R4_G1'!L19</f>
        <v>4</v>
      </c>
      <c r="M19" s="537">
        <f>'R4_G1'!M19</f>
        <v>4</v>
      </c>
      <c r="N19" s="195"/>
      <c r="O19" s="204"/>
      <c r="P19" s="508" t="s">
        <v>61</v>
      </c>
      <c r="Q19" s="535">
        <f>'R4_G1'!Q19</f>
        <v>4</v>
      </c>
      <c r="R19" s="536">
        <f>'R4_G1'!R19</f>
        <v>4</v>
      </c>
      <c r="S19" s="536">
        <f>'R4_G1'!S19</f>
        <v>4</v>
      </c>
      <c r="T19" s="536">
        <f>'R4_G1'!T19</f>
        <v>5</v>
      </c>
      <c r="U19" s="536">
        <f>'R4_G1'!U19</f>
        <v>5</v>
      </c>
      <c r="V19" s="536">
        <f>'R4_G1'!V19</f>
        <v>5</v>
      </c>
      <c r="W19" s="536">
        <f>'R4_G1'!W19</f>
        <v>5</v>
      </c>
      <c r="X19" s="536">
        <f>'R4_G1'!X19</f>
        <v>5</v>
      </c>
      <c r="Y19" s="537">
        <f>'R4_G1'!Y19</f>
        <v>5</v>
      </c>
      <c r="AA19" s="538" t="s">
        <v>62</v>
      </c>
      <c r="AB19" s="539"/>
    </row>
    <row r="20" spans="1:28" ht="18.75" customHeight="1">
      <c r="A20" s="508" t="s">
        <v>63</v>
      </c>
      <c r="B20" s="502"/>
      <c r="C20" s="503"/>
      <c r="D20" s="504"/>
      <c r="E20" s="511">
        <f t="shared" ref="E20:M20" si="16">IF(E23="","",E23/E19)</f>
        <v>3.3333333333333335</v>
      </c>
      <c r="F20" s="511">
        <f t="shared" si="16"/>
        <v>3.3333333333333335</v>
      </c>
      <c r="G20" s="511">
        <f t="shared" si="16"/>
        <v>4.333333333333333</v>
      </c>
      <c r="H20" s="511">
        <f t="shared" si="16"/>
        <v>3</v>
      </c>
      <c r="I20" s="511">
        <f t="shared" si="16"/>
        <v>3.3333333333333335</v>
      </c>
      <c r="J20" s="511">
        <f t="shared" si="16"/>
        <v>4.666666666666667</v>
      </c>
      <c r="K20" s="511">
        <f t="shared" si="16"/>
        <v>4.25</v>
      </c>
      <c r="L20" s="511">
        <f t="shared" si="16"/>
        <v>3.25</v>
      </c>
      <c r="M20" s="511">
        <f t="shared" si="16"/>
        <v>2.5</v>
      </c>
      <c r="N20" s="195"/>
      <c r="O20" s="204"/>
      <c r="P20" s="508" t="s">
        <v>63</v>
      </c>
      <c r="Q20" s="511">
        <f t="shared" ref="Q20:Y20" si="17">IF(Q23="","",Q23/Q19)</f>
        <v>4.75</v>
      </c>
      <c r="R20" s="511">
        <f t="shared" si="17"/>
        <v>3.25</v>
      </c>
      <c r="S20" s="511">
        <f t="shared" si="17"/>
        <v>3.5</v>
      </c>
      <c r="T20" s="511">
        <f t="shared" si="17"/>
        <v>2.8</v>
      </c>
      <c r="U20" s="511">
        <f t="shared" si="17"/>
        <v>5</v>
      </c>
      <c r="V20" s="511">
        <f t="shared" si="17"/>
        <v>4.8</v>
      </c>
      <c r="W20" s="511">
        <f t="shared" si="17"/>
        <v>3.6</v>
      </c>
      <c r="X20" s="511">
        <f t="shared" si="17"/>
        <v>3.6</v>
      </c>
      <c r="Y20" s="511">
        <f t="shared" si="17"/>
        <v>3.6</v>
      </c>
      <c r="AA20" s="540" t="s">
        <v>65</v>
      </c>
      <c r="AB20" s="541"/>
    </row>
    <row r="21" spans="1:28" ht="18.75" customHeight="1">
      <c r="A21" s="523" t="s">
        <v>66</v>
      </c>
      <c r="B21" s="517"/>
      <c r="C21" s="518"/>
      <c r="D21" s="519"/>
      <c r="E21" s="520">
        <f t="shared" ref="E21:M21" ca="1" si="18">IF(E23="","",E23-E4*E19)</f>
        <v>-2</v>
      </c>
      <c r="F21" s="520">
        <f t="shared" ca="1" si="18"/>
        <v>-2</v>
      </c>
      <c r="G21" s="520">
        <f t="shared" ca="1" si="18"/>
        <v>-2</v>
      </c>
      <c r="H21" s="520">
        <f t="shared" ca="1" si="18"/>
        <v>0</v>
      </c>
      <c r="I21" s="520">
        <f t="shared" ca="1" si="18"/>
        <v>-2</v>
      </c>
      <c r="J21" s="520">
        <f t="shared" ca="1" si="18"/>
        <v>-1</v>
      </c>
      <c r="K21" s="520">
        <f t="shared" ca="1" si="18"/>
        <v>1</v>
      </c>
      <c r="L21" s="520">
        <f t="shared" ca="1" si="18"/>
        <v>-3</v>
      </c>
      <c r="M21" s="520">
        <f t="shared" ca="1" si="18"/>
        <v>-2</v>
      </c>
      <c r="N21" s="195"/>
      <c r="O21" s="204"/>
      <c r="P21" s="523" t="s">
        <v>66</v>
      </c>
      <c r="Q21" s="520">
        <f t="shared" ref="Q21:Y21" ca="1" si="19">IF(Q23="","",Q23-Q4*Q19)</f>
        <v>-1</v>
      </c>
      <c r="R21" s="520">
        <f t="shared" ca="1" si="19"/>
        <v>-3</v>
      </c>
      <c r="S21" s="520">
        <f t="shared" ca="1" si="19"/>
        <v>-2</v>
      </c>
      <c r="T21" s="520">
        <f t="shared" ca="1" si="19"/>
        <v>-1</v>
      </c>
      <c r="U21" s="520">
        <f t="shared" ca="1" si="19"/>
        <v>5</v>
      </c>
      <c r="V21" s="520">
        <f t="shared" ca="1" si="19"/>
        <v>-1</v>
      </c>
      <c r="W21" s="520">
        <f t="shared" ca="1" si="19"/>
        <v>-2</v>
      </c>
      <c r="X21" s="520">
        <f t="shared" ca="1" si="19"/>
        <v>3</v>
      </c>
      <c r="Y21" s="520">
        <f t="shared" ca="1" si="19"/>
        <v>-2</v>
      </c>
      <c r="AA21" s="542" t="s">
        <v>69</v>
      </c>
      <c r="AB21" s="543"/>
    </row>
    <row r="22" spans="1:28" ht="18.75" customHeight="1">
      <c r="N22" s="195"/>
      <c r="O22" s="72"/>
      <c r="Z22" s="367" t="s">
        <v>32</v>
      </c>
      <c r="AA22" s="526" t="s">
        <v>33</v>
      </c>
      <c r="AB22" s="223" t="s">
        <v>34</v>
      </c>
    </row>
    <row r="23" spans="1:28" ht="18.75" customHeight="1">
      <c r="A23" s="527" t="s">
        <v>68</v>
      </c>
      <c r="B23" s="527" t="s">
        <v>68</v>
      </c>
      <c r="C23" s="528"/>
      <c r="D23" s="529"/>
      <c r="E23" s="530">
        <v>10</v>
      </c>
      <c r="F23" s="530">
        <v>10</v>
      </c>
      <c r="G23" s="530">
        <v>13</v>
      </c>
      <c r="H23" s="530">
        <v>9</v>
      </c>
      <c r="I23" s="530">
        <v>10</v>
      </c>
      <c r="J23" s="530">
        <v>14</v>
      </c>
      <c r="K23" s="530">
        <v>17</v>
      </c>
      <c r="L23" s="530">
        <v>13</v>
      </c>
      <c r="M23" s="530">
        <v>10</v>
      </c>
      <c r="N23" s="531"/>
      <c r="O23" s="531"/>
      <c r="P23" s="527" t="s">
        <v>68</v>
      </c>
      <c r="Q23" s="530">
        <v>19</v>
      </c>
      <c r="R23" s="530">
        <v>13</v>
      </c>
      <c r="S23" s="530">
        <v>14</v>
      </c>
      <c r="T23" s="530">
        <v>14</v>
      </c>
      <c r="U23" s="530">
        <v>25</v>
      </c>
      <c r="V23" s="530">
        <v>24</v>
      </c>
      <c r="W23" s="530">
        <v>18</v>
      </c>
      <c r="X23" s="530">
        <v>18</v>
      </c>
      <c r="Y23" s="530">
        <v>18</v>
      </c>
      <c r="Z23" s="367" t="s">
        <v>36</v>
      </c>
      <c r="AA23" s="526" t="s">
        <v>37</v>
      </c>
      <c r="AB23" s="223" t="s">
        <v>38</v>
      </c>
    </row>
    <row r="24" spans="1:28" ht="18.75" customHeight="1">
      <c r="A24" s="368"/>
      <c r="B24" s="369" t="str">
        <f>B8</f>
        <v>TEES</v>
      </c>
      <c r="C24" s="370"/>
      <c r="D24" s="369"/>
      <c r="E24" s="229">
        <f>'FINAL COUNTDOWN'!B3</f>
        <v>1</v>
      </c>
      <c r="F24" s="229">
        <f>'FINAL COUNTDOWN'!B4</f>
        <v>0.5</v>
      </c>
      <c r="G24" s="229">
        <f>'FINAL COUNTDOWN'!B5</f>
        <v>1</v>
      </c>
      <c r="H24" s="229">
        <f>'FINAL COUNTDOWN'!B6</f>
        <v>0.5</v>
      </c>
      <c r="I24" s="229">
        <f>'FINAL COUNTDOWN'!B7</f>
        <v>0</v>
      </c>
      <c r="J24" s="229">
        <f>'FINAL COUNTDOWN'!B8</f>
        <v>0.5</v>
      </c>
      <c r="K24" s="229">
        <f>'FINAL COUNTDOWN'!B9</f>
        <v>0</v>
      </c>
      <c r="L24" s="229">
        <f>'FINAL COUNTDOWN'!B10</f>
        <v>1</v>
      </c>
      <c r="M24" s="229">
        <f>'FINAL COUNTDOWN'!B11</f>
        <v>0</v>
      </c>
      <c r="N24" s="369"/>
      <c r="O24" s="369"/>
      <c r="P24" s="369"/>
      <c r="Q24" s="229">
        <f>'FINAL COUNTDOWN'!B12</f>
        <v>0</v>
      </c>
      <c r="R24" s="229">
        <f>'FINAL COUNTDOWN'!B13</f>
        <v>2</v>
      </c>
      <c r="S24" s="229">
        <f>'FINAL COUNTDOWN'!B14</f>
        <v>0</v>
      </c>
      <c r="T24" s="229">
        <f>'FINAL COUNTDOWN'!B15</f>
        <v>0</v>
      </c>
      <c r="U24" s="229">
        <f>'FINAL COUNTDOWN'!B16</f>
        <v>0</v>
      </c>
      <c r="V24" s="229">
        <f>'FINAL COUNTDOWN'!B17</f>
        <v>2</v>
      </c>
      <c r="W24" s="229">
        <f>'FINAL COUNTDOWN'!B18</f>
        <v>0</v>
      </c>
      <c r="X24" s="229">
        <f>'FINAL COUNTDOWN'!B19</f>
        <v>0</v>
      </c>
      <c r="Y24" s="229">
        <f>'FINAL COUNTDOWN'!B20</f>
        <v>2</v>
      </c>
      <c r="Z24" s="372"/>
      <c r="AA24" s="372"/>
      <c r="AB24" s="368">
        <f>SUM(E24:Y24)</f>
        <v>10.5</v>
      </c>
    </row>
    <row r="25" spans="1:28" ht="18.75" customHeight="1">
      <c r="A25" s="193" t="str">
        <f>A8</f>
        <v>TJSC</v>
      </c>
      <c r="B25" s="193"/>
      <c r="C25" s="194"/>
      <c r="D25" s="194"/>
      <c r="E25" s="233">
        <f ca="1">IF('Captains Card 2'!E39&lt;SMALL('Captains Card 2'!E$39:E$46,E$19),1,
IF('Captains Card 2'!E39=SMALL('Captains Card 2'!E$39:E$46,E$19),
(E$19-COUNTIF('Captains Card 2'!E$39:E$46,"&lt;"&amp;SMALL('Captains Card 2'!E$39:E$46,E$19)))/COUNTIF('Captains Card 2'!E$39:E$46,SMALL('Captains Card 2'!E$39:E$46,E$19)),0))</f>
        <v>0.5</v>
      </c>
      <c r="F25" s="233">
        <f ca="1">IF('Captains Card 2'!F39&lt;SMALL('Captains Card 2'!F$39:F$46,F$19),1,
IF('Captains Card 2'!F39=SMALL('Captains Card 2'!F$39:F$46,F$19),
(F$19-COUNTIF('Captains Card 2'!F$39:F$46,"&lt;"&amp;SMALL('Captains Card 2'!F$39:F$46,F$19)))/COUNTIF('Captains Card 2'!F$39:F$46,SMALL('Captains Card 2'!F$39:F$46,F$19)),0))</f>
        <v>0</v>
      </c>
      <c r="G25" s="233">
        <f ca="1">IF('Captains Card 2'!G39&lt;SMALL('Captains Card 2'!G$39:G$46,G$19),1,
IF('Captains Card 2'!G39=SMALL('Captains Card 2'!G$39:G$46,G$19),
(G$19-COUNTIF('Captains Card 2'!G$39:G$46,"&lt;"&amp;SMALL('Captains Card 2'!G$39:G$46,G$19)))/COUNTIF('Captains Card 2'!G$39:G$46,SMALL('Captains Card 2'!G$39:G$46,G$19)),0))</f>
        <v>0</v>
      </c>
      <c r="H25" s="233">
        <f ca="1">IF('Captains Card 2'!H39&lt;SMALL('Captains Card 2'!H$39:H$46,H$19),1,
IF('Captains Card 2'!H39=SMALL('Captains Card 2'!H$39:H$46,H$19),
(H$19-COUNTIF('Captains Card 2'!H$39:H$46,"&lt;"&amp;SMALL('Captains Card 2'!H$39:H$46,H$19)))/COUNTIF('Captains Card 2'!H$39:H$46,SMALL('Captains Card 2'!H$39:H$46,H$19)),0))</f>
        <v>0</v>
      </c>
      <c r="I25" s="233">
        <f ca="1">IF('Captains Card 2'!I39&lt;SMALL('Captains Card 2'!I$39:I$46,I$19),1,
IF('Captains Card 2'!I39=SMALL('Captains Card 2'!I$39:I$46,I$19),
(I$19-COUNTIF('Captains Card 2'!I$39:I$46,"&lt;"&amp;SMALL('Captains Card 2'!I$39:I$46,I$19)))/COUNTIF('Captains Card 2'!I$39:I$46,SMALL('Captains Card 2'!I$39:I$46,I$19)),0))</f>
        <v>1</v>
      </c>
      <c r="J25" s="233">
        <f ca="1">IF('Captains Card 2'!J39&lt;SMALL('Captains Card 2'!J$39:J$46,J$19),1,
IF('Captains Card 2'!J39=SMALL('Captains Card 2'!J$39:J$46,J$19),
(J$19-COUNTIF('Captains Card 2'!J$39:J$46,"&lt;"&amp;SMALL('Captains Card 2'!J$39:J$46,J$19)))/COUNTIF('Captains Card 2'!J$39:J$46,SMALL('Captains Card 2'!J$39:J$46,J$19)),0))</f>
        <v>0.66666666666666663</v>
      </c>
      <c r="K25" s="233">
        <f ca="1">IF('Captains Card 2'!K39&lt;SMALL('Captains Card 2'!K$39:K$46,K$19),1,
IF('Captains Card 2'!K39=SMALL('Captains Card 2'!K$39:K$46,K$19),
(K$19-COUNTIF('Captains Card 2'!K$39:K$46,"&lt;"&amp;SMALL('Captains Card 2'!K$39:K$46,K$19)))/COUNTIF('Captains Card 2'!K$39:K$46,SMALL('Captains Card 2'!K$39:K$46,K$19)),0))</f>
        <v>0.4</v>
      </c>
      <c r="L25" s="233">
        <f ca="1">IF('Captains Card 2'!L39&lt;SMALL('Captains Card 2'!L$39:L$46,L$19),1,
IF('Captains Card 2'!L39=SMALL('Captains Card 2'!L$39:L$46,L$19),
(L$19-COUNTIF('Captains Card 2'!L$39:L$46,"&lt;"&amp;SMALL('Captains Card 2'!L$39:L$46,L$19)))/COUNTIF('Captains Card 2'!L$39:L$46,SMALL('Captains Card 2'!L$39:L$46,L$19)),0))</f>
        <v>0.33333333333333331</v>
      </c>
      <c r="M25" s="233">
        <f ca="1">IF('Captains Card 2'!M39&lt;SMALL('Captains Card 2'!M$39:M$46,M$19),1,
IF('Captains Card 2'!M39=SMALL('Captains Card 2'!M$39:M$46,M$19),
(M$19-COUNTIF('Captains Card 2'!M$39:M$46,"&lt;"&amp;SMALL('Captains Card 2'!M$39:M$46,M$19)))/COUNTIF('Captains Card 2'!M$39:M$46,SMALL('Captains Card 2'!M$39:M$46,M$19)),0))</f>
        <v>0.4</v>
      </c>
      <c r="N25" s="193"/>
      <c r="O25" s="364"/>
      <c r="P25" s="193"/>
      <c r="Q25" s="233">
        <f ca="1">IF('Captains Card 2'!Q39&lt;SMALL('Captains Card 2'!Q$39:Q$46,Q$19),1,
IF('Captains Card 2'!Q39=SMALL('Captains Card 2'!Q$39:Q$46,Q$19),
(Q$19-COUNTIF('Captains Card 2'!Q$39:Q$46,"&lt;"&amp;SMALL('Captains Card 2'!Q$39:Q$46,Q$19)))/COUNTIF('Captains Card 2'!Q$39:Q$46,SMALL('Captains Card 2'!Q$39:Q$46,Q$19)),0))</f>
        <v>0.6</v>
      </c>
      <c r="R25" s="233">
        <f ca="1">IF('Captains Card 2'!R39&lt;SMALL('Captains Card 2'!R$39:R$46,R$19),1,
IF('Captains Card 2'!R39=SMALL('Captains Card 2'!R$39:R$46,R$19),
(R$19-COUNTIF('Captains Card 2'!R$39:R$46,"&lt;"&amp;SMALL('Captains Card 2'!R$39:R$46,R$19)))/COUNTIF('Captains Card 2'!R$39:R$46,SMALL('Captains Card 2'!R$39:R$46,R$19)),0))</f>
        <v>0</v>
      </c>
      <c r="S25" s="233">
        <f ca="1">IF('Captains Card 2'!S39&lt;SMALL('Captains Card 2'!S$39:S$46,S$19),1,
IF('Captains Card 2'!S39=SMALL('Captains Card 2'!S$39:S$46,S$19),
(S$19-COUNTIF('Captains Card 2'!S$39:S$46,"&lt;"&amp;SMALL('Captains Card 2'!S$39:S$46,S$19)))/COUNTIF('Captains Card 2'!S$39:S$46,SMALL('Captains Card 2'!S$39:S$46,S$19)),0))</f>
        <v>0</v>
      </c>
      <c r="T25" s="233">
        <f ca="1">IF('Captains Card 2'!T39&lt;SMALL('Captains Card 2'!T$39:T$46,T$19),1,
IF('Captains Card 2'!T39=SMALL('Captains Card 2'!T$39:T$46,T$19),
(T$19-COUNTIF('Captains Card 2'!T$39:T$46,"&lt;"&amp;SMALL('Captains Card 2'!T$39:T$46,T$19)))/COUNTIF('Captains Card 2'!T$39:T$46,SMALL('Captains Card 2'!T$39:T$46,T$19)),0))</f>
        <v>1</v>
      </c>
      <c r="U25" s="233">
        <f ca="1">IF('Captains Card 2'!U39&lt;SMALL('Captains Card 2'!U$39:U$46,U$19),1,
IF('Captains Card 2'!U39=SMALL('Captains Card 2'!U$39:U$46,U$19),
(U$19-COUNTIF('Captains Card 2'!U$39:U$46,"&lt;"&amp;SMALL('Captains Card 2'!U$39:U$46,U$19)))/COUNTIF('Captains Card 2'!U$39:U$46,SMALL('Captains Card 2'!U$39:U$46,U$19)),0))</f>
        <v>0.66666666666666663</v>
      </c>
      <c r="V25" s="233">
        <f ca="1">IF('Captains Card 2'!V39&lt;SMALL('Captains Card 2'!V$39:V$46,V$19),1,
IF('Captains Card 2'!V39=SMALL('Captains Card 2'!V$39:V$46,V$19),
(V$19-COUNTIF('Captains Card 2'!V$39:V$46,"&lt;"&amp;SMALL('Captains Card 2'!V$39:V$46,V$19)))/COUNTIF('Captains Card 2'!V$39:V$46,SMALL('Captains Card 2'!V$39:V$46,V$19)),0))</f>
        <v>0</v>
      </c>
      <c r="W25" s="233">
        <f ca="1">IF('Captains Card 2'!W39&lt;SMALL('Captains Card 2'!W$39:W$46,W$19),1,
IF('Captains Card 2'!W39=SMALL('Captains Card 2'!W$39:W$46,W$19),
(W$19-COUNTIF('Captains Card 2'!W$39:W$46,"&lt;"&amp;SMALL('Captains Card 2'!W$39:W$46,W$19)))/COUNTIF('Captains Card 2'!W$39:W$46,SMALL('Captains Card 2'!W$39:W$46,W$19)),0))</f>
        <v>0</v>
      </c>
      <c r="X25" s="233">
        <f ca="1">IF('Captains Card 2'!X39&lt;SMALL('Captains Card 2'!X$39:X$46,X$19),1,
IF('Captains Card 2'!X39=SMALL('Captains Card 2'!X$39:X$46,X$19),
(X$19-COUNTIF('Captains Card 2'!X$39:X$46,"&lt;"&amp;SMALL('Captains Card 2'!X$39:X$46,X$19)))/COUNTIF('Captains Card 2'!X$39:X$46,SMALL('Captains Card 2'!X$39:X$46,X$19)),0))</f>
        <v>1</v>
      </c>
      <c r="Y25" s="233">
        <f ca="1">IF('Captains Card 2'!Y39&lt;SMALL('Captains Card 2'!Y$39:Y$46,Y$19),1,
IF('Captains Card 2'!Y39=SMALL('Captains Card 2'!Y$39:Y$46,Y$19),
(Y$19-COUNTIF('Captains Card 2'!Y$39:Y$46,"&lt;"&amp;SMALL('Captains Card 2'!Y$39:Y$46,Y$19)))/COUNTIF('Captains Card 2'!Y$39:Y$46,SMALL('Captains Card 2'!Y$39:Y$46,Y$19)),0))</f>
        <v>1</v>
      </c>
      <c r="Z25" s="532">
        <f t="shared" ref="Z25:Z28" ca="1" si="20">SUM(E25:M25,Q25:Y25)</f>
        <v>7.5666666666666673</v>
      </c>
      <c r="AA25" s="234">
        <f t="shared" ref="AA25:AA28" ca="1" si="21">SUMIF($E$24:$M$24,"&gt;0.5",E25:M25)+SUMIF($E$24:$M$24,0.5,E25:M25)/2+SUMIF($Q$24:$Y$24,"&gt;1",Q25:Y25)+SUMIF($Q$24:$Y$24,1,Q25:Y25)/2</f>
        <v>2.1666666666666665</v>
      </c>
      <c r="AB25" s="233">
        <f t="shared" ref="AB25:AB28" ca="1" si="22">Z25/(SUM($E$19:$M$19,$Q$19:$Y$19))*$AB$24</f>
        <v>1.1034722222222222</v>
      </c>
    </row>
    <row r="26" spans="1:28" ht="18.75" customHeight="1">
      <c r="A26" s="193" t="str">
        <f>A11</f>
        <v>CuzNick</v>
      </c>
      <c r="B26" s="193"/>
      <c r="C26" s="194"/>
      <c r="D26" s="194"/>
      <c r="E26" s="233">
        <f ca="1">IF('Captains Card 2'!E40&lt;SMALL('Captains Card 2'!E$39:E$46,E$19),1,
IF('Captains Card 2'!E40=SMALL('Captains Card 2'!E$39:E$46,E$19),
(E$19-COUNTIF('Captains Card 2'!E$39:E$46,"&lt;"&amp;SMALL('Captains Card 2'!E$39:E$46,E$19)))/COUNTIF('Captains Card 2'!E$39:E$46,SMALL('Captains Card 2'!E$39:E$46,E$19)),0))</f>
        <v>0</v>
      </c>
      <c r="F26" s="233">
        <f ca="1">IF('Captains Card 2'!F40&lt;SMALL('Captains Card 2'!F$39:F$46,F$19),1,
IF('Captains Card 2'!F40=SMALL('Captains Card 2'!F$39:F$46,F$19),
(F$19-COUNTIF('Captains Card 2'!F$39:F$46,"&lt;"&amp;SMALL('Captains Card 2'!F$39:F$46,F$19)))/COUNTIF('Captains Card 2'!F$39:F$46,SMALL('Captains Card 2'!F$39:F$46,F$19)),0))</f>
        <v>0.25</v>
      </c>
      <c r="G26" s="233">
        <f ca="1">IF('Captains Card 2'!G40&lt;SMALL('Captains Card 2'!G$39:G$46,G$19),1,
IF('Captains Card 2'!G40=SMALL('Captains Card 2'!G$39:G$46,G$19),
(G$19-COUNTIF('Captains Card 2'!G$39:G$46,"&lt;"&amp;SMALL('Captains Card 2'!G$39:G$46,G$19)))/COUNTIF('Captains Card 2'!G$39:G$46,SMALL('Captains Card 2'!G$39:G$46,G$19)),0))</f>
        <v>0.25</v>
      </c>
      <c r="H26" s="233">
        <f ca="1">IF('Captains Card 2'!H40&lt;SMALL('Captains Card 2'!H$39:H$46,H$19),1,
IF('Captains Card 2'!H40=SMALL('Captains Card 2'!H$39:H$46,H$19),
(H$19-COUNTIF('Captains Card 2'!H$39:H$46,"&lt;"&amp;SMALL('Captains Card 2'!H$39:H$46,H$19)))/COUNTIF('Captains Card 2'!H$39:H$46,SMALL('Captains Card 2'!H$39:H$46,H$19)),0))</f>
        <v>0</v>
      </c>
      <c r="I26" s="233">
        <f ca="1">IF('Captains Card 2'!I40&lt;SMALL('Captains Card 2'!I$39:I$46,I$19),1,
IF('Captains Card 2'!I40=SMALL('Captains Card 2'!I$39:I$46,I$19),
(I$19-COUNTIF('Captains Card 2'!I$39:I$46,"&lt;"&amp;SMALL('Captains Card 2'!I$39:I$46,I$19)))/COUNTIF('Captains Card 2'!I$39:I$46,SMALL('Captains Card 2'!I$39:I$46,I$19)),0))</f>
        <v>0.5</v>
      </c>
      <c r="J26" s="233">
        <f ca="1">IF('Captains Card 2'!J40&lt;SMALL('Captains Card 2'!J$39:J$46,J$19),1,
IF('Captains Card 2'!J40=SMALL('Captains Card 2'!J$39:J$46,J$19),
(J$19-COUNTIF('Captains Card 2'!J$39:J$46,"&lt;"&amp;SMALL('Captains Card 2'!J$39:J$46,J$19)))/COUNTIF('Captains Card 2'!J$39:J$46,SMALL('Captains Card 2'!J$39:J$46,J$19)),0))</f>
        <v>0</v>
      </c>
      <c r="K26" s="233">
        <f ca="1">IF('Captains Card 2'!K40&lt;SMALL('Captains Card 2'!K$39:K$46,K$19),1,
IF('Captains Card 2'!K40=SMALL('Captains Card 2'!K$39:K$46,K$19),
(K$19-COUNTIF('Captains Card 2'!K$39:K$46,"&lt;"&amp;SMALL('Captains Card 2'!K$39:K$46,K$19)))/COUNTIF('Captains Card 2'!K$39:K$46,SMALL('Captains Card 2'!K$39:K$46,K$19)),0))</f>
        <v>1</v>
      </c>
      <c r="L26" s="233">
        <f ca="1">IF('Captains Card 2'!L40&lt;SMALL('Captains Card 2'!L$39:L$46,L$19),1,
IF('Captains Card 2'!L40=SMALL('Captains Card 2'!L$39:L$46,L$19),
(L$19-COUNTIF('Captains Card 2'!L$39:L$46,"&lt;"&amp;SMALL('Captains Card 2'!L$39:L$46,L$19)))/COUNTIF('Captains Card 2'!L$39:L$46,SMALL('Captains Card 2'!L$39:L$46,L$19)),0))</f>
        <v>0.33333333333333331</v>
      </c>
      <c r="M26" s="233">
        <f ca="1">IF('Captains Card 2'!M40&lt;SMALL('Captains Card 2'!M$39:M$46,M$19),1,
IF('Captains Card 2'!M40=SMALL('Captains Card 2'!M$39:M$46,M$19),
(M$19-COUNTIF('Captains Card 2'!M$39:M$46,"&lt;"&amp;SMALL('Captains Card 2'!M$39:M$46,M$19)))/COUNTIF('Captains Card 2'!M$39:M$46,SMALL('Captains Card 2'!M$39:M$46,M$19)),0))</f>
        <v>1</v>
      </c>
      <c r="N26" s="193"/>
      <c r="O26" s="364"/>
      <c r="P26" s="193"/>
      <c r="Q26" s="233">
        <f ca="1">IF('Captains Card 2'!Q40&lt;SMALL('Captains Card 2'!Q$39:Q$46,Q$19),1,
IF('Captains Card 2'!Q40=SMALL('Captains Card 2'!Q$39:Q$46,Q$19),
(Q$19-COUNTIF('Captains Card 2'!Q$39:Q$46,"&lt;"&amp;SMALL('Captains Card 2'!Q$39:Q$46,Q$19)))/COUNTIF('Captains Card 2'!Q$39:Q$46,SMALL('Captains Card 2'!Q$39:Q$46,Q$19)),0))</f>
        <v>0.6</v>
      </c>
      <c r="R26" s="233">
        <f ca="1">IF('Captains Card 2'!R40&lt;SMALL('Captains Card 2'!R$39:R$46,R$19),1,
IF('Captains Card 2'!R40=SMALL('Captains Card 2'!R$39:R$46,R$19),
(R$19-COUNTIF('Captains Card 2'!R$39:R$46,"&lt;"&amp;SMALL('Captains Card 2'!R$39:R$46,R$19)))/COUNTIF('Captains Card 2'!R$39:R$46,SMALL('Captains Card 2'!R$39:R$46,R$19)),0))</f>
        <v>1</v>
      </c>
      <c r="S26" s="233">
        <f ca="1">IF('Captains Card 2'!S40&lt;SMALL('Captains Card 2'!S$39:S$46,S$19),1,
IF('Captains Card 2'!S40=SMALL('Captains Card 2'!S$39:S$46,S$19),
(S$19-COUNTIF('Captains Card 2'!S$39:S$46,"&lt;"&amp;SMALL('Captains Card 2'!S$39:S$46,S$19)))/COUNTIF('Captains Card 2'!S$39:S$46,SMALL('Captains Card 2'!S$39:S$46,S$19)),0))</f>
        <v>0.66666666666666663</v>
      </c>
      <c r="T26" s="233">
        <f ca="1">IF('Captains Card 2'!T40&lt;SMALL('Captains Card 2'!T$39:T$46,T$19),1,
IF('Captains Card 2'!T40=SMALL('Captains Card 2'!T$39:T$46,T$19),
(T$19-COUNTIF('Captains Card 2'!T$39:T$46,"&lt;"&amp;SMALL('Captains Card 2'!T$39:T$46,T$19)))/COUNTIF('Captains Card 2'!T$39:T$46,SMALL('Captains Card 2'!T$39:T$46,T$19)),0))</f>
        <v>1</v>
      </c>
      <c r="U26" s="233">
        <f ca="1">IF('Captains Card 2'!U40&lt;SMALL('Captains Card 2'!U$39:U$46,U$19),1,
IF('Captains Card 2'!U40=SMALL('Captains Card 2'!U$39:U$46,U$19),
(U$19-COUNTIF('Captains Card 2'!U$39:U$46,"&lt;"&amp;SMALL('Captains Card 2'!U$39:U$46,U$19)))/COUNTIF('Captains Card 2'!U$39:U$46,SMALL('Captains Card 2'!U$39:U$46,U$19)),0))</f>
        <v>0</v>
      </c>
      <c r="V26" s="233">
        <f ca="1">IF('Captains Card 2'!V40&lt;SMALL('Captains Card 2'!V$39:V$46,V$19),1,
IF('Captains Card 2'!V40=SMALL('Captains Card 2'!V$39:V$46,V$19),
(V$19-COUNTIF('Captains Card 2'!V$39:V$46,"&lt;"&amp;SMALL('Captains Card 2'!V$39:V$46,V$19)))/COUNTIF('Captains Card 2'!V$39:V$46,SMALL('Captains Card 2'!V$39:V$46,V$19)),0))</f>
        <v>1</v>
      </c>
      <c r="W26" s="233">
        <f ca="1">IF('Captains Card 2'!W40&lt;SMALL('Captains Card 2'!W$39:W$46,W$19),1,
IF('Captains Card 2'!W40=SMALL('Captains Card 2'!W$39:W$46,W$19),
(W$19-COUNTIF('Captains Card 2'!W$39:W$46,"&lt;"&amp;SMALL('Captains Card 2'!W$39:W$46,W$19)))/COUNTIF('Captains Card 2'!W$39:W$46,SMALL('Captains Card 2'!W$39:W$46,W$19)),0))</f>
        <v>1</v>
      </c>
      <c r="X26" s="233">
        <f ca="1">IF('Captains Card 2'!X40&lt;SMALL('Captains Card 2'!X$39:X$46,X$19),1,
IF('Captains Card 2'!X40=SMALL('Captains Card 2'!X$39:X$46,X$19),
(X$19-COUNTIF('Captains Card 2'!X$39:X$46,"&lt;"&amp;SMALL('Captains Card 2'!X$39:X$46,X$19)))/COUNTIF('Captains Card 2'!X$39:X$46,SMALL('Captains Card 2'!X$39:X$46,X$19)),0))</f>
        <v>1</v>
      </c>
      <c r="Y26" s="233">
        <f ca="1">IF('Captains Card 2'!Y40&lt;SMALL('Captains Card 2'!Y$39:Y$46,Y$19),1,
IF('Captains Card 2'!Y40=SMALL('Captains Card 2'!Y$39:Y$46,Y$19),
(Y$19-COUNTIF('Captains Card 2'!Y$39:Y$46,"&lt;"&amp;SMALL('Captains Card 2'!Y$39:Y$46,Y$19)))/COUNTIF('Captains Card 2'!Y$39:Y$46,SMALL('Captains Card 2'!Y$39:Y$46,Y$19)),0))</f>
        <v>0</v>
      </c>
      <c r="Z26" s="532">
        <f t="shared" ca="1" si="20"/>
        <v>9.6000000000000014</v>
      </c>
      <c r="AA26" s="234">
        <f t="shared" ca="1" si="21"/>
        <v>2.708333333333333</v>
      </c>
      <c r="AB26" s="233">
        <f t="shared" ca="1" si="22"/>
        <v>1.4000000000000004</v>
      </c>
    </row>
    <row r="27" spans="1:28" ht="18.75" customHeight="1">
      <c r="A27" s="193" t="str">
        <f>A14</f>
        <v>DK</v>
      </c>
      <c r="B27" s="193"/>
      <c r="C27" s="194"/>
      <c r="D27" s="194"/>
      <c r="E27" s="233">
        <f ca="1">IF('Captains Card 2'!E41&lt;SMALL('Captains Card 2'!E$39:E$46,E$19),1,
IF('Captains Card 2'!E41=SMALL('Captains Card 2'!E$39:E$46,E$19),
(E$19-COUNTIF('Captains Card 2'!E$39:E$46,"&lt;"&amp;SMALL('Captains Card 2'!E$39:E$46,E$19)))/COUNTIF('Captains Card 2'!E$39:E$46,SMALL('Captains Card 2'!E$39:E$46,E$19)),0))</f>
        <v>0.5</v>
      </c>
      <c r="F27" s="233">
        <f ca="1">IF('Captains Card 2'!F41&lt;SMALL('Captains Card 2'!F$39:F$46,F$19),1,
IF('Captains Card 2'!F41=SMALL('Captains Card 2'!F$39:F$46,F$19),
(F$19-COUNTIF('Captains Card 2'!F$39:F$46,"&lt;"&amp;SMALL('Captains Card 2'!F$39:F$46,F$19)))/COUNTIF('Captains Card 2'!F$39:F$46,SMALL('Captains Card 2'!F$39:F$46,F$19)),0))</f>
        <v>0.25</v>
      </c>
      <c r="G27" s="233">
        <f ca="1">IF('Captains Card 2'!G41&lt;SMALL('Captains Card 2'!G$39:G$46,G$19),1,
IF('Captains Card 2'!G41=SMALL('Captains Card 2'!G$39:G$46,G$19),
(G$19-COUNTIF('Captains Card 2'!G$39:G$46,"&lt;"&amp;SMALL('Captains Card 2'!G$39:G$46,G$19)))/COUNTIF('Captains Card 2'!G$39:G$46,SMALL('Captains Card 2'!G$39:G$46,G$19)),0))</f>
        <v>0.25</v>
      </c>
      <c r="H27" s="233">
        <f ca="1">IF('Captains Card 2'!H41&lt;SMALL('Captains Card 2'!H$39:H$46,H$19),1,
IF('Captains Card 2'!H41=SMALL('Captains Card 2'!H$39:H$46,H$19),
(H$19-COUNTIF('Captains Card 2'!H$39:H$46,"&lt;"&amp;SMALL('Captains Card 2'!H$39:H$46,H$19)))/COUNTIF('Captains Card 2'!H$39:H$46,SMALL('Captains Card 2'!H$39:H$46,H$19)),0))</f>
        <v>0</v>
      </c>
      <c r="I27" s="233">
        <f ca="1">IF('Captains Card 2'!I41&lt;SMALL('Captains Card 2'!I$39:I$46,I$19),1,
IF('Captains Card 2'!I41=SMALL('Captains Card 2'!I$39:I$46,I$19),
(I$19-COUNTIF('Captains Card 2'!I$39:I$46,"&lt;"&amp;SMALL('Captains Card 2'!I$39:I$46,I$19)))/COUNTIF('Captains Card 2'!I$39:I$46,SMALL('Captains Card 2'!I$39:I$46,I$19)),0))</f>
        <v>0</v>
      </c>
      <c r="J27" s="233">
        <f ca="1">IF('Captains Card 2'!J41&lt;SMALL('Captains Card 2'!J$39:J$46,J$19),1,
IF('Captains Card 2'!J41=SMALL('Captains Card 2'!J$39:J$46,J$19),
(J$19-COUNTIF('Captains Card 2'!J$39:J$46,"&lt;"&amp;SMALL('Captains Card 2'!J$39:J$46,J$19)))/COUNTIF('Captains Card 2'!J$39:J$46,SMALL('Captains Card 2'!J$39:J$46,J$19)),0))</f>
        <v>1</v>
      </c>
      <c r="K27" s="233">
        <f ca="1">IF('Captains Card 2'!K41&lt;SMALL('Captains Card 2'!K$39:K$46,K$19),1,
IF('Captains Card 2'!K41=SMALL('Captains Card 2'!K$39:K$46,K$19),
(K$19-COUNTIF('Captains Card 2'!K$39:K$46,"&lt;"&amp;SMALL('Captains Card 2'!K$39:K$46,K$19)))/COUNTIF('Captains Card 2'!K$39:K$46,SMALL('Captains Card 2'!K$39:K$46,K$19)),0))</f>
        <v>0.4</v>
      </c>
      <c r="L27" s="233">
        <f ca="1">IF('Captains Card 2'!L41&lt;SMALL('Captains Card 2'!L$39:L$46,L$19),1,
IF('Captains Card 2'!L41=SMALL('Captains Card 2'!L$39:L$46,L$19),
(L$19-COUNTIF('Captains Card 2'!L$39:L$46,"&lt;"&amp;SMALL('Captains Card 2'!L$39:L$46,L$19)))/COUNTIF('Captains Card 2'!L$39:L$46,SMALL('Captains Card 2'!L$39:L$46,L$19)),0))</f>
        <v>1</v>
      </c>
      <c r="M27" s="233">
        <f ca="1">IF('Captains Card 2'!M41&lt;SMALL('Captains Card 2'!M$39:M$46,M$19),1,
IF('Captains Card 2'!M41=SMALL('Captains Card 2'!M$39:M$46,M$19),
(M$19-COUNTIF('Captains Card 2'!M$39:M$46,"&lt;"&amp;SMALL('Captains Card 2'!M$39:M$46,M$19)))/COUNTIF('Captains Card 2'!M$39:M$46,SMALL('Captains Card 2'!M$39:M$46,M$19)),0))</f>
        <v>0.4</v>
      </c>
      <c r="N27" s="193"/>
      <c r="O27" s="364"/>
      <c r="P27" s="193"/>
      <c r="Q27" s="233">
        <f ca="1">IF('Captains Card 2'!Q41&lt;SMALL('Captains Card 2'!Q$39:Q$46,Q$19),1,
IF('Captains Card 2'!Q41=SMALL('Captains Card 2'!Q$39:Q$46,Q$19),
(Q$19-COUNTIF('Captains Card 2'!Q$39:Q$46,"&lt;"&amp;SMALL('Captains Card 2'!Q$39:Q$46,Q$19)))/COUNTIF('Captains Card 2'!Q$39:Q$46,SMALL('Captains Card 2'!Q$39:Q$46,Q$19)),0))</f>
        <v>1</v>
      </c>
      <c r="R27" s="233">
        <f ca="1">IF('Captains Card 2'!R41&lt;SMALL('Captains Card 2'!R$39:R$46,R$19),1,
IF('Captains Card 2'!R41=SMALL('Captains Card 2'!R$39:R$46,R$19),
(R$19-COUNTIF('Captains Card 2'!R$39:R$46,"&lt;"&amp;SMALL('Captains Card 2'!R$39:R$46,R$19)))/COUNTIF('Captains Card 2'!R$39:R$46,SMALL('Captains Card 2'!R$39:R$46,R$19)),0))</f>
        <v>0</v>
      </c>
      <c r="S27" s="233">
        <f ca="1">IF('Captains Card 2'!S41&lt;SMALL('Captains Card 2'!S$39:S$46,S$19),1,
IF('Captains Card 2'!S41=SMALL('Captains Card 2'!S$39:S$46,S$19),
(S$19-COUNTIF('Captains Card 2'!S$39:S$46,"&lt;"&amp;SMALL('Captains Card 2'!S$39:S$46,S$19)))/COUNTIF('Captains Card 2'!S$39:S$46,SMALL('Captains Card 2'!S$39:S$46,S$19)),0))</f>
        <v>1</v>
      </c>
      <c r="T27" s="233">
        <f ca="1">IF('Captains Card 2'!T41&lt;SMALL('Captains Card 2'!T$39:T$46,T$19),1,
IF('Captains Card 2'!T41=SMALL('Captains Card 2'!T$39:T$46,T$19),
(T$19-COUNTIF('Captains Card 2'!T$39:T$46,"&lt;"&amp;SMALL('Captains Card 2'!T$39:T$46,T$19)))/COUNTIF('Captains Card 2'!T$39:T$46,SMALL('Captains Card 2'!T$39:T$46,T$19)),0))</f>
        <v>1</v>
      </c>
      <c r="U27" s="233">
        <f ca="1">IF('Captains Card 2'!U41&lt;SMALL('Captains Card 2'!U$39:U$46,U$19),1,
IF('Captains Card 2'!U41=SMALL('Captains Card 2'!U$39:U$46,U$19),
(U$19-COUNTIF('Captains Card 2'!U$39:U$46,"&lt;"&amp;SMALL('Captains Card 2'!U$39:U$46,U$19)))/COUNTIF('Captains Card 2'!U$39:U$46,SMALL('Captains Card 2'!U$39:U$46,U$19)),0))</f>
        <v>1</v>
      </c>
      <c r="V27" s="233">
        <f ca="1">IF('Captains Card 2'!V41&lt;SMALL('Captains Card 2'!V$39:V$46,V$19),1,
IF('Captains Card 2'!V41=SMALL('Captains Card 2'!V$39:V$46,V$19),
(V$19-COUNTIF('Captains Card 2'!V$39:V$46,"&lt;"&amp;SMALL('Captains Card 2'!V$39:V$46,V$19)))/COUNTIF('Captains Card 2'!V$39:V$46,SMALL('Captains Card 2'!V$39:V$46,V$19)),0))</f>
        <v>1</v>
      </c>
      <c r="W27" s="233">
        <f ca="1">IF('Captains Card 2'!W41&lt;SMALL('Captains Card 2'!W$39:W$46,W$19),1,
IF('Captains Card 2'!W41=SMALL('Captains Card 2'!W$39:W$46,W$19),
(W$19-COUNTIF('Captains Card 2'!W$39:W$46,"&lt;"&amp;SMALL('Captains Card 2'!W$39:W$46,W$19)))/COUNTIF('Captains Card 2'!W$39:W$46,SMALL('Captains Card 2'!W$39:W$46,W$19)),0))</f>
        <v>1</v>
      </c>
      <c r="X27" s="233">
        <f ca="1">IF('Captains Card 2'!X41&lt;SMALL('Captains Card 2'!X$39:X$46,X$19),1,
IF('Captains Card 2'!X41=SMALL('Captains Card 2'!X$39:X$46,X$19),
(X$19-COUNTIF('Captains Card 2'!X$39:X$46,"&lt;"&amp;SMALL('Captains Card 2'!X$39:X$46,X$19)))/COUNTIF('Captains Card 2'!X$39:X$46,SMALL('Captains Card 2'!X$39:X$46,X$19)),0))</f>
        <v>1</v>
      </c>
      <c r="Y27" s="233">
        <f ca="1">IF('Captains Card 2'!Y41&lt;SMALL('Captains Card 2'!Y$39:Y$46,Y$19),1,
IF('Captains Card 2'!Y41=SMALL('Captains Card 2'!Y$39:Y$46,Y$19),
(Y$19-COUNTIF('Captains Card 2'!Y$39:Y$46,"&lt;"&amp;SMALL('Captains Card 2'!Y$39:Y$46,Y$19)))/COUNTIF('Captains Card 2'!Y$39:Y$46,SMALL('Captains Card 2'!Y$39:Y$46,Y$19)),0))</f>
        <v>1</v>
      </c>
      <c r="Z27" s="532">
        <f t="shared" ca="1" si="20"/>
        <v>11.8</v>
      </c>
      <c r="AA27" s="234">
        <f t="shared" ca="1" si="21"/>
        <v>4.375</v>
      </c>
      <c r="AB27" s="233">
        <f t="shared" ca="1" si="22"/>
        <v>1.7208333333333334</v>
      </c>
    </row>
    <row r="28" spans="1:28" ht="18.75" customHeight="1">
      <c r="A28" s="193" t="str">
        <f>A17</f>
        <v>R-Mac</v>
      </c>
      <c r="B28" s="193"/>
      <c r="C28" s="194"/>
      <c r="D28" s="194"/>
      <c r="E28" s="233">
        <f ca="1">IF('Captains Card 2'!E42&lt;SMALL('Captains Card 2'!E$39:E$46,E$19),1,
IF('Captains Card 2'!E42=SMALL('Captains Card 2'!E$39:E$46,E$19),
(E$19-COUNTIF('Captains Card 2'!E$39:E$46,"&lt;"&amp;SMALL('Captains Card 2'!E$39:E$46,E$19)))/COUNTIF('Captains Card 2'!E$39:E$46,SMALL('Captains Card 2'!E$39:E$46,E$19)),0))</f>
        <v>0.5</v>
      </c>
      <c r="F28" s="233">
        <f ca="1">IF('Captains Card 2'!F42&lt;SMALL('Captains Card 2'!F$39:F$46,F$19),1,
IF('Captains Card 2'!F42=SMALL('Captains Card 2'!F$39:F$46,F$19),
(F$19-COUNTIF('Captains Card 2'!F$39:F$46,"&lt;"&amp;SMALL('Captains Card 2'!F$39:F$46,F$19)))/COUNTIF('Captains Card 2'!F$39:F$46,SMALL('Captains Card 2'!F$39:F$46,F$19)),0))</f>
        <v>0.25</v>
      </c>
      <c r="G28" s="233">
        <f ca="1">IF('Captains Card 2'!G42&lt;SMALL('Captains Card 2'!G$39:G$46,G$19),1,
IF('Captains Card 2'!G42=SMALL('Captains Card 2'!G$39:G$46,G$19),
(G$19-COUNTIF('Captains Card 2'!G$39:G$46,"&lt;"&amp;SMALL('Captains Card 2'!G$39:G$46,G$19)))/COUNTIF('Captains Card 2'!G$39:G$46,SMALL('Captains Card 2'!G$39:G$46,G$19)),0))</f>
        <v>0</v>
      </c>
      <c r="H28" s="233">
        <f ca="1">IF('Captains Card 2'!H42&lt;SMALL('Captains Card 2'!H$39:H$46,H$19),1,
IF('Captains Card 2'!H42=SMALL('Captains Card 2'!H$39:H$46,H$19),
(H$19-COUNTIF('Captains Card 2'!H$39:H$46,"&lt;"&amp;SMALL('Captains Card 2'!H$39:H$46,H$19)))/COUNTIF('Captains Card 2'!H$39:H$46,SMALL('Captains Card 2'!H$39:H$46,H$19)),0))</f>
        <v>0</v>
      </c>
      <c r="I28" s="233">
        <f ca="1">IF('Captains Card 2'!I42&lt;SMALL('Captains Card 2'!I$39:I$46,I$19),1,
IF('Captains Card 2'!I42=SMALL('Captains Card 2'!I$39:I$46,I$19),
(I$19-COUNTIF('Captains Card 2'!I$39:I$46,"&lt;"&amp;SMALL('Captains Card 2'!I$39:I$46,I$19)))/COUNTIF('Captains Card 2'!I$39:I$46,SMALL('Captains Card 2'!I$39:I$46,I$19)),0))</f>
        <v>0</v>
      </c>
      <c r="J28" s="233">
        <f ca="1">IF('Captains Card 2'!J42&lt;SMALL('Captains Card 2'!J$39:J$46,J$19),1,
IF('Captains Card 2'!J42=SMALL('Captains Card 2'!J$39:J$46,J$19),
(J$19-COUNTIF('Captains Card 2'!J$39:J$46,"&lt;"&amp;SMALL('Captains Card 2'!J$39:J$46,J$19)))/COUNTIF('Captains Card 2'!J$39:J$46,SMALL('Captains Card 2'!J$39:J$46,J$19)),0))</f>
        <v>0</v>
      </c>
      <c r="K28" s="233">
        <f ca="1">IF('Captains Card 2'!K42&lt;SMALL('Captains Card 2'!K$39:K$46,K$19),1,
IF('Captains Card 2'!K42=SMALL('Captains Card 2'!K$39:K$46,K$19),
(K$19-COUNTIF('Captains Card 2'!K$39:K$46,"&lt;"&amp;SMALL('Captains Card 2'!K$39:K$46,K$19)))/COUNTIF('Captains Card 2'!K$39:K$46,SMALL('Captains Card 2'!K$39:K$46,K$19)),0))</f>
        <v>1</v>
      </c>
      <c r="L28" s="233">
        <f ca="1">IF('Captains Card 2'!L42&lt;SMALL('Captains Card 2'!L$39:L$46,L$19),1,
IF('Captains Card 2'!L42=SMALL('Captains Card 2'!L$39:L$46,L$19),
(L$19-COUNTIF('Captains Card 2'!L$39:L$46,"&lt;"&amp;SMALL('Captains Card 2'!L$39:L$46,L$19)))/COUNTIF('Captains Card 2'!L$39:L$46,SMALL('Captains Card 2'!L$39:L$46,L$19)),0))</f>
        <v>0.33333333333333331</v>
      </c>
      <c r="M28" s="233">
        <f ca="1">IF('Captains Card 2'!M42&lt;SMALL('Captains Card 2'!M$39:M$46,M$19),1,
IF('Captains Card 2'!M42=SMALL('Captains Card 2'!M$39:M$46,M$19),
(M$19-COUNTIF('Captains Card 2'!M$39:M$46,"&lt;"&amp;SMALL('Captains Card 2'!M$39:M$46,M$19)))/COUNTIF('Captains Card 2'!M$39:M$46,SMALL('Captains Card 2'!M$39:M$46,M$19)),0))</f>
        <v>0.4</v>
      </c>
      <c r="N28" s="193"/>
      <c r="O28" s="364"/>
      <c r="P28" s="193"/>
      <c r="Q28" s="233">
        <f ca="1">IF('Captains Card 2'!Q42&lt;SMALL('Captains Card 2'!Q$39:Q$46,Q$19),1,
IF('Captains Card 2'!Q42=SMALL('Captains Card 2'!Q$39:Q$46,Q$19),
(Q$19-COUNTIF('Captains Card 2'!Q$39:Q$46,"&lt;"&amp;SMALL('Captains Card 2'!Q$39:Q$46,Q$19)))/COUNTIF('Captains Card 2'!Q$39:Q$46,SMALL('Captains Card 2'!Q$39:Q$46,Q$19)),0))</f>
        <v>0.6</v>
      </c>
      <c r="R28" s="233">
        <f ca="1">IF('Captains Card 2'!R42&lt;SMALL('Captains Card 2'!R$39:R$46,R$19),1,
IF('Captains Card 2'!R42=SMALL('Captains Card 2'!R$39:R$46,R$19),
(R$19-COUNTIF('Captains Card 2'!R$39:R$46,"&lt;"&amp;SMALL('Captains Card 2'!R$39:R$46,R$19)))/COUNTIF('Captains Card 2'!R$39:R$46,SMALL('Captains Card 2'!R$39:R$46,R$19)),0))</f>
        <v>0.5</v>
      </c>
      <c r="S28" s="233">
        <f ca="1">IF('Captains Card 2'!S42&lt;SMALL('Captains Card 2'!S$39:S$46,S$19),1,
IF('Captains Card 2'!S42=SMALL('Captains Card 2'!S$39:S$46,S$19),
(S$19-COUNTIF('Captains Card 2'!S$39:S$46,"&lt;"&amp;SMALL('Captains Card 2'!S$39:S$46,S$19)))/COUNTIF('Captains Card 2'!S$39:S$46,SMALL('Captains Card 2'!S$39:S$46,S$19)),0))</f>
        <v>0.66666666666666663</v>
      </c>
      <c r="T28" s="233">
        <f ca="1">IF('Captains Card 2'!T42&lt;SMALL('Captains Card 2'!T$39:T$46,T$19),1,
IF('Captains Card 2'!T42=SMALL('Captains Card 2'!T$39:T$46,T$19),
(T$19-COUNTIF('Captains Card 2'!T$39:T$46,"&lt;"&amp;SMALL('Captains Card 2'!T$39:T$46,T$19)))/COUNTIF('Captains Card 2'!T$39:T$46,SMALL('Captains Card 2'!T$39:T$46,T$19)),0))</f>
        <v>0</v>
      </c>
      <c r="U28" s="233">
        <f ca="1">IF('Captains Card 2'!U42&lt;SMALL('Captains Card 2'!U$39:U$46,U$19),1,
IF('Captains Card 2'!U42=SMALL('Captains Card 2'!U$39:U$46,U$19),
(U$19-COUNTIF('Captains Card 2'!U$39:U$46,"&lt;"&amp;SMALL('Captains Card 2'!U$39:U$46,U$19)))/COUNTIF('Captains Card 2'!U$39:U$46,SMALL('Captains Card 2'!U$39:U$46,U$19)),0))</f>
        <v>1</v>
      </c>
      <c r="V28" s="233">
        <f ca="1">IF('Captains Card 2'!V42&lt;SMALL('Captains Card 2'!V$39:V$46,V$19),1,
IF('Captains Card 2'!V42=SMALL('Captains Card 2'!V$39:V$46,V$19),
(V$19-COUNTIF('Captains Card 2'!V$39:V$46,"&lt;"&amp;SMALL('Captains Card 2'!V$39:V$46,V$19)))/COUNTIF('Captains Card 2'!V$39:V$46,SMALL('Captains Card 2'!V$39:V$46,V$19)),0))</f>
        <v>1</v>
      </c>
      <c r="W28" s="233">
        <f ca="1">IF('Captains Card 2'!W42&lt;SMALL('Captains Card 2'!W$39:W$46,W$19),1,
IF('Captains Card 2'!W42=SMALL('Captains Card 2'!W$39:W$46,W$19),
(W$19-COUNTIF('Captains Card 2'!W$39:W$46,"&lt;"&amp;SMALL('Captains Card 2'!W$39:W$46,W$19)))/COUNTIF('Captains Card 2'!W$39:W$46,SMALL('Captains Card 2'!W$39:W$46,W$19)),0))</f>
        <v>1</v>
      </c>
      <c r="X28" s="233">
        <f ca="1">IF('Captains Card 2'!X42&lt;SMALL('Captains Card 2'!X$39:X$46,X$19),1,
IF('Captains Card 2'!X42=SMALL('Captains Card 2'!X$39:X$46,X$19),
(X$19-COUNTIF('Captains Card 2'!X$39:X$46,"&lt;"&amp;SMALL('Captains Card 2'!X$39:X$46,X$19)))/COUNTIF('Captains Card 2'!X$39:X$46,SMALL('Captains Card 2'!X$39:X$46,X$19)),0))</f>
        <v>1</v>
      </c>
      <c r="Y28" s="233">
        <f ca="1">IF('Captains Card 2'!Y42&lt;SMALL('Captains Card 2'!Y$39:Y$46,Y$19),1,
IF('Captains Card 2'!Y42=SMALL('Captains Card 2'!Y$39:Y$46,Y$19),
(Y$19-COUNTIF('Captains Card 2'!Y$39:Y$46,"&lt;"&amp;SMALL('Captains Card 2'!Y$39:Y$46,Y$19)))/COUNTIF('Captains Card 2'!Y$39:Y$46,SMALL('Captains Card 2'!Y$39:Y$46,Y$19)),0))</f>
        <v>1</v>
      </c>
      <c r="Z28" s="532">
        <f t="shared" ca="1" si="20"/>
        <v>9.25</v>
      </c>
      <c r="AA28" s="234">
        <f t="shared" ca="1" si="21"/>
        <v>3.458333333333333</v>
      </c>
      <c r="AB28" s="233">
        <f t="shared" ca="1" si="22"/>
        <v>1.3489583333333333</v>
      </c>
    </row>
    <row r="29" spans="1:28" ht="18.75" customHeight="1">
      <c r="A29" s="193"/>
      <c r="B29" s="193"/>
      <c r="C29" s="193"/>
      <c r="D29" s="193"/>
      <c r="E29" s="193"/>
      <c r="F29" s="193"/>
      <c r="G29" s="193"/>
      <c r="H29" s="193"/>
      <c r="I29" s="193"/>
      <c r="J29" s="193"/>
      <c r="K29" s="193"/>
      <c r="L29" s="193"/>
      <c r="M29" s="193"/>
      <c r="N29" s="193"/>
      <c r="O29" s="364"/>
      <c r="P29" s="193"/>
      <c r="Q29" s="193"/>
      <c r="R29" s="193"/>
      <c r="S29" s="193"/>
      <c r="T29" s="193"/>
      <c r="U29" s="193"/>
      <c r="V29" s="193"/>
      <c r="W29" s="193"/>
      <c r="X29" s="193"/>
      <c r="Y29" s="193"/>
      <c r="Z29" s="233">
        <f ca="1">SUM(Z25:Z28)</f>
        <v>38.216666666666669</v>
      </c>
      <c r="AA29" s="533"/>
      <c r="AB29" s="373"/>
    </row>
    <row r="30" spans="1:28" ht="18.75" customHeight="1">
      <c r="A30" s="193" t="str">
        <f t="shared" ref="A30:A33" si="23">A25</f>
        <v>TJSC</v>
      </c>
      <c r="B30" s="193"/>
      <c r="C30" s="193"/>
      <c r="D30" s="193"/>
      <c r="E30" s="233">
        <f t="shared" ref="E30:M30" ca="1" si="24">(E25/E$19)*E$24</f>
        <v>0.16666666666666666</v>
      </c>
      <c r="F30" s="233">
        <f t="shared" ca="1" si="24"/>
        <v>0</v>
      </c>
      <c r="G30" s="233">
        <f t="shared" ca="1" si="24"/>
        <v>0</v>
      </c>
      <c r="H30" s="233">
        <f t="shared" ca="1" si="24"/>
        <v>0</v>
      </c>
      <c r="I30" s="233">
        <f t="shared" ca="1" si="24"/>
        <v>0</v>
      </c>
      <c r="J30" s="233">
        <f t="shared" ca="1" si="24"/>
        <v>0.1111111111111111</v>
      </c>
      <c r="K30" s="233">
        <f t="shared" ca="1" si="24"/>
        <v>0</v>
      </c>
      <c r="L30" s="233">
        <f t="shared" ca="1" si="24"/>
        <v>8.3333333333333329E-2</v>
      </c>
      <c r="M30" s="233">
        <f t="shared" ca="1" si="24"/>
        <v>0</v>
      </c>
      <c r="N30" s="193"/>
      <c r="O30" s="364"/>
      <c r="P30" s="193"/>
      <c r="Q30" s="233">
        <f t="shared" ref="Q30:Y30" ca="1" si="25">(Q25/Q$19)*Q$24</f>
        <v>0</v>
      </c>
      <c r="R30" s="233">
        <f t="shared" ca="1" si="25"/>
        <v>0</v>
      </c>
      <c r="S30" s="233">
        <f t="shared" ca="1" si="25"/>
        <v>0</v>
      </c>
      <c r="T30" s="233">
        <f t="shared" ca="1" si="25"/>
        <v>0</v>
      </c>
      <c r="U30" s="233">
        <f t="shared" ca="1" si="25"/>
        <v>0</v>
      </c>
      <c r="V30" s="233">
        <f t="shared" ca="1" si="25"/>
        <v>0</v>
      </c>
      <c r="W30" s="233">
        <f t="shared" ca="1" si="25"/>
        <v>0</v>
      </c>
      <c r="X30" s="233">
        <f t="shared" ca="1" si="25"/>
        <v>0</v>
      </c>
      <c r="Y30" s="233">
        <f t="shared" ca="1" si="25"/>
        <v>0.4</v>
      </c>
      <c r="Z30" s="193"/>
      <c r="AA30" s="193"/>
      <c r="AB30" s="534">
        <f t="shared" ref="AB30:AB33" ca="1" si="26">AB25/$AB$24</f>
        <v>0.10509259259259258</v>
      </c>
    </row>
    <row r="31" spans="1:28" ht="18.75" customHeight="1">
      <c r="A31" s="193" t="str">
        <f t="shared" si="23"/>
        <v>CuzNick</v>
      </c>
      <c r="B31" s="193"/>
      <c r="C31" s="193"/>
      <c r="D31" s="193"/>
      <c r="E31" s="233">
        <f t="shared" ref="E31:M31" ca="1" si="27">(E26/E$19)*E$24</f>
        <v>0</v>
      </c>
      <c r="F31" s="233">
        <f t="shared" ca="1" si="27"/>
        <v>4.1666666666666664E-2</v>
      </c>
      <c r="G31" s="233">
        <f t="shared" ca="1" si="27"/>
        <v>8.3333333333333329E-2</v>
      </c>
      <c r="H31" s="233">
        <f t="shared" ca="1" si="27"/>
        <v>0</v>
      </c>
      <c r="I31" s="233">
        <f t="shared" ca="1" si="27"/>
        <v>0</v>
      </c>
      <c r="J31" s="233">
        <f t="shared" ca="1" si="27"/>
        <v>0</v>
      </c>
      <c r="K31" s="233">
        <f t="shared" ca="1" si="27"/>
        <v>0</v>
      </c>
      <c r="L31" s="233">
        <f t="shared" ca="1" si="27"/>
        <v>8.3333333333333329E-2</v>
      </c>
      <c r="M31" s="233">
        <f t="shared" ca="1" si="27"/>
        <v>0</v>
      </c>
      <c r="N31" s="193"/>
      <c r="O31" s="364"/>
      <c r="P31" s="193"/>
      <c r="Q31" s="233">
        <f t="shared" ref="Q31:Y31" ca="1" si="28">(Q26/Q$19)*Q$24</f>
        <v>0</v>
      </c>
      <c r="R31" s="233">
        <f t="shared" ca="1" si="28"/>
        <v>0.5</v>
      </c>
      <c r="S31" s="233">
        <f t="shared" ca="1" si="28"/>
        <v>0</v>
      </c>
      <c r="T31" s="233">
        <f t="shared" ca="1" si="28"/>
        <v>0</v>
      </c>
      <c r="U31" s="233">
        <f t="shared" ca="1" si="28"/>
        <v>0</v>
      </c>
      <c r="V31" s="233">
        <f t="shared" ca="1" si="28"/>
        <v>0.4</v>
      </c>
      <c r="W31" s="233">
        <f t="shared" ca="1" si="28"/>
        <v>0</v>
      </c>
      <c r="X31" s="233">
        <f t="shared" ca="1" si="28"/>
        <v>0</v>
      </c>
      <c r="Y31" s="233">
        <f t="shared" ca="1" si="28"/>
        <v>0</v>
      </c>
      <c r="Z31" s="193"/>
      <c r="AA31" s="193"/>
      <c r="AB31" s="534">
        <f t="shared" ca="1" si="26"/>
        <v>0.13333333333333336</v>
      </c>
    </row>
    <row r="32" spans="1:28" ht="18.75" customHeight="1">
      <c r="A32" s="193" t="str">
        <f t="shared" si="23"/>
        <v>DK</v>
      </c>
      <c r="B32" s="193"/>
      <c r="C32" s="193"/>
      <c r="D32" s="193"/>
      <c r="E32" s="233">
        <f t="shared" ref="E32:M32" ca="1" si="29">(E27/E$19)*E$24</f>
        <v>0.16666666666666666</v>
      </c>
      <c r="F32" s="233">
        <f t="shared" ca="1" si="29"/>
        <v>4.1666666666666664E-2</v>
      </c>
      <c r="G32" s="233">
        <f t="shared" ca="1" si="29"/>
        <v>8.3333333333333329E-2</v>
      </c>
      <c r="H32" s="233">
        <f t="shared" ca="1" si="29"/>
        <v>0</v>
      </c>
      <c r="I32" s="233">
        <f t="shared" ca="1" si="29"/>
        <v>0</v>
      </c>
      <c r="J32" s="233">
        <f t="shared" ca="1" si="29"/>
        <v>0.16666666666666666</v>
      </c>
      <c r="K32" s="233">
        <f t="shared" ca="1" si="29"/>
        <v>0</v>
      </c>
      <c r="L32" s="233">
        <f t="shared" ca="1" si="29"/>
        <v>0.25</v>
      </c>
      <c r="M32" s="233">
        <f t="shared" ca="1" si="29"/>
        <v>0</v>
      </c>
      <c r="N32" s="193"/>
      <c r="O32" s="364"/>
      <c r="P32" s="193"/>
      <c r="Q32" s="233">
        <f t="shared" ref="Q32:Y32" ca="1" si="30">(Q27/Q$19)*Q$24</f>
        <v>0</v>
      </c>
      <c r="R32" s="233">
        <f t="shared" ca="1" si="30"/>
        <v>0</v>
      </c>
      <c r="S32" s="233">
        <f t="shared" ca="1" si="30"/>
        <v>0</v>
      </c>
      <c r="T32" s="233">
        <f t="shared" ca="1" si="30"/>
        <v>0</v>
      </c>
      <c r="U32" s="233">
        <f t="shared" ca="1" si="30"/>
        <v>0</v>
      </c>
      <c r="V32" s="233">
        <f t="shared" ca="1" si="30"/>
        <v>0.4</v>
      </c>
      <c r="W32" s="233">
        <f t="shared" ca="1" si="30"/>
        <v>0</v>
      </c>
      <c r="X32" s="233">
        <f t="shared" ca="1" si="30"/>
        <v>0</v>
      </c>
      <c r="Y32" s="233">
        <f t="shared" ca="1" si="30"/>
        <v>0.4</v>
      </c>
      <c r="Z32" s="193"/>
      <c r="AA32" s="193"/>
      <c r="AB32" s="534">
        <f t="shared" ca="1" si="26"/>
        <v>0.16388888888888889</v>
      </c>
    </row>
    <row r="33" spans="1:28" ht="18.75" customHeight="1">
      <c r="A33" s="193" t="str">
        <f t="shared" si="23"/>
        <v>R-Mac</v>
      </c>
      <c r="B33" s="193"/>
      <c r="C33" s="193"/>
      <c r="D33" s="193"/>
      <c r="E33" s="233">
        <f t="shared" ref="E33:M33" ca="1" si="31">(E28/E$19)*E$24</f>
        <v>0.16666666666666666</v>
      </c>
      <c r="F33" s="233">
        <f t="shared" ca="1" si="31"/>
        <v>4.1666666666666664E-2</v>
      </c>
      <c r="G33" s="233">
        <f t="shared" ca="1" si="31"/>
        <v>0</v>
      </c>
      <c r="H33" s="233">
        <f t="shared" ca="1" si="31"/>
        <v>0</v>
      </c>
      <c r="I33" s="233">
        <f t="shared" ca="1" si="31"/>
        <v>0</v>
      </c>
      <c r="J33" s="233">
        <f t="shared" ca="1" si="31"/>
        <v>0</v>
      </c>
      <c r="K33" s="233">
        <f t="shared" ca="1" si="31"/>
        <v>0</v>
      </c>
      <c r="L33" s="233">
        <f t="shared" ca="1" si="31"/>
        <v>8.3333333333333329E-2</v>
      </c>
      <c r="M33" s="233">
        <f t="shared" ca="1" si="31"/>
        <v>0</v>
      </c>
      <c r="N33" s="193"/>
      <c r="O33" s="364"/>
      <c r="P33" s="193"/>
      <c r="Q33" s="233">
        <f t="shared" ref="Q33:Y33" ca="1" si="32">(Q28/Q$19)*Q$24</f>
        <v>0</v>
      </c>
      <c r="R33" s="233">
        <f t="shared" ca="1" si="32"/>
        <v>0.25</v>
      </c>
      <c r="S33" s="233">
        <f t="shared" ca="1" si="32"/>
        <v>0</v>
      </c>
      <c r="T33" s="233">
        <f t="shared" ca="1" si="32"/>
        <v>0</v>
      </c>
      <c r="U33" s="233">
        <f t="shared" ca="1" si="32"/>
        <v>0</v>
      </c>
      <c r="V33" s="233">
        <f t="shared" ca="1" si="32"/>
        <v>0.4</v>
      </c>
      <c r="W33" s="233">
        <f t="shared" ca="1" si="32"/>
        <v>0</v>
      </c>
      <c r="X33" s="233">
        <f t="shared" ca="1" si="32"/>
        <v>0</v>
      </c>
      <c r="Y33" s="233">
        <f t="shared" ca="1" si="32"/>
        <v>0.4</v>
      </c>
      <c r="Z33" s="193"/>
      <c r="AA33" s="193"/>
      <c r="AB33" s="534">
        <f t="shared" ca="1" si="26"/>
        <v>0.12847222222222221</v>
      </c>
    </row>
  </sheetData>
  <mergeCells count="1">
    <mergeCell ref="B2:B4"/>
  </mergeCells>
  <conditionalFormatting sqref="E8:M8 Q8:Y8">
    <cfRule type="expression" dxfId="42" priority="3">
      <formula>AND(E$23&lt;&gt;"",E$25=1)</formula>
    </cfRule>
    <cfRule type="expression" dxfId="41" priority="7">
      <formula>AND(E$23&lt;&gt;"",E$25&lt;1,E$25&gt;0)</formula>
    </cfRule>
  </conditionalFormatting>
  <conditionalFormatting sqref="E11:M11 Q11:Y11">
    <cfRule type="expression" dxfId="40" priority="4">
      <formula>AND(E$23&lt;&gt;"",E$26=1)</formula>
    </cfRule>
    <cfRule type="expression" dxfId="39" priority="8">
      <formula>AND(E$23&lt;&gt;"",E$26&lt;1,E$26&gt;0)</formula>
    </cfRule>
  </conditionalFormatting>
  <conditionalFormatting sqref="E14:M14 Q14:Y14">
    <cfRule type="expression" dxfId="38" priority="1">
      <formula>AND(E$23&lt;&gt;"",E$27=1)</formula>
    </cfRule>
    <cfRule type="expression" dxfId="37" priority="5">
      <formula>AND(E$23&lt;&gt;"",E$27&lt;1,E$27&gt;0)</formula>
    </cfRule>
  </conditionalFormatting>
  <conditionalFormatting sqref="E15:M17 Q15:Y17">
    <cfRule type="expression" dxfId="36" priority="6">
      <formula>AND(E$23&lt;&gt;"",E$28&lt;1,E$28&gt;0)</formula>
    </cfRule>
  </conditionalFormatting>
  <conditionalFormatting sqref="E17:M17 Q17:Y17">
    <cfRule type="expression" dxfId="35" priority="2">
      <formula>AND(E$23&lt;&gt;"",E$28=1)</formula>
    </cfRule>
  </conditionalFormatting>
  <printOptions horizontalCentered="1" gridLines="1"/>
  <pageMargins left="0.25" right="0.6" top="0.5" bottom="0.5" header="0" footer="0"/>
  <pageSetup fitToHeight="0" pageOrder="overThenDown" orientation="landscape" cellComments="atEnd"/>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6D7A8"/>
    <outlinePr summaryBelow="0" summaryRight="0"/>
    <pageSetUpPr fitToPage="1"/>
  </sheetPr>
  <dimension ref="A1:AB33"/>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467" t="s">
        <v>40</v>
      </c>
      <c r="B1" s="468">
        <f>'Master Input'!K4</f>
        <v>0.4375</v>
      </c>
      <c r="C1" s="469" t="str">
        <f>'Master Input'!$K$2</f>
        <v>Round 4</v>
      </c>
      <c r="D1" s="470"/>
      <c r="E1" s="469" t="str">
        <f>'Master Input'!$K$6</f>
        <v>The Bear - White</v>
      </c>
      <c r="F1" s="544"/>
      <c r="G1" s="544"/>
      <c r="H1" s="544"/>
      <c r="I1" s="544"/>
      <c r="J1" s="544"/>
      <c r="K1" s="544"/>
      <c r="L1" s="544"/>
      <c r="M1" s="544"/>
      <c r="N1" s="544"/>
      <c r="O1" s="72"/>
      <c r="P1" s="469" t="str">
        <f>'Master Input'!$K$2&amp;" - "&amp;A1</f>
        <v>Round 4 - Group 3</v>
      </c>
      <c r="Q1" s="470"/>
      <c r="R1" s="469"/>
      <c r="S1" s="544"/>
      <c r="T1" s="544"/>
      <c r="U1" s="544" t="str">
        <f>'Master Input'!$K$6</f>
        <v>The Bear - White</v>
      </c>
      <c r="V1" s="544"/>
      <c r="W1" s="544"/>
      <c r="X1" s="544"/>
      <c r="Y1" s="544"/>
      <c r="Z1" s="544"/>
      <c r="AA1" s="544"/>
      <c r="AB1" s="545"/>
    </row>
    <row r="2" spans="1:28" ht="14.25" customHeight="1">
      <c r="A2" s="75" t="s">
        <v>16</v>
      </c>
      <c r="B2" s="1166" t="str">
        <f>'Match Selection'!B19</f>
        <v>Team Best Ball</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3</v>
      </c>
      <c r="G3" s="88">
        <f ca="1">VLOOKUP($E1, 'Course List'!$A$3:$AS$14,5+G2, FALSE)</f>
        <v>15</v>
      </c>
      <c r="H3" s="88">
        <f ca="1">VLOOKUP($E1, 'Course List'!$A$3:$AS$14,5+H2, FALSE)</f>
        <v>13</v>
      </c>
      <c r="I3" s="88">
        <f ca="1">VLOOKUP($E1, 'Course List'!$A$3:$AS$14,5+I2, FALSE)</f>
        <v>1</v>
      </c>
      <c r="J3" s="88">
        <f ca="1">VLOOKUP($E1, 'Course List'!$A$3:$AS$14,5+J2, FALSE)</f>
        <v>17</v>
      </c>
      <c r="K3" s="88">
        <f ca="1">VLOOKUP($E1, 'Course List'!$A$3:$AS$14,5+K2, FALSE)</f>
        <v>5</v>
      </c>
      <c r="L3" s="88">
        <f ca="1">VLOOKUP($E1, 'Course List'!$A$3:$AS$14,5+L2, FALSE)</f>
        <v>7</v>
      </c>
      <c r="M3" s="89">
        <f ca="1">VLOOKUP($E1, 'Course List'!$A$3:$AS$14,5+M2, FALSE)</f>
        <v>9</v>
      </c>
      <c r="N3" s="274"/>
      <c r="O3" s="72"/>
      <c r="P3" s="86" t="s">
        <v>21</v>
      </c>
      <c r="Q3" s="273">
        <f ca="1">VLOOKUP($E1, 'Course List'!$A$3:$AS$14,5+Q2, FALSE)</f>
        <v>18</v>
      </c>
      <c r="R3" s="88">
        <f ca="1">VLOOKUP($E1, 'Course List'!$A$3:$AS$14,5+R2, FALSE)</f>
        <v>4</v>
      </c>
      <c r="S3" s="88">
        <f ca="1">VLOOKUP($E1, 'Course List'!$A$3:$AS$14,5+S2, FALSE)</f>
        <v>6</v>
      </c>
      <c r="T3" s="88">
        <f ca="1">VLOOKUP($E1, 'Course List'!$A$3:$AS$14,5+T2, FALSE)</f>
        <v>12</v>
      </c>
      <c r="U3" s="88">
        <f ca="1">VLOOKUP($E1, 'Course List'!$A$3:$AS$14,5+U2, FALSE)</f>
        <v>16</v>
      </c>
      <c r="V3" s="88">
        <f ca="1">VLOOKUP($E1, 'Course List'!$A$3:$AS$14,5+V2, FALSE)</f>
        <v>14</v>
      </c>
      <c r="W3" s="88">
        <f ca="1">VLOOKUP($E1, 'Course List'!$A$3:$AS$14,5+W2, FALSE)</f>
        <v>2</v>
      </c>
      <c r="X3" s="88">
        <f ca="1">VLOOKUP($E1, 'Course List'!$A$3:$AS$14,5+X2, FALSE)</f>
        <v>8</v>
      </c>
      <c r="Y3" s="89">
        <f ca="1">VLOOKUP($E1, 'Course List'!$A$3:$AS$14,5+Y2, FALSE)</f>
        <v>10</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3</v>
      </c>
      <c r="I4" s="94">
        <f ca="1">VLOOKUP($E1, 'Course List'!$A$3:$AS$14,27+I2, FALSE)</f>
        <v>4</v>
      </c>
      <c r="J4" s="94">
        <f ca="1">VLOOKUP($E1, 'Course List'!$A$3:$AS$14,27+J2, FALSE)</f>
        <v>5</v>
      </c>
      <c r="K4" s="94">
        <f ca="1">VLOOKUP($E1, 'Course List'!$A$3:$AS$14,27+K2, FALSE)</f>
        <v>4</v>
      </c>
      <c r="L4" s="94">
        <f ca="1">VLOOKUP($E1, 'Course List'!$A$3:$AS$14,27+L2, FALSE)</f>
        <v>4</v>
      </c>
      <c r="M4" s="95">
        <f ca="1">VLOOKUP($E1, 'Course List'!$A$3:$AS$14,27+M2, FALSE)</f>
        <v>3</v>
      </c>
      <c r="N4" s="275">
        <f ca="1">SUM(E4:M4)</f>
        <v>36</v>
      </c>
      <c r="O4" s="72"/>
      <c r="P4" s="86" t="s">
        <v>22</v>
      </c>
      <c r="Q4" s="275">
        <f ca="1">VLOOKUP($E1, 'Course List'!$A$3:$AS$14,27+Q2, FALSE)</f>
        <v>5</v>
      </c>
      <c r="R4" s="94">
        <f ca="1">VLOOKUP($E1, 'Course List'!$A$3:$AS$14,27+R2, FALSE)</f>
        <v>4</v>
      </c>
      <c r="S4" s="94">
        <f ca="1">VLOOKUP($E1, 'Course List'!$A$3:$AS$14,27+S2, FALSE)</f>
        <v>4</v>
      </c>
      <c r="T4" s="94">
        <f ca="1">VLOOKUP($E1, 'Course List'!$A$3:$AS$14,27+T2, FALSE)</f>
        <v>3</v>
      </c>
      <c r="U4" s="94">
        <f ca="1">VLOOKUP($E1, 'Course List'!$A$3:$AS$14,27+U2, FALSE)</f>
        <v>4</v>
      </c>
      <c r="V4" s="94">
        <f ca="1">VLOOKUP($E1, 'Course List'!$A$3:$AS$14,27+V2, FALSE)</f>
        <v>5</v>
      </c>
      <c r="W4" s="94">
        <f ca="1">VLOOKUP($E1, 'Course List'!$A$3:$AS$14,27+W2, FALSE)</f>
        <v>4</v>
      </c>
      <c r="X4" s="94">
        <f ca="1">VLOOKUP($E1, 'Course List'!$A$3:$AS$14,27+X2, FALSE)</f>
        <v>3</v>
      </c>
      <c r="Y4" s="95">
        <f ca="1">VLOOKUP($E1, 'Course List'!$A$3:$AS$14,27+Y2, FALSE)</f>
        <v>4</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474" t="s">
        <v>27</v>
      </c>
      <c r="AB5" s="474" t="s">
        <v>52</v>
      </c>
    </row>
    <row r="6" spans="1:28" ht="7.5" customHeight="1">
      <c r="A6" s="112"/>
      <c r="B6" s="112"/>
      <c r="C6" s="280"/>
      <c r="D6" s="112"/>
      <c r="E6" s="114" t="str">
        <f t="shared" ref="E6:M6" ca="1" si="0">IF(E7=1,"O", IF(E7=2,"O   O",""))</f>
        <v/>
      </c>
      <c r="F6" s="115" t="str">
        <f t="shared" ca="1" si="0"/>
        <v>O</v>
      </c>
      <c r="G6" s="115" t="str">
        <f t="shared" ca="1" si="0"/>
        <v/>
      </c>
      <c r="H6" s="115" t="str">
        <f t="shared" ca="1" si="0"/>
        <v/>
      </c>
      <c r="I6" s="115" t="str">
        <f t="shared" ca="1" si="0"/>
        <v>O</v>
      </c>
      <c r="J6" s="115" t="str">
        <f t="shared" ca="1" si="0"/>
        <v/>
      </c>
      <c r="K6" s="115" t="str">
        <f t="shared" ca="1" si="0"/>
        <v>O</v>
      </c>
      <c r="L6" s="115" t="str">
        <f t="shared" ca="1" si="0"/>
        <v/>
      </c>
      <c r="M6" s="115" t="str">
        <f t="shared" ca="1" si="0"/>
        <v/>
      </c>
      <c r="N6" s="475"/>
      <c r="O6" s="118"/>
      <c r="P6" s="240"/>
      <c r="Q6" s="114" t="str">
        <f t="shared" ref="Q6:Y6" ca="1" si="1">IF(Q7=1,"O", IF(Q7=2,"O   O",""))</f>
        <v/>
      </c>
      <c r="R6" s="115" t="str">
        <f t="shared" ca="1" si="1"/>
        <v>O</v>
      </c>
      <c r="S6" s="115" t="str">
        <f t="shared" ca="1" si="1"/>
        <v>O</v>
      </c>
      <c r="T6" s="115" t="str">
        <f t="shared" ca="1" si="1"/>
        <v/>
      </c>
      <c r="U6" s="115" t="str">
        <f t="shared" ca="1" si="1"/>
        <v/>
      </c>
      <c r="V6" s="115" t="str">
        <f t="shared" ca="1" si="1"/>
        <v/>
      </c>
      <c r="W6" s="115" t="str">
        <f t="shared" ca="1" si="1"/>
        <v>O</v>
      </c>
      <c r="X6" s="115" t="str">
        <f t="shared" ca="1" si="1"/>
        <v/>
      </c>
      <c r="Y6" s="115" t="str">
        <f t="shared" ca="1" si="1"/>
        <v/>
      </c>
      <c r="Z6" s="476"/>
      <c r="AA6" s="477"/>
      <c r="AB6" s="477"/>
    </row>
    <row r="7" spans="1:28" ht="22.5" hidden="1" customHeight="1">
      <c r="A7" s="123"/>
      <c r="B7" s="124"/>
      <c r="C7" s="286"/>
      <c r="D7" s="126"/>
      <c r="E7" s="478">
        <f t="shared" ref="E7:M7" ca="1" si="2">IF($D8&gt;0,FLOOR($D8/18,1),0)+IF(AND(MOD($D8,18)&gt;=E$3,$D8&gt;0),1,0)-IF(E$3-18&gt;$D8,1,0)</f>
        <v>0</v>
      </c>
      <c r="F7" s="128">
        <f t="shared" ca="1" si="2"/>
        <v>1</v>
      </c>
      <c r="G7" s="128">
        <f t="shared" ca="1" si="2"/>
        <v>0</v>
      </c>
      <c r="H7" s="128">
        <f t="shared" ca="1" si="2"/>
        <v>0</v>
      </c>
      <c r="I7" s="128">
        <f t="shared" ca="1" si="2"/>
        <v>1</v>
      </c>
      <c r="J7" s="128">
        <f t="shared" ca="1" si="2"/>
        <v>0</v>
      </c>
      <c r="K7" s="128">
        <f t="shared" ca="1" si="2"/>
        <v>1</v>
      </c>
      <c r="L7" s="128">
        <f t="shared" ca="1" si="2"/>
        <v>0</v>
      </c>
      <c r="M7" s="128">
        <f t="shared" ca="1" si="2"/>
        <v>0</v>
      </c>
      <c r="N7" s="479"/>
      <c r="O7" s="131"/>
      <c r="P7" s="123"/>
      <c r="Q7" s="478">
        <f t="shared" ref="Q7:Y7" ca="1" si="3">IF($D8&gt;0,FLOOR($D8/18,1),0)+IF(AND(MOD($D8,18)&gt;=Q$3,$D8&gt;0),1,0)-IF(Q$3-18&gt;$D8,1,0)</f>
        <v>0</v>
      </c>
      <c r="R7" s="128">
        <f t="shared" ca="1" si="3"/>
        <v>1</v>
      </c>
      <c r="S7" s="128">
        <f t="shared" ca="1" si="3"/>
        <v>1</v>
      </c>
      <c r="T7" s="128">
        <f t="shared" ca="1" si="3"/>
        <v>0</v>
      </c>
      <c r="U7" s="128">
        <f t="shared" ca="1" si="3"/>
        <v>0</v>
      </c>
      <c r="V7" s="128">
        <f t="shared" ca="1" si="3"/>
        <v>0</v>
      </c>
      <c r="W7" s="128">
        <f t="shared" ca="1" si="3"/>
        <v>1</v>
      </c>
      <c r="X7" s="128">
        <f t="shared" ca="1" si="3"/>
        <v>0</v>
      </c>
      <c r="Y7" s="128">
        <f t="shared" ca="1" si="3"/>
        <v>0</v>
      </c>
      <c r="Z7" s="479"/>
      <c r="AA7" s="480"/>
      <c r="AB7" s="481"/>
    </row>
    <row r="8" spans="1:28" ht="22.5" customHeight="1">
      <c r="A8" s="136" t="str">
        <f>'Match Selection'!P19</f>
        <v>Andy</v>
      </c>
      <c r="B8" s="137" t="str">
        <f>VLOOKUP(A8, 'Master Input'!$A$11:$B$27,2, FALSE)</f>
        <v>WEEZ</v>
      </c>
      <c r="C8" s="292">
        <f ca="1">VLOOKUP(A8,'Master Input'!$A$11:$L$27,'Master Input'!$L$28, FALSE)</f>
        <v>6</v>
      </c>
      <c r="D8" s="139">
        <f ca="1">C8</f>
        <v>6</v>
      </c>
      <c r="E8" s="482">
        <v>4</v>
      </c>
      <c r="F8" s="141">
        <v>5</v>
      </c>
      <c r="G8" s="141">
        <v>6</v>
      </c>
      <c r="H8" s="141">
        <v>3</v>
      </c>
      <c r="I8" s="141">
        <v>4</v>
      </c>
      <c r="J8" s="141">
        <v>4</v>
      </c>
      <c r="K8" s="141">
        <v>6</v>
      </c>
      <c r="L8" s="141">
        <v>7</v>
      </c>
      <c r="M8" s="141">
        <v>4</v>
      </c>
      <c r="N8" s="483">
        <f>IF(M8="","", SUM(E8:M8))</f>
        <v>43</v>
      </c>
      <c r="O8" s="131"/>
      <c r="P8" s="136" t="str">
        <f>A8</f>
        <v>Andy</v>
      </c>
      <c r="Q8" s="482">
        <v>4</v>
      </c>
      <c r="R8" s="141">
        <v>4</v>
      </c>
      <c r="S8" s="141">
        <v>5</v>
      </c>
      <c r="T8" s="141">
        <v>2</v>
      </c>
      <c r="U8" s="141">
        <v>4</v>
      </c>
      <c r="V8" s="141">
        <v>5</v>
      </c>
      <c r="W8" s="141">
        <v>6</v>
      </c>
      <c r="X8" s="141">
        <v>4</v>
      </c>
      <c r="Y8" s="141">
        <v>5</v>
      </c>
      <c r="Z8" s="483">
        <f>IF(Y8="","", SUM(Q8:Y8))</f>
        <v>39</v>
      </c>
      <c r="AA8" s="484">
        <f>IF(Z8="", "", SUM(N8,Z8))</f>
        <v>82</v>
      </c>
      <c r="AB8" s="485">
        <f ca="1">IF(Y8="", "", AA8-C8)</f>
        <v>76</v>
      </c>
    </row>
    <row r="9" spans="1:28" ht="7.5" customHeight="1">
      <c r="A9" s="299"/>
      <c r="B9" s="300"/>
      <c r="C9" s="301"/>
      <c r="D9" s="486"/>
      <c r="E9" s="163" t="str">
        <f t="shared" ref="E9:M9" ca="1" si="4">IF(E10=1,"O", IF(E10=2,"O   O",""))</f>
        <v>O</v>
      </c>
      <c r="F9" s="164" t="str">
        <f t="shared" ca="1" si="4"/>
        <v>O</v>
      </c>
      <c r="G9" s="164" t="str">
        <f t="shared" ca="1" si="4"/>
        <v>O</v>
      </c>
      <c r="H9" s="164" t="str">
        <f t="shared" ca="1" si="4"/>
        <v>O</v>
      </c>
      <c r="I9" s="164" t="str">
        <f t="shared" ca="1" si="4"/>
        <v>O</v>
      </c>
      <c r="J9" s="164" t="str">
        <f t="shared" ca="1" si="4"/>
        <v>O</v>
      </c>
      <c r="K9" s="164" t="str">
        <f t="shared" ca="1" si="4"/>
        <v>O</v>
      </c>
      <c r="L9" s="164" t="str">
        <f t="shared" ca="1" si="4"/>
        <v>O</v>
      </c>
      <c r="M9" s="164" t="str">
        <f t="shared" ca="1" si="4"/>
        <v>O</v>
      </c>
      <c r="N9" s="487"/>
      <c r="O9" s="118"/>
      <c r="P9" s="299"/>
      <c r="Q9" s="163" t="str">
        <f t="shared" ref="Q9:Y9" ca="1" si="5">IF(Q10=1,"O", IF(Q10=2,"O   O",""))</f>
        <v>O</v>
      </c>
      <c r="R9" s="164" t="str">
        <f t="shared" ca="1" si="5"/>
        <v>O</v>
      </c>
      <c r="S9" s="164" t="str">
        <f t="shared" ca="1" si="5"/>
        <v>O</v>
      </c>
      <c r="T9" s="164" t="str">
        <f t="shared" ca="1" si="5"/>
        <v>O</v>
      </c>
      <c r="U9" s="164" t="str">
        <f t="shared" ca="1" si="5"/>
        <v>O</v>
      </c>
      <c r="V9" s="164" t="str">
        <f t="shared" ca="1" si="5"/>
        <v>O</v>
      </c>
      <c r="W9" s="164" t="str">
        <f t="shared" ca="1" si="5"/>
        <v>O</v>
      </c>
      <c r="X9" s="164" t="str">
        <f t="shared" ca="1" si="5"/>
        <v>O</v>
      </c>
      <c r="Y9" s="164" t="str">
        <f t="shared" ca="1" si="5"/>
        <v>O</v>
      </c>
      <c r="Z9" s="487"/>
      <c r="AA9" s="488"/>
      <c r="AB9" s="489"/>
    </row>
    <row r="10" spans="1:28" ht="22.5" hidden="1" customHeight="1">
      <c r="A10" s="171"/>
      <c r="B10" s="172"/>
      <c r="C10" s="307"/>
      <c r="D10" s="174"/>
      <c r="E10" s="175">
        <f t="shared" ref="E10:M10" ca="1" si="6">IF($D11&gt;0,FLOOR($D11/18,1),0)+IF(AND(MOD($D11,18)&gt;=E$3,$D11&gt;0),1,0)-IF(E$3-18&gt;$D11,1,0)</f>
        <v>1</v>
      </c>
      <c r="F10" s="176">
        <f t="shared" ca="1" si="6"/>
        <v>1</v>
      </c>
      <c r="G10" s="176">
        <f t="shared" ca="1" si="6"/>
        <v>1</v>
      </c>
      <c r="H10" s="176">
        <f t="shared" ca="1" si="6"/>
        <v>1</v>
      </c>
      <c r="I10" s="176">
        <f t="shared" ca="1" si="6"/>
        <v>1</v>
      </c>
      <c r="J10" s="176">
        <f t="shared" ca="1" si="6"/>
        <v>1</v>
      </c>
      <c r="K10" s="176">
        <f t="shared" ca="1" si="6"/>
        <v>1</v>
      </c>
      <c r="L10" s="176">
        <f t="shared" ca="1" si="6"/>
        <v>1</v>
      </c>
      <c r="M10" s="176">
        <f t="shared" ca="1" si="6"/>
        <v>1</v>
      </c>
      <c r="N10" s="479"/>
      <c r="O10" s="131"/>
      <c r="P10" s="171"/>
      <c r="Q10" s="175">
        <f t="shared" ref="Q10:Y10" ca="1" si="7">IF($D11&gt;0,FLOOR($D11/18,1),0)+IF(AND(MOD($D11,18)&gt;=Q$3,$D11&gt;0),1,0)-IF(Q$3-18&gt;$D11,1,0)</f>
        <v>1</v>
      </c>
      <c r="R10" s="176">
        <f t="shared" ca="1" si="7"/>
        <v>1</v>
      </c>
      <c r="S10" s="176">
        <f t="shared" ca="1" si="7"/>
        <v>1</v>
      </c>
      <c r="T10" s="176">
        <f t="shared" ca="1" si="7"/>
        <v>1</v>
      </c>
      <c r="U10" s="176">
        <f t="shared" ca="1" si="7"/>
        <v>1</v>
      </c>
      <c r="V10" s="176">
        <f t="shared" ca="1" si="7"/>
        <v>1</v>
      </c>
      <c r="W10" s="176">
        <f t="shared" ca="1" si="7"/>
        <v>1</v>
      </c>
      <c r="X10" s="176">
        <f t="shared" ca="1" si="7"/>
        <v>1</v>
      </c>
      <c r="Y10" s="176">
        <f t="shared" ca="1" si="7"/>
        <v>1</v>
      </c>
      <c r="Z10" s="479"/>
      <c r="AA10" s="480"/>
      <c r="AB10" s="481"/>
    </row>
    <row r="11" spans="1:28" ht="22.5" customHeight="1">
      <c r="A11" s="181" t="str">
        <f>'Match Selection'!P20</f>
        <v>Hile</v>
      </c>
      <c r="B11" s="182" t="str">
        <f>VLOOKUP(A11, 'Master Input'!$A$11:$B$27,2, FALSE)</f>
        <v>WEEZ</v>
      </c>
      <c r="C11" s="311">
        <f ca="1">VLOOKUP(A11,'Master Input'!$A$11:$L$27,'Master Input'!$L$28, FALSE)</f>
        <v>18</v>
      </c>
      <c r="D11" s="184">
        <f ca="1">C11</f>
        <v>18</v>
      </c>
      <c r="E11" s="490">
        <v>5</v>
      </c>
      <c r="F11" s="186">
        <v>5</v>
      </c>
      <c r="G11" s="186">
        <v>7</v>
      </c>
      <c r="H11" s="186">
        <v>5</v>
      </c>
      <c r="I11" s="186">
        <v>6</v>
      </c>
      <c r="J11" s="186">
        <v>6</v>
      </c>
      <c r="K11" s="186">
        <v>6</v>
      </c>
      <c r="L11" s="186">
        <v>6</v>
      </c>
      <c r="M11" s="186">
        <v>5</v>
      </c>
      <c r="N11" s="483">
        <f>IF(M11="","", SUM(E11:M11))</f>
        <v>51</v>
      </c>
      <c r="O11" s="131"/>
      <c r="P11" s="181" t="str">
        <f>A11</f>
        <v>Hile</v>
      </c>
      <c r="Q11" s="490">
        <v>7</v>
      </c>
      <c r="R11" s="186">
        <v>6</v>
      </c>
      <c r="S11" s="186">
        <v>4</v>
      </c>
      <c r="T11" s="186">
        <v>4</v>
      </c>
      <c r="U11" s="186">
        <v>5</v>
      </c>
      <c r="V11" s="186">
        <v>8</v>
      </c>
      <c r="W11" s="186">
        <v>5</v>
      </c>
      <c r="X11" s="186">
        <v>4</v>
      </c>
      <c r="Y11" s="186">
        <v>5</v>
      </c>
      <c r="Z11" s="483">
        <f>IF(Y11="","", SUM(Q11:Y11))</f>
        <v>48</v>
      </c>
      <c r="AA11" s="484">
        <f>IF(Z11="", "", SUM(N11,Z11))</f>
        <v>99</v>
      </c>
      <c r="AB11" s="485">
        <f ca="1">IF(Y11="", "", AA11-C11)</f>
        <v>81</v>
      </c>
    </row>
    <row r="12" spans="1:28" ht="7.5" customHeight="1">
      <c r="A12" s="245"/>
      <c r="B12" s="148"/>
      <c r="C12" s="315"/>
      <c r="D12" s="150"/>
      <c r="E12" s="491" t="str">
        <f t="shared" ref="E12:M12" ca="1" si="8">IF(E13=1,"O", IF(E13=2,"O   O",""))</f>
        <v/>
      </c>
      <c r="F12" s="492" t="str">
        <f t="shared" ca="1" si="8"/>
        <v>O</v>
      </c>
      <c r="G12" s="492" t="str">
        <f t="shared" ca="1" si="8"/>
        <v/>
      </c>
      <c r="H12" s="492" t="str">
        <f t="shared" ca="1" si="8"/>
        <v/>
      </c>
      <c r="I12" s="492" t="str">
        <f t="shared" ca="1" si="8"/>
        <v>O</v>
      </c>
      <c r="J12" s="492" t="str">
        <f t="shared" ca="1" si="8"/>
        <v/>
      </c>
      <c r="K12" s="492" t="str">
        <f t="shared" ca="1" si="8"/>
        <v>O</v>
      </c>
      <c r="L12" s="492" t="str">
        <f t="shared" ca="1" si="8"/>
        <v>O</v>
      </c>
      <c r="M12" s="492" t="str">
        <f t="shared" ca="1" si="8"/>
        <v>O</v>
      </c>
      <c r="N12" s="475"/>
      <c r="O12" s="118"/>
      <c r="P12" s="240"/>
      <c r="Q12" s="491" t="str">
        <f t="shared" ref="Q12:Y12" ca="1" si="9">IF(Q13=1,"O", IF(Q13=2,"O   O",""))</f>
        <v/>
      </c>
      <c r="R12" s="492" t="str">
        <f t="shared" ca="1" si="9"/>
        <v>O</v>
      </c>
      <c r="S12" s="492" t="str">
        <f t="shared" ca="1" si="9"/>
        <v>O</v>
      </c>
      <c r="T12" s="492" t="str">
        <f t="shared" ca="1" si="9"/>
        <v/>
      </c>
      <c r="U12" s="492" t="str">
        <f t="shared" ca="1" si="9"/>
        <v/>
      </c>
      <c r="V12" s="492" t="str">
        <f t="shared" ca="1" si="9"/>
        <v/>
      </c>
      <c r="W12" s="492" t="str">
        <f t="shared" ca="1" si="9"/>
        <v>O</v>
      </c>
      <c r="X12" s="492" t="str">
        <f t="shared" ca="1" si="9"/>
        <v>O</v>
      </c>
      <c r="Y12" s="492" t="str">
        <f t="shared" ca="1" si="9"/>
        <v>O</v>
      </c>
      <c r="Z12" s="487"/>
      <c r="AA12" s="488"/>
      <c r="AB12" s="493"/>
    </row>
    <row r="13" spans="1:28" ht="22.5" hidden="1" customHeight="1">
      <c r="A13" s="123"/>
      <c r="B13" s="124"/>
      <c r="C13" s="286"/>
      <c r="D13" s="126"/>
      <c r="E13" s="494">
        <f t="shared" ref="E13:M13" ca="1" si="10">IF($D14&gt;0,FLOOR($D14/18,1),0)+IF(AND(MOD($D14,18)&gt;=E$3,$D14&gt;0),1,0)-IF(E$3-18&gt;$D14,1,0)</f>
        <v>0</v>
      </c>
      <c r="F13" s="495">
        <f t="shared" ca="1" si="10"/>
        <v>1</v>
      </c>
      <c r="G13" s="495">
        <f t="shared" ca="1" si="10"/>
        <v>0</v>
      </c>
      <c r="H13" s="495">
        <f t="shared" ca="1" si="10"/>
        <v>0</v>
      </c>
      <c r="I13" s="495">
        <f t="shared" ca="1" si="10"/>
        <v>1</v>
      </c>
      <c r="J13" s="495">
        <f t="shared" ca="1" si="10"/>
        <v>0</v>
      </c>
      <c r="K13" s="495">
        <f t="shared" ca="1" si="10"/>
        <v>1</v>
      </c>
      <c r="L13" s="495">
        <f t="shared" ca="1" si="10"/>
        <v>1</v>
      </c>
      <c r="M13" s="495">
        <f t="shared" ca="1" si="10"/>
        <v>1</v>
      </c>
      <c r="N13" s="479"/>
      <c r="O13" s="131"/>
      <c r="P13" s="123"/>
      <c r="Q13" s="494">
        <f t="shared" ref="Q13:Y13" ca="1" si="11">IF($D14&gt;0,FLOOR($D14/18,1),0)+IF(AND(MOD($D14,18)&gt;=Q$3,$D14&gt;0),1,0)-IF(Q$3-18&gt;$D14,1,0)</f>
        <v>0</v>
      </c>
      <c r="R13" s="495">
        <f t="shared" ca="1" si="11"/>
        <v>1</v>
      </c>
      <c r="S13" s="495">
        <f t="shared" ca="1" si="11"/>
        <v>1</v>
      </c>
      <c r="T13" s="495">
        <f t="shared" ca="1" si="11"/>
        <v>0</v>
      </c>
      <c r="U13" s="495">
        <f t="shared" ca="1" si="11"/>
        <v>0</v>
      </c>
      <c r="V13" s="495">
        <f t="shared" ca="1" si="11"/>
        <v>0</v>
      </c>
      <c r="W13" s="495">
        <f t="shared" ca="1" si="11"/>
        <v>1</v>
      </c>
      <c r="X13" s="495">
        <f t="shared" ca="1" si="11"/>
        <v>1</v>
      </c>
      <c r="Y13" s="495">
        <f t="shared" ca="1" si="11"/>
        <v>1</v>
      </c>
      <c r="Z13" s="479"/>
      <c r="AA13" s="480"/>
      <c r="AB13" s="481"/>
    </row>
    <row r="14" spans="1:28" ht="22.5" customHeight="1">
      <c r="A14" s="136" t="str">
        <f>'Match Selection'!S19</f>
        <v>Pace</v>
      </c>
      <c r="B14" s="137" t="str">
        <f>VLOOKUP(A14, 'Master Input'!$A$11:$B$27,2, FALSE)</f>
        <v>WEEZ</v>
      </c>
      <c r="C14" s="292">
        <f ca="1">VLOOKUP(A14,'Master Input'!$A$11:$L$27,'Master Input'!$L$28, FALSE)</f>
        <v>10</v>
      </c>
      <c r="D14" s="139">
        <f ca="1">C14</f>
        <v>10</v>
      </c>
      <c r="E14" s="496">
        <v>5</v>
      </c>
      <c r="F14" s="497">
        <v>6</v>
      </c>
      <c r="G14" s="497">
        <v>8</v>
      </c>
      <c r="H14" s="497">
        <v>5</v>
      </c>
      <c r="I14" s="497">
        <v>4</v>
      </c>
      <c r="J14" s="497">
        <v>5</v>
      </c>
      <c r="K14" s="497">
        <v>5</v>
      </c>
      <c r="L14" s="497">
        <v>4</v>
      </c>
      <c r="M14" s="497">
        <v>3</v>
      </c>
      <c r="N14" s="483">
        <f>IF(M14="","", SUM(E14:M14))</f>
        <v>45</v>
      </c>
      <c r="O14" s="131"/>
      <c r="P14" s="136" t="str">
        <f>A14</f>
        <v>Pace</v>
      </c>
      <c r="Q14" s="496">
        <v>7</v>
      </c>
      <c r="R14" s="497">
        <v>5</v>
      </c>
      <c r="S14" s="497">
        <v>6</v>
      </c>
      <c r="T14" s="497">
        <v>4</v>
      </c>
      <c r="U14" s="497">
        <v>5</v>
      </c>
      <c r="V14" s="497">
        <v>6</v>
      </c>
      <c r="W14" s="497">
        <v>5</v>
      </c>
      <c r="X14" s="497">
        <v>5</v>
      </c>
      <c r="Y14" s="497">
        <v>4</v>
      </c>
      <c r="Z14" s="483">
        <f>IF(Y14="","", SUM(Q14:Y14))</f>
        <v>47</v>
      </c>
      <c r="AA14" s="484">
        <f>IF(Z14="", "", SUM(N14,Z14))</f>
        <v>92</v>
      </c>
      <c r="AB14" s="485">
        <f ca="1">IF(Y14="", "", AA14-C14)</f>
        <v>82</v>
      </c>
    </row>
    <row r="15" spans="1:28" ht="7.5" customHeight="1">
      <c r="A15" s="159"/>
      <c r="B15" s="160"/>
      <c r="C15" s="323"/>
      <c r="D15" s="162"/>
      <c r="E15" s="163" t="str">
        <f t="shared" ref="E15:M15" ca="1" si="12">IF(E16=1,"O", IF(E16=2,"O   O",""))</f>
        <v>O</v>
      </c>
      <c r="F15" s="164" t="str">
        <f t="shared" ca="1" si="12"/>
        <v>O</v>
      </c>
      <c r="G15" s="164" t="str">
        <f t="shared" ca="1" si="12"/>
        <v/>
      </c>
      <c r="H15" s="164" t="str">
        <f t="shared" ca="1" si="12"/>
        <v/>
      </c>
      <c r="I15" s="164" t="str">
        <f t="shared" ca="1" si="12"/>
        <v>O</v>
      </c>
      <c r="J15" s="164" t="str">
        <f t="shared" ca="1" si="12"/>
        <v/>
      </c>
      <c r="K15" s="164" t="str">
        <f t="shared" ca="1" si="12"/>
        <v>O</v>
      </c>
      <c r="L15" s="164" t="str">
        <f t="shared" ca="1" si="12"/>
        <v>O</v>
      </c>
      <c r="M15" s="164" t="str">
        <f t="shared" ca="1" si="12"/>
        <v>O</v>
      </c>
      <c r="N15" s="498"/>
      <c r="O15" s="118"/>
      <c r="P15" s="159"/>
      <c r="Q15" s="163" t="str">
        <f t="shared" ref="Q15:Y15" ca="1" si="13">IF(Q16=1,"O", IF(Q16=2,"O   O",""))</f>
        <v/>
      </c>
      <c r="R15" s="164" t="str">
        <f t="shared" ca="1" si="13"/>
        <v>O</v>
      </c>
      <c r="S15" s="164" t="str">
        <f t="shared" ca="1" si="13"/>
        <v>O</v>
      </c>
      <c r="T15" s="164" t="str">
        <f t="shared" ca="1" si="13"/>
        <v/>
      </c>
      <c r="U15" s="164" t="str">
        <f t="shared" ca="1" si="13"/>
        <v/>
      </c>
      <c r="V15" s="164" t="str">
        <f t="shared" ca="1" si="13"/>
        <v/>
      </c>
      <c r="W15" s="164" t="str">
        <f t="shared" ca="1" si="13"/>
        <v>O</v>
      </c>
      <c r="X15" s="164" t="str">
        <f t="shared" ca="1" si="13"/>
        <v>O</v>
      </c>
      <c r="Y15" s="164" t="str">
        <f t="shared" ca="1" si="13"/>
        <v>O</v>
      </c>
      <c r="Z15" s="498"/>
      <c r="AA15" s="499"/>
      <c r="AB15" s="493"/>
    </row>
    <row r="16" spans="1:28" ht="22.5" hidden="1" customHeight="1">
      <c r="A16" s="171"/>
      <c r="B16" s="172"/>
      <c r="C16" s="307"/>
      <c r="D16" s="174"/>
      <c r="E16" s="175">
        <f t="shared" ref="E16:M16" ca="1" si="14">IF($D17&gt;0,FLOOR($D17/18,1),0)+IF(AND(MOD($D17,18)&gt;=E$3,$D17&gt;0),1,0)-IF(E$3-18&gt;$D17,1,0)</f>
        <v>1</v>
      </c>
      <c r="F16" s="176">
        <f t="shared" ca="1" si="14"/>
        <v>1</v>
      </c>
      <c r="G16" s="176">
        <f t="shared" ca="1" si="14"/>
        <v>0</v>
      </c>
      <c r="H16" s="176">
        <f t="shared" ca="1" si="14"/>
        <v>0</v>
      </c>
      <c r="I16" s="176">
        <f t="shared" ca="1" si="14"/>
        <v>1</v>
      </c>
      <c r="J16" s="176">
        <f t="shared" ca="1" si="14"/>
        <v>0</v>
      </c>
      <c r="K16" s="176">
        <f t="shared" ca="1" si="14"/>
        <v>1</v>
      </c>
      <c r="L16" s="176">
        <f t="shared" ca="1" si="14"/>
        <v>1</v>
      </c>
      <c r="M16" s="176">
        <f t="shared" ca="1" si="14"/>
        <v>1</v>
      </c>
      <c r="N16" s="479"/>
      <c r="O16" s="131"/>
      <c r="P16" s="171"/>
      <c r="Q16" s="175">
        <f t="shared" ref="Q16:Y16" ca="1" si="15">IF($D17&gt;0,FLOOR($D17/18,1),0)+IF(AND(MOD($D17,18)&gt;=Q$3,$D17&gt;0),1,0)-IF(Q$3-18&gt;$D17,1,0)</f>
        <v>0</v>
      </c>
      <c r="R16" s="176">
        <f t="shared" ca="1" si="15"/>
        <v>1</v>
      </c>
      <c r="S16" s="176">
        <f t="shared" ca="1" si="15"/>
        <v>1</v>
      </c>
      <c r="T16" s="176">
        <f t="shared" ca="1" si="15"/>
        <v>0</v>
      </c>
      <c r="U16" s="176">
        <f t="shared" ca="1" si="15"/>
        <v>0</v>
      </c>
      <c r="V16" s="176">
        <f t="shared" ca="1" si="15"/>
        <v>0</v>
      </c>
      <c r="W16" s="176">
        <f t="shared" ca="1" si="15"/>
        <v>1</v>
      </c>
      <c r="X16" s="176">
        <f t="shared" ca="1" si="15"/>
        <v>1</v>
      </c>
      <c r="Y16" s="176">
        <f t="shared" ca="1" si="15"/>
        <v>1</v>
      </c>
      <c r="Z16" s="479"/>
      <c r="AA16" s="500"/>
      <c r="AB16" s="481"/>
    </row>
    <row r="17" spans="1:28" ht="22.5" customHeight="1">
      <c r="A17" s="191" t="str">
        <f>'Match Selection'!S20</f>
        <v>T-Mo</v>
      </c>
      <c r="B17" s="182" t="str">
        <f>VLOOKUP(A17, 'Master Input'!$A$11:$B$27,2, FALSE)</f>
        <v>WEEZ</v>
      </c>
      <c r="C17" s="311">
        <f ca="1">VLOOKUP(A17,'Master Input'!$A$11:$L$27,'Master Input'!$L$28, FALSE)</f>
        <v>11</v>
      </c>
      <c r="D17" s="184">
        <f ca="1">C17</f>
        <v>11</v>
      </c>
      <c r="E17" s="490">
        <v>5</v>
      </c>
      <c r="F17" s="186">
        <v>6</v>
      </c>
      <c r="G17" s="186">
        <v>6</v>
      </c>
      <c r="H17" s="186">
        <v>4</v>
      </c>
      <c r="I17" s="186">
        <v>7</v>
      </c>
      <c r="J17" s="186">
        <v>5</v>
      </c>
      <c r="K17" s="186">
        <v>6</v>
      </c>
      <c r="L17" s="186">
        <v>6</v>
      </c>
      <c r="M17" s="186">
        <v>3</v>
      </c>
      <c r="N17" s="483">
        <f>IF(M17="","", SUM(E17:M17))</f>
        <v>48</v>
      </c>
      <c r="O17" s="131"/>
      <c r="P17" s="181" t="str">
        <f>A17</f>
        <v>T-Mo</v>
      </c>
      <c r="Q17" s="490">
        <v>6</v>
      </c>
      <c r="R17" s="186">
        <v>6</v>
      </c>
      <c r="S17" s="186">
        <v>4</v>
      </c>
      <c r="T17" s="186">
        <v>3</v>
      </c>
      <c r="U17" s="186">
        <v>4</v>
      </c>
      <c r="V17" s="186">
        <v>6</v>
      </c>
      <c r="W17" s="186">
        <v>4</v>
      </c>
      <c r="X17" s="186">
        <v>4</v>
      </c>
      <c r="Y17" s="186">
        <v>6</v>
      </c>
      <c r="Z17" s="483">
        <f>IF(Y17="","", SUM(Q17:Y17))</f>
        <v>43</v>
      </c>
      <c r="AA17" s="484">
        <f>IF(Z17="", "", SUM(N17,Z17))</f>
        <v>91</v>
      </c>
      <c r="AB17" s="485">
        <f ca="1">IF(Y17="", "", AA17-C17)</f>
        <v>80</v>
      </c>
    </row>
    <row r="18" spans="1:28" ht="11.25" customHeight="1">
      <c r="A18" s="329"/>
      <c r="B18" s="329"/>
      <c r="C18" s="330"/>
      <c r="D18" s="195"/>
      <c r="E18" s="331"/>
      <c r="F18" s="195"/>
      <c r="G18" s="195"/>
      <c r="H18" s="195"/>
      <c r="I18" s="195"/>
      <c r="J18" s="195"/>
      <c r="K18" s="195"/>
      <c r="L18" s="195"/>
      <c r="M18" s="195"/>
      <c r="N18" s="331"/>
      <c r="O18" s="196"/>
      <c r="P18" s="195"/>
      <c r="Q18" s="331"/>
      <c r="R18" s="195"/>
      <c r="S18" s="195"/>
      <c r="T18" s="195"/>
      <c r="U18" s="195"/>
      <c r="V18" s="195"/>
      <c r="W18" s="195"/>
      <c r="X18" s="195"/>
      <c r="Y18" s="195"/>
      <c r="Z18" s="195"/>
      <c r="AA18" s="195"/>
      <c r="AB18" s="195"/>
    </row>
    <row r="19" spans="1:28" ht="14.25" customHeight="1">
      <c r="A19" s="508" t="s">
        <v>61</v>
      </c>
      <c r="B19" s="502"/>
      <c r="C19" s="503"/>
      <c r="D19" s="504"/>
      <c r="E19" s="535">
        <f>'R4_G1'!E19</f>
        <v>3</v>
      </c>
      <c r="F19" s="536">
        <f>'R4_G1'!F19</f>
        <v>3</v>
      </c>
      <c r="G19" s="536">
        <f>'R4_G1'!G19</f>
        <v>3</v>
      </c>
      <c r="H19" s="536">
        <f>'R4_G1'!H19</f>
        <v>3</v>
      </c>
      <c r="I19" s="536">
        <f>'R4_G1'!I19</f>
        <v>3</v>
      </c>
      <c r="J19" s="536">
        <f>'R4_G1'!J19</f>
        <v>3</v>
      </c>
      <c r="K19" s="536">
        <f>'R4_G1'!K19</f>
        <v>4</v>
      </c>
      <c r="L19" s="536">
        <f>'R4_G1'!L19</f>
        <v>4</v>
      </c>
      <c r="M19" s="537">
        <f>'R4_G1'!M19</f>
        <v>4</v>
      </c>
      <c r="N19" s="195"/>
      <c r="O19" s="204"/>
      <c r="P19" s="508" t="s">
        <v>61</v>
      </c>
      <c r="Q19" s="535">
        <f>'R4_G1'!Q19</f>
        <v>4</v>
      </c>
      <c r="R19" s="536">
        <f>'R4_G1'!R19</f>
        <v>4</v>
      </c>
      <c r="S19" s="536">
        <f>'R4_G1'!S19</f>
        <v>4</v>
      </c>
      <c r="T19" s="536">
        <f>'R4_G1'!T19</f>
        <v>5</v>
      </c>
      <c r="U19" s="536">
        <f>'R4_G1'!U19</f>
        <v>5</v>
      </c>
      <c r="V19" s="536">
        <f>'R4_G1'!V19</f>
        <v>5</v>
      </c>
      <c r="W19" s="536">
        <f>'R4_G1'!W19</f>
        <v>5</v>
      </c>
      <c r="X19" s="536">
        <f>'R4_G1'!X19</f>
        <v>5</v>
      </c>
      <c r="Y19" s="537">
        <f>'R4_G1'!Y19</f>
        <v>5</v>
      </c>
      <c r="AA19" s="538" t="s">
        <v>62</v>
      </c>
      <c r="AB19" s="539"/>
    </row>
    <row r="20" spans="1:28" ht="18.75" customHeight="1">
      <c r="A20" s="508" t="s">
        <v>63</v>
      </c>
      <c r="B20" s="502"/>
      <c r="C20" s="503"/>
      <c r="D20" s="504"/>
      <c r="E20" s="511">
        <f>'R4_G1'!E20</f>
        <v>4</v>
      </c>
      <c r="F20" s="511">
        <f>'R4_G1'!F20</f>
        <v>3.3333333333333335</v>
      </c>
      <c r="G20" s="511">
        <f>'R4_G1'!G20</f>
        <v>5.666666666666667</v>
      </c>
      <c r="H20" s="511">
        <f>'R4_G1'!H20</f>
        <v>3</v>
      </c>
      <c r="I20" s="511">
        <f>'R4_G1'!I20</f>
        <v>2.6666666666666665</v>
      </c>
      <c r="J20" s="511">
        <f>'R4_G1'!J20</f>
        <v>4.666666666666667</v>
      </c>
      <c r="K20" s="511">
        <f>'R4_G1'!K20</f>
        <v>3.75</v>
      </c>
      <c r="L20" s="511">
        <f>'R4_G1'!L20</f>
        <v>3.75</v>
      </c>
      <c r="M20" s="511">
        <f>'R4_G1'!M20</f>
        <v>2.25</v>
      </c>
      <c r="N20" s="195"/>
      <c r="O20" s="204"/>
      <c r="P20" s="508" t="s">
        <v>63</v>
      </c>
      <c r="Q20" s="511">
        <f>'R4_G1'!Q20</f>
        <v>4.5</v>
      </c>
      <c r="R20" s="511">
        <f>'R4_G1'!R20</f>
        <v>3.75</v>
      </c>
      <c r="S20" s="511">
        <f>'R4_G1'!S20</f>
        <v>3.25</v>
      </c>
      <c r="T20" s="511">
        <f>'R4_G1'!T20</f>
        <v>2.6</v>
      </c>
      <c r="U20" s="511">
        <f>'R4_G1'!U20</f>
        <v>3.6</v>
      </c>
      <c r="V20" s="511">
        <f>'R4_G1'!V20</f>
        <v>5.4</v>
      </c>
      <c r="W20" s="511">
        <f>'R4_G1'!W20</f>
        <v>3.2</v>
      </c>
      <c r="X20" s="511">
        <f>'R4_G1'!X20</f>
        <v>2.8</v>
      </c>
      <c r="Y20" s="511">
        <f>'R4_G1'!Y20</f>
        <v>4.2</v>
      </c>
      <c r="AA20" s="540" t="s">
        <v>65</v>
      </c>
      <c r="AB20" s="541"/>
    </row>
    <row r="21" spans="1:28" ht="18.75" customHeight="1">
      <c r="A21" s="523" t="s">
        <v>66</v>
      </c>
      <c r="B21" s="517"/>
      <c r="C21" s="518"/>
      <c r="D21" s="519"/>
      <c r="E21" s="520">
        <f ca="1">'R4_G1'!E21</f>
        <v>0</v>
      </c>
      <c r="F21" s="520">
        <f ca="1">'R4_G1'!F21</f>
        <v>-2</v>
      </c>
      <c r="G21" s="520">
        <f ca="1">'R4_G1'!G21</f>
        <v>2</v>
      </c>
      <c r="H21" s="520">
        <f ca="1">'R4_G1'!H21</f>
        <v>0</v>
      </c>
      <c r="I21" s="520">
        <f ca="1">'R4_G1'!I21</f>
        <v>-4</v>
      </c>
      <c r="J21" s="520">
        <f ca="1">'R4_G1'!J21</f>
        <v>-1</v>
      </c>
      <c r="K21" s="520">
        <f ca="1">'R4_G1'!K21</f>
        <v>-1</v>
      </c>
      <c r="L21" s="520">
        <f ca="1">'R4_G1'!L21</f>
        <v>-1</v>
      </c>
      <c r="M21" s="520">
        <f ca="1">'R4_G1'!M21</f>
        <v>-3</v>
      </c>
      <c r="N21" s="195"/>
      <c r="O21" s="204"/>
      <c r="P21" s="523" t="s">
        <v>66</v>
      </c>
      <c r="Q21" s="520">
        <f ca="1">'R4_G1'!Q21</f>
        <v>-2</v>
      </c>
      <c r="R21" s="520">
        <f ca="1">'R4_G1'!R21</f>
        <v>-1</v>
      </c>
      <c r="S21" s="520">
        <f ca="1">'R4_G1'!S21</f>
        <v>-3</v>
      </c>
      <c r="T21" s="520">
        <f ca="1">'R4_G1'!T21</f>
        <v>-2</v>
      </c>
      <c r="U21" s="520">
        <f ca="1">'R4_G1'!U21</f>
        <v>-2</v>
      </c>
      <c r="V21" s="520">
        <f ca="1">'R4_G1'!V21</f>
        <v>2</v>
      </c>
      <c r="W21" s="520">
        <f ca="1">'R4_G1'!W21</f>
        <v>-4</v>
      </c>
      <c r="X21" s="520">
        <f ca="1">'R4_G1'!X21</f>
        <v>-1</v>
      </c>
      <c r="Y21" s="520">
        <f ca="1">'R4_G1'!Y21</f>
        <v>1</v>
      </c>
      <c r="AA21" s="542" t="s">
        <v>69</v>
      </c>
      <c r="AB21" s="543"/>
    </row>
    <row r="22" spans="1:28" ht="18.75" customHeight="1">
      <c r="N22" s="195"/>
      <c r="O22" s="72"/>
      <c r="Z22" s="367" t="s">
        <v>32</v>
      </c>
      <c r="AA22" s="526" t="s">
        <v>33</v>
      </c>
      <c r="AB22" s="223" t="s">
        <v>34</v>
      </c>
    </row>
    <row r="23" spans="1:28" ht="18.75" customHeight="1">
      <c r="A23" s="527" t="s">
        <v>68</v>
      </c>
      <c r="B23" s="527" t="s">
        <v>68</v>
      </c>
      <c r="C23" s="528"/>
      <c r="D23" s="529"/>
      <c r="E23" s="530">
        <f>'R4_G1'!E23</f>
        <v>12</v>
      </c>
      <c r="F23" s="530">
        <f>'R4_G1'!F23</f>
        <v>10</v>
      </c>
      <c r="G23" s="530">
        <f>'R4_G1'!G23</f>
        <v>17</v>
      </c>
      <c r="H23" s="530">
        <f>'R4_G1'!H23</f>
        <v>9</v>
      </c>
      <c r="I23" s="530">
        <f>'R4_G1'!I23</f>
        <v>8</v>
      </c>
      <c r="J23" s="530">
        <f>'R4_G1'!J23</f>
        <v>14</v>
      </c>
      <c r="K23" s="530">
        <f>'R4_G1'!K23</f>
        <v>15</v>
      </c>
      <c r="L23" s="530">
        <f>'R4_G1'!L23</f>
        <v>15</v>
      </c>
      <c r="M23" s="530">
        <f>'R4_G1'!M23</f>
        <v>9</v>
      </c>
      <c r="N23" s="531"/>
      <c r="O23" s="531"/>
      <c r="P23" s="527" t="s">
        <v>68</v>
      </c>
      <c r="Q23" s="530">
        <f>'R4_G1'!Q23</f>
        <v>18</v>
      </c>
      <c r="R23" s="530">
        <f>'R4_G1'!R23</f>
        <v>15</v>
      </c>
      <c r="S23" s="530">
        <f>'R4_G1'!S23</f>
        <v>13</v>
      </c>
      <c r="T23" s="530">
        <f>'R4_G1'!T23</f>
        <v>13</v>
      </c>
      <c r="U23" s="530">
        <f>'R4_G1'!U23</f>
        <v>18</v>
      </c>
      <c r="V23" s="530">
        <f>'R4_G1'!V23</f>
        <v>27</v>
      </c>
      <c r="W23" s="530">
        <f>'R4_G1'!W23</f>
        <v>16</v>
      </c>
      <c r="X23" s="530">
        <f>'R4_G1'!X23</f>
        <v>14</v>
      </c>
      <c r="Y23" s="530">
        <f>'R4_G1'!Y23</f>
        <v>21</v>
      </c>
      <c r="Z23" s="367" t="s">
        <v>36</v>
      </c>
      <c r="AA23" s="526" t="s">
        <v>37</v>
      </c>
      <c r="AB23" s="223" t="s">
        <v>38</v>
      </c>
    </row>
    <row r="24" spans="1:28" ht="18.75" customHeight="1">
      <c r="A24" s="368"/>
      <c r="B24" s="369" t="str">
        <f>B8</f>
        <v>WEEZ</v>
      </c>
      <c r="C24" s="370"/>
      <c r="D24" s="369"/>
      <c r="E24" s="369">
        <f>'FINAL COUNTDOWN'!J3</f>
        <v>0</v>
      </c>
      <c r="F24" s="369">
        <f>'FINAL COUNTDOWN'!J4</f>
        <v>0.5</v>
      </c>
      <c r="G24" s="369">
        <f>'FINAL COUNTDOWN'!J5</f>
        <v>0</v>
      </c>
      <c r="H24" s="369">
        <f>'FINAL COUNTDOWN'!J6</f>
        <v>0.5</v>
      </c>
      <c r="I24" s="369">
        <f>'FINAL COUNTDOWN'!J7</f>
        <v>1</v>
      </c>
      <c r="J24" s="369">
        <f>'FINAL COUNTDOWN'!J8</f>
        <v>0.5</v>
      </c>
      <c r="K24" s="369">
        <f>'FINAL COUNTDOWN'!J9</f>
        <v>1</v>
      </c>
      <c r="L24" s="369">
        <f>'FINAL COUNTDOWN'!J10</f>
        <v>0</v>
      </c>
      <c r="M24" s="369">
        <f>'FINAL COUNTDOWN'!J11</f>
        <v>1</v>
      </c>
      <c r="N24" s="369"/>
      <c r="O24" s="369"/>
      <c r="P24" s="371"/>
      <c r="Q24" s="369">
        <f>'FINAL COUNTDOWN'!J12</f>
        <v>2</v>
      </c>
      <c r="R24" s="369">
        <f>'FINAL COUNTDOWN'!J13</f>
        <v>0</v>
      </c>
      <c r="S24" s="369">
        <f>'FINAL COUNTDOWN'!J14</f>
        <v>2</v>
      </c>
      <c r="T24" s="369">
        <f>'FINAL COUNTDOWN'!J15</f>
        <v>2</v>
      </c>
      <c r="U24" s="369">
        <f>'FINAL COUNTDOWN'!J16</f>
        <v>2</v>
      </c>
      <c r="V24" s="369">
        <f>'FINAL COUNTDOWN'!J17</f>
        <v>0</v>
      </c>
      <c r="W24" s="369">
        <f>'FINAL COUNTDOWN'!J18</f>
        <v>2</v>
      </c>
      <c r="X24" s="369">
        <f>'FINAL COUNTDOWN'!J19</f>
        <v>2</v>
      </c>
      <c r="Y24" s="369">
        <f>'FINAL COUNTDOWN'!J20</f>
        <v>0</v>
      </c>
      <c r="Z24" s="369"/>
      <c r="AA24" s="369"/>
      <c r="AB24" s="229">
        <f>SUM(E24:Y24)</f>
        <v>16.5</v>
      </c>
    </row>
    <row r="25" spans="1:28" ht="18.75" customHeight="1">
      <c r="A25" s="193" t="str">
        <f>A8</f>
        <v>Andy</v>
      </c>
      <c r="B25" s="193"/>
      <c r="C25" s="194"/>
      <c r="D25" s="193"/>
      <c r="E25" s="233">
        <f ca="1">IF('Captains Card 1'!E43&lt;SMALL('Captains Card 1'!E$39:E$46,E$19),1,
IF('Captains Card 1'!E43=SMALL('Captains Card 1'!E$39:E$46,E$19),
(E$19-COUNTIF('Captains Card 1'!E$39:E$46,"&lt;"&amp;SMALL('Captains Card 1'!E$39:E$46,E$19)))/COUNTIF('Captains Card 1'!E$39:E$46,SMALL('Captains Card 1'!E$39:E$46,E$19)),0))</f>
        <v>0.6</v>
      </c>
      <c r="F25" s="233">
        <f ca="1">IF('Captains Card 1'!F43&lt;SMALL('Captains Card 1'!F$39:F$46,F$19),1,
IF('Captains Card 1'!F43=SMALL('Captains Card 1'!F$39:F$46,F$19),
(F$19-COUNTIF('Captains Card 1'!F$39:F$46,"&lt;"&amp;SMALL('Captains Card 1'!F$39:F$46,F$19)))/COUNTIF('Captains Card 1'!F$39:F$46,SMALL('Captains Card 1'!F$39:F$46,F$19)),0))</f>
        <v>0.66666666666666663</v>
      </c>
      <c r="G25" s="233">
        <f ca="1">IF('Captains Card 1'!G43&lt;SMALL('Captains Card 1'!G$39:G$46,G$19),1,
IF('Captains Card 1'!G43=SMALL('Captains Card 1'!G$39:G$46,G$19),
(G$19-COUNTIF('Captains Card 1'!G$39:G$46,"&lt;"&amp;SMALL('Captains Card 1'!G$39:G$46,G$19)))/COUNTIF('Captains Card 1'!G$39:G$46,SMALL('Captains Card 1'!G$39:G$46,G$19)),0))</f>
        <v>0.33333333333333331</v>
      </c>
      <c r="H25" s="233">
        <f ca="1">IF('Captains Card 1'!H43&lt;SMALL('Captains Card 1'!H$39:H$46,H$19),1,
IF('Captains Card 1'!H43=SMALL('Captains Card 1'!H$39:H$46,H$19),
(H$19-COUNTIF('Captains Card 1'!H$39:H$46,"&lt;"&amp;SMALL('Captains Card 1'!H$39:H$46,H$19)))/COUNTIF('Captains Card 1'!H$39:H$46,SMALL('Captains Card 1'!H$39:H$46,H$19)),0))</f>
        <v>0.75</v>
      </c>
      <c r="I25" s="233">
        <f ca="1">IF('Captains Card 1'!I43&lt;SMALL('Captains Card 1'!I$39:I$46,I$19),1,
IF('Captains Card 1'!I43=SMALL('Captains Card 1'!I$39:I$46,I$19),
(I$19-COUNTIF('Captains Card 1'!I$39:I$46,"&lt;"&amp;SMALL('Captains Card 1'!I$39:I$46,I$19)))/COUNTIF('Captains Card 1'!I$39:I$46,SMALL('Captains Card 1'!I$39:I$46,I$19)),0))</f>
        <v>0.66666666666666663</v>
      </c>
      <c r="J25" s="233">
        <f ca="1">IF('Captains Card 1'!J43&lt;SMALL('Captains Card 1'!J$39:J$46,J$19),1,
IF('Captains Card 1'!J43=SMALL('Captains Card 1'!J$39:J$46,J$19),
(J$19-COUNTIF('Captains Card 1'!J$39:J$46,"&lt;"&amp;SMALL('Captains Card 1'!J$39:J$46,J$19)))/COUNTIF('Captains Card 1'!J$39:J$46,SMALL('Captains Card 1'!J$39:J$46,J$19)),0))</f>
        <v>1</v>
      </c>
      <c r="K25" s="233">
        <f ca="1">IF('Captains Card 1'!K43&lt;SMALL('Captains Card 1'!K$39:K$46,K$19),1,
IF('Captains Card 1'!K43=SMALL('Captains Card 1'!K$39:K$46,K$19),
(K$19-COUNTIF('Captains Card 1'!K$39:K$46,"&lt;"&amp;SMALL('Captains Card 1'!K$39:K$46,K$19)))/COUNTIF('Captains Card 1'!K$39:K$46,SMALL('Captains Card 1'!K$39:K$46,K$19)),0))</f>
        <v>0.2</v>
      </c>
      <c r="L25" s="233">
        <f ca="1">IF('Captains Card 1'!L43&lt;SMALL('Captains Card 1'!L$39:L$46,L$19),1,
IF('Captains Card 1'!L43=SMALL('Captains Card 1'!L$39:L$46,L$19),
(L$19-COUNTIF('Captains Card 1'!L$39:L$46,"&lt;"&amp;SMALL('Captains Card 1'!L$39:L$46,L$19)))/COUNTIF('Captains Card 1'!L$39:L$46,SMALL('Captains Card 1'!L$39:L$46,L$19)),0))</f>
        <v>0</v>
      </c>
      <c r="M25" s="233">
        <f ca="1">IF('Captains Card 1'!M43&lt;SMALL('Captains Card 1'!M$39:M$46,M$19),1,
IF('Captains Card 1'!M43=SMALL('Captains Card 1'!M$39:M$46,M$19),
(M$19-COUNTIF('Captains Card 1'!M$39:M$46,"&lt;"&amp;SMALL('Captains Card 1'!M$39:M$46,M$19)))/COUNTIF('Captains Card 1'!M$39:M$46,SMALL('Captains Card 1'!M$39:M$46,M$19)),0))</f>
        <v>0</v>
      </c>
      <c r="N25" s="193"/>
      <c r="O25" s="364"/>
      <c r="P25" s="193"/>
      <c r="Q25" s="233">
        <f ca="1">IF('Captains Card 1'!Q43&lt;SMALL('Captains Card 1'!Q$39:Q$46,Q$19),1,
IF('Captains Card 1'!Q43=SMALL('Captains Card 1'!Q$39:Q$46,Q$19),
(Q$19-COUNTIF('Captains Card 1'!Q$39:Q$46,"&lt;"&amp;SMALL('Captains Card 1'!Q$39:Q$46,Q$19)))/COUNTIF('Captains Card 1'!Q$39:Q$46,SMALL('Captains Card 1'!Q$39:Q$46,Q$19)),0))</f>
        <v>1</v>
      </c>
      <c r="R25" s="233">
        <f ca="1">IF('Captains Card 1'!R43&lt;SMALL('Captains Card 1'!R$39:R$46,R$19),1,
IF('Captains Card 1'!R43=SMALL('Captains Card 1'!R$39:R$46,R$19),
(R$19-COUNTIF('Captains Card 1'!R$39:R$46,"&lt;"&amp;SMALL('Captains Card 1'!R$39:R$46,R$19)))/COUNTIF('Captains Card 1'!R$39:R$46,SMALL('Captains Card 1'!R$39:R$46,R$19)),0))</f>
        <v>1</v>
      </c>
      <c r="S25" s="233">
        <f ca="1">IF('Captains Card 1'!S43&lt;SMALL('Captains Card 1'!S$39:S$46,S$19),1,
IF('Captains Card 1'!S43=SMALL('Captains Card 1'!S$39:S$46,S$19),
(S$19-COUNTIF('Captains Card 1'!S$39:S$46,"&lt;"&amp;SMALL('Captains Card 1'!S$39:S$46,S$19)))/COUNTIF('Captains Card 1'!S$39:S$46,SMALL('Captains Card 1'!S$39:S$46,S$19)),0))</f>
        <v>0.5</v>
      </c>
      <c r="T25" s="233">
        <f ca="1">IF('Captains Card 1'!T43&lt;SMALL('Captains Card 1'!T$39:T$46,T$19),1,
IF('Captains Card 1'!T43=SMALL('Captains Card 1'!T$39:T$46,T$19),
(T$19-COUNTIF('Captains Card 1'!T$39:T$46,"&lt;"&amp;SMALL('Captains Card 1'!T$39:T$46,T$19)))/COUNTIF('Captains Card 1'!T$39:T$46,SMALL('Captains Card 1'!T$39:T$46,T$19)),0))</f>
        <v>1</v>
      </c>
      <c r="U25" s="233">
        <f ca="1">IF('Captains Card 1'!U43&lt;SMALL('Captains Card 1'!U$39:U$46,U$19),1,
IF('Captains Card 1'!U43=SMALL('Captains Card 1'!U$39:U$46,U$19),
(U$19-COUNTIF('Captains Card 1'!U$39:U$46,"&lt;"&amp;SMALL('Captains Card 1'!U$39:U$46,U$19)))/COUNTIF('Captains Card 1'!U$39:U$46,SMALL('Captains Card 1'!U$39:U$46,U$19)),0))</f>
        <v>0.8</v>
      </c>
      <c r="V25" s="233">
        <f ca="1">IF('Captains Card 1'!V43&lt;SMALL('Captains Card 1'!V$39:V$46,V$19),1,
IF('Captains Card 1'!V43=SMALL('Captains Card 1'!V$39:V$46,V$19),
(V$19-COUNTIF('Captains Card 1'!V$39:V$46,"&lt;"&amp;SMALL('Captains Card 1'!V$39:V$46,V$19)))/COUNTIF('Captains Card 1'!V$39:V$46,SMALL('Captains Card 1'!V$39:V$46,V$19)),0))</f>
        <v>1</v>
      </c>
      <c r="W25" s="233">
        <f ca="1">IF('Captains Card 1'!W43&lt;SMALL('Captains Card 1'!W$39:W$46,W$19),1,
IF('Captains Card 1'!W43=SMALL('Captains Card 1'!W$39:W$46,W$19),
(W$19-COUNTIF('Captains Card 1'!W$39:W$46,"&lt;"&amp;SMALL('Captains Card 1'!W$39:W$46,W$19)))/COUNTIF('Captains Card 1'!W$39:W$46,SMALL('Captains Card 1'!W$39:W$46,W$19)),0))</f>
        <v>0</v>
      </c>
      <c r="X25" s="233">
        <f ca="1">IF('Captains Card 1'!X43&lt;SMALL('Captains Card 1'!X$39:X$46,X$19),1,
IF('Captains Card 1'!X43=SMALL('Captains Card 1'!X$39:X$46,X$19),
(X$19-COUNTIF('Captains Card 1'!X$39:X$46,"&lt;"&amp;SMALL('Captains Card 1'!X$39:X$46,X$19)))/COUNTIF('Captains Card 1'!X$39:X$46,SMALL('Captains Card 1'!X$39:X$46,X$19)),0))</f>
        <v>0</v>
      </c>
      <c r="Y25" s="233">
        <f ca="1">IF('Captains Card 1'!Y43&lt;SMALL('Captains Card 1'!Y$39:Y$46,Y$19),1,
IF('Captains Card 1'!Y43=SMALL('Captains Card 1'!Y$39:Y$46,Y$19),
(Y$19-COUNTIF('Captains Card 1'!Y$39:Y$46,"&lt;"&amp;SMALL('Captains Card 1'!Y$39:Y$46,Y$19)))/COUNTIF('Captains Card 1'!Y$39:Y$46,SMALL('Captains Card 1'!Y$39:Y$46,Y$19)),0))</f>
        <v>1</v>
      </c>
      <c r="Z25" s="532">
        <f t="shared" ref="Z25:Z28" ca="1" si="16">SUM(E25:M25,Q25:Y25)</f>
        <v>10.516666666666666</v>
      </c>
      <c r="AA25" s="234">
        <f t="shared" ref="AA25:AA28" ca="1" si="17">SUMIF($E$24:$M$24,"&gt;0.5",E25:M25)+SUMIF($E$24:$M$24,0.5,E25:M25)/2+SUMIF($Q$24:$Y$24,"&gt;1",Q25:Y25)+SUMIF($Q$24:$Y$24,1,Q25:Y25)/2</f>
        <v>5.375</v>
      </c>
      <c r="AB25" s="233">
        <f t="shared" ref="AB25:AB28" ca="1" si="18">Z25/(SUM($E$19:$M$19,$Q$19:$Y$19))*$AB$24</f>
        <v>2.4100694444444444</v>
      </c>
    </row>
    <row r="26" spans="1:28" ht="18.75" customHeight="1">
      <c r="A26" s="193" t="str">
        <f>A11</f>
        <v>Hile</v>
      </c>
      <c r="B26" s="193"/>
      <c r="C26" s="194"/>
      <c r="D26" s="193"/>
      <c r="E26" s="233">
        <f ca="1">IF('Captains Card 1'!E44&lt;SMALL('Captains Card 1'!E$39:E$46,E$19),1,
IF('Captains Card 1'!E44=SMALL('Captains Card 1'!E$39:E$46,E$19),
(E$19-COUNTIF('Captains Card 1'!E$39:E$46,"&lt;"&amp;SMALL('Captains Card 1'!E$39:E$46,E$19)))/COUNTIF('Captains Card 1'!E$39:E$46,SMALL('Captains Card 1'!E$39:E$46,E$19)),0))</f>
        <v>0.6</v>
      </c>
      <c r="F26" s="233">
        <f ca="1">IF('Captains Card 1'!F44&lt;SMALL('Captains Card 1'!F$39:F$46,F$19),1,
IF('Captains Card 1'!F44=SMALL('Captains Card 1'!F$39:F$46,F$19),
(F$19-COUNTIF('Captains Card 1'!F$39:F$46,"&lt;"&amp;SMALL('Captains Card 1'!F$39:F$46,F$19)))/COUNTIF('Captains Card 1'!F$39:F$46,SMALL('Captains Card 1'!F$39:F$46,F$19)),0))</f>
        <v>0.66666666666666663</v>
      </c>
      <c r="G26" s="233">
        <f ca="1">IF('Captains Card 1'!G44&lt;SMALL('Captains Card 1'!G$39:G$46,G$19),1,
IF('Captains Card 1'!G44=SMALL('Captains Card 1'!G$39:G$46,G$19),
(G$19-COUNTIF('Captains Card 1'!G$39:G$46,"&lt;"&amp;SMALL('Captains Card 1'!G$39:G$46,G$19)))/COUNTIF('Captains Card 1'!G$39:G$46,SMALL('Captains Card 1'!G$39:G$46,G$19)),0))</f>
        <v>0.33333333333333331</v>
      </c>
      <c r="H26" s="233">
        <f ca="1">IF('Captains Card 1'!H44&lt;SMALL('Captains Card 1'!H$39:H$46,H$19),1,
IF('Captains Card 1'!H44=SMALL('Captains Card 1'!H$39:H$46,H$19),
(H$19-COUNTIF('Captains Card 1'!H$39:H$46,"&lt;"&amp;SMALL('Captains Card 1'!H$39:H$46,H$19)))/COUNTIF('Captains Card 1'!H$39:H$46,SMALL('Captains Card 1'!H$39:H$46,H$19)),0))</f>
        <v>0</v>
      </c>
      <c r="I26" s="233">
        <f ca="1">IF('Captains Card 1'!I44&lt;SMALL('Captains Card 1'!I$39:I$46,I$19),1,
IF('Captains Card 1'!I44=SMALL('Captains Card 1'!I$39:I$46,I$19),
(I$19-COUNTIF('Captains Card 1'!I$39:I$46,"&lt;"&amp;SMALL('Captains Card 1'!I$39:I$46,I$19)))/COUNTIF('Captains Card 1'!I$39:I$46,SMALL('Captains Card 1'!I$39:I$46,I$19)),0))</f>
        <v>0</v>
      </c>
      <c r="J26" s="233">
        <f ca="1">IF('Captains Card 1'!J44&lt;SMALL('Captains Card 1'!J$39:J$46,J$19),1,
IF('Captains Card 1'!J44=SMALL('Captains Card 1'!J$39:J$46,J$19),
(J$19-COUNTIF('Captains Card 1'!J$39:J$46,"&lt;"&amp;SMALL('Captains Card 1'!J$39:J$46,J$19)))/COUNTIF('Captains Card 1'!J$39:J$46,SMALL('Captains Card 1'!J$39:J$46,J$19)),0))</f>
        <v>0.33333333333333331</v>
      </c>
      <c r="K26" s="233">
        <f ca="1">IF('Captains Card 1'!K44&lt;SMALL('Captains Card 1'!K$39:K$46,K$19),1,
IF('Captains Card 1'!K44=SMALL('Captains Card 1'!K$39:K$46,K$19),
(K$19-COUNTIF('Captains Card 1'!K$39:K$46,"&lt;"&amp;SMALL('Captains Card 1'!K$39:K$46,K$19)))/COUNTIF('Captains Card 1'!K$39:K$46,SMALL('Captains Card 1'!K$39:K$46,K$19)),0))</f>
        <v>0.2</v>
      </c>
      <c r="L26" s="233">
        <f ca="1">IF('Captains Card 1'!L44&lt;SMALL('Captains Card 1'!L$39:L$46,L$19),1,
IF('Captains Card 1'!L44=SMALL('Captains Card 1'!L$39:L$46,L$19),
(L$19-COUNTIF('Captains Card 1'!L$39:L$46,"&lt;"&amp;SMALL('Captains Card 1'!L$39:L$46,L$19)))/COUNTIF('Captains Card 1'!L$39:L$46,SMALL('Captains Card 1'!L$39:L$46,L$19)),0))</f>
        <v>0.33333333333333331</v>
      </c>
      <c r="M26" s="233">
        <f ca="1">IF('Captains Card 1'!M44&lt;SMALL('Captains Card 1'!M$39:M$46,M$19),1,
IF('Captains Card 1'!M44=SMALL('Captains Card 1'!M$39:M$46,M$19),
(M$19-COUNTIF('Captains Card 1'!M$39:M$46,"&lt;"&amp;SMALL('Captains Card 1'!M$39:M$46,M$19)))/COUNTIF('Captains Card 1'!M$39:M$46,SMALL('Captains Card 1'!M$39:M$46,M$19)),0))</f>
        <v>0</v>
      </c>
      <c r="N26" s="193"/>
      <c r="O26" s="364"/>
      <c r="P26" s="193"/>
      <c r="Q26" s="233">
        <f ca="1">IF('Captains Card 1'!Q44&lt;SMALL('Captains Card 1'!Q$39:Q$46,Q$19),1,
IF('Captains Card 1'!Q44=SMALL('Captains Card 1'!Q$39:Q$46,Q$19),
(Q$19-COUNTIF('Captains Card 1'!Q$39:Q$46,"&lt;"&amp;SMALL('Captains Card 1'!Q$39:Q$46,Q$19)))/COUNTIF('Captains Card 1'!Q$39:Q$46,SMALL('Captains Card 1'!Q$39:Q$46,Q$19)),0))</f>
        <v>0.5</v>
      </c>
      <c r="R26" s="233">
        <f ca="1">IF('Captains Card 1'!R44&lt;SMALL('Captains Card 1'!R$39:R$46,R$19),1,
IF('Captains Card 1'!R44=SMALL('Captains Card 1'!R$39:R$46,R$19),
(R$19-COUNTIF('Captains Card 1'!R$39:R$46,"&lt;"&amp;SMALL('Captains Card 1'!R$39:R$46,R$19)))/COUNTIF('Captains Card 1'!R$39:R$46,SMALL('Captains Card 1'!R$39:R$46,R$19)),0))</f>
        <v>0</v>
      </c>
      <c r="S26" s="233">
        <f ca="1">IF('Captains Card 1'!S44&lt;SMALL('Captains Card 1'!S$39:S$46,S$19),1,
IF('Captains Card 1'!S44=SMALL('Captains Card 1'!S$39:S$46,S$19),
(S$19-COUNTIF('Captains Card 1'!S$39:S$46,"&lt;"&amp;SMALL('Captains Card 1'!S$39:S$46,S$19)))/COUNTIF('Captains Card 1'!S$39:S$46,SMALL('Captains Card 1'!S$39:S$46,S$19)),0))</f>
        <v>1</v>
      </c>
      <c r="T26" s="233">
        <f ca="1">IF('Captains Card 1'!T44&lt;SMALL('Captains Card 1'!T$39:T$46,T$19),1,
IF('Captains Card 1'!T44=SMALL('Captains Card 1'!T$39:T$46,T$19),
(T$19-COUNTIF('Captains Card 1'!T$39:T$46,"&lt;"&amp;SMALL('Captains Card 1'!T$39:T$46,T$19)))/COUNTIF('Captains Card 1'!T$39:T$46,SMALL('Captains Card 1'!T$39:T$46,T$19)),0))</f>
        <v>1</v>
      </c>
      <c r="U26" s="233">
        <f ca="1">IF('Captains Card 1'!U44&lt;SMALL('Captains Card 1'!U$39:U$46,U$19),1,
IF('Captains Card 1'!U44=SMALL('Captains Card 1'!U$39:U$46,U$19),
(U$19-COUNTIF('Captains Card 1'!U$39:U$46,"&lt;"&amp;SMALL('Captains Card 1'!U$39:U$46,U$19)))/COUNTIF('Captains Card 1'!U$39:U$46,SMALL('Captains Card 1'!U$39:U$46,U$19)),0))</f>
        <v>0.8</v>
      </c>
      <c r="V26" s="233">
        <f ca="1">IF('Captains Card 1'!V44&lt;SMALL('Captains Card 1'!V$39:V$46,V$19),1,
IF('Captains Card 1'!V44=SMALL('Captains Card 1'!V$39:V$46,V$19),
(V$19-COUNTIF('Captains Card 1'!V$39:V$46,"&lt;"&amp;SMALL('Captains Card 1'!V$39:V$46,V$19)))/COUNTIF('Captains Card 1'!V$39:V$46,SMALL('Captains Card 1'!V$39:V$46,V$19)),0))</f>
        <v>0</v>
      </c>
      <c r="W26" s="233">
        <f ca="1">IF('Captains Card 1'!W44&lt;SMALL('Captains Card 1'!W$39:W$46,W$19),1,
IF('Captains Card 1'!W44=SMALL('Captains Card 1'!W$39:W$46,W$19),
(W$19-COUNTIF('Captains Card 1'!W$39:W$46,"&lt;"&amp;SMALL('Captains Card 1'!W$39:W$46,W$19)))/COUNTIF('Captains Card 1'!W$39:W$46,SMALL('Captains Card 1'!W$39:W$46,W$19)),0))</f>
        <v>0.66666666666666663</v>
      </c>
      <c r="X26" s="233">
        <f ca="1">IF('Captains Card 1'!X44&lt;SMALL('Captains Card 1'!X$39:X$46,X$19),1,
IF('Captains Card 1'!X44=SMALL('Captains Card 1'!X$39:X$46,X$19),
(X$19-COUNTIF('Captains Card 1'!X$39:X$46,"&lt;"&amp;SMALL('Captains Card 1'!X$39:X$46,X$19)))/COUNTIF('Captains Card 1'!X$39:X$46,SMALL('Captains Card 1'!X$39:X$46,X$19)),0))</f>
        <v>1</v>
      </c>
      <c r="Y26" s="233">
        <f ca="1">IF('Captains Card 1'!Y44&lt;SMALL('Captains Card 1'!Y$39:Y$46,Y$19),1,
IF('Captains Card 1'!Y44=SMALL('Captains Card 1'!Y$39:Y$46,Y$19),
(Y$19-COUNTIF('Captains Card 1'!Y$39:Y$46,"&lt;"&amp;SMALL('Captains Card 1'!Y$39:Y$46,Y$19)))/COUNTIF('Captains Card 1'!Y$39:Y$46,SMALL('Captains Card 1'!Y$39:Y$46,Y$19)),0))</f>
        <v>1</v>
      </c>
      <c r="Z26" s="532">
        <f t="shared" ca="1" si="16"/>
        <v>8.4333333333333336</v>
      </c>
      <c r="AA26" s="234">
        <f t="shared" ca="1" si="17"/>
        <v>5.666666666666667</v>
      </c>
      <c r="AB26" s="233">
        <f t="shared" ca="1" si="18"/>
        <v>1.932638888888889</v>
      </c>
    </row>
    <row r="27" spans="1:28" ht="18.75" customHeight="1">
      <c r="A27" s="193" t="str">
        <f>A14</f>
        <v>Pace</v>
      </c>
      <c r="B27" s="193"/>
      <c r="C27" s="194"/>
      <c r="D27" s="193"/>
      <c r="E27" s="233">
        <f ca="1">IF('Captains Card 1'!E45&lt;SMALL('Captains Card 1'!E$39:E$46,E$19),1,
IF('Captains Card 1'!E45=SMALL('Captains Card 1'!E$39:E$46,E$19),
(E$19-COUNTIF('Captains Card 1'!E$39:E$46,"&lt;"&amp;SMALL('Captains Card 1'!E$39:E$46,E$19)))/COUNTIF('Captains Card 1'!E$39:E$46,SMALL('Captains Card 1'!E$39:E$46,E$19)),0))</f>
        <v>0</v>
      </c>
      <c r="F27" s="233">
        <f ca="1">IF('Captains Card 1'!F45&lt;SMALL('Captains Card 1'!F$39:F$46,F$19),1,
IF('Captains Card 1'!F45=SMALL('Captains Card 1'!F$39:F$46,F$19),
(F$19-COUNTIF('Captains Card 1'!F$39:F$46,"&lt;"&amp;SMALL('Captains Card 1'!F$39:F$46,F$19)))/COUNTIF('Captains Card 1'!F$39:F$46,SMALL('Captains Card 1'!F$39:F$46,F$19)),0))</f>
        <v>0</v>
      </c>
      <c r="G27" s="233">
        <f ca="1">IF('Captains Card 1'!G45&lt;SMALL('Captains Card 1'!G$39:G$46,G$19),1,
IF('Captains Card 1'!G45=SMALL('Captains Card 1'!G$39:G$46,G$19),
(G$19-COUNTIF('Captains Card 1'!G$39:G$46,"&lt;"&amp;SMALL('Captains Card 1'!G$39:G$46,G$19)))/COUNTIF('Captains Card 1'!G$39:G$46,SMALL('Captains Card 1'!G$39:G$46,G$19)),0))</f>
        <v>0</v>
      </c>
      <c r="H27" s="233">
        <f ca="1">IF('Captains Card 1'!H45&lt;SMALL('Captains Card 1'!H$39:H$46,H$19),1,
IF('Captains Card 1'!H45=SMALL('Captains Card 1'!H$39:H$46,H$19),
(H$19-COUNTIF('Captains Card 1'!H$39:H$46,"&lt;"&amp;SMALL('Captains Card 1'!H$39:H$46,H$19)))/COUNTIF('Captains Card 1'!H$39:H$46,SMALL('Captains Card 1'!H$39:H$46,H$19)),0))</f>
        <v>0</v>
      </c>
      <c r="I27" s="233">
        <f ca="1">IF('Captains Card 1'!I45&lt;SMALL('Captains Card 1'!I$39:I$46,I$19),1,
IF('Captains Card 1'!I45=SMALL('Captains Card 1'!I$39:I$46,I$19),
(I$19-COUNTIF('Captains Card 1'!I$39:I$46,"&lt;"&amp;SMALL('Captains Card 1'!I$39:I$46,I$19)))/COUNTIF('Captains Card 1'!I$39:I$46,SMALL('Captains Card 1'!I$39:I$46,I$19)),0))</f>
        <v>0.66666666666666663</v>
      </c>
      <c r="J27" s="233">
        <f ca="1">IF('Captains Card 1'!J45&lt;SMALL('Captains Card 1'!J$39:J$46,J$19),1,
IF('Captains Card 1'!J45=SMALL('Captains Card 1'!J$39:J$46,J$19),
(J$19-COUNTIF('Captains Card 1'!J$39:J$46,"&lt;"&amp;SMALL('Captains Card 1'!J$39:J$46,J$19)))/COUNTIF('Captains Card 1'!J$39:J$46,SMALL('Captains Card 1'!J$39:J$46,J$19)),0))</f>
        <v>0.33333333333333331</v>
      </c>
      <c r="K27" s="233">
        <f ca="1">IF('Captains Card 1'!K45&lt;SMALL('Captains Card 1'!K$39:K$46,K$19),1,
IF('Captains Card 1'!K45=SMALL('Captains Card 1'!K$39:K$46,K$19),
(K$19-COUNTIF('Captains Card 1'!K$39:K$46,"&lt;"&amp;SMALL('Captains Card 1'!K$39:K$46,K$19)))/COUNTIF('Captains Card 1'!K$39:K$46,SMALL('Captains Card 1'!K$39:K$46,K$19)),0))</f>
        <v>1</v>
      </c>
      <c r="L27" s="233">
        <f ca="1">IF('Captains Card 1'!L45&lt;SMALL('Captains Card 1'!L$39:L$46,L$19),1,
IF('Captains Card 1'!L45=SMALL('Captains Card 1'!L$39:L$46,L$19),
(L$19-COUNTIF('Captains Card 1'!L$39:L$46,"&lt;"&amp;SMALL('Captains Card 1'!L$39:L$46,L$19)))/COUNTIF('Captains Card 1'!L$39:L$46,SMALL('Captains Card 1'!L$39:L$46,L$19)),0))</f>
        <v>1</v>
      </c>
      <c r="M27" s="233">
        <f ca="1">IF('Captains Card 1'!M45&lt;SMALL('Captains Card 1'!M$39:M$46,M$19),1,
IF('Captains Card 1'!M45=SMALL('Captains Card 1'!M$39:M$46,M$19),
(M$19-COUNTIF('Captains Card 1'!M$39:M$46,"&lt;"&amp;SMALL('Captains Card 1'!M$39:M$46,M$19)))/COUNTIF('Captains Card 1'!M$39:M$46,SMALL('Captains Card 1'!M$39:M$46,M$19)),0))</f>
        <v>1</v>
      </c>
      <c r="N27" s="193"/>
      <c r="O27" s="364"/>
      <c r="P27" s="193"/>
      <c r="Q27" s="233">
        <f ca="1">IF('Captains Card 1'!Q45&lt;SMALL('Captains Card 1'!Q$39:Q$46,Q$19),1,
IF('Captains Card 1'!Q45=SMALL('Captains Card 1'!Q$39:Q$46,Q$19),
(Q$19-COUNTIF('Captains Card 1'!Q$39:Q$46,"&lt;"&amp;SMALL('Captains Card 1'!Q$39:Q$46,Q$19)))/COUNTIF('Captains Card 1'!Q$39:Q$46,SMALL('Captains Card 1'!Q$39:Q$46,Q$19)),0))</f>
        <v>0</v>
      </c>
      <c r="R27" s="233">
        <f ca="1">IF('Captains Card 1'!R45&lt;SMALL('Captains Card 1'!R$39:R$46,R$19),1,
IF('Captains Card 1'!R45=SMALL('Captains Card 1'!R$39:R$46,R$19),
(R$19-COUNTIF('Captains Card 1'!R$39:R$46,"&lt;"&amp;SMALL('Captains Card 1'!R$39:R$46,R$19)))/COUNTIF('Captains Card 1'!R$39:R$46,SMALL('Captains Card 1'!R$39:R$46,R$19)),0))</f>
        <v>0.75</v>
      </c>
      <c r="S27" s="233">
        <f ca="1">IF('Captains Card 1'!S45&lt;SMALL('Captains Card 1'!S$39:S$46,S$19),1,
IF('Captains Card 1'!S45=SMALL('Captains Card 1'!S$39:S$46,S$19),
(S$19-COUNTIF('Captains Card 1'!S$39:S$46,"&lt;"&amp;SMALL('Captains Card 1'!S$39:S$46,S$19)))/COUNTIF('Captains Card 1'!S$39:S$46,SMALL('Captains Card 1'!S$39:S$46,S$19)),0))</f>
        <v>0</v>
      </c>
      <c r="T27" s="233">
        <f ca="1">IF('Captains Card 1'!T45&lt;SMALL('Captains Card 1'!T$39:T$46,T$19),1,
IF('Captains Card 1'!T45=SMALL('Captains Card 1'!T$39:T$46,T$19),
(T$19-COUNTIF('Captains Card 1'!T$39:T$46,"&lt;"&amp;SMALL('Captains Card 1'!T$39:T$46,T$19)))/COUNTIF('Captains Card 1'!T$39:T$46,SMALL('Captains Card 1'!T$39:T$46,T$19)),0))</f>
        <v>0.33333333333333331</v>
      </c>
      <c r="U27" s="233">
        <f ca="1">IF('Captains Card 1'!U45&lt;SMALL('Captains Card 1'!U$39:U$46,U$19),1,
IF('Captains Card 1'!U45=SMALL('Captains Card 1'!U$39:U$46,U$19),
(U$19-COUNTIF('Captains Card 1'!U$39:U$46,"&lt;"&amp;SMALL('Captains Card 1'!U$39:U$46,U$19)))/COUNTIF('Captains Card 1'!U$39:U$46,SMALL('Captains Card 1'!U$39:U$46,U$19)),0))</f>
        <v>0</v>
      </c>
      <c r="V27" s="233">
        <f ca="1">IF('Captains Card 1'!V45&lt;SMALL('Captains Card 1'!V$39:V$46,V$19),1,
IF('Captains Card 1'!V45=SMALL('Captains Card 1'!V$39:V$46,V$19),
(V$19-COUNTIF('Captains Card 1'!V$39:V$46,"&lt;"&amp;SMALL('Captains Card 1'!V$39:V$46,V$19)))/COUNTIF('Captains Card 1'!V$39:V$46,SMALL('Captains Card 1'!V$39:V$46,V$19)),0))</f>
        <v>0.66666666666666663</v>
      </c>
      <c r="W27" s="233">
        <f ca="1">IF('Captains Card 1'!W45&lt;SMALL('Captains Card 1'!W$39:W$46,W$19),1,
IF('Captains Card 1'!W45=SMALL('Captains Card 1'!W$39:W$46,W$19),
(W$19-COUNTIF('Captains Card 1'!W$39:W$46,"&lt;"&amp;SMALL('Captains Card 1'!W$39:W$46,W$19)))/COUNTIF('Captains Card 1'!W$39:W$46,SMALL('Captains Card 1'!W$39:W$46,W$19)),0))</f>
        <v>0.66666666666666663</v>
      </c>
      <c r="X27" s="233">
        <f ca="1">IF('Captains Card 1'!X45&lt;SMALL('Captains Card 1'!X$39:X$46,X$19),1,
IF('Captains Card 1'!X45=SMALL('Captains Card 1'!X$39:X$46,X$19),
(X$19-COUNTIF('Captains Card 1'!X$39:X$46,"&lt;"&amp;SMALL('Captains Card 1'!X$39:X$46,X$19)))/COUNTIF('Captains Card 1'!X$39:X$46,SMALL('Captains Card 1'!X$39:X$46,X$19)),0))</f>
        <v>0</v>
      </c>
      <c r="Y27" s="233">
        <f ca="1">IF('Captains Card 1'!Y45&lt;SMALL('Captains Card 1'!Y$39:Y$46,Y$19),1,
IF('Captains Card 1'!Y45=SMALL('Captains Card 1'!Y$39:Y$46,Y$19),
(Y$19-COUNTIF('Captains Card 1'!Y$39:Y$46,"&lt;"&amp;SMALL('Captains Card 1'!Y$39:Y$46,Y$19)))/COUNTIF('Captains Card 1'!Y$39:Y$46,SMALL('Captains Card 1'!Y$39:Y$46,Y$19)),0))</f>
        <v>1</v>
      </c>
      <c r="Z27" s="532">
        <f t="shared" ca="1" si="16"/>
        <v>7.416666666666667</v>
      </c>
      <c r="AA27" s="234">
        <f t="shared" ca="1" si="17"/>
        <v>3.833333333333333</v>
      </c>
      <c r="AB27" s="233">
        <f t="shared" ca="1" si="18"/>
        <v>1.6996527777777777</v>
      </c>
    </row>
    <row r="28" spans="1:28" ht="18.75" customHeight="1">
      <c r="A28" s="193" t="str">
        <f>A17</f>
        <v>T-Mo</v>
      </c>
      <c r="B28" s="193"/>
      <c r="C28" s="194"/>
      <c r="D28" s="193"/>
      <c r="E28" s="233">
        <f ca="1">IF('Captains Card 1'!E46&lt;SMALL('Captains Card 1'!E$39:E$46,E$19),1,
IF('Captains Card 1'!E46=SMALL('Captains Card 1'!E$39:E$46,E$19),
(E$19-COUNTIF('Captains Card 1'!E$39:E$46,"&lt;"&amp;SMALL('Captains Card 1'!E$39:E$46,E$19)))/COUNTIF('Captains Card 1'!E$39:E$46,SMALL('Captains Card 1'!E$39:E$46,E$19)),0))</f>
        <v>0.6</v>
      </c>
      <c r="F28" s="233">
        <f ca="1">IF('Captains Card 1'!F46&lt;SMALL('Captains Card 1'!F$39:F$46,F$19),1,
IF('Captains Card 1'!F46=SMALL('Captains Card 1'!F$39:F$46,F$19),
(F$19-COUNTIF('Captains Card 1'!F$39:F$46,"&lt;"&amp;SMALL('Captains Card 1'!F$39:F$46,F$19)))/COUNTIF('Captains Card 1'!F$39:F$46,SMALL('Captains Card 1'!F$39:F$46,F$19)),0))</f>
        <v>0</v>
      </c>
      <c r="G28" s="233">
        <f ca="1">IF('Captains Card 1'!G46&lt;SMALL('Captains Card 1'!G$39:G$46,G$19),1,
IF('Captains Card 1'!G46=SMALL('Captains Card 1'!G$39:G$46,G$19),
(G$19-COUNTIF('Captains Card 1'!G$39:G$46,"&lt;"&amp;SMALL('Captains Card 1'!G$39:G$46,G$19)))/COUNTIF('Captains Card 1'!G$39:G$46,SMALL('Captains Card 1'!G$39:G$46,G$19)),0))</f>
        <v>0.33333333333333331</v>
      </c>
      <c r="H28" s="233">
        <f ca="1">IF('Captains Card 1'!H46&lt;SMALL('Captains Card 1'!H$39:H$46,H$19),1,
IF('Captains Card 1'!H46=SMALL('Captains Card 1'!H$39:H$46,H$19),
(H$19-COUNTIF('Captains Card 1'!H$39:H$46,"&lt;"&amp;SMALL('Captains Card 1'!H$39:H$46,H$19)))/COUNTIF('Captains Card 1'!H$39:H$46,SMALL('Captains Card 1'!H$39:H$46,H$19)),0))</f>
        <v>0</v>
      </c>
      <c r="I28" s="233">
        <f ca="1">IF('Captains Card 1'!I46&lt;SMALL('Captains Card 1'!I$39:I$46,I$19),1,
IF('Captains Card 1'!I46=SMALL('Captains Card 1'!I$39:I$46,I$19),
(I$19-COUNTIF('Captains Card 1'!I$39:I$46,"&lt;"&amp;SMALL('Captains Card 1'!I$39:I$46,I$19)))/COUNTIF('Captains Card 1'!I$39:I$46,SMALL('Captains Card 1'!I$39:I$46,I$19)),0))</f>
        <v>0</v>
      </c>
      <c r="J28" s="233">
        <f ca="1">IF('Captains Card 1'!J46&lt;SMALL('Captains Card 1'!J$39:J$46,J$19),1,
IF('Captains Card 1'!J46=SMALL('Captains Card 1'!J$39:J$46,J$19),
(J$19-COUNTIF('Captains Card 1'!J$39:J$46,"&lt;"&amp;SMALL('Captains Card 1'!J$39:J$46,J$19)))/COUNTIF('Captains Card 1'!J$39:J$46,SMALL('Captains Card 1'!J$39:J$46,J$19)),0))</f>
        <v>0.33333333333333331</v>
      </c>
      <c r="K28" s="233">
        <f ca="1">IF('Captains Card 1'!K46&lt;SMALL('Captains Card 1'!K$39:K$46,K$19),1,
IF('Captains Card 1'!K46=SMALL('Captains Card 1'!K$39:K$46,K$19),
(K$19-COUNTIF('Captains Card 1'!K$39:K$46,"&lt;"&amp;SMALL('Captains Card 1'!K$39:K$46,K$19)))/COUNTIF('Captains Card 1'!K$39:K$46,SMALL('Captains Card 1'!K$39:K$46,K$19)),0))</f>
        <v>0.2</v>
      </c>
      <c r="L28" s="233">
        <f ca="1">IF('Captains Card 1'!L46&lt;SMALL('Captains Card 1'!L$39:L$46,L$19),1,
IF('Captains Card 1'!L46=SMALL('Captains Card 1'!L$39:L$46,L$19),
(L$19-COUNTIF('Captains Card 1'!L$39:L$46,"&lt;"&amp;SMALL('Captains Card 1'!L$39:L$46,L$19)))/COUNTIF('Captains Card 1'!L$39:L$46,SMALL('Captains Card 1'!L$39:L$46,L$19)),0))</f>
        <v>0.33333333333333331</v>
      </c>
      <c r="M28" s="233">
        <f ca="1">IF('Captains Card 1'!M46&lt;SMALL('Captains Card 1'!M$39:M$46,M$19),1,
IF('Captains Card 1'!M46=SMALL('Captains Card 1'!M$39:M$46,M$19),
(M$19-COUNTIF('Captains Card 1'!M$39:M$46,"&lt;"&amp;SMALL('Captains Card 1'!M$39:M$46,M$19)))/COUNTIF('Captains Card 1'!M$39:M$46,SMALL('Captains Card 1'!M$39:M$46,M$19)),0))</f>
        <v>1</v>
      </c>
      <c r="N28" s="193"/>
      <c r="O28" s="364"/>
      <c r="P28" s="193"/>
      <c r="Q28" s="233">
        <f ca="1">IF('Captains Card 1'!Q46&lt;SMALL('Captains Card 1'!Q$39:Q$46,Q$19),1,
IF('Captains Card 1'!Q46=SMALL('Captains Card 1'!Q$39:Q$46,Q$19),
(Q$19-COUNTIF('Captains Card 1'!Q$39:Q$46,"&lt;"&amp;SMALL('Captains Card 1'!Q$39:Q$46,Q$19)))/COUNTIF('Captains Card 1'!Q$39:Q$46,SMALL('Captains Card 1'!Q$39:Q$46,Q$19)),0))</f>
        <v>0.5</v>
      </c>
      <c r="R28" s="233">
        <f ca="1">IF('Captains Card 1'!R46&lt;SMALL('Captains Card 1'!R$39:R$46,R$19),1,
IF('Captains Card 1'!R46=SMALL('Captains Card 1'!R$39:R$46,R$19),
(R$19-COUNTIF('Captains Card 1'!R$39:R$46,"&lt;"&amp;SMALL('Captains Card 1'!R$39:R$46,R$19)))/COUNTIF('Captains Card 1'!R$39:R$46,SMALL('Captains Card 1'!R$39:R$46,R$19)),0))</f>
        <v>0</v>
      </c>
      <c r="S28" s="233">
        <f ca="1">IF('Captains Card 1'!S46&lt;SMALL('Captains Card 1'!S$39:S$46,S$19),1,
IF('Captains Card 1'!S46=SMALL('Captains Card 1'!S$39:S$46,S$19),
(S$19-COUNTIF('Captains Card 1'!S$39:S$46,"&lt;"&amp;SMALL('Captains Card 1'!S$39:S$46,S$19)))/COUNTIF('Captains Card 1'!S$39:S$46,SMALL('Captains Card 1'!S$39:S$46,S$19)),0))</f>
        <v>1</v>
      </c>
      <c r="T28" s="233">
        <f ca="1">IF('Captains Card 1'!T46&lt;SMALL('Captains Card 1'!T$39:T$46,T$19),1,
IF('Captains Card 1'!T46=SMALL('Captains Card 1'!T$39:T$46,T$19),
(T$19-COUNTIF('Captains Card 1'!T$39:T$46,"&lt;"&amp;SMALL('Captains Card 1'!T$39:T$46,T$19)))/COUNTIF('Captains Card 1'!T$39:T$46,SMALL('Captains Card 1'!T$39:T$46,T$19)),0))</f>
        <v>1</v>
      </c>
      <c r="U28" s="233">
        <f ca="1">IF('Captains Card 1'!U46&lt;SMALL('Captains Card 1'!U$39:U$46,U$19),1,
IF('Captains Card 1'!U46=SMALL('Captains Card 1'!U$39:U$46,U$19),
(U$19-COUNTIF('Captains Card 1'!U$39:U$46,"&lt;"&amp;SMALL('Captains Card 1'!U$39:U$46,U$19)))/COUNTIF('Captains Card 1'!U$39:U$46,SMALL('Captains Card 1'!U$39:U$46,U$19)),0))</f>
        <v>0.8</v>
      </c>
      <c r="V28" s="233">
        <f ca="1">IF('Captains Card 1'!V46&lt;SMALL('Captains Card 1'!V$39:V$46,V$19),1,
IF('Captains Card 1'!V46=SMALL('Captains Card 1'!V$39:V$46,V$19),
(V$19-COUNTIF('Captains Card 1'!V$39:V$46,"&lt;"&amp;SMALL('Captains Card 1'!V$39:V$46,V$19)))/COUNTIF('Captains Card 1'!V$39:V$46,SMALL('Captains Card 1'!V$39:V$46,V$19)),0))</f>
        <v>0.66666666666666663</v>
      </c>
      <c r="W28" s="233">
        <f ca="1">IF('Captains Card 1'!W46&lt;SMALL('Captains Card 1'!W$39:W$46,W$19),1,
IF('Captains Card 1'!W46=SMALL('Captains Card 1'!W$39:W$46,W$19),
(W$19-COUNTIF('Captains Card 1'!W$39:W$46,"&lt;"&amp;SMALL('Captains Card 1'!W$39:W$46,W$19)))/COUNTIF('Captains Card 1'!W$39:W$46,SMALL('Captains Card 1'!W$39:W$46,W$19)),0))</f>
        <v>1</v>
      </c>
      <c r="X28" s="233">
        <f ca="1">IF('Captains Card 1'!X46&lt;SMALL('Captains Card 1'!X$39:X$46,X$19),1,
IF('Captains Card 1'!X46=SMALL('Captains Card 1'!X$39:X$46,X$19),
(X$19-COUNTIF('Captains Card 1'!X$39:X$46,"&lt;"&amp;SMALL('Captains Card 1'!X$39:X$46,X$19)))/COUNTIF('Captains Card 1'!X$39:X$46,SMALL('Captains Card 1'!X$39:X$46,X$19)),0))</f>
        <v>1</v>
      </c>
      <c r="Y28" s="233">
        <f ca="1">IF('Captains Card 1'!Y46&lt;SMALL('Captains Card 1'!Y$39:Y$46,Y$19),1,
IF('Captains Card 1'!Y46=SMALL('Captains Card 1'!Y$39:Y$46,Y$19),
(Y$19-COUNTIF('Captains Card 1'!Y$39:Y$46,"&lt;"&amp;SMALL('Captains Card 1'!Y$39:Y$46,Y$19)))/COUNTIF('Captains Card 1'!Y$39:Y$46,SMALL('Captains Card 1'!Y$39:Y$46,Y$19)),0))</f>
        <v>1</v>
      </c>
      <c r="Z28" s="532">
        <f t="shared" ca="1" si="16"/>
        <v>9.7666666666666657</v>
      </c>
      <c r="AA28" s="234">
        <f t="shared" ca="1" si="17"/>
        <v>6.6666666666666661</v>
      </c>
      <c r="AB28" s="233">
        <f t="shared" ca="1" si="18"/>
        <v>2.2381944444444439</v>
      </c>
    </row>
    <row r="29" spans="1:28" ht="18.75" customHeight="1">
      <c r="A29" s="193"/>
      <c r="B29" s="193"/>
      <c r="C29" s="194"/>
      <c r="D29" s="193"/>
      <c r="E29" s="193"/>
      <c r="F29" s="193"/>
      <c r="G29" s="193"/>
      <c r="H29" s="193"/>
      <c r="I29" s="193"/>
      <c r="J29" s="193"/>
      <c r="K29" s="193"/>
      <c r="L29" s="193"/>
      <c r="M29" s="193"/>
      <c r="N29" s="193"/>
      <c r="O29" s="364"/>
      <c r="P29" s="193"/>
      <c r="Q29" s="193"/>
      <c r="R29" s="193"/>
      <c r="S29" s="193"/>
      <c r="T29" s="193"/>
      <c r="U29" s="193"/>
      <c r="V29" s="193"/>
      <c r="W29" s="193"/>
      <c r="X29" s="193"/>
      <c r="Y29" s="193"/>
      <c r="Z29" s="233">
        <f ca="1">SUM(Z25:Z28)</f>
        <v>36.133333333333333</v>
      </c>
      <c r="AA29" s="533"/>
      <c r="AB29" s="233">
        <f ca="1">SUM(AB25:AB28,'R4_G4'!AB25:AB28)</f>
        <v>13.207291666666666</v>
      </c>
    </row>
    <row r="30" spans="1:28" ht="18.75" customHeight="1">
      <c r="A30" s="193" t="str">
        <f t="shared" ref="A30:A33" si="19">A25</f>
        <v>Andy</v>
      </c>
      <c r="B30" s="193"/>
      <c r="C30" s="193"/>
      <c r="D30" s="193"/>
      <c r="E30" s="233">
        <f t="shared" ref="E30:M30" ca="1" si="20">(E25/E$19)*E$24</f>
        <v>0</v>
      </c>
      <c r="F30" s="233">
        <f t="shared" ca="1" si="20"/>
        <v>0.1111111111111111</v>
      </c>
      <c r="G30" s="233">
        <f t="shared" ca="1" si="20"/>
        <v>0</v>
      </c>
      <c r="H30" s="233">
        <f t="shared" ca="1" si="20"/>
        <v>0.125</v>
      </c>
      <c r="I30" s="233">
        <f t="shared" ca="1" si="20"/>
        <v>0.22222222222222221</v>
      </c>
      <c r="J30" s="233">
        <f t="shared" ca="1" si="20"/>
        <v>0.16666666666666666</v>
      </c>
      <c r="K30" s="233">
        <f t="shared" ca="1" si="20"/>
        <v>0.05</v>
      </c>
      <c r="L30" s="233">
        <f t="shared" ca="1" si="20"/>
        <v>0</v>
      </c>
      <c r="M30" s="233">
        <f t="shared" ca="1" si="20"/>
        <v>0</v>
      </c>
      <c r="N30" s="193"/>
      <c r="O30" s="364"/>
      <c r="P30" s="193"/>
      <c r="Q30" s="233">
        <f t="shared" ref="Q30:Y30" ca="1" si="21">(Q25/Q$19)*Q$24</f>
        <v>0.5</v>
      </c>
      <c r="R30" s="233">
        <f t="shared" ca="1" si="21"/>
        <v>0</v>
      </c>
      <c r="S30" s="233">
        <f t="shared" ca="1" si="21"/>
        <v>0.25</v>
      </c>
      <c r="T30" s="233">
        <f t="shared" ca="1" si="21"/>
        <v>0.4</v>
      </c>
      <c r="U30" s="233">
        <f t="shared" ca="1" si="21"/>
        <v>0.32</v>
      </c>
      <c r="V30" s="233">
        <f t="shared" ca="1" si="21"/>
        <v>0</v>
      </c>
      <c r="W30" s="233">
        <f t="shared" ca="1" si="21"/>
        <v>0</v>
      </c>
      <c r="X30" s="233">
        <f t="shared" ca="1" si="21"/>
        <v>0</v>
      </c>
      <c r="Y30" s="233">
        <f t="shared" ca="1" si="21"/>
        <v>0</v>
      </c>
      <c r="Z30" s="193"/>
      <c r="AA30" s="193"/>
      <c r="AB30" s="534">
        <f t="shared" ref="AB30:AB33" ca="1" si="22">AB25/$AB$24</f>
        <v>0.14606481481481481</v>
      </c>
    </row>
    <row r="31" spans="1:28" ht="18.75" customHeight="1">
      <c r="A31" s="193" t="str">
        <f t="shared" si="19"/>
        <v>Hile</v>
      </c>
      <c r="B31" s="193"/>
      <c r="C31" s="193"/>
      <c r="D31" s="193"/>
      <c r="E31" s="233">
        <f t="shared" ref="E31:M31" ca="1" si="23">(E26/E$19)*E$24</f>
        <v>0</v>
      </c>
      <c r="F31" s="233">
        <f t="shared" ca="1" si="23"/>
        <v>0.1111111111111111</v>
      </c>
      <c r="G31" s="233">
        <f t="shared" ca="1" si="23"/>
        <v>0</v>
      </c>
      <c r="H31" s="233">
        <f t="shared" ca="1" si="23"/>
        <v>0</v>
      </c>
      <c r="I31" s="233">
        <f t="shared" ca="1" si="23"/>
        <v>0</v>
      </c>
      <c r="J31" s="233">
        <f t="shared" ca="1" si="23"/>
        <v>5.5555555555555552E-2</v>
      </c>
      <c r="K31" s="233">
        <f t="shared" ca="1" si="23"/>
        <v>0.05</v>
      </c>
      <c r="L31" s="233">
        <f t="shared" ca="1" si="23"/>
        <v>0</v>
      </c>
      <c r="M31" s="233">
        <f t="shared" ca="1" si="23"/>
        <v>0</v>
      </c>
      <c r="N31" s="193"/>
      <c r="O31" s="364"/>
      <c r="P31" s="193"/>
      <c r="Q31" s="233">
        <f t="shared" ref="Q31:Y31" ca="1" si="24">(Q26/Q$19)*Q$24</f>
        <v>0.25</v>
      </c>
      <c r="R31" s="233">
        <f t="shared" ca="1" si="24"/>
        <v>0</v>
      </c>
      <c r="S31" s="233">
        <f t="shared" ca="1" si="24"/>
        <v>0.5</v>
      </c>
      <c r="T31" s="233">
        <f t="shared" ca="1" si="24"/>
        <v>0.4</v>
      </c>
      <c r="U31" s="233">
        <f t="shared" ca="1" si="24"/>
        <v>0.32</v>
      </c>
      <c r="V31" s="233">
        <f t="shared" ca="1" si="24"/>
        <v>0</v>
      </c>
      <c r="W31" s="233">
        <f t="shared" ca="1" si="24"/>
        <v>0.26666666666666666</v>
      </c>
      <c r="X31" s="233">
        <f t="shared" ca="1" si="24"/>
        <v>0.4</v>
      </c>
      <c r="Y31" s="233">
        <f t="shared" ca="1" si="24"/>
        <v>0</v>
      </c>
      <c r="Z31" s="193"/>
      <c r="AA31" s="193"/>
      <c r="AB31" s="534">
        <f t="shared" ca="1" si="22"/>
        <v>0.11712962962962964</v>
      </c>
    </row>
    <row r="32" spans="1:28" ht="18.75" customHeight="1">
      <c r="A32" s="193" t="str">
        <f t="shared" si="19"/>
        <v>Pace</v>
      </c>
      <c r="B32" s="193"/>
      <c r="C32" s="193"/>
      <c r="D32" s="193"/>
      <c r="E32" s="233">
        <f t="shared" ref="E32:M32" ca="1" si="25">(E27/E$19)*E$24</f>
        <v>0</v>
      </c>
      <c r="F32" s="233">
        <f t="shared" ca="1" si="25"/>
        <v>0</v>
      </c>
      <c r="G32" s="233">
        <f t="shared" ca="1" si="25"/>
        <v>0</v>
      </c>
      <c r="H32" s="233">
        <f t="shared" ca="1" si="25"/>
        <v>0</v>
      </c>
      <c r="I32" s="233">
        <f t="shared" ca="1" si="25"/>
        <v>0.22222222222222221</v>
      </c>
      <c r="J32" s="233">
        <f t="shared" ca="1" si="25"/>
        <v>5.5555555555555552E-2</v>
      </c>
      <c r="K32" s="233">
        <f t="shared" ca="1" si="25"/>
        <v>0.25</v>
      </c>
      <c r="L32" s="233">
        <f t="shared" ca="1" si="25"/>
        <v>0</v>
      </c>
      <c r="M32" s="233">
        <f t="shared" ca="1" si="25"/>
        <v>0.25</v>
      </c>
      <c r="N32" s="193"/>
      <c r="O32" s="364"/>
      <c r="P32" s="193"/>
      <c r="Q32" s="233">
        <f t="shared" ref="Q32:Y32" ca="1" si="26">(Q27/Q$19)*Q$24</f>
        <v>0</v>
      </c>
      <c r="R32" s="233">
        <f t="shared" ca="1" si="26"/>
        <v>0</v>
      </c>
      <c r="S32" s="233">
        <f t="shared" ca="1" si="26"/>
        <v>0</v>
      </c>
      <c r="T32" s="233">
        <f t="shared" ca="1" si="26"/>
        <v>0.13333333333333333</v>
      </c>
      <c r="U32" s="233">
        <f t="shared" ca="1" si="26"/>
        <v>0</v>
      </c>
      <c r="V32" s="233">
        <f t="shared" ca="1" si="26"/>
        <v>0</v>
      </c>
      <c r="W32" s="233">
        <f t="shared" ca="1" si="26"/>
        <v>0.26666666666666666</v>
      </c>
      <c r="X32" s="233">
        <f t="shared" ca="1" si="26"/>
        <v>0</v>
      </c>
      <c r="Y32" s="233">
        <f t="shared" ca="1" si="26"/>
        <v>0</v>
      </c>
      <c r="Z32" s="193"/>
      <c r="AA32" s="193"/>
      <c r="AB32" s="534">
        <f t="shared" ca="1" si="22"/>
        <v>0.10300925925925926</v>
      </c>
    </row>
    <row r="33" spans="1:28" ht="18.75" customHeight="1">
      <c r="A33" s="193" t="str">
        <f t="shared" si="19"/>
        <v>T-Mo</v>
      </c>
      <c r="B33" s="193"/>
      <c r="C33" s="193"/>
      <c r="D33" s="193"/>
      <c r="E33" s="233">
        <f t="shared" ref="E33:M33" ca="1" si="27">(E28/E$19)*E$24</f>
        <v>0</v>
      </c>
      <c r="F33" s="233">
        <f t="shared" ca="1" si="27"/>
        <v>0</v>
      </c>
      <c r="G33" s="233">
        <f t="shared" ca="1" si="27"/>
        <v>0</v>
      </c>
      <c r="H33" s="233">
        <f t="shared" ca="1" si="27"/>
        <v>0</v>
      </c>
      <c r="I33" s="233">
        <f t="shared" ca="1" si="27"/>
        <v>0</v>
      </c>
      <c r="J33" s="233">
        <f t="shared" ca="1" si="27"/>
        <v>5.5555555555555552E-2</v>
      </c>
      <c r="K33" s="233">
        <f t="shared" ca="1" si="27"/>
        <v>0.05</v>
      </c>
      <c r="L33" s="233">
        <f t="shared" ca="1" si="27"/>
        <v>0</v>
      </c>
      <c r="M33" s="233">
        <f t="shared" ca="1" si="27"/>
        <v>0.25</v>
      </c>
      <c r="N33" s="193"/>
      <c r="O33" s="364"/>
      <c r="P33" s="193"/>
      <c r="Q33" s="233">
        <f t="shared" ref="Q33:Y33" ca="1" si="28">(Q28/Q$19)*Q$24</f>
        <v>0.25</v>
      </c>
      <c r="R33" s="233">
        <f t="shared" ca="1" si="28"/>
        <v>0</v>
      </c>
      <c r="S33" s="233">
        <f t="shared" ca="1" si="28"/>
        <v>0.5</v>
      </c>
      <c r="T33" s="233">
        <f t="shared" ca="1" si="28"/>
        <v>0.4</v>
      </c>
      <c r="U33" s="233">
        <f t="shared" ca="1" si="28"/>
        <v>0.32</v>
      </c>
      <c r="V33" s="233">
        <f t="shared" ca="1" si="28"/>
        <v>0</v>
      </c>
      <c r="W33" s="233">
        <f t="shared" ca="1" si="28"/>
        <v>0.4</v>
      </c>
      <c r="X33" s="233">
        <f t="shared" ca="1" si="28"/>
        <v>0.4</v>
      </c>
      <c r="Y33" s="233">
        <f t="shared" ca="1" si="28"/>
        <v>0</v>
      </c>
      <c r="Z33" s="193"/>
      <c r="AA33" s="193"/>
      <c r="AB33" s="534">
        <f t="shared" ca="1" si="22"/>
        <v>0.13564814814814813</v>
      </c>
    </row>
  </sheetData>
  <mergeCells count="1">
    <mergeCell ref="B2:B4"/>
  </mergeCells>
  <conditionalFormatting sqref="E8:M8 Q8:Y8">
    <cfRule type="expression" dxfId="34" priority="5">
      <formula>AND(E$23&lt;&gt;"",E$25=1)</formula>
    </cfRule>
    <cfRule type="expression" dxfId="33" priority="6">
      <formula>AND(E$23&lt;&gt;"",E$25&lt;1,E$25&gt;0)</formula>
    </cfRule>
  </conditionalFormatting>
  <conditionalFormatting sqref="E11:M11 Q11:Y11">
    <cfRule type="expression" dxfId="32" priority="7">
      <formula>AND(E$23&lt;&gt;"",E$26=1)</formula>
    </cfRule>
    <cfRule type="expression" dxfId="31" priority="8">
      <formula>AND(E$23&lt;&gt;"",E$26&lt;1,E$26&gt;0)</formula>
    </cfRule>
  </conditionalFormatting>
  <conditionalFormatting sqref="E14:M14 Q14:Y14">
    <cfRule type="expression" dxfId="30" priority="1">
      <formula>AND(E$23&lt;&gt;"",E$27=1)</formula>
    </cfRule>
    <cfRule type="expression" dxfId="29" priority="3">
      <formula>AND(E$23&lt;&gt;"",E$27&lt;1,E$27&gt;0)</formula>
    </cfRule>
  </conditionalFormatting>
  <conditionalFormatting sqref="E17:M17 Q17:Y17">
    <cfRule type="expression" dxfId="28" priority="2">
      <formula>AND(E$23&lt;&gt;"",E$28=1)</formula>
    </cfRule>
    <cfRule type="expression" dxfId="27" priority="4">
      <formula>AND(E$23&lt;&gt;"",E$28&lt;1,E$28&gt;0)</formula>
    </cfRule>
  </conditionalFormatting>
  <printOptions horizontalCentered="1" gridLines="1"/>
  <pageMargins left="0.25" right="0.6" top="0.5" bottom="0.5" header="0" footer="0"/>
  <pageSetup fitToHeight="0" pageOrder="overThenDown" orientation="landscape" cellComments="atEnd"/>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6D7A8"/>
    <outlinePr summaryBelow="0" summaryRight="0"/>
    <pageSetUpPr fitToPage="1"/>
  </sheetPr>
  <dimension ref="A1:AB33"/>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467" t="s">
        <v>41</v>
      </c>
      <c r="B1" s="468">
        <f>'Master Input'!L4</f>
        <v>0.44444444444444442</v>
      </c>
      <c r="C1" s="469" t="str">
        <f>'Master Input'!$K$2</f>
        <v>Round 4</v>
      </c>
      <c r="D1" s="470"/>
      <c r="E1" s="469" t="str">
        <f>'Master Input'!$K$6</f>
        <v>The Bear - White</v>
      </c>
      <c r="F1" s="471"/>
      <c r="G1" s="471"/>
      <c r="H1" s="471"/>
      <c r="I1" s="471"/>
      <c r="J1" s="471"/>
      <c r="K1" s="471"/>
      <c r="L1" s="471"/>
      <c r="M1" s="471"/>
      <c r="N1" s="471"/>
      <c r="O1" s="72"/>
      <c r="P1" s="469" t="str">
        <f>'Master Input'!$K$2&amp;" - "&amp;A1</f>
        <v>Round 4 - Group 4</v>
      </c>
      <c r="Q1" s="470"/>
      <c r="R1" s="471"/>
      <c r="S1" s="471"/>
      <c r="T1" s="471"/>
      <c r="U1" s="469" t="str">
        <f>'Master Input'!$K$6</f>
        <v>The Bear - White</v>
      </c>
      <c r="V1" s="471"/>
      <c r="W1" s="471"/>
      <c r="X1" s="471"/>
      <c r="Y1" s="471"/>
      <c r="Z1" s="471"/>
      <c r="AA1" s="472"/>
      <c r="AB1" s="473"/>
    </row>
    <row r="2" spans="1:28" ht="14.25" customHeight="1">
      <c r="A2" s="75" t="s">
        <v>16</v>
      </c>
      <c r="B2" s="1166" t="str">
        <f>'Match Selection'!B19</f>
        <v>Team Best Ball</v>
      </c>
      <c r="C2" s="269"/>
      <c r="D2" s="77" t="s">
        <v>16</v>
      </c>
      <c r="E2" s="270">
        <v>1</v>
      </c>
      <c r="F2" s="79">
        <v>2</v>
      </c>
      <c r="G2" s="79">
        <v>3</v>
      </c>
      <c r="H2" s="79">
        <v>4</v>
      </c>
      <c r="I2" s="79">
        <v>5</v>
      </c>
      <c r="J2" s="79">
        <v>6</v>
      </c>
      <c r="K2" s="79">
        <v>7</v>
      </c>
      <c r="L2" s="79">
        <v>8</v>
      </c>
      <c r="M2" s="80">
        <v>9</v>
      </c>
      <c r="N2" s="271" t="s">
        <v>17</v>
      </c>
      <c r="O2" s="72"/>
      <c r="P2" s="77" t="s">
        <v>16</v>
      </c>
      <c r="Q2" s="270">
        <v>10</v>
      </c>
      <c r="R2" s="79">
        <v>11</v>
      </c>
      <c r="S2" s="79">
        <v>12</v>
      </c>
      <c r="T2" s="79">
        <v>13</v>
      </c>
      <c r="U2" s="79">
        <v>14</v>
      </c>
      <c r="V2" s="79">
        <v>15</v>
      </c>
      <c r="W2" s="79">
        <v>16</v>
      </c>
      <c r="X2" s="79">
        <v>17</v>
      </c>
      <c r="Y2" s="80">
        <v>18</v>
      </c>
      <c r="Z2" s="271" t="s">
        <v>18</v>
      </c>
      <c r="AA2" s="83" t="s">
        <v>14</v>
      </c>
      <c r="AB2" s="83" t="s">
        <v>19</v>
      </c>
    </row>
    <row r="3" spans="1:28" ht="14.25" customHeight="1">
      <c r="A3" s="84" t="s">
        <v>20</v>
      </c>
      <c r="B3" s="1129"/>
      <c r="C3" s="272"/>
      <c r="D3" s="86" t="s">
        <v>20</v>
      </c>
      <c r="E3" s="273">
        <f ca="1">VLOOKUP($E1, 'Course List'!$A$3:$AS$14,5+E2, FALSE)</f>
        <v>11</v>
      </c>
      <c r="F3" s="88">
        <f ca="1">VLOOKUP($E1, 'Course List'!$A$3:$AS$14,5+F2, FALSE)</f>
        <v>3</v>
      </c>
      <c r="G3" s="88">
        <f ca="1">VLOOKUP($E1, 'Course List'!$A$3:$AS$14,5+G2, FALSE)</f>
        <v>15</v>
      </c>
      <c r="H3" s="88">
        <f ca="1">VLOOKUP($E1, 'Course List'!$A$3:$AS$14,5+H2, FALSE)</f>
        <v>13</v>
      </c>
      <c r="I3" s="88">
        <f ca="1">VLOOKUP($E1, 'Course List'!$A$3:$AS$14,5+I2, FALSE)</f>
        <v>1</v>
      </c>
      <c r="J3" s="88">
        <f ca="1">VLOOKUP($E1, 'Course List'!$A$3:$AS$14,5+J2, FALSE)</f>
        <v>17</v>
      </c>
      <c r="K3" s="88">
        <f ca="1">VLOOKUP($E1, 'Course List'!$A$3:$AS$14,5+K2, FALSE)</f>
        <v>5</v>
      </c>
      <c r="L3" s="88">
        <f ca="1">VLOOKUP($E1, 'Course List'!$A$3:$AS$14,5+L2, FALSE)</f>
        <v>7</v>
      </c>
      <c r="M3" s="89">
        <f ca="1">VLOOKUP($E1, 'Course List'!$A$3:$AS$14,5+M2, FALSE)</f>
        <v>9</v>
      </c>
      <c r="N3" s="274"/>
      <c r="O3" s="72"/>
      <c r="P3" s="86" t="s">
        <v>21</v>
      </c>
      <c r="Q3" s="273">
        <f ca="1">VLOOKUP($E1, 'Course List'!$A$3:$AS$14,5+Q2, FALSE)</f>
        <v>18</v>
      </c>
      <c r="R3" s="88">
        <f ca="1">VLOOKUP($E1, 'Course List'!$A$3:$AS$14,5+R2, FALSE)</f>
        <v>4</v>
      </c>
      <c r="S3" s="88">
        <f ca="1">VLOOKUP($E1, 'Course List'!$A$3:$AS$14,5+S2, FALSE)</f>
        <v>6</v>
      </c>
      <c r="T3" s="88">
        <f ca="1">VLOOKUP($E1, 'Course List'!$A$3:$AS$14,5+T2, FALSE)</f>
        <v>12</v>
      </c>
      <c r="U3" s="88">
        <f ca="1">VLOOKUP($E1, 'Course List'!$A$3:$AS$14,5+U2, FALSE)</f>
        <v>16</v>
      </c>
      <c r="V3" s="88">
        <f ca="1">VLOOKUP($E1, 'Course List'!$A$3:$AS$14,5+V2, FALSE)</f>
        <v>14</v>
      </c>
      <c r="W3" s="88">
        <f ca="1">VLOOKUP($E1, 'Course List'!$A$3:$AS$14,5+W2, FALSE)</f>
        <v>2</v>
      </c>
      <c r="X3" s="88">
        <f ca="1">VLOOKUP($E1, 'Course List'!$A$3:$AS$14,5+X2, FALSE)</f>
        <v>8</v>
      </c>
      <c r="Y3" s="89">
        <f ca="1">VLOOKUP($E1, 'Course List'!$A$3:$AS$14,5+Y2, FALSE)</f>
        <v>10</v>
      </c>
      <c r="Z3" s="274"/>
      <c r="AA3" s="92"/>
      <c r="AB3" s="92"/>
    </row>
    <row r="4" spans="1:28" ht="14.25" customHeight="1">
      <c r="A4" s="84" t="s">
        <v>22</v>
      </c>
      <c r="B4" s="1139"/>
      <c r="C4" s="272"/>
      <c r="D4" s="86" t="s">
        <v>22</v>
      </c>
      <c r="E4" s="275">
        <f ca="1">VLOOKUP($E1, 'Course List'!$A$3:$AS$14,27+E2, FALSE)</f>
        <v>4</v>
      </c>
      <c r="F4" s="94">
        <f ca="1">VLOOKUP($E1, 'Course List'!$A$3:$AS$14,27+F2, FALSE)</f>
        <v>4</v>
      </c>
      <c r="G4" s="94">
        <f ca="1">VLOOKUP($E1, 'Course List'!$A$3:$AS$14,27+G2, FALSE)</f>
        <v>5</v>
      </c>
      <c r="H4" s="94">
        <f ca="1">VLOOKUP($E1, 'Course List'!$A$3:$AS$14,27+H2, FALSE)</f>
        <v>3</v>
      </c>
      <c r="I4" s="94">
        <f ca="1">VLOOKUP($E1, 'Course List'!$A$3:$AS$14,27+I2, FALSE)</f>
        <v>4</v>
      </c>
      <c r="J4" s="94">
        <f ca="1">VLOOKUP($E1, 'Course List'!$A$3:$AS$14,27+J2, FALSE)</f>
        <v>5</v>
      </c>
      <c r="K4" s="94">
        <f ca="1">VLOOKUP($E1, 'Course List'!$A$3:$AS$14,27+K2, FALSE)</f>
        <v>4</v>
      </c>
      <c r="L4" s="94">
        <f ca="1">VLOOKUP($E1, 'Course List'!$A$3:$AS$14,27+L2, FALSE)</f>
        <v>4</v>
      </c>
      <c r="M4" s="95">
        <f ca="1">VLOOKUP($E1, 'Course List'!$A$3:$AS$14,27+M2, FALSE)</f>
        <v>3</v>
      </c>
      <c r="N4" s="275">
        <f ca="1">SUM(E4:M4)</f>
        <v>36</v>
      </c>
      <c r="O4" s="72"/>
      <c r="P4" s="86" t="s">
        <v>22</v>
      </c>
      <c r="Q4" s="275">
        <f ca="1">VLOOKUP($E1, 'Course List'!$A$3:$AS$14,27+Q2, FALSE)</f>
        <v>5</v>
      </c>
      <c r="R4" s="94">
        <f ca="1">VLOOKUP($E1, 'Course List'!$A$3:$AS$14,27+R2, FALSE)</f>
        <v>4</v>
      </c>
      <c r="S4" s="94">
        <f ca="1">VLOOKUP($E1, 'Course List'!$A$3:$AS$14,27+S2, FALSE)</f>
        <v>4</v>
      </c>
      <c r="T4" s="94">
        <f ca="1">VLOOKUP($E1, 'Course List'!$A$3:$AS$14,27+T2, FALSE)</f>
        <v>3</v>
      </c>
      <c r="U4" s="94">
        <f ca="1">VLOOKUP($E1, 'Course List'!$A$3:$AS$14,27+U2, FALSE)</f>
        <v>4</v>
      </c>
      <c r="V4" s="94">
        <f ca="1">VLOOKUP($E1, 'Course List'!$A$3:$AS$14,27+V2, FALSE)</f>
        <v>5</v>
      </c>
      <c r="W4" s="94">
        <f ca="1">VLOOKUP($E1, 'Course List'!$A$3:$AS$14,27+W2, FALSE)</f>
        <v>4</v>
      </c>
      <c r="X4" s="94">
        <f ca="1">VLOOKUP($E1, 'Course List'!$A$3:$AS$14,27+X2, FALSE)</f>
        <v>3</v>
      </c>
      <c r="Y4" s="95">
        <f ca="1">VLOOKUP($E1, 'Course List'!$A$3:$AS$14,27+Y2, FALSE)</f>
        <v>4</v>
      </c>
      <c r="Z4" s="275">
        <f ca="1">SUM(Q4:Y4)</f>
        <v>36</v>
      </c>
      <c r="AA4" s="97">
        <f ca="1">N4+Z4</f>
        <v>72</v>
      </c>
      <c r="AB4" s="98"/>
    </row>
    <row r="5" spans="1:28" ht="14.25" customHeight="1">
      <c r="A5" s="99" t="s">
        <v>23</v>
      </c>
      <c r="B5" s="99" t="s">
        <v>24</v>
      </c>
      <c r="C5" s="276" t="s">
        <v>25</v>
      </c>
      <c r="D5" s="277" t="s">
        <v>26</v>
      </c>
      <c r="E5" s="278">
        <v>1</v>
      </c>
      <c r="F5" s="103">
        <v>2</v>
      </c>
      <c r="G5" s="103">
        <v>3</v>
      </c>
      <c r="H5" s="103">
        <v>4</v>
      </c>
      <c r="I5" s="103">
        <v>5</v>
      </c>
      <c r="J5" s="103">
        <v>6</v>
      </c>
      <c r="K5" s="103">
        <v>7</v>
      </c>
      <c r="L5" s="103">
        <v>8</v>
      </c>
      <c r="M5" s="104">
        <v>9</v>
      </c>
      <c r="N5" s="279" t="s">
        <v>17</v>
      </c>
      <c r="O5" s="106"/>
      <c r="P5" s="238" t="s">
        <v>23</v>
      </c>
      <c r="Q5" s="278">
        <v>10</v>
      </c>
      <c r="R5" s="103">
        <v>11</v>
      </c>
      <c r="S5" s="103">
        <v>12</v>
      </c>
      <c r="T5" s="103">
        <v>13</v>
      </c>
      <c r="U5" s="103">
        <v>14</v>
      </c>
      <c r="V5" s="103">
        <v>15</v>
      </c>
      <c r="W5" s="103">
        <v>16</v>
      </c>
      <c r="X5" s="103">
        <v>17</v>
      </c>
      <c r="Y5" s="104">
        <v>18</v>
      </c>
      <c r="Z5" s="279" t="s">
        <v>18</v>
      </c>
      <c r="AA5" s="474" t="s">
        <v>27</v>
      </c>
      <c r="AB5" s="474" t="s">
        <v>52</v>
      </c>
    </row>
    <row r="6" spans="1:28" ht="7.5" customHeight="1">
      <c r="A6" s="112"/>
      <c r="B6" s="112"/>
      <c r="C6" s="280"/>
      <c r="D6" s="112"/>
      <c r="E6" s="114" t="str">
        <f t="shared" ref="E6:M6" ca="1" si="0">IF(E7=1,"O", IF(E7=2,"O   O",""))</f>
        <v/>
      </c>
      <c r="F6" s="115" t="str">
        <f t="shared" ca="1" si="0"/>
        <v>O</v>
      </c>
      <c r="G6" s="115" t="str">
        <f t="shared" ca="1" si="0"/>
        <v/>
      </c>
      <c r="H6" s="115" t="str">
        <f t="shared" ca="1" si="0"/>
        <v/>
      </c>
      <c r="I6" s="115" t="str">
        <f t="shared" ca="1" si="0"/>
        <v>O</v>
      </c>
      <c r="J6" s="115" t="str">
        <f t="shared" ca="1" si="0"/>
        <v/>
      </c>
      <c r="K6" s="115" t="str">
        <f t="shared" ca="1" si="0"/>
        <v>O</v>
      </c>
      <c r="L6" s="115" t="str">
        <f t="shared" ca="1" si="0"/>
        <v>O</v>
      </c>
      <c r="M6" s="115" t="str">
        <f t="shared" ca="1" si="0"/>
        <v/>
      </c>
      <c r="N6" s="475"/>
      <c r="O6" s="118"/>
      <c r="P6" s="240"/>
      <c r="Q6" s="114" t="str">
        <f t="shared" ref="Q6:Y6" ca="1" si="1">IF(Q7=1,"O", IF(Q7=2,"O   O",""))</f>
        <v/>
      </c>
      <c r="R6" s="115" t="str">
        <f t="shared" ca="1" si="1"/>
        <v>O</v>
      </c>
      <c r="S6" s="115" t="str">
        <f t="shared" ca="1" si="1"/>
        <v>O</v>
      </c>
      <c r="T6" s="115" t="str">
        <f t="shared" ca="1" si="1"/>
        <v/>
      </c>
      <c r="U6" s="115" t="str">
        <f t="shared" ca="1" si="1"/>
        <v/>
      </c>
      <c r="V6" s="115" t="str">
        <f t="shared" ca="1" si="1"/>
        <v/>
      </c>
      <c r="W6" s="115" t="str">
        <f t="shared" ca="1" si="1"/>
        <v>O</v>
      </c>
      <c r="X6" s="115" t="str">
        <f t="shared" ca="1" si="1"/>
        <v>O</v>
      </c>
      <c r="Y6" s="115" t="str">
        <f t="shared" ca="1" si="1"/>
        <v/>
      </c>
      <c r="Z6" s="476"/>
      <c r="AA6" s="477"/>
      <c r="AB6" s="477"/>
    </row>
    <row r="7" spans="1:28" ht="22.5" hidden="1" customHeight="1">
      <c r="A7" s="123"/>
      <c r="B7" s="124"/>
      <c r="C7" s="286"/>
      <c r="D7" s="126"/>
      <c r="E7" s="478">
        <f t="shared" ref="E7:M7" ca="1" si="2">IF($D8&gt;0,FLOOR($D8/18,1),0)+IF(AND(MOD($D8,18)&gt;=E$3,$D8&gt;0),1,0)-IF(E$3-18&gt;$D8,1,0)</f>
        <v>0</v>
      </c>
      <c r="F7" s="128">
        <f t="shared" ca="1" si="2"/>
        <v>1</v>
      </c>
      <c r="G7" s="128">
        <f t="shared" ca="1" si="2"/>
        <v>0</v>
      </c>
      <c r="H7" s="128">
        <f t="shared" ca="1" si="2"/>
        <v>0</v>
      </c>
      <c r="I7" s="128">
        <f t="shared" ca="1" si="2"/>
        <v>1</v>
      </c>
      <c r="J7" s="128">
        <f t="shared" ca="1" si="2"/>
        <v>0</v>
      </c>
      <c r="K7" s="128">
        <f t="shared" ca="1" si="2"/>
        <v>1</v>
      </c>
      <c r="L7" s="128">
        <f t="shared" ca="1" si="2"/>
        <v>1</v>
      </c>
      <c r="M7" s="128">
        <f t="shared" ca="1" si="2"/>
        <v>0</v>
      </c>
      <c r="N7" s="479"/>
      <c r="O7" s="131"/>
      <c r="P7" s="123"/>
      <c r="Q7" s="478">
        <f t="shared" ref="Q7:Y7" ca="1" si="3">IF($D8&gt;0,FLOOR($D8/18,1),0)+IF(AND(MOD($D8,18)&gt;=Q$3,$D8&gt;0),1,0)-IF(Q$3-18&gt;$D8,1,0)</f>
        <v>0</v>
      </c>
      <c r="R7" s="128">
        <f t="shared" ca="1" si="3"/>
        <v>1</v>
      </c>
      <c r="S7" s="128">
        <f t="shared" ca="1" si="3"/>
        <v>1</v>
      </c>
      <c r="T7" s="128">
        <f t="shared" ca="1" si="3"/>
        <v>0</v>
      </c>
      <c r="U7" s="128">
        <f t="shared" ca="1" si="3"/>
        <v>0</v>
      </c>
      <c r="V7" s="128">
        <f t="shared" ca="1" si="3"/>
        <v>0</v>
      </c>
      <c r="W7" s="128">
        <f t="shared" ca="1" si="3"/>
        <v>1</v>
      </c>
      <c r="X7" s="128">
        <f t="shared" ca="1" si="3"/>
        <v>1</v>
      </c>
      <c r="Y7" s="128">
        <f t="shared" ca="1" si="3"/>
        <v>0</v>
      </c>
      <c r="Z7" s="479"/>
      <c r="AA7" s="480"/>
      <c r="AB7" s="481"/>
    </row>
    <row r="8" spans="1:28" ht="22.5" customHeight="1">
      <c r="A8" s="136" t="str">
        <f>'Match Selection'!V19</f>
        <v>Telly</v>
      </c>
      <c r="B8" s="137" t="str">
        <f>VLOOKUP(A8, 'Master Input'!$A$11:$B$27,2, FALSE)</f>
        <v>TEES</v>
      </c>
      <c r="C8" s="292">
        <f ca="1">VLOOKUP(A8,'Master Input'!$A$11:$L$27,'Master Input'!$L$28, FALSE)</f>
        <v>8</v>
      </c>
      <c r="D8" s="139">
        <f ca="1">C8</f>
        <v>8</v>
      </c>
      <c r="E8" s="482">
        <v>5</v>
      </c>
      <c r="F8" s="141">
        <v>4</v>
      </c>
      <c r="G8" s="141">
        <v>5</v>
      </c>
      <c r="H8" s="141">
        <v>3</v>
      </c>
      <c r="I8" s="141">
        <v>4</v>
      </c>
      <c r="J8" s="141">
        <v>6</v>
      </c>
      <c r="K8" s="141">
        <v>6</v>
      </c>
      <c r="L8" s="141">
        <v>4</v>
      </c>
      <c r="M8" s="141">
        <v>3</v>
      </c>
      <c r="N8" s="483">
        <f>IF(M8="","", SUM(E8:M8))</f>
        <v>40</v>
      </c>
      <c r="O8" s="131"/>
      <c r="P8" s="136" t="str">
        <f>A8</f>
        <v>Telly</v>
      </c>
      <c r="Q8" s="482">
        <v>6</v>
      </c>
      <c r="R8" s="141">
        <v>6</v>
      </c>
      <c r="S8" s="141">
        <v>5</v>
      </c>
      <c r="T8" s="141">
        <v>3</v>
      </c>
      <c r="U8" s="141">
        <v>4</v>
      </c>
      <c r="V8" s="141">
        <v>4</v>
      </c>
      <c r="W8" s="141">
        <v>5</v>
      </c>
      <c r="X8" s="141">
        <v>5</v>
      </c>
      <c r="Y8" s="141">
        <v>6</v>
      </c>
      <c r="Z8" s="483">
        <f>IF(Y8="","", SUM(Q8:Y8))</f>
        <v>44</v>
      </c>
      <c r="AA8" s="484">
        <f>IF(Z8="", "", SUM(N8,Z8))</f>
        <v>84</v>
      </c>
      <c r="AB8" s="485">
        <f ca="1">IF(Y8="", "", AA8-C8)</f>
        <v>76</v>
      </c>
    </row>
    <row r="9" spans="1:28" ht="7.5" customHeight="1">
      <c r="A9" s="299"/>
      <c r="B9" s="300"/>
      <c r="C9" s="301"/>
      <c r="D9" s="486"/>
      <c r="E9" s="163" t="str">
        <f t="shared" ref="E9:M9" ca="1" si="4">IF(E10=1,"O", IF(E10=2,"O   O",""))</f>
        <v>O   O</v>
      </c>
      <c r="F9" s="164" t="str">
        <f t="shared" ca="1" si="4"/>
        <v>O   O</v>
      </c>
      <c r="G9" s="164" t="str">
        <f t="shared" ca="1" si="4"/>
        <v>O   O</v>
      </c>
      <c r="H9" s="164" t="str">
        <f t="shared" ca="1" si="4"/>
        <v>O   O</v>
      </c>
      <c r="I9" s="164" t="str">
        <f t="shared" ca="1" si="4"/>
        <v>O   O</v>
      </c>
      <c r="J9" s="164" t="str">
        <f t="shared" ca="1" si="4"/>
        <v>O   O</v>
      </c>
      <c r="K9" s="164" t="str">
        <f t="shared" ca="1" si="4"/>
        <v>O   O</v>
      </c>
      <c r="L9" s="164" t="str">
        <f t="shared" ca="1" si="4"/>
        <v>O   O</v>
      </c>
      <c r="M9" s="164" t="str">
        <f t="shared" ca="1" si="4"/>
        <v>O   O</v>
      </c>
      <c r="N9" s="487"/>
      <c r="O9" s="118"/>
      <c r="P9" s="299"/>
      <c r="Q9" s="163" t="str">
        <f t="shared" ref="Q9:Y9" ca="1" si="5">IF(Q10=1,"O", IF(Q10=2,"O   O",""))</f>
        <v>O</v>
      </c>
      <c r="R9" s="164" t="str">
        <f t="shared" ca="1" si="5"/>
        <v>O   O</v>
      </c>
      <c r="S9" s="164" t="str">
        <f t="shared" ca="1" si="5"/>
        <v>O   O</v>
      </c>
      <c r="T9" s="164" t="str">
        <f t="shared" ca="1" si="5"/>
        <v>O   O</v>
      </c>
      <c r="U9" s="164" t="str">
        <f t="shared" ca="1" si="5"/>
        <v>O   O</v>
      </c>
      <c r="V9" s="164" t="str">
        <f t="shared" ca="1" si="5"/>
        <v>O   O</v>
      </c>
      <c r="W9" s="164" t="str">
        <f t="shared" ca="1" si="5"/>
        <v>O   O</v>
      </c>
      <c r="X9" s="164" t="str">
        <f t="shared" ca="1" si="5"/>
        <v>O   O</v>
      </c>
      <c r="Y9" s="164" t="str">
        <f t="shared" ca="1" si="5"/>
        <v>O   O</v>
      </c>
      <c r="Z9" s="487"/>
      <c r="AA9" s="488"/>
      <c r="AB9" s="489"/>
    </row>
    <row r="10" spans="1:28" ht="22.5" hidden="1" customHeight="1">
      <c r="A10" s="171"/>
      <c r="B10" s="172"/>
      <c r="C10" s="307"/>
      <c r="D10" s="174"/>
      <c r="E10" s="175">
        <f t="shared" ref="E10:M10" ca="1" si="6">IF($D11&gt;0,FLOOR($D11/18,1),0)+IF(AND(MOD($D11,18)&gt;=E$3,$D11&gt;0),1,0)-IF(E$3-18&gt;$D11,1,0)</f>
        <v>2</v>
      </c>
      <c r="F10" s="176">
        <f t="shared" ca="1" si="6"/>
        <v>2</v>
      </c>
      <c r="G10" s="176">
        <f t="shared" ca="1" si="6"/>
        <v>2</v>
      </c>
      <c r="H10" s="176">
        <f t="shared" ca="1" si="6"/>
        <v>2</v>
      </c>
      <c r="I10" s="176">
        <f t="shared" ca="1" si="6"/>
        <v>2</v>
      </c>
      <c r="J10" s="176">
        <f t="shared" ca="1" si="6"/>
        <v>2</v>
      </c>
      <c r="K10" s="176">
        <f t="shared" ca="1" si="6"/>
        <v>2</v>
      </c>
      <c r="L10" s="176">
        <f t="shared" ca="1" si="6"/>
        <v>2</v>
      </c>
      <c r="M10" s="176">
        <f t="shared" ca="1" si="6"/>
        <v>2</v>
      </c>
      <c r="N10" s="479"/>
      <c r="O10" s="131"/>
      <c r="P10" s="171"/>
      <c r="Q10" s="175">
        <f t="shared" ref="Q10:Y10" ca="1" si="7">IF($D11&gt;0,FLOOR($D11/18,1),0)+IF(AND(MOD($D11,18)&gt;=Q$3,$D11&gt;0),1,0)-IF(Q$3-18&gt;$D11,1,0)</f>
        <v>1</v>
      </c>
      <c r="R10" s="176">
        <f t="shared" ca="1" si="7"/>
        <v>2</v>
      </c>
      <c r="S10" s="176">
        <f t="shared" ca="1" si="7"/>
        <v>2</v>
      </c>
      <c r="T10" s="176">
        <f t="shared" ca="1" si="7"/>
        <v>2</v>
      </c>
      <c r="U10" s="176">
        <f t="shared" ca="1" si="7"/>
        <v>2</v>
      </c>
      <c r="V10" s="176">
        <f t="shared" ca="1" si="7"/>
        <v>2</v>
      </c>
      <c r="W10" s="176">
        <f t="shared" ca="1" si="7"/>
        <v>2</v>
      </c>
      <c r="X10" s="176">
        <f t="shared" ca="1" si="7"/>
        <v>2</v>
      </c>
      <c r="Y10" s="176">
        <f t="shared" ca="1" si="7"/>
        <v>2</v>
      </c>
      <c r="Z10" s="479"/>
      <c r="AA10" s="480"/>
      <c r="AB10" s="481"/>
    </row>
    <row r="11" spans="1:28" ht="22.5" customHeight="1">
      <c r="A11" s="181" t="str">
        <f>'Match Selection'!V20</f>
        <v>Saugy</v>
      </c>
      <c r="B11" s="182" t="str">
        <f>VLOOKUP(A11, 'Master Input'!$A$11:$B$27,2, FALSE)</f>
        <v>TEES</v>
      </c>
      <c r="C11" s="311">
        <f ca="1">VLOOKUP(A11,'Master Input'!$A$11:$L$27,'Master Input'!$L$28, FALSE)</f>
        <v>35</v>
      </c>
      <c r="D11" s="184">
        <f ca="1">C11</f>
        <v>35</v>
      </c>
      <c r="E11" s="490">
        <v>4</v>
      </c>
      <c r="F11" s="186">
        <v>6</v>
      </c>
      <c r="G11" s="186">
        <v>6</v>
      </c>
      <c r="H11" s="186">
        <v>5</v>
      </c>
      <c r="I11" s="186">
        <v>6</v>
      </c>
      <c r="J11" s="186">
        <v>7</v>
      </c>
      <c r="K11" s="186">
        <v>7</v>
      </c>
      <c r="L11" s="186">
        <v>5</v>
      </c>
      <c r="M11" s="186">
        <v>7</v>
      </c>
      <c r="N11" s="483">
        <f>IF(M11="","", SUM(E11:M11))</f>
        <v>53</v>
      </c>
      <c r="O11" s="131"/>
      <c r="P11" s="181" t="str">
        <f>A11</f>
        <v>Saugy</v>
      </c>
      <c r="Q11" s="490">
        <v>8</v>
      </c>
      <c r="R11" s="186">
        <v>5</v>
      </c>
      <c r="S11" s="186">
        <v>8</v>
      </c>
      <c r="T11" s="186">
        <v>4</v>
      </c>
      <c r="U11" s="186">
        <v>8</v>
      </c>
      <c r="V11" s="186">
        <v>9</v>
      </c>
      <c r="W11" s="186">
        <v>7</v>
      </c>
      <c r="X11" s="186">
        <v>7</v>
      </c>
      <c r="Y11" s="186">
        <v>5</v>
      </c>
      <c r="Z11" s="483">
        <f>IF(Y11="","", SUM(Q11:Y11))</f>
        <v>61</v>
      </c>
      <c r="AA11" s="484">
        <f>IF(Z11="", "", SUM(N11,Z11))</f>
        <v>114</v>
      </c>
      <c r="AB11" s="485">
        <f ca="1">IF(Y11="", "", AA11-C11)</f>
        <v>79</v>
      </c>
    </row>
    <row r="12" spans="1:28" ht="7.5" customHeight="1">
      <c r="A12" s="245"/>
      <c r="B12" s="148"/>
      <c r="C12" s="315"/>
      <c r="D12" s="150"/>
      <c r="E12" s="491" t="str">
        <f t="shared" ref="E12:M12" ca="1" si="8">IF(E13=1,"O", IF(E13=2,"O   O",""))</f>
        <v/>
      </c>
      <c r="F12" s="492" t="str">
        <f t="shared" ca="1" si="8"/>
        <v>O</v>
      </c>
      <c r="G12" s="492" t="str">
        <f t="shared" ca="1" si="8"/>
        <v/>
      </c>
      <c r="H12" s="492" t="str">
        <f t="shared" ca="1" si="8"/>
        <v/>
      </c>
      <c r="I12" s="492" t="str">
        <f t="shared" ca="1" si="8"/>
        <v>O</v>
      </c>
      <c r="J12" s="492" t="str">
        <f t="shared" ca="1" si="8"/>
        <v/>
      </c>
      <c r="K12" s="492" t="str">
        <f t="shared" ca="1" si="8"/>
        <v>O</v>
      </c>
      <c r="L12" s="492" t="str">
        <f t="shared" ca="1" si="8"/>
        <v>O</v>
      </c>
      <c r="M12" s="492" t="str">
        <f t="shared" ca="1" si="8"/>
        <v>O</v>
      </c>
      <c r="N12" s="475"/>
      <c r="O12" s="118"/>
      <c r="P12" s="240"/>
      <c r="Q12" s="491" t="str">
        <f t="shared" ref="Q12:Y12" ca="1" si="9">IF(Q13=1,"O", IF(Q13=2,"O   O",""))</f>
        <v/>
      </c>
      <c r="R12" s="492" t="str">
        <f t="shared" ca="1" si="9"/>
        <v>O</v>
      </c>
      <c r="S12" s="492" t="str">
        <f t="shared" ca="1" si="9"/>
        <v>O</v>
      </c>
      <c r="T12" s="492" t="str">
        <f t="shared" ca="1" si="9"/>
        <v/>
      </c>
      <c r="U12" s="492" t="str">
        <f t="shared" ca="1" si="9"/>
        <v/>
      </c>
      <c r="V12" s="492" t="str">
        <f t="shared" ca="1" si="9"/>
        <v/>
      </c>
      <c r="W12" s="492" t="str">
        <f t="shared" ca="1" si="9"/>
        <v>O</v>
      </c>
      <c r="X12" s="492" t="str">
        <f t="shared" ca="1" si="9"/>
        <v>O</v>
      </c>
      <c r="Y12" s="492" t="str">
        <f t="shared" ca="1" si="9"/>
        <v/>
      </c>
      <c r="Z12" s="487"/>
      <c r="AA12" s="488"/>
      <c r="AB12" s="493"/>
    </row>
    <row r="13" spans="1:28" ht="22.5" hidden="1" customHeight="1">
      <c r="A13" s="123"/>
      <c r="B13" s="124"/>
      <c r="C13" s="286"/>
      <c r="D13" s="126"/>
      <c r="E13" s="494">
        <f t="shared" ref="E13:M13" ca="1" si="10">IF($D14&gt;0,FLOOR($D14/18,1),0)+IF(AND(MOD($D14,18)&gt;=E$3,$D14&gt;0),1,0)-IF(E$3-18&gt;$D14,1,0)</f>
        <v>0</v>
      </c>
      <c r="F13" s="495">
        <f t="shared" ca="1" si="10"/>
        <v>1</v>
      </c>
      <c r="G13" s="495">
        <f t="shared" ca="1" si="10"/>
        <v>0</v>
      </c>
      <c r="H13" s="495">
        <f t="shared" ca="1" si="10"/>
        <v>0</v>
      </c>
      <c r="I13" s="495">
        <f t="shared" ca="1" si="10"/>
        <v>1</v>
      </c>
      <c r="J13" s="495">
        <f t="shared" ca="1" si="10"/>
        <v>0</v>
      </c>
      <c r="K13" s="495">
        <f t="shared" ca="1" si="10"/>
        <v>1</v>
      </c>
      <c r="L13" s="495">
        <f t="shared" ca="1" si="10"/>
        <v>1</v>
      </c>
      <c r="M13" s="495">
        <f t="shared" ca="1" si="10"/>
        <v>1</v>
      </c>
      <c r="N13" s="479"/>
      <c r="O13" s="131"/>
      <c r="P13" s="123"/>
      <c r="Q13" s="494">
        <f t="shared" ref="Q13:Y13" ca="1" si="11">IF($D14&gt;0,FLOOR($D14/18,1),0)+IF(AND(MOD($D14,18)&gt;=Q$3,$D14&gt;0),1,0)-IF(Q$3-18&gt;$D14,1,0)</f>
        <v>0</v>
      </c>
      <c r="R13" s="495">
        <f t="shared" ca="1" si="11"/>
        <v>1</v>
      </c>
      <c r="S13" s="495">
        <f t="shared" ca="1" si="11"/>
        <v>1</v>
      </c>
      <c r="T13" s="495">
        <f t="shared" ca="1" si="11"/>
        <v>0</v>
      </c>
      <c r="U13" s="495">
        <f t="shared" ca="1" si="11"/>
        <v>0</v>
      </c>
      <c r="V13" s="495">
        <f t="shared" ca="1" si="11"/>
        <v>0</v>
      </c>
      <c r="W13" s="495">
        <f t="shared" ca="1" si="11"/>
        <v>1</v>
      </c>
      <c r="X13" s="495">
        <f t="shared" ca="1" si="11"/>
        <v>1</v>
      </c>
      <c r="Y13" s="495">
        <f t="shared" ca="1" si="11"/>
        <v>0</v>
      </c>
      <c r="Z13" s="479"/>
      <c r="AA13" s="480"/>
      <c r="AB13" s="481"/>
    </row>
    <row r="14" spans="1:28" ht="22.5" customHeight="1">
      <c r="A14" s="136" t="str">
        <f>'Match Selection'!Y19</f>
        <v>KJ</v>
      </c>
      <c r="B14" s="137" t="str">
        <f>VLOOKUP(A14, 'Master Input'!$A$11:$B$27,2, FALSE)</f>
        <v>TEES</v>
      </c>
      <c r="C14" s="292">
        <f ca="1">VLOOKUP(A14,'Master Input'!$A$11:$L$27,'Master Input'!$L$28, FALSE)</f>
        <v>9</v>
      </c>
      <c r="D14" s="139">
        <f ca="1">C14</f>
        <v>9</v>
      </c>
      <c r="E14" s="496">
        <v>7</v>
      </c>
      <c r="F14" s="497">
        <v>8</v>
      </c>
      <c r="G14" s="497">
        <v>5</v>
      </c>
      <c r="H14" s="497">
        <v>5</v>
      </c>
      <c r="I14" s="497">
        <v>6</v>
      </c>
      <c r="J14" s="497">
        <v>7</v>
      </c>
      <c r="K14" s="497">
        <v>8</v>
      </c>
      <c r="L14" s="497">
        <v>6</v>
      </c>
      <c r="M14" s="497">
        <v>3</v>
      </c>
      <c r="N14" s="483">
        <f>IF(M14="","", SUM(E14:M14))</f>
        <v>55</v>
      </c>
      <c r="O14" s="131"/>
      <c r="P14" s="136" t="str">
        <f>A14</f>
        <v>KJ</v>
      </c>
      <c r="Q14" s="496">
        <v>5</v>
      </c>
      <c r="R14" s="497">
        <v>4</v>
      </c>
      <c r="S14" s="497">
        <v>4</v>
      </c>
      <c r="T14" s="497">
        <v>4</v>
      </c>
      <c r="U14" s="497">
        <v>7</v>
      </c>
      <c r="V14" s="497">
        <v>8</v>
      </c>
      <c r="W14" s="497">
        <v>6</v>
      </c>
      <c r="X14" s="497">
        <v>6</v>
      </c>
      <c r="Y14" s="497">
        <v>6</v>
      </c>
      <c r="Z14" s="483">
        <f>IF(Y14="","", SUM(Q14:Y14))</f>
        <v>50</v>
      </c>
      <c r="AA14" s="484">
        <f>IF(Z14="", "", SUM(N14,Z14))</f>
        <v>105</v>
      </c>
      <c r="AB14" s="485">
        <f ca="1">IF(Y14="", "", AA14-C14)</f>
        <v>96</v>
      </c>
    </row>
    <row r="15" spans="1:28" ht="7.5" customHeight="1">
      <c r="A15" s="159"/>
      <c r="B15" s="160"/>
      <c r="C15" s="323"/>
      <c r="D15" s="162"/>
      <c r="E15" s="163" t="str">
        <f t="shared" ref="E15:M15" ca="1" si="12">IF(E16=1,"O", IF(E16=2,"O   O",""))</f>
        <v/>
      </c>
      <c r="F15" s="164" t="str">
        <f t="shared" ca="1" si="12"/>
        <v>O</v>
      </c>
      <c r="G15" s="164" t="str">
        <f t="shared" ca="1" si="12"/>
        <v/>
      </c>
      <c r="H15" s="164" t="str">
        <f t="shared" ca="1" si="12"/>
        <v/>
      </c>
      <c r="I15" s="164" t="str">
        <f t="shared" ca="1" si="12"/>
        <v>O</v>
      </c>
      <c r="J15" s="164" t="str">
        <f t="shared" ca="1" si="12"/>
        <v/>
      </c>
      <c r="K15" s="164" t="str">
        <f t="shared" ca="1" si="12"/>
        <v>O</v>
      </c>
      <c r="L15" s="164" t="str">
        <f t="shared" ca="1" si="12"/>
        <v>O</v>
      </c>
      <c r="M15" s="164" t="str">
        <f t="shared" ca="1" si="12"/>
        <v>O</v>
      </c>
      <c r="N15" s="498"/>
      <c r="O15" s="118"/>
      <c r="P15" s="159"/>
      <c r="Q15" s="163" t="str">
        <f t="shared" ref="Q15:Y15" ca="1" si="13">IF(Q16=1,"O", IF(Q16=2,"O   O",""))</f>
        <v/>
      </c>
      <c r="R15" s="164" t="str">
        <f t="shared" ca="1" si="13"/>
        <v>O</v>
      </c>
      <c r="S15" s="164" t="str">
        <f t="shared" ca="1" si="13"/>
        <v>O</v>
      </c>
      <c r="T15" s="164" t="str">
        <f t="shared" ca="1" si="13"/>
        <v/>
      </c>
      <c r="U15" s="164" t="str">
        <f t="shared" ca="1" si="13"/>
        <v/>
      </c>
      <c r="V15" s="164" t="str">
        <f t="shared" ca="1" si="13"/>
        <v/>
      </c>
      <c r="W15" s="164" t="str">
        <f t="shared" ca="1" si="13"/>
        <v>O</v>
      </c>
      <c r="X15" s="164" t="str">
        <f t="shared" ca="1" si="13"/>
        <v>O</v>
      </c>
      <c r="Y15" s="164" t="str">
        <f t="shared" ca="1" si="13"/>
        <v/>
      </c>
      <c r="Z15" s="498"/>
      <c r="AA15" s="499"/>
      <c r="AB15" s="493"/>
    </row>
    <row r="16" spans="1:28" ht="22.5" hidden="1" customHeight="1">
      <c r="A16" s="171"/>
      <c r="B16" s="172"/>
      <c r="C16" s="307"/>
      <c r="D16" s="174"/>
      <c r="E16" s="175">
        <f t="shared" ref="E16:M16" ca="1" si="14">IF($D17&gt;0,FLOOR($D17/18,1),0)+IF(AND(MOD($D17,18)&gt;=E$3,$D17&gt;0),1,0)-IF(E$3-18&gt;$D17,1,0)</f>
        <v>0</v>
      </c>
      <c r="F16" s="176">
        <f t="shared" ca="1" si="14"/>
        <v>1</v>
      </c>
      <c r="G16" s="176">
        <f t="shared" ca="1" si="14"/>
        <v>0</v>
      </c>
      <c r="H16" s="176">
        <f t="shared" ca="1" si="14"/>
        <v>0</v>
      </c>
      <c r="I16" s="176">
        <f t="shared" ca="1" si="14"/>
        <v>1</v>
      </c>
      <c r="J16" s="176">
        <f t="shared" ca="1" si="14"/>
        <v>0</v>
      </c>
      <c r="K16" s="176">
        <f t="shared" ca="1" si="14"/>
        <v>1</v>
      </c>
      <c r="L16" s="176">
        <f t="shared" ca="1" si="14"/>
        <v>1</v>
      </c>
      <c r="M16" s="176">
        <f t="shared" ca="1" si="14"/>
        <v>1</v>
      </c>
      <c r="N16" s="479"/>
      <c r="O16" s="131"/>
      <c r="P16" s="171"/>
      <c r="Q16" s="175">
        <f t="shared" ref="Q16:Y16" ca="1" si="15">IF($D17&gt;0,FLOOR($D17/18,1),0)+IF(AND(MOD($D17,18)&gt;=Q$3,$D17&gt;0),1,0)-IF(Q$3-18&gt;$D17,1,0)</f>
        <v>0</v>
      </c>
      <c r="R16" s="176">
        <f t="shared" ca="1" si="15"/>
        <v>1</v>
      </c>
      <c r="S16" s="176">
        <f t="shared" ca="1" si="15"/>
        <v>1</v>
      </c>
      <c r="T16" s="176">
        <f t="shared" ca="1" si="15"/>
        <v>0</v>
      </c>
      <c r="U16" s="176">
        <f t="shared" ca="1" si="15"/>
        <v>0</v>
      </c>
      <c r="V16" s="176">
        <f t="shared" ca="1" si="15"/>
        <v>0</v>
      </c>
      <c r="W16" s="176">
        <f t="shared" ca="1" si="15"/>
        <v>1</v>
      </c>
      <c r="X16" s="176">
        <f t="shared" ca="1" si="15"/>
        <v>1</v>
      </c>
      <c r="Y16" s="176">
        <f t="shared" ca="1" si="15"/>
        <v>0</v>
      </c>
      <c r="Z16" s="479"/>
      <c r="AA16" s="500"/>
      <c r="AB16" s="481"/>
    </row>
    <row r="17" spans="1:28" ht="22.5" customHeight="1">
      <c r="A17" s="191" t="str">
        <f>'Match Selection'!Y20</f>
        <v>House</v>
      </c>
      <c r="B17" s="182" t="str">
        <f>IF(A17="","", VLOOKUP(A17, 'Master Input'!$A$11:$B$27,2, FALSE))</f>
        <v>TEES</v>
      </c>
      <c r="C17" s="311">
        <f ca="1">IF(A17="",0, VLOOKUP(A17,'Master Input'!$A$11:$L$27,'Master Input'!$L$28, FALSE))</f>
        <v>9</v>
      </c>
      <c r="D17" s="184">
        <f ca="1">C17</f>
        <v>9</v>
      </c>
      <c r="E17" s="490">
        <v>4</v>
      </c>
      <c r="F17" s="186">
        <v>4</v>
      </c>
      <c r="G17" s="186">
        <v>4</v>
      </c>
      <c r="H17" s="186">
        <v>3</v>
      </c>
      <c r="I17" s="186">
        <v>7</v>
      </c>
      <c r="J17" s="186">
        <v>5</v>
      </c>
      <c r="K17" s="186">
        <v>6</v>
      </c>
      <c r="L17" s="186">
        <v>6</v>
      </c>
      <c r="M17" s="186">
        <v>4</v>
      </c>
      <c r="N17" s="483">
        <f>IF(M17="","", SUM(E17:M17))</f>
        <v>43</v>
      </c>
      <c r="O17" s="131"/>
      <c r="P17" s="181" t="str">
        <f>A17</f>
        <v>House</v>
      </c>
      <c r="Q17" s="490">
        <v>5</v>
      </c>
      <c r="R17" s="186">
        <v>5</v>
      </c>
      <c r="S17" s="186">
        <v>8</v>
      </c>
      <c r="T17" s="186">
        <v>6</v>
      </c>
      <c r="U17" s="186">
        <v>6</v>
      </c>
      <c r="V17" s="186">
        <v>5</v>
      </c>
      <c r="W17" s="186">
        <v>5</v>
      </c>
      <c r="X17" s="186">
        <v>6</v>
      </c>
      <c r="Y17" s="186">
        <v>3</v>
      </c>
      <c r="Z17" s="483">
        <f>IF(Y17="","", SUM(Q17:Y17))</f>
        <v>49</v>
      </c>
      <c r="AA17" s="484">
        <f>IF(Z17="", "", SUM(N17,Z17))</f>
        <v>92</v>
      </c>
      <c r="AB17" s="485">
        <f ca="1">IF(Y17="", "", AA17-C17)</f>
        <v>83</v>
      </c>
    </row>
    <row r="18" spans="1:28" ht="11.25" customHeight="1">
      <c r="A18" s="329"/>
      <c r="B18" s="329"/>
      <c r="C18" s="330"/>
      <c r="D18" s="195"/>
      <c r="E18" s="331"/>
      <c r="F18" s="195"/>
      <c r="G18" s="195"/>
      <c r="H18" s="195"/>
      <c r="I18" s="195"/>
      <c r="J18" s="195"/>
      <c r="K18" s="195"/>
      <c r="L18" s="195"/>
      <c r="M18" s="195"/>
      <c r="N18" s="331"/>
      <c r="O18" s="196"/>
      <c r="P18" s="195"/>
      <c r="Q18" s="331"/>
      <c r="R18" s="195"/>
      <c r="S18" s="195"/>
      <c r="T18" s="195"/>
      <c r="U18" s="195"/>
      <c r="V18" s="195"/>
      <c r="W18" s="195"/>
      <c r="X18" s="195"/>
      <c r="Y18" s="195"/>
      <c r="Z18" s="195"/>
      <c r="AA18" s="195"/>
      <c r="AB18" s="195"/>
    </row>
    <row r="19" spans="1:28" ht="14.25" customHeight="1">
      <c r="A19" s="508" t="s">
        <v>61</v>
      </c>
      <c r="B19" s="502"/>
      <c r="C19" s="503"/>
      <c r="D19" s="504"/>
      <c r="E19" s="535">
        <f>'R4_G1'!E19</f>
        <v>3</v>
      </c>
      <c r="F19" s="536">
        <f>'R4_G1'!F19</f>
        <v>3</v>
      </c>
      <c r="G19" s="536">
        <f>'R4_G1'!G19</f>
        <v>3</v>
      </c>
      <c r="H19" s="536">
        <f>'R4_G1'!H19</f>
        <v>3</v>
      </c>
      <c r="I19" s="536">
        <f>'R4_G1'!I19</f>
        <v>3</v>
      </c>
      <c r="J19" s="536">
        <f>'R4_G1'!J19</f>
        <v>3</v>
      </c>
      <c r="K19" s="536">
        <f>'R4_G1'!K19</f>
        <v>4</v>
      </c>
      <c r="L19" s="536">
        <f>'R4_G1'!L19</f>
        <v>4</v>
      </c>
      <c r="M19" s="537">
        <f>'R4_G1'!M19</f>
        <v>4</v>
      </c>
      <c r="N19" s="195"/>
      <c r="O19" s="204"/>
      <c r="P19" s="508" t="s">
        <v>61</v>
      </c>
      <c r="Q19" s="535">
        <f>'R4_G1'!Q19</f>
        <v>4</v>
      </c>
      <c r="R19" s="536">
        <f>'R4_G1'!R19</f>
        <v>4</v>
      </c>
      <c r="S19" s="536">
        <f>'R4_G1'!S19</f>
        <v>4</v>
      </c>
      <c r="T19" s="536">
        <f>'R4_G1'!T19</f>
        <v>5</v>
      </c>
      <c r="U19" s="536">
        <f>'R4_G1'!U19</f>
        <v>5</v>
      </c>
      <c r="V19" s="536">
        <f>'R4_G1'!V19</f>
        <v>5</v>
      </c>
      <c r="W19" s="536">
        <f>'R4_G1'!W19</f>
        <v>5</v>
      </c>
      <c r="X19" s="536">
        <f>'R4_G1'!X19</f>
        <v>5</v>
      </c>
      <c r="Y19" s="537">
        <f>'R4_G1'!Y19</f>
        <v>5</v>
      </c>
      <c r="AA19" s="538" t="s">
        <v>62</v>
      </c>
      <c r="AB19" s="539"/>
    </row>
    <row r="20" spans="1:28" ht="18.75" customHeight="1">
      <c r="A20" s="508" t="s">
        <v>63</v>
      </c>
      <c r="B20" s="502"/>
      <c r="C20" s="503"/>
      <c r="D20" s="504"/>
      <c r="E20" s="511">
        <f>'R4_G2'!E20</f>
        <v>3.3333333333333335</v>
      </c>
      <c r="F20" s="511">
        <f>'R4_G2'!F20</f>
        <v>3.3333333333333335</v>
      </c>
      <c r="G20" s="511">
        <f>'R4_G2'!G20</f>
        <v>4.333333333333333</v>
      </c>
      <c r="H20" s="511">
        <f>'R4_G2'!H20</f>
        <v>3</v>
      </c>
      <c r="I20" s="511">
        <f>'R4_G2'!I20</f>
        <v>3.3333333333333335</v>
      </c>
      <c r="J20" s="511">
        <f>'R4_G2'!J20</f>
        <v>4.666666666666667</v>
      </c>
      <c r="K20" s="511">
        <f>'R4_G2'!K20</f>
        <v>4.25</v>
      </c>
      <c r="L20" s="511">
        <f>'R4_G2'!L20</f>
        <v>3.25</v>
      </c>
      <c r="M20" s="511">
        <f>'R4_G2'!M20</f>
        <v>2.5</v>
      </c>
      <c r="N20" s="195"/>
      <c r="O20" s="204"/>
      <c r="P20" s="508" t="s">
        <v>63</v>
      </c>
      <c r="Q20" s="511">
        <f>'R4_G2'!Q20</f>
        <v>4.75</v>
      </c>
      <c r="R20" s="511">
        <f>'R4_G2'!R20</f>
        <v>3.25</v>
      </c>
      <c r="S20" s="511">
        <f>'R4_G2'!S20</f>
        <v>3.5</v>
      </c>
      <c r="T20" s="511">
        <f>'R4_G2'!T20</f>
        <v>2.8</v>
      </c>
      <c r="U20" s="511">
        <f>'R4_G2'!U20</f>
        <v>5</v>
      </c>
      <c r="V20" s="511">
        <f>'R4_G2'!V20</f>
        <v>4.8</v>
      </c>
      <c r="W20" s="511">
        <f>'R4_G2'!W20</f>
        <v>3.6</v>
      </c>
      <c r="X20" s="511">
        <f>'R4_G2'!X20</f>
        <v>3.6</v>
      </c>
      <c r="Y20" s="511">
        <f>'R4_G2'!Y20</f>
        <v>3.6</v>
      </c>
      <c r="AA20" s="540" t="s">
        <v>65</v>
      </c>
      <c r="AB20" s="541"/>
    </row>
    <row r="21" spans="1:28" ht="18.75" customHeight="1">
      <c r="A21" s="523" t="s">
        <v>66</v>
      </c>
      <c r="B21" s="517"/>
      <c r="C21" s="518"/>
      <c r="D21" s="519"/>
      <c r="E21" s="520">
        <f ca="1">'R4_G2'!E21</f>
        <v>-2</v>
      </c>
      <c r="F21" s="520">
        <f ca="1">'R4_G2'!F21</f>
        <v>-2</v>
      </c>
      <c r="G21" s="520">
        <f ca="1">'R4_G2'!G21</f>
        <v>-2</v>
      </c>
      <c r="H21" s="520">
        <f ca="1">'R4_G2'!H21</f>
        <v>0</v>
      </c>
      <c r="I21" s="520">
        <f ca="1">'R4_G2'!I21</f>
        <v>-2</v>
      </c>
      <c r="J21" s="520">
        <f ca="1">'R4_G2'!J21</f>
        <v>-1</v>
      </c>
      <c r="K21" s="520">
        <f ca="1">'R4_G2'!K21</f>
        <v>1</v>
      </c>
      <c r="L21" s="520">
        <f ca="1">'R4_G2'!L21</f>
        <v>-3</v>
      </c>
      <c r="M21" s="520">
        <f ca="1">'R4_G2'!M21</f>
        <v>-2</v>
      </c>
      <c r="N21" s="195"/>
      <c r="O21" s="204"/>
      <c r="P21" s="523" t="s">
        <v>66</v>
      </c>
      <c r="Q21" s="520">
        <f ca="1">'R4_G2'!Q21</f>
        <v>-1</v>
      </c>
      <c r="R21" s="520">
        <f ca="1">'R4_G2'!R21</f>
        <v>-3</v>
      </c>
      <c r="S21" s="520">
        <f ca="1">'R4_G2'!S21</f>
        <v>-2</v>
      </c>
      <c r="T21" s="520">
        <f ca="1">'R4_G2'!T21</f>
        <v>-1</v>
      </c>
      <c r="U21" s="520">
        <f ca="1">'R4_G2'!U21</f>
        <v>5</v>
      </c>
      <c r="V21" s="520">
        <f ca="1">'R4_G2'!V21</f>
        <v>-1</v>
      </c>
      <c r="W21" s="520">
        <f ca="1">'R4_G2'!W21</f>
        <v>-2</v>
      </c>
      <c r="X21" s="520">
        <f ca="1">'R4_G2'!X21</f>
        <v>3</v>
      </c>
      <c r="Y21" s="520">
        <f ca="1">'R4_G2'!Y21</f>
        <v>-2</v>
      </c>
      <c r="AA21" s="542" t="s">
        <v>69</v>
      </c>
      <c r="AB21" s="543"/>
    </row>
    <row r="22" spans="1:28" ht="18.75" customHeight="1">
      <c r="N22" s="195"/>
      <c r="O22" s="72"/>
      <c r="Z22" s="367" t="s">
        <v>32</v>
      </c>
      <c r="AA22" s="526" t="s">
        <v>33</v>
      </c>
      <c r="AB22" s="223" t="s">
        <v>34</v>
      </c>
    </row>
    <row r="23" spans="1:28" ht="18.75" customHeight="1">
      <c r="A23" s="527" t="s">
        <v>68</v>
      </c>
      <c r="B23" s="527" t="s">
        <v>68</v>
      </c>
      <c r="C23" s="528"/>
      <c r="D23" s="529"/>
      <c r="E23" s="530">
        <f>'R4_G2'!E23</f>
        <v>10</v>
      </c>
      <c r="F23" s="530">
        <f>'R4_G2'!F23</f>
        <v>10</v>
      </c>
      <c r="G23" s="530">
        <f>'R4_G2'!G23</f>
        <v>13</v>
      </c>
      <c r="H23" s="530">
        <f>'R4_G2'!H23</f>
        <v>9</v>
      </c>
      <c r="I23" s="530">
        <f>'R4_G2'!I23</f>
        <v>10</v>
      </c>
      <c r="J23" s="530">
        <f>'R4_G2'!J23</f>
        <v>14</v>
      </c>
      <c r="K23" s="530">
        <f>'R4_G2'!K23</f>
        <v>17</v>
      </c>
      <c r="L23" s="530">
        <f>'R4_G2'!L23</f>
        <v>13</v>
      </c>
      <c r="M23" s="530">
        <f>'R4_G2'!M23</f>
        <v>10</v>
      </c>
      <c r="N23" s="531"/>
      <c r="O23" s="531"/>
      <c r="P23" s="527" t="s">
        <v>68</v>
      </c>
      <c r="Q23" s="530">
        <f>'R4_G2'!Q23</f>
        <v>19</v>
      </c>
      <c r="R23" s="530">
        <f>'R4_G2'!R23</f>
        <v>13</v>
      </c>
      <c r="S23" s="530">
        <f>'R4_G2'!S23</f>
        <v>14</v>
      </c>
      <c r="T23" s="530">
        <f>'R4_G2'!T23</f>
        <v>14</v>
      </c>
      <c r="U23" s="530">
        <f>'R4_G2'!U23</f>
        <v>25</v>
      </c>
      <c r="V23" s="530">
        <f>'R4_G2'!V23</f>
        <v>24</v>
      </c>
      <c r="W23" s="530">
        <f>'R4_G2'!W23</f>
        <v>18</v>
      </c>
      <c r="X23" s="530">
        <f>'R4_G2'!X23</f>
        <v>18</v>
      </c>
      <c r="Y23" s="530">
        <f>'R4_G2'!Y23</f>
        <v>18</v>
      </c>
      <c r="Z23" s="367" t="s">
        <v>36</v>
      </c>
      <c r="AA23" s="526" t="s">
        <v>37</v>
      </c>
      <c r="AB23" s="223" t="s">
        <v>38</v>
      </c>
    </row>
    <row r="24" spans="1:28" ht="18.75" customHeight="1">
      <c r="A24" s="368"/>
      <c r="B24" s="369" t="str">
        <f>B8</f>
        <v>TEES</v>
      </c>
      <c r="C24" s="370"/>
      <c r="D24" s="369"/>
      <c r="E24" s="229">
        <f>'FINAL COUNTDOWN'!B3</f>
        <v>1</v>
      </c>
      <c r="F24" s="229">
        <f>'FINAL COUNTDOWN'!B4</f>
        <v>0.5</v>
      </c>
      <c r="G24" s="229">
        <f>'FINAL COUNTDOWN'!B5</f>
        <v>1</v>
      </c>
      <c r="H24" s="229">
        <f>'FINAL COUNTDOWN'!B6</f>
        <v>0.5</v>
      </c>
      <c r="I24" s="229">
        <f>'FINAL COUNTDOWN'!B7</f>
        <v>0</v>
      </c>
      <c r="J24" s="229">
        <f>'FINAL COUNTDOWN'!B8</f>
        <v>0.5</v>
      </c>
      <c r="K24" s="229">
        <f>'FINAL COUNTDOWN'!B9</f>
        <v>0</v>
      </c>
      <c r="L24" s="229">
        <f>'FINAL COUNTDOWN'!B10</f>
        <v>1</v>
      </c>
      <c r="M24" s="229">
        <f>'FINAL COUNTDOWN'!B11</f>
        <v>0</v>
      </c>
      <c r="N24" s="369"/>
      <c r="O24" s="369"/>
      <c r="P24" s="369"/>
      <c r="Q24" s="229">
        <f>'FINAL COUNTDOWN'!B12</f>
        <v>0</v>
      </c>
      <c r="R24" s="229">
        <f>'FINAL COUNTDOWN'!B13</f>
        <v>2</v>
      </c>
      <c r="S24" s="229">
        <f>'FINAL COUNTDOWN'!B14</f>
        <v>0</v>
      </c>
      <c r="T24" s="229">
        <f>'FINAL COUNTDOWN'!B15</f>
        <v>0</v>
      </c>
      <c r="U24" s="229">
        <f>'FINAL COUNTDOWN'!B16</f>
        <v>0</v>
      </c>
      <c r="V24" s="229">
        <f>'FINAL COUNTDOWN'!B17</f>
        <v>2</v>
      </c>
      <c r="W24" s="229">
        <f>'FINAL COUNTDOWN'!B18</f>
        <v>0</v>
      </c>
      <c r="X24" s="229">
        <f>'FINAL COUNTDOWN'!B19</f>
        <v>0</v>
      </c>
      <c r="Y24" s="229">
        <f>'FINAL COUNTDOWN'!B20</f>
        <v>2</v>
      </c>
      <c r="Z24" s="369"/>
      <c r="AA24" s="369"/>
      <c r="AB24" s="229">
        <f>SUM(E24:Y24)</f>
        <v>10.5</v>
      </c>
    </row>
    <row r="25" spans="1:28" ht="18.75" customHeight="1">
      <c r="A25" s="193" t="str">
        <f>A8</f>
        <v>Telly</v>
      </c>
      <c r="B25" s="193"/>
      <c r="C25" s="194"/>
      <c r="D25" s="194"/>
      <c r="E25" s="233">
        <f ca="1">IF('Captains Card 2'!E43&lt;SMALL('Captains Card 2'!E$39:E$46,E$19),1,
IF('Captains Card 2'!E43=SMALL('Captains Card 2'!E$39:E$46,E$19),
(E$19-COUNTIF('Captains Card 2'!E$39:E$46,"&lt;"&amp;SMALL('Captains Card 2'!E$39:E$46,E$19)))/COUNTIF('Captains Card 2'!E$39:E$46,SMALL('Captains Card 2'!E$39:E$46,E$19)),0))</f>
        <v>0</v>
      </c>
      <c r="F25" s="233">
        <f ca="1">IF('Captains Card 2'!F43&lt;SMALL('Captains Card 2'!F$39:F$46,F$19),1,
IF('Captains Card 2'!F43=SMALL('Captains Card 2'!F$39:F$46,F$19),
(F$19-COUNTIF('Captains Card 2'!F$39:F$46,"&lt;"&amp;SMALL('Captains Card 2'!F$39:F$46,F$19)))/COUNTIF('Captains Card 2'!F$39:F$46,SMALL('Captains Card 2'!F$39:F$46,F$19)),0))</f>
        <v>1</v>
      </c>
      <c r="G25" s="233">
        <f ca="1">IF('Captains Card 2'!G43&lt;SMALL('Captains Card 2'!G$39:G$46,G$19),1,
IF('Captains Card 2'!G43=SMALL('Captains Card 2'!G$39:G$46,G$19),
(G$19-COUNTIF('Captains Card 2'!G$39:G$46,"&lt;"&amp;SMALL('Captains Card 2'!G$39:G$46,G$19)))/COUNTIF('Captains Card 2'!G$39:G$46,SMALL('Captains Card 2'!G$39:G$46,G$19)),0))</f>
        <v>0.25</v>
      </c>
      <c r="H25" s="233">
        <f ca="1">IF('Captains Card 2'!H43&lt;SMALL('Captains Card 2'!H$39:H$46,H$19),1,
IF('Captains Card 2'!H43=SMALL('Captains Card 2'!H$39:H$46,H$19),
(H$19-COUNTIF('Captains Card 2'!H$39:H$46,"&lt;"&amp;SMALL('Captains Card 2'!H$39:H$46,H$19)))/COUNTIF('Captains Card 2'!H$39:H$46,SMALL('Captains Card 2'!H$39:H$46,H$19)),0))</f>
        <v>1</v>
      </c>
      <c r="I25" s="233">
        <f ca="1">IF('Captains Card 2'!I43&lt;SMALL('Captains Card 2'!I$39:I$46,I$19),1,
IF('Captains Card 2'!I43=SMALL('Captains Card 2'!I$39:I$46,I$19),
(I$19-COUNTIF('Captains Card 2'!I$39:I$46,"&lt;"&amp;SMALL('Captains Card 2'!I$39:I$46,I$19)))/COUNTIF('Captains Card 2'!I$39:I$46,SMALL('Captains Card 2'!I$39:I$46,I$19)),0))</f>
        <v>1</v>
      </c>
      <c r="J25" s="233">
        <f ca="1">IF('Captains Card 2'!J43&lt;SMALL('Captains Card 2'!J$39:J$46,J$19),1,
IF('Captains Card 2'!J43=SMALL('Captains Card 2'!J$39:J$46,J$19),
(J$19-COUNTIF('Captains Card 2'!J$39:J$46,"&lt;"&amp;SMALL('Captains Card 2'!J$39:J$46,J$19)))/COUNTIF('Captains Card 2'!J$39:J$46,SMALL('Captains Card 2'!J$39:J$46,J$19)),0))</f>
        <v>0</v>
      </c>
      <c r="K25" s="233">
        <f ca="1">IF('Captains Card 2'!K43&lt;SMALL('Captains Card 2'!K$39:K$46,K$19),1,
IF('Captains Card 2'!K43=SMALL('Captains Card 2'!K$39:K$46,K$19),
(K$19-COUNTIF('Captains Card 2'!K$39:K$46,"&lt;"&amp;SMALL('Captains Card 2'!K$39:K$46,K$19)))/COUNTIF('Captains Card 2'!K$39:K$46,SMALL('Captains Card 2'!K$39:K$46,K$19)),0))</f>
        <v>0.4</v>
      </c>
      <c r="L25" s="233">
        <f ca="1">IF('Captains Card 2'!L43&lt;SMALL('Captains Card 2'!L$39:L$46,L$19),1,
IF('Captains Card 2'!L43=SMALL('Captains Card 2'!L$39:L$46,L$19),
(L$19-COUNTIF('Captains Card 2'!L$39:L$46,"&lt;"&amp;SMALL('Captains Card 2'!L$39:L$46,L$19)))/COUNTIF('Captains Card 2'!L$39:L$46,SMALL('Captains Card 2'!L$39:L$46,L$19)),0))</f>
        <v>1</v>
      </c>
      <c r="M25" s="233">
        <f ca="1">IF('Captains Card 2'!M43&lt;SMALL('Captains Card 2'!M$39:M$46,M$19),1,
IF('Captains Card 2'!M43=SMALL('Captains Card 2'!M$39:M$46,M$19),
(M$19-COUNTIF('Captains Card 2'!M$39:M$46,"&lt;"&amp;SMALL('Captains Card 2'!M$39:M$46,M$19)))/COUNTIF('Captains Card 2'!M$39:M$46,SMALL('Captains Card 2'!M$39:M$46,M$19)),0))</f>
        <v>0.4</v>
      </c>
      <c r="N25" s="193"/>
      <c r="O25" s="364"/>
      <c r="P25" s="193"/>
      <c r="Q25" s="233">
        <f ca="1">IF('Captains Card 2'!Q43&lt;SMALL('Captains Card 2'!Q$39:Q$46,Q$19),1,
IF('Captains Card 2'!Q43=SMALL('Captains Card 2'!Q$39:Q$46,Q$19),
(Q$19-COUNTIF('Captains Card 2'!Q$39:Q$46,"&lt;"&amp;SMALL('Captains Card 2'!Q$39:Q$46,Q$19)))/COUNTIF('Captains Card 2'!Q$39:Q$46,SMALL('Captains Card 2'!Q$39:Q$46,Q$19)),0))</f>
        <v>0</v>
      </c>
      <c r="R25" s="233">
        <f ca="1">IF('Captains Card 2'!R43&lt;SMALL('Captains Card 2'!R$39:R$46,R$19),1,
IF('Captains Card 2'!R43=SMALL('Captains Card 2'!R$39:R$46,R$19),
(R$19-COUNTIF('Captains Card 2'!R$39:R$46,"&lt;"&amp;SMALL('Captains Card 2'!R$39:R$46,R$19)))/COUNTIF('Captains Card 2'!R$39:R$46,SMALL('Captains Card 2'!R$39:R$46,R$19)),0))</f>
        <v>0</v>
      </c>
      <c r="S25" s="233">
        <f ca="1">IF('Captains Card 2'!S43&lt;SMALL('Captains Card 2'!S$39:S$46,S$19),1,
IF('Captains Card 2'!S43=SMALL('Captains Card 2'!S$39:S$46,S$19),
(S$19-COUNTIF('Captains Card 2'!S$39:S$46,"&lt;"&amp;SMALL('Captains Card 2'!S$39:S$46,S$19)))/COUNTIF('Captains Card 2'!S$39:S$46,SMALL('Captains Card 2'!S$39:S$46,S$19)),0))</f>
        <v>0.66666666666666663</v>
      </c>
      <c r="T25" s="233">
        <f ca="1">IF('Captains Card 2'!T43&lt;SMALL('Captains Card 2'!T$39:T$46,T$19),1,
IF('Captains Card 2'!T43=SMALL('Captains Card 2'!T$39:T$46,T$19),
(T$19-COUNTIF('Captains Card 2'!T$39:T$46,"&lt;"&amp;SMALL('Captains Card 2'!T$39:T$46,T$19)))/COUNTIF('Captains Card 2'!T$39:T$46,SMALL('Captains Card 2'!T$39:T$46,T$19)),0))</f>
        <v>1</v>
      </c>
      <c r="U25" s="233">
        <f ca="1">IF('Captains Card 2'!U43&lt;SMALL('Captains Card 2'!U$39:U$46,U$19),1,
IF('Captains Card 2'!U43=SMALL('Captains Card 2'!U$39:U$46,U$19),
(U$19-COUNTIF('Captains Card 2'!U$39:U$46,"&lt;"&amp;SMALL('Captains Card 2'!U$39:U$46,U$19)))/COUNTIF('Captains Card 2'!U$39:U$46,SMALL('Captains Card 2'!U$39:U$46,U$19)),0))</f>
        <v>1</v>
      </c>
      <c r="V25" s="233">
        <f ca="1">IF('Captains Card 2'!V43&lt;SMALL('Captains Card 2'!V$39:V$46,V$19),1,
IF('Captains Card 2'!V43=SMALL('Captains Card 2'!V$39:V$46,V$19),
(V$19-COUNTIF('Captains Card 2'!V$39:V$46,"&lt;"&amp;SMALL('Captains Card 2'!V$39:V$46,V$19)))/COUNTIF('Captains Card 2'!V$39:V$46,SMALL('Captains Card 2'!V$39:V$46,V$19)),0))</f>
        <v>1</v>
      </c>
      <c r="W25" s="233">
        <f ca="1">IF('Captains Card 2'!W43&lt;SMALL('Captains Card 2'!W$39:W$46,W$19),1,
IF('Captains Card 2'!W43=SMALL('Captains Card 2'!W$39:W$46,W$19),
(W$19-COUNTIF('Captains Card 2'!W$39:W$46,"&lt;"&amp;SMALL('Captains Card 2'!W$39:W$46,W$19)))/COUNTIF('Captains Card 2'!W$39:W$46,SMALL('Captains Card 2'!W$39:W$46,W$19)),0))</f>
        <v>1</v>
      </c>
      <c r="X25" s="233">
        <f ca="1">IF('Captains Card 2'!X43&lt;SMALL('Captains Card 2'!X$39:X$46,X$19),1,
IF('Captains Card 2'!X43=SMALL('Captains Card 2'!X$39:X$46,X$19),
(X$19-COUNTIF('Captains Card 2'!X$39:X$46,"&lt;"&amp;SMALL('Captains Card 2'!X$39:X$46,X$19)))/COUNTIF('Captains Card 2'!X$39:X$46,SMALL('Captains Card 2'!X$39:X$46,X$19)),0))</f>
        <v>1</v>
      </c>
      <c r="Y25" s="233">
        <f ca="1">IF('Captains Card 2'!Y43&lt;SMALL('Captains Card 2'!Y$39:Y$46,Y$19),1,
IF('Captains Card 2'!Y43=SMALL('Captains Card 2'!Y$39:Y$46,Y$19),
(Y$19-COUNTIF('Captains Card 2'!Y$39:Y$46,"&lt;"&amp;SMALL('Captains Card 2'!Y$39:Y$46,Y$19)))/COUNTIF('Captains Card 2'!Y$39:Y$46,SMALL('Captains Card 2'!Y$39:Y$46,Y$19)),0))</f>
        <v>0</v>
      </c>
      <c r="Z25" s="532">
        <f t="shared" ref="Z25:Z28" ca="1" si="16">SUM(E25:M25,Q25:Y25)</f>
        <v>10.716666666666669</v>
      </c>
      <c r="AA25" s="234">
        <f t="shared" ref="AA25:AA28" ca="1" si="17">SUMIF($E$24:$M$24,"&gt;0.5",E25:M25)+SUMIF($E$24:$M$24,0.5,E25:M25)/2+SUMIF($Q$24:$Y$24,"&gt;1",Q25:Y25)+SUMIF($Q$24:$Y$24,1,Q25:Y25)/2</f>
        <v>3.25</v>
      </c>
      <c r="AB25" s="233">
        <f t="shared" ref="AB25:AB28" ca="1" si="18">Z25/(SUM($E$19:$M$19,$Q$19:$Y$19))*$AB$24</f>
        <v>1.5628472222222225</v>
      </c>
    </row>
    <row r="26" spans="1:28" ht="18.75" customHeight="1">
      <c r="A26" s="193" t="str">
        <f>A11</f>
        <v>Saugy</v>
      </c>
      <c r="B26" s="193"/>
      <c r="C26" s="194"/>
      <c r="D26" s="194"/>
      <c r="E26" s="233">
        <f ca="1">IF('Captains Card 2'!E44&lt;SMALL('Captains Card 2'!E$39:E$46,E$19),1,
IF('Captains Card 2'!E44=SMALL('Captains Card 2'!E$39:E$46,E$19),
(E$19-COUNTIF('Captains Card 2'!E$39:E$46,"&lt;"&amp;SMALL('Captains Card 2'!E$39:E$46,E$19)))/COUNTIF('Captains Card 2'!E$39:E$46,SMALL('Captains Card 2'!E$39:E$46,E$19)),0))</f>
        <v>1</v>
      </c>
      <c r="F26" s="233">
        <f ca="1">IF('Captains Card 2'!F44&lt;SMALL('Captains Card 2'!F$39:F$46,F$19),1,
IF('Captains Card 2'!F44=SMALL('Captains Card 2'!F$39:F$46,F$19),
(F$19-COUNTIF('Captains Card 2'!F$39:F$46,"&lt;"&amp;SMALL('Captains Card 2'!F$39:F$46,F$19)))/COUNTIF('Captains Card 2'!F$39:F$46,SMALL('Captains Card 2'!F$39:F$46,F$19)),0))</f>
        <v>0.25</v>
      </c>
      <c r="G26" s="233">
        <f ca="1">IF('Captains Card 2'!G44&lt;SMALL('Captains Card 2'!G$39:G$46,G$19),1,
IF('Captains Card 2'!G44=SMALL('Captains Card 2'!G$39:G$46,G$19),
(G$19-COUNTIF('Captains Card 2'!G$39:G$46,"&lt;"&amp;SMALL('Captains Card 2'!G$39:G$46,G$19)))/COUNTIF('Captains Card 2'!G$39:G$46,SMALL('Captains Card 2'!G$39:G$46,G$19)),0))</f>
        <v>1</v>
      </c>
      <c r="H26" s="233">
        <f ca="1">IF('Captains Card 2'!H44&lt;SMALL('Captains Card 2'!H$39:H$46,H$19),1,
IF('Captains Card 2'!H44=SMALL('Captains Card 2'!H$39:H$46,H$19),
(H$19-COUNTIF('Captains Card 2'!H$39:H$46,"&lt;"&amp;SMALL('Captains Card 2'!H$39:H$46,H$19)))/COUNTIF('Captains Card 2'!H$39:H$46,SMALL('Captains Card 2'!H$39:H$46,H$19)),0))</f>
        <v>1</v>
      </c>
      <c r="I26" s="233">
        <f ca="1">IF('Captains Card 2'!I44&lt;SMALL('Captains Card 2'!I$39:I$46,I$19),1,
IF('Captains Card 2'!I44=SMALL('Captains Card 2'!I$39:I$46,I$19),
(I$19-COUNTIF('Captains Card 2'!I$39:I$46,"&lt;"&amp;SMALL('Captains Card 2'!I$39:I$46,I$19)))/COUNTIF('Captains Card 2'!I$39:I$46,SMALL('Captains Card 2'!I$39:I$46,I$19)),0))</f>
        <v>0.5</v>
      </c>
      <c r="J26" s="233">
        <f ca="1">IF('Captains Card 2'!J44&lt;SMALL('Captains Card 2'!J$39:J$46,J$19),1,
IF('Captains Card 2'!J44=SMALL('Captains Card 2'!J$39:J$46,J$19),
(J$19-COUNTIF('Captains Card 2'!J$39:J$46,"&lt;"&amp;SMALL('Captains Card 2'!J$39:J$46,J$19)))/COUNTIF('Captains Card 2'!J$39:J$46,SMALL('Captains Card 2'!J$39:J$46,J$19)),0))</f>
        <v>0.66666666666666663</v>
      </c>
      <c r="K26" s="233">
        <f ca="1">IF('Captains Card 2'!K44&lt;SMALL('Captains Card 2'!K$39:K$46,K$19),1,
IF('Captains Card 2'!K44=SMALL('Captains Card 2'!K$39:K$46,K$19),
(K$19-COUNTIF('Captains Card 2'!K$39:K$46,"&lt;"&amp;SMALL('Captains Card 2'!K$39:K$46,K$19)))/COUNTIF('Captains Card 2'!K$39:K$46,SMALL('Captains Card 2'!K$39:K$46,K$19)),0))</f>
        <v>0.4</v>
      </c>
      <c r="L26" s="233">
        <f ca="1">IF('Captains Card 2'!L44&lt;SMALL('Captains Card 2'!L$39:L$46,L$19),1,
IF('Captains Card 2'!L44=SMALL('Captains Card 2'!L$39:L$46,L$19),
(L$19-COUNTIF('Captains Card 2'!L$39:L$46,"&lt;"&amp;SMALL('Captains Card 2'!L$39:L$46,L$19)))/COUNTIF('Captains Card 2'!L$39:L$46,SMALL('Captains Card 2'!L$39:L$46,L$19)),0))</f>
        <v>1</v>
      </c>
      <c r="M26" s="233">
        <f ca="1">IF('Captains Card 2'!M44&lt;SMALL('Captains Card 2'!M$39:M$46,M$19),1,
IF('Captains Card 2'!M44=SMALL('Captains Card 2'!M$39:M$46,M$19),
(M$19-COUNTIF('Captains Card 2'!M$39:M$46,"&lt;"&amp;SMALL('Captains Card 2'!M$39:M$46,M$19)))/COUNTIF('Captains Card 2'!M$39:M$46,SMALL('Captains Card 2'!M$39:M$46,M$19)),0))</f>
        <v>0</v>
      </c>
      <c r="N26" s="193"/>
      <c r="O26" s="364"/>
      <c r="P26" s="193"/>
      <c r="Q26" s="233">
        <f ca="1">IF('Captains Card 2'!Q44&lt;SMALL('Captains Card 2'!Q$39:Q$46,Q$19),1,
IF('Captains Card 2'!Q44=SMALL('Captains Card 2'!Q$39:Q$46,Q$19),
(Q$19-COUNTIF('Captains Card 2'!Q$39:Q$46,"&lt;"&amp;SMALL('Captains Card 2'!Q$39:Q$46,Q$19)))/COUNTIF('Captains Card 2'!Q$39:Q$46,SMALL('Captains Card 2'!Q$39:Q$46,Q$19)),0))</f>
        <v>0</v>
      </c>
      <c r="R26" s="233">
        <f ca="1">IF('Captains Card 2'!R44&lt;SMALL('Captains Card 2'!R$39:R$46,R$19),1,
IF('Captains Card 2'!R44=SMALL('Captains Card 2'!R$39:R$46,R$19),
(R$19-COUNTIF('Captains Card 2'!R$39:R$46,"&lt;"&amp;SMALL('Captains Card 2'!R$39:R$46,R$19)))/COUNTIF('Captains Card 2'!R$39:R$46,SMALL('Captains Card 2'!R$39:R$46,R$19)),0))</f>
        <v>1</v>
      </c>
      <c r="S26" s="233">
        <f ca="1">IF('Captains Card 2'!S44&lt;SMALL('Captains Card 2'!S$39:S$46,S$19),1,
IF('Captains Card 2'!S44=SMALL('Captains Card 2'!S$39:S$46,S$19),
(S$19-COUNTIF('Captains Card 2'!S$39:S$46,"&lt;"&amp;SMALL('Captains Card 2'!S$39:S$46,S$19)))/COUNTIF('Captains Card 2'!S$39:S$46,SMALL('Captains Card 2'!S$39:S$46,S$19)),0))</f>
        <v>0</v>
      </c>
      <c r="T26" s="233">
        <f ca="1">IF('Captains Card 2'!T44&lt;SMALL('Captains Card 2'!T$39:T$46,T$19),1,
IF('Captains Card 2'!T44=SMALL('Captains Card 2'!T$39:T$46,T$19),
(T$19-COUNTIF('Captains Card 2'!T$39:T$46,"&lt;"&amp;SMALL('Captains Card 2'!T$39:T$46,T$19)))/COUNTIF('Captains Card 2'!T$39:T$46,SMALL('Captains Card 2'!T$39:T$46,T$19)),0))</f>
        <v>1</v>
      </c>
      <c r="U26" s="233">
        <f ca="1">IF('Captains Card 2'!U44&lt;SMALL('Captains Card 2'!U$39:U$46,U$19),1,
IF('Captains Card 2'!U44=SMALL('Captains Card 2'!U$39:U$46,U$19),
(U$19-COUNTIF('Captains Card 2'!U$39:U$46,"&lt;"&amp;SMALL('Captains Card 2'!U$39:U$46,U$19)))/COUNTIF('Captains Card 2'!U$39:U$46,SMALL('Captains Card 2'!U$39:U$46,U$19)),0))</f>
        <v>0.66666666666666663</v>
      </c>
      <c r="V26" s="233">
        <f ca="1">IF('Captains Card 2'!V44&lt;SMALL('Captains Card 2'!V$39:V$46,V$19),1,
IF('Captains Card 2'!V44=SMALL('Captains Card 2'!V$39:V$46,V$19),
(V$19-COUNTIF('Captains Card 2'!V$39:V$46,"&lt;"&amp;SMALL('Captains Card 2'!V$39:V$46,V$19)))/COUNTIF('Captains Card 2'!V$39:V$46,SMALL('Captains Card 2'!V$39:V$46,V$19)),0))</f>
        <v>0</v>
      </c>
      <c r="W26" s="233">
        <f ca="1">IF('Captains Card 2'!W44&lt;SMALL('Captains Card 2'!W$39:W$46,W$19),1,
IF('Captains Card 2'!W44=SMALL('Captains Card 2'!W$39:W$46,W$19),
(W$19-COUNTIF('Captains Card 2'!W$39:W$46,"&lt;"&amp;SMALL('Captains Card 2'!W$39:W$46,W$19)))/COUNTIF('Captains Card 2'!W$39:W$46,SMALL('Captains Card 2'!W$39:W$46,W$19)),0))</f>
        <v>0</v>
      </c>
      <c r="X26" s="233">
        <f ca="1">IF('Captains Card 2'!X44&lt;SMALL('Captains Card 2'!X$39:X$46,X$19),1,
IF('Captains Card 2'!X44=SMALL('Captains Card 2'!X$39:X$46,X$19),
(X$19-COUNTIF('Captains Card 2'!X$39:X$46,"&lt;"&amp;SMALL('Captains Card 2'!X$39:X$46,X$19)))/COUNTIF('Captains Card 2'!X$39:X$46,SMALL('Captains Card 2'!X$39:X$46,X$19)),0))</f>
        <v>0</v>
      </c>
      <c r="Y26" s="233">
        <f ca="1">IF('Captains Card 2'!Y44&lt;SMALL('Captains Card 2'!Y$39:Y$46,Y$19),1,
IF('Captains Card 2'!Y44=SMALL('Captains Card 2'!Y$39:Y$46,Y$19),
(Y$19-COUNTIF('Captains Card 2'!Y$39:Y$46,"&lt;"&amp;SMALL('Captains Card 2'!Y$39:Y$46,Y$19)))/COUNTIF('Captains Card 2'!Y$39:Y$46,SMALL('Captains Card 2'!Y$39:Y$46,Y$19)),0))</f>
        <v>1</v>
      </c>
      <c r="Z26" s="532">
        <f t="shared" ca="1" si="16"/>
        <v>9.4833333333333343</v>
      </c>
      <c r="AA26" s="234">
        <f t="shared" ca="1" si="17"/>
        <v>5.958333333333333</v>
      </c>
      <c r="AB26" s="233">
        <f t="shared" ca="1" si="18"/>
        <v>1.3829861111111112</v>
      </c>
    </row>
    <row r="27" spans="1:28" ht="18.75" customHeight="1">
      <c r="A27" s="193" t="str">
        <f>A14</f>
        <v>KJ</v>
      </c>
      <c r="B27" s="193"/>
      <c r="C27" s="194"/>
      <c r="D27" s="194"/>
      <c r="E27" s="233">
        <f ca="1">IF('Captains Card 2'!E45&lt;SMALL('Captains Card 2'!E$39:E$46,E$19),1,
IF('Captains Card 2'!E45=SMALL('Captains Card 2'!E$39:E$46,E$19),
(E$19-COUNTIF('Captains Card 2'!E$39:E$46,"&lt;"&amp;SMALL('Captains Card 2'!E$39:E$46,E$19)))/COUNTIF('Captains Card 2'!E$39:E$46,SMALL('Captains Card 2'!E$39:E$46,E$19)),0))</f>
        <v>0</v>
      </c>
      <c r="F27" s="233">
        <f ca="1">IF('Captains Card 2'!F45&lt;SMALL('Captains Card 2'!F$39:F$46,F$19),1,
IF('Captains Card 2'!F45=SMALL('Captains Card 2'!F$39:F$46,F$19),
(F$19-COUNTIF('Captains Card 2'!F$39:F$46,"&lt;"&amp;SMALL('Captains Card 2'!F$39:F$46,F$19)))/COUNTIF('Captains Card 2'!F$39:F$46,SMALL('Captains Card 2'!F$39:F$46,F$19)),0))</f>
        <v>0</v>
      </c>
      <c r="G27" s="233">
        <f ca="1">IF('Captains Card 2'!G45&lt;SMALL('Captains Card 2'!G$39:G$46,G$19),1,
IF('Captains Card 2'!G45=SMALL('Captains Card 2'!G$39:G$46,G$19),
(G$19-COUNTIF('Captains Card 2'!G$39:G$46,"&lt;"&amp;SMALL('Captains Card 2'!G$39:G$46,G$19)))/COUNTIF('Captains Card 2'!G$39:G$46,SMALL('Captains Card 2'!G$39:G$46,G$19)),0))</f>
        <v>0.25</v>
      </c>
      <c r="H27" s="233">
        <f ca="1">IF('Captains Card 2'!H45&lt;SMALL('Captains Card 2'!H$39:H$46,H$19),1,
IF('Captains Card 2'!H45=SMALL('Captains Card 2'!H$39:H$46,H$19),
(H$19-COUNTIF('Captains Card 2'!H$39:H$46,"&lt;"&amp;SMALL('Captains Card 2'!H$39:H$46,H$19)))/COUNTIF('Captains Card 2'!H$39:H$46,SMALL('Captains Card 2'!H$39:H$46,H$19)),0))</f>
        <v>0</v>
      </c>
      <c r="I27" s="233">
        <f ca="1">IF('Captains Card 2'!I45&lt;SMALL('Captains Card 2'!I$39:I$46,I$19),1,
IF('Captains Card 2'!I45=SMALL('Captains Card 2'!I$39:I$46,I$19),
(I$19-COUNTIF('Captains Card 2'!I$39:I$46,"&lt;"&amp;SMALL('Captains Card 2'!I$39:I$46,I$19)))/COUNTIF('Captains Card 2'!I$39:I$46,SMALL('Captains Card 2'!I$39:I$46,I$19)),0))</f>
        <v>0</v>
      </c>
      <c r="J27" s="233">
        <f ca="1">IF('Captains Card 2'!J45&lt;SMALL('Captains Card 2'!J$39:J$46,J$19),1,
IF('Captains Card 2'!J45=SMALL('Captains Card 2'!J$39:J$46,J$19),
(J$19-COUNTIF('Captains Card 2'!J$39:J$46,"&lt;"&amp;SMALL('Captains Card 2'!J$39:J$46,J$19)))/COUNTIF('Captains Card 2'!J$39:J$46,SMALL('Captains Card 2'!J$39:J$46,J$19)),0))</f>
        <v>0</v>
      </c>
      <c r="K27" s="233">
        <f ca="1">IF('Captains Card 2'!K45&lt;SMALL('Captains Card 2'!K$39:K$46,K$19),1,
IF('Captains Card 2'!K45=SMALL('Captains Card 2'!K$39:K$46,K$19),
(K$19-COUNTIF('Captains Card 2'!K$39:K$46,"&lt;"&amp;SMALL('Captains Card 2'!K$39:K$46,K$19)))/COUNTIF('Captains Card 2'!K$39:K$46,SMALL('Captains Card 2'!K$39:K$46,K$19)),0))</f>
        <v>0</v>
      </c>
      <c r="L27" s="233">
        <f ca="1">IF('Captains Card 2'!L45&lt;SMALL('Captains Card 2'!L$39:L$46,L$19),1,
IF('Captains Card 2'!L45=SMALL('Captains Card 2'!L$39:L$46,L$19),
(L$19-COUNTIF('Captains Card 2'!L$39:L$46,"&lt;"&amp;SMALL('Captains Card 2'!L$39:L$46,L$19)))/COUNTIF('Captains Card 2'!L$39:L$46,SMALL('Captains Card 2'!L$39:L$46,L$19)),0))</f>
        <v>0</v>
      </c>
      <c r="M27" s="233">
        <f ca="1">IF('Captains Card 2'!M45&lt;SMALL('Captains Card 2'!M$39:M$46,M$19),1,
IF('Captains Card 2'!M45=SMALL('Captains Card 2'!M$39:M$46,M$19),
(M$19-COUNTIF('Captains Card 2'!M$39:M$46,"&lt;"&amp;SMALL('Captains Card 2'!M$39:M$46,M$19)))/COUNTIF('Captains Card 2'!M$39:M$46,SMALL('Captains Card 2'!M$39:M$46,M$19)),0))</f>
        <v>1</v>
      </c>
      <c r="N27" s="193"/>
      <c r="O27" s="364"/>
      <c r="P27" s="193"/>
      <c r="Q27" s="233">
        <f ca="1">IF('Captains Card 2'!Q45&lt;SMALL('Captains Card 2'!Q$39:Q$46,Q$19),1,
IF('Captains Card 2'!Q45=SMALL('Captains Card 2'!Q$39:Q$46,Q$19),
(Q$19-COUNTIF('Captains Card 2'!Q$39:Q$46,"&lt;"&amp;SMALL('Captains Card 2'!Q$39:Q$46,Q$19)))/COUNTIF('Captains Card 2'!Q$39:Q$46,SMALL('Captains Card 2'!Q$39:Q$46,Q$19)),0))</f>
        <v>0.6</v>
      </c>
      <c r="R27" s="233">
        <f ca="1">IF('Captains Card 2'!R45&lt;SMALL('Captains Card 2'!R$39:R$46,R$19),1,
IF('Captains Card 2'!R45=SMALL('Captains Card 2'!R$39:R$46,R$19),
(R$19-COUNTIF('Captains Card 2'!R$39:R$46,"&lt;"&amp;SMALL('Captains Card 2'!R$39:R$46,R$19)))/COUNTIF('Captains Card 2'!R$39:R$46,SMALL('Captains Card 2'!R$39:R$46,R$19)),0))</f>
        <v>1</v>
      </c>
      <c r="S27" s="233">
        <f ca="1">IF('Captains Card 2'!S45&lt;SMALL('Captains Card 2'!S$39:S$46,S$19),1,
IF('Captains Card 2'!S45=SMALL('Captains Card 2'!S$39:S$46,S$19),
(S$19-COUNTIF('Captains Card 2'!S$39:S$46,"&lt;"&amp;SMALL('Captains Card 2'!S$39:S$46,S$19)))/COUNTIF('Captains Card 2'!S$39:S$46,SMALL('Captains Card 2'!S$39:S$46,S$19)),0))</f>
        <v>1</v>
      </c>
      <c r="T27" s="233">
        <f ca="1">IF('Captains Card 2'!T45&lt;SMALL('Captains Card 2'!T$39:T$46,T$19),1,
IF('Captains Card 2'!T45=SMALL('Captains Card 2'!T$39:T$46,T$19),
(T$19-COUNTIF('Captains Card 2'!T$39:T$46,"&lt;"&amp;SMALL('Captains Card 2'!T$39:T$46,T$19)))/COUNTIF('Captains Card 2'!T$39:T$46,SMALL('Captains Card 2'!T$39:T$46,T$19)),0))</f>
        <v>0</v>
      </c>
      <c r="U27" s="233">
        <f ca="1">IF('Captains Card 2'!U45&lt;SMALL('Captains Card 2'!U$39:U$46,U$19),1,
IF('Captains Card 2'!U45=SMALL('Captains Card 2'!U$39:U$46,U$19),
(U$19-COUNTIF('Captains Card 2'!U$39:U$46,"&lt;"&amp;SMALL('Captains Card 2'!U$39:U$46,U$19)))/COUNTIF('Captains Card 2'!U$39:U$46,SMALL('Captains Card 2'!U$39:U$46,U$19)),0))</f>
        <v>0</v>
      </c>
      <c r="V27" s="233">
        <f ca="1">IF('Captains Card 2'!V45&lt;SMALL('Captains Card 2'!V$39:V$46,V$19),1,
IF('Captains Card 2'!V45=SMALL('Captains Card 2'!V$39:V$46,V$19),
(V$19-COUNTIF('Captains Card 2'!V$39:V$46,"&lt;"&amp;SMALL('Captains Card 2'!V$39:V$46,V$19)))/COUNTIF('Captains Card 2'!V$39:V$46,SMALL('Captains Card 2'!V$39:V$46,V$19)),0))</f>
        <v>0</v>
      </c>
      <c r="W27" s="233">
        <f ca="1">IF('Captains Card 2'!W45&lt;SMALL('Captains Card 2'!W$39:W$46,W$19),1,
IF('Captains Card 2'!W45=SMALL('Captains Card 2'!W$39:W$46,W$19),
(W$19-COUNTIF('Captains Card 2'!W$39:W$46,"&lt;"&amp;SMALL('Captains Card 2'!W$39:W$46,W$19)))/COUNTIF('Captains Card 2'!W$39:W$46,SMALL('Captains Card 2'!W$39:W$46,W$19)),0))</f>
        <v>0</v>
      </c>
      <c r="X27" s="233">
        <f ca="1">IF('Captains Card 2'!X45&lt;SMALL('Captains Card 2'!X$39:X$46,X$19),1,
IF('Captains Card 2'!X45=SMALL('Captains Card 2'!X$39:X$46,X$19),
(X$19-COUNTIF('Captains Card 2'!X$39:X$46,"&lt;"&amp;SMALL('Captains Card 2'!X$39:X$46,X$19)))/COUNTIF('Captains Card 2'!X$39:X$46,SMALL('Captains Card 2'!X$39:X$46,X$19)),0))</f>
        <v>0</v>
      </c>
      <c r="Y27" s="233">
        <f ca="1">IF('Captains Card 2'!Y45&lt;SMALL('Captains Card 2'!Y$39:Y$46,Y$19),1,
IF('Captains Card 2'!Y45=SMALL('Captains Card 2'!Y$39:Y$46,Y$19),
(Y$19-COUNTIF('Captains Card 2'!Y$39:Y$46,"&lt;"&amp;SMALL('Captains Card 2'!Y$39:Y$46,Y$19)))/COUNTIF('Captains Card 2'!Y$39:Y$46,SMALL('Captains Card 2'!Y$39:Y$46,Y$19)),0))</f>
        <v>0</v>
      </c>
      <c r="Z27" s="532">
        <f t="shared" ca="1" si="16"/>
        <v>3.85</v>
      </c>
      <c r="AA27" s="234">
        <f t="shared" ca="1" si="17"/>
        <v>1.25</v>
      </c>
      <c r="AB27" s="233">
        <f t="shared" ca="1" si="18"/>
        <v>0.56145833333333339</v>
      </c>
    </row>
    <row r="28" spans="1:28" ht="18.75" customHeight="1">
      <c r="A28" s="193" t="str">
        <f>A17</f>
        <v>House</v>
      </c>
      <c r="B28" s="193"/>
      <c r="C28" s="194"/>
      <c r="D28" s="194"/>
      <c r="E28" s="233">
        <f ca="1">IF('Captains Card 2'!E46&lt;SMALL('Captains Card 2'!E$39:E$46,E$19),1,
IF('Captains Card 2'!E46=SMALL('Captains Card 2'!E$39:E$46,E$19),
(E$19-COUNTIF('Captains Card 2'!E$39:E$46,"&lt;"&amp;SMALL('Captains Card 2'!E$39:E$46,E$19)))/COUNTIF('Captains Card 2'!E$39:E$46,SMALL('Captains Card 2'!E$39:E$46,E$19)),0))</f>
        <v>0.5</v>
      </c>
      <c r="F28" s="233">
        <f ca="1">IF('Captains Card 2'!F46&lt;SMALL('Captains Card 2'!F$39:F$46,F$19),1,
IF('Captains Card 2'!F46=SMALL('Captains Card 2'!F$39:F$46,F$19),
(F$19-COUNTIF('Captains Card 2'!F$39:F$46,"&lt;"&amp;SMALL('Captains Card 2'!F$39:F$46,F$19)))/COUNTIF('Captains Card 2'!F$39:F$46,SMALL('Captains Card 2'!F$39:F$46,F$19)),0))</f>
        <v>1</v>
      </c>
      <c r="G28" s="233">
        <f ca="1">IF('Captains Card 2'!G46&lt;SMALL('Captains Card 2'!G$39:G$46,G$19),1,
IF('Captains Card 2'!G46=SMALL('Captains Card 2'!G$39:G$46,G$19),
(G$19-COUNTIF('Captains Card 2'!G$39:G$46,"&lt;"&amp;SMALL('Captains Card 2'!G$39:G$46,G$19)))/COUNTIF('Captains Card 2'!G$39:G$46,SMALL('Captains Card 2'!G$39:G$46,G$19)),0))</f>
        <v>1</v>
      </c>
      <c r="H28" s="233">
        <f ca="1">IF('Captains Card 2'!H46&lt;SMALL('Captains Card 2'!H$39:H$46,H$19),1,
IF('Captains Card 2'!H46=SMALL('Captains Card 2'!H$39:H$46,H$19),
(H$19-COUNTIF('Captains Card 2'!H$39:H$46,"&lt;"&amp;SMALL('Captains Card 2'!H$39:H$46,H$19)))/COUNTIF('Captains Card 2'!H$39:H$46,SMALL('Captains Card 2'!H$39:H$46,H$19)),0))</f>
        <v>1</v>
      </c>
      <c r="I28" s="233">
        <f ca="1">IF('Captains Card 2'!I46&lt;SMALL('Captains Card 2'!I$39:I$46,I$19),1,
IF('Captains Card 2'!I46=SMALL('Captains Card 2'!I$39:I$46,I$19),
(I$19-COUNTIF('Captains Card 2'!I$39:I$46,"&lt;"&amp;SMALL('Captains Card 2'!I$39:I$46,I$19)))/COUNTIF('Captains Card 2'!I$39:I$46,SMALL('Captains Card 2'!I$39:I$46,I$19)),0))</f>
        <v>0</v>
      </c>
      <c r="J28" s="233">
        <f ca="1">IF('Captains Card 2'!J46&lt;SMALL('Captains Card 2'!J$39:J$46,J$19),1,
IF('Captains Card 2'!J46=SMALL('Captains Card 2'!J$39:J$46,J$19),
(J$19-COUNTIF('Captains Card 2'!J$39:J$46,"&lt;"&amp;SMALL('Captains Card 2'!J$39:J$46,J$19)))/COUNTIF('Captains Card 2'!J$39:J$46,SMALL('Captains Card 2'!J$39:J$46,J$19)),0))</f>
        <v>0.66666666666666663</v>
      </c>
      <c r="K28" s="233">
        <f ca="1">IF('Captains Card 2'!K46&lt;SMALL('Captains Card 2'!K$39:K$46,K$19),1,
IF('Captains Card 2'!K46=SMALL('Captains Card 2'!K$39:K$46,K$19),
(K$19-COUNTIF('Captains Card 2'!K$39:K$46,"&lt;"&amp;SMALL('Captains Card 2'!K$39:K$46,K$19)))/COUNTIF('Captains Card 2'!K$39:K$46,SMALL('Captains Card 2'!K$39:K$46,K$19)),0))</f>
        <v>0.4</v>
      </c>
      <c r="L28" s="233">
        <f ca="1">IF('Captains Card 2'!L46&lt;SMALL('Captains Card 2'!L$39:L$46,L$19),1,
IF('Captains Card 2'!L46=SMALL('Captains Card 2'!L$39:L$46,L$19),
(L$19-COUNTIF('Captains Card 2'!L$39:L$46,"&lt;"&amp;SMALL('Captains Card 2'!L$39:L$46,L$19)))/COUNTIF('Captains Card 2'!L$39:L$46,SMALL('Captains Card 2'!L$39:L$46,L$19)),0))</f>
        <v>0</v>
      </c>
      <c r="M28" s="233">
        <f ca="1">IF('Captains Card 2'!M46&lt;SMALL('Captains Card 2'!M$39:M$46,M$19),1,
IF('Captains Card 2'!M46=SMALL('Captains Card 2'!M$39:M$46,M$19),
(M$19-COUNTIF('Captains Card 2'!M$39:M$46,"&lt;"&amp;SMALL('Captains Card 2'!M$39:M$46,M$19)))/COUNTIF('Captains Card 2'!M$39:M$46,SMALL('Captains Card 2'!M$39:M$46,M$19)),0))</f>
        <v>0.4</v>
      </c>
      <c r="N28" s="193"/>
      <c r="O28" s="364"/>
      <c r="P28" s="193"/>
      <c r="Q28" s="233">
        <f ca="1">IF('Captains Card 2'!Q46&lt;SMALL('Captains Card 2'!Q$39:Q$46,Q$19),1,
IF('Captains Card 2'!Q46=SMALL('Captains Card 2'!Q$39:Q$46,Q$19),
(Q$19-COUNTIF('Captains Card 2'!Q$39:Q$46,"&lt;"&amp;SMALL('Captains Card 2'!Q$39:Q$46,Q$19)))/COUNTIF('Captains Card 2'!Q$39:Q$46,SMALL('Captains Card 2'!Q$39:Q$46,Q$19)),0))</f>
        <v>0.6</v>
      </c>
      <c r="R28" s="233">
        <f ca="1">IF('Captains Card 2'!R46&lt;SMALL('Captains Card 2'!R$39:R$46,R$19),1,
IF('Captains Card 2'!R46=SMALL('Captains Card 2'!R$39:R$46,R$19),
(R$19-COUNTIF('Captains Card 2'!R$39:R$46,"&lt;"&amp;SMALL('Captains Card 2'!R$39:R$46,R$19)))/COUNTIF('Captains Card 2'!R$39:R$46,SMALL('Captains Card 2'!R$39:R$46,R$19)),0))</f>
        <v>0.5</v>
      </c>
      <c r="S28" s="233">
        <f ca="1">IF('Captains Card 2'!S46&lt;SMALL('Captains Card 2'!S$39:S$46,S$19),1,
IF('Captains Card 2'!S46=SMALL('Captains Card 2'!S$39:S$46,S$19),
(S$19-COUNTIF('Captains Card 2'!S$39:S$46,"&lt;"&amp;SMALL('Captains Card 2'!S$39:S$46,S$19)))/COUNTIF('Captains Card 2'!S$39:S$46,SMALL('Captains Card 2'!S$39:S$46,S$19)),0))</f>
        <v>0</v>
      </c>
      <c r="T28" s="233">
        <f ca="1">IF('Captains Card 2'!T46&lt;SMALL('Captains Card 2'!T$39:T$46,T$19),1,
IF('Captains Card 2'!T46=SMALL('Captains Card 2'!T$39:T$46,T$19),
(T$19-COUNTIF('Captains Card 2'!T$39:T$46,"&lt;"&amp;SMALL('Captains Card 2'!T$39:T$46,T$19)))/COUNTIF('Captains Card 2'!T$39:T$46,SMALL('Captains Card 2'!T$39:T$46,T$19)),0))</f>
        <v>0</v>
      </c>
      <c r="U28" s="233">
        <f ca="1">IF('Captains Card 2'!U46&lt;SMALL('Captains Card 2'!U$39:U$46,U$19),1,
IF('Captains Card 2'!U46=SMALL('Captains Card 2'!U$39:U$46,U$19),
(U$19-COUNTIF('Captains Card 2'!U$39:U$46,"&lt;"&amp;SMALL('Captains Card 2'!U$39:U$46,U$19)))/COUNTIF('Captains Card 2'!U$39:U$46,SMALL('Captains Card 2'!U$39:U$46,U$19)),0))</f>
        <v>0.66666666666666663</v>
      </c>
      <c r="V28" s="233">
        <f ca="1">IF('Captains Card 2'!V46&lt;SMALL('Captains Card 2'!V$39:V$46,V$19),1,
IF('Captains Card 2'!V46=SMALL('Captains Card 2'!V$39:V$46,V$19),
(V$19-COUNTIF('Captains Card 2'!V$39:V$46,"&lt;"&amp;SMALL('Captains Card 2'!V$39:V$46,V$19)))/COUNTIF('Captains Card 2'!V$39:V$46,SMALL('Captains Card 2'!V$39:V$46,V$19)),0))</f>
        <v>1</v>
      </c>
      <c r="W28" s="233">
        <f ca="1">IF('Captains Card 2'!W46&lt;SMALL('Captains Card 2'!W$39:W$46,W$19),1,
IF('Captains Card 2'!W46=SMALL('Captains Card 2'!W$39:W$46,W$19),
(W$19-COUNTIF('Captains Card 2'!W$39:W$46,"&lt;"&amp;SMALL('Captains Card 2'!W$39:W$46,W$19)))/COUNTIF('Captains Card 2'!W$39:W$46,SMALL('Captains Card 2'!W$39:W$46,W$19)),0))</f>
        <v>1</v>
      </c>
      <c r="X28" s="233">
        <f ca="1">IF('Captains Card 2'!X46&lt;SMALL('Captains Card 2'!X$39:X$46,X$19),1,
IF('Captains Card 2'!X46=SMALL('Captains Card 2'!X$39:X$46,X$19),
(X$19-COUNTIF('Captains Card 2'!X$39:X$46,"&lt;"&amp;SMALL('Captains Card 2'!X$39:X$46,X$19)))/COUNTIF('Captains Card 2'!X$39:X$46,SMALL('Captains Card 2'!X$39:X$46,X$19)),0))</f>
        <v>0</v>
      </c>
      <c r="Y28" s="233">
        <f ca="1">IF('Captains Card 2'!Y46&lt;SMALL('Captains Card 2'!Y$39:Y$46,Y$19),1,
IF('Captains Card 2'!Y46=SMALL('Captains Card 2'!Y$39:Y$46,Y$19),
(Y$19-COUNTIF('Captains Card 2'!Y$39:Y$46,"&lt;"&amp;SMALL('Captains Card 2'!Y$39:Y$46,Y$19)))/COUNTIF('Captains Card 2'!Y$39:Y$46,SMALL('Captains Card 2'!Y$39:Y$46,Y$19)),0))</f>
        <v>1</v>
      </c>
      <c r="Z28" s="532">
        <f t="shared" ca="1" si="16"/>
        <v>9.7333333333333343</v>
      </c>
      <c r="AA28" s="234">
        <f t="shared" ca="1" si="17"/>
        <v>5.333333333333333</v>
      </c>
      <c r="AB28" s="233">
        <f t="shared" ca="1" si="18"/>
        <v>1.4194444444444445</v>
      </c>
    </row>
    <row r="29" spans="1:28" ht="18.75" customHeight="1">
      <c r="A29" s="193"/>
      <c r="B29" s="193"/>
      <c r="C29" s="193"/>
      <c r="D29" s="193"/>
      <c r="E29" s="193"/>
      <c r="F29" s="193"/>
      <c r="G29" s="193"/>
      <c r="H29" s="193"/>
      <c r="I29" s="193"/>
      <c r="J29" s="193"/>
      <c r="K29" s="193"/>
      <c r="L29" s="193"/>
      <c r="M29" s="193"/>
      <c r="N29" s="193"/>
      <c r="O29" s="364"/>
      <c r="P29" s="193"/>
      <c r="Q29" s="193"/>
      <c r="R29" s="193"/>
      <c r="S29" s="193"/>
      <c r="T29" s="193"/>
      <c r="U29" s="193"/>
      <c r="V29" s="193"/>
      <c r="W29" s="193"/>
      <c r="X29" s="193"/>
      <c r="Y29" s="193"/>
      <c r="Z29" s="233">
        <f ca="1">SUM(Z25:Z28)</f>
        <v>33.783333333333339</v>
      </c>
      <c r="AA29" s="533"/>
      <c r="AB29" s="193"/>
    </row>
    <row r="30" spans="1:28" ht="18.75" customHeight="1">
      <c r="A30" s="193" t="str">
        <f t="shared" ref="A30:A33" si="19">A25</f>
        <v>Telly</v>
      </c>
      <c r="B30" s="193"/>
      <c r="C30" s="193"/>
      <c r="D30" s="193"/>
      <c r="E30" s="233">
        <f t="shared" ref="E30:M30" ca="1" si="20">(E25/E$19)*E$24</f>
        <v>0</v>
      </c>
      <c r="F30" s="233">
        <f t="shared" ca="1" si="20"/>
        <v>0.16666666666666666</v>
      </c>
      <c r="G30" s="233">
        <f t="shared" ca="1" si="20"/>
        <v>8.3333333333333329E-2</v>
      </c>
      <c r="H30" s="233">
        <f t="shared" ca="1" si="20"/>
        <v>0.16666666666666666</v>
      </c>
      <c r="I30" s="233">
        <f t="shared" ca="1" si="20"/>
        <v>0</v>
      </c>
      <c r="J30" s="233">
        <f t="shared" ca="1" si="20"/>
        <v>0</v>
      </c>
      <c r="K30" s="233">
        <f t="shared" ca="1" si="20"/>
        <v>0</v>
      </c>
      <c r="L30" s="233">
        <f t="shared" ca="1" si="20"/>
        <v>0.25</v>
      </c>
      <c r="M30" s="233">
        <f t="shared" ca="1" si="20"/>
        <v>0</v>
      </c>
      <c r="N30" s="193"/>
      <c r="O30" s="364"/>
      <c r="P30" s="193"/>
      <c r="Q30" s="233">
        <f t="shared" ref="Q30:Y30" ca="1" si="21">(Q25/Q$19)*Q$24</f>
        <v>0</v>
      </c>
      <c r="R30" s="233">
        <f t="shared" ca="1" si="21"/>
        <v>0</v>
      </c>
      <c r="S30" s="233">
        <f t="shared" ca="1" si="21"/>
        <v>0</v>
      </c>
      <c r="T30" s="233">
        <f t="shared" ca="1" si="21"/>
        <v>0</v>
      </c>
      <c r="U30" s="233">
        <f t="shared" ca="1" si="21"/>
        <v>0</v>
      </c>
      <c r="V30" s="233">
        <f t="shared" ca="1" si="21"/>
        <v>0.4</v>
      </c>
      <c r="W30" s="233">
        <f t="shared" ca="1" si="21"/>
        <v>0</v>
      </c>
      <c r="X30" s="233">
        <f t="shared" ca="1" si="21"/>
        <v>0</v>
      </c>
      <c r="Y30" s="233">
        <f t="shared" ca="1" si="21"/>
        <v>0</v>
      </c>
      <c r="Z30" s="193"/>
      <c r="AA30" s="193"/>
      <c r="AB30" s="534">
        <f t="shared" ref="AB30:AB33" ca="1" si="22">AB25/$AB$24</f>
        <v>0.14884259259259261</v>
      </c>
    </row>
    <row r="31" spans="1:28" ht="18.75" customHeight="1">
      <c r="A31" s="193" t="str">
        <f t="shared" si="19"/>
        <v>Saugy</v>
      </c>
      <c r="B31" s="193"/>
      <c r="C31" s="193"/>
      <c r="D31" s="193"/>
      <c r="E31" s="233">
        <f t="shared" ref="E31:M31" ca="1" si="23">(E26/E$19)*E$24</f>
        <v>0.33333333333333331</v>
      </c>
      <c r="F31" s="233">
        <f t="shared" ca="1" si="23"/>
        <v>4.1666666666666664E-2</v>
      </c>
      <c r="G31" s="233">
        <f t="shared" ca="1" si="23"/>
        <v>0.33333333333333331</v>
      </c>
      <c r="H31" s="233">
        <f t="shared" ca="1" si="23"/>
        <v>0.16666666666666666</v>
      </c>
      <c r="I31" s="233">
        <f t="shared" ca="1" si="23"/>
        <v>0</v>
      </c>
      <c r="J31" s="233">
        <f t="shared" ca="1" si="23"/>
        <v>0.1111111111111111</v>
      </c>
      <c r="K31" s="233">
        <f t="shared" ca="1" si="23"/>
        <v>0</v>
      </c>
      <c r="L31" s="233">
        <f t="shared" ca="1" si="23"/>
        <v>0.25</v>
      </c>
      <c r="M31" s="233">
        <f t="shared" ca="1" si="23"/>
        <v>0</v>
      </c>
      <c r="N31" s="193"/>
      <c r="O31" s="364"/>
      <c r="P31" s="193"/>
      <c r="Q31" s="233">
        <f t="shared" ref="Q31:Y31" ca="1" si="24">(Q26/Q$19)*Q$24</f>
        <v>0</v>
      </c>
      <c r="R31" s="233">
        <f t="shared" ca="1" si="24"/>
        <v>0.5</v>
      </c>
      <c r="S31" s="233">
        <f t="shared" ca="1" si="24"/>
        <v>0</v>
      </c>
      <c r="T31" s="233">
        <f t="shared" ca="1" si="24"/>
        <v>0</v>
      </c>
      <c r="U31" s="233">
        <f t="shared" ca="1" si="24"/>
        <v>0</v>
      </c>
      <c r="V31" s="233">
        <f t="shared" ca="1" si="24"/>
        <v>0</v>
      </c>
      <c r="W31" s="233">
        <f t="shared" ca="1" si="24"/>
        <v>0</v>
      </c>
      <c r="X31" s="233">
        <f t="shared" ca="1" si="24"/>
        <v>0</v>
      </c>
      <c r="Y31" s="233">
        <f t="shared" ca="1" si="24"/>
        <v>0.4</v>
      </c>
      <c r="Z31" s="193"/>
      <c r="AA31" s="193"/>
      <c r="AB31" s="534">
        <f t="shared" ca="1" si="22"/>
        <v>0.13171296296296298</v>
      </c>
    </row>
    <row r="32" spans="1:28" ht="18.75" customHeight="1">
      <c r="A32" s="193" t="str">
        <f t="shared" si="19"/>
        <v>KJ</v>
      </c>
      <c r="B32" s="193"/>
      <c r="C32" s="193"/>
      <c r="D32" s="193"/>
      <c r="E32" s="233">
        <f t="shared" ref="E32:M32" ca="1" si="25">(E27/E$19)*E$24</f>
        <v>0</v>
      </c>
      <c r="F32" s="233">
        <f t="shared" ca="1" si="25"/>
        <v>0</v>
      </c>
      <c r="G32" s="233">
        <f t="shared" ca="1" si="25"/>
        <v>8.3333333333333329E-2</v>
      </c>
      <c r="H32" s="233">
        <f t="shared" ca="1" si="25"/>
        <v>0</v>
      </c>
      <c r="I32" s="233">
        <f t="shared" ca="1" si="25"/>
        <v>0</v>
      </c>
      <c r="J32" s="233">
        <f t="shared" ca="1" si="25"/>
        <v>0</v>
      </c>
      <c r="K32" s="233">
        <f t="shared" ca="1" si="25"/>
        <v>0</v>
      </c>
      <c r="L32" s="233">
        <f t="shared" ca="1" si="25"/>
        <v>0</v>
      </c>
      <c r="M32" s="233">
        <f t="shared" ca="1" si="25"/>
        <v>0</v>
      </c>
      <c r="N32" s="193"/>
      <c r="O32" s="364"/>
      <c r="P32" s="193"/>
      <c r="Q32" s="233">
        <f t="shared" ref="Q32:Y32" ca="1" si="26">(Q27/Q$19)*Q$24</f>
        <v>0</v>
      </c>
      <c r="R32" s="233">
        <f t="shared" ca="1" si="26"/>
        <v>0.5</v>
      </c>
      <c r="S32" s="233">
        <f t="shared" ca="1" si="26"/>
        <v>0</v>
      </c>
      <c r="T32" s="233">
        <f t="shared" ca="1" si="26"/>
        <v>0</v>
      </c>
      <c r="U32" s="233">
        <f t="shared" ca="1" si="26"/>
        <v>0</v>
      </c>
      <c r="V32" s="233">
        <f t="shared" ca="1" si="26"/>
        <v>0</v>
      </c>
      <c r="W32" s="233">
        <f t="shared" ca="1" si="26"/>
        <v>0</v>
      </c>
      <c r="X32" s="233">
        <f t="shared" ca="1" si="26"/>
        <v>0</v>
      </c>
      <c r="Y32" s="233">
        <f t="shared" ca="1" si="26"/>
        <v>0</v>
      </c>
      <c r="Z32" s="193"/>
      <c r="AA32" s="193"/>
      <c r="AB32" s="534">
        <f t="shared" ca="1" si="22"/>
        <v>5.3472222222222227E-2</v>
      </c>
    </row>
    <row r="33" spans="1:28" ht="18.75" customHeight="1">
      <c r="A33" s="193" t="str">
        <f t="shared" si="19"/>
        <v>House</v>
      </c>
      <c r="B33" s="193"/>
      <c r="C33" s="193"/>
      <c r="D33" s="193"/>
      <c r="E33" s="233">
        <f t="shared" ref="E33:M33" ca="1" si="27">(E28/E$19)*E$24</f>
        <v>0.16666666666666666</v>
      </c>
      <c r="F33" s="233">
        <f t="shared" ca="1" si="27"/>
        <v>0.16666666666666666</v>
      </c>
      <c r="G33" s="233">
        <f t="shared" ca="1" si="27"/>
        <v>0.33333333333333331</v>
      </c>
      <c r="H33" s="233">
        <f t="shared" ca="1" si="27"/>
        <v>0.16666666666666666</v>
      </c>
      <c r="I33" s="233">
        <f t="shared" ca="1" si="27"/>
        <v>0</v>
      </c>
      <c r="J33" s="233">
        <f t="shared" ca="1" si="27"/>
        <v>0.1111111111111111</v>
      </c>
      <c r="K33" s="233">
        <f t="shared" ca="1" si="27"/>
        <v>0</v>
      </c>
      <c r="L33" s="233">
        <f t="shared" ca="1" si="27"/>
        <v>0</v>
      </c>
      <c r="M33" s="233">
        <f t="shared" ca="1" si="27"/>
        <v>0</v>
      </c>
      <c r="N33" s="193"/>
      <c r="O33" s="364"/>
      <c r="P33" s="193"/>
      <c r="Q33" s="233">
        <f t="shared" ref="Q33:Y33" ca="1" si="28">(Q28/Q$19)*Q$24</f>
        <v>0</v>
      </c>
      <c r="R33" s="233">
        <f t="shared" ca="1" si="28"/>
        <v>0.25</v>
      </c>
      <c r="S33" s="233">
        <f t="shared" ca="1" si="28"/>
        <v>0</v>
      </c>
      <c r="T33" s="233">
        <f t="shared" ca="1" si="28"/>
        <v>0</v>
      </c>
      <c r="U33" s="233">
        <f t="shared" ca="1" si="28"/>
        <v>0</v>
      </c>
      <c r="V33" s="233">
        <f t="shared" ca="1" si="28"/>
        <v>0.4</v>
      </c>
      <c r="W33" s="233">
        <f t="shared" ca="1" si="28"/>
        <v>0</v>
      </c>
      <c r="X33" s="233">
        <f t="shared" ca="1" si="28"/>
        <v>0</v>
      </c>
      <c r="Y33" s="233">
        <f t="shared" ca="1" si="28"/>
        <v>0.4</v>
      </c>
      <c r="Z33" s="193"/>
      <c r="AA33" s="193"/>
      <c r="AB33" s="534">
        <f t="shared" ca="1" si="22"/>
        <v>0.13518518518518519</v>
      </c>
    </row>
  </sheetData>
  <mergeCells count="1">
    <mergeCell ref="B2:B4"/>
  </mergeCells>
  <conditionalFormatting sqref="E8:M8 Q8:Y8">
    <cfRule type="expression" dxfId="26" priority="3">
      <formula>AND(E$23&lt;&gt;"",E$25=1)</formula>
    </cfRule>
    <cfRule type="expression" dxfId="25" priority="7">
      <formula>AND(E$23&lt;&gt;"",E$25&lt;1,E$25&gt;0)</formula>
    </cfRule>
  </conditionalFormatting>
  <conditionalFormatting sqref="E11:M11 Q11:Y11">
    <cfRule type="expression" dxfId="24" priority="4">
      <formula>AND(E$23&lt;&gt;"",E$26=1)</formula>
    </cfRule>
    <cfRule type="expression" dxfId="23" priority="8">
      <formula>AND(E$23&lt;&gt;"",E$26&lt;1,E$26&gt;0)</formula>
    </cfRule>
  </conditionalFormatting>
  <conditionalFormatting sqref="E14:M14 Q14:Y14">
    <cfRule type="expression" dxfId="22" priority="1">
      <formula>AND(E$23&lt;&gt;"",E$27=1)</formula>
    </cfRule>
    <cfRule type="expression" dxfId="21" priority="5">
      <formula>AND(E$23&lt;&gt;"",E$27&lt;1,E$27&gt;0)</formula>
    </cfRule>
  </conditionalFormatting>
  <conditionalFormatting sqref="E15:M17 Q15:Y17">
    <cfRule type="expression" dxfId="20" priority="6">
      <formula>AND(E$23&lt;&gt;"",E$28&lt;1,E$28&gt;0)</formula>
    </cfRule>
  </conditionalFormatting>
  <conditionalFormatting sqref="E17:M17 Q17:Y17">
    <cfRule type="expression" dxfId="19" priority="2">
      <formula>AND(E$23&lt;&gt;"",E$28=1)</formula>
    </cfRule>
  </conditionalFormatting>
  <printOptions horizontalCentered="1" gridLines="1"/>
  <pageMargins left="0.25" right="0.6" top="0.5" bottom="0.5" header="0" footer="0"/>
  <pageSetup fitToHeight="0" pageOrder="overThenDown" orientation="landscape" cellComments="atEnd"/>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6D7A8"/>
    <outlinePr summaryBelow="0" summaryRight="0"/>
    <pageSetUpPr fitToPage="1"/>
  </sheetPr>
  <dimension ref="A1:AB47"/>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customHeight="1">
      <c r="A1" s="546" t="s">
        <v>15</v>
      </c>
      <c r="B1" s="547">
        <f>'Master Input'!K3</f>
        <v>0.4236111111111111</v>
      </c>
      <c r="C1" s="548" t="str">
        <f>'Master Input'!$K$6</f>
        <v>The Bear - White</v>
      </c>
      <c r="D1" s="549"/>
      <c r="E1" s="550"/>
      <c r="F1" s="550"/>
      <c r="G1" s="550"/>
      <c r="H1" s="550"/>
      <c r="I1" s="550"/>
      <c r="J1" s="550"/>
      <c r="K1" s="550"/>
      <c r="L1" s="550"/>
      <c r="M1" s="550"/>
      <c r="N1" s="550"/>
      <c r="O1" s="549"/>
      <c r="P1" s="548" t="str">
        <f>'Master Input'!$K$6</f>
        <v>The Bear - White</v>
      </c>
      <c r="Q1" s="550"/>
      <c r="R1" s="550"/>
      <c r="S1" s="550"/>
      <c r="T1" s="550"/>
      <c r="U1" s="550"/>
      <c r="V1" s="550"/>
      <c r="W1" s="550"/>
      <c r="X1" s="550"/>
      <c r="Y1" s="550"/>
      <c r="Z1" s="550"/>
      <c r="AA1" s="551"/>
      <c r="AB1" s="552"/>
    </row>
    <row r="2" spans="1:28" ht="14.25" customHeight="1">
      <c r="A2" s="75" t="s">
        <v>16</v>
      </c>
      <c r="B2" s="1167" t="str">
        <f>'Match Selection'!B19</f>
        <v>Team Best Ball</v>
      </c>
      <c r="C2" s="553"/>
      <c r="D2" s="554" t="s">
        <v>16</v>
      </c>
      <c r="E2" s="555">
        <v>1</v>
      </c>
      <c r="F2" s="79">
        <v>2</v>
      </c>
      <c r="G2" s="79">
        <v>3</v>
      </c>
      <c r="H2" s="79">
        <v>4</v>
      </c>
      <c r="I2" s="79">
        <v>5</v>
      </c>
      <c r="J2" s="79">
        <v>6</v>
      </c>
      <c r="K2" s="79">
        <v>7</v>
      </c>
      <c r="L2" s="79">
        <v>8</v>
      </c>
      <c r="M2" s="79">
        <v>9</v>
      </c>
      <c r="N2" s="556" t="s">
        <v>17</v>
      </c>
      <c r="O2" s="557"/>
      <c r="P2" s="554" t="s">
        <v>16</v>
      </c>
      <c r="Q2" s="79">
        <v>10</v>
      </c>
      <c r="R2" s="79">
        <v>11</v>
      </c>
      <c r="S2" s="79">
        <v>12</v>
      </c>
      <c r="T2" s="79">
        <v>13</v>
      </c>
      <c r="U2" s="79">
        <v>14</v>
      </c>
      <c r="V2" s="79">
        <v>15</v>
      </c>
      <c r="W2" s="79">
        <v>16</v>
      </c>
      <c r="X2" s="79">
        <v>17</v>
      </c>
      <c r="Y2" s="79">
        <v>18</v>
      </c>
      <c r="Z2" s="556" t="s">
        <v>18</v>
      </c>
      <c r="AA2" s="83" t="s">
        <v>14</v>
      </c>
      <c r="AB2" s="83" t="s">
        <v>19</v>
      </c>
    </row>
    <row r="3" spans="1:28" ht="14.25" customHeight="1">
      <c r="A3" s="84" t="s">
        <v>20</v>
      </c>
      <c r="B3" s="1129"/>
      <c r="C3" s="558"/>
      <c r="D3" s="559" t="s">
        <v>20</v>
      </c>
      <c r="E3" s="88">
        <f ca="1">VLOOKUP($C1, 'Course List'!$A$3:$AS$14,5+E2, FALSE)</f>
        <v>11</v>
      </c>
      <c r="F3" s="88">
        <f ca="1">VLOOKUP($C1, 'Course List'!$A$3:$AS$14,5+F2, FALSE)</f>
        <v>3</v>
      </c>
      <c r="G3" s="88">
        <f ca="1">VLOOKUP($C1, 'Course List'!$A$3:$AS$14,5+G2, FALSE)</f>
        <v>15</v>
      </c>
      <c r="H3" s="88">
        <f ca="1">VLOOKUP($C1, 'Course List'!$A$3:$AS$14,5+H2, FALSE)</f>
        <v>13</v>
      </c>
      <c r="I3" s="88">
        <f ca="1">VLOOKUP($C1, 'Course List'!$A$3:$AS$14,5+I2, FALSE)</f>
        <v>1</v>
      </c>
      <c r="J3" s="88">
        <f ca="1">VLOOKUP($C1, 'Course List'!$A$3:$AS$14,5+J2, FALSE)</f>
        <v>17</v>
      </c>
      <c r="K3" s="88">
        <f ca="1">VLOOKUP($C1, 'Course List'!$A$3:$AS$14,5+K2, FALSE)</f>
        <v>5</v>
      </c>
      <c r="L3" s="88">
        <f ca="1">VLOOKUP($C1, 'Course List'!$A$3:$AS$14,5+L2, FALSE)</f>
        <v>7</v>
      </c>
      <c r="M3" s="88">
        <f ca="1">VLOOKUP($C1, 'Course List'!$A$3:$AS$14,5+M2, FALSE)</f>
        <v>9</v>
      </c>
      <c r="N3" s="560"/>
      <c r="O3" s="561"/>
      <c r="P3" s="559" t="s">
        <v>21</v>
      </c>
      <c r="Q3" s="88">
        <f ca="1">VLOOKUP($C1, 'Course List'!$A$3:$AS$14,5+Q2, FALSE)</f>
        <v>18</v>
      </c>
      <c r="R3" s="88">
        <f ca="1">VLOOKUP($C1, 'Course List'!$A$3:$AS$14,5+R2, FALSE)</f>
        <v>4</v>
      </c>
      <c r="S3" s="88">
        <f ca="1">VLOOKUP($C1, 'Course List'!$A$3:$AS$14,5+S2, FALSE)</f>
        <v>6</v>
      </c>
      <c r="T3" s="88">
        <f ca="1">VLOOKUP($C1, 'Course List'!$A$3:$AS$14,5+T2, FALSE)</f>
        <v>12</v>
      </c>
      <c r="U3" s="88">
        <f ca="1">VLOOKUP($C1, 'Course List'!$A$3:$AS$14,5+U2, FALSE)</f>
        <v>16</v>
      </c>
      <c r="V3" s="88">
        <f ca="1">VLOOKUP($C1, 'Course List'!$A$3:$AS$14,5+V2, FALSE)</f>
        <v>14</v>
      </c>
      <c r="W3" s="88">
        <f ca="1">VLOOKUP($C1, 'Course List'!$A$3:$AS$14,5+W2, FALSE)</f>
        <v>2</v>
      </c>
      <c r="X3" s="88">
        <f ca="1">VLOOKUP($C1, 'Course List'!$A$3:$AS$14,5+X2, FALSE)</f>
        <v>8</v>
      </c>
      <c r="Y3" s="88">
        <f ca="1">VLOOKUP($C1, 'Course List'!$A$3:$AS$14,5+Y2, FALSE)</f>
        <v>10</v>
      </c>
      <c r="Z3" s="560"/>
      <c r="AA3" s="92"/>
      <c r="AB3" s="92"/>
    </row>
    <row r="4" spans="1:28" ht="14.25" customHeight="1">
      <c r="A4" s="84" t="s">
        <v>22</v>
      </c>
      <c r="B4" s="1139"/>
      <c r="C4" s="558"/>
      <c r="D4" s="559" t="s">
        <v>22</v>
      </c>
      <c r="E4" s="94">
        <f ca="1">VLOOKUP($C1, 'Course List'!$A$3:$AS$14,27+E2, FALSE)</f>
        <v>4</v>
      </c>
      <c r="F4" s="94">
        <f ca="1">VLOOKUP($C1, 'Course List'!$A$3:$AS$14,27+F2, FALSE)</f>
        <v>4</v>
      </c>
      <c r="G4" s="94">
        <f ca="1">VLOOKUP($C1, 'Course List'!$A$3:$AS$14,27+G2, FALSE)</f>
        <v>5</v>
      </c>
      <c r="H4" s="94">
        <f ca="1">VLOOKUP($C1, 'Course List'!$A$3:$AS$14,27+H2, FALSE)</f>
        <v>3</v>
      </c>
      <c r="I4" s="94">
        <f ca="1">VLOOKUP($C1, 'Course List'!$A$3:$AS$14,27+I2, FALSE)</f>
        <v>4</v>
      </c>
      <c r="J4" s="94">
        <f ca="1">VLOOKUP($C1, 'Course List'!$A$3:$AS$14,27+J2, FALSE)</f>
        <v>5</v>
      </c>
      <c r="K4" s="94">
        <f ca="1">VLOOKUP($C1, 'Course List'!$A$3:$AS$14,27+K2, FALSE)</f>
        <v>4</v>
      </c>
      <c r="L4" s="94">
        <f ca="1">VLOOKUP($C1, 'Course List'!$A$3:$AS$14,27+L2, FALSE)</f>
        <v>4</v>
      </c>
      <c r="M4" s="94">
        <f ca="1">VLOOKUP($C1, 'Course List'!$A$3:$AS$14,27+M2, FALSE)</f>
        <v>3</v>
      </c>
      <c r="N4" s="97">
        <f ca="1">SUM(E4:M4)</f>
        <v>36</v>
      </c>
      <c r="O4" s="561"/>
      <c r="P4" s="559" t="s">
        <v>22</v>
      </c>
      <c r="Q4" s="94">
        <f ca="1">VLOOKUP($C1, 'Course List'!$A$3:$AS$14,27+Q2, FALSE)</f>
        <v>5</v>
      </c>
      <c r="R4" s="94">
        <f ca="1">VLOOKUP($C1, 'Course List'!$A$3:$AS$14,27+R2, FALSE)</f>
        <v>4</v>
      </c>
      <c r="S4" s="94">
        <f ca="1">VLOOKUP($C1, 'Course List'!$A$3:$AS$14,27+S2, FALSE)</f>
        <v>4</v>
      </c>
      <c r="T4" s="94">
        <f ca="1">VLOOKUP($C1, 'Course List'!$A$3:$AS$14,27+T2, FALSE)</f>
        <v>3</v>
      </c>
      <c r="U4" s="94">
        <f ca="1">VLOOKUP($C1, 'Course List'!$A$3:$AS$14,27+U2, FALSE)</f>
        <v>4</v>
      </c>
      <c r="V4" s="94">
        <f ca="1">VLOOKUP($C1, 'Course List'!$A$3:$AS$14,27+V2, FALSE)</f>
        <v>5</v>
      </c>
      <c r="W4" s="94">
        <f ca="1">VLOOKUP($C1, 'Course List'!$A$3:$AS$14,27+W2, FALSE)</f>
        <v>4</v>
      </c>
      <c r="X4" s="94">
        <f ca="1">VLOOKUP($C1, 'Course List'!$A$3:$AS$14,27+X2, FALSE)</f>
        <v>3</v>
      </c>
      <c r="Y4" s="94">
        <f ca="1">VLOOKUP($C1, 'Course List'!$A$3:$AS$14,27+Y2, FALSE)</f>
        <v>4</v>
      </c>
      <c r="Z4" s="97">
        <f ca="1">SUM(Q4:Y4)</f>
        <v>36</v>
      </c>
      <c r="AA4" s="97">
        <f ca="1">N4+Z4</f>
        <v>72</v>
      </c>
      <c r="AB4" s="98"/>
    </row>
    <row r="5" spans="1:28" ht="14.25" customHeight="1">
      <c r="A5" s="99" t="s">
        <v>23</v>
      </c>
      <c r="B5" s="237" t="s">
        <v>24</v>
      </c>
      <c r="C5" s="562" t="s">
        <v>25</v>
      </c>
      <c r="D5" s="563" t="s">
        <v>26</v>
      </c>
      <c r="E5" s="103">
        <v>1</v>
      </c>
      <c r="F5" s="103">
        <v>2</v>
      </c>
      <c r="G5" s="103">
        <v>3</v>
      </c>
      <c r="H5" s="103">
        <v>4</v>
      </c>
      <c r="I5" s="103">
        <v>5</v>
      </c>
      <c r="J5" s="103">
        <v>6</v>
      </c>
      <c r="K5" s="103">
        <v>7</v>
      </c>
      <c r="L5" s="103">
        <v>8</v>
      </c>
      <c r="M5" s="103">
        <v>9</v>
      </c>
      <c r="N5" s="564" t="s">
        <v>17</v>
      </c>
      <c r="O5" s="565"/>
      <c r="P5" s="238" t="s">
        <v>23</v>
      </c>
      <c r="Q5" s="103">
        <v>10</v>
      </c>
      <c r="R5" s="103">
        <v>11</v>
      </c>
      <c r="S5" s="103">
        <v>12</v>
      </c>
      <c r="T5" s="103">
        <v>13</v>
      </c>
      <c r="U5" s="103">
        <v>14</v>
      </c>
      <c r="V5" s="103">
        <v>15</v>
      </c>
      <c r="W5" s="103">
        <v>16</v>
      </c>
      <c r="X5" s="103">
        <v>17</v>
      </c>
      <c r="Y5" s="103">
        <v>18</v>
      </c>
      <c r="Z5" s="564" t="s">
        <v>18</v>
      </c>
      <c r="AA5" s="474" t="s">
        <v>27</v>
      </c>
      <c r="AB5" s="474" t="s">
        <v>52</v>
      </c>
    </row>
    <row r="6" spans="1:28" ht="7.5" customHeight="1">
      <c r="A6" s="112"/>
      <c r="B6" s="111"/>
      <c r="C6" s="566">
        <f>'R4_G1'!C6</f>
        <v>0</v>
      </c>
      <c r="D6" s="111">
        <f>'R4_G1'!D6</f>
        <v>0</v>
      </c>
      <c r="E6" s="115" t="str">
        <f ca="1">'R4_G1'!E6</f>
        <v/>
      </c>
      <c r="F6" s="115" t="str">
        <f ca="1">'R4_G1'!F6</f>
        <v>O</v>
      </c>
      <c r="G6" s="115" t="str">
        <f ca="1">'R4_G1'!G6</f>
        <v/>
      </c>
      <c r="H6" s="115" t="str">
        <f ca="1">'R4_G1'!H6</f>
        <v/>
      </c>
      <c r="I6" s="115" t="str">
        <f ca="1">'R4_G1'!I6</f>
        <v>O</v>
      </c>
      <c r="J6" s="115" t="str">
        <f ca="1">'R4_G1'!J6</f>
        <v/>
      </c>
      <c r="K6" s="115" t="str">
        <f ca="1">'R4_G1'!K6</f>
        <v>O</v>
      </c>
      <c r="L6" s="115" t="str">
        <f ca="1">'R4_G1'!L6</f>
        <v>O</v>
      </c>
      <c r="M6" s="115" t="str">
        <f ca="1">'R4_G1'!M6</f>
        <v/>
      </c>
      <c r="N6" s="567">
        <f>'R4_G1'!N6</f>
        <v>0</v>
      </c>
      <c r="O6" s="568">
        <f>'R4_G1'!O6</f>
        <v>0</v>
      </c>
      <c r="P6" s="569">
        <f>'R4_G1'!P6</f>
        <v>0</v>
      </c>
      <c r="Q6" s="115" t="str">
        <f ca="1">'R4_G1'!Q6</f>
        <v/>
      </c>
      <c r="R6" s="115" t="str">
        <f ca="1">'R4_G1'!R6</f>
        <v>O</v>
      </c>
      <c r="S6" s="115" t="str">
        <f ca="1">'R4_G1'!S6</f>
        <v>O</v>
      </c>
      <c r="T6" s="115" t="str">
        <f ca="1">'R4_G1'!T6</f>
        <v/>
      </c>
      <c r="U6" s="115" t="str">
        <f ca="1">'R4_G1'!U6</f>
        <v/>
      </c>
      <c r="V6" s="115" t="str">
        <f ca="1">'R4_G1'!V6</f>
        <v/>
      </c>
      <c r="W6" s="115" t="str">
        <f ca="1">'R4_G1'!W6</f>
        <v>O</v>
      </c>
      <c r="X6" s="115" t="str">
        <f ca="1">'R4_G1'!X6</f>
        <v/>
      </c>
      <c r="Y6" s="115" t="str">
        <f ca="1">'R4_G1'!Y6</f>
        <v/>
      </c>
      <c r="Z6" s="570">
        <f>'R4_G1'!Z6</f>
        <v>0</v>
      </c>
      <c r="AA6" s="571">
        <f>'R4_G1'!AA6</f>
        <v>0</v>
      </c>
      <c r="AB6" s="571">
        <f>'R4_G1'!AB6</f>
        <v>0</v>
      </c>
    </row>
    <row r="7" spans="1:28" ht="22.5" customHeight="1">
      <c r="A7" s="123">
        <f>'R4_G1'!A7</f>
        <v>0</v>
      </c>
      <c r="B7" s="572">
        <f>'R4_G1'!B7</f>
        <v>0</v>
      </c>
      <c r="C7" s="573">
        <f>'R4_G1'!C7</f>
        <v>0</v>
      </c>
      <c r="D7" s="573">
        <f>'R4_G1'!D7</f>
        <v>0</v>
      </c>
      <c r="E7" s="574">
        <f ca="1">'R4_G1'!E7</f>
        <v>0</v>
      </c>
      <c r="F7" s="574">
        <f ca="1">'R4_G1'!F7</f>
        <v>1</v>
      </c>
      <c r="G7" s="574">
        <f ca="1">'R4_G1'!G7</f>
        <v>0</v>
      </c>
      <c r="H7" s="574">
        <f ca="1">'R4_G1'!H7</f>
        <v>0</v>
      </c>
      <c r="I7" s="574">
        <f ca="1">'R4_G1'!I7</f>
        <v>1</v>
      </c>
      <c r="J7" s="574">
        <f ca="1">'R4_G1'!J7</f>
        <v>0</v>
      </c>
      <c r="K7" s="574">
        <f ca="1">'R4_G1'!K7</f>
        <v>1</v>
      </c>
      <c r="L7" s="574">
        <f ca="1">'R4_G1'!L7</f>
        <v>1</v>
      </c>
      <c r="M7" s="574">
        <f ca="1">'R4_G1'!M7</f>
        <v>0</v>
      </c>
      <c r="N7" s="575">
        <f>'R4_G1'!N7</f>
        <v>0</v>
      </c>
      <c r="O7" s="576">
        <f>'R4_G1'!O7</f>
        <v>0</v>
      </c>
      <c r="P7" s="260">
        <f>'R4_G1'!P7</f>
        <v>0</v>
      </c>
      <c r="Q7" s="574">
        <f ca="1">'R4_G1'!Q7</f>
        <v>0</v>
      </c>
      <c r="R7" s="574">
        <f ca="1">'R4_G1'!R7</f>
        <v>1</v>
      </c>
      <c r="S7" s="574">
        <f ca="1">'R4_G1'!S7</f>
        <v>1</v>
      </c>
      <c r="T7" s="574">
        <f ca="1">'R4_G1'!T7</f>
        <v>0</v>
      </c>
      <c r="U7" s="574">
        <f ca="1">'R4_G1'!U7</f>
        <v>0</v>
      </c>
      <c r="V7" s="574">
        <f ca="1">'R4_G1'!V7</f>
        <v>0</v>
      </c>
      <c r="W7" s="574">
        <f ca="1">'R4_G1'!W7</f>
        <v>1</v>
      </c>
      <c r="X7" s="574">
        <f ca="1">'R4_G1'!X7</f>
        <v>0</v>
      </c>
      <c r="Y7" s="574">
        <f ca="1">'R4_G1'!Y7</f>
        <v>0</v>
      </c>
      <c r="Z7" s="575">
        <f>'R4_G1'!Z7</f>
        <v>0</v>
      </c>
      <c r="AA7" s="575">
        <f>'R4_G1'!AA7</f>
        <v>0</v>
      </c>
      <c r="AB7" s="577">
        <f>'R4_G1'!AB7</f>
        <v>0</v>
      </c>
    </row>
    <row r="8" spans="1:28" ht="22.5" customHeight="1">
      <c r="A8" s="136" t="str">
        <f>'R4_G1'!A8</f>
        <v>Jensen</v>
      </c>
      <c r="B8" s="578" t="str">
        <f>'R4_G1'!B8</f>
        <v>WEEZ</v>
      </c>
      <c r="C8" s="579">
        <f ca="1">'R4_G1'!C8</f>
        <v>7</v>
      </c>
      <c r="D8" s="579">
        <f ca="1">'R4_G1'!D8</f>
        <v>7</v>
      </c>
      <c r="E8" s="580">
        <f>'R4_G1'!E8</f>
        <v>5</v>
      </c>
      <c r="F8" s="580">
        <f>'R4_G1'!F8</f>
        <v>3</v>
      </c>
      <c r="G8" s="580">
        <f>'R4_G1'!G8</f>
        <v>6</v>
      </c>
      <c r="H8" s="580">
        <f>'R4_G1'!H8</f>
        <v>3</v>
      </c>
      <c r="I8" s="580">
        <f>'R4_G1'!I8</f>
        <v>3</v>
      </c>
      <c r="J8" s="580">
        <f>'R4_G1'!J8</f>
        <v>5</v>
      </c>
      <c r="K8" s="580">
        <f>'R4_G1'!K8</f>
        <v>3</v>
      </c>
      <c r="L8" s="580">
        <f>'R4_G1'!L8</f>
        <v>6</v>
      </c>
      <c r="M8" s="580">
        <f>'R4_G1'!M8</f>
        <v>3</v>
      </c>
      <c r="N8" s="581">
        <f>'R4_G1'!N8</f>
        <v>37</v>
      </c>
      <c r="O8" s="582">
        <f>'R4_G1'!O8</f>
        <v>0</v>
      </c>
      <c r="P8" s="583" t="str">
        <f>'R4_G1'!P8</f>
        <v>Jensen</v>
      </c>
      <c r="Q8" s="580">
        <f>'R4_G1'!Q8</f>
        <v>3</v>
      </c>
      <c r="R8" s="580">
        <f>'R4_G1'!R8</f>
        <v>5</v>
      </c>
      <c r="S8" s="580">
        <f>'R4_G1'!S8</f>
        <v>4</v>
      </c>
      <c r="T8" s="580">
        <f>'R4_G1'!T8</f>
        <v>4</v>
      </c>
      <c r="U8" s="580">
        <f>'R4_G1'!U8</f>
        <v>4</v>
      </c>
      <c r="V8" s="580">
        <f>'R4_G1'!V8</f>
        <v>5</v>
      </c>
      <c r="W8" s="580">
        <f>'R4_G1'!W8</f>
        <v>4</v>
      </c>
      <c r="X8" s="580">
        <f>'R4_G1'!X8</f>
        <v>3</v>
      </c>
      <c r="Y8" s="580">
        <f>'R4_G1'!Y8</f>
        <v>7</v>
      </c>
      <c r="Z8" s="581">
        <f>'R4_G1'!Z8</f>
        <v>39</v>
      </c>
      <c r="AA8" s="581">
        <f>'R4_G1'!AA8</f>
        <v>76</v>
      </c>
      <c r="AB8" s="584">
        <f ca="1">'R4_G1'!AB8</f>
        <v>69</v>
      </c>
    </row>
    <row r="9" spans="1:28" ht="7.5" customHeight="1">
      <c r="A9" s="299"/>
      <c r="B9" s="585"/>
      <c r="C9" s="586">
        <f>'R4_G1'!C9</f>
        <v>0</v>
      </c>
      <c r="D9" s="587">
        <f>'R4_G1'!D9</f>
        <v>0</v>
      </c>
      <c r="E9" s="588" t="str">
        <f ca="1">'R4_G1'!E9</f>
        <v>O</v>
      </c>
      <c r="F9" s="588" t="str">
        <f ca="1">'R4_G1'!F9</f>
        <v>O</v>
      </c>
      <c r="G9" s="588" t="str">
        <f ca="1">'R4_G1'!G9</f>
        <v>O</v>
      </c>
      <c r="H9" s="588" t="str">
        <f ca="1">'R4_G1'!H9</f>
        <v>O</v>
      </c>
      <c r="I9" s="588" t="str">
        <f ca="1">'R4_G1'!I9</f>
        <v>O</v>
      </c>
      <c r="J9" s="588" t="str">
        <f ca="1">'R4_G1'!J9</f>
        <v/>
      </c>
      <c r="K9" s="588" t="str">
        <f ca="1">'R4_G1'!K9</f>
        <v>O</v>
      </c>
      <c r="L9" s="588" t="str">
        <f ca="1">'R4_G1'!L9</f>
        <v>O</v>
      </c>
      <c r="M9" s="588" t="str">
        <f ca="1">'R4_G1'!M9</f>
        <v>O</v>
      </c>
      <c r="N9" s="589">
        <f>'R4_G1'!N9</f>
        <v>0</v>
      </c>
      <c r="O9" s="590">
        <f>'R4_G1'!O9</f>
        <v>0</v>
      </c>
      <c r="P9" s="591">
        <f>'R4_G1'!P9</f>
        <v>0</v>
      </c>
      <c r="Q9" s="588" t="str">
        <f ca="1">'R4_G1'!Q9</f>
        <v/>
      </c>
      <c r="R9" s="588" t="str">
        <f ca="1">'R4_G1'!R9</f>
        <v>O</v>
      </c>
      <c r="S9" s="588" t="str">
        <f ca="1">'R4_G1'!S9</f>
        <v>O</v>
      </c>
      <c r="T9" s="588" t="str">
        <f ca="1">'R4_G1'!T9</f>
        <v>O</v>
      </c>
      <c r="U9" s="588" t="str">
        <f ca="1">'R4_G1'!U9</f>
        <v/>
      </c>
      <c r="V9" s="588" t="str">
        <f ca="1">'R4_G1'!V9</f>
        <v>O</v>
      </c>
      <c r="W9" s="588" t="str">
        <f ca="1">'R4_G1'!W9</f>
        <v>O</v>
      </c>
      <c r="X9" s="588" t="str">
        <f ca="1">'R4_G1'!X9</f>
        <v>O</v>
      </c>
      <c r="Y9" s="588" t="str">
        <f ca="1">'R4_G1'!Y9</f>
        <v>O</v>
      </c>
      <c r="Z9" s="589">
        <f>'R4_G1'!Z9</f>
        <v>0</v>
      </c>
      <c r="AA9" s="592">
        <f>'R4_G1'!AA9</f>
        <v>0</v>
      </c>
      <c r="AB9" s="593">
        <f>'R4_G1'!AB9</f>
        <v>0</v>
      </c>
    </row>
    <row r="10" spans="1:28" ht="22.5" customHeight="1">
      <c r="A10" s="171">
        <f>'R4_G1'!A10</f>
        <v>0</v>
      </c>
      <c r="B10" s="255">
        <f>'R4_G1'!B10</f>
        <v>0</v>
      </c>
      <c r="C10" s="594">
        <f>'R4_G1'!C10</f>
        <v>0</v>
      </c>
      <c r="D10" s="594">
        <f>'R4_G1'!D10</f>
        <v>0</v>
      </c>
      <c r="E10" s="176">
        <f ca="1">'R4_G1'!E10</f>
        <v>1</v>
      </c>
      <c r="F10" s="176">
        <f ca="1">'R4_G1'!F10</f>
        <v>1</v>
      </c>
      <c r="G10" s="176">
        <f ca="1">'R4_G1'!G10</f>
        <v>1</v>
      </c>
      <c r="H10" s="176">
        <f ca="1">'R4_G1'!H10</f>
        <v>1</v>
      </c>
      <c r="I10" s="176">
        <f ca="1">'R4_G1'!I10</f>
        <v>1</v>
      </c>
      <c r="J10" s="176">
        <f ca="1">'R4_G1'!J10</f>
        <v>0</v>
      </c>
      <c r="K10" s="176">
        <f ca="1">'R4_G1'!K10</f>
        <v>1</v>
      </c>
      <c r="L10" s="176">
        <f ca="1">'R4_G1'!L10</f>
        <v>1</v>
      </c>
      <c r="M10" s="176">
        <f ca="1">'R4_G1'!M10</f>
        <v>1</v>
      </c>
      <c r="N10" s="575">
        <f>'R4_G1'!N10</f>
        <v>0</v>
      </c>
      <c r="O10" s="576">
        <f>'R4_G1'!O10</f>
        <v>0</v>
      </c>
      <c r="P10" s="595">
        <f>'R4_G1'!P10</f>
        <v>0</v>
      </c>
      <c r="Q10" s="176">
        <f ca="1">'R4_G1'!Q10</f>
        <v>0</v>
      </c>
      <c r="R10" s="176">
        <f ca="1">'R4_G1'!R10</f>
        <v>1</v>
      </c>
      <c r="S10" s="176">
        <f ca="1">'R4_G1'!S10</f>
        <v>1</v>
      </c>
      <c r="T10" s="176">
        <f ca="1">'R4_G1'!T10</f>
        <v>1</v>
      </c>
      <c r="U10" s="176">
        <f ca="1">'R4_G1'!U10</f>
        <v>0</v>
      </c>
      <c r="V10" s="176">
        <f ca="1">'R4_G1'!V10</f>
        <v>1</v>
      </c>
      <c r="W10" s="176">
        <f ca="1">'R4_G1'!W10</f>
        <v>1</v>
      </c>
      <c r="X10" s="176">
        <f ca="1">'R4_G1'!X10</f>
        <v>1</v>
      </c>
      <c r="Y10" s="176">
        <f ca="1">'R4_G1'!Y10</f>
        <v>1</v>
      </c>
      <c r="Z10" s="575">
        <f>'R4_G1'!Z10</f>
        <v>0</v>
      </c>
      <c r="AA10" s="575">
        <f>'R4_G1'!AA10</f>
        <v>0</v>
      </c>
      <c r="AB10" s="577">
        <f>'R4_G1'!AB10</f>
        <v>0</v>
      </c>
    </row>
    <row r="11" spans="1:28" ht="22.5" customHeight="1">
      <c r="A11" s="181" t="str">
        <f>'R4_G1'!A11</f>
        <v>Joe O</v>
      </c>
      <c r="B11" s="257" t="str">
        <f>'R4_G1'!B11</f>
        <v>WEEZ</v>
      </c>
      <c r="C11" s="596">
        <f ca="1">'R4_G1'!C11</f>
        <v>15</v>
      </c>
      <c r="D11" s="596">
        <f ca="1">'R4_G1'!D11</f>
        <v>15</v>
      </c>
      <c r="E11" s="186">
        <f>'R4_G1'!E11</f>
        <v>5</v>
      </c>
      <c r="F11" s="186">
        <f>'R4_G1'!F11</f>
        <v>5</v>
      </c>
      <c r="G11" s="186">
        <f>'R4_G1'!G11</f>
        <v>7</v>
      </c>
      <c r="H11" s="186">
        <f>'R4_G1'!H11</f>
        <v>4</v>
      </c>
      <c r="I11" s="186">
        <f>'R4_G1'!I11</f>
        <v>4</v>
      </c>
      <c r="J11" s="186">
        <f>'R4_G1'!J11</f>
        <v>6</v>
      </c>
      <c r="K11" s="186">
        <f>'R4_G1'!K11</f>
        <v>5</v>
      </c>
      <c r="L11" s="186">
        <f>'R4_G1'!L11</f>
        <v>4</v>
      </c>
      <c r="M11" s="186">
        <f>'R4_G1'!M11</f>
        <v>3</v>
      </c>
      <c r="N11" s="581">
        <f>'R4_G1'!N11</f>
        <v>43</v>
      </c>
      <c r="O11" s="582">
        <f>'R4_G1'!O11</f>
        <v>0</v>
      </c>
      <c r="P11" s="191" t="str">
        <f>'R4_G1'!P11</f>
        <v>Joe O</v>
      </c>
      <c r="Q11" s="186">
        <f>'R4_G1'!Q11</f>
        <v>7</v>
      </c>
      <c r="R11" s="186">
        <f>'R4_G1'!R11</f>
        <v>6</v>
      </c>
      <c r="S11" s="186">
        <f>'R4_G1'!S11</f>
        <v>6</v>
      </c>
      <c r="T11" s="186">
        <f>'R4_G1'!T11</f>
        <v>7</v>
      </c>
      <c r="U11" s="186">
        <f>'R4_G1'!U11</f>
        <v>8</v>
      </c>
      <c r="V11" s="186">
        <f>'R4_G1'!V11</f>
        <v>10</v>
      </c>
      <c r="W11" s="186">
        <f>'R4_G1'!W11</f>
        <v>6</v>
      </c>
      <c r="X11" s="186">
        <f>'R4_G1'!X11</f>
        <v>5</v>
      </c>
      <c r="Y11" s="186">
        <f>'R4_G1'!Y11</f>
        <v>5</v>
      </c>
      <c r="Z11" s="581">
        <f>'R4_G1'!Z11</f>
        <v>60</v>
      </c>
      <c r="AA11" s="581">
        <f>'R4_G1'!AA11</f>
        <v>103</v>
      </c>
      <c r="AB11" s="584">
        <f ca="1">'R4_G1'!AB11</f>
        <v>88</v>
      </c>
    </row>
    <row r="12" spans="1:28" ht="7.5" customHeight="1">
      <c r="A12" s="245"/>
      <c r="B12" s="259"/>
      <c r="C12" s="597">
        <f>'R4_G1'!C12</f>
        <v>0</v>
      </c>
      <c r="D12" s="598">
        <f>'R4_G1'!D12</f>
        <v>0</v>
      </c>
      <c r="E12" s="599" t="str">
        <f ca="1">'R4_G1'!E12</f>
        <v/>
      </c>
      <c r="F12" s="599" t="str">
        <f ca="1">'R4_G1'!F12</f>
        <v>O</v>
      </c>
      <c r="G12" s="599" t="str">
        <f ca="1">'R4_G1'!G12</f>
        <v/>
      </c>
      <c r="H12" s="599" t="str">
        <f ca="1">'R4_G1'!H12</f>
        <v/>
      </c>
      <c r="I12" s="599" t="str">
        <f ca="1">'R4_G1'!I12</f>
        <v>O</v>
      </c>
      <c r="J12" s="599" t="str">
        <f ca="1">'R4_G1'!J12</f>
        <v/>
      </c>
      <c r="K12" s="599" t="str">
        <f ca="1">'R4_G1'!K12</f>
        <v>O</v>
      </c>
      <c r="L12" s="599" t="str">
        <f ca="1">'R4_G1'!L12</f>
        <v/>
      </c>
      <c r="M12" s="599" t="str">
        <f ca="1">'R4_G1'!M12</f>
        <v/>
      </c>
      <c r="N12" s="600">
        <f>'R4_G1'!N12</f>
        <v>0</v>
      </c>
      <c r="O12" s="601">
        <f>'R4_G1'!O12</f>
        <v>0</v>
      </c>
      <c r="P12" s="147">
        <f>'R4_G1'!P12</f>
        <v>0</v>
      </c>
      <c r="Q12" s="599" t="str">
        <f ca="1">'R4_G1'!Q12</f>
        <v/>
      </c>
      <c r="R12" s="599" t="str">
        <f ca="1">'R4_G1'!R12</f>
        <v>O</v>
      </c>
      <c r="S12" s="599" t="str">
        <f ca="1">'R4_G1'!S12</f>
        <v/>
      </c>
      <c r="T12" s="599" t="str">
        <f ca="1">'R4_G1'!T12</f>
        <v/>
      </c>
      <c r="U12" s="599" t="str">
        <f ca="1">'R4_G1'!U12</f>
        <v/>
      </c>
      <c r="V12" s="599" t="str">
        <f ca="1">'R4_G1'!V12</f>
        <v/>
      </c>
      <c r="W12" s="599" t="str">
        <f ca="1">'R4_G1'!W12</f>
        <v>O</v>
      </c>
      <c r="X12" s="599" t="str">
        <f ca="1">'R4_G1'!X12</f>
        <v/>
      </c>
      <c r="Y12" s="599" t="str">
        <f ca="1">'R4_G1'!Y12</f>
        <v/>
      </c>
      <c r="Z12" s="589">
        <f>'R4_G1'!Z12</f>
        <v>0</v>
      </c>
      <c r="AA12" s="592">
        <f>'R4_G1'!AA12</f>
        <v>0</v>
      </c>
      <c r="AB12" s="602">
        <f>'R4_G1'!AB12</f>
        <v>0</v>
      </c>
    </row>
    <row r="13" spans="1:28" ht="22.5" customHeight="1">
      <c r="A13" s="123">
        <f>'R4_G1'!A13</f>
        <v>0</v>
      </c>
      <c r="B13" s="572">
        <f>'R4_G1'!B13</f>
        <v>0</v>
      </c>
      <c r="C13" s="573">
        <f>'R4_G1'!C13</f>
        <v>0</v>
      </c>
      <c r="D13" s="573">
        <f>'R4_G1'!D13</f>
        <v>0</v>
      </c>
      <c r="E13" s="574">
        <f ca="1">'R4_G1'!E13</f>
        <v>0</v>
      </c>
      <c r="F13" s="574">
        <f ca="1">'R4_G1'!F13</f>
        <v>1</v>
      </c>
      <c r="G13" s="574">
        <f ca="1">'R4_G1'!G13</f>
        <v>0</v>
      </c>
      <c r="H13" s="574">
        <f ca="1">'R4_G1'!H13</f>
        <v>0</v>
      </c>
      <c r="I13" s="574">
        <f ca="1">'R4_G1'!I13</f>
        <v>1</v>
      </c>
      <c r="J13" s="574">
        <f ca="1">'R4_G1'!J13</f>
        <v>0</v>
      </c>
      <c r="K13" s="574">
        <f ca="1">'R4_G1'!K13</f>
        <v>1</v>
      </c>
      <c r="L13" s="574">
        <f ca="1">'R4_G1'!L13</f>
        <v>0</v>
      </c>
      <c r="M13" s="574">
        <f ca="1">'R4_G1'!M13</f>
        <v>0</v>
      </c>
      <c r="N13" s="575">
        <f>'R4_G1'!N13</f>
        <v>0</v>
      </c>
      <c r="O13" s="576">
        <f>'R4_G1'!O13</f>
        <v>0</v>
      </c>
      <c r="P13" s="260">
        <f>'R4_G1'!P13</f>
        <v>0</v>
      </c>
      <c r="Q13" s="574">
        <f ca="1">'R4_G1'!Q13</f>
        <v>0</v>
      </c>
      <c r="R13" s="574">
        <f ca="1">'R4_G1'!R13</f>
        <v>1</v>
      </c>
      <c r="S13" s="574">
        <f ca="1">'R4_G1'!S13</f>
        <v>0</v>
      </c>
      <c r="T13" s="574">
        <f ca="1">'R4_G1'!T13</f>
        <v>0</v>
      </c>
      <c r="U13" s="574">
        <f ca="1">'R4_G1'!U13</f>
        <v>0</v>
      </c>
      <c r="V13" s="574">
        <f ca="1">'R4_G1'!V13</f>
        <v>0</v>
      </c>
      <c r="W13" s="574">
        <f ca="1">'R4_G1'!W13</f>
        <v>1</v>
      </c>
      <c r="X13" s="574">
        <f ca="1">'R4_G1'!X13</f>
        <v>0</v>
      </c>
      <c r="Y13" s="574">
        <f ca="1">'R4_G1'!Y13</f>
        <v>0</v>
      </c>
      <c r="Z13" s="575">
        <f>'R4_G1'!Z13</f>
        <v>0</v>
      </c>
      <c r="AA13" s="575">
        <f>'R4_G1'!AA13</f>
        <v>0</v>
      </c>
      <c r="AB13" s="577">
        <f>'R4_G1'!AB13</f>
        <v>0</v>
      </c>
    </row>
    <row r="14" spans="1:28" ht="22.5" customHeight="1">
      <c r="A14" s="136" t="str">
        <f>'R4_G1'!A14</f>
        <v>Elger</v>
      </c>
      <c r="B14" s="578" t="str">
        <f>'R4_G1'!B14</f>
        <v>WEEZ</v>
      </c>
      <c r="C14" s="579">
        <f ca="1">'R4_G1'!C14</f>
        <v>5</v>
      </c>
      <c r="D14" s="579">
        <f ca="1">'R4_G1'!D14</f>
        <v>5</v>
      </c>
      <c r="E14" s="580">
        <f>'R4_G1'!E14</f>
        <v>5</v>
      </c>
      <c r="F14" s="580">
        <f>'R4_G1'!F14</f>
        <v>6</v>
      </c>
      <c r="G14" s="580">
        <f>'R4_G1'!G14</f>
        <v>5</v>
      </c>
      <c r="H14" s="580">
        <f>'R4_G1'!H14</f>
        <v>4</v>
      </c>
      <c r="I14" s="580">
        <f>'R4_G1'!I14</f>
        <v>5</v>
      </c>
      <c r="J14" s="580">
        <f>'R4_G1'!J14</f>
        <v>5</v>
      </c>
      <c r="K14" s="580">
        <f>'R4_G1'!K14</f>
        <v>6</v>
      </c>
      <c r="L14" s="580">
        <f>'R4_G1'!L14</f>
        <v>6</v>
      </c>
      <c r="M14" s="580">
        <f>'R4_G1'!M14</f>
        <v>4</v>
      </c>
      <c r="N14" s="581">
        <f>'R4_G1'!N14</f>
        <v>46</v>
      </c>
      <c r="O14" s="582">
        <f>'R4_G1'!O14</f>
        <v>0</v>
      </c>
      <c r="P14" s="583" t="str">
        <f>'R4_G1'!P14</f>
        <v>Elger</v>
      </c>
      <c r="Q14" s="580">
        <f>'R4_G1'!Q14</f>
        <v>5</v>
      </c>
      <c r="R14" s="580">
        <f>'R4_G1'!R14</f>
        <v>5</v>
      </c>
      <c r="S14" s="580">
        <f>'R4_G1'!S14</f>
        <v>4</v>
      </c>
      <c r="T14" s="580">
        <f>'R4_G1'!T14</f>
        <v>4</v>
      </c>
      <c r="U14" s="580">
        <f>'R4_G1'!U14</f>
        <v>4</v>
      </c>
      <c r="V14" s="580">
        <f>'R4_G1'!V14</f>
        <v>6</v>
      </c>
      <c r="W14" s="580">
        <f>'R4_G1'!W14</f>
        <v>3</v>
      </c>
      <c r="X14" s="580">
        <f>'R4_G1'!X14</f>
        <v>3</v>
      </c>
      <c r="Y14" s="580">
        <f>'R4_G1'!Y14</f>
        <v>7</v>
      </c>
      <c r="Z14" s="581">
        <f>'R4_G1'!Z14</f>
        <v>41</v>
      </c>
      <c r="AA14" s="581">
        <f>'R4_G1'!AA14</f>
        <v>87</v>
      </c>
      <c r="AB14" s="584">
        <f ca="1">'R4_G1'!AB14</f>
        <v>82</v>
      </c>
    </row>
    <row r="15" spans="1:28" ht="7.5" customHeight="1">
      <c r="A15" s="159"/>
      <c r="B15" s="254"/>
      <c r="C15" s="603">
        <f>'R4_G1'!C15</f>
        <v>0</v>
      </c>
      <c r="D15" s="604">
        <f>'R4_G1'!D15</f>
        <v>0</v>
      </c>
      <c r="E15" s="164" t="str">
        <f ca="1">'R4_G1'!E15</f>
        <v>O</v>
      </c>
      <c r="F15" s="164" t="str">
        <f ca="1">'R4_G1'!F15</f>
        <v>O</v>
      </c>
      <c r="G15" s="164" t="str">
        <f ca="1">'R4_G1'!G15</f>
        <v>O</v>
      </c>
      <c r="H15" s="164" t="str">
        <f ca="1">'R4_G1'!H15</f>
        <v>O</v>
      </c>
      <c r="I15" s="164" t="str">
        <f ca="1">'R4_G1'!I15</f>
        <v>O</v>
      </c>
      <c r="J15" s="164" t="str">
        <f ca="1">'R4_G1'!J15</f>
        <v>O</v>
      </c>
      <c r="K15" s="164" t="str">
        <f ca="1">'R4_G1'!K15</f>
        <v>O</v>
      </c>
      <c r="L15" s="164" t="str">
        <f ca="1">'R4_G1'!L15</f>
        <v>O</v>
      </c>
      <c r="M15" s="164" t="str">
        <f ca="1">'R4_G1'!M15</f>
        <v>O</v>
      </c>
      <c r="N15" s="605">
        <f>'R4_G1'!N15</f>
        <v>0</v>
      </c>
      <c r="O15" s="606">
        <f>'R4_G1'!O15</f>
        <v>0</v>
      </c>
      <c r="P15" s="607">
        <f>'R4_G1'!P15</f>
        <v>0</v>
      </c>
      <c r="Q15" s="164" t="str">
        <f ca="1">'R4_G1'!Q15</f>
        <v>O</v>
      </c>
      <c r="R15" s="164" t="str">
        <f ca="1">'R4_G1'!R15</f>
        <v>O</v>
      </c>
      <c r="S15" s="164" t="str">
        <f ca="1">'R4_G1'!S15</f>
        <v>O</v>
      </c>
      <c r="T15" s="164" t="str">
        <f ca="1">'R4_G1'!T15</f>
        <v>O</v>
      </c>
      <c r="U15" s="164" t="str">
        <f ca="1">'R4_G1'!U15</f>
        <v>O</v>
      </c>
      <c r="V15" s="164" t="str">
        <f ca="1">'R4_G1'!V15</f>
        <v>O</v>
      </c>
      <c r="W15" s="164" t="str">
        <f ca="1">'R4_G1'!W15</f>
        <v>O</v>
      </c>
      <c r="X15" s="164" t="str">
        <f ca="1">'R4_G1'!X15</f>
        <v>O</v>
      </c>
      <c r="Y15" s="164" t="str">
        <f ca="1">'R4_G1'!Y15</f>
        <v>O</v>
      </c>
      <c r="Z15" s="605">
        <f>'R4_G1'!Z15</f>
        <v>0</v>
      </c>
      <c r="AA15" s="608">
        <f>'R4_G1'!AA15</f>
        <v>0</v>
      </c>
      <c r="AB15" s="602">
        <f>'R4_G1'!AB15</f>
        <v>0</v>
      </c>
    </row>
    <row r="16" spans="1:28" ht="22.5" customHeight="1">
      <c r="A16" s="171">
        <f>'R4_G1'!A16</f>
        <v>0</v>
      </c>
      <c r="B16" s="255">
        <f>'R4_G1'!B16</f>
        <v>0</v>
      </c>
      <c r="C16" s="594">
        <f>'R4_G1'!C16</f>
        <v>0</v>
      </c>
      <c r="D16" s="594">
        <f>'R4_G1'!D16</f>
        <v>0</v>
      </c>
      <c r="E16" s="176">
        <f ca="1">'R4_G1'!E16</f>
        <v>1</v>
      </c>
      <c r="F16" s="176">
        <f ca="1">'R4_G1'!F16</f>
        <v>1</v>
      </c>
      <c r="G16" s="176">
        <f ca="1">'R4_G1'!G16</f>
        <v>1</v>
      </c>
      <c r="H16" s="176">
        <f ca="1">'R4_G1'!H16</f>
        <v>1</v>
      </c>
      <c r="I16" s="176">
        <f ca="1">'R4_G1'!I16</f>
        <v>1</v>
      </c>
      <c r="J16" s="176">
        <f ca="1">'R4_G1'!J16</f>
        <v>1</v>
      </c>
      <c r="K16" s="176">
        <f ca="1">'R4_G1'!K16</f>
        <v>1</v>
      </c>
      <c r="L16" s="176">
        <f ca="1">'R4_G1'!L16</f>
        <v>1</v>
      </c>
      <c r="M16" s="176">
        <f ca="1">'R4_G1'!M16</f>
        <v>1</v>
      </c>
      <c r="N16" s="575">
        <f>'R4_G1'!N16</f>
        <v>0</v>
      </c>
      <c r="O16" s="576">
        <f>'R4_G1'!O16</f>
        <v>0</v>
      </c>
      <c r="P16" s="595">
        <f>'R4_G1'!P16</f>
        <v>0</v>
      </c>
      <c r="Q16" s="176">
        <f ca="1">'R4_G1'!Q16</f>
        <v>1</v>
      </c>
      <c r="R16" s="176">
        <f ca="1">'R4_G1'!R16</f>
        <v>1</v>
      </c>
      <c r="S16" s="176">
        <f ca="1">'R4_G1'!S16</f>
        <v>1</v>
      </c>
      <c r="T16" s="176">
        <f ca="1">'R4_G1'!T16</f>
        <v>1</v>
      </c>
      <c r="U16" s="176">
        <f ca="1">'R4_G1'!U16</f>
        <v>1</v>
      </c>
      <c r="V16" s="176">
        <f ca="1">'R4_G1'!V16</f>
        <v>1</v>
      </c>
      <c r="W16" s="176">
        <f ca="1">'R4_G1'!W16</f>
        <v>1</v>
      </c>
      <c r="X16" s="176">
        <f ca="1">'R4_G1'!X16</f>
        <v>1</v>
      </c>
      <c r="Y16" s="176">
        <f ca="1">'R4_G1'!Y16</f>
        <v>1</v>
      </c>
      <c r="Z16" s="575">
        <f>'R4_G1'!Z16</f>
        <v>0</v>
      </c>
      <c r="AA16" s="609">
        <f>'R4_G1'!AA16</f>
        <v>0</v>
      </c>
      <c r="AB16" s="577">
        <f>'R4_G1'!AB16</f>
        <v>0</v>
      </c>
    </row>
    <row r="17" spans="1:28" ht="22.5" customHeight="1">
      <c r="A17" s="191" t="str">
        <f>'R4_G1'!A17</f>
        <v>Weezy</v>
      </c>
      <c r="B17" s="257" t="str">
        <f>'R4_G1'!B17</f>
        <v>WEEZ</v>
      </c>
      <c r="C17" s="596">
        <f ca="1">'R4_G1'!C17</f>
        <v>18</v>
      </c>
      <c r="D17" s="596">
        <f ca="1">'R4_G1'!D17</f>
        <v>18</v>
      </c>
      <c r="E17" s="186">
        <f>'R4_G1'!E17</f>
        <v>5</v>
      </c>
      <c r="F17" s="186">
        <f>'R4_G1'!F17</f>
        <v>6</v>
      </c>
      <c r="G17" s="186">
        <f>'R4_G1'!G17</f>
        <v>7</v>
      </c>
      <c r="H17" s="186">
        <f>'R4_G1'!H17</f>
        <v>4</v>
      </c>
      <c r="I17" s="186">
        <f>'R4_G1'!I17</f>
        <v>6</v>
      </c>
      <c r="J17" s="186">
        <f>'R4_G1'!J17</f>
        <v>6</v>
      </c>
      <c r="K17" s="186">
        <f>'R4_G1'!K17</f>
        <v>6</v>
      </c>
      <c r="L17" s="186">
        <f>'R4_G1'!L17</f>
        <v>5</v>
      </c>
      <c r="M17" s="186">
        <f>'R4_G1'!M17</f>
        <v>4</v>
      </c>
      <c r="N17" s="581">
        <f>'R4_G1'!N17</f>
        <v>49</v>
      </c>
      <c r="O17" s="582">
        <f>'R4_G1'!O17</f>
        <v>0</v>
      </c>
      <c r="P17" s="191" t="str">
        <f>'R4_G1'!P17</f>
        <v>Weezy</v>
      </c>
      <c r="Q17" s="186">
        <f>'R4_G1'!Q17</f>
        <v>8</v>
      </c>
      <c r="R17" s="186">
        <f>'R4_G1'!R17</f>
        <v>5</v>
      </c>
      <c r="S17" s="186">
        <f>'R4_G1'!S17</f>
        <v>6</v>
      </c>
      <c r="T17" s="186">
        <f>'R4_G1'!T17</f>
        <v>2</v>
      </c>
      <c r="U17" s="186">
        <f>'R4_G1'!U17</f>
        <v>3</v>
      </c>
      <c r="V17" s="186">
        <f>'R4_G1'!V17</f>
        <v>6</v>
      </c>
      <c r="W17" s="186">
        <f>'R4_G1'!W17</f>
        <v>5</v>
      </c>
      <c r="X17" s="186">
        <f>'R4_G1'!X17</f>
        <v>3</v>
      </c>
      <c r="Y17" s="186">
        <f>'R4_G1'!Y17</f>
        <v>7</v>
      </c>
      <c r="Z17" s="581">
        <f>'R4_G1'!Z17</f>
        <v>45</v>
      </c>
      <c r="AA17" s="581">
        <f>'R4_G1'!AA17</f>
        <v>94</v>
      </c>
      <c r="AB17" s="584">
        <f ca="1">'R4_G1'!AB17</f>
        <v>76</v>
      </c>
    </row>
    <row r="18" spans="1:28" ht="7.5" customHeight="1">
      <c r="A18" s="112"/>
      <c r="B18" s="111"/>
      <c r="C18" s="115">
        <f>'R4_G3'!C6</f>
        <v>0</v>
      </c>
      <c r="D18" s="115">
        <f>'R4_G3'!D6</f>
        <v>0</v>
      </c>
      <c r="E18" s="115" t="str">
        <f ca="1">'R4_G3'!E6</f>
        <v/>
      </c>
      <c r="F18" s="115" t="str">
        <f ca="1">'R4_G3'!F6</f>
        <v>O</v>
      </c>
      <c r="G18" s="115" t="str">
        <f ca="1">'R4_G3'!G6</f>
        <v/>
      </c>
      <c r="H18" s="115" t="str">
        <f ca="1">'R4_G3'!H6</f>
        <v/>
      </c>
      <c r="I18" s="115" t="str">
        <f ca="1">'R4_G3'!I6</f>
        <v>O</v>
      </c>
      <c r="J18" s="115" t="str">
        <f ca="1">'R4_G3'!J6</f>
        <v/>
      </c>
      <c r="K18" s="115" t="str">
        <f ca="1">'R4_G3'!K6</f>
        <v>O</v>
      </c>
      <c r="L18" s="115" t="str">
        <f ca="1">'R4_G3'!L6</f>
        <v/>
      </c>
      <c r="M18" s="115" t="str">
        <f ca="1">'R4_G3'!M6</f>
        <v/>
      </c>
      <c r="N18" s="567">
        <f>'R4_G3'!N6</f>
        <v>0</v>
      </c>
      <c r="O18" s="568">
        <f>'R4_G3'!O6</f>
        <v>0</v>
      </c>
      <c r="P18" s="569">
        <f>'R4_G3'!P6</f>
        <v>0</v>
      </c>
      <c r="Q18" s="115" t="str">
        <f ca="1">'R4_G3'!Q6</f>
        <v/>
      </c>
      <c r="R18" s="115" t="str">
        <f ca="1">'R4_G3'!R6</f>
        <v>O</v>
      </c>
      <c r="S18" s="115" t="str">
        <f ca="1">'R4_G3'!S6</f>
        <v>O</v>
      </c>
      <c r="T18" s="115" t="str">
        <f ca="1">'R4_G3'!T6</f>
        <v/>
      </c>
      <c r="U18" s="115" t="str">
        <f ca="1">'R4_G3'!U6</f>
        <v/>
      </c>
      <c r="V18" s="115" t="str">
        <f ca="1">'R4_G3'!V6</f>
        <v/>
      </c>
      <c r="W18" s="115" t="str">
        <f ca="1">'R4_G3'!W6</f>
        <v>O</v>
      </c>
      <c r="X18" s="115" t="str">
        <f ca="1">'R4_G3'!X6</f>
        <v/>
      </c>
      <c r="Y18" s="115" t="str">
        <f ca="1">'R4_G3'!Y6</f>
        <v/>
      </c>
      <c r="Z18" s="570">
        <f>'R4_G3'!Z6</f>
        <v>0</v>
      </c>
      <c r="AA18" s="571">
        <f>'R4_G3'!AA6</f>
        <v>0</v>
      </c>
      <c r="AB18" s="571">
        <f>'R4_G3'!AB6</f>
        <v>0</v>
      </c>
    </row>
    <row r="19" spans="1:28" ht="22.5" customHeight="1">
      <c r="A19" s="123">
        <f>'R4_G2'!A7</f>
        <v>0</v>
      </c>
      <c r="B19" s="572">
        <f>'R4_G2'!B7</f>
        <v>0</v>
      </c>
      <c r="C19" s="573">
        <f>'R4_G3'!C7</f>
        <v>0</v>
      </c>
      <c r="D19" s="573">
        <f>'R4_G3'!D7</f>
        <v>0</v>
      </c>
      <c r="E19" s="574">
        <f ca="1">'R4_G3'!E7</f>
        <v>0</v>
      </c>
      <c r="F19" s="574">
        <f ca="1">'R4_G3'!F7</f>
        <v>1</v>
      </c>
      <c r="G19" s="574">
        <f ca="1">'R4_G3'!G7</f>
        <v>0</v>
      </c>
      <c r="H19" s="574">
        <f ca="1">'R4_G3'!H7</f>
        <v>0</v>
      </c>
      <c r="I19" s="574">
        <f ca="1">'R4_G3'!I7</f>
        <v>1</v>
      </c>
      <c r="J19" s="574">
        <f ca="1">'R4_G3'!J7</f>
        <v>0</v>
      </c>
      <c r="K19" s="574">
        <f ca="1">'R4_G3'!K7</f>
        <v>1</v>
      </c>
      <c r="L19" s="574">
        <f ca="1">'R4_G3'!L7</f>
        <v>0</v>
      </c>
      <c r="M19" s="574">
        <f ca="1">'R4_G3'!M7</f>
        <v>0</v>
      </c>
      <c r="N19" s="610">
        <f>'R4_G3'!N7</f>
        <v>0</v>
      </c>
      <c r="O19" s="576">
        <f>'R4_G3'!O7</f>
        <v>0</v>
      </c>
      <c r="P19" s="260">
        <f>'R4_G3'!P7</f>
        <v>0</v>
      </c>
      <c r="Q19" s="574">
        <f ca="1">'R4_G3'!Q7</f>
        <v>0</v>
      </c>
      <c r="R19" s="574">
        <f ca="1">'R4_G3'!R7</f>
        <v>1</v>
      </c>
      <c r="S19" s="574">
        <f ca="1">'R4_G3'!S7</f>
        <v>1</v>
      </c>
      <c r="T19" s="574">
        <f ca="1">'R4_G3'!T7</f>
        <v>0</v>
      </c>
      <c r="U19" s="574">
        <f ca="1">'R4_G3'!U7</f>
        <v>0</v>
      </c>
      <c r="V19" s="574">
        <f ca="1">'R4_G3'!V7</f>
        <v>0</v>
      </c>
      <c r="W19" s="574">
        <f ca="1">'R4_G3'!W7</f>
        <v>1</v>
      </c>
      <c r="X19" s="574">
        <f ca="1">'R4_G3'!X7</f>
        <v>0</v>
      </c>
      <c r="Y19" s="574">
        <f ca="1">'R4_G3'!Y7</f>
        <v>0</v>
      </c>
      <c r="Z19" s="610">
        <f>'R4_G3'!Z7</f>
        <v>0</v>
      </c>
      <c r="AA19" s="610">
        <f>'R4_G3'!AA7</f>
        <v>0</v>
      </c>
      <c r="AB19" s="577">
        <f>'R4_G3'!AB7</f>
        <v>0</v>
      </c>
    </row>
    <row r="20" spans="1:28" ht="22.5" customHeight="1">
      <c r="A20" s="136" t="str">
        <f>'R4_G3'!A$8</f>
        <v>Andy</v>
      </c>
      <c r="B20" s="578" t="str">
        <f>'R4_G3'!B$8</f>
        <v>WEEZ</v>
      </c>
      <c r="C20" s="579">
        <f ca="1">'R4_G3'!C8</f>
        <v>6</v>
      </c>
      <c r="D20" s="579">
        <f ca="1">'R4_G3'!D8</f>
        <v>6</v>
      </c>
      <c r="E20" s="580">
        <f>'R4_G3'!E8</f>
        <v>4</v>
      </c>
      <c r="F20" s="580">
        <f>'R4_G3'!F8</f>
        <v>5</v>
      </c>
      <c r="G20" s="580">
        <f>'R4_G3'!G8</f>
        <v>6</v>
      </c>
      <c r="H20" s="580">
        <f>'R4_G3'!H8</f>
        <v>3</v>
      </c>
      <c r="I20" s="580">
        <f>'R4_G3'!I8</f>
        <v>4</v>
      </c>
      <c r="J20" s="580">
        <f>'R4_G3'!J8</f>
        <v>4</v>
      </c>
      <c r="K20" s="580">
        <f>'R4_G3'!K8</f>
        <v>6</v>
      </c>
      <c r="L20" s="580">
        <f>'R4_G3'!L8</f>
        <v>7</v>
      </c>
      <c r="M20" s="580">
        <f>'R4_G3'!M8</f>
        <v>4</v>
      </c>
      <c r="N20" s="581">
        <f>'R4_G3'!N8</f>
        <v>43</v>
      </c>
      <c r="O20" s="582">
        <f>'R4_G3'!O8</f>
        <v>0</v>
      </c>
      <c r="P20" s="583" t="str">
        <f>'R4_G3'!P8</f>
        <v>Andy</v>
      </c>
      <c r="Q20" s="580">
        <f>'R4_G3'!Q8</f>
        <v>4</v>
      </c>
      <c r="R20" s="580">
        <f>'R4_G3'!R8</f>
        <v>4</v>
      </c>
      <c r="S20" s="580">
        <f>'R4_G3'!S8</f>
        <v>5</v>
      </c>
      <c r="T20" s="580">
        <f>'R4_G3'!T8</f>
        <v>2</v>
      </c>
      <c r="U20" s="580">
        <f>'R4_G3'!U8</f>
        <v>4</v>
      </c>
      <c r="V20" s="580">
        <f>'R4_G3'!V8</f>
        <v>5</v>
      </c>
      <c r="W20" s="580">
        <f>'R4_G3'!W8</f>
        <v>6</v>
      </c>
      <c r="X20" s="580">
        <f>'R4_G3'!X8</f>
        <v>4</v>
      </c>
      <c r="Y20" s="580">
        <f>'R4_G3'!Y8</f>
        <v>5</v>
      </c>
      <c r="Z20" s="581">
        <f>'R4_G3'!Z8</f>
        <v>39</v>
      </c>
      <c r="AA20" s="581">
        <f>'R4_G3'!AA8</f>
        <v>82</v>
      </c>
      <c r="AB20" s="584">
        <f ca="1">'R4_G3'!AB8</f>
        <v>76</v>
      </c>
    </row>
    <row r="21" spans="1:28" ht="7.5" customHeight="1">
      <c r="A21" s="299"/>
      <c r="B21" s="585"/>
      <c r="C21" s="586">
        <f>'R4_G3'!C9</f>
        <v>0</v>
      </c>
      <c r="D21" s="587">
        <f>'R4_G3'!D9</f>
        <v>0</v>
      </c>
      <c r="E21" s="588" t="str">
        <f ca="1">'R4_G3'!E9</f>
        <v>O</v>
      </c>
      <c r="F21" s="588" t="str">
        <f ca="1">'R4_G3'!F9</f>
        <v>O</v>
      </c>
      <c r="G21" s="588" t="str">
        <f ca="1">'R4_G3'!G9</f>
        <v>O</v>
      </c>
      <c r="H21" s="588" t="str">
        <f ca="1">'R4_G3'!H9</f>
        <v>O</v>
      </c>
      <c r="I21" s="588" t="str">
        <f ca="1">'R4_G3'!I9</f>
        <v>O</v>
      </c>
      <c r="J21" s="588" t="str">
        <f ca="1">'R4_G3'!J9</f>
        <v>O</v>
      </c>
      <c r="K21" s="588" t="str">
        <f ca="1">'R4_G3'!K9</f>
        <v>O</v>
      </c>
      <c r="L21" s="588" t="str">
        <f ca="1">'R4_G3'!L9</f>
        <v>O</v>
      </c>
      <c r="M21" s="588" t="str">
        <f ca="1">'R4_G3'!M9</f>
        <v>O</v>
      </c>
      <c r="N21" s="589">
        <f>'R4_G3'!N9</f>
        <v>0</v>
      </c>
      <c r="O21" s="590">
        <f>'R4_G3'!O9</f>
        <v>0</v>
      </c>
      <c r="P21" s="591">
        <f>'R4_G3'!P9</f>
        <v>0</v>
      </c>
      <c r="Q21" s="588" t="str">
        <f ca="1">'R4_G3'!Q9</f>
        <v>O</v>
      </c>
      <c r="R21" s="588" t="str">
        <f ca="1">'R4_G3'!R9</f>
        <v>O</v>
      </c>
      <c r="S21" s="588" t="str">
        <f ca="1">'R4_G3'!S9</f>
        <v>O</v>
      </c>
      <c r="T21" s="588" t="str">
        <f ca="1">'R4_G3'!T9</f>
        <v>O</v>
      </c>
      <c r="U21" s="588" t="str">
        <f ca="1">'R4_G3'!U9</f>
        <v>O</v>
      </c>
      <c r="V21" s="588" t="str">
        <f ca="1">'R4_G3'!V9</f>
        <v>O</v>
      </c>
      <c r="W21" s="588" t="str">
        <f ca="1">'R4_G3'!W9</f>
        <v>O</v>
      </c>
      <c r="X21" s="588" t="str">
        <f ca="1">'R4_G3'!X9</f>
        <v>O</v>
      </c>
      <c r="Y21" s="588" t="str">
        <f ca="1">'R4_G3'!Y9</f>
        <v>O</v>
      </c>
      <c r="Z21" s="589">
        <f>'R4_G3'!Z9</f>
        <v>0</v>
      </c>
      <c r="AA21" s="592">
        <f>'R4_G3'!AA9</f>
        <v>0</v>
      </c>
      <c r="AB21" s="593">
        <f>'R4_G3'!AB9</f>
        <v>0</v>
      </c>
    </row>
    <row r="22" spans="1:28" ht="22.5" customHeight="1">
      <c r="A22" s="171"/>
      <c r="B22" s="255"/>
      <c r="C22" s="594">
        <f>'R4_G3'!C10</f>
        <v>0</v>
      </c>
      <c r="D22" s="594">
        <f>'R4_G3'!D10</f>
        <v>0</v>
      </c>
      <c r="E22" s="176">
        <f ca="1">'R4_G3'!E10</f>
        <v>1</v>
      </c>
      <c r="F22" s="176">
        <f ca="1">'R4_G3'!F10</f>
        <v>1</v>
      </c>
      <c r="G22" s="176">
        <f ca="1">'R4_G3'!G10</f>
        <v>1</v>
      </c>
      <c r="H22" s="176">
        <f ca="1">'R4_G3'!H10</f>
        <v>1</v>
      </c>
      <c r="I22" s="176">
        <f ca="1">'R4_G3'!I10</f>
        <v>1</v>
      </c>
      <c r="J22" s="176">
        <f ca="1">'R4_G3'!J10</f>
        <v>1</v>
      </c>
      <c r="K22" s="176">
        <f ca="1">'R4_G3'!K10</f>
        <v>1</v>
      </c>
      <c r="L22" s="176">
        <f ca="1">'R4_G3'!L10</f>
        <v>1</v>
      </c>
      <c r="M22" s="176">
        <f ca="1">'R4_G3'!M10</f>
        <v>1</v>
      </c>
      <c r="N22" s="610">
        <f>'R4_G3'!N10</f>
        <v>0</v>
      </c>
      <c r="O22" s="576">
        <f>'R4_G3'!O10</f>
        <v>0</v>
      </c>
      <c r="P22" s="595">
        <f>'R4_G3'!P10</f>
        <v>0</v>
      </c>
      <c r="Q22" s="176">
        <f ca="1">'R4_G3'!Q10</f>
        <v>1</v>
      </c>
      <c r="R22" s="176">
        <f ca="1">'R4_G3'!R10</f>
        <v>1</v>
      </c>
      <c r="S22" s="176">
        <f ca="1">'R4_G3'!S10</f>
        <v>1</v>
      </c>
      <c r="T22" s="176">
        <f ca="1">'R4_G3'!T10</f>
        <v>1</v>
      </c>
      <c r="U22" s="176">
        <f ca="1">'R4_G3'!U10</f>
        <v>1</v>
      </c>
      <c r="V22" s="176">
        <f ca="1">'R4_G3'!V10</f>
        <v>1</v>
      </c>
      <c r="W22" s="176">
        <f ca="1">'R4_G3'!W10</f>
        <v>1</v>
      </c>
      <c r="X22" s="176">
        <f ca="1">'R4_G3'!X10</f>
        <v>1</v>
      </c>
      <c r="Y22" s="176">
        <f ca="1">'R4_G3'!Y10</f>
        <v>1</v>
      </c>
      <c r="Z22" s="610">
        <f>'R4_G3'!Z10</f>
        <v>0</v>
      </c>
      <c r="AA22" s="610">
        <f>'R4_G3'!AA10</f>
        <v>0</v>
      </c>
      <c r="AB22" s="577">
        <f>'R4_G3'!AB10</f>
        <v>0</v>
      </c>
    </row>
    <row r="23" spans="1:28" ht="22.5" customHeight="1">
      <c r="A23" s="181" t="str">
        <f>'R4_G3'!A$11</f>
        <v>Hile</v>
      </c>
      <c r="B23" s="257" t="str">
        <f>'R4_G3'!B$11</f>
        <v>WEEZ</v>
      </c>
      <c r="C23" s="596">
        <f ca="1">'R4_G3'!C11</f>
        <v>18</v>
      </c>
      <c r="D23" s="596">
        <f ca="1">'R4_G3'!D11</f>
        <v>18</v>
      </c>
      <c r="E23" s="186">
        <f>'R4_G3'!E11</f>
        <v>5</v>
      </c>
      <c r="F23" s="186">
        <f>'R4_G3'!F11</f>
        <v>5</v>
      </c>
      <c r="G23" s="186">
        <f>'R4_G3'!G11</f>
        <v>7</v>
      </c>
      <c r="H23" s="186">
        <f>'R4_G3'!H11</f>
        <v>5</v>
      </c>
      <c r="I23" s="186">
        <f>'R4_G3'!I11</f>
        <v>6</v>
      </c>
      <c r="J23" s="186">
        <f>'R4_G3'!J11</f>
        <v>6</v>
      </c>
      <c r="K23" s="186">
        <f>'R4_G3'!K11</f>
        <v>6</v>
      </c>
      <c r="L23" s="186">
        <f>'R4_G3'!L11</f>
        <v>6</v>
      </c>
      <c r="M23" s="186">
        <f>'R4_G3'!M11</f>
        <v>5</v>
      </c>
      <c r="N23" s="581">
        <f>'R4_G3'!N11</f>
        <v>51</v>
      </c>
      <c r="O23" s="582">
        <f>'R4_G3'!O11</f>
        <v>0</v>
      </c>
      <c r="P23" s="191" t="str">
        <f>'R4_G3'!P11</f>
        <v>Hile</v>
      </c>
      <c r="Q23" s="186">
        <f>'R4_G3'!Q11</f>
        <v>7</v>
      </c>
      <c r="R23" s="186">
        <f>'R4_G3'!R11</f>
        <v>6</v>
      </c>
      <c r="S23" s="186">
        <f>'R4_G3'!S11</f>
        <v>4</v>
      </c>
      <c r="T23" s="186">
        <f>'R4_G3'!T11</f>
        <v>4</v>
      </c>
      <c r="U23" s="186">
        <f>'R4_G3'!U11</f>
        <v>5</v>
      </c>
      <c r="V23" s="186">
        <f>'R4_G3'!V11</f>
        <v>8</v>
      </c>
      <c r="W23" s="186">
        <f>'R4_G3'!W11</f>
        <v>5</v>
      </c>
      <c r="X23" s="186">
        <f>'R4_G3'!X11</f>
        <v>4</v>
      </c>
      <c r="Y23" s="186">
        <f>'R4_G3'!Y11</f>
        <v>5</v>
      </c>
      <c r="Z23" s="581">
        <f>'R4_G3'!Z11</f>
        <v>48</v>
      </c>
      <c r="AA23" s="581">
        <f>'R4_G3'!AA11</f>
        <v>99</v>
      </c>
      <c r="AB23" s="584">
        <f ca="1">'R4_G3'!AB11</f>
        <v>81</v>
      </c>
    </row>
    <row r="24" spans="1:28" ht="7.5" customHeight="1">
      <c r="A24" s="245"/>
      <c r="B24" s="259"/>
      <c r="C24" s="597">
        <f>'R4_G3'!C12</f>
        <v>0</v>
      </c>
      <c r="D24" s="598">
        <f>'R4_G3'!D12</f>
        <v>0</v>
      </c>
      <c r="E24" s="599" t="str">
        <f ca="1">'R4_G3'!E12</f>
        <v/>
      </c>
      <c r="F24" s="599" t="str">
        <f ca="1">'R4_G3'!F12</f>
        <v>O</v>
      </c>
      <c r="G24" s="599" t="str">
        <f ca="1">'R4_G3'!G12</f>
        <v/>
      </c>
      <c r="H24" s="599" t="str">
        <f ca="1">'R4_G3'!H12</f>
        <v/>
      </c>
      <c r="I24" s="599" t="str">
        <f ca="1">'R4_G3'!I12</f>
        <v>O</v>
      </c>
      <c r="J24" s="599" t="str">
        <f ca="1">'R4_G3'!J12</f>
        <v/>
      </c>
      <c r="K24" s="599" t="str">
        <f ca="1">'R4_G3'!K12</f>
        <v>O</v>
      </c>
      <c r="L24" s="599" t="str">
        <f ca="1">'R4_G3'!L12</f>
        <v>O</v>
      </c>
      <c r="M24" s="599" t="str">
        <f ca="1">'R4_G3'!M12</f>
        <v>O</v>
      </c>
      <c r="N24" s="600">
        <f>'R4_G3'!N12</f>
        <v>0</v>
      </c>
      <c r="O24" s="601">
        <f>'R4_G3'!O12</f>
        <v>0</v>
      </c>
      <c r="P24" s="147">
        <f>'R4_G3'!P12</f>
        <v>0</v>
      </c>
      <c r="Q24" s="599" t="str">
        <f ca="1">'R4_G3'!Q12</f>
        <v/>
      </c>
      <c r="R24" s="599" t="str">
        <f ca="1">'R4_G3'!R12</f>
        <v>O</v>
      </c>
      <c r="S24" s="599" t="str">
        <f ca="1">'R4_G3'!S12</f>
        <v>O</v>
      </c>
      <c r="T24" s="599" t="str">
        <f ca="1">'R4_G3'!T12</f>
        <v/>
      </c>
      <c r="U24" s="599" t="str">
        <f ca="1">'R4_G3'!U12</f>
        <v/>
      </c>
      <c r="V24" s="599" t="str">
        <f ca="1">'R4_G3'!V12</f>
        <v/>
      </c>
      <c r="W24" s="599" t="str">
        <f ca="1">'R4_G3'!W12</f>
        <v>O</v>
      </c>
      <c r="X24" s="599" t="str">
        <f ca="1">'R4_G3'!X12</f>
        <v>O</v>
      </c>
      <c r="Y24" s="599" t="str">
        <f ca="1">'R4_G3'!Y12</f>
        <v>O</v>
      </c>
      <c r="Z24" s="589">
        <f>'R4_G3'!Z12</f>
        <v>0</v>
      </c>
      <c r="AA24" s="592">
        <f>'R4_G3'!AA12</f>
        <v>0</v>
      </c>
      <c r="AB24" s="602">
        <f>'R4_G3'!AB12</f>
        <v>0</v>
      </c>
    </row>
    <row r="25" spans="1:28" ht="22.5" customHeight="1">
      <c r="A25" s="123"/>
      <c r="B25" s="572"/>
      <c r="C25" s="573">
        <f>'R4_G3'!C13</f>
        <v>0</v>
      </c>
      <c r="D25" s="573">
        <f>'R4_G3'!D13</f>
        <v>0</v>
      </c>
      <c r="E25" s="574">
        <f ca="1">'R4_G3'!E13</f>
        <v>0</v>
      </c>
      <c r="F25" s="574">
        <f ca="1">'R4_G3'!F13</f>
        <v>1</v>
      </c>
      <c r="G25" s="574">
        <f ca="1">'R4_G3'!G13</f>
        <v>0</v>
      </c>
      <c r="H25" s="574">
        <f ca="1">'R4_G3'!H13</f>
        <v>0</v>
      </c>
      <c r="I25" s="574">
        <f ca="1">'R4_G3'!I13</f>
        <v>1</v>
      </c>
      <c r="J25" s="574">
        <f ca="1">'R4_G3'!J13</f>
        <v>0</v>
      </c>
      <c r="K25" s="574">
        <f ca="1">'R4_G3'!K13</f>
        <v>1</v>
      </c>
      <c r="L25" s="574">
        <f ca="1">'R4_G3'!L13</f>
        <v>1</v>
      </c>
      <c r="M25" s="574">
        <f ca="1">'R4_G3'!M13</f>
        <v>1</v>
      </c>
      <c r="N25" s="610">
        <f>'R4_G3'!N13</f>
        <v>0</v>
      </c>
      <c r="O25" s="576">
        <f>'R4_G3'!O13</f>
        <v>0</v>
      </c>
      <c r="P25" s="260">
        <f>'R4_G3'!P13</f>
        <v>0</v>
      </c>
      <c r="Q25" s="574">
        <f ca="1">'R4_G3'!Q13</f>
        <v>0</v>
      </c>
      <c r="R25" s="574">
        <f ca="1">'R4_G3'!R13</f>
        <v>1</v>
      </c>
      <c r="S25" s="574">
        <f ca="1">'R4_G3'!S13</f>
        <v>1</v>
      </c>
      <c r="T25" s="574">
        <f ca="1">'R4_G3'!T13</f>
        <v>0</v>
      </c>
      <c r="U25" s="574">
        <f ca="1">'R4_G3'!U13</f>
        <v>0</v>
      </c>
      <c r="V25" s="574">
        <f ca="1">'R4_G3'!V13</f>
        <v>0</v>
      </c>
      <c r="W25" s="574">
        <f ca="1">'R4_G3'!W13</f>
        <v>1</v>
      </c>
      <c r="X25" s="574">
        <f ca="1">'R4_G3'!X13</f>
        <v>1</v>
      </c>
      <c r="Y25" s="574">
        <f ca="1">'R4_G3'!Y13</f>
        <v>1</v>
      </c>
      <c r="Z25" s="610">
        <f>'R4_G3'!Z13</f>
        <v>0</v>
      </c>
      <c r="AA25" s="610">
        <f>'R4_G3'!AA13</f>
        <v>0</v>
      </c>
      <c r="AB25" s="577">
        <f>'R4_G3'!AB13</f>
        <v>0</v>
      </c>
    </row>
    <row r="26" spans="1:28" ht="22.5" customHeight="1">
      <c r="A26" s="136" t="str">
        <f>'R4_G3'!A$14</f>
        <v>Pace</v>
      </c>
      <c r="B26" s="578" t="str">
        <f>'R4_G3'!B$14</f>
        <v>WEEZ</v>
      </c>
      <c r="C26" s="579">
        <f ca="1">'R4_G3'!C14</f>
        <v>10</v>
      </c>
      <c r="D26" s="579">
        <f ca="1">'R4_G3'!D14</f>
        <v>10</v>
      </c>
      <c r="E26" s="580">
        <f>'R4_G3'!E14</f>
        <v>5</v>
      </c>
      <c r="F26" s="580">
        <f>'R4_G3'!F14</f>
        <v>6</v>
      </c>
      <c r="G26" s="580">
        <f>'R4_G3'!G14</f>
        <v>8</v>
      </c>
      <c r="H26" s="580">
        <f>'R4_G3'!H14</f>
        <v>5</v>
      </c>
      <c r="I26" s="580">
        <f>'R4_G3'!I14</f>
        <v>4</v>
      </c>
      <c r="J26" s="580">
        <f>'R4_G3'!J14</f>
        <v>5</v>
      </c>
      <c r="K26" s="580">
        <f>'R4_G3'!K14</f>
        <v>5</v>
      </c>
      <c r="L26" s="580">
        <f>'R4_G3'!L14</f>
        <v>4</v>
      </c>
      <c r="M26" s="580">
        <f>'R4_G3'!M14</f>
        <v>3</v>
      </c>
      <c r="N26" s="581">
        <f>'R4_G3'!N14</f>
        <v>45</v>
      </c>
      <c r="O26" s="582">
        <f>'R4_G3'!O14</f>
        <v>0</v>
      </c>
      <c r="P26" s="583" t="str">
        <f>'R4_G3'!P14</f>
        <v>Pace</v>
      </c>
      <c r="Q26" s="580">
        <f>'R4_G3'!Q14</f>
        <v>7</v>
      </c>
      <c r="R26" s="580">
        <f>'R4_G3'!R14</f>
        <v>5</v>
      </c>
      <c r="S26" s="580">
        <f>'R4_G3'!S14</f>
        <v>6</v>
      </c>
      <c r="T26" s="580">
        <f>'R4_G3'!T14</f>
        <v>4</v>
      </c>
      <c r="U26" s="580">
        <f>'R4_G3'!U14</f>
        <v>5</v>
      </c>
      <c r="V26" s="580">
        <f>'R4_G3'!V14</f>
        <v>6</v>
      </c>
      <c r="W26" s="580">
        <f>'R4_G3'!W14</f>
        <v>5</v>
      </c>
      <c r="X26" s="580">
        <f>'R4_G3'!X14</f>
        <v>5</v>
      </c>
      <c r="Y26" s="580">
        <f>'R4_G3'!Y14</f>
        <v>4</v>
      </c>
      <c r="Z26" s="581">
        <f>'R4_G3'!Z14</f>
        <v>47</v>
      </c>
      <c r="AA26" s="581">
        <f>'R4_G3'!AA14</f>
        <v>92</v>
      </c>
      <c r="AB26" s="584">
        <f ca="1">'R4_G3'!AB14</f>
        <v>82</v>
      </c>
    </row>
    <row r="27" spans="1:28" ht="7.5" customHeight="1">
      <c r="A27" s="159"/>
      <c r="B27" s="254"/>
      <c r="C27" s="603">
        <f>'R4_G3'!C15</f>
        <v>0</v>
      </c>
      <c r="D27" s="604">
        <f>'R4_G3'!D15</f>
        <v>0</v>
      </c>
      <c r="E27" s="164" t="str">
        <f ca="1">'R4_G3'!E15</f>
        <v>O</v>
      </c>
      <c r="F27" s="164" t="str">
        <f ca="1">'R4_G3'!F15</f>
        <v>O</v>
      </c>
      <c r="G27" s="164" t="str">
        <f ca="1">'R4_G3'!G15</f>
        <v/>
      </c>
      <c r="H27" s="164" t="str">
        <f ca="1">'R4_G3'!H15</f>
        <v/>
      </c>
      <c r="I27" s="164" t="str">
        <f ca="1">'R4_G3'!I15</f>
        <v>O</v>
      </c>
      <c r="J27" s="164" t="str">
        <f ca="1">'R4_G3'!J15</f>
        <v/>
      </c>
      <c r="K27" s="164" t="str">
        <f ca="1">'R4_G3'!K15</f>
        <v>O</v>
      </c>
      <c r="L27" s="164" t="str">
        <f ca="1">'R4_G3'!L15</f>
        <v>O</v>
      </c>
      <c r="M27" s="164" t="str">
        <f ca="1">'R4_G3'!M15</f>
        <v>O</v>
      </c>
      <c r="N27" s="605">
        <f>'R4_G3'!N15</f>
        <v>0</v>
      </c>
      <c r="O27" s="606">
        <f>'R4_G3'!O15</f>
        <v>0</v>
      </c>
      <c r="P27" s="607">
        <f>'R4_G3'!P15</f>
        <v>0</v>
      </c>
      <c r="Q27" s="164" t="str">
        <f ca="1">'R4_G3'!Q15</f>
        <v/>
      </c>
      <c r="R27" s="164" t="str">
        <f ca="1">'R4_G3'!R15</f>
        <v>O</v>
      </c>
      <c r="S27" s="164" t="str">
        <f ca="1">'R4_G3'!S15</f>
        <v>O</v>
      </c>
      <c r="T27" s="164" t="str">
        <f ca="1">'R4_G3'!T15</f>
        <v/>
      </c>
      <c r="U27" s="164" t="str">
        <f ca="1">'R4_G3'!U15</f>
        <v/>
      </c>
      <c r="V27" s="164" t="str">
        <f ca="1">'R4_G3'!V15</f>
        <v/>
      </c>
      <c r="W27" s="164" t="str">
        <f ca="1">'R4_G3'!W15</f>
        <v>O</v>
      </c>
      <c r="X27" s="164" t="str">
        <f ca="1">'R4_G3'!X15</f>
        <v>O</v>
      </c>
      <c r="Y27" s="164" t="str">
        <f ca="1">'R4_G3'!Y15</f>
        <v>O</v>
      </c>
      <c r="Z27" s="605">
        <f>'R4_G3'!Z15</f>
        <v>0</v>
      </c>
      <c r="AA27" s="608">
        <f>'R4_G3'!AA15</f>
        <v>0</v>
      </c>
      <c r="AB27" s="602">
        <f>'R4_G3'!AB15</f>
        <v>0</v>
      </c>
    </row>
    <row r="28" spans="1:28" ht="22.5" customHeight="1">
      <c r="A28" s="171"/>
      <c r="B28" s="255"/>
      <c r="C28" s="594">
        <f>'R4_G3'!C16</f>
        <v>0</v>
      </c>
      <c r="D28" s="594">
        <f>'R4_G3'!D16</f>
        <v>0</v>
      </c>
      <c r="E28" s="176">
        <f ca="1">'R4_G3'!E16</f>
        <v>1</v>
      </c>
      <c r="F28" s="176">
        <f ca="1">'R4_G3'!F16</f>
        <v>1</v>
      </c>
      <c r="G28" s="176">
        <f ca="1">'R4_G3'!G16</f>
        <v>0</v>
      </c>
      <c r="H28" s="176">
        <f ca="1">'R4_G3'!H16</f>
        <v>0</v>
      </c>
      <c r="I28" s="176">
        <f ca="1">'R4_G3'!I16</f>
        <v>1</v>
      </c>
      <c r="J28" s="176">
        <f ca="1">'R4_G3'!J16</f>
        <v>0</v>
      </c>
      <c r="K28" s="176">
        <f ca="1">'R4_G3'!K16</f>
        <v>1</v>
      </c>
      <c r="L28" s="176">
        <f ca="1">'R4_G3'!L16</f>
        <v>1</v>
      </c>
      <c r="M28" s="176">
        <f ca="1">'R4_G3'!M16</f>
        <v>1</v>
      </c>
      <c r="N28" s="610">
        <f>'R4_G3'!N16</f>
        <v>0</v>
      </c>
      <c r="O28" s="576">
        <f>'R4_G3'!O16</f>
        <v>0</v>
      </c>
      <c r="P28" s="595">
        <f>'R4_G3'!P16</f>
        <v>0</v>
      </c>
      <c r="Q28" s="176">
        <f ca="1">'R4_G3'!Q16</f>
        <v>0</v>
      </c>
      <c r="R28" s="176">
        <f ca="1">'R4_G3'!R16</f>
        <v>1</v>
      </c>
      <c r="S28" s="176">
        <f ca="1">'R4_G3'!S16</f>
        <v>1</v>
      </c>
      <c r="T28" s="176">
        <f ca="1">'R4_G3'!T16</f>
        <v>0</v>
      </c>
      <c r="U28" s="176">
        <f ca="1">'R4_G3'!U16</f>
        <v>0</v>
      </c>
      <c r="V28" s="176">
        <f ca="1">'R4_G3'!V16</f>
        <v>0</v>
      </c>
      <c r="W28" s="176">
        <f ca="1">'R4_G3'!W16</f>
        <v>1</v>
      </c>
      <c r="X28" s="176">
        <f ca="1">'R4_G3'!X16</f>
        <v>1</v>
      </c>
      <c r="Y28" s="176">
        <f ca="1">'R4_G3'!Y16</f>
        <v>1</v>
      </c>
      <c r="Z28" s="610">
        <f>'R4_G3'!Z16</f>
        <v>0</v>
      </c>
      <c r="AA28" s="611">
        <f>'R4_G3'!AA16</f>
        <v>0</v>
      </c>
      <c r="AB28" s="577">
        <f>'R4_G3'!AB16</f>
        <v>0</v>
      </c>
    </row>
    <row r="29" spans="1:28" ht="22.5" customHeight="1">
      <c r="A29" s="191" t="str">
        <f>'R4_G3'!A$17</f>
        <v>T-Mo</v>
      </c>
      <c r="B29" s="257" t="str">
        <f>'R4_G3'!B$17</f>
        <v>WEEZ</v>
      </c>
      <c r="C29" s="596">
        <f ca="1">'R4_G3'!C17</f>
        <v>11</v>
      </c>
      <c r="D29" s="596">
        <f ca="1">'R4_G3'!D17</f>
        <v>11</v>
      </c>
      <c r="E29" s="186">
        <f>'R4_G3'!E17</f>
        <v>5</v>
      </c>
      <c r="F29" s="186">
        <f>'R4_G3'!F17</f>
        <v>6</v>
      </c>
      <c r="G29" s="186">
        <f>'R4_G3'!G17</f>
        <v>6</v>
      </c>
      <c r="H29" s="186">
        <f>'R4_G3'!H17</f>
        <v>4</v>
      </c>
      <c r="I29" s="186">
        <f>'R4_G3'!I17</f>
        <v>7</v>
      </c>
      <c r="J29" s="186">
        <f>'R4_G3'!J17</f>
        <v>5</v>
      </c>
      <c r="K29" s="186">
        <f>'R4_G3'!K17</f>
        <v>6</v>
      </c>
      <c r="L29" s="186">
        <f>'R4_G3'!L17</f>
        <v>6</v>
      </c>
      <c r="M29" s="186">
        <f>'R4_G3'!M17</f>
        <v>3</v>
      </c>
      <c r="N29" s="581">
        <f>'R4_G3'!N17</f>
        <v>48</v>
      </c>
      <c r="O29" s="582">
        <f>'R4_G3'!O17</f>
        <v>0</v>
      </c>
      <c r="P29" s="191" t="str">
        <f>'R4_G3'!P17</f>
        <v>T-Mo</v>
      </c>
      <c r="Q29" s="186">
        <f>'R4_G3'!Q17</f>
        <v>6</v>
      </c>
      <c r="R29" s="186">
        <f>'R4_G3'!R17</f>
        <v>6</v>
      </c>
      <c r="S29" s="186">
        <f>'R4_G3'!S17</f>
        <v>4</v>
      </c>
      <c r="T29" s="186">
        <f>'R4_G3'!T17</f>
        <v>3</v>
      </c>
      <c r="U29" s="186">
        <f>'R4_G3'!U17</f>
        <v>4</v>
      </c>
      <c r="V29" s="186">
        <f>'R4_G3'!V17</f>
        <v>6</v>
      </c>
      <c r="W29" s="186">
        <f>'R4_G3'!W17</f>
        <v>4</v>
      </c>
      <c r="X29" s="186">
        <f>'R4_G3'!X17</f>
        <v>4</v>
      </c>
      <c r="Y29" s="186">
        <f>'R4_G3'!Y17</f>
        <v>6</v>
      </c>
      <c r="Z29" s="581">
        <f>'R4_G3'!Z17</f>
        <v>43</v>
      </c>
      <c r="AA29" s="581">
        <f>'R4_G3'!AA17</f>
        <v>91</v>
      </c>
      <c r="AB29" s="584">
        <f ca="1">'R4_G3'!AB17</f>
        <v>80</v>
      </c>
    </row>
    <row r="30" spans="1:28" ht="18.75" customHeight="1">
      <c r="A30" s="612"/>
      <c r="B30" s="612"/>
      <c r="C30" s="613"/>
      <c r="D30" s="614"/>
      <c r="E30" s="615"/>
      <c r="F30" s="615"/>
      <c r="G30" s="615"/>
      <c r="H30" s="615"/>
      <c r="I30" s="615"/>
      <c r="J30" s="615"/>
      <c r="K30" s="615"/>
      <c r="L30" s="615"/>
      <c r="M30" s="615"/>
      <c r="N30" s="612"/>
      <c r="O30" s="612"/>
      <c r="P30" s="612"/>
      <c r="Q30" s="615"/>
      <c r="R30" s="615"/>
      <c r="S30" s="615"/>
      <c r="T30" s="615"/>
      <c r="U30" s="615"/>
      <c r="V30" s="615"/>
      <c r="W30" s="615"/>
      <c r="X30" s="615"/>
      <c r="Y30" s="615"/>
      <c r="Z30" s="193"/>
      <c r="AA30" s="193"/>
      <c r="AB30" s="193"/>
    </row>
    <row r="31" spans="1:28" ht="18.75" customHeight="1">
      <c r="A31" s="193"/>
      <c r="B31" s="193"/>
      <c r="C31" s="193"/>
      <c r="D31" s="193"/>
      <c r="E31" s="193"/>
      <c r="F31" s="193"/>
      <c r="G31" s="193"/>
      <c r="H31" s="193"/>
      <c r="I31" s="193"/>
      <c r="J31" s="193"/>
      <c r="K31" s="193"/>
      <c r="L31" s="193"/>
      <c r="M31" s="193"/>
      <c r="N31" s="193"/>
      <c r="O31" s="193"/>
      <c r="P31" s="193"/>
      <c r="Q31" s="193"/>
      <c r="R31" s="193"/>
      <c r="S31" s="193"/>
      <c r="T31" s="193"/>
      <c r="U31" s="193"/>
      <c r="V31" s="193"/>
      <c r="W31" s="193"/>
      <c r="X31" s="193"/>
      <c r="Y31" s="193"/>
      <c r="Z31" s="193"/>
      <c r="AA31" s="193"/>
      <c r="AB31" s="193"/>
    </row>
    <row r="32" spans="1:28" ht="18.75" customHeight="1">
      <c r="A32" s="533"/>
      <c r="B32" s="616"/>
      <c r="C32" s="617"/>
      <c r="D32" s="618" t="s">
        <v>70</v>
      </c>
      <c r="E32" s="619">
        <v>1</v>
      </c>
      <c r="F32" s="619">
        <v>2</v>
      </c>
      <c r="G32" s="619">
        <v>3</v>
      </c>
      <c r="H32" s="619">
        <v>4</v>
      </c>
      <c r="I32" s="619">
        <v>5</v>
      </c>
      <c r="J32" s="619">
        <v>6</v>
      </c>
      <c r="K32" s="619">
        <v>7</v>
      </c>
      <c r="L32" s="619">
        <v>8</v>
      </c>
      <c r="M32" s="619">
        <v>9</v>
      </c>
      <c r="N32" s="620"/>
      <c r="O32" s="621"/>
      <c r="P32" s="622" t="s">
        <v>70</v>
      </c>
      <c r="Q32" s="619">
        <v>10</v>
      </c>
      <c r="R32" s="619">
        <v>11</v>
      </c>
      <c r="S32" s="619">
        <v>12</v>
      </c>
      <c r="T32" s="619">
        <v>13</v>
      </c>
      <c r="U32" s="619">
        <v>14</v>
      </c>
      <c r="V32" s="619">
        <v>15</v>
      </c>
      <c r="W32" s="619">
        <v>16</v>
      </c>
      <c r="X32" s="619">
        <v>17</v>
      </c>
      <c r="Y32" s="619">
        <v>18</v>
      </c>
      <c r="Z32" s="193"/>
      <c r="AA32" s="193"/>
      <c r="AB32" s="193"/>
    </row>
    <row r="33" spans="1:28" ht="18.75" customHeight="1">
      <c r="A33" s="533"/>
      <c r="B33" s="616"/>
      <c r="C33" s="623"/>
      <c r="D33" s="624" t="s">
        <v>71</v>
      </c>
      <c r="E33" s="625">
        <f t="shared" ref="E33:M33" ca="1" si="0">E4</f>
        <v>4</v>
      </c>
      <c r="F33" s="625">
        <f t="shared" ca="1" si="0"/>
        <v>4</v>
      </c>
      <c r="G33" s="625">
        <f t="shared" ca="1" si="0"/>
        <v>5</v>
      </c>
      <c r="H33" s="625">
        <f t="shared" ca="1" si="0"/>
        <v>3</v>
      </c>
      <c r="I33" s="625">
        <f t="shared" ca="1" si="0"/>
        <v>4</v>
      </c>
      <c r="J33" s="625">
        <f t="shared" ca="1" si="0"/>
        <v>5</v>
      </c>
      <c r="K33" s="625">
        <f t="shared" ca="1" si="0"/>
        <v>4</v>
      </c>
      <c r="L33" s="625">
        <f t="shared" ca="1" si="0"/>
        <v>4</v>
      </c>
      <c r="M33" s="625">
        <f t="shared" ca="1" si="0"/>
        <v>3</v>
      </c>
      <c r="N33" s="626"/>
      <c r="O33" s="627"/>
      <c r="P33" s="624" t="s">
        <v>71</v>
      </c>
      <c r="Q33" s="625">
        <f t="shared" ref="Q33:Y33" ca="1" si="1">Q4</f>
        <v>5</v>
      </c>
      <c r="R33" s="625">
        <f t="shared" ca="1" si="1"/>
        <v>4</v>
      </c>
      <c r="S33" s="625">
        <f t="shared" ca="1" si="1"/>
        <v>4</v>
      </c>
      <c r="T33" s="625">
        <f t="shared" ca="1" si="1"/>
        <v>3</v>
      </c>
      <c r="U33" s="625">
        <f t="shared" ca="1" si="1"/>
        <v>4</v>
      </c>
      <c r="V33" s="625">
        <f t="shared" ca="1" si="1"/>
        <v>5</v>
      </c>
      <c r="W33" s="625">
        <f t="shared" ca="1" si="1"/>
        <v>4</v>
      </c>
      <c r="X33" s="625">
        <f t="shared" ca="1" si="1"/>
        <v>3</v>
      </c>
      <c r="Y33" s="625">
        <f t="shared" ca="1" si="1"/>
        <v>4</v>
      </c>
      <c r="Z33" s="193"/>
      <c r="AA33" s="193"/>
      <c r="AB33" s="193"/>
    </row>
    <row r="34" spans="1:28" ht="18.75" customHeight="1">
      <c r="A34" s="533"/>
      <c r="B34" s="616"/>
      <c r="C34" s="628"/>
      <c r="D34" s="629" t="s">
        <v>72</v>
      </c>
      <c r="E34" s="630">
        <f>'R4_G1'!E19</f>
        <v>3</v>
      </c>
      <c r="F34" s="630">
        <f>'R4_G1'!F19</f>
        <v>3</v>
      </c>
      <c r="G34" s="630">
        <f>'R4_G1'!G19</f>
        <v>3</v>
      </c>
      <c r="H34" s="630">
        <f>'R4_G1'!H19</f>
        <v>3</v>
      </c>
      <c r="I34" s="630">
        <f>'R4_G1'!I19</f>
        <v>3</v>
      </c>
      <c r="J34" s="630">
        <f>'R4_G1'!J19</f>
        <v>3</v>
      </c>
      <c r="K34" s="630">
        <f>'R4_G1'!K19</f>
        <v>4</v>
      </c>
      <c r="L34" s="630">
        <f>'R4_G1'!L19</f>
        <v>4</v>
      </c>
      <c r="M34" s="630">
        <f>'R4_G1'!M19</f>
        <v>4</v>
      </c>
      <c r="N34" s="631"/>
      <c r="O34" s="632"/>
      <c r="P34" s="633"/>
      <c r="Q34" s="630">
        <f>'R4_G1'!Q19</f>
        <v>4</v>
      </c>
      <c r="R34" s="630">
        <f>'R4_G1'!R19</f>
        <v>4</v>
      </c>
      <c r="S34" s="630">
        <f>'R4_G1'!S19</f>
        <v>4</v>
      </c>
      <c r="T34" s="630">
        <f>'R4_G1'!T19</f>
        <v>5</v>
      </c>
      <c r="U34" s="630">
        <f>'R4_G1'!U19</f>
        <v>5</v>
      </c>
      <c r="V34" s="630">
        <f>'R4_G1'!V19</f>
        <v>5</v>
      </c>
      <c r="W34" s="630">
        <f>'R4_G1'!W19</f>
        <v>5</v>
      </c>
      <c r="X34" s="630">
        <f>'R4_G1'!X19</f>
        <v>5</v>
      </c>
      <c r="Y34" s="630">
        <f>'R4_G1'!Y19</f>
        <v>5</v>
      </c>
      <c r="Z34" s="193"/>
      <c r="AA34" s="193"/>
      <c r="AB34" s="193"/>
    </row>
    <row r="35" spans="1:28" ht="18.75" customHeight="1">
      <c r="A35" s="533"/>
      <c r="B35" s="616"/>
      <c r="C35" s="628"/>
      <c r="D35" s="634" t="s">
        <v>73</v>
      </c>
      <c r="E35" s="635">
        <f>'R4_G1'!E20</f>
        <v>4</v>
      </c>
      <c r="F35" s="635">
        <f>'R4_G1'!F20</f>
        <v>3.3333333333333335</v>
      </c>
      <c r="G35" s="635">
        <f>'R4_G1'!G20</f>
        <v>5.666666666666667</v>
      </c>
      <c r="H35" s="635">
        <f>'R4_G1'!H20</f>
        <v>3</v>
      </c>
      <c r="I35" s="635">
        <f>'R4_G1'!I20</f>
        <v>2.6666666666666665</v>
      </c>
      <c r="J35" s="635">
        <f>'R4_G1'!J20</f>
        <v>4.666666666666667</v>
      </c>
      <c r="K35" s="635">
        <f>'R4_G1'!K20</f>
        <v>3.75</v>
      </c>
      <c r="L35" s="635">
        <f>'R4_G1'!L20</f>
        <v>3.75</v>
      </c>
      <c r="M35" s="635">
        <f>'R4_G1'!M20</f>
        <v>2.25</v>
      </c>
      <c r="N35" s="631"/>
      <c r="O35" s="632"/>
      <c r="P35" s="633"/>
      <c r="Q35" s="635">
        <f>'R4_G1'!Q20</f>
        <v>4.5</v>
      </c>
      <c r="R35" s="635">
        <f>'R4_G1'!R20</f>
        <v>3.75</v>
      </c>
      <c r="S35" s="635">
        <f>'R4_G1'!S20</f>
        <v>3.25</v>
      </c>
      <c r="T35" s="635">
        <f>'R4_G1'!T20</f>
        <v>2.6</v>
      </c>
      <c r="U35" s="635">
        <f>'R4_G1'!U20</f>
        <v>3.6</v>
      </c>
      <c r="V35" s="635">
        <f>'R4_G1'!V20</f>
        <v>5.4</v>
      </c>
      <c r="W35" s="635">
        <f>'R4_G1'!W20</f>
        <v>3.2</v>
      </c>
      <c r="X35" s="635">
        <f>'R4_G1'!X20</f>
        <v>2.8</v>
      </c>
      <c r="Y35" s="635">
        <f>'R4_G1'!Y20</f>
        <v>4.2</v>
      </c>
      <c r="Z35" s="193"/>
      <c r="AA35" s="193"/>
      <c r="AB35" s="193"/>
    </row>
    <row r="36" spans="1:28" ht="18.75" customHeight="1">
      <c r="A36" s="193"/>
      <c r="B36" s="193"/>
      <c r="C36" s="636"/>
      <c r="D36" s="637"/>
      <c r="E36" s="637"/>
      <c r="F36" s="637"/>
      <c r="G36" s="637"/>
      <c r="H36" s="637"/>
      <c r="I36" s="637"/>
      <c r="J36" s="637"/>
      <c r="K36" s="637"/>
      <c r="L36" s="637"/>
      <c r="M36" s="637"/>
      <c r="N36" s="637"/>
      <c r="O36" s="637"/>
      <c r="P36" s="637"/>
      <c r="Q36" s="637"/>
      <c r="R36" s="637"/>
      <c r="S36" s="637"/>
      <c r="T36" s="637"/>
      <c r="U36" s="637"/>
      <c r="V36" s="637"/>
      <c r="W36" s="637"/>
      <c r="X36" s="637"/>
      <c r="Y36" s="637"/>
      <c r="Z36" s="193"/>
      <c r="AA36" s="193"/>
      <c r="AB36" s="193"/>
    </row>
    <row r="37" spans="1:28" ht="18.75" customHeight="1">
      <c r="A37" s="193"/>
      <c r="B37" s="638"/>
      <c r="C37" s="639"/>
      <c r="D37" s="640" t="s">
        <v>74</v>
      </c>
      <c r="E37" s="641">
        <f ca="1">'R4_G1'!E21</f>
        <v>0</v>
      </c>
      <c r="F37" s="641">
        <f ca="1">'R4_G1'!F21</f>
        <v>-2</v>
      </c>
      <c r="G37" s="641">
        <f ca="1">'R4_G1'!G21</f>
        <v>2</v>
      </c>
      <c r="H37" s="641">
        <f ca="1">'R4_G1'!H21</f>
        <v>0</v>
      </c>
      <c r="I37" s="641">
        <f ca="1">'R4_G1'!I21</f>
        <v>-4</v>
      </c>
      <c r="J37" s="641">
        <f ca="1">'R4_G1'!J21</f>
        <v>-1</v>
      </c>
      <c r="K37" s="641">
        <f ca="1">'R4_G1'!K21</f>
        <v>-1</v>
      </c>
      <c r="L37" s="641">
        <f ca="1">'R4_G1'!L21</f>
        <v>-1</v>
      </c>
      <c r="M37" s="641">
        <f ca="1">'R4_G1'!M21</f>
        <v>-3</v>
      </c>
      <c r="N37" s="626"/>
      <c r="O37" s="642"/>
      <c r="P37" s="643" t="s">
        <v>74</v>
      </c>
      <c r="Q37" s="641">
        <f ca="1">'R4_G1'!Q21</f>
        <v>-2</v>
      </c>
      <c r="R37" s="641">
        <f ca="1">'R4_G1'!R21</f>
        <v>-1</v>
      </c>
      <c r="S37" s="641">
        <f ca="1">'R4_G1'!S21</f>
        <v>-3</v>
      </c>
      <c r="T37" s="641">
        <f ca="1">'R4_G1'!T21</f>
        <v>-2</v>
      </c>
      <c r="U37" s="641">
        <f ca="1">'R4_G1'!U21</f>
        <v>-2</v>
      </c>
      <c r="V37" s="641">
        <f ca="1">'R4_G1'!V21</f>
        <v>2</v>
      </c>
      <c r="W37" s="641">
        <f ca="1">'R4_G1'!W21</f>
        <v>-4</v>
      </c>
      <c r="X37" s="641">
        <f ca="1">'R4_G1'!X21</f>
        <v>-1</v>
      </c>
      <c r="Y37" s="641">
        <f ca="1">'R4_G1'!Y21</f>
        <v>1</v>
      </c>
      <c r="Z37" s="193"/>
      <c r="AA37" s="193"/>
      <c r="AB37" s="193"/>
    </row>
    <row r="38" spans="1:28" ht="18.75" customHeight="1">
      <c r="A38" s="193"/>
      <c r="B38" s="193"/>
      <c r="C38" s="636"/>
      <c r="D38" s="637"/>
      <c r="E38" s="637"/>
      <c r="F38" s="644"/>
      <c r="G38" s="644"/>
      <c r="H38" s="644"/>
      <c r="I38" s="644"/>
      <c r="J38" s="644"/>
      <c r="K38" s="644"/>
      <c r="L38" s="644"/>
      <c r="M38" s="644"/>
      <c r="N38" s="637"/>
      <c r="O38" s="637"/>
      <c r="P38" s="637"/>
      <c r="Q38" s="644"/>
      <c r="R38" s="644"/>
      <c r="S38" s="644"/>
      <c r="T38" s="644"/>
      <c r="U38" s="644"/>
      <c r="V38" s="644"/>
      <c r="W38" s="644"/>
      <c r="X38" s="644"/>
      <c r="Y38" s="644"/>
      <c r="Z38" s="193"/>
      <c r="AA38" s="193"/>
      <c r="AB38" s="193"/>
    </row>
    <row r="39" spans="1:28" ht="18.75" customHeight="1">
      <c r="A39" s="193" t="str">
        <f>A8</f>
        <v>Jensen</v>
      </c>
      <c r="B39" s="638"/>
      <c r="C39" s="636"/>
      <c r="D39" s="645" t="str">
        <f t="shared" ref="D39:D46" si="2">A39</f>
        <v>Jensen</v>
      </c>
      <c r="E39" s="646">
        <f t="shared" ref="E39:M39" ca="1" si="3">E8-E7</f>
        <v>5</v>
      </c>
      <c r="F39" s="646">
        <f t="shared" ca="1" si="3"/>
        <v>2</v>
      </c>
      <c r="G39" s="646">
        <f t="shared" ca="1" si="3"/>
        <v>6</v>
      </c>
      <c r="H39" s="646">
        <f t="shared" ca="1" si="3"/>
        <v>3</v>
      </c>
      <c r="I39" s="646">
        <f t="shared" ca="1" si="3"/>
        <v>2</v>
      </c>
      <c r="J39" s="646">
        <f t="shared" ca="1" si="3"/>
        <v>5</v>
      </c>
      <c r="K39" s="646">
        <f t="shared" ca="1" si="3"/>
        <v>2</v>
      </c>
      <c r="L39" s="646">
        <f t="shared" ca="1" si="3"/>
        <v>5</v>
      </c>
      <c r="M39" s="646">
        <f t="shared" ca="1" si="3"/>
        <v>3</v>
      </c>
      <c r="N39" s="626"/>
      <c r="O39" s="623"/>
      <c r="P39" s="624" t="str">
        <f t="shared" ref="P39:P46" si="4">D39</f>
        <v>Jensen</v>
      </c>
      <c r="Q39" s="646">
        <f t="shared" ref="Q39:Y39" ca="1" si="5">Q8-Q7</f>
        <v>3</v>
      </c>
      <c r="R39" s="646">
        <f t="shared" ca="1" si="5"/>
        <v>4</v>
      </c>
      <c r="S39" s="646">
        <f t="shared" ca="1" si="5"/>
        <v>3</v>
      </c>
      <c r="T39" s="646">
        <f t="shared" ca="1" si="5"/>
        <v>4</v>
      </c>
      <c r="U39" s="646">
        <f t="shared" ca="1" si="5"/>
        <v>4</v>
      </c>
      <c r="V39" s="646">
        <f t="shared" ca="1" si="5"/>
        <v>5</v>
      </c>
      <c r="W39" s="646">
        <f t="shared" ca="1" si="5"/>
        <v>3</v>
      </c>
      <c r="X39" s="646">
        <f t="shared" ca="1" si="5"/>
        <v>3</v>
      </c>
      <c r="Y39" s="646">
        <f t="shared" ca="1" si="5"/>
        <v>7</v>
      </c>
      <c r="Z39" s="193"/>
      <c r="AA39" s="193"/>
      <c r="AB39" s="193"/>
    </row>
    <row r="40" spans="1:28" ht="18.75" customHeight="1">
      <c r="A40" s="193" t="str">
        <f>A11</f>
        <v>Joe O</v>
      </c>
      <c r="B40" s="638"/>
      <c r="C40" s="636"/>
      <c r="D40" s="645" t="str">
        <f t="shared" si="2"/>
        <v>Joe O</v>
      </c>
      <c r="E40" s="646">
        <f t="shared" ref="E40:M40" ca="1" si="6">E11-E10</f>
        <v>4</v>
      </c>
      <c r="F40" s="646">
        <f t="shared" ca="1" si="6"/>
        <v>4</v>
      </c>
      <c r="G40" s="646">
        <f t="shared" ca="1" si="6"/>
        <v>6</v>
      </c>
      <c r="H40" s="646">
        <f t="shared" ca="1" si="6"/>
        <v>3</v>
      </c>
      <c r="I40" s="646">
        <f t="shared" ca="1" si="6"/>
        <v>3</v>
      </c>
      <c r="J40" s="646">
        <f t="shared" ca="1" si="6"/>
        <v>6</v>
      </c>
      <c r="K40" s="646">
        <f t="shared" ca="1" si="6"/>
        <v>4</v>
      </c>
      <c r="L40" s="646">
        <f t="shared" ca="1" si="6"/>
        <v>3</v>
      </c>
      <c r="M40" s="646">
        <f t="shared" ca="1" si="6"/>
        <v>2</v>
      </c>
      <c r="N40" s="626"/>
      <c r="O40" s="623"/>
      <c r="P40" s="624" t="str">
        <f t="shared" si="4"/>
        <v>Joe O</v>
      </c>
      <c r="Q40" s="646">
        <f t="shared" ref="Q40:Y40" ca="1" si="7">Q11-Q10</f>
        <v>7</v>
      </c>
      <c r="R40" s="646">
        <f t="shared" ca="1" si="7"/>
        <v>5</v>
      </c>
      <c r="S40" s="646">
        <f t="shared" ca="1" si="7"/>
        <v>5</v>
      </c>
      <c r="T40" s="646">
        <f t="shared" ca="1" si="7"/>
        <v>6</v>
      </c>
      <c r="U40" s="646">
        <f t="shared" ca="1" si="7"/>
        <v>8</v>
      </c>
      <c r="V40" s="646">
        <f t="shared" ca="1" si="7"/>
        <v>9</v>
      </c>
      <c r="W40" s="646">
        <f t="shared" ca="1" si="7"/>
        <v>5</v>
      </c>
      <c r="X40" s="646">
        <f t="shared" ca="1" si="7"/>
        <v>4</v>
      </c>
      <c r="Y40" s="646">
        <f t="shared" ca="1" si="7"/>
        <v>4</v>
      </c>
      <c r="Z40" s="193"/>
      <c r="AA40" s="193"/>
      <c r="AB40" s="193"/>
    </row>
    <row r="41" spans="1:28" ht="18.75" customHeight="1">
      <c r="A41" s="193" t="str">
        <f>A14</f>
        <v>Elger</v>
      </c>
      <c r="B41" s="638"/>
      <c r="C41" s="636"/>
      <c r="D41" s="645" t="str">
        <f t="shared" si="2"/>
        <v>Elger</v>
      </c>
      <c r="E41" s="646">
        <f t="shared" ref="E41:M41" ca="1" si="8">E14-E13</f>
        <v>5</v>
      </c>
      <c r="F41" s="646">
        <f t="shared" ca="1" si="8"/>
        <v>5</v>
      </c>
      <c r="G41" s="646">
        <f t="shared" ca="1" si="8"/>
        <v>5</v>
      </c>
      <c r="H41" s="646">
        <f t="shared" ca="1" si="8"/>
        <v>4</v>
      </c>
      <c r="I41" s="646">
        <f t="shared" ca="1" si="8"/>
        <v>4</v>
      </c>
      <c r="J41" s="646">
        <f t="shared" ca="1" si="8"/>
        <v>5</v>
      </c>
      <c r="K41" s="646">
        <f t="shared" ca="1" si="8"/>
        <v>5</v>
      </c>
      <c r="L41" s="646">
        <f t="shared" ca="1" si="8"/>
        <v>6</v>
      </c>
      <c r="M41" s="646">
        <f t="shared" ca="1" si="8"/>
        <v>4</v>
      </c>
      <c r="N41" s="626"/>
      <c r="O41" s="623"/>
      <c r="P41" s="624" t="str">
        <f t="shared" si="4"/>
        <v>Elger</v>
      </c>
      <c r="Q41" s="646">
        <f t="shared" ref="Q41:Y41" ca="1" si="9">Q14-Q13</f>
        <v>5</v>
      </c>
      <c r="R41" s="646">
        <f t="shared" ca="1" si="9"/>
        <v>4</v>
      </c>
      <c r="S41" s="646">
        <f t="shared" ca="1" si="9"/>
        <v>4</v>
      </c>
      <c r="T41" s="646">
        <f t="shared" ca="1" si="9"/>
        <v>4</v>
      </c>
      <c r="U41" s="646">
        <f t="shared" ca="1" si="9"/>
        <v>4</v>
      </c>
      <c r="V41" s="646">
        <f t="shared" ca="1" si="9"/>
        <v>6</v>
      </c>
      <c r="W41" s="646">
        <f t="shared" ca="1" si="9"/>
        <v>2</v>
      </c>
      <c r="X41" s="646">
        <f t="shared" ca="1" si="9"/>
        <v>3</v>
      </c>
      <c r="Y41" s="646">
        <f t="shared" ca="1" si="9"/>
        <v>7</v>
      </c>
      <c r="Z41" s="193"/>
      <c r="AA41" s="193"/>
      <c r="AB41" s="193"/>
    </row>
    <row r="42" spans="1:28" ht="18.75" customHeight="1">
      <c r="A42" s="193" t="str">
        <f>A17</f>
        <v>Weezy</v>
      </c>
      <c r="B42" s="638"/>
      <c r="C42" s="636"/>
      <c r="D42" s="645" t="str">
        <f t="shared" si="2"/>
        <v>Weezy</v>
      </c>
      <c r="E42" s="646">
        <f t="shared" ref="E42:M42" ca="1" si="10">E17-E16</f>
        <v>4</v>
      </c>
      <c r="F42" s="646">
        <f t="shared" ca="1" si="10"/>
        <v>5</v>
      </c>
      <c r="G42" s="646">
        <f t="shared" ca="1" si="10"/>
        <v>6</v>
      </c>
      <c r="H42" s="646">
        <f t="shared" ca="1" si="10"/>
        <v>3</v>
      </c>
      <c r="I42" s="646">
        <f t="shared" ca="1" si="10"/>
        <v>5</v>
      </c>
      <c r="J42" s="646">
        <f t="shared" ca="1" si="10"/>
        <v>5</v>
      </c>
      <c r="K42" s="646">
        <f t="shared" ca="1" si="10"/>
        <v>5</v>
      </c>
      <c r="L42" s="646">
        <f t="shared" ca="1" si="10"/>
        <v>4</v>
      </c>
      <c r="M42" s="646">
        <f t="shared" ca="1" si="10"/>
        <v>3</v>
      </c>
      <c r="N42" s="626"/>
      <c r="O42" s="623"/>
      <c r="P42" s="624" t="str">
        <f t="shared" si="4"/>
        <v>Weezy</v>
      </c>
      <c r="Q42" s="646">
        <f t="shared" ref="Q42:Y42" ca="1" si="11">Q17-Q16</f>
        <v>7</v>
      </c>
      <c r="R42" s="646">
        <f t="shared" ca="1" si="11"/>
        <v>4</v>
      </c>
      <c r="S42" s="646">
        <f t="shared" ca="1" si="11"/>
        <v>5</v>
      </c>
      <c r="T42" s="646">
        <f t="shared" ca="1" si="11"/>
        <v>1</v>
      </c>
      <c r="U42" s="646">
        <f t="shared" ca="1" si="11"/>
        <v>2</v>
      </c>
      <c r="V42" s="646">
        <f t="shared" ca="1" si="11"/>
        <v>5</v>
      </c>
      <c r="W42" s="646">
        <f t="shared" ca="1" si="11"/>
        <v>4</v>
      </c>
      <c r="X42" s="646">
        <f t="shared" ca="1" si="11"/>
        <v>2</v>
      </c>
      <c r="Y42" s="646">
        <f t="shared" ca="1" si="11"/>
        <v>6</v>
      </c>
      <c r="Z42" s="193"/>
      <c r="AA42" s="193"/>
      <c r="AB42" s="193"/>
    </row>
    <row r="43" spans="1:28" ht="18.75" customHeight="1">
      <c r="A43" s="193" t="str">
        <f>A20</f>
        <v>Andy</v>
      </c>
      <c r="B43" s="638"/>
      <c r="C43" s="636"/>
      <c r="D43" s="645" t="str">
        <f t="shared" si="2"/>
        <v>Andy</v>
      </c>
      <c r="E43" s="646">
        <f t="shared" ref="E43:M43" ca="1" si="12">E20-E19</f>
        <v>4</v>
      </c>
      <c r="F43" s="646">
        <f t="shared" ca="1" si="12"/>
        <v>4</v>
      </c>
      <c r="G43" s="646">
        <f t="shared" ca="1" si="12"/>
        <v>6</v>
      </c>
      <c r="H43" s="646">
        <f t="shared" ca="1" si="12"/>
        <v>3</v>
      </c>
      <c r="I43" s="646">
        <f t="shared" ca="1" si="12"/>
        <v>3</v>
      </c>
      <c r="J43" s="646">
        <f t="shared" ca="1" si="12"/>
        <v>4</v>
      </c>
      <c r="K43" s="646">
        <f t="shared" ca="1" si="12"/>
        <v>5</v>
      </c>
      <c r="L43" s="646">
        <f t="shared" ca="1" si="12"/>
        <v>7</v>
      </c>
      <c r="M43" s="646">
        <f t="shared" ca="1" si="12"/>
        <v>4</v>
      </c>
      <c r="N43" s="626"/>
      <c r="O43" s="623"/>
      <c r="P43" s="624" t="str">
        <f t="shared" si="4"/>
        <v>Andy</v>
      </c>
      <c r="Q43" s="646">
        <f t="shared" ref="Q43:Y43" ca="1" si="13">Q20-Q19</f>
        <v>4</v>
      </c>
      <c r="R43" s="646">
        <f t="shared" ca="1" si="13"/>
        <v>3</v>
      </c>
      <c r="S43" s="646">
        <f t="shared" ca="1" si="13"/>
        <v>4</v>
      </c>
      <c r="T43" s="646">
        <f t="shared" ca="1" si="13"/>
        <v>2</v>
      </c>
      <c r="U43" s="646">
        <f t="shared" ca="1" si="13"/>
        <v>4</v>
      </c>
      <c r="V43" s="646">
        <f t="shared" ca="1" si="13"/>
        <v>5</v>
      </c>
      <c r="W43" s="646">
        <f t="shared" ca="1" si="13"/>
        <v>5</v>
      </c>
      <c r="X43" s="646">
        <f t="shared" ca="1" si="13"/>
        <v>4</v>
      </c>
      <c r="Y43" s="646">
        <f t="shared" ca="1" si="13"/>
        <v>5</v>
      </c>
      <c r="Z43" s="193"/>
      <c r="AA43" s="193"/>
      <c r="AB43" s="193"/>
    </row>
    <row r="44" spans="1:28" ht="18.75" customHeight="1">
      <c r="A44" s="193" t="str">
        <f>A23</f>
        <v>Hile</v>
      </c>
      <c r="B44" s="638"/>
      <c r="C44" s="636"/>
      <c r="D44" s="645" t="str">
        <f t="shared" si="2"/>
        <v>Hile</v>
      </c>
      <c r="E44" s="646">
        <f t="shared" ref="E44:M44" ca="1" si="14">E23-E22</f>
        <v>4</v>
      </c>
      <c r="F44" s="646">
        <f t="shared" ca="1" si="14"/>
        <v>4</v>
      </c>
      <c r="G44" s="646">
        <f t="shared" ca="1" si="14"/>
        <v>6</v>
      </c>
      <c r="H44" s="646">
        <f t="shared" ca="1" si="14"/>
        <v>4</v>
      </c>
      <c r="I44" s="646">
        <f t="shared" ca="1" si="14"/>
        <v>5</v>
      </c>
      <c r="J44" s="646">
        <f t="shared" ca="1" si="14"/>
        <v>5</v>
      </c>
      <c r="K44" s="646">
        <f t="shared" ca="1" si="14"/>
        <v>5</v>
      </c>
      <c r="L44" s="646">
        <f t="shared" ca="1" si="14"/>
        <v>5</v>
      </c>
      <c r="M44" s="646">
        <f t="shared" ca="1" si="14"/>
        <v>4</v>
      </c>
      <c r="N44" s="626"/>
      <c r="O44" s="623"/>
      <c r="P44" s="624" t="str">
        <f t="shared" si="4"/>
        <v>Hile</v>
      </c>
      <c r="Q44" s="646">
        <f t="shared" ref="Q44:Y44" ca="1" si="15">Q23-Q22</f>
        <v>6</v>
      </c>
      <c r="R44" s="646">
        <f t="shared" ca="1" si="15"/>
        <v>5</v>
      </c>
      <c r="S44" s="646">
        <f t="shared" ca="1" si="15"/>
        <v>3</v>
      </c>
      <c r="T44" s="646">
        <f t="shared" ca="1" si="15"/>
        <v>3</v>
      </c>
      <c r="U44" s="646">
        <f t="shared" ca="1" si="15"/>
        <v>4</v>
      </c>
      <c r="V44" s="646">
        <f t="shared" ca="1" si="15"/>
        <v>7</v>
      </c>
      <c r="W44" s="646">
        <f t="shared" ca="1" si="15"/>
        <v>4</v>
      </c>
      <c r="X44" s="646">
        <f t="shared" ca="1" si="15"/>
        <v>3</v>
      </c>
      <c r="Y44" s="646">
        <f t="shared" ca="1" si="15"/>
        <v>4</v>
      </c>
      <c r="Z44" s="193"/>
      <c r="AA44" s="193"/>
      <c r="AB44" s="193"/>
    </row>
    <row r="45" spans="1:28" ht="18.75" customHeight="1">
      <c r="A45" s="193" t="str">
        <f>A26</f>
        <v>Pace</v>
      </c>
      <c r="B45" s="638"/>
      <c r="C45" s="636"/>
      <c r="D45" s="645" t="str">
        <f t="shared" si="2"/>
        <v>Pace</v>
      </c>
      <c r="E45" s="646">
        <f t="shared" ref="E45:M45" ca="1" si="16">E26-E25</f>
        <v>5</v>
      </c>
      <c r="F45" s="646">
        <f t="shared" ca="1" si="16"/>
        <v>5</v>
      </c>
      <c r="G45" s="646">
        <f t="shared" ca="1" si="16"/>
        <v>8</v>
      </c>
      <c r="H45" s="646">
        <f t="shared" ca="1" si="16"/>
        <v>5</v>
      </c>
      <c r="I45" s="646">
        <f t="shared" ca="1" si="16"/>
        <v>3</v>
      </c>
      <c r="J45" s="646">
        <f t="shared" ca="1" si="16"/>
        <v>5</v>
      </c>
      <c r="K45" s="646">
        <f t="shared" ca="1" si="16"/>
        <v>4</v>
      </c>
      <c r="L45" s="646">
        <f t="shared" ca="1" si="16"/>
        <v>3</v>
      </c>
      <c r="M45" s="646">
        <f t="shared" ca="1" si="16"/>
        <v>2</v>
      </c>
      <c r="N45" s="626"/>
      <c r="O45" s="623"/>
      <c r="P45" s="624" t="str">
        <f t="shared" si="4"/>
        <v>Pace</v>
      </c>
      <c r="Q45" s="646">
        <f t="shared" ref="Q45:Y45" ca="1" si="17">Q26-Q25</f>
        <v>7</v>
      </c>
      <c r="R45" s="646">
        <f t="shared" ca="1" si="17"/>
        <v>4</v>
      </c>
      <c r="S45" s="646">
        <f t="shared" ca="1" si="17"/>
        <v>5</v>
      </c>
      <c r="T45" s="646">
        <f t="shared" ca="1" si="17"/>
        <v>4</v>
      </c>
      <c r="U45" s="646">
        <f t="shared" ca="1" si="17"/>
        <v>5</v>
      </c>
      <c r="V45" s="646">
        <f t="shared" ca="1" si="17"/>
        <v>6</v>
      </c>
      <c r="W45" s="646">
        <f t="shared" ca="1" si="17"/>
        <v>4</v>
      </c>
      <c r="X45" s="646">
        <f t="shared" ca="1" si="17"/>
        <v>4</v>
      </c>
      <c r="Y45" s="646">
        <f t="shared" ca="1" si="17"/>
        <v>3</v>
      </c>
      <c r="Z45" s="193"/>
      <c r="AA45" s="193"/>
      <c r="AB45" s="193"/>
    </row>
    <row r="46" spans="1:28" ht="18.75" customHeight="1">
      <c r="A46" s="193" t="str">
        <f>A29</f>
        <v>T-Mo</v>
      </c>
      <c r="B46" s="638"/>
      <c r="C46" s="636"/>
      <c r="D46" s="645" t="str">
        <f t="shared" si="2"/>
        <v>T-Mo</v>
      </c>
      <c r="E46" s="646">
        <f t="shared" ref="E46:M46" ca="1" si="18">E29-E28</f>
        <v>4</v>
      </c>
      <c r="F46" s="646">
        <f t="shared" ca="1" si="18"/>
        <v>5</v>
      </c>
      <c r="G46" s="646">
        <f t="shared" ca="1" si="18"/>
        <v>6</v>
      </c>
      <c r="H46" s="646">
        <f t="shared" ca="1" si="18"/>
        <v>4</v>
      </c>
      <c r="I46" s="646">
        <f t="shared" ca="1" si="18"/>
        <v>6</v>
      </c>
      <c r="J46" s="646">
        <f t="shared" ca="1" si="18"/>
        <v>5</v>
      </c>
      <c r="K46" s="646">
        <f t="shared" ca="1" si="18"/>
        <v>5</v>
      </c>
      <c r="L46" s="646">
        <f t="shared" ca="1" si="18"/>
        <v>5</v>
      </c>
      <c r="M46" s="646">
        <f t="shared" ca="1" si="18"/>
        <v>2</v>
      </c>
      <c r="N46" s="626"/>
      <c r="O46" s="623"/>
      <c r="P46" s="624" t="str">
        <f t="shared" si="4"/>
        <v>T-Mo</v>
      </c>
      <c r="Q46" s="646">
        <f t="shared" ref="Q46:Y46" ca="1" si="19">Q29-Q28</f>
        <v>6</v>
      </c>
      <c r="R46" s="646">
        <f t="shared" ca="1" si="19"/>
        <v>5</v>
      </c>
      <c r="S46" s="646">
        <f t="shared" ca="1" si="19"/>
        <v>3</v>
      </c>
      <c r="T46" s="646">
        <f t="shared" ca="1" si="19"/>
        <v>3</v>
      </c>
      <c r="U46" s="646">
        <f t="shared" ca="1" si="19"/>
        <v>4</v>
      </c>
      <c r="V46" s="646">
        <f t="shared" ca="1" si="19"/>
        <v>6</v>
      </c>
      <c r="W46" s="646">
        <f t="shared" ca="1" si="19"/>
        <v>3</v>
      </c>
      <c r="X46" s="646">
        <f t="shared" ca="1" si="19"/>
        <v>3</v>
      </c>
      <c r="Y46" s="646">
        <f t="shared" ca="1" si="19"/>
        <v>5</v>
      </c>
      <c r="Z46" s="193"/>
      <c r="AA46" s="193"/>
      <c r="AB46" s="193"/>
    </row>
    <row r="47" spans="1:28" ht="18.75" customHeight="1">
      <c r="A47" s="612"/>
      <c r="B47" s="612"/>
      <c r="C47" s="613"/>
      <c r="D47" s="614"/>
      <c r="E47" s="615"/>
      <c r="F47" s="615"/>
      <c r="G47" s="615"/>
      <c r="H47" s="615"/>
      <c r="I47" s="615"/>
      <c r="J47" s="615"/>
      <c r="K47" s="615"/>
      <c r="L47" s="615"/>
      <c r="M47" s="615"/>
      <c r="N47" s="193"/>
      <c r="O47" s="612"/>
      <c r="P47" s="612"/>
      <c r="Q47" s="615"/>
      <c r="R47" s="615"/>
      <c r="S47" s="615"/>
      <c r="T47" s="615"/>
      <c r="U47" s="615"/>
      <c r="V47" s="615"/>
      <c r="W47" s="615"/>
      <c r="X47" s="615"/>
      <c r="Y47" s="615"/>
      <c r="Z47" s="193"/>
      <c r="AA47" s="193"/>
      <c r="AB47" s="193"/>
    </row>
  </sheetData>
  <mergeCells count="1">
    <mergeCell ref="B2:B4"/>
  </mergeCells>
  <conditionalFormatting sqref="E39:J46">
    <cfRule type="expression" dxfId="18" priority="2">
      <formula>E39&lt;=SMALL(E$39:E$46,3)</formula>
    </cfRule>
  </conditionalFormatting>
  <conditionalFormatting sqref="E39:M46 Q39:Y46">
    <cfRule type="expression" dxfId="17" priority="1">
      <formula>E39&lt;=SMALL(E$39:E$46,1)</formula>
    </cfRule>
  </conditionalFormatting>
  <conditionalFormatting sqref="K39:M46 Q39:S46">
    <cfRule type="expression" dxfId="16" priority="3">
      <formula>K39&lt;=SMALL(K$39:K$46,4)</formula>
    </cfRule>
  </conditionalFormatting>
  <conditionalFormatting sqref="T39:Y46">
    <cfRule type="expression" dxfId="15" priority="4">
      <formula>T39&lt;=SMALL(T$39:T$46,5)</formula>
    </cfRule>
  </conditionalFormatting>
  <printOptions horizontalCentered="1" gridLines="1"/>
  <pageMargins left="0.6" right="0.5" top="0.25" bottom="0.25" header="0" footer="0"/>
  <pageSetup fitToHeight="0" pageOrder="overThenDown" orientation="portrait" cellComments="atEnd"/>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6D7A8"/>
    <outlinePr summaryBelow="0" summaryRight="0"/>
    <pageSetUpPr fitToPage="1"/>
  </sheetPr>
  <dimension ref="A1:AB47"/>
  <sheetViews>
    <sheetView workbookViewId="0">
      <pane xSplit="1" topLeftCell="B1" activePane="topRight" state="frozen"/>
      <selection pane="topRight" activeCell="C2" sqref="C2"/>
    </sheetView>
  </sheetViews>
  <sheetFormatPr defaultColWidth="17.26953125" defaultRowHeight="15" customHeight="1"/>
  <cols>
    <col min="1" max="1" width="8.7265625" customWidth="1"/>
    <col min="2" max="2" width="11.54296875" customWidth="1"/>
    <col min="3" max="4" width="5" customWidth="1"/>
    <col min="5" max="14" width="5.81640625" customWidth="1"/>
    <col min="15" max="15" width="3" customWidth="1"/>
    <col min="16" max="16" width="7" customWidth="1"/>
    <col min="17" max="26" width="5.81640625" customWidth="1"/>
    <col min="27" max="28" width="6.54296875" customWidth="1"/>
  </cols>
  <sheetData>
    <row r="1" spans="1:28" ht="14.25" hidden="1" customHeight="1">
      <c r="A1" s="546" t="s">
        <v>40</v>
      </c>
      <c r="B1" s="547">
        <f>'Master Input'!K4</f>
        <v>0.4375</v>
      </c>
      <c r="C1" s="548" t="str">
        <f>'Master Input'!$K$6</f>
        <v>The Bear - White</v>
      </c>
      <c r="D1" s="549"/>
      <c r="E1" s="550"/>
      <c r="F1" s="550"/>
      <c r="G1" s="550"/>
      <c r="H1" s="550"/>
      <c r="I1" s="550"/>
      <c r="J1" s="550"/>
      <c r="K1" s="550"/>
      <c r="L1" s="550"/>
      <c r="M1" s="550"/>
      <c r="N1" s="550"/>
      <c r="O1" s="549"/>
      <c r="P1" s="548" t="str">
        <f>'Master Input'!$K$6</f>
        <v>The Bear - White</v>
      </c>
      <c r="Q1" s="550"/>
      <c r="R1" s="550"/>
      <c r="S1" s="550"/>
      <c r="T1" s="550"/>
      <c r="U1" s="550"/>
      <c r="V1" s="550"/>
      <c r="W1" s="550"/>
      <c r="X1" s="550"/>
      <c r="Y1" s="550"/>
      <c r="Z1" s="550"/>
      <c r="AA1" s="551"/>
      <c r="AB1" s="552"/>
    </row>
    <row r="2" spans="1:28" ht="14.25" hidden="1" customHeight="1">
      <c r="A2" s="75" t="s">
        <v>16</v>
      </c>
      <c r="B2" s="1167" t="str">
        <f>'R4_G3'!B2</f>
        <v>Team Best Ball</v>
      </c>
      <c r="C2" s="553">
        <f>'R4_G3'!C2</f>
        <v>0</v>
      </c>
      <c r="D2" s="554" t="str">
        <f>'R4_G3'!D2</f>
        <v>Hole:</v>
      </c>
      <c r="E2" s="555">
        <f>'R4_G3'!E2</f>
        <v>1</v>
      </c>
      <c r="F2" s="79">
        <f>'R4_G3'!F2</f>
        <v>2</v>
      </c>
      <c r="G2" s="79">
        <f>'R4_G3'!G2</f>
        <v>3</v>
      </c>
      <c r="H2" s="79">
        <f>'R4_G3'!H2</f>
        <v>4</v>
      </c>
      <c r="I2" s="79">
        <f>'R4_G3'!I2</f>
        <v>5</v>
      </c>
      <c r="J2" s="79">
        <f>'R4_G3'!J2</f>
        <v>6</v>
      </c>
      <c r="K2" s="79">
        <v>7</v>
      </c>
      <c r="L2" s="79">
        <v>8</v>
      </c>
      <c r="M2" s="79">
        <v>9</v>
      </c>
      <c r="N2" s="556" t="s">
        <v>17</v>
      </c>
      <c r="O2" s="557"/>
      <c r="P2" s="554" t="s">
        <v>16</v>
      </c>
      <c r="Q2" s="79">
        <v>10</v>
      </c>
      <c r="R2" s="79">
        <v>11</v>
      </c>
      <c r="S2" s="79">
        <v>12</v>
      </c>
      <c r="T2" s="79">
        <v>13</v>
      </c>
      <c r="U2" s="79">
        <v>14</v>
      </c>
      <c r="V2" s="79">
        <v>15</v>
      </c>
      <c r="W2" s="79">
        <v>16</v>
      </c>
      <c r="X2" s="79">
        <v>17</v>
      </c>
      <c r="Y2" s="79">
        <v>18</v>
      </c>
      <c r="Z2" s="556" t="s">
        <v>18</v>
      </c>
      <c r="AA2" s="83" t="s">
        <v>14</v>
      </c>
      <c r="AB2" s="83" t="s">
        <v>19</v>
      </c>
    </row>
    <row r="3" spans="1:28" ht="14.25" hidden="1" customHeight="1">
      <c r="A3" s="84" t="s">
        <v>20</v>
      </c>
      <c r="B3" s="1129"/>
      <c r="C3" s="558">
        <f>'R4_G3'!C3</f>
        <v>0</v>
      </c>
      <c r="D3" s="559" t="str">
        <f>'R4_G3'!D3</f>
        <v>Handicap:</v>
      </c>
      <c r="E3" s="88">
        <f ca="1">'R4_G3'!E3</f>
        <v>11</v>
      </c>
      <c r="F3" s="88">
        <f ca="1">'R4_G3'!F3</f>
        <v>3</v>
      </c>
      <c r="G3" s="88">
        <f ca="1">'R4_G3'!G3</f>
        <v>15</v>
      </c>
      <c r="H3" s="88">
        <f ca="1">'R4_G3'!H3</f>
        <v>13</v>
      </c>
      <c r="I3" s="88">
        <f ca="1">'R4_G3'!I3</f>
        <v>1</v>
      </c>
      <c r="J3" s="88">
        <f ca="1">'R4_G3'!J3</f>
        <v>17</v>
      </c>
      <c r="K3" s="88">
        <f ca="1">'R4_G3'!K3</f>
        <v>5</v>
      </c>
      <c r="L3" s="88">
        <f ca="1">'R4_G3'!L3</f>
        <v>7</v>
      </c>
      <c r="M3" s="88">
        <f ca="1">'R4_G3'!M3</f>
        <v>9</v>
      </c>
      <c r="N3" s="560"/>
      <c r="O3" s="561"/>
      <c r="P3" s="559" t="s">
        <v>21</v>
      </c>
      <c r="Q3" s="88">
        <f ca="1">'R4_G3'!Q3</f>
        <v>18</v>
      </c>
      <c r="R3" s="88">
        <f ca="1">'R4_G3'!R3</f>
        <v>4</v>
      </c>
      <c r="S3" s="88">
        <f ca="1">'R4_G3'!S3</f>
        <v>6</v>
      </c>
      <c r="T3" s="88">
        <f ca="1">'R4_G3'!T3</f>
        <v>12</v>
      </c>
      <c r="U3" s="88">
        <f ca="1">'R4_G3'!U3</f>
        <v>16</v>
      </c>
      <c r="V3" s="88">
        <f ca="1">'R4_G3'!V3</f>
        <v>14</v>
      </c>
      <c r="W3" s="88">
        <f ca="1">'R4_G3'!W3</f>
        <v>2</v>
      </c>
      <c r="X3" s="88">
        <f ca="1">'R4_G3'!X3</f>
        <v>8</v>
      </c>
      <c r="Y3" s="88">
        <f ca="1">'R4_G3'!Y3</f>
        <v>10</v>
      </c>
      <c r="Z3" s="560"/>
      <c r="AA3" s="92"/>
      <c r="AB3" s="92"/>
    </row>
    <row r="4" spans="1:28" ht="14.25" hidden="1" customHeight="1">
      <c r="A4" s="84" t="s">
        <v>22</v>
      </c>
      <c r="B4" s="1139"/>
      <c r="C4" s="558">
        <f>'R4_G3'!C4</f>
        <v>0</v>
      </c>
      <c r="D4" s="559" t="str">
        <f>'R4_G3'!D4</f>
        <v>Par:</v>
      </c>
      <c r="E4" s="94">
        <f ca="1">'R4_G3'!E4</f>
        <v>4</v>
      </c>
      <c r="F4" s="94">
        <f ca="1">'R4_G3'!F4</f>
        <v>4</v>
      </c>
      <c r="G4" s="94">
        <f ca="1">'R4_G3'!G4</f>
        <v>5</v>
      </c>
      <c r="H4" s="94">
        <f ca="1">'R4_G3'!H4</f>
        <v>3</v>
      </c>
      <c r="I4" s="94">
        <f ca="1">'R4_G3'!I4</f>
        <v>4</v>
      </c>
      <c r="J4" s="94">
        <f ca="1">'R4_G3'!J4</f>
        <v>5</v>
      </c>
      <c r="K4" s="94">
        <f ca="1">'R4_G3'!K4</f>
        <v>4</v>
      </c>
      <c r="L4" s="94">
        <f ca="1">'R4_G3'!L4</f>
        <v>4</v>
      </c>
      <c r="M4" s="94">
        <f ca="1">'R4_G3'!M4</f>
        <v>3</v>
      </c>
      <c r="N4" s="97">
        <f ca="1">SUM(E4:M4)</f>
        <v>36</v>
      </c>
      <c r="O4" s="561"/>
      <c r="P4" s="559" t="s">
        <v>22</v>
      </c>
      <c r="Q4" s="94">
        <f ca="1">'R4_G3'!Q4</f>
        <v>5</v>
      </c>
      <c r="R4" s="94">
        <f ca="1">'R4_G3'!R4</f>
        <v>4</v>
      </c>
      <c r="S4" s="94">
        <f ca="1">'R4_G3'!S4</f>
        <v>4</v>
      </c>
      <c r="T4" s="94">
        <f ca="1">'R4_G3'!T4</f>
        <v>3</v>
      </c>
      <c r="U4" s="94">
        <f ca="1">'R4_G3'!U4</f>
        <v>4</v>
      </c>
      <c r="V4" s="94">
        <f ca="1">'R4_G3'!V4</f>
        <v>5</v>
      </c>
      <c r="W4" s="94">
        <f ca="1">'R4_G3'!W4</f>
        <v>4</v>
      </c>
      <c r="X4" s="94">
        <f ca="1">'R4_G3'!X4</f>
        <v>3</v>
      </c>
      <c r="Y4" s="94">
        <f ca="1">'R4_G3'!Y4</f>
        <v>4</v>
      </c>
      <c r="Z4" s="97">
        <f ca="1">SUM(Q4:Y4)</f>
        <v>36</v>
      </c>
      <c r="AA4" s="97">
        <f ca="1">N4+Z4</f>
        <v>72</v>
      </c>
      <c r="AB4" s="98"/>
    </row>
    <row r="5" spans="1:28" ht="14.25" hidden="1" customHeight="1">
      <c r="A5" s="99" t="s">
        <v>23</v>
      </c>
      <c r="B5" s="237" t="s">
        <v>24</v>
      </c>
      <c r="C5" s="562" t="s">
        <v>25</v>
      </c>
      <c r="D5" s="563" t="s">
        <v>26</v>
      </c>
      <c r="E5" s="103">
        <v>1</v>
      </c>
      <c r="F5" s="103">
        <v>2</v>
      </c>
      <c r="G5" s="103">
        <v>3</v>
      </c>
      <c r="H5" s="103">
        <v>4</v>
      </c>
      <c r="I5" s="103">
        <v>5</v>
      </c>
      <c r="J5" s="103">
        <v>6</v>
      </c>
      <c r="K5" s="103">
        <v>7</v>
      </c>
      <c r="L5" s="103">
        <v>8</v>
      </c>
      <c r="M5" s="103">
        <v>9</v>
      </c>
      <c r="N5" s="564" t="s">
        <v>17</v>
      </c>
      <c r="O5" s="565"/>
      <c r="P5" s="238" t="s">
        <v>23</v>
      </c>
      <c r="Q5" s="103">
        <v>10</v>
      </c>
      <c r="R5" s="103">
        <v>11</v>
      </c>
      <c r="S5" s="103">
        <v>12</v>
      </c>
      <c r="T5" s="103">
        <v>13</v>
      </c>
      <c r="U5" s="103">
        <v>14</v>
      </c>
      <c r="V5" s="103">
        <v>15</v>
      </c>
      <c r="W5" s="103">
        <v>16</v>
      </c>
      <c r="X5" s="103">
        <v>17</v>
      </c>
      <c r="Y5" s="103">
        <v>18</v>
      </c>
      <c r="Z5" s="564" t="s">
        <v>18</v>
      </c>
      <c r="AA5" s="474" t="s">
        <v>27</v>
      </c>
      <c r="AB5" s="474" t="s">
        <v>52</v>
      </c>
    </row>
    <row r="6" spans="1:28" ht="7.5" hidden="1" customHeight="1">
      <c r="A6" s="112"/>
      <c r="B6" s="111"/>
      <c r="C6" s="566">
        <f>'R4_G2'!C6</f>
        <v>0</v>
      </c>
      <c r="D6" s="111">
        <f>'R4_G2'!D6</f>
        <v>0</v>
      </c>
      <c r="E6" s="115" t="str">
        <f ca="1">'R4_G2'!E6</f>
        <v>O</v>
      </c>
      <c r="F6" s="115" t="str">
        <f ca="1">'R4_G2'!F6</f>
        <v>O</v>
      </c>
      <c r="G6" s="115" t="str">
        <f ca="1">'R4_G2'!G6</f>
        <v/>
      </c>
      <c r="H6" s="115" t="str">
        <f ca="1">'R4_G2'!H6</f>
        <v>O</v>
      </c>
      <c r="I6" s="115" t="str">
        <f ca="1">'R4_G2'!I6</f>
        <v>O</v>
      </c>
      <c r="J6" s="115" t="str">
        <f ca="1">'R4_G2'!J6</f>
        <v/>
      </c>
      <c r="K6" s="115" t="str">
        <f ca="1">'R4_G2'!K6</f>
        <v>O</v>
      </c>
      <c r="L6" s="115" t="str">
        <f ca="1">'R4_G2'!L6</f>
        <v>O</v>
      </c>
      <c r="M6" s="115" t="str">
        <f ca="1">'R4_G2'!M6</f>
        <v>O</v>
      </c>
      <c r="N6" s="567">
        <f>'R4_G2'!N6</f>
        <v>0</v>
      </c>
      <c r="O6" s="568">
        <f>'R4_G2'!O6</f>
        <v>0</v>
      </c>
      <c r="P6" s="569">
        <f>'R4_G2'!P6</f>
        <v>0</v>
      </c>
      <c r="Q6" s="115" t="str">
        <f ca="1">'R4_G2'!Q6</f>
        <v/>
      </c>
      <c r="R6" s="115" t="str">
        <f ca="1">'R4_G2'!R6</f>
        <v>O</v>
      </c>
      <c r="S6" s="115" t="str">
        <f ca="1">'R4_G2'!S6</f>
        <v>O</v>
      </c>
      <c r="T6" s="115" t="str">
        <f ca="1">'R4_G2'!T6</f>
        <v>O</v>
      </c>
      <c r="U6" s="115" t="str">
        <f ca="1">'R4_G2'!U6</f>
        <v/>
      </c>
      <c r="V6" s="115" t="str">
        <f ca="1">'R4_G2'!V6</f>
        <v>O</v>
      </c>
      <c r="W6" s="115" t="str">
        <f ca="1">'R4_G2'!W6</f>
        <v>O</v>
      </c>
      <c r="X6" s="115" t="str">
        <f ca="1">'R4_G2'!X6</f>
        <v>O</v>
      </c>
      <c r="Y6" s="115" t="str">
        <f ca="1">'R4_G2'!Y6</f>
        <v>O</v>
      </c>
      <c r="Z6" s="570">
        <f>'R4_G2'!Z6</f>
        <v>0</v>
      </c>
      <c r="AA6" s="571">
        <f>'R4_G2'!AA6</f>
        <v>0</v>
      </c>
      <c r="AB6" s="571">
        <f>'R4_G2'!AB6</f>
        <v>0</v>
      </c>
    </row>
    <row r="7" spans="1:28" ht="22.5" hidden="1" customHeight="1">
      <c r="A7" s="123"/>
      <c r="B7" s="572"/>
      <c r="C7" s="573">
        <f>'R4_G2'!C7</f>
        <v>0</v>
      </c>
      <c r="D7" s="573">
        <f>'R4_G2'!D7</f>
        <v>0</v>
      </c>
      <c r="E7" s="574">
        <f ca="1">'R4_G2'!E7</f>
        <v>1</v>
      </c>
      <c r="F7" s="574">
        <f ca="1">'R4_G2'!F7</f>
        <v>1</v>
      </c>
      <c r="G7" s="574">
        <f ca="1">'R4_G2'!G7</f>
        <v>0</v>
      </c>
      <c r="H7" s="574">
        <f ca="1">'R4_G2'!H7</f>
        <v>1</v>
      </c>
      <c r="I7" s="574">
        <f ca="1">'R4_G2'!I7</f>
        <v>1</v>
      </c>
      <c r="J7" s="574">
        <f ca="1">'R4_G2'!J7</f>
        <v>0</v>
      </c>
      <c r="K7" s="574">
        <f ca="1">'R4_G2'!K7</f>
        <v>1</v>
      </c>
      <c r="L7" s="574">
        <f ca="1">'R4_G2'!L7</f>
        <v>1</v>
      </c>
      <c r="M7" s="574">
        <f ca="1">'R4_G2'!M7</f>
        <v>1</v>
      </c>
      <c r="N7" s="575">
        <f>'R4_G2'!N7</f>
        <v>0</v>
      </c>
      <c r="O7" s="576">
        <f>'R4_G2'!O7</f>
        <v>0</v>
      </c>
      <c r="P7" s="260">
        <f>'R4_G2'!P7</f>
        <v>0</v>
      </c>
      <c r="Q7" s="574">
        <f ca="1">'R4_G2'!Q7</f>
        <v>0</v>
      </c>
      <c r="R7" s="574">
        <f ca="1">'R4_G2'!R7</f>
        <v>1</v>
      </c>
      <c r="S7" s="574">
        <f ca="1">'R4_G2'!S7</f>
        <v>1</v>
      </c>
      <c r="T7" s="574">
        <f ca="1">'R4_G2'!T7</f>
        <v>1</v>
      </c>
      <c r="U7" s="574">
        <f ca="1">'R4_G2'!U7</f>
        <v>0</v>
      </c>
      <c r="V7" s="574">
        <f ca="1">'R4_G2'!V7</f>
        <v>1</v>
      </c>
      <c r="W7" s="574">
        <f ca="1">'R4_G2'!W7</f>
        <v>1</v>
      </c>
      <c r="X7" s="574">
        <f ca="1">'R4_G2'!X7</f>
        <v>1</v>
      </c>
      <c r="Y7" s="574">
        <f ca="1">'R4_G2'!Y7</f>
        <v>1</v>
      </c>
      <c r="Z7" s="575">
        <f>'R4_G2'!Z7</f>
        <v>0</v>
      </c>
      <c r="AA7" s="575">
        <f>'R4_G2'!AA7</f>
        <v>0</v>
      </c>
      <c r="AB7" s="577">
        <f>'R4_G2'!AB7</f>
        <v>0</v>
      </c>
    </row>
    <row r="8" spans="1:28" ht="22.5" hidden="1" customHeight="1">
      <c r="A8" s="136" t="str">
        <f>'R4_G2'!A$8</f>
        <v>TJSC</v>
      </c>
      <c r="B8" s="578" t="str">
        <f>'R4_G2'!B$8</f>
        <v>TEES</v>
      </c>
      <c r="C8" s="579">
        <f ca="1">'R4_G2'!C8</f>
        <v>14</v>
      </c>
      <c r="D8" s="579">
        <f ca="1">'R4_G2'!D8</f>
        <v>14</v>
      </c>
      <c r="E8" s="647">
        <f>'R4_G2'!E8</f>
        <v>5</v>
      </c>
      <c r="F8" s="647">
        <f>'R4_G2'!F8</f>
        <v>6</v>
      </c>
      <c r="G8" s="647">
        <f>'R4_G2'!G8</f>
        <v>6</v>
      </c>
      <c r="H8" s="647">
        <f>'R4_G2'!H8</f>
        <v>6</v>
      </c>
      <c r="I8" s="647">
        <f>'R4_G2'!I8</f>
        <v>4</v>
      </c>
      <c r="J8" s="647">
        <f>'R4_G2'!J8</f>
        <v>5</v>
      </c>
      <c r="K8" s="647">
        <f>'R4_G2'!K8</f>
        <v>6</v>
      </c>
      <c r="L8" s="647">
        <f>'R4_G2'!L8</f>
        <v>5</v>
      </c>
      <c r="M8" s="647">
        <f>'R4_G2'!M8</f>
        <v>4</v>
      </c>
      <c r="N8" s="581">
        <f>'R4_G2'!N8</f>
        <v>47</v>
      </c>
      <c r="O8" s="582">
        <f>'R4_G2'!O8</f>
        <v>0</v>
      </c>
      <c r="P8" s="583" t="str">
        <f>'R4_G2'!P8</f>
        <v>TJSC</v>
      </c>
      <c r="Q8" s="580">
        <f>'R4_G2'!Q8</f>
        <v>5</v>
      </c>
      <c r="R8" s="580">
        <f>'R4_G2'!R8</f>
        <v>6</v>
      </c>
      <c r="S8" s="580">
        <f>'R4_G2'!S8</f>
        <v>6</v>
      </c>
      <c r="T8" s="580">
        <f>'R4_G2'!T8</f>
        <v>4</v>
      </c>
      <c r="U8" s="580">
        <f>'R4_G2'!U8</f>
        <v>6</v>
      </c>
      <c r="V8" s="580">
        <f>'R4_G2'!V8</f>
        <v>7</v>
      </c>
      <c r="W8" s="580">
        <f>'R4_G2'!W8</f>
        <v>6</v>
      </c>
      <c r="X8" s="580">
        <f>'R4_G2'!X8</f>
        <v>4</v>
      </c>
      <c r="Y8" s="580">
        <f>'R4_G2'!Y8</f>
        <v>5</v>
      </c>
      <c r="Z8" s="581">
        <f>'R4_G2'!Z8</f>
        <v>49</v>
      </c>
      <c r="AA8" s="581">
        <f>'R4_G2'!AA8</f>
        <v>96</v>
      </c>
      <c r="AB8" s="584">
        <f ca="1">'R4_G2'!AB8</f>
        <v>82</v>
      </c>
    </row>
    <row r="9" spans="1:28" ht="7.5" hidden="1" customHeight="1">
      <c r="A9" s="299"/>
      <c r="B9" s="585"/>
      <c r="C9" s="586">
        <f>'R4_G2'!C9</f>
        <v>0</v>
      </c>
      <c r="D9" s="587">
        <f>'R4_G2'!D9</f>
        <v>0</v>
      </c>
      <c r="E9" s="588" t="str">
        <f ca="1">'R4_G2'!E9</f>
        <v/>
      </c>
      <c r="F9" s="588" t="str">
        <f ca="1">'R4_G2'!F9</f>
        <v>O</v>
      </c>
      <c r="G9" s="588" t="str">
        <f ca="1">'R4_G2'!G9</f>
        <v/>
      </c>
      <c r="H9" s="588" t="str">
        <f ca="1">'R4_G2'!H9</f>
        <v/>
      </c>
      <c r="I9" s="588" t="str">
        <f ca="1">'R4_G2'!I9</f>
        <v>O</v>
      </c>
      <c r="J9" s="588" t="str">
        <f ca="1">'R4_G2'!J9</f>
        <v/>
      </c>
      <c r="K9" s="588" t="str">
        <f ca="1">'R4_G2'!K9</f>
        <v>O</v>
      </c>
      <c r="L9" s="588" t="str">
        <f ca="1">'R4_G2'!L9</f>
        <v>O</v>
      </c>
      <c r="M9" s="588" t="str">
        <f ca="1">'R4_G2'!M9</f>
        <v>O</v>
      </c>
      <c r="N9" s="589">
        <f>'R4_G2'!N9</f>
        <v>0</v>
      </c>
      <c r="O9" s="590">
        <f>'R4_G2'!O9</f>
        <v>0</v>
      </c>
      <c r="P9" s="591">
        <f>'R4_G2'!P9</f>
        <v>0</v>
      </c>
      <c r="Q9" s="588" t="str">
        <f ca="1">'R4_G2'!Q9</f>
        <v/>
      </c>
      <c r="R9" s="588" t="str">
        <f ca="1">'R4_G2'!R9</f>
        <v>O</v>
      </c>
      <c r="S9" s="588" t="str">
        <f ca="1">'R4_G2'!S9</f>
        <v>O</v>
      </c>
      <c r="T9" s="588" t="str">
        <f ca="1">'R4_G2'!T9</f>
        <v/>
      </c>
      <c r="U9" s="588" t="str">
        <f ca="1">'R4_G2'!U9</f>
        <v/>
      </c>
      <c r="V9" s="588" t="str">
        <f ca="1">'R4_G2'!V9</f>
        <v/>
      </c>
      <c r="W9" s="588" t="str">
        <f ca="1">'R4_G2'!W9</f>
        <v>O</v>
      </c>
      <c r="X9" s="588" t="str">
        <f ca="1">'R4_G2'!X9</f>
        <v>O</v>
      </c>
      <c r="Y9" s="588" t="str">
        <f ca="1">'R4_G2'!Y9</f>
        <v>O</v>
      </c>
      <c r="Z9" s="589">
        <f>'R4_G2'!Z9</f>
        <v>0</v>
      </c>
      <c r="AA9" s="592">
        <f>'R4_G2'!AA9</f>
        <v>0</v>
      </c>
      <c r="AB9" s="593">
        <f>'R4_G2'!AB9</f>
        <v>0</v>
      </c>
    </row>
    <row r="10" spans="1:28" ht="22.5" hidden="1" customHeight="1">
      <c r="A10" s="171" t="e">
        <f t="shared" ref="A10:B10" si="0">#REF!</f>
        <v>#REF!</v>
      </c>
      <c r="B10" s="255" t="e">
        <f t="shared" si="0"/>
        <v>#REF!</v>
      </c>
      <c r="C10" s="594">
        <f>'R4_G2'!C10</f>
        <v>0</v>
      </c>
      <c r="D10" s="594">
        <f>'R4_G2'!D10</f>
        <v>0</v>
      </c>
      <c r="E10" s="176">
        <f ca="1">'R4_G2'!E10</f>
        <v>0</v>
      </c>
      <c r="F10" s="176">
        <f ca="1">'R4_G2'!F10</f>
        <v>1</v>
      </c>
      <c r="G10" s="176">
        <f ca="1">'R4_G2'!G10</f>
        <v>0</v>
      </c>
      <c r="H10" s="176">
        <f ca="1">'R4_G2'!H10</f>
        <v>0</v>
      </c>
      <c r="I10" s="176">
        <f ca="1">'R4_G2'!I10</f>
        <v>1</v>
      </c>
      <c r="J10" s="176">
        <f ca="1">'R4_G2'!J10</f>
        <v>0</v>
      </c>
      <c r="K10" s="176">
        <f ca="1">'R4_G2'!K10</f>
        <v>1</v>
      </c>
      <c r="L10" s="176">
        <f ca="1">'R4_G2'!L10</f>
        <v>1</v>
      </c>
      <c r="M10" s="176">
        <f ca="1">'R4_G2'!M10</f>
        <v>1</v>
      </c>
      <c r="N10" s="575">
        <f>'R4_G2'!N10</f>
        <v>0</v>
      </c>
      <c r="O10" s="576">
        <f>'R4_G2'!O10</f>
        <v>0</v>
      </c>
      <c r="P10" s="595">
        <f>'R4_G2'!P10</f>
        <v>0</v>
      </c>
      <c r="Q10" s="176">
        <f ca="1">'R4_G2'!Q10</f>
        <v>0</v>
      </c>
      <c r="R10" s="176">
        <f ca="1">'R4_G2'!R10</f>
        <v>1</v>
      </c>
      <c r="S10" s="176">
        <f ca="1">'R4_G2'!S10</f>
        <v>1</v>
      </c>
      <c r="T10" s="176">
        <f ca="1">'R4_G2'!T10</f>
        <v>0</v>
      </c>
      <c r="U10" s="176">
        <f ca="1">'R4_G2'!U10</f>
        <v>0</v>
      </c>
      <c r="V10" s="176">
        <f ca="1">'R4_G2'!V10</f>
        <v>0</v>
      </c>
      <c r="W10" s="176">
        <f ca="1">'R4_G2'!W10</f>
        <v>1</v>
      </c>
      <c r="X10" s="176">
        <f ca="1">'R4_G2'!X10</f>
        <v>1</v>
      </c>
      <c r="Y10" s="176">
        <f ca="1">'R4_G2'!Y10</f>
        <v>1</v>
      </c>
      <c r="Z10" s="575">
        <f>'R4_G2'!Z10</f>
        <v>0</v>
      </c>
      <c r="AA10" s="575">
        <f>'R4_G2'!AA10</f>
        <v>0</v>
      </c>
      <c r="AB10" s="577">
        <f>'R4_G2'!AB10</f>
        <v>0</v>
      </c>
    </row>
    <row r="11" spans="1:28" ht="22.5" hidden="1" customHeight="1">
      <c r="A11" s="181" t="str">
        <f>'R4_G2'!A$11</f>
        <v>CuzNick</v>
      </c>
      <c r="B11" s="257" t="str">
        <f>'R4_G2'!B$11</f>
        <v>TEES</v>
      </c>
      <c r="C11" s="596">
        <f ca="1">'R4_G2'!C11</f>
        <v>10</v>
      </c>
      <c r="D11" s="596">
        <f ca="1">'R4_G2'!D11</f>
        <v>10</v>
      </c>
      <c r="E11" s="186">
        <f>'R4_G2'!E11</f>
        <v>5</v>
      </c>
      <c r="F11" s="186">
        <f>'R4_G2'!F11</f>
        <v>5</v>
      </c>
      <c r="G11" s="186">
        <f>'R4_G2'!G11</f>
        <v>5</v>
      </c>
      <c r="H11" s="186">
        <f>'R4_G2'!H11</f>
        <v>4</v>
      </c>
      <c r="I11" s="186">
        <f>'R4_G2'!I11</f>
        <v>5</v>
      </c>
      <c r="J11" s="186">
        <f>'R4_G2'!J11</f>
        <v>6</v>
      </c>
      <c r="K11" s="186">
        <f>'R4_G2'!K11</f>
        <v>4</v>
      </c>
      <c r="L11" s="186">
        <f>'R4_G2'!L11</f>
        <v>5</v>
      </c>
      <c r="M11" s="186">
        <f>'R4_G2'!M11</f>
        <v>3</v>
      </c>
      <c r="N11" s="581">
        <f>'R4_G2'!N11</f>
        <v>42</v>
      </c>
      <c r="O11" s="582">
        <f>'R4_G2'!O11</f>
        <v>0</v>
      </c>
      <c r="P11" s="191" t="str">
        <f>'R4_G2'!P11</f>
        <v>CuzNick</v>
      </c>
      <c r="Q11" s="186">
        <f>'R4_G2'!Q11</f>
        <v>5</v>
      </c>
      <c r="R11" s="186">
        <f>'R4_G2'!R11</f>
        <v>4</v>
      </c>
      <c r="S11" s="186">
        <f>'R4_G2'!S11</f>
        <v>5</v>
      </c>
      <c r="T11" s="186">
        <f>'R4_G2'!T11</f>
        <v>3</v>
      </c>
      <c r="U11" s="186">
        <f>'R4_G2'!U11</f>
        <v>7</v>
      </c>
      <c r="V11" s="186">
        <f>'R4_G2'!V11</f>
        <v>5</v>
      </c>
      <c r="W11" s="186">
        <f>'R4_G2'!W11</f>
        <v>5</v>
      </c>
      <c r="X11" s="186">
        <f>'R4_G2'!X11</f>
        <v>5</v>
      </c>
      <c r="Y11" s="186">
        <f>'R4_G2'!Y11</f>
        <v>8</v>
      </c>
      <c r="Z11" s="581">
        <f>'R4_G2'!Z11</f>
        <v>47</v>
      </c>
      <c r="AA11" s="581">
        <f>'R4_G2'!AA11</f>
        <v>89</v>
      </c>
      <c r="AB11" s="584">
        <f ca="1">'R4_G2'!AB11</f>
        <v>79</v>
      </c>
    </row>
    <row r="12" spans="1:28" ht="7.5" hidden="1" customHeight="1">
      <c r="A12" s="112"/>
      <c r="B12" s="111"/>
      <c r="C12" s="597">
        <f>'R4_G2'!C12</f>
        <v>0</v>
      </c>
      <c r="D12" s="598">
        <f>'R4_G2'!D12</f>
        <v>0</v>
      </c>
      <c r="E12" s="599" t="str">
        <f ca="1">'R4_G2'!E12</f>
        <v>O</v>
      </c>
      <c r="F12" s="599" t="str">
        <f ca="1">'R4_G2'!F12</f>
        <v>O</v>
      </c>
      <c r="G12" s="599" t="str">
        <f ca="1">'R4_G2'!G12</f>
        <v>O</v>
      </c>
      <c r="H12" s="599" t="str">
        <f ca="1">'R4_G2'!H12</f>
        <v>O</v>
      </c>
      <c r="I12" s="599" t="str">
        <f ca="1">'R4_G2'!I12</f>
        <v>O</v>
      </c>
      <c r="J12" s="599" t="str">
        <f ca="1">'R4_G2'!J12</f>
        <v/>
      </c>
      <c r="K12" s="599" t="str">
        <f ca="1">'R4_G2'!K12</f>
        <v>O</v>
      </c>
      <c r="L12" s="599" t="str">
        <f ca="1">'R4_G2'!L12</f>
        <v>O</v>
      </c>
      <c r="M12" s="599" t="str">
        <f ca="1">'R4_G2'!M12</f>
        <v>O</v>
      </c>
      <c r="N12" s="600">
        <f>'R4_G2'!N12</f>
        <v>0</v>
      </c>
      <c r="O12" s="601">
        <f>'R4_G2'!O12</f>
        <v>0</v>
      </c>
      <c r="P12" s="147">
        <f>'R4_G2'!P12</f>
        <v>0</v>
      </c>
      <c r="Q12" s="599" t="str">
        <f ca="1">'R4_G2'!Q12</f>
        <v/>
      </c>
      <c r="R12" s="599" t="str">
        <f ca="1">'R4_G2'!R12</f>
        <v>O</v>
      </c>
      <c r="S12" s="599" t="str">
        <f ca="1">'R4_G2'!S12</f>
        <v>O</v>
      </c>
      <c r="T12" s="599" t="str">
        <f ca="1">'R4_G2'!T12</f>
        <v>O</v>
      </c>
      <c r="U12" s="599" t="str">
        <f ca="1">'R4_G2'!U12</f>
        <v>O</v>
      </c>
      <c r="V12" s="599" t="str">
        <f ca="1">'R4_G2'!V12</f>
        <v>O</v>
      </c>
      <c r="W12" s="599" t="str">
        <f ca="1">'R4_G2'!W12</f>
        <v>O</v>
      </c>
      <c r="X12" s="599" t="str">
        <f ca="1">'R4_G2'!X12</f>
        <v>O</v>
      </c>
      <c r="Y12" s="599" t="str">
        <f ca="1">'R4_G2'!Y12</f>
        <v>O</v>
      </c>
      <c r="Z12" s="589">
        <f>'R4_G2'!Z12</f>
        <v>0</v>
      </c>
      <c r="AA12" s="592">
        <f>'R4_G2'!AA12</f>
        <v>0</v>
      </c>
      <c r="AB12" s="602">
        <f>'R4_G2'!AB12</f>
        <v>0</v>
      </c>
    </row>
    <row r="13" spans="1:28" ht="22.5" hidden="1" customHeight="1">
      <c r="A13" s="123" t="str">
        <f>'R4_G2'!A1</f>
        <v>Group 2</v>
      </c>
      <c r="B13" s="648">
        <f>'R4_G2'!B1</f>
        <v>0.43055555555555558</v>
      </c>
      <c r="C13" s="573">
        <f>'R4_G2'!C13</f>
        <v>0</v>
      </c>
      <c r="D13" s="573">
        <f>'R4_G2'!D13</f>
        <v>0</v>
      </c>
      <c r="E13" s="574">
        <f ca="1">'R4_G2'!E13</f>
        <v>1</v>
      </c>
      <c r="F13" s="574">
        <f ca="1">'R4_G2'!F13</f>
        <v>1</v>
      </c>
      <c r="G13" s="574">
        <f ca="1">'R4_G2'!G13</f>
        <v>1</v>
      </c>
      <c r="H13" s="574">
        <f ca="1">'R4_G2'!H13</f>
        <v>1</v>
      </c>
      <c r="I13" s="574">
        <f ca="1">'R4_G2'!I13</f>
        <v>1</v>
      </c>
      <c r="J13" s="574">
        <f ca="1">'R4_G2'!J13</f>
        <v>0</v>
      </c>
      <c r="K13" s="574">
        <f ca="1">'R4_G2'!K13</f>
        <v>1</v>
      </c>
      <c r="L13" s="574">
        <f ca="1">'R4_G2'!L13</f>
        <v>1</v>
      </c>
      <c r="M13" s="574">
        <f ca="1">'R4_G2'!M13</f>
        <v>1</v>
      </c>
      <c r="N13" s="575">
        <f>'R4_G2'!N13</f>
        <v>0</v>
      </c>
      <c r="O13" s="576">
        <f>'R4_G2'!O13</f>
        <v>0</v>
      </c>
      <c r="P13" s="260">
        <f>'R4_G2'!P13</f>
        <v>0</v>
      </c>
      <c r="Q13" s="574">
        <f ca="1">'R4_G2'!Q13</f>
        <v>0</v>
      </c>
      <c r="R13" s="574">
        <f ca="1">'R4_G2'!R13</f>
        <v>1</v>
      </c>
      <c r="S13" s="574">
        <f ca="1">'R4_G2'!S13</f>
        <v>1</v>
      </c>
      <c r="T13" s="574">
        <f ca="1">'R4_G2'!T13</f>
        <v>1</v>
      </c>
      <c r="U13" s="574">
        <f ca="1">'R4_G2'!U13</f>
        <v>1</v>
      </c>
      <c r="V13" s="574">
        <f ca="1">'R4_G2'!V13</f>
        <v>1</v>
      </c>
      <c r="W13" s="574">
        <f ca="1">'R4_G2'!W13</f>
        <v>1</v>
      </c>
      <c r="X13" s="574">
        <f ca="1">'R4_G2'!X13</f>
        <v>1</v>
      </c>
      <c r="Y13" s="574">
        <f ca="1">'R4_G2'!Y13</f>
        <v>1</v>
      </c>
      <c r="Z13" s="575">
        <f>'R4_G2'!Z13</f>
        <v>0</v>
      </c>
      <c r="AA13" s="575">
        <f>'R4_G2'!AA13</f>
        <v>0</v>
      </c>
      <c r="AB13" s="577">
        <f>'R4_G2'!AB13</f>
        <v>0</v>
      </c>
    </row>
    <row r="14" spans="1:28" ht="22.5" hidden="1" customHeight="1">
      <c r="A14" s="136" t="str">
        <f>'R4_G2'!A$14</f>
        <v>DK</v>
      </c>
      <c r="B14" s="578" t="str">
        <f>'R4_G2'!B$14</f>
        <v>TEES</v>
      </c>
      <c r="C14" s="579">
        <f ca="1">'R4_G2'!C14</f>
        <v>16</v>
      </c>
      <c r="D14" s="579">
        <f ca="1">'R4_G2'!D14</f>
        <v>16</v>
      </c>
      <c r="E14" s="580">
        <f>'R4_G2'!E14</f>
        <v>5</v>
      </c>
      <c r="F14" s="580">
        <f>'R4_G2'!F14</f>
        <v>5</v>
      </c>
      <c r="G14" s="580">
        <f>'R4_G2'!G14</f>
        <v>6</v>
      </c>
      <c r="H14" s="580">
        <f>'R4_G2'!H14</f>
        <v>5</v>
      </c>
      <c r="I14" s="580">
        <f>'R4_G2'!I14</f>
        <v>6</v>
      </c>
      <c r="J14" s="580">
        <f>'R4_G2'!J14</f>
        <v>4</v>
      </c>
      <c r="K14" s="580">
        <f>'R4_G2'!K14</f>
        <v>6</v>
      </c>
      <c r="L14" s="580">
        <f>'R4_G2'!L14</f>
        <v>4</v>
      </c>
      <c r="M14" s="580">
        <f>'R4_G2'!M14</f>
        <v>4</v>
      </c>
      <c r="N14" s="581">
        <f>'R4_G2'!N14</f>
        <v>45</v>
      </c>
      <c r="O14" s="582">
        <f>'R4_G2'!O14</f>
        <v>0</v>
      </c>
      <c r="P14" s="583" t="str">
        <f>'R4_G2'!P14</f>
        <v>DK</v>
      </c>
      <c r="Q14" s="580">
        <f>'R4_G2'!Q14</f>
        <v>4</v>
      </c>
      <c r="R14" s="580">
        <f>'R4_G2'!R14</f>
        <v>7</v>
      </c>
      <c r="S14" s="580">
        <f>'R4_G2'!S14</f>
        <v>4</v>
      </c>
      <c r="T14" s="580">
        <f>'R4_G2'!T14</f>
        <v>4</v>
      </c>
      <c r="U14" s="580">
        <f>'R4_G2'!U14</f>
        <v>5</v>
      </c>
      <c r="V14" s="580">
        <f>'R4_G2'!V14</f>
        <v>6</v>
      </c>
      <c r="W14" s="580">
        <f>'R4_G2'!W14</f>
        <v>4</v>
      </c>
      <c r="X14" s="580">
        <f>'R4_G2'!X14</f>
        <v>5</v>
      </c>
      <c r="Y14" s="580">
        <f>'R4_G2'!Y14</f>
        <v>5</v>
      </c>
      <c r="Z14" s="581">
        <f>'R4_G2'!Z14</f>
        <v>44</v>
      </c>
      <c r="AA14" s="581">
        <f>'R4_G2'!AA14</f>
        <v>89</v>
      </c>
      <c r="AB14" s="584">
        <f ca="1">'R4_G2'!AB14</f>
        <v>73</v>
      </c>
    </row>
    <row r="15" spans="1:28" ht="7.5" hidden="1" customHeight="1">
      <c r="A15" s="159"/>
      <c r="B15" s="254"/>
      <c r="C15" s="603">
        <f>'R4_G2'!C15</f>
        <v>0</v>
      </c>
      <c r="D15" s="604">
        <f>'R4_G2'!D15</f>
        <v>0</v>
      </c>
      <c r="E15" s="164" t="str">
        <f ca="1">'R4_G2'!E15</f>
        <v/>
      </c>
      <c r="F15" s="164" t="str">
        <f ca="1">'R4_G2'!F15</f>
        <v>O</v>
      </c>
      <c r="G15" s="164" t="str">
        <f ca="1">'R4_G2'!G15</f>
        <v/>
      </c>
      <c r="H15" s="164" t="str">
        <f ca="1">'R4_G2'!H15</f>
        <v/>
      </c>
      <c r="I15" s="164" t="str">
        <f ca="1">'R4_G2'!I15</f>
        <v>O</v>
      </c>
      <c r="J15" s="164" t="str">
        <f ca="1">'R4_G2'!J15</f>
        <v/>
      </c>
      <c r="K15" s="164" t="str">
        <f ca="1">'R4_G2'!K15</f>
        <v>O</v>
      </c>
      <c r="L15" s="164" t="str">
        <f ca="1">'R4_G2'!L15</f>
        <v>O</v>
      </c>
      <c r="M15" s="164" t="str">
        <f ca="1">'R4_G2'!M15</f>
        <v>O</v>
      </c>
      <c r="N15" s="605">
        <f>'R4_G2'!N15</f>
        <v>0</v>
      </c>
      <c r="O15" s="606">
        <f>'R4_G2'!O15</f>
        <v>0</v>
      </c>
      <c r="P15" s="607">
        <f>'R4_G2'!P15</f>
        <v>0</v>
      </c>
      <c r="Q15" s="164" t="str">
        <f ca="1">'R4_G2'!Q15</f>
        <v/>
      </c>
      <c r="R15" s="164" t="str">
        <f ca="1">'R4_G2'!R15</f>
        <v>O</v>
      </c>
      <c r="S15" s="164" t="str">
        <f ca="1">'R4_G2'!S15</f>
        <v>O</v>
      </c>
      <c r="T15" s="164" t="str">
        <f ca="1">'R4_G2'!T15</f>
        <v/>
      </c>
      <c r="U15" s="164" t="str">
        <f ca="1">'R4_G2'!U15</f>
        <v/>
      </c>
      <c r="V15" s="164" t="str">
        <f ca="1">'R4_G2'!V15</f>
        <v/>
      </c>
      <c r="W15" s="164" t="str">
        <f ca="1">'R4_G2'!W15</f>
        <v>O</v>
      </c>
      <c r="X15" s="164" t="str">
        <f ca="1">'R4_G2'!X15</f>
        <v>O</v>
      </c>
      <c r="Y15" s="164" t="str">
        <f ca="1">'R4_G2'!Y15</f>
        <v/>
      </c>
      <c r="Z15" s="605">
        <f>'R4_G2'!Z15</f>
        <v>0</v>
      </c>
      <c r="AA15" s="608">
        <f>'R4_G2'!AA15</f>
        <v>0</v>
      </c>
      <c r="AB15" s="602">
        <f>'R4_G2'!AB15</f>
        <v>0</v>
      </c>
    </row>
    <row r="16" spans="1:28" ht="22.5" hidden="1" customHeight="1">
      <c r="A16" s="649" t="str">
        <f>'R4_G2'!A4</f>
        <v>Par:</v>
      </c>
      <c r="B16" s="255">
        <f>'R4_G2'!B4</f>
        <v>0</v>
      </c>
      <c r="C16" s="594">
        <f>'R4_G2'!C16</f>
        <v>0</v>
      </c>
      <c r="D16" s="594">
        <f>'R4_G2'!D16</f>
        <v>0</v>
      </c>
      <c r="E16" s="176">
        <f ca="1">'R4_G2'!E16</f>
        <v>0</v>
      </c>
      <c r="F16" s="176">
        <f ca="1">'R4_G2'!F16</f>
        <v>1</v>
      </c>
      <c r="G16" s="176">
        <f ca="1">'R4_G2'!G16</f>
        <v>0</v>
      </c>
      <c r="H16" s="176">
        <f ca="1">'R4_G2'!H16</f>
        <v>0</v>
      </c>
      <c r="I16" s="176">
        <f ca="1">'R4_G2'!I16</f>
        <v>1</v>
      </c>
      <c r="J16" s="176">
        <f ca="1">'R4_G2'!J16</f>
        <v>0</v>
      </c>
      <c r="K16" s="176">
        <f ca="1">'R4_G2'!K16</f>
        <v>1</v>
      </c>
      <c r="L16" s="176">
        <f ca="1">'R4_G2'!L16</f>
        <v>1</v>
      </c>
      <c r="M16" s="176">
        <f ca="1">'R4_G2'!M16</f>
        <v>1</v>
      </c>
      <c r="N16" s="575">
        <f>'R4_G2'!N16</f>
        <v>0</v>
      </c>
      <c r="O16" s="576">
        <f>'R4_G2'!O16</f>
        <v>0</v>
      </c>
      <c r="P16" s="595">
        <f>'R4_G2'!P16</f>
        <v>0</v>
      </c>
      <c r="Q16" s="176">
        <f ca="1">'R4_G2'!Q16</f>
        <v>0</v>
      </c>
      <c r="R16" s="176">
        <f ca="1">'R4_G2'!R16</f>
        <v>1</v>
      </c>
      <c r="S16" s="176">
        <f ca="1">'R4_G2'!S16</f>
        <v>1</v>
      </c>
      <c r="T16" s="176">
        <f ca="1">'R4_G2'!T16</f>
        <v>0</v>
      </c>
      <c r="U16" s="176">
        <f ca="1">'R4_G2'!U16</f>
        <v>0</v>
      </c>
      <c r="V16" s="176">
        <f ca="1">'R4_G2'!V16</f>
        <v>0</v>
      </c>
      <c r="W16" s="176">
        <f ca="1">'R4_G2'!W16</f>
        <v>1</v>
      </c>
      <c r="X16" s="176">
        <f ca="1">'R4_G2'!X16</f>
        <v>1</v>
      </c>
      <c r="Y16" s="176">
        <f ca="1">'R4_G2'!Y16</f>
        <v>0</v>
      </c>
      <c r="Z16" s="575">
        <f>'R4_G2'!Z16</f>
        <v>0</v>
      </c>
      <c r="AA16" s="609">
        <f>'R4_G2'!AA16</f>
        <v>0</v>
      </c>
      <c r="AB16" s="577">
        <f>'R4_G2'!AB16</f>
        <v>0</v>
      </c>
    </row>
    <row r="17" spans="1:28" ht="22.5" hidden="1" customHeight="1">
      <c r="A17" s="191" t="str">
        <f>'R4_G2'!A$17</f>
        <v>R-Mac</v>
      </c>
      <c r="B17" s="257" t="str">
        <f>'R4_G2'!B$17</f>
        <v>TEES</v>
      </c>
      <c r="C17" s="596">
        <f ca="1">'R4_G2'!C17</f>
        <v>9</v>
      </c>
      <c r="D17" s="596">
        <f ca="1">'R4_G2'!D17</f>
        <v>9</v>
      </c>
      <c r="E17" s="186">
        <f>'R4_G2'!E17</f>
        <v>4</v>
      </c>
      <c r="F17" s="186">
        <f>'R4_G2'!F17</f>
        <v>5</v>
      </c>
      <c r="G17" s="186">
        <f>'R4_G2'!G17</f>
        <v>8</v>
      </c>
      <c r="H17" s="186">
        <f>'R4_G2'!H17</f>
        <v>4</v>
      </c>
      <c r="I17" s="186">
        <f>'R4_G2'!I17</f>
        <v>7</v>
      </c>
      <c r="J17" s="186">
        <f>'R4_G2'!J17</f>
        <v>6</v>
      </c>
      <c r="K17" s="186">
        <f>'R4_G2'!K17</f>
        <v>5</v>
      </c>
      <c r="L17" s="186">
        <f>'R4_G2'!L17</f>
        <v>5</v>
      </c>
      <c r="M17" s="186">
        <f>'R4_G2'!M17</f>
        <v>4</v>
      </c>
      <c r="N17" s="581">
        <f>'R4_G2'!N17</f>
        <v>48</v>
      </c>
      <c r="O17" s="582">
        <f>'R4_G2'!O17</f>
        <v>0</v>
      </c>
      <c r="P17" s="191" t="str">
        <f>'R4_G2'!P17</f>
        <v>R-Mac</v>
      </c>
      <c r="Q17" s="186">
        <f>'R4_G2'!Q17</f>
        <v>5</v>
      </c>
      <c r="R17" s="186">
        <f>'R4_G2'!R17</f>
        <v>5</v>
      </c>
      <c r="S17" s="186">
        <f>'R4_G2'!S17</f>
        <v>5</v>
      </c>
      <c r="T17" s="186">
        <f>'R4_G2'!T17</f>
        <v>4</v>
      </c>
      <c r="U17" s="186">
        <f>'R4_G2'!U17</f>
        <v>5</v>
      </c>
      <c r="V17" s="186">
        <f>'R4_G2'!V17</f>
        <v>5</v>
      </c>
      <c r="W17" s="186">
        <f>'R4_G2'!W17</f>
        <v>4</v>
      </c>
      <c r="X17" s="186">
        <f>'R4_G2'!X17</f>
        <v>4</v>
      </c>
      <c r="Y17" s="186">
        <f>'R4_G2'!Y17</f>
        <v>4</v>
      </c>
      <c r="Z17" s="581">
        <f>'R4_G2'!Z17</f>
        <v>41</v>
      </c>
      <c r="AA17" s="581">
        <f>'R4_G2'!AA17</f>
        <v>89</v>
      </c>
      <c r="AB17" s="584">
        <f ca="1">'R4_G2'!AB17</f>
        <v>80</v>
      </c>
    </row>
    <row r="18" spans="1:28" ht="7.5" hidden="1" customHeight="1">
      <c r="A18" s="112"/>
      <c r="B18" s="111"/>
      <c r="C18" s="566"/>
      <c r="D18" s="111"/>
      <c r="E18" s="115" t="str">
        <f ca="1">'R4_G4'!E6</f>
        <v/>
      </c>
      <c r="F18" s="115" t="str">
        <f ca="1">'R4_G4'!F6</f>
        <v>O</v>
      </c>
      <c r="G18" s="115" t="str">
        <f ca="1">'R4_G4'!G6</f>
        <v/>
      </c>
      <c r="H18" s="115" t="str">
        <f ca="1">'R4_G4'!H6</f>
        <v/>
      </c>
      <c r="I18" s="115" t="str">
        <f ca="1">'R4_G4'!I6</f>
        <v>O</v>
      </c>
      <c r="J18" s="115" t="str">
        <f ca="1">'R4_G4'!J6</f>
        <v/>
      </c>
      <c r="K18" s="115" t="str">
        <f ca="1">'R4_G4'!K6</f>
        <v>O</v>
      </c>
      <c r="L18" s="115" t="str">
        <f ca="1">'R4_G4'!L6</f>
        <v>O</v>
      </c>
      <c r="M18" s="115" t="str">
        <f ca="1">'R4_G4'!M6</f>
        <v/>
      </c>
      <c r="N18" s="567"/>
      <c r="O18" s="568"/>
      <c r="P18" s="569"/>
      <c r="Q18" s="115" t="str">
        <f ca="1">'R4_G4'!Q6</f>
        <v/>
      </c>
      <c r="R18" s="115" t="str">
        <f ca="1">'R4_G4'!R6</f>
        <v>O</v>
      </c>
      <c r="S18" s="115" t="str">
        <f ca="1">'R4_G4'!S6</f>
        <v>O</v>
      </c>
      <c r="T18" s="115" t="str">
        <f ca="1">'R4_G4'!T6</f>
        <v/>
      </c>
      <c r="U18" s="115" t="str">
        <f ca="1">'R4_G4'!U6</f>
        <v/>
      </c>
      <c r="V18" s="115" t="str">
        <f ca="1">'R4_G4'!V6</f>
        <v/>
      </c>
      <c r="W18" s="115" t="str">
        <f ca="1">'R4_G4'!W6</f>
        <v>O</v>
      </c>
      <c r="X18" s="115" t="str">
        <f ca="1">'R4_G4'!X6</f>
        <v>O</v>
      </c>
      <c r="Y18" s="115" t="str">
        <f ca="1">'R4_G4'!Y6</f>
        <v/>
      </c>
      <c r="Z18" s="570">
        <f>'R4_G4'!Z6</f>
        <v>0</v>
      </c>
      <c r="AA18" s="571">
        <f>'R4_G4'!AA6</f>
        <v>0</v>
      </c>
      <c r="AB18" s="571">
        <f>'R4_G4'!AB6</f>
        <v>0</v>
      </c>
    </row>
    <row r="19" spans="1:28" ht="22.5" hidden="1" customHeight="1">
      <c r="A19" s="123"/>
      <c r="B19" s="572"/>
      <c r="C19" s="573"/>
      <c r="D19" s="573"/>
      <c r="E19" s="574">
        <f ca="1">'R4_G4'!E7</f>
        <v>0</v>
      </c>
      <c r="F19" s="574">
        <f ca="1">'R4_G4'!F7</f>
        <v>1</v>
      </c>
      <c r="G19" s="574">
        <f ca="1">'R4_G4'!G7</f>
        <v>0</v>
      </c>
      <c r="H19" s="574">
        <f ca="1">'R4_G4'!H7</f>
        <v>0</v>
      </c>
      <c r="I19" s="574">
        <f ca="1">'R4_G4'!I7</f>
        <v>1</v>
      </c>
      <c r="J19" s="574">
        <f ca="1">'R4_G4'!J7</f>
        <v>0</v>
      </c>
      <c r="K19" s="574">
        <f ca="1">'R4_G4'!K7</f>
        <v>1</v>
      </c>
      <c r="L19" s="574">
        <f ca="1">'R4_G4'!L7</f>
        <v>1</v>
      </c>
      <c r="M19" s="574">
        <f ca="1">'R4_G4'!M7</f>
        <v>0</v>
      </c>
      <c r="N19" s="610"/>
      <c r="O19" s="576"/>
      <c r="P19" s="260"/>
      <c r="Q19" s="574">
        <f ca="1">'R4_G4'!Q7</f>
        <v>0</v>
      </c>
      <c r="R19" s="574">
        <f ca="1">'R4_G4'!R7</f>
        <v>1</v>
      </c>
      <c r="S19" s="574">
        <f ca="1">'R4_G4'!S7</f>
        <v>1</v>
      </c>
      <c r="T19" s="574">
        <f ca="1">'R4_G4'!T7</f>
        <v>0</v>
      </c>
      <c r="U19" s="574">
        <f ca="1">'R4_G4'!U7</f>
        <v>0</v>
      </c>
      <c r="V19" s="574">
        <f ca="1">'R4_G4'!V7</f>
        <v>0</v>
      </c>
      <c r="W19" s="574">
        <f ca="1">'R4_G4'!W7</f>
        <v>1</v>
      </c>
      <c r="X19" s="574">
        <f ca="1">'R4_G4'!X7</f>
        <v>1</v>
      </c>
      <c r="Y19" s="574">
        <f ca="1">'R4_G4'!Y7</f>
        <v>0</v>
      </c>
      <c r="Z19" s="610">
        <f>'R4_G4'!Z7</f>
        <v>0</v>
      </c>
      <c r="AA19" s="610">
        <f>'R4_G4'!AA7</f>
        <v>0</v>
      </c>
      <c r="AB19" s="577">
        <f>'R4_G4'!AB7</f>
        <v>0</v>
      </c>
    </row>
    <row r="20" spans="1:28" ht="22.5" hidden="1" customHeight="1">
      <c r="A20" s="136" t="str">
        <f>'R4_G4'!A8</f>
        <v>Telly</v>
      </c>
      <c r="B20" s="137" t="str">
        <f>'R4_G4'!B8</f>
        <v>TEES</v>
      </c>
      <c r="C20" s="579">
        <f ca="1">'R4_G4'!C8</f>
        <v>8</v>
      </c>
      <c r="D20" s="579">
        <f ca="1">'R4_G4'!D8</f>
        <v>8</v>
      </c>
      <c r="E20" s="580">
        <f>'R4_G4'!E8</f>
        <v>5</v>
      </c>
      <c r="F20" s="580">
        <f>'R4_G4'!F8</f>
        <v>4</v>
      </c>
      <c r="G20" s="580">
        <f>'R4_G4'!G8</f>
        <v>5</v>
      </c>
      <c r="H20" s="580">
        <f>'R4_G4'!H8</f>
        <v>3</v>
      </c>
      <c r="I20" s="580">
        <f>'R4_G4'!I8</f>
        <v>4</v>
      </c>
      <c r="J20" s="580">
        <f>'R4_G4'!J8</f>
        <v>6</v>
      </c>
      <c r="K20" s="580">
        <f>'R4_G4'!K8</f>
        <v>6</v>
      </c>
      <c r="L20" s="580">
        <f>'R4_G4'!L8</f>
        <v>4</v>
      </c>
      <c r="M20" s="580">
        <f>'R4_G4'!M8</f>
        <v>3</v>
      </c>
      <c r="N20" s="581">
        <f>'R4_G4'!N8</f>
        <v>40</v>
      </c>
      <c r="O20" s="582"/>
      <c r="P20" s="583" t="str">
        <f>'R4_G4'!P8</f>
        <v>Telly</v>
      </c>
      <c r="Q20" s="580">
        <f>'R4_G4'!Q8</f>
        <v>6</v>
      </c>
      <c r="R20" s="580">
        <f>'R4_G4'!R8</f>
        <v>6</v>
      </c>
      <c r="S20" s="580">
        <f>'R4_G4'!S8</f>
        <v>5</v>
      </c>
      <c r="T20" s="580">
        <f>'R4_G4'!T8</f>
        <v>3</v>
      </c>
      <c r="U20" s="580">
        <f>'R4_G4'!U8</f>
        <v>4</v>
      </c>
      <c r="V20" s="580">
        <f>'R4_G4'!V8</f>
        <v>4</v>
      </c>
      <c r="W20" s="580">
        <f>'R4_G4'!W8</f>
        <v>5</v>
      </c>
      <c r="X20" s="580">
        <f>'R4_G4'!X8</f>
        <v>5</v>
      </c>
      <c r="Y20" s="580">
        <f>'R4_G4'!Y8</f>
        <v>6</v>
      </c>
      <c r="Z20" s="581">
        <f>'R4_G4'!Z8</f>
        <v>44</v>
      </c>
      <c r="AA20" s="581">
        <f>'R4_G4'!AA8</f>
        <v>84</v>
      </c>
      <c r="AB20" s="584">
        <f ca="1">'R4_G4'!AB8</f>
        <v>76</v>
      </c>
    </row>
    <row r="21" spans="1:28" ht="7.5" hidden="1" customHeight="1">
      <c r="A21" s="299"/>
      <c r="B21" s="585"/>
      <c r="C21" s="586"/>
      <c r="D21" s="587"/>
      <c r="E21" s="588" t="str">
        <f ca="1">'R4_G4'!E9</f>
        <v>O   O</v>
      </c>
      <c r="F21" s="588" t="str">
        <f ca="1">'R4_G4'!F9</f>
        <v>O   O</v>
      </c>
      <c r="G21" s="588" t="str">
        <f ca="1">'R4_G4'!G9</f>
        <v>O   O</v>
      </c>
      <c r="H21" s="588" t="str">
        <f ca="1">'R4_G4'!H9</f>
        <v>O   O</v>
      </c>
      <c r="I21" s="588" t="str">
        <f ca="1">'R4_G4'!I9</f>
        <v>O   O</v>
      </c>
      <c r="J21" s="588" t="str">
        <f ca="1">'R4_G4'!J9</f>
        <v>O   O</v>
      </c>
      <c r="K21" s="588" t="str">
        <f ca="1">'R4_G4'!K9</f>
        <v>O   O</v>
      </c>
      <c r="L21" s="588" t="str">
        <f ca="1">'R4_G4'!L9</f>
        <v>O   O</v>
      </c>
      <c r="M21" s="588" t="str">
        <f ca="1">'R4_G4'!M9</f>
        <v>O   O</v>
      </c>
      <c r="N21" s="589"/>
      <c r="O21" s="590"/>
      <c r="P21" s="591"/>
      <c r="Q21" s="588" t="str">
        <f ca="1">'R4_G4'!Q9</f>
        <v>O</v>
      </c>
      <c r="R21" s="588" t="str">
        <f ca="1">'R4_G4'!R9</f>
        <v>O   O</v>
      </c>
      <c r="S21" s="588" t="str">
        <f ca="1">'R4_G4'!S9</f>
        <v>O   O</v>
      </c>
      <c r="T21" s="588" t="str">
        <f ca="1">'R4_G4'!T9</f>
        <v>O   O</v>
      </c>
      <c r="U21" s="588" t="str">
        <f ca="1">'R4_G4'!U9</f>
        <v>O   O</v>
      </c>
      <c r="V21" s="588" t="str">
        <f ca="1">'R4_G4'!V9</f>
        <v>O   O</v>
      </c>
      <c r="W21" s="588" t="str">
        <f ca="1">'R4_G4'!W9</f>
        <v>O   O</v>
      </c>
      <c r="X21" s="588" t="str">
        <f ca="1">'R4_G4'!X9</f>
        <v>O   O</v>
      </c>
      <c r="Y21" s="588" t="str">
        <f ca="1">'R4_G4'!Y9</f>
        <v>O   O</v>
      </c>
      <c r="Z21" s="589">
        <f>'R4_G4'!Z9</f>
        <v>0</v>
      </c>
      <c r="AA21" s="592">
        <f>'R4_G4'!AA9</f>
        <v>0</v>
      </c>
      <c r="AB21" s="593">
        <f>'R4_G4'!AB9</f>
        <v>0</v>
      </c>
    </row>
    <row r="22" spans="1:28" ht="22.5" hidden="1" customHeight="1">
      <c r="A22" s="171"/>
      <c r="B22" s="255"/>
      <c r="C22" s="594"/>
      <c r="D22" s="594"/>
      <c r="E22" s="176">
        <f ca="1">'R4_G4'!E10</f>
        <v>2</v>
      </c>
      <c r="F22" s="176">
        <f ca="1">'R4_G4'!F10</f>
        <v>2</v>
      </c>
      <c r="G22" s="176">
        <f ca="1">'R4_G4'!G10</f>
        <v>2</v>
      </c>
      <c r="H22" s="176">
        <f ca="1">'R4_G4'!H10</f>
        <v>2</v>
      </c>
      <c r="I22" s="176">
        <f ca="1">'R4_G4'!I10</f>
        <v>2</v>
      </c>
      <c r="J22" s="176">
        <f ca="1">'R4_G4'!J10</f>
        <v>2</v>
      </c>
      <c r="K22" s="176">
        <f ca="1">'R4_G4'!K10</f>
        <v>2</v>
      </c>
      <c r="L22" s="176">
        <f ca="1">'R4_G4'!L10</f>
        <v>2</v>
      </c>
      <c r="M22" s="176">
        <f ca="1">'R4_G4'!M10</f>
        <v>2</v>
      </c>
      <c r="N22" s="610"/>
      <c r="O22" s="576"/>
      <c r="P22" s="595"/>
      <c r="Q22" s="176">
        <f ca="1">'R4_G4'!Q10</f>
        <v>1</v>
      </c>
      <c r="R22" s="176">
        <f ca="1">'R4_G4'!R10</f>
        <v>2</v>
      </c>
      <c r="S22" s="176">
        <f ca="1">'R4_G4'!S10</f>
        <v>2</v>
      </c>
      <c r="T22" s="176">
        <f ca="1">'R4_G4'!T10</f>
        <v>2</v>
      </c>
      <c r="U22" s="176">
        <f ca="1">'R4_G4'!U10</f>
        <v>2</v>
      </c>
      <c r="V22" s="176">
        <f ca="1">'R4_G4'!V10</f>
        <v>2</v>
      </c>
      <c r="W22" s="176">
        <f ca="1">'R4_G4'!W10</f>
        <v>2</v>
      </c>
      <c r="X22" s="176">
        <f ca="1">'R4_G4'!X10</f>
        <v>2</v>
      </c>
      <c r="Y22" s="176">
        <f ca="1">'R4_G4'!Y10</f>
        <v>2</v>
      </c>
      <c r="Z22" s="610">
        <f>'R4_G4'!Z10</f>
        <v>0</v>
      </c>
      <c r="AA22" s="610">
        <f>'R4_G4'!AA10</f>
        <v>0</v>
      </c>
      <c r="AB22" s="577">
        <f>'R4_G4'!AB10</f>
        <v>0</v>
      </c>
    </row>
    <row r="23" spans="1:28" ht="22.5" hidden="1" customHeight="1">
      <c r="A23" s="181" t="str">
        <f>'R4_G4'!A11</f>
        <v>Saugy</v>
      </c>
      <c r="B23" s="257" t="str">
        <f>'R4_G4'!B11</f>
        <v>TEES</v>
      </c>
      <c r="C23" s="596">
        <f ca="1">'R4_G4'!C11</f>
        <v>35</v>
      </c>
      <c r="D23" s="596">
        <f ca="1">'R4_G4'!D11</f>
        <v>35</v>
      </c>
      <c r="E23" s="186">
        <f>'R4_G4'!E11</f>
        <v>4</v>
      </c>
      <c r="F23" s="186">
        <f>'R4_G4'!F11</f>
        <v>6</v>
      </c>
      <c r="G23" s="186">
        <f>'R4_G4'!G11</f>
        <v>6</v>
      </c>
      <c r="H23" s="186">
        <f>'R4_G4'!H11</f>
        <v>5</v>
      </c>
      <c r="I23" s="186">
        <f>'R4_G4'!I11</f>
        <v>6</v>
      </c>
      <c r="J23" s="186">
        <f>'R4_G4'!J11</f>
        <v>7</v>
      </c>
      <c r="K23" s="186">
        <f>'R4_G4'!K11</f>
        <v>7</v>
      </c>
      <c r="L23" s="186">
        <f>'R4_G4'!L11</f>
        <v>5</v>
      </c>
      <c r="M23" s="186">
        <f>'R4_G4'!M11</f>
        <v>7</v>
      </c>
      <c r="N23" s="581">
        <f>'R4_G4'!N11</f>
        <v>53</v>
      </c>
      <c r="O23" s="582"/>
      <c r="P23" s="191" t="str">
        <f>'R4_G4'!P11</f>
        <v>Saugy</v>
      </c>
      <c r="Q23" s="186">
        <f>'R4_G4'!Q11</f>
        <v>8</v>
      </c>
      <c r="R23" s="186">
        <f>'R4_G4'!R11</f>
        <v>5</v>
      </c>
      <c r="S23" s="186">
        <f>'R4_G4'!S11</f>
        <v>8</v>
      </c>
      <c r="T23" s="186">
        <f>'R4_G4'!T11</f>
        <v>4</v>
      </c>
      <c r="U23" s="186">
        <f>'R4_G4'!U11</f>
        <v>8</v>
      </c>
      <c r="V23" s="186">
        <f>'R4_G4'!V11</f>
        <v>9</v>
      </c>
      <c r="W23" s="186">
        <f>'R4_G4'!W11</f>
        <v>7</v>
      </c>
      <c r="X23" s="186">
        <f>'R4_G4'!X11</f>
        <v>7</v>
      </c>
      <c r="Y23" s="186">
        <f>'R4_G4'!Y11</f>
        <v>5</v>
      </c>
      <c r="Z23" s="581">
        <f>'R4_G4'!Z11</f>
        <v>61</v>
      </c>
      <c r="AA23" s="581">
        <f>'R4_G4'!AA11</f>
        <v>114</v>
      </c>
      <c r="AB23" s="584">
        <f ca="1">'R4_G4'!AB11</f>
        <v>79</v>
      </c>
    </row>
    <row r="24" spans="1:28" ht="7.5" hidden="1" customHeight="1">
      <c r="A24" s="245"/>
      <c r="B24" s="259"/>
      <c r="C24" s="597"/>
      <c r="D24" s="598"/>
      <c r="E24" s="599" t="str">
        <f ca="1">'R4_G4'!E12</f>
        <v/>
      </c>
      <c r="F24" s="599" t="str">
        <f ca="1">'R4_G4'!F12</f>
        <v>O</v>
      </c>
      <c r="G24" s="599" t="str">
        <f ca="1">'R4_G4'!G12</f>
        <v/>
      </c>
      <c r="H24" s="599" t="str">
        <f ca="1">'R4_G4'!H12</f>
        <v/>
      </c>
      <c r="I24" s="599" t="str">
        <f ca="1">'R4_G4'!I12</f>
        <v>O</v>
      </c>
      <c r="J24" s="599" t="str">
        <f ca="1">'R4_G4'!J12</f>
        <v/>
      </c>
      <c r="K24" s="599" t="str">
        <f ca="1">'R4_G4'!K12</f>
        <v>O</v>
      </c>
      <c r="L24" s="599" t="str">
        <f ca="1">'R4_G4'!L12</f>
        <v>O</v>
      </c>
      <c r="M24" s="599" t="str">
        <f ca="1">'R4_G4'!M12</f>
        <v>O</v>
      </c>
      <c r="N24" s="600"/>
      <c r="O24" s="601"/>
      <c r="P24" s="147"/>
      <c r="Q24" s="599" t="str">
        <f ca="1">'R4_G4'!Q12</f>
        <v/>
      </c>
      <c r="R24" s="599" t="str">
        <f ca="1">'R4_G4'!R12</f>
        <v>O</v>
      </c>
      <c r="S24" s="599" t="str">
        <f ca="1">'R4_G4'!S12</f>
        <v>O</v>
      </c>
      <c r="T24" s="599" t="str">
        <f ca="1">'R4_G4'!T12</f>
        <v/>
      </c>
      <c r="U24" s="599" t="str">
        <f ca="1">'R4_G4'!U12</f>
        <v/>
      </c>
      <c r="V24" s="599" t="str">
        <f ca="1">'R4_G4'!V12</f>
        <v/>
      </c>
      <c r="W24" s="599" t="str">
        <f ca="1">'R4_G4'!W12</f>
        <v>O</v>
      </c>
      <c r="X24" s="599" t="str">
        <f ca="1">'R4_G4'!X12</f>
        <v>O</v>
      </c>
      <c r="Y24" s="599" t="str">
        <f ca="1">'R4_G4'!Y12</f>
        <v/>
      </c>
      <c r="Z24" s="589">
        <f>'R4_G4'!Z12</f>
        <v>0</v>
      </c>
      <c r="AA24" s="592">
        <f>'R4_G4'!AA12</f>
        <v>0</v>
      </c>
      <c r="AB24" s="602">
        <f>'R4_G4'!AB12</f>
        <v>0</v>
      </c>
    </row>
    <row r="25" spans="1:28" ht="22.5" hidden="1" customHeight="1">
      <c r="A25" s="123"/>
      <c r="B25" s="572"/>
      <c r="C25" s="573"/>
      <c r="D25" s="573"/>
      <c r="E25" s="574">
        <f ca="1">'R4_G4'!E13</f>
        <v>0</v>
      </c>
      <c r="F25" s="574">
        <f ca="1">'R4_G4'!F13</f>
        <v>1</v>
      </c>
      <c r="G25" s="574">
        <f ca="1">'R4_G4'!G13</f>
        <v>0</v>
      </c>
      <c r="H25" s="574">
        <f ca="1">'R4_G4'!H13</f>
        <v>0</v>
      </c>
      <c r="I25" s="574">
        <f ca="1">'R4_G4'!I13</f>
        <v>1</v>
      </c>
      <c r="J25" s="574">
        <f ca="1">'R4_G4'!J13</f>
        <v>0</v>
      </c>
      <c r="K25" s="574">
        <f ca="1">'R4_G4'!K13</f>
        <v>1</v>
      </c>
      <c r="L25" s="574">
        <f ca="1">'R4_G4'!L13</f>
        <v>1</v>
      </c>
      <c r="M25" s="574">
        <f ca="1">'R4_G4'!M13</f>
        <v>1</v>
      </c>
      <c r="N25" s="610"/>
      <c r="O25" s="576"/>
      <c r="P25" s="260"/>
      <c r="Q25" s="574">
        <f ca="1">'R4_G4'!Q13</f>
        <v>0</v>
      </c>
      <c r="R25" s="574">
        <f ca="1">'R4_G4'!R13</f>
        <v>1</v>
      </c>
      <c r="S25" s="574">
        <f ca="1">'R4_G4'!S13</f>
        <v>1</v>
      </c>
      <c r="T25" s="574">
        <f ca="1">'R4_G4'!T13</f>
        <v>0</v>
      </c>
      <c r="U25" s="574">
        <f ca="1">'R4_G4'!U13</f>
        <v>0</v>
      </c>
      <c r="V25" s="574">
        <f ca="1">'R4_G4'!V13</f>
        <v>0</v>
      </c>
      <c r="W25" s="574">
        <f ca="1">'R4_G4'!W13</f>
        <v>1</v>
      </c>
      <c r="X25" s="574">
        <f ca="1">'R4_G4'!X13</f>
        <v>1</v>
      </c>
      <c r="Y25" s="574">
        <f ca="1">'R4_G4'!Y13</f>
        <v>0</v>
      </c>
      <c r="Z25" s="610">
        <f>'R4_G4'!Z13</f>
        <v>0</v>
      </c>
      <c r="AA25" s="610">
        <f>'R4_G4'!AA13</f>
        <v>0</v>
      </c>
      <c r="AB25" s="577">
        <f>'R4_G4'!AB13</f>
        <v>0</v>
      </c>
    </row>
    <row r="26" spans="1:28" ht="22.5" hidden="1" customHeight="1">
      <c r="A26" s="136" t="str">
        <f>'R4_G4'!A14</f>
        <v>KJ</v>
      </c>
      <c r="B26" s="578" t="str">
        <f>'R4_G4'!B14</f>
        <v>TEES</v>
      </c>
      <c r="C26" s="579">
        <f ca="1">'R4_G4'!C14</f>
        <v>9</v>
      </c>
      <c r="D26" s="579">
        <f ca="1">'R4_G4'!D14</f>
        <v>9</v>
      </c>
      <c r="E26" s="580">
        <f>'R4_G4'!E14</f>
        <v>7</v>
      </c>
      <c r="F26" s="580">
        <f>'R4_G4'!F14</f>
        <v>8</v>
      </c>
      <c r="G26" s="580">
        <f>'R4_G4'!G14</f>
        <v>5</v>
      </c>
      <c r="H26" s="580">
        <f>'R4_G4'!H14</f>
        <v>5</v>
      </c>
      <c r="I26" s="580">
        <f>'R4_G4'!I14</f>
        <v>6</v>
      </c>
      <c r="J26" s="580">
        <f>'R4_G4'!J14</f>
        <v>7</v>
      </c>
      <c r="K26" s="580">
        <f>'R4_G4'!K14</f>
        <v>8</v>
      </c>
      <c r="L26" s="580">
        <f>'R4_G4'!L14</f>
        <v>6</v>
      </c>
      <c r="M26" s="580">
        <f>'R4_G4'!M14</f>
        <v>3</v>
      </c>
      <c r="N26" s="581">
        <f>'R4_G4'!N14</f>
        <v>55</v>
      </c>
      <c r="O26" s="582"/>
      <c r="P26" s="583" t="str">
        <f>'R4_G4'!P14</f>
        <v>KJ</v>
      </c>
      <c r="Q26" s="580">
        <f>'R4_G4'!Q14</f>
        <v>5</v>
      </c>
      <c r="R26" s="580">
        <f>'R4_G4'!R14</f>
        <v>4</v>
      </c>
      <c r="S26" s="580">
        <f>'R4_G4'!S14</f>
        <v>4</v>
      </c>
      <c r="T26" s="580">
        <f>'R4_G4'!T14</f>
        <v>4</v>
      </c>
      <c r="U26" s="580">
        <f>'R4_G4'!U14</f>
        <v>7</v>
      </c>
      <c r="V26" s="580">
        <f>'R4_G4'!V14</f>
        <v>8</v>
      </c>
      <c r="W26" s="580">
        <f>'R4_G4'!W14</f>
        <v>6</v>
      </c>
      <c r="X26" s="580">
        <f>'R4_G4'!X14</f>
        <v>6</v>
      </c>
      <c r="Y26" s="580">
        <f>'R4_G4'!Y14</f>
        <v>6</v>
      </c>
      <c r="Z26" s="581">
        <f>'R4_G4'!Z14</f>
        <v>50</v>
      </c>
      <c r="AA26" s="581">
        <f>'R4_G4'!AA14</f>
        <v>105</v>
      </c>
      <c r="AB26" s="584">
        <f ca="1">'R4_G4'!AB14</f>
        <v>96</v>
      </c>
    </row>
    <row r="27" spans="1:28" ht="7.5" hidden="1" customHeight="1">
      <c r="A27" s="159"/>
      <c r="B27" s="254"/>
      <c r="C27" s="603"/>
      <c r="D27" s="604"/>
      <c r="E27" s="164" t="str">
        <f ca="1">'R4_G4'!E15</f>
        <v/>
      </c>
      <c r="F27" s="164" t="str">
        <f ca="1">'R4_G4'!F15</f>
        <v>O</v>
      </c>
      <c r="G27" s="164" t="str">
        <f ca="1">'R4_G4'!G15</f>
        <v/>
      </c>
      <c r="H27" s="164" t="str">
        <f ca="1">'R4_G4'!H15</f>
        <v/>
      </c>
      <c r="I27" s="164" t="str">
        <f ca="1">'R4_G4'!I15</f>
        <v>O</v>
      </c>
      <c r="J27" s="164" t="str">
        <f ca="1">'R4_G4'!J15</f>
        <v/>
      </c>
      <c r="K27" s="164" t="str">
        <f ca="1">'R4_G4'!K15</f>
        <v>O</v>
      </c>
      <c r="L27" s="164" t="str">
        <f ca="1">'R4_G4'!L15</f>
        <v>O</v>
      </c>
      <c r="M27" s="164" t="str">
        <f ca="1">'R4_G4'!M15</f>
        <v>O</v>
      </c>
      <c r="N27" s="605"/>
      <c r="O27" s="606"/>
      <c r="P27" s="607"/>
      <c r="Q27" s="164" t="str">
        <f ca="1">'R4_G4'!Q15</f>
        <v/>
      </c>
      <c r="R27" s="164" t="str">
        <f ca="1">'R4_G4'!R15</f>
        <v>O</v>
      </c>
      <c r="S27" s="164" t="str">
        <f ca="1">'R4_G4'!S15</f>
        <v>O</v>
      </c>
      <c r="T27" s="164" t="str">
        <f ca="1">'R4_G4'!T15</f>
        <v/>
      </c>
      <c r="U27" s="164" t="str">
        <f ca="1">'R4_G4'!U15</f>
        <v/>
      </c>
      <c r="V27" s="164" t="str">
        <f ca="1">'R4_G4'!V15</f>
        <v/>
      </c>
      <c r="W27" s="164" t="str">
        <f ca="1">'R4_G4'!W15</f>
        <v>O</v>
      </c>
      <c r="X27" s="164" t="str">
        <f ca="1">'R4_G4'!X15</f>
        <v>O</v>
      </c>
      <c r="Y27" s="164" t="str">
        <f ca="1">'R4_G4'!Y15</f>
        <v/>
      </c>
      <c r="Z27" s="605">
        <f>'R4_G4'!Z15</f>
        <v>0</v>
      </c>
      <c r="AA27" s="608">
        <f>'R4_G4'!AA15</f>
        <v>0</v>
      </c>
      <c r="AB27" s="602">
        <f>'R4_G4'!AB15</f>
        <v>0</v>
      </c>
    </row>
    <row r="28" spans="1:28" ht="22.5" hidden="1" customHeight="1">
      <c r="A28" s="171"/>
      <c r="B28" s="255"/>
      <c r="C28" s="594"/>
      <c r="D28" s="594"/>
      <c r="E28" s="176">
        <f ca="1">'R4_G4'!E16</f>
        <v>0</v>
      </c>
      <c r="F28" s="176">
        <f ca="1">'R4_G4'!F16</f>
        <v>1</v>
      </c>
      <c r="G28" s="176">
        <f ca="1">'R4_G4'!G16</f>
        <v>0</v>
      </c>
      <c r="H28" s="176">
        <f ca="1">'R4_G4'!H16</f>
        <v>0</v>
      </c>
      <c r="I28" s="176">
        <f ca="1">'R4_G4'!I16</f>
        <v>1</v>
      </c>
      <c r="J28" s="176">
        <f ca="1">'R4_G4'!J16</f>
        <v>0</v>
      </c>
      <c r="K28" s="176">
        <f ca="1">'R4_G4'!K16</f>
        <v>1</v>
      </c>
      <c r="L28" s="176">
        <f ca="1">'R4_G4'!L16</f>
        <v>1</v>
      </c>
      <c r="M28" s="176">
        <f ca="1">'R4_G4'!M16</f>
        <v>1</v>
      </c>
      <c r="N28" s="610"/>
      <c r="O28" s="576"/>
      <c r="P28" s="595"/>
      <c r="Q28" s="176">
        <f ca="1">'R4_G4'!Q16</f>
        <v>0</v>
      </c>
      <c r="R28" s="176">
        <f ca="1">'R4_G4'!R16</f>
        <v>1</v>
      </c>
      <c r="S28" s="176">
        <f ca="1">'R4_G4'!S16</f>
        <v>1</v>
      </c>
      <c r="T28" s="176">
        <f ca="1">'R4_G4'!T16</f>
        <v>0</v>
      </c>
      <c r="U28" s="176">
        <f ca="1">'R4_G4'!U16</f>
        <v>0</v>
      </c>
      <c r="V28" s="176">
        <f ca="1">'R4_G4'!V16</f>
        <v>0</v>
      </c>
      <c r="W28" s="176">
        <f ca="1">'R4_G4'!W16</f>
        <v>1</v>
      </c>
      <c r="X28" s="176">
        <f ca="1">'R4_G4'!X16</f>
        <v>1</v>
      </c>
      <c r="Y28" s="176">
        <f ca="1">'R4_G4'!Y16</f>
        <v>0</v>
      </c>
      <c r="Z28" s="610">
        <f>'R4_G4'!Z16</f>
        <v>0</v>
      </c>
      <c r="AA28" s="611">
        <f>'R4_G4'!AA16</f>
        <v>0</v>
      </c>
      <c r="AB28" s="577">
        <f>'R4_G4'!AB16</f>
        <v>0</v>
      </c>
    </row>
    <row r="29" spans="1:28" ht="22.5" hidden="1" customHeight="1">
      <c r="A29" s="191" t="str">
        <f>'R4_G4'!A17</f>
        <v>House</v>
      </c>
      <c r="B29" s="257" t="str">
        <f>'R4_G4'!B17</f>
        <v>TEES</v>
      </c>
      <c r="C29" s="596">
        <f ca="1">'R4_G4'!C17</f>
        <v>9</v>
      </c>
      <c r="D29" s="596">
        <f ca="1">'R4_G4'!D17</f>
        <v>9</v>
      </c>
      <c r="E29" s="186">
        <f>'R4_G4'!E17</f>
        <v>4</v>
      </c>
      <c r="F29" s="186">
        <f>'R4_G4'!F17</f>
        <v>4</v>
      </c>
      <c r="G29" s="186">
        <f>'R4_G4'!G17</f>
        <v>4</v>
      </c>
      <c r="H29" s="186">
        <f>'R4_G4'!H17</f>
        <v>3</v>
      </c>
      <c r="I29" s="186">
        <f>'R4_G4'!I17</f>
        <v>7</v>
      </c>
      <c r="J29" s="186">
        <f>'R4_G4'!J17</f>
        <v>5</v>
      </c>
      <c r="K29" s="186">
        <f>'R4_G4'!K17</f>
        <v>6</v>
      </c>
      <c r="L29" s="186">
        <f>'R4_G4'!L17</f>
        <v>6</v>
      </c>
      <c r="M29" s="186">
        <f>'R4_G4'!M17</f>
        <v>4</v>
      </c>
      <c r="N29" s="581">
        <f>'R4_G4'!N17</f>
        <v>43</v>
      </c>
      <c r="O29" s="582"/>
      <c r="P29" s="191" t="str">
        <f>'R4_G4'!P17</f>
        <v>House</v>
      </c>
      <c r="Q29" s="186">
        <f>'R4_G4'!Q17</f>
        <v>5</v>
      </c>
      <c r="R29" s="186">
        <f>'R4_G4'!R17</f>
        <v>5</v>
      </c>
      <c r="S29" s="186">
        <f>'R4_G4'!S17</f>
        <v>8</v>
      </c>
      <c r="T29" s="186">
        <f>'R4_G4'!T17</f>
        <v>6</v>
      </c>
      <c r="U29" s="186">
        <f>'R4_G4'!U17</f>
        <v>6</v>
      </c>
      <c r="V29" s="186">
        <f>'R4_G4'!V17</f>
        <v>5</v>
      </c>
      <c r="W29" s="186">
        <f>'R4_G4'!W17</f>
        <v>5</v>
      </c>
      <c r="X29" s="186">
        <f>'R4_G4'!X17</f>
        <v>6</v>
      </c>
      <c r="Y29" s="186">
        <f>'R4_G4'!Y17</f>
        <v>3</v>
      </c>
      <c r="Z29" s="581">
        <f>'R4_G4'!Z17</f>
        <v>49</v>
      </c>
      <c r="AA29" s="581">
        <f>'R4_G4'!AA17</f>
        <v>92</v>
      </c>
      <c r="AB29" s="584">
        <f ca="1">'R4_G4'!AB17</f>
        <v>83</v>
      </c>
    </row>
    <row r="30" spans="1:28" ht="18.75" hidden="1" customHeight="1">
      <c r="A30" s="650"/>
      <c r="B30" s="650"/>
      <c r="C30" s="651"/>
      <c r="D30" s="650"/>
      <c r="E30" s="652"/>
      <c r="F30" s="652"/>
      <c r="G30" s="652"/>
      <c r="H30" s="652"/>
      <c r="I30" s="652"/>
      <c r="J30" s="652"/>
      <c r="K30" s="652"/>
      <c r="L30" s="652"/>
      <c r="M30" s="652"/>
      <c r="N30" s="650"/>
      <c r="O30" s="650"/>
      <c r="P30" s="650"/>
      <c r="Q30" s="652"/>
      <c r="R30" s="652"/>
      <c r="S30" s="652"/>
      <c r="T30" s="652"/>
      <c r="U30" s="652"/>
      <c r="V30" s="652"/>
      <c r="W30" s="652"/>
      <c r="X30" s="652"/>
      <c r="Y30" s="652"/>
      <c r="Z30" s="653"/>
      <c r="AA30" s="653"/>
      <c r="AB30" s="653"/>
    </row>
    <row r="31" spans="1:28" ht="14.25" customHeight="1">
      <c r="A31" s="533"/>
      <c r="B31" s="533"/>
      <c r="C31" s="623"/>
      <c r="D31" s="627"/>
      <c r="E31" s="627"/>
      <c r="F31" s="627"/>
      <c r="G31" s="627"/>
      <c r="H31" s="627"/>
      <c r="I31" s="627"/>
      <c r="J31" s="627"/>
      <c r="K31" s="627"/>
      <c r="L31" s="627"/>
      <c r="M31" s="627"/>
      <c r="N31" s="627"/>
      <c r="O31" s="627"/>
      <c r="P31" s="627"/>
      <c r="Q31" s="627"/>
      <c r="R31" s="627"/>
      <c r="S31" s="627"/>
      <c r="T31" s="627"/>
      <c r="U31" s="627"/>
      <c r="V31" s="627"/>
      <c r="W31" s="627"/>
      <c r="X31" s="627"/>
      <c r="Y31" s="627"/>
      <c r="Z31" s="193"/>
      <c r="AA31" s="193"/>
      <c r="AB31" s="193"/>
    </row>
    <row r="32" spans="1:28" ht="18.75" customHeight="1">
      <c r="A32" s="533"/>
      <c r="B32" s="616"/>
      <c r="C32" s="654"/>
      <c r="D32" s="655" t="s">
        <v>70</v>
      </c>
      <c r="E32" s="656">
        <v>1</v>
      </c>
      <c r="F32" s="656">
        <v>2</v>
      </c>
      <c r="G32" s="656">
        <v>3</v>
      </c>
      <c r="H32" s="656">
        <v>4</v>
      </c>
      <c r="I32" s="656">
        <v>5</v>
      </c>
      <c r="J32" s="656">
        <v>6</v>
      </c>
      <c r="K32" s="656">
        <v>7</v>
      </c>
      <c r="L32" s="656">
        <v>8</v>
      </c>
      <c r="M32" s="656">
        <v>9</v>
      </c>
      <c r="N32" s="657"/>
      <c r="O32" s="658"/>
      <c r="P32" s="659" t="s">
        <v>70</v>
      </c>
      <c r="Q32" s="656">
        <v>10</v>
      </c>
      <c r="R32" s="656">
        <v>11</v>
      </c>
      <c r="S32" s="656">
        <v>12</v>
      </c>
      <c r="T32" s="656">
        <v>13</v>
      </c>
      <c r="U32" s="656">
        <v>14</v>
      </c>
      <c r="V32" s="656">
        <v>15</v>
      </c>
      <c r="W32" s="656">
        <v>16</v>
      </c>
      <c r="X32" s="656">
        <v>17</v>
      </c>
      <c r="Y32" s="656">
        <v>18</v>
      </c>
      <c r="Z32" s="193"/>
      <c r="AA32" s="193"/>
      <c r="AB32" s="193"/>
    </row>
    <row r="33" spans="1:28" ht="18.75" customHeight="1">
      <c r="A33" s="533"/>
      <c r="B33" s="616"/>
      <c r="C33" s="623"/>
      <c r="D33" s="624" t="s">
        <v>71</v>
      </c>
      <c r="E33" s="625">
        <f t="shared" ref="E33:M33" ca="1" si="1">E4</f>
        <v>4</v>
      </c>
      <c r="F33" s="625">
        <f t="shared" ca="1" si="1"/>
        <v>4</v>
      </c>
      <c r="G33" s="625">
        <f t="shared" ca="1" si="1"/>
        <v>5</v>
      </c>
      <c r="H33" s="625">
        <f t="shared" ca="1" si="1"/>
        <v>3</v>
      </c>
      <c r="I33" s="625">
        <f t="shared" ca="1" si="1"/>
        <v>4</v>
      </c>
      <c r="J33" s="625">
        <f t="shared" ca="1" si="1"/>
        <v>5</v>
      </c>
      <c r="K33" s="625">
        <f t="shared" ca="1" si="1"/>
        <v>4</v>
      </c>
      <c r="L33" s="625">
        <f t="shared" ca="1" si="1"/>
        <v>4</v>
      </c>
      <c r="M33" s="625">
        <f t="shared" ca="1" si="1"/>
        <v>3</v>
      </c>
      <c r="N33" s="626"/>
      <c r="O33" s="627"/>
      <c r="P33" s="624" t="s">
        <v>71</v>
      </c>
      <c r="Q33" s="625">
        <f t="shared" ref="Q33:Y33" ca="1" si="2">Q4</f>
        <v>5</v>
      </c>
      <c r="R33" s="625">
        <f t="shared" ca="1" si="2"/>
        <v>4</v>
      </c>
      <c r="S33" s="625">
        <f t="shared" ca="1" si="2"/>
        <v>4</v>
      </c>
      <c r="T33" s="625">
        <f t="shared" ca="1" si="2"/>
        <v>3</v>
      </c>
      <c r="U33" s="625">
        <f t="shared" ca="1" si="2"/>
        <v>4</v>
      </c>
      <c r="V33" s="625">
        <f t="shared" ca="1" si="2"/>
        <v>5</v>
      </c>
      <c r="W33" s="625">
        <f t="shared" ca="1" si="2"/>
        <v>4</v>
      </c>
      <c r="X33" s="625">
        <f t="shared" ca="1" si="2"/>
        <v>3</v>
      </c>
      <c r="Y33" s="625">
        <f t="shared" ca="1" si="2"/>
        <v>4</v>
      </c>
      <c r="Z33" s="193"/>
      <c r="AA33" s="193"/>
      <c r="AB33" s="193"/>
    </row>
    <row r="34" spans="1:28" ht="18.75" customHeight="1">
      <c r="A34" s="533"/>
      <c r="B34" s="616"/>
      <c r="C34" s="628"/>
      <c r="D34" s="629" t="s">
        <v>72</v>
      </c>
      <c r="E34" s="630">
        <f>'R4_G4'!E19</f>
        <v>3</v>
      </c>
      <c r="F34" s="630">
        <f>'R4_G4'!F19</f>
        <v>3</v>
      </c>
      <c r="G34" s="630">
        <f>'R4_G4'!G19</f>
        <v>3</v>
      </c>
      <c r="H34" s="630">
        <f>'R4_G4'!H19</f>
        <v>3</v>
      </c>
      <c r="I34" s="630">
        <f>'R4_G4'!I19</f>
        <v>3</v>
      </c>
      <c r="J34" s="630">
        <f>'R4_G4'!J19</f>
        <v>3</v>
      </c>
      <c r="K34" s="630">
        <f>'R4_G4'!K19</f>
        <v>4</v>
      </c>
      <c r="L34" s="630">
        <f>'R4_G4'!L19</f>
        <v>4</v>
      </c>
      <c r="M34" s="630">
        <f>'R4_G4'!M19</f>
        <v>4</v>
      </c>
      <c r="N34" s="631"/>
      <c r="O34" s="632"/>
      <c r="P34" s="660"/>
      <c r="Q34" s="630">
        <f>'R4_G4'!Q19</f>
        <v>4</v>
      </c>
      <c r="R34" s="630">
        <f>'R4_G4'!R19</f>
        <v>4</v>
      </c>
      <c r="S34" s="630">
        <f>'R4_G4'!S19</f>
        <v>4</v>
      </c>
      <c r="T34" s="630">
        <f>'R4_G4'!T19</f>
        <v>5</v>
      </c>
      <c r="U34" s="630">
        <f>'R4_G4'!U19</f>
        <v>5</v>
      </c>
      <c r="V34" s="630">
        <f>'R4_G4'!V19</f>
        <v>5</v>
      </c>
      <c r="W34" s="630">
        <f>'R4_G4'!W19</f>
        <v>5</v>
      </c>
      <c r="X34" s="630">
        <f>'R4_G4'!X19</f>
        <v>5</v>
      </c>
      <c r="Y34" s="630">
        <f>'R4_G4'!Y19</f>
        <v>5</v>
      </c>
      <c r="Z34" s="193"/>
      <c r="AA34" s="193"/>
      <c r="AB34" s="193"/>
    </row>
    <row r="35" spans="1:28" ht="18.75" customHeight="1">
      <c r="A35" s="533"/>
      <c r="B35" s="616"/>
      <c r="C35" s="628"/>
      <c r="D35" s="634" t="s">
        <v>73</v>
      </c>
      <c r="E35" s="635">
        <f>'R4_G4'!E20</f>
        <v>3.3333333333333335</v>
      </c>
      <c r="F35" s="635">
        <f>'R4_G4'!F20</f>
        <v>3.3333333333333335</v>
      </c>
      <c r="G35" s="635">
        <f>'R4_G4'!G20</f>
        <v>4.333333333333333</v>
      </c>
      <c r="H35" s="635">
        <f>'R4_G4'!H20</f>
        <v>3</v>
      </c>
      <c r="I35" s="635">
        <f>'R4_G4'!I20</f>
        <v>3.3333333333333335</v>
      </c>
      <c r="J35" s="635">
        <f>'R4_G4'!J20</f>
        <v>4.666666666666667</v>
      </c>
      <c r="K35" s="635">
        <f>'R4_G4'!K20</f>
        <v>4.25</v>
      </c>
      <c r="L35" s="635">
        <f>'R4_G4'!L20</f>
        <v>3.25</v>
      </c>
      <c r="M35" s="635">
        <f>'R4_G4'!M20</f>
        <v>2.5</v>
      </c>
      <c r="N35" s="631"/>
      <c r="O35" s="632"/>
      <c r="P35" s="660"/>
      <c r="Q35" s="635">
        <f>'R4_G4'!Q20</f>
        <v>4.75</v>
      </c>
      <c r="R35" s="635">
        <f>'R4_G4'!R20</f>
        <v>3.25</v>
      </c>
      <c r="S35" s="635">
        <f>'R4_G4'!S20</f>
        <v>3.5</v>
      </c>
      <c r="T35" s="635">
        <f>'R4_G4'!T20</f>
        <v>2.8</v>
      </c>
      <c r="U35" s="635">
        <f>'R4_G4'!U20</f>
        <v>5</v>
      </c>
      <c r="V35" s="635">
        <f>'R4_G4'!V20</f>
        <v>4.8</v>
      </c>
      <c r="W35" s="635">
        <f>'R4_G4'!W20</f>
        <v>3.6</v>
      </c>
      <c r="X35" s="635">
        <f>'R4_G4'!X20</f>
        <v>3.6</v>
      </c>
      <c r="Y35" s="635">
        <f>'R4_G4'!Y20</f>
        <v>3.6</v>
      </c>
      <c r="Z35" s="193"/>
      <c r="AA35" s="193"/>
      <c r="AB35" s="193"/>
    </row>
    <row r="36" spans="1:28" ht="18.75" customHeight="1">
      <c r="A36" s="193"/>
      <c r="B36" s="193"/>
      <c r="C36" s="636"/>
      <c r="D36" s="661"/>
      <c r="E36" s="637"/>
      <c r="F36" s="637"/>
      <c r="G36" s="637"/>
      <c r="H36" s="637"/>
      <c r="I36" s="637"/>
      <c r="J36" s="637"/>
      <c r="K36" s="637"/>
      <c r="L36" s="637"/>
      <c r="M36" s="637"/>
      <c r="N36" s="637"/>
      <c r="O36" s="637"/>
      <c r="P36" s="661"/>
      <c r="Q36" s="637"/>
      <c r="R36" s="637"/>
      <c r="S36" s="637"/>
      <c r="T36" s="637"/>
      <c r="U36" s="637"/>
      <c r="V36" s="637"/>
      <c r="W36" s="637"/>
      <c r="X36" s="637"/>
      <c r="Y36" s="637"/>
      <c r="Z36" s="193"/>
      <c r="AA36" s="193"/>
      <c r="AB36" s="193"/>
    </row>
    <row r="37" spans="1:28" ht="18.75" customHeight="1">
      <c r="A37" s="193"/>
      <c r="B37" s="638"/>
      <c r="C37" s="662"/>
      <c r="D37" s="640" t="s">
        <v>74</v>
      </c>
      <c r="E37" s="641">
        <f ca="1">'R4_G4'!E21</f>
        <v>-2</v>
      </c>
      <c r="F37" s="641">
        <f ca="1">'R4_G4'!F21</f>
        <v>-2</v>
      </c>
      <c r="G37" s="641">
        <f ca="1">'R4_G4'!G21</f>
        <v>-2</v>
      </c>
      <c r="H37" s="641">
        <f ca="1">'R4_G4'!H21</f>
        <v>0</v>
      </c>
      <c r="I37" s="641">
        <f ca="1">'R4_G4'!I21</f>
        <v>-2</v>
      </c>
      <c r="J37" s="641">
        <f ca="1">'R4_G4'!J21</f>
        <v>-1</v>
      </c>
      <c r="K37" s="641">
        <f ca="1">'R4_G4'!K21</f>
        <v>1</v>
      </c>
      <c r="L37" s="641">
        <f ca="1">'R4_G4'!L21</f>
        <v>-3</v>
      </c>
      <c r="M37" s="641">
        <f ca="1">'R4_G4'!M21</f>
        <v>-2</v>
      </c>
      <c r="N37" s="631">
        <f>'R4_G4'!N21</f>
        <v>0</v>
      </c>
      <c r="O37" s="642"/>
      <c r="P37" s="663" t="s">
        <v>74</v>
      </c>
      <c r="Q37" s="641">
        <f ca="1">'R4_G4'!Q21</f>
        <v>-1</v>
      </c>
      <c r="R37" s="641">
        <f ca="1">'R4_G4'!R21</f>
        <v>-3</v>
      </c>
      <c r="S37" s="641">
        <f ca="1">'R4_G4'!S21</f>
        <v>-2</v>
      </c>
      <c r="T37" s="641">
        <f ca="1">'R4_G4'!T21</f>
        <v>-1</v>
      </c>
      <c r="U37" s="641">
        <f ca="1">'R4_G4'!U21</f>
        <v>5</v>
      </c>
      <c r="V37" s="641">
        <f ca="1">'R4_G4'!V21</f>
        <v>-1</v>
      </c>
      <c r="W37" s="641">
        <f ca="1">'R4_G4'!W21</f>
        <v>-2</v>
      </c>
      <c r="X37" s="641">
        <f ca="1">'R4_G4'!X21</f>
        <v>3</v>
      </c>
      <c r="Y37" s="641">
        <f ca="1">'R4_G4'!Y21</f>
        <v>-2</v>
      </c>
      <c r="Z37" s="193"/>
      <c r="AA37" s="193"/>
      <c r="AB37" s="193"/>
    </row>
    <row r="38" spans="1:28" ht="18.75" customHeight="1">
      <c r="A38" s="193"/>
      <c r="B38" s="193"/>
      <c r="C38" s="636"/>
      <c r="D38" s="661"/>
      <c r="E38" s="644"/>
      <c r="F38" s="644"/>
      <c r="G38" s="644"/>
      <c r="H38" s="644"/>
      <c r="I38" s="644"/>
      <c r="J38" s="644"/>
      <c r="K38" s="644"/>
      <c r="L38" s="644"/>
      <c r="M38" s="644"/>
      <c r="N38" s="637"/>
      <c r="O38" s="637"/>
      <c r="P38" s="661"/>
      <c r="Q38" s="644"/>
      <c r="R38" s="644"/>
      <c r="S38" s="644"/>
      <c r="T38" s="644"/>
      <c r="U38" s="644"/>
      <c r="V38" s="644"/>
      <c r="W38" s="644"/>
      <c r="X38" s="644"/>
      <c r="Y38" s="644"/>
      <c r="Z38" s="193"/>
      <c r="AA38" s="193"/>
      <c r="AB38" s="193"/>
    </row>
    <row r="39" spans="1:28" ht="18.75" customHeight="1">
      <c r="A39" s="193" t="str">
        <f>A8</f>
        <v>TJSC</v>
      </c>
      <c r="B39" s="638"/>
      <c r="C39" s="636"/>
      <c r="D39" s="664" t="str">
        <f t="shared" ref="D39:D46" si="3">A39</f>
        <v>TJSC</v>
      </c>
      <c r="E39" s="646">
        <f t="shared" ref="E39:M39" ca="1" si="4">E8-E7</f>
        <v>4</v>
      </c>
      <c r="F39" s="646">
        <f t="shared" ca="1" si="4"/>
        <v>5</v>
      </c>
      <c r="G39" s="646">
        <f t="shared" ca="1" si="4"/>
        <v>6</v>
      </c>
      <c r="H39" s="646">
        <f t="shared" ca="1" si="4"/>
        <v>5</v>
      </c>
      <c r="I39" s="646">
        <f t="shared" ca="1" si="4"/>
        <v>3</v>
      </c>
      <c r="J39" s="646">
        <f t="shared" ca="1" si="4"/>
        <v>5</v>
      </c>
      <c r="K39" s="646">
        <f t="shared" ca="1" si="4"/>
        <v>5</v>
      </c>
      <c r="L39" s="646">
        <f t="shared" ca="1" si="4"/>
        <v>4</v>
      </c>
      <c r="M39" s="646">
        <f t="shared" ca="1" si="4"/>
        <v>3</v>
      </c>
      <c r="N39" s="626"/>
      <c r="O39" s="623"/>
      <c r="P39" s="665" t="str">
        <f t="shared" ref="P39:P46" si="5">D39</f>
        <v>TJSC</v>
      </c>
      <c r="Q39" s="646">
        <f t="shared" ref="Q39:Y39" ca="1" si="6">Q8-Q7</f>
        <v>5</v>
      </c>
      <c r="R39" s="646">
        <f t="shared" ca="1" si="6"/>
        <v>5</v>
      </c>
      <c r="S39" s="646">
        <f t="shared" ca="1" si="6"/>
        <v>5</v>
      </c>
      <c r="T39" s="646">
        <f t="shared" ca="1" si="6"/>
        <v>3</v>
      </c>
      <c r="U39" s="646">
        <f t="shared" ca="1" si="6"/>
        <v>6</v>
      </c>
      <c r="V39" s="646">
        <f t="shared" ca="1" si="6"/>
        <v>6</v>
      </c>
      <c r="W39" s="646">
        <f t="shared" ca="1" si="6"/>
        <v>5</v>
      </c>
      <c r="X39" s="646">
        <f t="shared" ca="1" si="6"/>
        <v>3</v>
      </c>
      <c r="Y39" s="646">
        <f t="shared" ca="1" si="6"/>
        <v>4</v>
      </c>
      <c r="Z39" s="193"/>
      <c r="AA39" s="193"/>
      <c r="AB39" s="193"/>
    </row>
    <row r="40" spans="1:28" ht="18.75" customHeight="1">
      <c r="A40" s="193" t="str">
        <f>A11</f>
        <v>CuzNick</v>
      </c>
      <c r="B40" s="638"/>
      <c r="C40" s="636"/>
      <c r="D40" s="664" t="str">
        <f t="shared" si="3"/>
        <v>CuzNick</v>
      </c>
      <c r="E40" s="646">
        <f t="shared" ref="E40:M40" ca="1" si="7">E11-E10</f>
        <v>5</v>
      </c>
      <c r="F40" s="646">
        <f t="shared" ca="1" si="7"/>
        <v>4</v>
      </c>
      <c r="G40" s="646">
        <f t="shared" ca="1" si="7"/>
        <v>5</v>
      </c>
      <c r="H40" s="646">
        <f t="shared" ca="1" si="7"/>
        <v>4</v>
      </c>
      <c r="I40" s="646">
        <f t="shared" ca="1" si="7"/>
        <v>4</v>
      </c>
      <c r="J40" s="646">
        <f t="shared" ca="1" si="7"/>
        <v>6</v>
      </c>
      <c r="K40" s="646">
        <f t="shared" ca="1" si="7"/>
        <v>3</v>
      </c>
      <c r="L40" s="646">
        <f t="shared" ca="1" si="7"/>
        <v>4</v>
      </c>
      <c r="M40" s="646">
        <f t="shared" ca="1" si="7"/>
        <v>2</v>
      </c>
      <c r="N40" s="626"/>
      <c r="O40" s="623"/>
      <c r="P40" s="665" t="str">
        <f t="shared" si="5"/>
        <v>CuzNick</v>
      </c>
      <c r="Q40" s="646">
        <f t="shared" ref="Q40:Y40" ca="1" si="8">Q11-Q10</f>
        <v>5</v>
      </c>
      <c r="R40" s="646">
        <f t="shared" ca="1" si="8"/>
        <v>3</v>
      </c>
      <c r="S40" s="646">
        <f t="shared" ca="1" si="8"/>
        <v>4</v>
      </c>
      <c r="T40" s="646">
        <f t="shared" ca="1" si="8"/>
        <v>3</v>
      </c>
      <c r="U40" s="646">
        <f t="shared" ca="1" si="8"/>
        <v>7</v>
      </c>
      <c r="V40" s="646">
        <f t="shared" ca="1" si="8"/>
        <v>5</v>
      </c>
      <c r="W40" s="646">
        <f t="shared" ca="1" si="8"/>
        <v>4</v>
      </c>
      <c r="X40" s="646">
        <f t="shared" ca="1" si="8"/>
        <v>4</v>
      </c>
      <c r="Y40" s="646">
        <f t="shared" ca="1" si="8"/>
        <v>7</v>
      </c>
      <c r="Z40" s="193"/>
      <c r="AA40" s="193"/>
      <c r="AB40" s="193"/>
    </row>
    <row r="41" spans="1:28" ht="18.75" customHeight="1">
      <c r="A41" s="193" t="str">
        <f>A14</f>
        <v>DK</v>
      </c>
      <c r="B41" s="638"/>
      <c r="C41" s="636"/>
      <c r="D41" s="664" t="str">
        <f t="shared" si="3"/>
        <v>DK</v>
      </c>
      <c r="E41" s="646">
        <f t="shared" ref="E41:M41" ca="1" si="9">E14-E13</f>
        <v>4</v>
      </c>
      <c r="F41" s="646">
        <f t="shared" ca="1" si="9"/>
        <v>4</v>
      </c>
      <c r="G41" s="646">
        <f t="shared" ca="1" si="9"/>
        <v>5</v>
      </c>
      <c r="H41" s="646">
        <f t="shared" ca="1" si="9"/>
        <v>4</v>
      </c>
      <c r="I41" s="646">
        <f t="shared" ca="1" si="9"/>
        <v>5</v>
      </c>
      <c r="J41" s="646">
        <f t="shared" ca="1" si="9"/>
        <v>4</v>
      </c>
      <c r="K41" s="646">
        <f t="shared" ca="1" si="9"/>
        <v>5</v>
      </c>
      <c r="L41" s="646">
        <f t="shared" ca="1" si="9"/>
        <v>3</v>
      </c>
      <c r="M41" s="646">
        <f t="shared" ca="1" si="9"/>
        <v>3</v>
      </c>
      <c r="N41" s="626"/>
      <c r="O41" s="623"/>
      <c r="P41" s="665" t="str">
        <f t="shared" si="5"/>
        <v>DK</v>
      </c>
      <c r="Q41" s="646">
        <f t="shared" ref="Q41:Y41" ca="1" si="10">Q14-Q13</f>
        <v>4</v>
      </c>
      <c r="R41" s="646">
        <f t="shared" ca="1" si="10"/>
        <v>6</v>
      </c>
      <c r="S41" s="646">
        <f t="shared" ca="1" si="10"/>
        <v>3</v>
      </c>
      <c r="T41" s="646">
        <f t="shared" ca="1" si="10"/>
        <v>3</v>
      </c>
      <c r="U41" s="646">
        <f t="shared" ca="1" si="10"/>
        <v>4</v>
      </c>
      <c r="V41" s="646">
        <f t="shared" ca="1" si="10"/>
        <v>5</v>
      </c>
      <c r="W41" s="646">
        <f t="shared" ca="1" si="10"/>
        <v>3</v>
      </c>
      <c r="X41" s="646">
        <f t="shared" ca="1" si="10"/>
        <v>4</v>
      </c>
      <c r="Y41" s="646">
        <f t="shared" ca="1" si="10"/>
        <v>4</v>
      </c>
      <c r="Z41" s="193"/>
      <c r="AA41" s="193"/>
      <c r="AB41" s="193"/>
    </row>
    <row r="42" spans="1:28" ht="18.75" customHeight="1">
      <c r="A42" s="193" t="str">
        <f>A17</f>
        <v>R-Mac</v>
      </c>
      <c r="B42" s="638"/>
      <c r="C42" s="636"/>
      <c r="D42" s="664" t="str">
        <f t="shared" si="3"/>
        <v>R-Mac</v>
      </c>
      <c r="E42" s="646">
        <f t="shared" ref="E42:M42" ca="1" si="11">E17-E16</f>
        <v>4</v>
      </c>
      <c r="F42" s="646">
        <f t="shared" ca="1" si="11"/>
        <v>4</v>
      </c>
      <c r="G42" s="646">
        <f t="shared" ca="1" si="11"/>
        <v>8</v>
      </c>
      <c r="H42" s="646">
        <f t="shared" ca="1" si="11"/>
        <v>4</v>
      </c>
      <c r="I42" s="646">
        <f t="shared" ca="1" si="11"/>
        <v>6</v>
      </c>
      <c r="J42" s="646">
        <f t="shared" ca="1" si="11"/>
        <v>6</v>
      </c>
      <c r="K42" s="646">
        <f t="shared" ca="1" si="11"/>
        <v>4</v>
      </c>
      <c r="L42" s="646">
        <f t="shared" ca="1" si="11"/>
        <v>4</v>
      </c>
      <c r="M42" s="646">
        <f t="shared" ca="1" si="11"/>
        <v>3</v>
      </c>
      <c r="N42" s="626"/>
      <c r="O42" s="623"/>
      <c r="P42" s="665" t="str">
        <f t="shared" si="5"/>
        <v>R-Mac</v>
      </c>
      <c r="Q42" s="646">
        <f t="shared" ref="Q42:Y42" ca="1" si="12">Q17-Q16</f>
        <v>5</v>
      </c>
      <c r="R42" s="646">
        <f t="shared" ca="1" si="12"/>
        <v>4</v>
      </c>
      <c r="S42" s="646">
        <f t="shared" ca="1" si="12"/>
        <v>4</v>
      </c>
      <c r="T42" s="646">
        <f t="shared" ca="1" si="12"/>
        <v>4</v>
      </c>
      <c r="U42" s="646">
        <f t="shared" ca="1" si="12"/>
        <v>5</v>
      </c>
      <c r="V42" s="646">
        <f t="shared" ca="1" si="12"/>
        <v>5</v>
      </c>
      <c r="W42" s="646">
        <f t="shared" ca="1" si="12"/>
        <v>3</v>
      </c>
      <c r="X42" s="646">
        <f t="shared" ca="1" si="12"/>
        <v>3</v>
      </c>
      <c r="Y42" s="646">
        <f t="shared" ca="1" si="12"/>
        <v>4</v>
      </c>
      <c r="Z42" s="193"/>
      <c r="AA42" s="193"/>
      <c r="AB42" s="193"/>
    </row>
    <row r="43" spans="1:28" ht="18.75" customHeight="1">
      <c r="A43" s="193" t="str">
        <f>A20</f>
        <v>Telly</v>
      </c>
      <c r="B43" s="638"/>
      <c r="C43" s="636"/>
      <c r="D43" s="664" t="str">
        <f t="shared" si="3"/>
        <v>Telly</v>
      </c>
      <c r="E43" s="646">
        <f t="shared" ref="E43:M43" ca="1" si="13">E20-E19</f>
        <v>5</v>
      </c>
      <c r="F43" s="646">
        <f t="shared" ca="1" si="13"/>
        <v>3</v>
      </c>
      <c r="G43" s="646">
        <f t="shared" ca="1" si="13"/>
        <v>5</v>
      </c>
      <c r="H43" s="646">
        <f t="shared" ca="1" si="13"/>
        <v>3</v>
      </c>
      <c r="I43" s="646">
        <f t="shared" ca="1" si="13"/>
        <v>3</v>
      </c>
      <c r="J43" s="646">
        <f t="shared" ca="1" si="13"/>
        <v>6</v>
      </c>
      <c r="K43" s="646">
        <f t="shared" ca="1" si="13"/>
        <v>5</v>
      </c>
      <c r="L43" s="646">
        <f t="shared" ca="1" si="13"/>
        <v>3</v>
      </c>
      <c r="M43" s="646">
        <f t="shared" ca="1" si="13"/>
        <v>3</v>
      </c>
      <c r="N43" s="626"/>
      <c r="O43" s="623"/>
      <c r="P43" s="665" t="str">
        <f t="shared" si="5"/>
        <v>Telly</v>
      </c>
      <c r="Q43" s="646">
        <f t="shared" ref="Q43:Y43" ca="1" si="14">Q20-Q19</f>
        <v>6</v>
      </c>
      <c r="R43" s="646">
        <f t="shared" ca="1" si="14"/>
        <v>5</v>
      </c>
      <c r="S43" s="646">
        <f t="shared" ca="1" si="14"/>
        <v>4</v>
      </c>
      <c r="T43" s="646">
        <f t="shared" ca="1" si="14"/>
        <v>3</v>
      </c>
      <c r="U43" s="646">
        <f t="shared" ca="1" si="14"/>
        <v>4</v>
      </c>
      <c r="V43" s="646">
        <f t="shared" ca="1" si="14"/>
        <v>4</v>
      </c>
      <c r="W43" s="646">
        <f t="shared" ca="1" si="14"/>
        <v>4</v>
      </c>
      <c r="X43" s="646">
        <f t="shared" ca="1" si="14"/>
        <v>4</v>
      </c>
      <c r="Y43" s="646">
        <f t="shared" ca="1" si="14"/>
        <v>6</v>
      </c>
      <c r="Z43" s="193"/>
      <c r="AA43" s="193"/>
      <c r="AB43" s="193"/>
    </row>
    <row r="44" spans="1:28" ht="18.75" customHeight="1">
      <c r="A44" s="193" t="str">
        <f>A23</f>
        <v>Saugy</v>
      </c>
      <c r="B44" s="638"/>
      <c r="C44" s="636"/>
      <c r="D44" s="664" t="str">
        <f t="shared" si="3"/>
        <v>Saugy</v>
      </c>
      <c r="E44" s="646">
        <f t="shared" ref="E44:M44" ca="1" si="15">E23-E22</f>
        <v>2</v>
      </c>
      <c r="F44" s="646">
        <f t="shared" ca="1" si="15"/>
        <v>4</v>
      </c>
      <c r="G44" s="646">
        <f t="shared" ca="1" si="15"/>
        <v>4</v>
      </c>
      <c r="H44" s="646">
        <f t="shared" ca="1" si="15"/>
        <v>3</v>
      </c>
      <c r="I44" s="646">
        <f t="shared" ca="1" si="15"/>
        <v>4</v>
      </c>
      <c r="J44" s="646">
        <f t="shared" ca="1" si="15"/>
        <v>5</v>
      </c>
      <c r="K44" s="646">
        <f t="shared" ca="1" si="15"/>
        <v>5</v>
      </c>
      <c r="L44" s="646">
        <f t="shared" ca="1" si="15"/>
        <v>3</v>
      </c>
      <c r="M44" s="646">
        <f t="shared" ca="1" si="15"/>
        <v>5</v>
      </c>
      <c r="N44" s="626"/>
      <c r="O44" s="623"/>
      <c r="P44" s="665" t="str">
        <f t="shared" si="5"/>
        <v>Saugy</v>
      </c>
      <c r="Q44" s="646">
        <f t="shared" ref="Q44:Y44" ca="1" si="16">Q23-Q22</f>
        <v>7</v>
      </c>
      <c r="R44" s="646">
        <f t="shared" ca="1" si="16"/>
        <v>3</v>
      </c>
      <c r="S44" s="646">
        <f t="shared" ca="1" si="16"/>
        <v>6</v>
      </c>
      <c r="T44" s="646">
        <f t="shared" ca="1" si="16"/>
        <v>2</v>
      </c>
      <c r="U44" s="646">
        <f t="shared" ca="1" si="16"/>
        <v>6</v>
      </c>
      <c r="V44" s="646">
        <f t="shared" ca="1" si="16"/>
        <v>7</v>
      </c>
      <c r="W44" s="646">
        <f t="shared" ca="1" si="16"/>
        <v>5</v>
      </c>
      <c r="X44" s="646">
        <f t="shared" ca="1" si="16"/>
        <v>5</v>
      </c>
      <c r="Y44" s="646">
        <f t="shared" ca="1" si="16"/>
        <v>3</v>
      </c>
      <c r="Z44" s="193"/>
      <c r="AA44" s="193"/>
      <c r="AB44" s="193"/>
    </row>
    <row r="45" spans="1:28" ht="18.75" customHeight="1">
      <c r="A45" s="193" t="str">
        <f>A26</f>
        <v>KJ</v>
      </c>
      <c r="B45" s="638"/>
      <c r="C45" s="636"/>
      <c r="D45" s="664" t="str">
        <f t="shared" si="3"/>
        <v>KJ</v>
      </c>
      <c r="E45" s="646">
        <f t="shared" ref="E45:M45" ca="1" si="17">E26-E25</f>
        <v>7</v>
      </c>
      <c r="F45" s="646">
        <f t="shared" ca="1" si="17"/>
        <v>7</v>
      </c>
      <c r="G45" s="646">
        <f t="shared" ca="1" si="17"/>
        <v>5</v>
      </c>
      <c r="H45" s="646">
        <f t="shared" ca="1" si="17"/>
        <v>5</v>
      </c>
      <c r="I45" s="646">
        <f t="shared" ca="1" si="17"/>
        <v>5</v>
      </c>
      <c r="J45" s="646">
        <f t="shared" ca="1" si="17"/>
        <v>7</v>
      </c>
      <c r="K45" s="646">
        <f t="shared" ca="1" si="17"/>
        <v>7</v>
      </c>
      <c r="L45" s="646">
        <f t="shared" ca="1" si="17"/>
        <v>5</v>
      </c>
      <c r="M45" s="646">
        <f t="shared" ca="1" si="17"/>
        <v>2</v>
      </c>
      <c r="N45" s="626"/>
      <c r="O45" s="623"/>
      <c r="P45" s="665" t="str">
        <f t="shared" si="5"/>
        <v>KJ</v>
      </c>
      <c r="Q45" s="646">
        <f t="shared" ref="Q45:Y45" ca="1" si="18">Q26-Q25</f>
        <v>5</v>
      </c>
      <c r="R45" s="646">
        <f t="shared" ca="1" si="18"/>
        <v>3</v>
      </c>
      <c r="S45" s="646">
        <f t="shared" ca="1" si="18"/>
        <v>3</v>
      </c>
      <c r="T45" s="646">
        <f t="shared" ca="1" si="18"/>
        <v>4</v>
      </c>
      <c r="U45" s="646">
        <f t="shared" ca="1" si="18"/>
        <v>7</v>
      </c>
      <c r="V45" s="646">
        <f t="shared" ca="1" si="18"/>
        <v>8</v>
      </c>
      <c r="W45" s="646">
        <f t="shared" ca="1" si="18"/>
        <v>5</v>
      </c>
      <c r="X45" s="646">
        <f t="shared" ca="1" si="18"/>
        <v>5</v>
      </c>
      <c r="Y45" s="646">
        <f t="shared" ca="1" si="18"/>
        <v>6</v>
      </c>
      <c r="Z45" s="193"/>
      <c r="AA45" s="193"/>
      <c r="AB45" s="193"/>
    </row>
    <row r="46" spans="1:28" ht="18.75" customHeight="1">
      <c r="A46" s="193" t="str">
        <f>A29</f>
        <v>House</v>
      </c>
      <c r="B46" s="638"/>
      <c r="C46" s="636"/>
      <c r="D46" s="664" t="str">
        <f t="shared" si="3"/>
        <v>House</v>
      </c>
      <c r="E46" s="646">
        <f t="shared" ref="E46:M46" ca="1" si="19">E29-E28</f>
        <v>4</v>
      </c>
      <c r="F46" s="646">
        <f t="shared" ca="1" si="19"/>
        <v>3</v>
      </c>
      <c r="G46" s="646">
        <f t="shared" ca="1" si="19"/>
        <v>4</v>
      </c>
      <c r="H46" s="646">
        <f t="shared" ca="1" si="19"/>
        <v>3</v>
      </c>
      <c r="I46" s="646">
        <f t="shared" ca="1" si="19"/>
        <v>6</v>
      </c>
      <c r="J46" s="646">
        <f t="shared" ca="1" si="19"/>
        <v>5</v>
      </c>
      <c r="K46" s="646">
        <f t="shared" ca="1" si="19"/>
        <v>5</v>
      </c>
      <c r="L46" s="646">
        <f t="shared" ca="1" si="19"/>
        <v>5</v>
      </c>
      <c r="M46" s="646">
        <f t="shared" ca="1" si="19"/>
        <v>3</v>
      </c>
      <c r="N46" s="626"/>
      <c r="O46" s="623"/>
      <c r="P46" s="665" t="str">
        <f t="shared" si="5"/>
        <v>House</v>
      </c>
      <c r="Q46" s="646">
        <f t="shared" ref="Q46:Y46" ca="1" si="20">Q29-Q28</f>
        <v>5</v>
      </c>
      <c r="R46" s="646">
        <f t="shared" ca="1" si="20"/>
        <v>4</v>
      </c>
      <c r="S46" s="646">
        <f t="shared" ca="1" si="20"/>
        <v>7</v>
      </c>
      <c r="T46" s="646">
        <f t="shared" ca="1" si="20"/>
        <v>6</v>
      </c>
      <c r="U46" s="646">
        <f t="shared" ca="1" si="20"/>
        <v>6</v>
      </c>
      <c r="V46" s="646">
        <f t="shared" ca="1" si="20"/>
        <v>5</v>
      </c>
      <c r="W46" s="646">
        <f t="shared" ca="1" si="20"/>
        <v>4</v>
      </c>
      <c r="X46" s="646">
        <f t="shared" ca="1" si="20"/>
        <v>5</v>
      </c>
      <c r="Y46" s="646">
        <f t="shared" ca="1" si="20"/>
        <v>3</v>
      </c>
      <c r="Z46" s="193"/>
      <c r="AA46" s="193"/>
      <c r="AB46" s="193"/>
    </row>
    <row r="47" spans="1:28" ht="18.75" customHeight="1">
      <c r="A47" s="193"/>
      <c r="B47" s="193"/>
      <c r="C47" s="194"/>
      <c r="D47" s="193"/>
      <c r="E47" s="666"/>
      <c r="F47" s="666"/>
      <c r="G47" s="666"/>
      <c r="H47" s="666"/>
      <c r="I47" s="666"/>
      <c r="J47" s="666"/>
      <c r="K47" s="666"/>
      <c r="L47" s="666"/>
      <c r="M47" s="666"/>
      <c r="N47" s="193"/>
      <c r="O47" s="193"/>
      <c r="P47" s="193"/>
      <c r="Q47" s="666"/>
      <c r="R47" s="666"/>
      <c r="S47" s="666"/>
      <c r="T47" s="666"/>
      <c r="U47" s="666"/>
      <c r="V47" s="666"/>
      <c r="W47" s="666"/>
      <c r="X47" s="666"/>
      <c r="Y47" s="666"/>
      <c r="Z47" s="193"/>
      <c r="AA47" s="193"/>
      <c r="AB47" s="193"/>
    </row>
  </sheetData>
  <mergeCells count="1">
    <mergeCell ref="B2:B4"/>
  </mergeCells>
  <conditionalFormatting sqref="E39:J46">
    <cfRule type="expression" dxfId="14" priority="2">
      <formula>E39&lt;=SMALL(E$39:E$46,3)</formula>
    </cfRule>
  </conditionalFormatting>
  <conditionalFormatting sqref="E39:M46 Q39:Y46">
    <cfRule type="expression" dxfId="13" priority="1">
      <formula>E39&lt;=SMALL(E$39:E$46,1)</formula>
    </cfRule>
  </conditionalFormatting>
  <conditionalFormatting sqref="K39:M46 Q39:S46">
    <cfRule type="expression" dxfId="12" priority="3">
      <formula>K39&lt;=SMALL(K$39:K$46,4)</formula>
    </cfRule>
  </conditionalFormatting>
  <conditionalFormatting sqref="T39:Y46">
    <cfRule type="expression" dxfId="11" priority="4">
      <formula>T39&lt;=SMALL(T$39:T$46,5)</formula>
    </cfRule>
  </conditionalFormatting>
  <printOptions horizontalCentered="1" gridLines="1"/>
  <pageMargins left="0.6" right="0.25" top="0.5" bottom="0.25" header="0" footer="0"/>
  <pageSetup fitToHeight="0" pageOrder="overThenDown" orientation="portrait" cellComments="atEnd"/>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00FF"/>
    <outlinePr summaryBelow="0" summaryRight="0"/>
  </sheetPr>
  <dimension ref="A1:AE30"/>
  <sheetViews>
    <sheetView workbookViewId="0"/>
  </sheetViews>
  <sheetFormatPr defaultColWidth="17.26953125" defaultRowHeight="15" customHeight="1"/>
  <cols>
    <col min="1" max="1" width="15" customWidth="1"/>
    <col min="2" max="2" width="12.453125" customWidth="1"/>
    <col min="3" max="3" width="13" customWidth="1"/>
    <col min="4" max="4" width="2.08984375" customWidth="1"/>
    <col min="5" max="12" width="17.26953125" customWidth="1"/>
    <col min="13" max="13" width="8" customWidth="1"/>
    <col min="14" max="14" width="8.7265625" customWidth="1"/>
    <col min="15" max="15" width="19" customWidth="1"/>
    <col min="16" max="18" width="7.26953125" customWidth="1"/>
    <col min="19" max="19" width="49.81640625" customWidth="1"/>
    <col min="20" max="31" width="5.81640625" customWidth="1"/>
  </cols>
  <sheetData>
    <row r="1" spans="1:31" ht="14.5">
      <c r="A1" s="667"/>
      <c r="B1" s="667"/>
      <c r="C1" s="668"/>
      <c r="D1" s="668"/>
      <c r="E1" s="1168" t="s">
        <v>75</v>
      </c>
      <c r="F1" s="1129"/>
      <c r="G1" s="1129"/>
      <c r="H1" s="1129"/>
      <c r="I1" s="1129"/>
      <c r="J1" s="1129"/>
      <c r="K1" s="1129"/>
      <c r="L1" s="1129"/>
      <c r="M1" s="669"/>
      <c r="N1" s="670"/>
      <c r="O1" s="670"/>
      <c r="P1" s="671"/>
      <c r="Q1" s="671"/>
      <c r="R1" s="671"/>
      <c r="S1" s="670"/>
      <c r="T1" s="670"/>
      <c r="U1" s="670"/>
      <c r="V1" s="670"/>
      <c r="W1" s="670"/>
      <c r="X1" s="670"/>
      <c r="Y1" s="670"/>
      <c r="Z1" s="670"/>
      <c r="AA1" s="670"/>
      <c r="AB1" s="670"/>
      <c r="AC1" s="670"/>
      <c r="AD1" s="670"/>
      <c r="AE1" s="670"/>
    </row>
    <row r="2" spans="1:31" ht="14.5">
      <c r="B2" s="672"/>
      <c r="C2" s="673"/>
      <c r="D2" s="674"/>
      <c r="E2" s="675" t="s">
        <v>76</v>
      </c>
      <c r="F2" s="676" t="s">
        <v>77</v>
      </c>
      <c r="G2" s="675" t="s">
        <v>78</v>
      </c>
      <c r="H2" s="676" t="s">
        <v>77</v>
      </c>
      <c r="I2" s="675" t="s">
        <v>79</v>
      </c>
      <c r="J2" s="676" t="s">
        <v>77</v>
      </c>
      <c r="K2" s="675" t="s">
        <v>80</v>
      </c>
      <c r="L2" s="676" t="s">
        <v>77</v>
      </c>
      <c r="M2" s="677"/>
      <c r="P2" s="671"/>
      <c r="Q2" s="671"/>
      <c r="R2" s="671"/>
      <c r="S2" s="670"/>
      <c r="T2" s="670"/>
      <c r="U2" s="670"/>
      <c r="V2" s="670"/>
      <c r="W2" s="670"/>
      <c r="X2" s="670"/>
      <c r="Y2" s="670"/>
      <c r="Z2" s="670"/>
      <c r="AA2" s="670"/>
      <c r="AB2" s="670"/>
      <c r="AC2" s="670"/>
      <c r="AD2" s="670"/>
      <c r="AE2" s="670"/>
    </row>
    <row r="3" spans="1:31" ht="14.5">
      <c r="B3" s="672"/>
      <c r="C3" s="673"/>
      <c r="D3" s="673"/>
      <c r="E3" s="678">
        <v>4.1666666666666664E-2</v>
      </c>
      <c r="F3" s="679">
        <v>4.8611111111111112E-2</v>
      </c>
      <c r="G3" s="678">
        <v>0.33958333333333335</v>
      </c>
      <c r="H3" s="679">
        <v>0.34583333333333333</v>
      </c>
      <c r="I3" s="678">
        <v>8.9583333333333334E-2</v>
      </c>
      <c r="J3" s="679">
        <v>9.583333333333334E-2</v>
      </c>
      <c r="K3" s="678">
        <v>0.4236111111111111</v>
      </c>
      <c r="L3" s="679">
        <v>0.43055555555555558</v>
      </c>
      <c r="M3" s="680"/>
      <c r="P3" s="681"/>
      <c r="Q3" s="681"/>
      <c r="R3" s="681"/>
      <c r="S3" s="682"/>
      <c r="T3" s="682"/>
      <c r="U3" s="682"/>
      <c r="V3" s="682"/>
      <c r="W3" s="682"/>
      <c r="X3" s="682"/>
      <c r="Y3" s="682"/>
      <c r="Z3" s="682"/>
      <c r="AA3" s="682"/>
      <c r="AB3" s="682"/>
      <c r="AC3" s="682"/>
      <c r="AD3" s="682"/>
      <c r="AE3" s="682"/>
    </row>
    <row r="4" spans="1:31" ht="14.5">
      <c r="B4" s="672"/>
      <c r="C4" s="673"/>
      <c r="D4" s="673"/>
      <c r="E4" s="678">
        <v>5.5555555555555552E-2</v>
      </c>
      <c r="F4" s="679">
        <v>6.25E-2</v>
      </c>
      <c r="G4" s="678">
        <v>0.35208333333333336</v>
      </c>
      <c r="H4" s="679">
        <v>0.35833333333333334</v>
      </c>
      <c r="I4" s="678">
        <v>0.10208333333333333</v>
      </c>
      <c r="J4" s="679">
        <v>0.10833333333333334</v>
      </c>
      <c r="K4" s="678">
        <v>0.4375</v>
      </c>
      <c r="L4" s="679">
        <v>0.44444444444444442</v>
      </c>
      <c r="M4" s="680"/>
      <c r="P4" s="681"/>
      <c r="Q4" s="681"/>
      <c r="R4" s="681"/>
      <c r="S4" s="682"/>
      <c r="T4" s="682"/>
      <c r="U4" s="682"/>
      <c r="V4" s="682"/>
      <c r="W4" s="682"/>
      <c r="X4" s="682"/>
      <c r="Y4" s="682"/>
      <c r="Z4" s="682"/>
      <c r="AA4" s="682"/>
      <c r="AB4" s="682"/>
      <c r="AC4" s="682"/>
      <c r="AD4" s="682"/>
      <c r="AE4" s="682"/>
    </row>
    <row r="5" spans="1:31" ht="14.5">
      <c r="B5" s="672"/>
      <c r="C5" s="673"/>
      <c r="D5" s="673"/>
      <c r="E5" s="683" t="s">
        <v>81</v>
      </c>
      <c r="F5" s="684" t="s">
        <v>82</v>
      </c>
      <c r="G5" s="683" t="s">
        <v>81</v>
      </c>
      <c r="H5" s="684" t="s">
        <v>82</v>
      </c>
      <c r="I5" s="683" t="s">
        <v>81</v>
      </c>
      <c r="J5" s="684" t="s">
        <v>82</v>
      </c>
      <c r="K5" s="683" t="s">
        <v>81</v>
      </c>
      <c r="L5" s="684" t="s">
        <v>82</v>
      </c>
      <c r="M5" s="680"/>
      <c r="P5" s="681"/>
      <c r="Q5" s="681"/>
      <c r="R5" s="681"/>
      <c r="S5" s="682"/>
      <c r="T5" s="682"/>
      <c r="U5" s="682"/>
      <c r="V5" s="682"/>
      <c r="W5" s="682"/>
      <c r="X5" s="682"/>
      <c r="Y5" s="682"/>
      <c r="Z5" s="682"/>
      <c r="AA5" s="682"/>
      <c r="AB5" s="682"/>
      <c r="AC5" s="682"/>
      <c r="AD5" s="682"/>
      <c r="AE5" s="682"/>
    </row>
    <row r="6" spans="1:31" ht="26">
      <c r="A6" s="685" t="s">
        <v>83</v>
      </c>
      <c r="B6" s="686"/>
      <c r="C6" s="687"/>
      <c r="D6" s="687"/>
      <c r="E6" s="688" t="s">
        <v>84</v>
      </c>
      <c r="F6" s="689" t="s">
        <v>85</v>
      </c>
      <c r="G6" s="688" t="s">
        <v>86</v>
      </c>
      <c r="H6" s="689" t="s">
        <v>87</v>
      </c>
      <c r="I6" s="688" t="s">
        <v>88</v>
      </c>
      <c r="J6" s="689" t="s">
        <v>89</v>
      </c>
      <c r="K6" s="688" t="s">
        <v>90</v>
      </c>
      <c r="L6" s="689" t="s">
        <v>91</v>
      </c>
      <c r="M6" s="690"/>
      <c r="T6" s="670"/>
      <c r="U6" s="670"/>
      <c r="V6" s="670"/>
      <c r="W6" s="670"/>
      <c r="X6" s="670"/>
      <c r="Y6" s="670"/>
      <c r="Z6" s="670"/>
      <c r="AA6" s="670"/>
      <c r="AB6" s="670"/>
      <c r="AC6" s="670"/>
      <c r="AD6" s="670"/>
      <c r="AE6" s="670"/>
    </row>
    <row r="7" spans="1:31" ht="15" customHeight="1">
      <c r="A7" s="1169" t="s">
        <v>92</v>
      </c>
      <c r="B7" s="1129"/>
      <c r="C7" s="1170" t="s">
        <v>93</v>
      </c>
      <c r="D7" s="672"/>
      <c r="E7" s="683" t="s">
        <v>94</v>
      </c>
      <c r="F7" s="691">
        <f ca="1">VLOOKUP(E6, 'Course List'!$A$3:$AT$14,46, FALSE)</f>
        <v>72</v>
      </c>
      <c r="G7" s="683" t="s">
        <v>94</v>
      </c>
      <c r="H7" s="691">
        <f ca="1">VLOOKUP(G6, 'Course List'!$A$3:$AT$14,46, FALSE)</f>
        <v>72</v>
      </c>
      <c r="I7" s="683" t="s">
        <v>94</v>
      </c>
      <c r="J7" s="692">
        <f ca="1">VLOOKUP(I6, 'Course List'!$A$3:$AT$14,46, FALSE)</f>
        <v>72</v>
      </c>
      <c r="K7" s="683" t="s">
        <v>94</v>
      </c>
      <c r="L7" s="691">
        <f ca="1">VLOOKUP(K6, 'Course List'!$A$3:$AT$14,46, FALSE)</f>
        <v>72</v>
      </c>
      <c r="M7" s="677"/>
      <c r="AB7" s="670"/>
      <c r="AC7" s="670"/>
      <c r="AD7" s="670"/>
      <c r="AE7" s="670"/>
    </row>
    <row r="8" spans="1:31" ht="15" customHeight="1">
      <c r="A8" s="1129"/>
      <c r="B8" s="1129"/>
      <c r="C8" s="1171"/>
      <c r="D8" s="672"/>
      <c r="E8" s="683" t="s">
        <v>95</v>
      </c>
      <c r="F8" s="693">
        <f ca="1">VLOOKUP(E6, 'Course List'!$A$3:$C$14,2, FALSE)</f>
        <v>71.400000000000006</v>
      </c>
      <c r="G8" s="683" t="s">
        <v>95</v>
      </c>
      <c r="H8" s="693">
        <f ca="1">VLOOKUP(G6, 'Course List'!$A$3:$C$14,2, FALSE)</f>
        <v>68.7</v>
      </c>
      <c r="I8" s="683" t="s">
        <v>95</v>
      </c>
      <c r="J8" s="693">
        <f ca="1">VLOOKUP(I6, 'Course List'!$A$3:$C$14,2, FALSE)</f>
        <v>71.8</v>
      </c>
      <c r="K8" s="683" t="s">
        <v>95</v>
      </c>
      <c r="L8" s="693">
        <f ca="1">VLOOKUP(K6, 'Course List'!$A$3:$C$14,2, FALSE)</f>
        <v>71.099999999999994</v>
      </c>
      <c r="M8" s="677"/>
      <c r="AB8" s="670"/>
      <c r="AC8" s="670"/>
      <c r="AD8" s="670"/>
      <c r="AE8" s="670"/>
    </row>
    <row r="9" spans="1:31" ht="15" customHeight="1">
      <c r="A9" s="1129"/>
      <c r="B9" s="1129"/>
      <c r="C9" s="1171"/>
      <c r="D9" s="672"/>
      <c r="E9" s="683" t="s">
        <v>96</v>
      </c>
      <c r="F9" s="691">
        <f ca="1">VLOOKUP(E6, 'Course List'!$A$3:$C$14,3, FALSE)</f>
        <v>131</v>
      </c>
      <c r="G9" s="683" t="s">
        <v>96</v>
      </c>
      <c r="H9" s="691">
        <f ca="1">VLOOKUP(G6, 'Course List'!$A$3:$C$14,3, FALSE)</f>
        <v>134</v>
      </c>
      <c r="I9" s="683" t="s">
        <v>96</v>
      </c>
      <c r="J9" s="691">
        <f ca="1">VLOOKUP(I6, 'Course List'!$A$3:$C$14,3, FALSE)</f>
        <v>138</v>
      </c>
      <c r="K9" s="683" t="s">
        <v>96</v>
      </c>
      <c r="L9" s="691">
        <f ca="1">VLOOKUP(K6, 'Course List'!$A$3:$C$14,3, FALSE)</f>
        <v>139</v>
      </c>
      <c r="M9" s="677"/>
      <c r="O9" s="694" t="s">
        <v>97</v>
      </c>
      <c r="P9" s="1172" t="s">
        <v>98</v>
      </c>
      <c r="Q9" s="1148"/>
      <c r="R9" s="1141"/>
      <c r="S9" s="670"/>
      <c r="T9" s="670"/>
      <c r="U9" s="670"/>
      <c r="V9" s="670"/>
      <c r="W9" s="670"/>
      <c r="X9" s="670"/>
      <c r="Y9" s="670"/>
      <c r="Z9" s="670"/>
      <c r="AA9" s="670"/>
      <c r="AB9" s="670"/>
      <c r="AC9" s="670"/>
      <c r="AD9" s="670"/>
      <c r="AE9" s="670"/>
    </row>
    <row r="10" spans="1:31" ht="14.5">
      <c r="A10" s="695" t="s">
        <v>99</v>
      </c>
      <c r="B10" s="526" t="s">
        <v>100</v>
      </c>
      <c r="C10" s="696" t="s">
        <v>101</v>
      </c>
      <c r="D10" s="686"/>
      <c r="E10" s="697" t="s">
        <v>102</v>
      </c>
      <c r="F10" s="698" t="s">
        <v>103</v>
      </c>
      <c r="G10" s="697" t="s">
        <v>102</v>
      </c>
      <c r="H10" s="698" t="s">
        <v>103</v>
      </c>
      <c r="I10" s="697" t="s">
        <v>102</v>
      </c>
      <c r="J10" s="699" t="s">
        <v>104</v>
      </c>
      <c r="K10" s="697" t="s">
        <v>102</v>
      </c>
      <c r="L10" s="700" t="s">
        <v>103</v>
      </c>
      <c r="M10" s="701" t="s">
        <v>105</v>
      </c>
      <c r="O10" s="702" t="s">
        <v>106</v>
      </c>
      <c r="P10" s="702" t="s">
        <v>7</v>
      </c>
      <c r="Q10" s="702" t="s">
        <v>9</v>
      </c>
      <c r="R10" s="702" t="s">
        <v>29</v>
      </c>
      <c r="S10" s="702" t="s">
        <v>107</v>
      </c>
      <c r="T10" s="670"/>
      <c r="U10" s="670"/>
      <c r="V10" s="670"/>
      <c r="W10" s="670"/>
      <c r="X10" s="670"/>
      <c r="Y10" s="670"/>
      <c r="Z10" s="670"/>
      <c r="AA10" s="670"/>
    </row>
    <row r="11" spans="1:31" ht="14.5">
      <c r="A11" s="703" t="s">
        <v>108</v>
      </c>
      <c r="B11" s="698" t="str">
        <f t="shared" ref="B11:B18" si="0">$A$10</f>
        <v>TEES</v>
      </c>
      <c r="C11" s="704" t="e">
        <f ca="1">IF(A11="","",VLOOKUP(A11,'Grint Handis'!$A$2:$B$25,2,FALSE))</f>
        <v>#N/A</v>
      </c>
      <c r="D11" s="705"/>
      <c r="E11" s="706">
        <v>7.5</v>
      </c>
      <c r="F11" s="707">
        <f t="shared" ref="F11:F18" ca="1" si="1">IF(E11="","-",ROUND((E11*F$9)/113+(F$8-F$7),0))</f>
        <v>8</v>
      </c>
      <c r="G11" s="706">
        <v>7.5</v>
      </c>
      <c r="H11" s="707">
        <f t="shared" ref="H11:H18" ca="1" si="2">IF(G11="","-",ROUND((G11*H$9)/113+(H$8-H$7),0))</f>
        <v>6</v>
      </c>
      <c r="I11" s="706">
        <v>7.5</v>
      </c>
      <c r="J11" s="708">
        <f t="shared" ref="J11:J18" ca="1" si="3">IF(I11="","-",(I11*J$9)/113+(J$8-J$7))</f>
        <v>8.9592920353982279</v>
      </c>
      <c r="K11" s="706">
        <v>7</v>
      </c>
      <c r="L11" s="707">
        <f t="shared" ref="L11:L18" ca="1" si="4">IF(K11="","-",ROUND((K11*L$9)/113+(L$8-L$7),0))</f>
        <v>8</v>
      </c>
      <c r="M11" s="708">
        <f t="shared" ref="M11:M18" si="5">AVERAGE(E11,G11,I11,K11)</f>
        <v>7.375</v>
      </c>
      <c r="O11" s="709" t="s">
        <v>109</v>
      </c>
      <c r="P11" s="710">
        <v>2</v>
      </c>
      <c r="Q11" s="710">
        <v>3</v>
      </c>
      <c r="R11" s="710">
        <v>4</v>
      </c>
      <c r="S11" s="710">
        <v>5</v>
      </c>
      <c r="T11" s="670"/>
      <c r="U11" s="670"/>
      <c r="V11" s="670"/>
      <c r="W11" s="670"/>
      <c r="X11" s="670"/>
      <c r="Y11" s="670"/>
      <c r="Z11" s="670"/>
      <c r="AA11" s="670"/>
    </row>
    <row r="12" spans="1:31" ht="14.5">
      <c r="A12" s="703" t="s">
        <v>110</v>
      </c>
      <c r="B12" s="698" t="str">
        <f t="shared" si="0"/>
        <v>TEES</v>
      </c>
      <c r="C12" s="704" t="e">
        <f ca="1">IF(A12="","",VLOOKUP(A12,'Grint Handis'!$A$2:$B$25,2,FALSE))</f>
        <v>#N/A</v>
      </c>
      <c r="D12" s="705"/>
      <c r="E12" s="706">
        <v>7.8</v>
      </c>
      <c r="F12" s="707">
        <f t="shared" ca="1" si="1"/>
        <v>8</v>
      </c>
      <c r="G12" s="706">
        <v>7.7</v>
      </c>
      <c r="H12" s="707">
        <f t="shared" ca="1" si="2"/>
        <v>6</v>
      </c>
      <c r="I12" s="706">
        <v>7.7</v>
      </c>
      <c r="J12" s="708">
        <f t="shared" ca="1" si="3"/>
        <v>9.2035398230088479</v>
      </c>
      <c r="K12" s="706">
        <v>7.8</v>
      </c>
      <c r="L12" s="707">
        <f t="shared" ca="1" si="4"/>
        <v>9</v>
      </c>
      <c r="M12" s="708">
        <f t="shared" si="5"/>
        <v>7.75</v>
      </c>
      <c r="O12" s="711" t="s">
        <v>111</v>
      </c>
      <c r="P12" s="712">
        <v>1</v>
      </c>
      <c r="Q12" s="712">
        <v>1</v>
      </c>
      <c r="R12" s="712">
        <v>2</v>
      </c>
      <c r="S12" s="713" t="str">
        <f t="shared" ref="S12:S14" si="6">SUM(P12:R12)&amp;" Points per Match - "&amp;IF(P12=0,"",P12&amp;" Front, ")&amp;IF(Q12=0,"",Q12&amp;" Back, ")&amp;IF(R12=0,"",R12&amp;" Overall")</f>
        <v>4 Points per Match - 1 Front, 1 Back, 2 Overall</v>
      </c>
      <c r="T12" s="670"/>
      <c r="U12" s="670"/>
      <c r="V12" s="670"/>
      <c r="W12" s="670"/>
      <c r="X12" s="670"/>
      <c r="Y12" s="670"/>
      <c r="Z12" s="670"/>
      <c r="AA12" s="670"/>
    </row>
    <row r="13" spans="1:31" ht="14.5">
      <c r="A13" s="703" t="s">
        <v>112</v>
      </c>
      <c r="B13" s="698" t="str">
        <f t="shared" si="0"/>
        <v>TEES</v>
      </c>
      <c r="C13" s="704" t="e">
        <f ca="1">IF(A13="","",VLOOKUP(A13,'Grint Handis'!$A$2:$B$25,2,FALSE))</f>
        <v>#N/A</v>
      </c>
      <c r="D13" s="705"/>
      <c r="E13" s="706">
        <v>8.3000000000000007</v>
      </c>
      <c r="F13" s="707">
        <f t="shared" ca="1" si="1"/>
        <v>9</v>
      </c>
      <c r="G13" s="706">
        <v>8.6</v>
      </c>
      <c r="H13" s="707">
        <f t="shared" ca="1" si="2"/>
        <v>7</v>
      </c>
      <c r="I13" s="706">
        <v>8.6</v>
      </c>
      <c r="J13" s="708">
        <f t="shared" ca="1" si="3"/>
        <v>10.302654867256633</v>
      </c>
      <c r="K13" s="706">
        <v>8.6</v>
      </c>
      <c r="L13" s="707">
        <f t="shared" ca="1" si="4"/>
        <v>10</v>
      </c>
      <c r="M13" s="708">
        <f t="shared" si="5"/>
        <v>8.5250000000000004</v>
      </c>
      <c r="O13" s="711" t="s">
        <v>87</v>
      </c>
      <c r="P13" s="712">
        <v>1</v>
      </c>
      <c r="Q13" s="712">
        <v>1</v>
      </c>
      <c r="R13" s="712">
        <v>1</v>
      </c>
      <c r="S13" s="713" t="str">
        <f t="shared" si="6"/>
        <v>3 Points per Match - 1 Front, 1 Back, 1 Overall</v>
      </c>
      <c r="T13" s="670"/>
      <c r="U13" s="670"/>
      <c r="V13" s="670"/>
      <c r="W13" s="670"/>
      <c r="X13" s="670"/>
      <c r="Y13" s="670"/>
      <c r="Z13" s="670"/>
      <c r="AA13" s="670"/>
    </row>
    <row r="14" spans="1:31" ht="14.5">
      <c r="A14" s="703" t="s">
        <v>113</v>
      </c>
      <c r="B14" s="698" t="str">
        <f t="shared" si="0"/>
        <v>TEES</v>
      </c>
      <c r="C14" s="704" t="e">
        <f ca="1">IF(A14="","",VLOOKUP(A14,'Grint Handis'!$A$2:$B$25,2,FALSE))</f>
        <v>#N/A</v>
      </c>
      <c r="D14" s="705"/>
      <c r="E14" s="706">
        <v>8.4</v>
      </c>
      <c r="F14" s="707">
        <f t="shared" ca="1" si="1"/>
        <v>9</v>
      </c>
      <c r="G14" s="706">
        <v>8.4</v>
      </c>
      <c r="H14" s="707">
        <f t="shared" ca="1" si="2"/>
        <v>7</v>
      </c>
      <c r="I14" s="706">
        <v>8.4</v>
      </c>
      <c r="J14" s="708">
        <f t="shared" ca="1" si="3"/>
        <v>10.058407079646015</v>
      </c>
      <c r="K14" s="706">
        <v>8</v>
      </c>
      <c r="L14" s="707">
        <f t="shared" ca="1" si="4"/>
        <v>9</v>
      </c>
      <c r="M14" s="708">
        <f t="shared" si="5"/>
        <v>8.3000000000000007</v>
      </c>
      <c r="O14" s="711" t="s">
        <v>114</v>
      </c>
      <c r="P14" s="712">
        <v>1</v>
      </c>
      <c r="Q14" s="712">
        <v>1</v>
      </c>
      <c r="R14" s="712">
        <v>2</v>
      </c>
      <c r="S14" s="713" t="str">
        <f t="shared" si="6"/>
        <v>4 Points per Match - 1 Front, 1 Back, 2 Overall</v>
      </c>
      <c r="T14" s="670"/>
      <c r="U14" s="670"/>
      <c r="V14" s="670"/>
      <c r="W14" s="670"/>
      <c r="X14" s="670"/>
      <c r="Y14" s="670"/>
      <c r="Z14" s="670"/>
      <c r="AA14" s="670"/>
    </row>
    <row r="15" spans="1:31" ht="14.5">
      <c r="A15" s="703" t="s">
        <v>115</v>
      </c>
      <c r="B15" s="698" t="str">
        <f t="shared" si="0"/>
        <v>TEES</v>
      </c>
      <c r="C15" s="704" t="e">
        <f ca="1">IF(A15="","",VLOOKUP(A15,'Grint Handis'!$A$2:$B$25,2,FALSE))</f>
        <v>#N/A</v>
      </c>
      <c r="D15" s="705"/>
      <c r="E15" s="706">
        <v>9.1999999999999993</v>
      </c>
      <c r="F15" s="707">
        <f t="shared" ca="1" si="1"/>
        <v>10</v>
      </c>
      <c r="G15" s="706">
        <v>8.8000000000000007</v>
      </c>
      <c r="H15" s="707">
        <f t="shared" ca="1" si="2"/>
        <v>7</v>
      </c>
      <c r="I15" s="706">
        <v>8.8000000000000007</v>
      </c>
      <c r="J15" s="708">
        <f t="shared" ca="1" si="3"/>
        <v>10.546902654867255</v>
      </c>
      <c r="K15" s="706">
        <v>8.4</v>
      </c>
      <c r="L15" s="707">
        <f t="shared" ca="1" si="4"/>
        <v>9</v>
      </c>
      <c r="M15" s="708">
        <f t="shared" si="5"/>
        <v>8.8000000000000007</v>
      </c>
      <c r="O15" s="711" t="s">
        <v>91</v>
      </c>
      <c r="P15" s="712">
        <v>1</v>
      </c>
      <c r="Q15" s="712">
        <v>2</v>
      </c>
      <c r="R15" s="714" t="s">
        <v>116</v>
      </c>
      <c r="S15" s="713" t="str">
        <f>P15&amp;" Pt/Hole Front, "&amp;Q15&amp;" Pt/Hole Back"</f>
        <v>1 Pt/Hole Front, 2 Pt/Hole Back</v>
      </c>
      <c r="T15" s="715" t="s">
        <v>117</v>
      </c>
      <c r="U15" s="715"/>
      <c r="V15" s="715"/>
      <c r="W15" s="715"/>
      <c r="X15" s="715"/>
      <c r="Y15" s="715"/>
      <c r="Z15" s="715"/>
      <c r="AA15" s="715"/>
    </row>
    <row r="16" spans="1:31" ht="14.5">
      <c r="A16" s="703" t="s">
        <v>118</v>
      </c>
      <c r="B16" s="698" t="str">
        <f t="shared" si="0"/>
        <v>TEES</v>
      </c>
      <c r="C16" s="704" t="e">
        <f ca="1">IF(A16="","",VLOOKUP(A16,'Grint Handis'!$A$2:$B$25,2,FALSE))</f>
        <v>#N/A</v>
      </c>
      <c r="D16" s="705"/>
      <c r="E16" s="706">
        <v>12.5</v>
      </c>
      <c r="F16" s="707">
        <f t="shared" ca="1" si="1"/>
        <v>14</v>
      </c>
      <c r="G16" s="706">
        <v>12</v>
      </c>
      <c r="H16" s="707">
        <f t="shared" ca="1" si="2"/>
        <v>11</v>
      </c>
      <c r="I16" s="706">
        <v>12</v>
      </c>
      <c r="J16" s="708">
        <f t="shared" ca="1" si="3"/>
        <v>14.454867256637165</v>
      </c>
      <c r="K16" s="706">
        <v>12</v>
      </c>
      <c r="L16" s="707">
        <f t="shared" ca="1" si="4"/>
        <v>14</v>
      </c>
      <c r="M16" s="708">
        <f t="shared" si="5"/>
        <v>12.125</v>
      </c>
      <c r="O16" s="711" t="s">
        <v>119</v>
      </c>
      <c r="P16" s="712">
        <v>1</v>
      </c>
      <c r="Q16" s="712">
        <v>1</v>
      </c>
      <c r="R16" s="712">
        <v>2</v>
      </c>
      <c r="S16" s="713" t="str">
        <f t="shared" ref="S16:S20" si="7">SUM(P16:R16)&amp;" Points per Match - "&amp;IF(P16=0,"",P16&amp;" Front, ")&amp;IF(Q16=0,"",Q16&amp;" Back, ")&amp;IF(R16=0,"",R16&amp;" Overall")</f>
        <v>4 Points per Match - 1 Front, 1 Back, 2 Overall</v>
      </c>
      <c r="T16" s="670"/>
      <c r="U16" s="670"/>
    </row>
    <row r="17" spans="1:31" ht="14.5">
      <c r="A17" s="703" t="s">
        <v>120</v>
      </c>
      <c r="B17" s="698" t="str">
        <f t="shared" si="0"/>
        <v>TEES</v>
      </c>
      <c r="C17" s="704" t="e">
        <f ca="1">IF(A17="","",VLOOKUP(A17,'Grint Handis'!$A$2:$B$25,2,FALSE))</f>
        <v>#N/A</v>
      </c>
      <c r="D17" s="705"/>
      <c r="E17" s="706">
        <v>13.4</v>
      </c>
      <c r="F17" s="707">
        <f t="shared" ca="1" si="1"/>
        <v>15</v>
      </c>
      <c r="G17" s="706">
        <v>13.4</v>
      </c>
      <c r="H17" s="707">
        <f t="shared" ca="1" si="2"/>
        <v>13</v>
      </c>
      <c r="I17" s="706">
        <v>13.4</v>
      </c>
      <c r="J17" s="708">
        <f t="shared" ca="1" si="3"/>
        <v>16.164601769911503</v>
      </c>
      <c r="K17" s="706">
        <v>13.4</v>
      </c>
      <c r="L17" s="707">
        <f t="shared" ca="1" si="4"/>
        <v>16</v>
      </c>
      <c r="M17" s="708">
        <f t="shared" si="5"/>
        <v>13.4</v>
      </c>
      <c r="O17" s="711" t="s">
        <v>121</v>
      </c>
      <c r="P17" s="712">
        <v>1</v>
      </c>
      <c r="Q17" s="712">
        <v>1</v>
      </c>
      <c r="R17" s="712">
        <v>2</v>
      </c>
      <c r="S17" s="713" t="str">
        <f t="shared" si="7"/>
        <v>4 Points per Match - 1 Front, 1 Back, 2 Overall</v>
      </c>
      <c r="T17" s="670"/>
      <c r="U17" s="670"/>
      <c r="V17" s="670"/>
      <c r="W17" s="670"/>
      <c r="X17" s="670"/>
      <c r="Y17" s="670"/>
      <c r="Z17" s="670"/>
      <c r="AA17" s="670"/>
    </row>
    <row r="18" spans="1:31" ht="14.5">
      <c r="A18" s="703" t="s">
        <v>122</v>
      </c>
      <c r="B18" s="698" t="str">
        <f t="shared" si="0"/>
        <v>TEES</v>
      </c>
      <c r="C18" s="704" t="e">
        <f ca="1">IF(A18="","",VLOOKUP(A18,'Grint Handis'!$A$2:$B$25,2,FALSE))</f>
        <v>#N/A</v>
      </c>
      <c r="D18" s="705"/>
      <c r="E18" s="706">
        <v>29</v>
      </c>
      <c r="F18" s="707">
        <f t="shared" ca="1" si="1"/>
        <v>33</v>
      </c>
      <c r="G18" s="706">
        <v>29</v>
      </c>
      <c r="H18" s="707">
        <f t="shared" ca="1" si="2"/>
        <v>31</v>
      </c>
      <c r="I18" s="706">
        <v>29</v>
      </c>
      <c r="J18" s="708">
        <f t="shared" ca="1" si="3"/>
        <v>35.215929203539822</v>
      </c>
      <c r="K18" s="706">
        <v>29</v>
      </c>
      <c r="L18" s="707">
        <f t="shared" ca="1" si="4"/>
        <v>35</v>
      </c>
      <c r="M18" s="708">
        <f t="shared" si="5"/>
        <v>29</v>
      </c>
      <c r="O18" s="711" t="s">
        <v>89</v>
      </c>
      <c r="P18" s="712">
        <v>1</v>
      </c>
      <c r="Q18" s="712">
        <v>1</v>
      </c>
      <c r="R18" s="712">
        <v>2</v>
      </c>
      <c r="S18" s="713" t="str">
        <f t="shared" si="7"/>
        <v>4 Points per Match - 1 Front, 1 Back, 2 Overall</v>
      </c>
      <c r="T18" s="670"/>
      <c r="U18" s="670"/>
      <c r="V18" s="670"/>
      <c r="W18" s="670"/>
      <c r="X18" s="670"/>
      <c r="Y18" s="670"/>
      <c r="Z18" s="670"/>
      <c r="AA18" s="670"/>
    </row>
    <row r="19" spans="1:31" ht="14.5">
      <c r="A19" s="716" t="s">
        <v>123</v>
      </c>
      <c r="B19" s="526" t="s">
        <v>100</v>
      </c>
      <c r="C19" s="696" t="s">
        <v>101</v>
      </c>
      <c r="D19" s="717"/>
      <c r="E19" s="697" t="s">
        <v>101</v>
      </c>
      <c r="F19" s="707" t="s">
        <v>103</v>
      </c>
      <c r="G19" s="697" t="s">
        <v>101</v>
      </c>
      <c r="H19" s="707" t="s">
        <v>103</v>
      </c>
      <c r="I19" s="697" t="s">
        <v>101</v>
      </c>
      <c r="J19" s="699" t="s">
        <v>104</v>
      </c>
      <c r="K19" s="697" t="s">
        <v>101</v>
      </c>
      <c r="L19" s="707" t="s">
        <v>103</v>
      </c>
      <c r="M19" s="708" t="s">
        <v>105</v>
      </c>
      <c r="O19" s="711" t="s">
        <v>124</v>
      </c>
      <c r="P19" s="712">
        <v>0</v>
      </c>
      <c r="Q19" s="712">
        <v>0</v>
      </c>
      <c r="R19" s="712">
        <v>4</v>
      </c>
      <c r="S19" s="713" t="str">
        <f t="shared" si="7"/>
        <v>4 Points per Match - 4 Overall</v>
      </c>
      <c r="T19" s="670"/>
      <c r="U19" s="670"/>
      <c r="V19" s="670"/>
      <c r="W19" s="670"/>
      <c r="X19" s="670"/>
      <c r="Y19" s="670"/>
      <c r="Z19" s="670"/>
      <c r="AA19" s="670"/>
    </row>
    <row r="20" spans="1:31" ht="14.5">
      <c r="A20" s="703" t="s">
        <v>125</v>
      </c>
      <c r="B20" s="698" t="str">
        <f t="shared" ref="B20:B27" si="8">$A$19</f>
        <v>WEEZ</v>
      </c>
      <c r="C20" s="704" t="e">
        <f ca="1">IF(A20="","",VLOOKUP(A20,'Grint Handis'!$A$2:$B$25,2,FALSE))</f>
        <v>#N/A</v>
      </c>
      <c r="D20" s="705"/>
      <c r="E20" s="706">
        <v>5.2</v>
      </c>
      <c r="F20" s="707">
        <f t="shared" ref="F20:F27" ca="1" si="9">IF(E20="","-",ROUND((E20*F$9)/113+(F$8-F$7),0))</f>
        <v>5</v>
      </c>
      <c r="G20" s="706">
        <v>5.2</v>
      </c>
      <c r="H20" s="707">
        <f t="shared" ref="H20:H27" ca="1" si="10">IF(G20="","-",ROUND((G20*H$9)/113+(H$8-H$7),0))</f>
        <v>3</v>
      </c>
      <c r="I20" s="706">
        <v>5.2</v>
      </c>
      <c r="J20" s="708">
        <f t="shared" ref="J20:J27" ca="1" si="11">IF(I20="","-",(I20*J$9)/113+(J$8-J$7))</f>
        <v>6.150442477876104</v>
      </c>
      <c r="K20" s="706">
        <v>5.2</v>
      </c>
      <c r="L20" s="707">
        <f t="shared" ref="L20:L27" ca="1" si="12">IF(K20="","-",ROUND((K20*L$9)/113+(L$8-L$7),0))</f>
        <v>5</v>
      </c>
      <c r="M20" s="708">
        <f t="shared" ref="M20:M27" si="13">AVERAGE(E20,G20,I20,K20)</f>
        <v>5.2</v>
      </c>
      <c r="O20" s="711" t="s">
        <v>85</v>
      </c>
      <c r="P20" s="712">
        <v>1</v>
      </c>
      <c r="Q20" s="712">
        <v>1</v>
      </c>
      <c r="R20" s="712">
        <v>2</v>
      </c>
      <c r="S20" s="713" t="str">
        <f t="shared" si="7"/>
        <v>4 Points per Match - 1 Front, 1 Back, 2 Overall</v>
      </c>
      <c r="T20" s="670"/>
      <c r="U20" s="670"/>
      <c r="V20" s="670"/>
      <c r="W20" s="670"/>
      <c r="X20" s="670"/>
      <c r="Y20" s="670"/>
      <c r="Z20" s="670"/>
      <c r="AA20" s="670"/>
    </row>
    <row r="21" spans="1:31" ht="14.5">
      <c r="A21" s="703" t="s">
        <v>126</v>
      </c>
      <c r="B21" s="698" t="str">
        <f t="shared" si="8"/>
        <v>WEEZ</v>
      </c>
      <c r="C21" s="704" t="e">
        <f ca="1">IF(A21="","",VLOOKUP(A21,'Grint Handis'!$A$2:$B$25,2,FALSE))</f>
        <v>#N/A</v>
      </c>
      <c r="D21" s="705"/>
      <c r="E21" s="706">
        <v>6</v>
      </c>
      <c r="F21" s="707">
        <f t="shared" ca="1" si="9"/>
        <v>6</v>
      </c>
      <c r="G21" s="706">
        <v>6</v>
      </c>
      <c r="H21" s="707">
        <f t="shared" ca="1" si="10"/>
        <v>4</v>
      </c>
      <c r="I21" s="706">
        <v>6</v>
      </c>
      <c r="J21" s="708">
        <f t="shared" ca="1" si="11"/>
        <v>7.1274336283185811</v>
      </c>
      <c r="K21" s="706">
        <v>6</v>
      </c>
      <c r="L21" s="707">
        <f t="shared" ca="1" si="12"/>
        <v>6</v>
      </c>
      <c r="M21" s="708">
        <f t="shared" si="13"/>
        <v>6</v>
      </c>
      <c r="O21" s="718"/>
      <c r="P21" s="714"/>
      <c r="Q21" s="714"/>
      <c r="R21" s="714"/>
      <c r="S21" s="711"/>
      <c r="T21" s="670"/>
      <c r="U21" s="670"/>
      <c r="V21" s="670"/>
      <c r="W21" s="670"/>
      <c r="X21" s="670"/>
      <c r="Y21" s="670"/>
      <c r="Z21" s="670"/>
      <c r="AA21" s="670"/>
    </row>
    <row r="22" spans="1:31" ht="14.5">
      <c r="A22" s="703" t="s">
        <v>127</v>
      </c>
      <c r="B22" s="698" t="str">
        <f t="shared" si="8"/>
        <v>WEEZ</v>
      </c>
      <c r="C22" s="704" t="e">
        <f ca="1">IF(A22="","",VLOOKUP(A22,'Grint Handis'!$A$2:$B$25,2,FALSE))</f>
        <v>#N/A</v>
      </c>
      <c r="D22" s="705"/>
      <c r="E22" s="706">
        <v>6.7</v>
      </c>
      <c r="F22" s="707">
        <f t="shared" ca="1" si="9"/>
        <v>7</v>
      </c>
      <c r="G22" s="706">
        <v>6.7</v>
      </c>
      <c r="H22" s="707">
        <f t="shared" ca="1" si="10"/>
        <v>5</v>
      </c>
      <c r="I22" s="706">
        <v>6.7</v>
      </c>
      <c r="J22" s="708">
        <f t="shared" ca="1" si="11"/>
        <v>7.98230088495575</v>
      </c>
      <c r="K22" s="706">
        <v>6.7</v>
      </c>
      <c r="L22" s="707">
        <f t="shared" ca="1" si="12"/>
        <v>7</v>
      </c>
      <c r="M22" s="708">
        <f t="shared" si="13"/>
        <v>6.7</v>
      </c>
      <c r="O22" s="719"/>
      <c r="P22" s="714"/>
      <c r="Q22" s="714"/>
      <c r="R22" s="714"/>
      <c r="S22" s="711"/>
      <c r="T22" s="670"/>
      <c r="U22" s="670"/>
      <c r="V22" s="670"/>
      <c r="W22" s="670"/>
      <c r="X22" s="670"/>
      <c r="Y22" s="670"/>
      <c r="Z22" s="670"/>
      <c r="AA22" s="670"/>
    </row>
    <row r="23" spans="1:31" ht="14.5">
      <c r="A23" s="703" t="s">
        <v>128</v>
      </c>
      <c r="B23" s="698" t="str">
        <f t="shared" si="8"/>
        <v>WEEZ</v>
      </c>
      <c r="C23" s="704" t="e">
        <f ca="1">IF(A23="","",VLOOKUP(A23,'Grint Handis'!$A$2:$B$25,2,FALSE))</f>
        <v>#N/A</v>
      </c>
      <c r="D23" s="705"/>
      <c r="E23" s="706">
        <v>8.9</v>
      </c>
      <c r="F23" s="707">
        <f t="shared" ca="1" si="9"/>
        <v>10</v>
      </c>
      <c r="G23" s="706">
        <v>8.9</v>
      </c>
      <c r="H23" s="707">
        <f t="shared" ca="1" si="10"/>
        <v>7</v>
      </c>
      <c r="I23" s="706">
        <v>8.9</v>
      </c>
      <c r="J23" s="708">
        <f t="shared" ca="1" si="11"/>
        <v>10.669026548672564</v>
      </c>
      <c r="K23" s="706">
        <v>8.9</v>
      </c>
      <c r="L23" s="707">
        <f t="shared" ca="1" si="12"/>
        <v>10</v>
      </c>
      <c r="M23" s="708">
        <f t="shared" si="13"/>
        <v>8.9</v>
      </c>
      <c r="O23" s="719"/>
      <c r="P23" s="714"/>
      <c r="Q23" s="714"/>
      <c r="R23" s="714"/>
      <c r="S23" s="711"/>
      <c r="T23" s="670"/>
      <c r="U23" s="670"/>
      <c r="V23" s="670"/>
      <c r="W23" s="670"/>
      <c r="X23" s="670"/>
      <c r="Y23" s="670"/>
      <c r="Z23" s="670"/>
      <c r="AA23" s="670"/>
    </row>
    <row r="24" spans="1:31" ht="14.5">
      <c r="A24" s="703" t="s">
        <v>129</v>
      </c>
      <c r="B24" s="698" t="str">
        <f t="shared" si="8"/>
        <v>WEEZ</v>
      </c>
      <c r="C24" s="704" t="e">
        <f ca="1">IF(A24="","",VLOOKUP(A24,'Grint Handis'!$A$2:$B$25,2,FALSE))</f>
        <v>#N/A</v>
      </c>
      <c r="D24" s="705"/>
      <c r="E24" s="706">
        <v>9.6</v>
      </c>
      <c r="F24" s="707">
        <f t="shared" ca="1" si="9"/>
        <v>11</v>
      </c>
      <c r="G24" s="706">
        <v>9.4</v>
      </c>
      <c r="H24" s="707">
        <f t="shared" ca="1" si="10"/>
        <v>8</v>
      </c>
      <c r="I24" s="706">
        <v>9.4</v>
      </c>
      <c r="J24" s="708">
        <f t="shared" ca="1" si="11"/>
        <v>11.279646017699113</v>
      </c>
      <c r="K24" s="706">
        <v>9.4</v>
      </c>
      <c r="L24" s="707">
        <f t="shared" ca="1" si="12"/>
        <v>11</v>
      </c>
      <c r="M24" s="708">
        <f t="shared" si="13"/>
        <v>9.4499999999999993</v>
      </c>
      <c r="O24" s="671"/>
      <c r="P24" s="671"/>
      <c r="Q24" s="671"/>
      <c r="R24" s="671"/>
      <c r="S24" s="670"/>
      <c r="T24" s="670"/>
      <c r="U24" s="670"/>
      <c r="V24" s="670"/>
      <c r="W24" s="670"/>
      <c r="X24" s="670"/>
      <c r="Y24" s="670"/>
      <c r="Z24" s="670"/>
      <c r="AA24" s="670"/>
    </row>
    <row r="25" spans="1:31" ht="14.5">
      <c r="A25" s="703" t="s">
        <v>130</v>
      </c>
      <c r="B25" s="698" t="str">
        <f t="shared" si="8"/>
        <v>WEEZ</v>
      </c>
      <c r="C25" s="704" t="e">
        <f ca="1">IF(A25="","",VLOOKUP(A25,'Grint Handis'!$A$2:$B$25,2,FALSE))</f>
        <v>#N/A</v>
      </c>
      <c r="D25" s="705"/>
      <c r="E25" s="706">
        <v>13</v>
      </c>
      <c r="F25" s="707">
        <f t="shared" ca="1" si="9"/>
        <v>14</v>
      </c>
      <c r="G25" s="706">
        <v>13</v>
      </c>
      <c r="H25" s="707">
        <f t="shared" ca="1" si="10"/>
        <v>12</v>
      </c>
      <c r="I25" s="706">
        <v>13</v>
      </c>
      <c r="J25" s="708">
        <f t="shared" ca="1" si="11"/>
        <v>15.676106194690263</v>
      </c>
      <c r="K25" s="706">
        <v>13.1</v>
      </c>
      <c r="L25" s="707">
        <f t="shared" ca="1" si="12"/>
        <v>15</v>
      </c>
      <c r="M25" s="708">
        <f t="shared" si="13"/>
        <v>13.025</v>
      </c>
      <c r="O25" s="671"/>
      <c r="P25" s="671"/>
      <c r="Q25" s="671"/>
      <c r="R25" s="671"/>
      <c r="S25" s="670"/>
      <c r="T25" s="670"/>
      <c r="U25" s="670"/>
      <c r="V25" s="670"/>
      <c r="W25" s="670"/>
      <c r="X25" s="670"/>
      <c r="Y25" s="670"/>
      <c r="Z25" s="670"/>
      <c r="AA25" s="670"/>
      <c r="AB25" s="670"/>
      <c r="AC25" s="670"/>
      <c r="AD25" s="670"/>
      <c r="AE25" s="670"/>
    </row>
    <row r="26" spans="1:31" ht="14.5">
      <c r="A26" s="703" t="s">
        <v>131</v>
      </c>
      <c r="B26" s="698" t="str">
        <f t="shared" si="8"/>
        <v>WEEZ</v>
      </c>
      <c r="C26" s="704" t="e">
        <f ca="1">IF(A26="","",VLOOKUP(A26,'Grint Handis'!$A$2:$B$25,2,FALSE))</f>
        <v>#N/A</v>
      </c>
      <c r="D26" s="705"/>
      <c r="E26" s="706">
        <v>15</v>
      </c>
      <c r="F26" s="707">
        <f t="shared" ca="1" si="9"/>
        <v>17</v>
      </c>
      <c r="G26" s="706">
        <v>15</v>
      </c>
      <c r="H26" s="707">
        <f t="shared" ca="1" si="10"/>
        <v>14</v>
      </c>
      <c r="I26" s="706">
        <v>15</v>
      </c>
      <c r="J26" s="708">
        <f t="shared" ca="1" si="11"/>
        <v>18.118584070796459</v>
      </c>
      <c r="K26" s="706">
        <v>15</v>
      </c>
      <c r="L26" s="707">
        <f t="shared" ca="1" si="12"/>
        <v>18</v>
      </c>
      <c r="M26" s="708">
        <f t="shared" si="13"/>
        <v>15</v>
      </c>
      <c r="O26" s="671"/>
      <c r="P26" s="671"/>
      <c r="Q26" s="671"/>
      <c r="R26" s="671"/>
      <c r="S26" s="670"/>
      <c r="T26" s="670"/>
      <c r="U26" s="670"/>
      <c r="V26" s="670"/>
      <c r="W26" s="670"/>
      <c r="X26" s="670"/>
      <c r="Y26" s="670"/>
      <c r="Z26" s="670"/>
      <c r="AA26" s="670"/>
      <c r="AB26" s="670"/>
      <c r="AC26" s="670"/>
      <c r="AD26" s="670"/>
      <c r="AE26" s="670"/>
    </row>
    <row r="27" spans="1:31" ht="14.5">
      <c r="A27" s="703" t="s">
        <v>132</v>
      </c>
      <c r="B27" s="698" t="str">
        <f t="shared" si="8"/>
        <v>WEEZ</v>
      </c>
      <c r="C27" s="704" t="e">
        <f ca="1">IF(A27="","",VLOOKUP(A27,'Grint Handis'!$A$2:$B$25,2,FALSE))</f>
        <v>#N/A</v>
      </c>
      <c r="D27" s="705"/>
      <c r="E27" s="706">
        <v>15</v>
      </c>
      <c r="F27" s="707">
        <f t="shared" ca="1" si="9"/>
        <v>17</v>
      </c>
      <c r="G27" s="706">
        <v>15.2</v>
      </c>
      <c r="H27" s="707">
        <f t="shared" ca="1" si="10"/>
        <v>15</v>
      </c>
      <c r="I27" s="706">
        <v>15.2</v>
      </c>
      <c r="J27" s="708">
        <f t="shared" ca="1" si="11"/>
        <v>18.362831858407077</v>
      </c>
      <c r="K27" s="706">
        <v>15.1</v>
      </c>
      <c r="L27" s="707">
        <f t="shared" ca="1" si="12"/>
        <v>18</v>
      </c>
      <c r="M27" s="708">
        <f t="shared" si="13"/>
        <v>15.125</v>
      </c>
      <c r="O27" s="671"/>
      <c r="P27" s="671"/>
      <c r="Q27" s="671"/>
      <c r="R27" s="671"/>
      <c r="S27" s="670"/>
      <c r="T27" s="670"/>
      <c r="U27" s="670"/>
      <c r="V27" s="670"/>
      <c r="W27" s="670"/>
      <c r="X27" s="670"/>
      <c r="Y27" s="670"/>
      <c r="Z27" s="670"/>
      <c r="AA27" s="670"/>
      <c r="AB27" s="670"/>
      <c r="AC27" s="670"/>
      <c r="AD27" s="670"/>
      <c r="AE27" s="670"/>
    </row>
    <row r="28" spans="1:31" ht="14.5">
      <c r="A28" s="720" t="s">
        <v>109</v>
      </c>
      <c r="B28" s="720">
        <v>2</v>
      </c>
      <c r="C28" s="720">
        <v>3</v>
      </c>
      <c r="D28" s="720">
        <v>4</v>
      </c>
      <c r="E28" s="720">
        <v>5</v>
      </c>
      <c r="F28" s="720">
        <v>6</v>
      </c>
      <c r="G28" s="720">
        <v>7</v>
      </c>
      <c r="H28" s="720">
        <v>8</v>
      </c>
      <c r="I28" s="720">
        <v>9</v>
      </c>
      <c r="J28" s="720">
        <v>10</v>
      </c>
      <c r="K28" s="720">
        <v>11</v>
      </c>
      <c r="L28" s="720">
        <v>12</v>
      </c>
      <c r="M28" s="721">
        <v>13</v>
      </c>
      <c r="O28" s="670"/>
      <c r="P28" s="670"/>
      <c r="Q28" s="670"/>
      <c r="R28" s="670"/>
      <c r="V28" s="670"/>
      <c r="W28" s="670"/>
      <c r="X28" s="670"/>
      <c r="Y28" s="670"/>
      <c r="Z28" s="670"/>
      <c r="AA28" s="670"/>
      <c r="AB28" s="670"/>
      <c r="AC28" s="670"/>
      <c r="AD28" s="670"/>
      <c r="AE28" s="670"/>
    </row>
    <row r="29" spans="1:31" ht="14.5">
      <c r="A29" s="722"/>
      <c r="B29" s="722"/>
      <c r="C29" s="722"/>
      <c r="D29" s="722"/>
      <c r="E29" s="722"/>
      <c r="F29" s="722"/>
      <c r="G29" s="722"/>
      <c r="H29" s="722"/>
      <c r="I29" s="722"/>
      <c r="J29" s="722"/>
      <c r="K29" s="722"/>
      <c r="L29" s="722"/>
      <c r="M29" s="670"/>
      <c r="N29" s="670"/>
      <c r="O29" s="670"/>
      <c r="P29" s="670"/>
      <c r="Q29" s="670"/>
      <c r="R29" s="670"/>
    </row>
    <row r="30" spans="1:31" ht="14.5">
      <c r="A30" s="671"/>
      <c r="B30" s="671"/>
      <c r="C30" s="671"/>
      <c r="D30" s="671"/>
      <c r="E30" s="671"/>
      <c r="F30" s="722"/>
      <c r="G30" s="671"/>
      <c r="H30" s="671"/>
      <c r="I30" s="671"/>
      <c r="J30" s="671"/>
      <c r="K30" s="671"/>
      <c r="L30" s="671"/>
      <c r="M30" s="671"/>
      <c r="N30" s="670"/>
      <c r="O30" s="670"/>
      <c r="P30" s="670"/>
      <c r="Q30" s="670"/>
      <c r="R30" s="670"/>
    </row>
  </sheetData>
  <mergeCells count="4">
    <mergeCell ref="E1:L1"/>
    <mergeCell ref="A7:B9"/>
    <mergeCell ref="C7:C9"/>
    <mergeCell ref="P9:R9"/>
  </mergeCells>
  <dataValidations count="1">
    <dataValidation type="list" allowBlank="1" showErrorMessage="1" sqref="F6 H6 J6 L6" xr:uid="{00000000-0002-0000-1300-000000000000}">
      <formula1>$O$12:$O$23</formula1>
    </dataValidation>
  </dataValidations>
  <pageMargins left="0.7" right="0.7" top="0.75" bottom="0.75" header="0.3" footer="0.3"/>
  <tableParts count="3">
    <tablePart r:id="rId1"/>
    <tablePart r:id="rId2"/>
    <tablePart r:id="rId3"/>
  </tableParts>
  <extLst>
    <ext xmlns:x14="http://schemas.microsoft.com/office/spreadsheetml/2009/9/main" uri="{CCE6A557-97BC-4b89-ADB6-D9C93CAAB3DF}">
      <x14:dataValidations xmlns:xm="http://schemas.microsoft.com/office/excel/2006/main" count="1">
        <x14:dataValidation type="list" allowBlank="1" showErrorMessage="1" xr:uid="{00000000-0002-0000-1300-000001000000}">
          <x14:formula1>
            <xm:f>'Course List'!$A$3:$A$14</xm:f>
          </x14:formula1>
          <xm:sqref>E6 G6 I6 K6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outlinePr summaryBelow="0" summaryRight="0"/>
  </sheetPr>
  <dimension ref="A1:AY27"/>
  <sheetViews>
    <sheetView workbookViewId="0"/>
  </sheetViews>
  <sheetFormatPr defaultColWidth="17.26953125" defaultRowHeight="15" customHeight="1"/>
  <cols>
    <col min="1" max="1" width="3" customWidth="1"/>
    <col min="2" max="2" width="24.81640625" customWidth="1"/>
    <col min="3" max="3" width="3" customWidth="1"/>
    <col min="4" max="4" width="14.453125" customWidth="1"/>
    <col min="5" max="5" width="3.7265625" customWidth="1"/>
    <col min="6" max="6" width="4.453125" customWidth="1"/>
    <col min="7" max="7" width="14.453125" customWidth="1"/>
    <col min="8" max="8" width="3.7265625" customWidth="1"/>
    <col min="9" max="9" width="3" customWidth="1"/>
    <col min="10" max="10" width="14.453125" customWidth="1"/>
    <col min="11" max="11" width="3.7265625" customWidth="1"/>
    <col min="12" max="12" width="4.453125" customWidth="1"/>
    <col min="13" max="13" width="14.453125" customWidth="1"/>
    <col min="14" max="14" width="3.7265625" customWidth="1"/>
    <col min="15" max="15" width="3" customWidth="1"/>
    <col min="16" max="16" width="14.453125" customWidth="1"/>
    <col min="17" max="17" width="3.7265625" customWidth="1"/>
    <col min="18" max="18" width="4.453125" customWidth="1"/>
    <col min="19" max="19" width="14.453125" customWidth="1"/>
    <col min="20" max="20" width="3.7265625" customWidth="1"/>
    <col min="21" max="21" width="3" customWidth="1"/>
    <col min="22" max="22" width="14.453125" customWidth="1"/>
    <col min="23" max="23" width="3.7265625" customWidth="1"/>
    <col min="24" max="24" width="4.453125" customWidth="1"/>
    <col min="25" max="25" width="14.453125" customWidth="1"/>
    <col min="26" max="26" width="3.7265625" customWidth="1"/>
    <col min="27" max="27" width="3" customWidth="1"/>
    <col min="28" max="28" width="20.7265625" hidden="1" customWidth="1"/>
    <col min="29" max="29" width="14.453125" hidden="1" customWidth="1"/>
    <col min="30" max="33" width="7.26953125" hidden="1" customWidth="1"/>
    <col min="34" max="34" width="14.453125" hidden="1" customWidth="1"/>
    <col min="35" max="38" width="7.26953125" hidden="1" customWidth="1"/>
    <col min="39" max="39" width="14.453125" hidden="1" customWidth="1"/>
    <col min="40" max="43" width="7.26953125" hidden="1" customWidth="1"/>
    <col min="44" max="44" width="14.453125" hidden="1" customWidth="1"/>
    <col min="45" max="51" width="7.26953125" hidden="1" customWidth="1"/>
  </cols>
  <sheetData>
    <row r="1" spans="1:51">
      <c r="A1" s="723"/>
      <c r="B1" s="723"/>
      <c r="C1" s="723"/>
      <c r="D1" s="724" t="str">
        <f>IF(B4="2-Man Scramble","IMPORTANT NOTE FOR 2-MAN SCRAMBLE: Must put lower handicap in top spot and higher handicap in bottom spot for calculations to work correctly.","-")</f>
        <v>-</v>
      </c>
      <c r="E1" s="723"/>
      <c r="F1" s="723"/>
      <c r="G1" s="723"/>
      <c r="H1" s="723"/>
      <c r="I1" s="723"/>
      <c r="J1" s="723"/>
      <c r="K1" s="723"/>
      <c r="L1" s="723"/>
      <c r="M1" s="723"/>
      <c r="N1" s="723"/>
      <c r="O1" s="723"/>
      <c r="P1" s="723"/>
      <c r="Q1" s="723"/>
      <c r="R1" s="723"/>
      <c r="S1" s="723"/>
      <c r="T1" s="723"/>
      <c r="U1" s="723"/>
      <c r="V1" s="723"/>
      <c r="W1" s="723"/>
      <c r="X1" s="723"/>
      <c r="Y1" s="725" t="s">
        <v>133</v>
      </c>
      <c r="Z1" s="723"/>
      <c r="AA1" s="723"/>
      <c r="AC1" s="1173" t="s">
        <v>134</v>
      </c>
      <c r="AD1" s="1129"/>
      <c r="AE1" s="1129"/>
      <c r="AF1" s="1129"/>
      <c r="AG1" s="1129"/>
      <c r="AH1" s="1174" t="s">
        <v>135</v>
      </c>
      <c r="AI1" s="1129"/>
      <c r="AJ1" s="1129"/>
      <c r="AK1" s="1129"/>
      <c r="AL1" s="1129"/>
      <c r="AM1" s="1175" t="s">
        <v>136</v>
      </c>
      <c r="AN1" s="1129"/>
      <c r="AO1" s="1129"/>
      <c r="AP1" s="1129"/>
      <c r="AQ1" s="1129"/>
      <c r="AR1" s="1176" t="s">
        <v>137</v>
      </c>
      <c r="AS1" s="1129"/>
      <c r="AT1" s="1129"/>
      <c r="AU1" s="1129"/>
      <c r="AV1" s="1129"/>
      <c r="AW1" s="667"/>
      <c r="AX1" s="667"/>
      <c r="AY1" s="667"/>
    </row>
    <row r="2" spans="1:51">
      <c r="A2" s="723"/>
      <c r="B2" s="726" t="s">
        <v>76</v>
      </c>
      <c r="C2" s="723"/>
      <c r="D2" s="727" t="str">
        <f>VLOOKUP($B4,$AB$4:$AV$15,AC$3,FALSE)</f>
        <v>Match 1</v>
      </c>
      <c r="E2" s="727"/>
      <c r="F2" s="728" t="s">
        <v>138</v>
      </c>
      <c r="G2" s="729">
        <f>'Master Input'!E$3</f>
        <v>4.1666666666666664E-2</v>
      </c>
      <c r="H2" s="727"/>
      <c r="I2" s="723"/>
      <c r="J2" s="727" t="str">
        <f>VLOOKUP($B4,$AB$4:$AV$15,$AH$3,FALSE)</f>
        <v>Match 2</v>
      </c>
      <c r="K2" s="727"/>
      <c r="L2" s="728" t="s">
        <v>138</v>
      </c>
      <c r="M2" s="729">
        <f>'Master Input'!F$3</f>
        <v>4.8611111111111112E-2</v>
      </c>
      <c r="N2" s="727"/>
      <c r="O2" s="723"/>
      <c r="P2" s="727" t="str">
        <f>VLOOKUP($B4,$AB$4:$AV$15,$AM$3,FALSE)</f>
        <v>Match 3</v>
      </c>
      <c r="Q2" s="727"/>
      <c r="R2" s="728" t="s">
        <v>138</v>
      </c>
      <c r="S2" s="729">
        <f>'Master Input'!E$4</f>
        <v>5.5555555555555552E-2</v>
      </c>
      <c r="T2" s="727"/>
      <c r="U2" s="723"/>
      <c r="V2" s="727" t="str">
        <f>VLOOKUP($B4,$AB$4:$AV$15,$AR$3,FALSE)</f>
        <v>Match 4</v>
      </c>
      <c r="W2" s="727"/>
      <c r="X2" s="728" t="s">
        <v>138</v>
      </c>
      <c r="Y2" s="729">
        <f>'Master Input'!F$4</f>
        <v>6.25E-2</v>
      </c>
      <c r="Z2" s="727"/>
      <c r="AA2" s="723"/>
      <c r="AB2" s="730" t="s">
        <v>82</v>
      </c>
      <c r="AC2" s="731" t="s">
        <v>139</v>
      </c>
      <c r="AD2" s="731" t="s">
        <v>140</v>
      </c>
      <c r="AE2" s="731" t="s">
        <v>141</v>
      </c>
      <c r="AF2" s="731" t="s">
        <v>142</v>
      </c>
      <c r="AG2" s="731" t="s">
        <v>143</v>
      </c>
      <c r="AH2" s="732" t="s">
        <v>139</v>
      </c>
      <c r="AI2" s="732" t="s">
        <v>140</v>
      </c>
      <c r="AJ2" s="732" t="s">
        <v>141</v>
      </c>
      <c r="AK2" s="732" t="s">
        <v>144</v>
      </c>
      <c r="AL2" s="732" t="s">
        <v>145</v>
      </c>
      <c r="AM2" s="733" t="s">
        <v>139</v>
      </c>
      <c r="AN2" s="733" t="s">
        <v>140</v>
      </c>
      <c r="AO2" s="733" t="s">
        <v>141</v>
      </c>
      <c r="AP2" s="733" t="s">
        <v>144</v>
      </c>
      <c r="AQ2" s="733" t="s">
        <v>145</v>
      </c>
      <c r="AR2" s="734" t="s">
        <v>139</v>
      </c>
      <c r="AS2" s="734" t="s">
        <v>140</v>
      </c>
      <c r="AT2" s="734" t="s">
        <v>141</v>
      </c>
      <c r="AU2" s="734" t="s">
        <v>144</v>
      </c>
      <c r="AV2" s="734" t="s">
        <v>145</v>
      </c>
      <c r="AW2" s="667"/>
      <c r="AX2" s="667"/>
      <c r="AY2" s="667"/>
    </row>
    <row r="3" spans="1:51">
      <c r="A3" s="723"/>
      <c r="B3" s="735" t="str">
        <f>'Master Input'!E6</f>
        <v>Sundance - Blue</v>
      </c>
      <c r="C3" s="723"/>
      <c r="D3" s="736" t="str">
        <f>VLOOKUP($B4,$AB$4:$AV$15,$AD$3,FALSE)</f>
        <v>WEEZ</v>
      </c>
      <c r="E3" s="736" t="s">
        <v>146</v>
      </c>
      <c r="F3" s="737"/>
      <c r="G3" s="736" t="str">
        <f>VLOOKUP($B4,$AB$4:$AV$15,$AE$3,FALSE)</f>
        <v>TEES</v>
      </c>
      <c r="H3" s="736" t="s">
        <v>146</v>
      </c>
      <c r="I3" s="723"/>
      <c r="J3" s="736" t="str">
        <f>VLOOKUP($B4,$AB$4:$AV$15,$AI$3,FALSE)</f>
        <v>WEEZ</v>
      </c>
      <c r="K3" s="736" t="s">
        <v>146</v>
      </c>
      <c r="L3" s="737"/>
      <c r="M3" s="736" t="str">
        <f>VLOOKUP($B4,$AB$4:$AV$15,$AJ$3,FALSE)</f>
        <v>TEES</v>
      </c>
      <c r="N3" s="736" t="s">
        <v>146</v>
      </c>
      <c r="O3" s="723"/>
      <c r="P3" s="736" t="str">
        <f>VLOOKUP($B4,$AB$4:$AV$15,$AN$3,FALSE)</f>
        <v>WEEZ</v>
      </c>
      <c r="Q3" s="736" t="s">
        <v>146</v>
      </c>
      <c r="R3" s="737"/>
      <c r="S3" s="736" t="str">
        <f>VLOOKUP($B4,$AB$4:$AV$15,$AO$3,FALSE)</f>
        <v>TEES</v>
      </c>
      <c r="T3" s="736" t="s">
        <v>146</v>
      </c>
      <c r="U3" s="723"/>
      <c r="V3" s="736" t="str">
        <f>VLOOKUP($B4,$AB$4:$AV$15,$AS$3,FALSE)</f>
        <v>WEEZ</v>
      </c>
      <c r="W3" s="736" t="s">
        <v>146</v>
      </c>
      <c r="X3" s="737"/>
      <c r="Y3" s="736" t="str">
        <f>VLOOKUP($B4,$AB$4:$AV$15,$AT$3,FALSE)</f>
        <v>TEES</v>
      </c>
      <c r="Z3" s="736" t="s">
        <v>146</v>
      </c>
      <c r="AA3" s="723"/>
      <c r="AB3" s="738" t="s">
        <v>109</v>
      </c>
      <c r="AC3" s="738">
        <v>2</v>
      </c>
      <c r="AD3" s="738">
        <v>3</v>
      </c>
      <c r="AE3" s="738">
        <v>4</v>
      </c>
      <c r="AF3" s="738">
        <v>5</v>
      </c>
      <c r="AG3" s="738">
        <v>6</v>
      </c>
      <c r="AH3" s="738">
        <v>7</v>
      </c>
      <c r="AI3" s="738">
        <v>8</v>
      </c>
      <c r="AJ3" s="738">
        <v>9</v>
      </c>
      <c r="AK3" s="738">
        <v>10</v>
      </c>
      <c r="AL3" s="738">
        <v>11</v>
      </c>
      <c r="AM3" s="738">
        <v>12</v>
      </c>
      <c r="AN3" s="738">
        <v>13</v>
      </c>
      <c r="AO3" s="738">
        <v>14</v>
      </c>
      <c r="AP3" s="738">
        <v>15</v>
      </c>
      <c r="AQ3" s="738">
        <v>16</v>
      </c>
      <c r="AR3" s="738">
        <v>17</v>
      </c>
      <c r="AS3" s="738">
        <v>18</v>
      </c>
      <c r="AT3" s="738">
        <v>19</v>
      </c>
      <c r="AU3" s="738">
        <v>20</v>
      </c>
      <c r="AV3" s="738">
        <v>21</v>
      </c>
      <c r="AW3" s="667"/>
      <c r="AX3" s="667"/>
      <c r="AY3" s="667"/>
    </row>
    <row r="4" spans="1:51">
      <c r="A4" s="723"/>
      <c r="B4" s="735" t="str">
        <f>'Master Input'!F6</f>
        <v>Dirty Dozen</v>
      </c>
      <c r="C4" s="723"/>
      <c r="D4" s="739" t="s">
        <v>125</v>
      </c>
      <c r="E4" s="740">
        <f ca="1">IF(D4="","-", VLOOKUP(D4,'Master Input'!$A$11:$L$27, 'Master Input'!$F$28, FALSE))</f>
        <v>5</v>
      </c>
      <c r="F4" s="741" t="str">
        <f>VLOOKUP($B4,$AB$4:$AV$15,$AF$3,FALSE)</f>
        <v>VS</v>
      </c>
      <c r="G4" s="739" t="s">
        <v>113</v>
      </c>
      <c r="H4" s="740">
        <f ca="1">IF(G4="","-", VLOOKUP(G4,'Master Input'!$A$11:$L$27, 'Master Input'!$F$28, FALSE))</f>
        <v>9</v>
      </c>
      <c r="I4" s="723"/>
      <c r="J4" s="739" t="s">
        <v>128</v>
      </c>
      <c r="K4" s="740">
        <f ca="1">IF(J4="","-", VLOOKUP(J4,'Master Input'!$A$11:$L$27, 'Master Input'!$F$28, FALSE))</f>
        <v>10</v>
      </c>
      <c r="L4" s="741" t="str">
        <f>VLOOKUP($B4,$AB$4:$AV$15,$AK$3,FALSE)</f>
        <v>VS</v>
      </c>
      <c r="M4" s="739" t="s">
        <v>112</v>
      </c>
      <c r="N4" s="740">
        <f ca="1">IF(M4="","-", VLOOKUP(M4,'Master Input'!$A$11:$L$27, 'Master Input'!$F$28, FALSE))</f>
        <v>9</v>
      </c>
      <c r="O4" s="723"/>
      <c r="P4" s="739" t="s">
        <v>126</v>
      </c>
      <c r="Q4" s="740">
        <f ca="1">IF(P4="","-", VLOOKUP(P4,'Master Input'!$A$11:$L$27, 'Master Input'!$F$28, FALSE))</f>
        <v>6</v>
      </c>
      <c r="R4" s="741" t="str">
        <f>VLOOKUP($B4,$AB$4:$AV$15,$AP$3,FALSE)</f>
        <v>VS</v>
      </c>
      <c r="S4" s="739" t="s">
        <v>108</v>
      </c>
      <c r="T4" s="740">
        <f ca="1">IF(S4="","-", VLOOKUP(S4,'Master Input'!$A$11:$L$27, 'Master Input'!$F$28, FALSE))</f>
        <v>8</v>
      </c>
      <c r="U4" s="723"/>
      <c r="V4" s="739" t="s">
        <v>127</v>
      </c>
      <c r="W4" s="740">
        <f ca="1">IF(V4="","-", VLOOKUP(V4,'Master Input'!$A$11:$L$27, 'Master Input'!$F$28, FALSE))</f>
        <v>7</v>
      </c>
      <c r="X4" s="741" t="str">
        <f>VLOOKUP($B4,$AB$4:$AV$15,$AU$3,FALSE)</f>
        <v>VS</v>
      </c>
      <c r="Y4" s="739" t="s">
        <v>110</v>
      </c>
      <c r="Z4" s="740">
        <f ca="1">IF(Y4="","-", VLOOKUP(Y4,'Master Input'!$A$11:$L$27, 'Master Input'!$F$28, FALSE))</f>
        <v>8</v>
      </c>
      <c r="AA4" s="723"/>
      <c r="AB4" s="714" t="str">
        <f>'Master Input'!O12</f>
        <v>2-Man Best Ball</v>
      </c>
      <c r="AC4" s="731" t="s">
        <v>147</v>
      </c>
      <c r="AD4" s="731" t="str">
        <f>'Master Input'!$A$19</f>
        <v>WEEZ</v>
      </c>
      <c r="AE4" s="731" t="str">
        <f>'Master Input'!$A$10</f>
        <v>TEES</v>
      </c>
      <c r="AF4" s="731" t="s">
        <v>148</v>
      </c>
      <c r="AG4" s="731"/>
      <c r="AH4" s="732" t="s">
        <v>149</v>
      </c>
      <c r="AI4" s="732" t="str">
        <f>'Master Input'!$A$19</f>
        <v>WEEZ</v>
      </c>
      <c r="AJ4" s="732" t="str">
        <f>'Master Input'!$A$10</f>
        <v>TEES</v>
      </c>
      <c r="AK4" s="732" t="s">
        <v>148</v>
      </c>
      <c r="AL4" s="732"/>
      <c r="AM4" s="733" t="s">
        <v>150</v>
      </c>
      <c r="AN4" s="733" t="str">
        <f>'Master Input'!$A$19</f>
        <v>WEEZ</v>
      </c>
      <c r="AO4" s="733" t="str">
        <f>'Master Input'!$A$10</f>
        <v>TEES</v>
      </c>
      <c r="AP4" s="733" t="s">
        <v>148</v>
      </c>
      <c r="AQ4" s="733"/>
      <c r="AR4" s="734" t="s">
        <v>151</v>
      </c>
      <c r="AS4" s="734" t="str">
        <f>'Master Input'!$A$19</f>
        <v>WEEZ</v>
      </c>
      <c r="AT4" s="734" t="str">
        <f>'Master Input'!$A$10</f>
        <v>TEES</v>
      </c>
      <c r="AU4" s="734" t="s">
        <v>148</v>
      </c>
      <c r="AV4" s="734"/>
      <c r="AW4" s="667"/>
      <c r="AX4" s="667"/>
      <c r="AY4" s="667"/>
    </row>
    <row r="5" spans="1:51">
      <c r="A5" s="723"/>
      <c r="B5" s="742" t="str">
        <f>VLOOKUP(B4,'Master Input'!$O$12:$S$23,'Master Input'!$S$11, FALSE)</f>
        <v>4 Points per Match - 1 Front, 1 Back, 2 Overall</v>
      </c>
      <c r="C5" s="723"/>
      <c r="D5" s="739" t="s">
        <v>129</v>
      </c>
      <c r="E5" s="740">
        <f ca="1">IF(D5="","-", VLOOKUP(D5,'Master Input'!$A$11:$L$27, 'Master Input'!$F$28, FALSE))</f>
        <v>11</v>
      </c>
      <c r="F5" s="741">
        <f>VLOOKUP($B4,$AB$4:$AV$15,$AG$3,FALSE)</f>
        <v>0</v>
      </c>
      <c r="G5" s="739" t="s">
        <v>115</v>
      </c>
      <c r="H5" s="740">
        <f ca="1">IF(G5="","-", VLOOKUP(G5,'Master Input'!$A$11:$L$27, 'Master Input'!$F$28, FALSE))</f>
        <v>10</v>
      </c>
      <c r="I5" s="723"/>
      <c r="J5" s="739" t="s">
        <v>132</v>
      </c>
      <c r="K5" s="740">
        <f ca="1">IF(J5="","-", VLOOKUP(J5,'Master Input'!$A$11:$L$27, 'Master Input'!$F$28, FALSE))</f>
        <v>17</v>
      </c>
      <c r="L5" s="741">
        <f>VLOOKUP($B4,$AB$4:$AV$15,$AL$3,FALSE)</f>
        <v>0</v>
      </c>
      <c r="M5" s="739" t="s">
        <v>122</v>
      </c>
      <c r="N5" s="740">
        <f ca="1">IF(M5="","-", VLOOKUP(M5,'Master Input'!$A$11:$L$27, 'Master Input'!$F$28, FALSE))</f>
        <v>33</v>
      </c>
      <c r="O5" s="723"/>
      <c r="P5" s="739" t="s">
        <v>130</v>
      </c>
      <c r="Q5" s="740">
        <f ca="1">IF(P5="","-", VLOOKUP(P5,'Master Input'!$A$11:$L$27, 'Master Input'!$F$28, FALSE))</f>
        <v>14</v>
      </c>
      <c r="R5" s="741">
        <f>VLOOKUP($B4,$AB$4:$AV$15,$AQ$3,FALSE)</f>
        <v>0</v>
      </c>
      <c r="S5" s="739" t="s">
        <v>120</v>
      </c>
      <c r="T5" s="740">
        <f ca="1">IF(S5="","-", VLOOKUP(S5,'Master Input'!$A$11:$L$27, 'Master Input'!$F$28, FALSE))</f>
        <v>15</v>
      </c>
      <c r="U5" s="723"/>
      <c r="V5" s="739" t="s">
        <v>131</v>
      </c>
      <c r="W5" s="740">
        <f ca="1">IF(V5="","-", VLOOKUP(V5,'Master Input'!$A$11:$L$27, 'Master Input'!$F$28, FALSE))</f>
        <v>17</v>
      </c>
      <c r="X5" s="741">
        <f>VLOOKUP($B4,$AB$4:$AV$15,$AV$3,FALSE)</f>
        <v>0</v>
      </c>
      <c r="Y5" s="739" t="s">
        <v>118</v>
      </c>
      <c r="Z5" s="740">
        <f ca="1">IF(Y5="","-", VLOOKUP(Y5,'Master Input'!$A$11:$L$27, 'Master Input'!$F$28, FALSE))</f>
        <v>14</v>
      </c>
      <c r="AA5" s="723"/>
      <c r="AB5" s="714" t="str">
        <f>'Master Input'!O13</f>
        <v>Singles Matches</v>
      </c>
      <c r="AC5" s="731" t="s">
        <v>152</v>
      </c>
      <c r="AD5" s="731" t="str">
        <f>'Master Input'!$A$19</f>
        <v>WEEZ</v>
      </c>
      <c r="AE5" s="731" t="str">
        <f>'Master Input'!$A$10</f>
        <v>TEES</v>
      </c>
      <c r="AF5" s="731" t="s">
        <v>148</v>
      </c>
      <c r="AG5" s="731" t="s">
        <v>148</v>
      </c>
      <c r="AH5" s="732" t="s">
        <v>153</v>
      </c>
      <c r="AI5" s="732" t="str">
        <f>'Master Input'!$A$19</f>
        <v>WEEZ</v>
      </c>
      <c r="AJ5" s="732" t="str">
        <f>'Master Input'!$A$10</f>
        <v>TEES</v>
      </c>
      <c r="AK5" s="732" t="s">
        <v>148</v>
      </c>
      <c r="AL5" s="732" t="s">
        <v>148</v>
      </c>
      <c r="AM5" s="733" t="s">
        <v>154</v>
      </c>
      <c r="AN5" s="733" t="str">
        <f>'Master Input'!$A$19</f>
        <v>WEEZ</v>
      </c>
      <c r="AO5" s="733" t="str">
        <f>'Master Input'!$A$10</f>
        <v>TEES</v>
      </c>
      <c r="AP5" s="733" t="s">
        <v>148</v>
      </c>
      <c r="AQ5" s="733" t="s">
        <v>148</v>
      </c>
      <c r="AR5" s="734" t="s">
        <v>155</v>
      </c>
      <c r="AS5" s="734" t="str">
        <f>'Master Input'!$A$19</f>
        <v>WEEZ</v>
      </c>
      <c r="AT5" s="734" t="str">
        <f>'Master Input'!$A$10</f>
        <v>TEES</v>
      </c>
      <c r="AU5" s="734" t="s">
        <v>148</v>
      </c>
      <c r="AV5" s="734" t="s">
        <v>148</v>
      </c>
      <c r="AW5" s="667"/>
      <c r="AX5" s="667"/>
      <c r="AY5" s="667"/>
    </row>
    <row r="6" spans="1:51">
      <c r="A6" s="723"/>
      <c r="B6" s="723"/>
      <c r="C6" s="723"/>
      <c r="D6" s="724" t="str">
        <f>IF(B9="2-Man Scramble","IMPORTANT NOTE FOR 2-MAN SCRAMBLE: Must put lower handicap in top spot and higher handicap in bottom spot for calculations to work correctly.","-")</f>
        <v>-</v>
      </c>
      <c r="E6" s="743"/>
      <c r="F6" s="743"/>
      <c r="G6" s="743"/>
      <c r="H6" s="743"/>
      <c r="I6" s="723"/>
      <c r="J6" s="743"/>
      <c r="K6" s="743"/>
      <c r="L6" s="743"/>
      <c r="M6" s="743"/>
      <c r="N6" s="743"/>
      <c r="O6" s="723"/>
      <c r="P6" s="743"/>
      <c r="Q6" s="743"/>
      <c r="R6" s="743"/>
      <c r="S6" s="743"/>
      <c r="T6" s="743"/>
      <c r="U6" s="723"/>
      <c r="V6" s="743"/>
      <c r="W6" s="743"/>
      <c r="X6" s="743"/>
      <c r="Y6" s="744"/>
      <c r="Z6" s="743"/>
      <c r="AA6" s="723"/>
      <c r="AB6" s="714" t="str">
        <f>'Master Input'!O14</f>
        <v>Pinehurst</v>
      </c>
      <c r="AC6" s="731" t="s">
        <v>147</v>
      </c>
      <c r="AD6" s="731" t="str">
        <f>'Master Input'!$A$19</f>
        <v>WEEZ</v>
      </c>
      <c r="AE6" s="731" t="str">
        <f>'Master Input'!$A$10</f>
        <v>TEES</v>
      </c>
      <c r="AF6" s="731" t="s">
        <v>148</v>
      </c>
      <c r="AG6" s="731"/>
      <c r="AH6" s="732" t="s">
        <v>149</v>
      </c>
      <c r="AI6" s="732" t="str">
        <f>'Master Input'!$A$19</f>
        <v>WEEZ</v>
      </c>
      <c r="AJ6" s="732" t="str">
        <f>'Master Input'!$A$10</f>
        <v>TEES</v>
      </c>
      <c r="AK6" s="732" t="s">
        <v>148</v>
      </c>
      <c r="AL6" s="732"/>
      <c r="AM6" s="733" t="s">
        <v>150</v>
      </c>
      <c r="AN6" s="733" t="str">
        <f>'Master Input'!$A$19</f>
        <v>WEEZ</v>
      </c>
      <c r="AO6" s="733" t="str">
        <f>'Master Input'!$A$10</f>
        <v>TEES</v>
      </c>
      <c r="AP6" s="733" t="s">
        <v>148</v>
      </c>
      <c r="AQ6" s="733"/>
      <c r="AR6" s="734" t="s">
        <v>151</v>
      </c>
      <c r="AS6" s="734" t="str">
        <f>'Master Input'!$A$19</f>
        <v>WEEZ</v>
      </c>
      <c r="AT6" s="734" t="str">
        <f>'Master Input'!$A$10</f>
        <v>TEES</v>
      </c>
      <c r="AU6" s="734" t="s">
        <v>148</v>
      </c>
      <c r="AV6" s="734"/>
      <c r="AW6" s="667"/>
      <c r="AX6" s="667"/>
      <c r="AY6" s="667"/>
    </row>
    <row r="7" spans="1:51">
      <c r="A7" s="723"/>
      <c r="B7" s="745" t="s">
        <v>78</v>
      </c>
      <c r="C7" s="723"/>
      <c r="D7" s="746" t="str">
        <f>VLOOKUP($B9,$AB$4:$AV$15,AC$3,FALSE)</f>
        <v>Matches 1 &amp; 2</v>
      </c>
      <c r="E7" s="746"/>
      <c r="F7" s="747" t="s">
        <v>138</v>
      </c>
      <c r="G7" s="748">
        <f>'Master Input'!G$3</f>
        <v>0.33958333333333335</v>
      </c>
      <c r="H7" s="746"/>
      <c r="I7" s="723"/>
      <c r="J7" s="746" t="str">
        <f>VLOOKUP($B9,$AB$4:$AV$15,$AH$3,FALSE)</f>
        <v>Matches 3 &amp; 4</v>
      </c>
      <c r="K7" s="746"/>
      <c r="L7" s="747" t="s">
        <v>138</v>
      </c>
      <c r="M7" s="748">
        <f>'Master Input'!H$3</f>
        <v>0.34583333333333333</v>
      </c>
      <c r="N7" s="746"/>
      <c r="O7" s="723"/>
      <c r="P7" s="746" t="str">
        <f>VLOOKUP($B9,$AB$4:$AV$15,$AM$3,FALSE)</f>
        <v>Matches 5 &amp; 6</v>
      </c>
      <c r="Q7" s="746"/>
      <c r="R7" s="747" t="s">
        <v>138</v>
      </c>
      <c r="S7" s="748">
        <f>'Master Input'!G$4</f>
        <v>0.35208333333333336</v>
      </c>
      <c r="T7" s="746"/>
      <c r="U7" s="723"/>
      <c r="V7" s="746" t="str">
        <f>VLOOKUP($B9,$AB$4:$AV$15,$AR$3,FALSE)</f>
        <v>Matches 7 &amp; 8</v>
      </c>
      <c r="W7" s="746"/>
      <c r="X7" s="747" t="s">
        <v>138</v>
      </c>
      <c r="Y7" s="748">
        <f>'Master Input'!H$4</f>
        <v>0.35833333333333334</v>
      </c>
      <c r="Z7" s="746"/>
      <c r="AA7" s="723"/>
      <c r="AB7" s="714" t="str">
        <f>'Master Input'!O15</f>
        <v>Team Best Ball</v>
      </c>
      <c r="AC7" s="731" t="s">
        <v>15</v>
      </c>
      <c r="AD7" s="731" t="str">
        <f>'Master Input'!$A$19</f>
        <v>WEEZ</v>
      </c>
      <c r="AE7" s="731" t="str">
        <f>'Master Input'!$A$19</f>
        <v>WEEZ</v>
      </c>
      <c r="AF7" s="731"/>
      <c r="AG7" s="731"/>
      <c r="AH7" s="732" t="s">
        <v>39</v>
      </c>
      <c r="AI7" s="732" t="str">
        <f>'Master Input'!$A$10</f>
        <v>TEES</v>
      </c>
      <c r="AJ7" s="732" t="str">
        <f>'Master Input'!$A$10</f>
        <v>TEES</v>
      </c>
      <c r="AK7" s="732"/>
      <c r="AL7" s="732"/>
      <c r="AM7" s="733" t="s">
        <v>40</v>
      </c>
      <c r="AN7" s="733" t="str">
        <f>'Master Input'!$A$19</f>
        <v>WEEZ</v>
      </c>
      <c r="AO7" s="733" t="str">
        <f>'Master Input'!$A$19</f>
        <v>WEEZ</v>
      </c>
      <c r="AP7" s="733"/>
      <c r="AQ7" s="733"/>
      <c r="AR7" s="734" t="s">
        <v>41</v>
      </c>
      <c r="AS7" s="734" t="str">
        <f>'Master Input'!$A$10</f>
        <v>TEES</v>
      </c>
      <c r="AT7" s="734" t="str">
        <f>'Master Input'!$A$10</f>
        <v>TEES</v>
      </c>
      <c r="AU7" s="734"/>
      <c r="AV7" s="734"/>
      <c r="AW7" s="667"/>
      <c r="AX7" s="667"/>
      <c r="AY7" s="667"/>
    </row>
    <row r="8" spans="1:51">
      <c r="A8" s="723"/>
      <c r="B8" s="749" t="str">
        <f>'Master Input'!G6</f>
        <v>The Wolverine - White</v>
      </c>
      <c r="C8" s="723"/>
      <c r="D8" s="736" t="str">
        <f>VLOOKUP($B9,$AB$4:$AV$15,$AD$3,FALSE)</f>
        <v>WEEZ</v>
      </c>
      <c r="E8" s="736" t="s">
        <v>146</v>
      </c>
      <c r="F8" s="750"/>
      <c r="G8" s="736" t="str">
        <f>VLOOKUP($B9,$AB$4:$AV$15,$AE$3,FALSE)</f>
        <v>TEES</v>
      </c>
      <c r="H8" s="736" t="s">
        <v>146</v>
      </c>
      <c r="I8" s="723"/>
      <c r="J8" s="736" t="str">
        <f>VLOOKUP($B9,$AB$4:$AV$15,$AD$3,FALSE)</f>
        <v>WEEZ</v>
      </c>
      <c r="K8" s="736" t="s">
        <v>146</v>
      </c>
      <c r="L8" s="750"/>
      <c r="M8" s="736" t="str">
        <f>VLOOKUP($B9,$AB$4:$AV$15,$AE$3,FALSE)</f>
        <v>TEES</v>
      </c>
      <c r="N8" s="736" t="s">
        <v>146</v>
      </c>
      <c r="O8" s="723"/>
      <c r="P8" s="736" t="str">
        <f>VLOOKUP($B9,$AB$4:$AV$15,$AD$3,FALSE)</f>
        <v>WEEZ</v>
      </c>
      <c r="Q8" s="736" t="s">
        <v>146</v>
      </c>
      <c r="R8" s="750"/>
      <c r="S8" s="736" t="str">
        <f>VLOOKUP($B9,$AB$4:$AV$15,$AE$3,FALSE)</f>
        <v>TEES</v>
      </c>
      <c r="T8" s="736" t="s">
        <v>146</v>
      </c>
      <c r="U8" s="723"/>
      <c r="V8" s="736" t="str">
        <f>VLOOKUP($B9,$AB$4:$AV$15,$AD$3,FALSE)</f>
        <v>WEEZ</v>
      </c>
      <c r="W8" s="736" t="s">
        <v>146</v>
      </c>
      <c r="X8" s="750"/>
      <c r="Y8" s="736" t="str">
        <f>VLOOKUP($B9,$AB$4:$AV$15,$AE$3,FALSE)</f>
        <v>TEES</v>
      </c>
      <c r="Z8" s="736" t="s">
        <v>146</v>
      </c>
      <c r="AA8" s="723"/>
      <c r="AB8" s="714" t="str">
        <f>'Master Input'!O16</f>
        <v>2-Man Hi Lo</v>
      </c>
      <c r="AC8" s="731" t="s">
        <v>147</v>
      </c>
      <c r="AD8" s="731" t="str">
        <f>'Master Input'!$A$19</f>
        <v>WEEZ</v>
      </c>
      <c r="AE8" s="731" t="str">
        <f>'Master Input'!$A$10</f>
        <v>TEES</v>
      </c>
      <c r="AF8" s="731" t="s">
        <v>148</v>
      </c>
      <c r="AG8" s="731"/>
      <c r="AH8" s="732" t="s">
        <v>149</v>
      </c>
      <c r="AI8" s="732" t="str">
        <f>'Master Input'!$A$19</f>
        <v>WEEZ</v>
      </c>
      <c r="AJ8" s="732" t="str">
        <f>'Master Input'!$A$10</f>
        <v>TEES</v>
      </c>
      <c r="AK8" s="732" t="s">
        <v>148</v>
      </c>
      <c r="AL8" s="732"/>
      <c r="AM8" s="733" t="s">
        <v>150</v>
      </c>
      <c r="AN8" s="733" t="str">
        <f>'Master Input'!$A$19</f>
        <v>WEEZ</v>
      </c>
      <c r="AO8" s="733" t="str">
        <f>'Master Input'!$A$10</f>
        <v>TEES</v>
      </c>
      <c r="AP8" s="733" t="s">
        <v>148</v>
      </c>
      <c r="AQ8" s="733"/>
      <c r="AR8" s="734" t="s">
        <v>151</v>
      </c>
      <c r="AS8" s="734" t="str">
        <f>'Master Input'!$A$19</f>
        <v>WEEZ</v>
      </c>
      <c r="AT8" s="734" t="str">
        <f>'Master Input'!$A$10</f>
        <v>TEES</v>
      </c>
      <c r="AU8" s="734" t="s">
        <v>148</v>
      </c>
      <c r="AV8" s="734"/>
      <c r="AW8" s="667"/>
      <c r="AX8" s="667"/>
      <c r="AY8" s="667"/>
    </row>
    <row r="9" spans="1:51">
      <c r="A9" s="723"/>
      <c r="B9" s="749" t="str">
        <f>'Master Input'!H6</f>
        <v>Singles Matches</v>
      </c>
      <c r="C9" s="723"/>
      <c r="D9" s="739" t="s">
        <v>127</v>
      </c>
      <c r="E9" s="740">
        <f ca="1">IF(D9="","-", VLOOKUP(D9,'Master Input'!$A$11:$L$27, 'Master Input'!$H$28, FALSE))</f>
        <v>5</v>
      </c>
      <c r="F9" s="751" t="s">
        <v>148</v>
      </c>
      <c r="G9" s="739" t="s">
        <v>112</v>
      </c>
      <c r="H9" s="740">
        <f ca="1">IF(G9="","-", VLOOKUP(G9,'Master Input'!$A$11:$L$27, 'Master Input'!$H$28, FALSE))</f>
        <v>7</v>
      </c>
      <c r="I9" s="723"/>
      <c r="J9" s="739" t="s">
        <v>129</v>
      </c>
      <c r="K9" s="740">
        <f ca="1">IF(J9="","-", VLOOKUP(J9,'Master Input'!$A$11:$L$27, 'Master Input'!$H$28, FALSE))</f>
        <v>8</v>
      </c>
      <c r="L9" s="751" t="s">
        <v>148</v>
      </c>
      <c r="M9" s="739" t="s">
        <v>110</v>
      </c>
      <c r="N9" s="740">
        <f ca="1">IF(M9="","-", VLOOKUP(M9,'Master Input'!$A$11:$L$27, 'Master Input'!$H$28, FALSE))</f>
        <v>6</v>
      </c>
      <c r="O9" s="723"/>
      <c r="P9" s="739" t="s">
        <v>128</v>
      </c>
      <c r="Q9" s="740">
        <f ca="1">IF(P9="","-", VLOOKUP(P9,'Master Input'!$A$11:$L$27, 'Master Input'!$H$28, FALSE))</f>
        <v>7</v>
      </c>
      <c r="R9" s="751" t="s">
        <v>148</v>
      </c>
      <c r="S9" s="739" t="s">
        <v>108</v>
      </c>
      <c r="T9" s="740">
        <f ca="1">IF(S9="","-", VLOOKUP(S9,'Master Input'!$A$11:$L$27, 'Master Input'!$H$28, FALSE))</f>
        <v>6</v>
      </c>
      <c r="U9" s="723"/>
      <c r="V9" s="739" t="s">
        <v>130</v>
      </c>
      <c r="W9" s="740">
        <f ca="1">IF(V9="","-", VLOOKUP(V9,'Master Input'!$A$11:$L$27, 'Master Input'!$H$28, FALSE))</f>
        <v>12</v>
      </c>
      <c r="X9" s="751" t="s">
        <v>148</v>
      </c>
      <c r="Y9" s="739" t="s">
        <v>113</v>
      </c>
      <c r="Z9" s="740">
        <f ca="1">IF(Y9="","-", VLOOKUP(Y9,'Master Input'!$A$11:$L$27, 'Master Input'!$H$28, FALSE))</f>
        <v>7</v>
      </c>
      <c r="AA9" s="723"/>
      <c r="AB9" s="714" t="str">
        <f>'Master Input'!O17</f>
        <v>Shamble</v>
      </c>
      <c r="AC9" s="731" t="s">
        <v>147</v>
      </c>
      <c r="AD9" s="731" t="str">
        <f>'Master Input'!$A$19</f>
        <v>WEEZ</v>
      </c>
      <c r="AE9" s="731" t="str">
        <f>'Master Input'!$A$10</f>
        <v>TEES</v>
      </c>
      <c r="AF9" s="731" t="s">
        <v>148</v>
      </c>
      <c r="AG9" s="731"/>
      <c r="AH9" s="732" t="s">
        <v>149</v>
      </c>
      <c r="AI9" s="732" t="str">
        <f>'Master Input'!$A$19</f>
        <v>WEEZ</v>
      </c>
      <c r="AJ9" s="732" t="str">
        <f>'Master Input'!$A$10</f>
        <v>TEES</v>
      </c>
      <c r="AK9" s="732" t="s">
        <v>148</v>
      </c>
      <c r="AL9" s="732"/>
      <c r="AM9" s="733" t="s">
        <v>150</v>
      </c>
      <c r="AN9" s="733" t="str">
        <f>'Master Input'!$A$19</f>
        <v>WEEZ</v>
      </c>
      <c r="AO9" s="733" t="str">
        <f>'Master Input'!$A$10</f>
        <v>TEES</v>
      </c>
      <c r="AP9" s="733" t="s">
        <v>148</v>
      </c>
      <c r="AQ9" s="733"/>
      <c r="AR9" s="734" t="s">
        <v>151</v>
      </c>
      <c r="AS9" s="734" t="str">
        <f>'Master Input'!$A$19</f>
        <v>WEEZ</v>
      </c>
      <c r="AT9" s="734" t="str">
        <f>'Master Input'!$A$10</f>
        <v>TEES</v>
      </c>
      <c r="AU9" s="734" t="s">
        <v>148</v>
      </c>
      <c r="AV9" s="734"/>
      <c r="AW9" s="667"/>
      <c r="AX9" s="667"/>
      <c r="AY9" s="667"/>
    </row>
    <row r="10" spans="1:51">
      <c r="A10" s="723"/>
      <c r="B10" s="752" t="str">
        <f>VLOOKUP(B9,'Master Input'!$O$12:$S$23,'Master Input'!$S$11, FALSE)</f>
        <v>3 Points per Match - 1 Front, 1 Back, 1 Overall</v>
      </c>
      <c r="C10" s="723"/>
      <c r="D10" s="739" t="s">
        <v>125</v>
      </c>
      <c r="E10" s="740">
        <f ca="1">IF(D10="","-", VLOOKUP(D10,'Master Input'!$A$11:$L$27, 'Master Input'!$H$28, FALSE))</f>
        <v>3</v>
      </c>
      <c r="F10" s="751" t="s">
        <v>148</v>
      </c>
      <c r="G10" s="739" t="s">
        <v>115</v>
      </c>
      <c r="H10" s="740">
        <f ca="1">IF(G10="","-", VLOOKUP(G10,'Master Input'!$A$11:$L$27, 'Master Input'!$H$28, FALSE))</f>
        <v>7</v>
      </c>
      <c r="I10" s="723"/>
      <c r="J10" s="739" t="s">
        <v>132</v>
      </c>
      <c r="K10" s="740">
        <f ca="1">IF(J10="","-", VLOOKUP(J10,'Master Input'!$A$11:$L$27, 'Master Input'!$H$28, FALSE))</f>
        <v>15</v>
      </c>
      <c r="L10" s="751" t="s">
        <v>148</v>
      </c>
      <c r="M10" s="739" t="s">
        <v>118</v>
      </c>
      <c r="N10" s="740">
        <f ca="1">IF(M10="","-", VLOOKUP(M10,'Master Input'!$A$11:$L$27, 'Master Input'!$H$28, FALSE))</f>
        <v>11</v>
      </c>
      <c r="O10" s="723"/>
      <c r="P10" s="739" t="s">
        <v>126</v>
      </c>
      <c r="Q10" s="740">
        <f ca="1">IF(P10="","-", VLOOKUP(P10,'Master Input'!$A$11:$L$27, 'Master Input'!$H$28, FALSE))</f>
        <v>4</v>
      </c>
      <c r="R10" s="751" t="s">
        <v>148</v>
      </c>
      <c r="S10" s="739" t="s">
        <v>120</v>
      </c>
      <c r="T10" s="740">
        <f ca="1">IF(S10="","-", VLOOKUP(S10,'Master Input'!$A$11:$L$27, 'Master Input'!$H$28, FALSE))</f>
        <v>13</v>
      </c>
      <c r="U10" s="723"/>
      <c r="V10" s="739" t="s">
        <v>131</v>
      </c>
      <c r="W10" s="740">
        <f ca="1">IF(V10="","-", VLOOKUP(V10,'Master Input'!$A$11:$L$27, 'Master Input'!$H$28, FALSE))</f>
        <v>14</v>
      </c>
      <c r="X10" s="751" t="s">
        <v>148</v>
      </c>
      <c r="Y10" s="739" t="s">
        <v>122</v>
      </c>
      <c r="Z10" s="740">
        <f ca="1">IF(Y10="","-", VLOOKUP(Y10,'Master Input'!$A$11:$L$27, 'Master Input'!$H$28, FALSE))</f>
        <v>31</v>
      </c>
      <c r="AA10" s="723"/>
      <c r="AB10" s="714" t="str">
        <f>'Master Input'!O18</f>
        <v>2-Man Scramble</v>
      </c>
      <c r="AC10" s="731" t="s">
        <v>147</v>
      </c>
      <c r="AD10" s="731" t="str">
        <f>'Master Input'!$A$19</f>
        <v>WEEZ</v>
      </c>
      <c r="AE10" s="731" t="str">
        <f>'Master Input'!$A$10</f>
        <v>TEES</v>
      </c>
      <c r="AF10" s="731" t="s">
        <v>148</v>
      </c>
      <c r="AG10" s="731"/>
      <c r="AH10" s="732" t="s">
        <v>149</v>
      </c>
      <c r="AI10" s="732" t="str">
        <f>'Master Input'!$A$19</f>
        <v>WEEZ</v>
      </c>
      <c r="AJ10" s="732" t="str">
        <f>'Master Input'!$A$10</f>
        <v>TEES</v>
      </c>
      <c r="AK10" s="732" t="s">
        <v>148</v>
      </c>
      <c r="AL10" s="732"/>
      <c r="AM10" s="733" t="s">
        <v>150</v>
      </c>
      <c r="AN10" s="733" t="str">
        <f>'Master Input'!$A$19</f>
        <v>WEEZ</v>
      </c>
      <c r="AO10" s="733" t="str">
        <f>'Master Input'!$A$10</f>
        <v>TEES</v>
      </c>
      <c r="AP10" s="733" t="s">
        <v>148</v>
      </c>
      <c r="AQ10" s="733"/>
      <c r="AR10" s="734" t="s">
        <v>151</v>
      </c>
      <c r="AS10" s="734" t="str">
        <f>'Master Input'!$A$19</f>
        <v>WEEZ</v>
      </c>
      <c r="AT10" s="734" t="str">
        <f>'Master Input'!$A$10</f>
        <v>TEES</v>
      </c>
      <c r="AU10" s="734" t="s">
        <v>148</v>
      </c>
      <c r="AV10" s="734"/>
      <c r="AW10" s="667"/>
      <c r="AX10" s="667"/>
      <c r="AY10" s="667"/>
    </row>
    <row r="11" spans="1:51">
      <c r="A11" s="723"/>
      <c r="B11" s="723"/>
      <c r="C11" s="723"/>
      <c r="D11" s="724" t="str">
        <f>IF(B14="2-Man Scramble","IMPORTANT NOTE FOR 2-MAN SCRAMBLE: Must put lower handicap in top spot and higher handicap in bottom spot for calculations to work correctly.","-")</f>
        <v>IMPORTANT NOTE FOR 2-MAN SCRAMBLE: Must put lower handicap in top spot and higher handicap in bottom spot for calculations to work correctly.</v>
      </c>
      <c r="E11" s="743"/>
      <c r="F11" s="743"/>
      <c r="G11" s="743"/>
      <c r="H11" s="743"/>
      <c r="I11" s="723"/>
      <c r="J11" s="743"/>
      <c r="K11" s="743"/>
      <c r="L11" s="743"/>
      <c r="M11" s="743"/>
      <c r="N11" s="743"/>
      <c r="O11" s="723"/>
      <c r="P11" s="743"/>
      <c r="Q11" s="743"/>
      <c r="R11" s="743"/>
      <c r="S11" s="743"/>
      <c r="T11" s="743"/>
      <c r="U11" s="723"/>
      <c r="V11" s="743"/>
      <c r="W11" s="743"/>
      <c r="X11" s="743"/>
      <c r="Y11" s="743"/>
      <c r="Z11" s="743"/>
      <c r="AA11" s="723"/>
      <c r="AB11" s="714" t="str">
        <f>'Master Input'!O19</f>
        <v>2-Man Tilt</v>
      </c>
      <c r="AC11" s="731"/>
      <c r="AD11" s="731"/>
      <c r="AE11" s="731"/>
      <c r="AF11" s="731"/>
      <c r="AG11" s="731"/>
      <c r="AH11" s="732"/>
      <c r="AI11" s="732"/>
      <c r="AJ11" s="732"/>
      <c r="AK11" s="732"/>
      <c r="AL11" s="732"/>
      <c r="AM11" s="733"/>
      <c r="AN11" s="733"/>
      <c r="AO11" s="733"/>
      <c r="AP11" s="733"/>
      <c r="AQ11" s="733"/>
      <c r="AR11" s="734"/>
      <c r="AS11" s="734"/>
      <c r="AT11" s="734"/>
      <c r="AU11" s="734"/>
      <c r="AV11" s="734"/>
      <c r="AW11" s="667"/>
      <c r="AX11" s="667"/>
      <c r="AY11" s="667"/>
    </row>
    <row r="12" spans="1:51">
      <c r="A12" s="723"/>
      <c r="B12" s="753" t="s">
        <v>79</v>
      </c>
      <c r="C12" s="723"/>
      <c r="D12" s="754" t="str">
        <f>VLOOKUP($B14,$AB$4:$AV$15,AC$3,FALSE)</f>
        <v>Match 1</v>
      </c>
      <c r="E12" s="754"/>
      <c r="F12" s="755" t="s">
        <v>138</v>
      </c>
      <c r="G12" s="756">
        <f>'Master Input'!I$3</f>
        <v>8.9583333333333334E-2</v>
      </c>
      <c r="H12" s="754"/>
      <c r="I12" s="723"/>
      <c r="J12" s="754" t="str">
        <f>VLOOKUP($B14,$AB$4:$AV$15,$AH$3,FALSE)</f>
        <v>Match 2</v>
      </c>
      <c r="K12" s="754"/>
      <c r="L12" s="755" t="s">
        <v>138</v>
      </c>
      <c r="M12" s="756">
        <f>'Master Input'!J$3</f>
        <v>9.583333333333334E-2</v>
      </c>
      <c r="N12" s="754"/>
      <c r="O12" s="723"/>
      <c r="P12" s="754" t="str">
        <f>VLOOKUP($B14,$AB$4:$AV$15,$AM$3,FALSE)</f>
        <v>Match 3</v>
      </c>
      <c r="Q12" s="754"/>
      <c r="R12" s="755" t="s">
        <v>138</v>
      </c>
      <c r="S12" s="756">
        <f>'Master Input'!I$4</f>
        <v>0.10208333333333333</v>
      </c>
      <c r="T12" s="754"/>
      <c r="U12" s="723"/>
      <c r="V12" s="754" t="str">
        <f>VLOOKUP($B14,$AB$4:$AV$15,$AR$3,FALSE)</f>
        <v>Match 4</v>
      </c>
      <c r="W12" s="754"/>
      <c r="X12" s="755" t="s">
        <v>138</v>
      </c>
      <c r="Y12" s="756">
        <f>'Master Input'!J$4</f>
        <v>0.10833333333333334</v>
      </c>
      <c r="Z12" s="754"/>
      <c r="AA12" s="723"/>
      <c r="AB12" s="714" t="str">
        <f>'Master Input'!O20</f>
        <v>Dirty Dozen</v>
      </c>
      <c r="AC12" s="731" t="s">
        <v>147</v>
      </c>
      <c r="AD12" s="731" t="str">
        <f>'Master Input'!$A$19</f>
        <v>WEEZ</v>
      </c>
      <c r="AE12" s="731" t="str">
        <f>'Master Input'!$A$10</f>
        <v>TEES</v>
      </c>
      <c r="AF12" s="731" t="s">
        <v>148</v>
      </c>
      <c r="AG12" s="731"/>
      <c r="AH12" s="732" t="s">
        <v>149</v>
      </c>
      <c r="AI12" s="732" t="str">
        <f>'Master Input'!$A$19</f>
        <v>WEEZ</v>
      </c>
      <c r="AJ12" s="732" t="str">
        <f>'Master Input'!$A$10</f>
        <v>TEES</v>
      </c>
      <c r="AK12" s="732" t="s">
        <v>148</v>
      </c>
      <c r="AL12" s="732"/>
      <c r="AM12" s="733" t="s">
        <v>150</v>
      </c>
      <c r="AN12" s="733" t="str">
        <f>'Master Input'!$A$19</f>
        <v>WEEZ</v>
      </c>
      <c r="AO12" s="733" t="str">
        <f>'Master Input'!$A$10</f>
        <v>TEES</v>
      </c>
      <c r="AP12" s="733" t="s">
        <v>148</v>
      </c>
      <c r="AQ12" s="733"/>
      <c r="AR12" s="734" t="s">
        <v>151</v>
      </c>
      <c r="AS12" s="734" t="str">
        <f>'Master Input'!$A$19</f>
        <v>WEEZ</v>
      </c>
      <c r="AT12" s="734" t="str">
        <f>'Master Input'!$A$10</f>
        <v>TEES</v>
      </c>
      <c r="AU12" s="734" t="s">
        <v>148</v>
      </c>
      <c r="AV12" s="734"/>
      <c r="AW12" s="667"/>
      <c r="AX12" s="667"/>
      <c r="AY12" s="667"/>
    </row>
    <row r="13" spans="1:51">
      <c r="A13" s="723"/>
      <c r="B13" s="757" t="str">
        <f>'Master Input'!I6</f>
        <v>The Wolverine - Blue</v>
      </c>
      <c r="C13" s="723"/>
      <c r="D13" s="736" t="str">
        <f>VLOOKUP($B14,$AB$4:$AV$15,$AD$3,FALSE)</f>
        <v>WEEZ</v>
      </c>
      <c r="E13" s="736" t="s">
        <v>146</v>
      </c>
      <c r="F13" s="758"/>
      <c r="G13" s="736" t="str">
        <f>VLOOKUP($B14,$AB$4:$AV$15,$AE$3,FALSE)</f>
        <v>TEES</v>
      </c>
      <c r="H13" s="736" t="s">
        <v>146</v>
      </c>
      <c r="I13" s="723"/>
      <c r="J13" s="736" t="str">
        <f>VLOOKUP($B14,$AB$4:$AV$15,$AD$3,FALSE)</f>
        <v>WEEZ</v>
      </c>
      <c r="K13" s="736" t="s">
        <v>146</v>
      </c>
      <c r="L13" s="758"/>
      <c r="M13" s="736" t="str">
        <f>VLOOKUP($B14,$AB$4:$AV$15,$AE$3,FALSE)</f>
        <v>TEES</v>
      </c>
      <c r="N13" s="736" t="s">
        <v>146</v>
      </c>
      <c r="O13" s="723"/>
      <c r="P13" s="736" t="str">
        <f>VLOOKUP($B14,$AB$4:$AV$15,$AD$3,FALSE)</f>
        <v>WEEZ</v>
      </c>
      <c r="Q13" s="736" t="s">
        <v>146</v>
      </c>
      <c r="R13" s="758"/>
      <c r="S13" s="736" t="str">
        <f>VLOOKUP($B14,$AB$4:$AV$15,$AE$3,FALSE)</f>
        <v>TEES</v>
      </c>
      <c r="T13" s="736" t="s">
        <v>146</v>
      </c>
      <c r="U13" s="723"/>
      <c r="V13" s="736" t="str">
        <f>VLOOKUP($B14,$AB$4:$AV$15,$AD$3,FALSE)</f>
        <v>WEEZ</v>
      </c>
      <c r="W13" s="736" t="s">
        <v>146</v>
      </c>
      <c r="X13" s="758"/>
      <c r="Y13" s="736" t="str">
        <f>VLOOKUP($B14,$AB$4:$AV$15,$AE$3,FALSE)</f>
        <v>TEES</v>
      </c>
      <c r="Z13" s="736" t="s">
        <v>146</v>
      </c>
      <c r="AA13" s="723"/>
      <c r="AB13" s="714">
        <f>'Master Input'!O21</f>
        <v>0</v>
      </c>
      <c r="AC13" s="731"/>
      <c r="AD13" s="731"/>
      <c r="AE13" s="731"/>
      <c r="AF13" s="731"/>
      <c r="AG13" s="731"/>
      <c r="AH13" s="732"/>
      <c r="AI13" s="732"/>
      <c r="AJ13" s="732"/>
      <c r="AK13" s="732"/>
      <c r="AL13" s="732"/>
      <c r="AM13" s="733"/>
      <c r="AN13" s="733"/>
      <c r="AO13" s="733"/>
      <c r="AP13" s="733"/>
      <c r="AQ13" s="733"/>
      <c r="AR13" s="734"/>
      <c r="AS13" s="734"/>
      <c r="AT13" s="734"/>
      <c r="AU13" s="734"/>
      <c r="AV13" s="734"/>
      <c r="AW13" s="667"/>
      <c r="AX13" s="667"/>
      <c r="AY13" s="667"/>
    </row>
    <row r="14" spans="1:51">
      <c r="A14" s="723"/>
      <c r="B14" s="757" t="str">
        <f>'Master Input'!J6</f>
        <v>2-Man Scramble</v>
      </c>
      <c r="C14" s="723"/>
      <c r="D14" s="739" t="s">
        <v>125</v>
      </c>
      <c r="E14" s="759">
        <f ca="1">IF(D14="","-", VLOOKUP(D14,'Master Input'!$A$11:$L$27, 'Master Input'!$J$28, FALSE))</f>
        <v>6.150442477876104</v>
      </c>
      <c r="F14" s="760" t="s">
        <v>148</v>
      </c>
      <c r="G14" s="739" t="s">
        <v>108</v>
      </c>
      <c r="H14" s="759">
        <f ca="1">IF(G14="","-", VLOOKUP(G14,'Master Input'!$A$11:$L$27, 'Master Input'!$J$28, FALSE))</f>
        <v>8.9592920353982279</v>
      </c>
      <c r="I14" s="723"/>
      <c r="J14" s="739" t="s">
        <v>127</v>
      </c>
      <c r="K14" s="759">
        <f ca="1">IF(J14="","-", VLOOKUP(J14,'Master Input'!$A$11:$L$27, 'Master Input'!$J$28, FALSE))</f>
        <v>7.98230088495575</v>
      </c>
      <c r="L14" s="760" t="s">
        <v>148</v>
      </c>
      <c r="M14" s="739" t="s">
        <v>113</v>
      </c>
      <c r="N14" s="759">
        <f ca="1">IF(M14="","-", VLOOKUP(M14,'Master Input'!$A$11:$L$27, 'Master Input'!$J$28, FALSE))</f>
        <v>10.058407079646015</v>
      </c>
      <c r="O14" s="723"/>
      <c r="P14" s="739" t="s">
        <v>129</v>
      </c>
      <c r="Q14" s="759">
        <f ca="1">IF(P14="","-", VLOOKUP(P14,'Master Input'!$A$11:$L$27, 'Master Input'!$J$28, FALSE))</f>
        <v>11.279646017699113</v>
      </c>
      <c r="R14" s="760" t="s">
        <v>148</v>
      </c>
      <c r="S14" s="739" t="s">
        <v>115</v>
      </c>
      <c r="T14" s="759">
        <f ca="1">IF(S14="","-", VLOOKUP(S14,'Master Input'!$A$11:$L$27, 'Master Input'!$J$28, FALSE))</f>
        <v>10.546902654867255</v>
      </c>
      <c r="U14" s="723"/>
      <c r="V14" s="739" t="s">
        <v>131</v>
      </c>
      <c r="W14" s="759">
        <f ca="1">IF(V14="","-", VLOOKUP(V14,'Master Input'!$A$11:$L$27, 'Master Input'!$J$28, FALSE))</f>
        <v>18.118584070796459</v>
      </c>
      <c r="X14" s="760" t="s">
        <v>148</v>
      </c>
      <c r="Y14" s="739" t="s">
        <v>120</v>
      </c>
      <c r="Z14" s="759">
        <f ca="1">IF(Y14="","-", VLOOKUP(Y14,'Master Input'!$A$11:$L$27, 'Master Input'!$J$28, FALSE))</f>
        <v>16.164601769911503</v>
      </c>
      <c r="AA14" s="723"/>
      <c r="AB14" s="714">
        <f>'Master Input'!O22</f>
        <v>0</v>
      </c>
      <c r="AC14" s="731"/>
      <c r="AD14" s="731"/>
      <c r="AE14" s="731"/>
      <c r="AF14" s="731"/>
      <c r="AG14" s="731"/>
      <c r="AH14" s="732"/>
      <c r="AI14" s="732"/>
      <c r="AJ14" s="732"/>
      <c r="AK14" s="732"/>
      <c r="AL14" s="732"/>
      <c r="AM14" s="733"/>
      <c r="AN14" s="733"/>
      <c r="AO14" s="733"/>
      <c r="AP14" s="733"/>
      <c r="AQ14" s="733"/>
      <c r="AR14" s="734"/>
      <c r="AS14" s="734"/>
      <c r="AT14" s="734"/>
      <c r="AU14" s="734"/>
      <c r="AV14" s="734"/>
      <c r="AW14" s="667"/>
      <c r="AX14" s="667"/>
      <c r="AY14" s="667"/>
    </row>
    <row r="15" spans="1:51">
      <c r="A15" s="723"/>
      <c r="B15" s="761" t="str">
        <f>VLOOKUP(B14,'Master Input'!$O$12:$S$23,'Master Input'!$S$11, FALSE)</f>
        <v>4 Points per Match - 1 Front, 1 Back, 2 Overall</v>
      </c>
      <c r="C15" s="723"/>
      <c r="D15" s="739" t="s">
        <v>126</v>
      </c>
      <c r="E15" s="759">
        <f ca="1">IF(D15="","-", VLOOKUP(D15,'Master Input'!$A$11:$L$27, 'Master Input'!$J$28, FALSE))</f>
        <v>7.1274336283185811</v>
      </c>
      <c r="F15" s="760"/>
      <c r="G15" s="739" t="s">
        <v>110</v>
      </c>
      <c r="H15" s="759">
        <f ca="1">IF(G15="","-", VLOOKUP(G15,'Master Input'!$A$11:$L$27, 'Master Input'!$J$28, FALSE))</f>
        <v>9.2035398230088479</v>
      </c>
      <c r="I15" s="723"/>
      <c r="J15" s="739" t="s">
        <v>128</v>
      </c>
      <c r="K15" s="759">
        <f ca="1">IF(J15="","-", VLOOKUP(J15,'Master Input'!$A$11:$L$27, 'Master Input'!$J$28, FALSE))</f>
        <v>10.669026548672564</v>
      </c>
      <c r="L15" s="760"/>
      <c r="M15" s="739" t="s">
        <v>112</v>
      </c>
      <c r="N15" s="759">
        <f ca="1">IF(M15="","-", VLOOKUP(M15,'Master Input'!$A$11:$L$27, 'Master Input'!$J$28, FALSE))</f>
        <v>10.302654867256633</v>
      </c>
      <c r="O15" s="723"/>
      <c r="P15" s="739" t="s">
        <v>130</v>
      </c>
      <c r="Q15" s="759">
        <f ca="1">IF(P15="","-", VLOOKUP(P15,'Master Input'!$A$11:$L$27, 'Master Input'!$J$28, FALSE))</f>
        <v>15.676106194690263</v>
      </c>
      <c r="R15" s="760"/>
      <c r="S15" s="739" t="s">
        <v>118</v>
      </c>
      <c r="T15" s="759">
        <f ca="1">IF(S15="","-", VLOOKUP(S15,'Master Input'!$A$11:$L$27, 'Master Input'!$J$28, FALSE))</f>
        <v>14.454867256637165</v>
      </c>
      <c r="U15" s="723"/>
      <c r="V15" s="739" t="s">
        <v>132</v>
      </c>
      <c r="W15" s="759">
        <f ca="1">IF(V15="","-", VLOOKUP(V15,'Master Input'!$A$11:$L$27, 'Master Input'!$J$28, FALSE))</f>
        <v>18.362831858407077</v>
      </c>
      <c r="X15" s="760"/>
      <c r="Y15" s="739" t="s">
        <v>122</v>
      </c>
      <c r="Z15" s="759">
        <f ca="1">IF(Y15="","-", VLOOKUP(Y15,'Master Input'!$A$11:$L$27, 'Master Input'!$J$28, FALSE))</f>
        <v>35.215929203539822</v>
      </c>
      <c r="AA15" s="723"/>
      <c r="AB15" s="714">
        <f>'Master Input'!O23</f>
        <v>0</v>
      </c>
      <c r="AC15" s="731"/>
      <c r="AD15" s="731"/>
      <c r="AE15" s="731"/>
      <c r="AF15" s="731"/>
      <c r="AG15" s="731"/>
      <c r="AH15" s="732"/>
      <c r="AI15" s="732"/>
      <c r="AJ15" s="732"/>
      <c r="AK15" s="732"/>
      <c r="AL15" s="732"/>
      <c r="AM15" s="733"/>
      <c r="AN15" s="733"/>
      <c r="AO15" s="733"/>
      <c r="AP15" s="733"/>
      <c r="AQ15" s="733"/>
      <c r="AR15" s="734"/>
      <c r="AS15" s="734"/>
      <c r="AT15" s="734"/>
      <c r="AU15" s="734"/>
      <c r="AV15" s="734"/>
      <c r="AW15" s="667"/>
      <c r="AX15" s="667"/>
      <c r="AY15" s="667"/>
    </row>
    <row r="16" spans="1:51">
      <c r="A16" s="723"/>
      <c r="B16" s="723"/>
      <c r="C16" s="723"/>
      <c r="D16" s="724" t="str">
        <f>IF(B19="2-Man Scramble","IMPORTANT NOTE FOR 2-MAN SCRAMBLE: Must put lower handicap in top spot and higher handicap in bottom spot for calculations to work correctly.","-")</f>
        <v>-</v>
      </c>
      <c r="E16" s="743"/>
      <c r="F16" s="743"/>
      <c r="G16" s="743"/>
      <c r="H16" s="743"/>
      <c r="I16" s="723"/>
      <c r="J16" s="743"/>
      <c r="K16" s="743"/>
      <c r="L16" s="743"/>
      <c r="M16" s="743"/>
      <c r="N16" s="743"/>
      <c r="O16" s="723"/>
      <c r="P16" s="743"/>
      <c r="Q16" s="743"/>
      <c r="R16" s="743"/>
      <c r="S16" s="743"/>
      <c r="T16" s="743"/>
      <c r="U16" s="723"/>
      <c r="V16" s="743"/>
      <c r="W16" s="743"/>
      <c r="X16" s="743"/>
      <c r="Y16" s="743"/>
      <c r="Z16" s="743"/>
      <c r="AA16" s="723"/>
      <c r="AB16" s="762"/>
      <c r="AC16" s="763"/>
      <c r="AD16" s="763"/>
      <c r="AE16" s="763"/>
      <c r="AF16" s="763"/>
      <c r="AG16" s="763"/>
      <c r="AH16" s="763"/>
      <c r="AI16" s="763"/>
      <c r="AJ16" s="763"/>
      <c r="AK16" s="763"/>
      <c r="AL16" s="763"/>
      <c r="AM16" s="763"/>
      <c r="AN16" s="763"/>
      <c r="AO16" s="763"/>
      <c r="AP16" s="763"/>
      <c r="AQ16" s="763"/>
      <c r="AR16" s="763"/>
      <c r="AS16" s="763"/>
      <c r="AT16" s="763"/>
      <c r="AU16" s="763"/>
      <c r="AV16" s="763"/>
      <c r="AW16" s="667"/>
      <c r="AX16" s="667"/>
      <c r="AY16" s="667"/>
    </row>
    <row r="17" spans="1:51">
      <c r="A17" s="723"/>
      <c r="B17" s="764" t="s">
        <v>80</v>
      </c>
      <c r="C17" s="723"/>
      <c r="D17" s="765" t="str">
        <f>VLOOKUP($B19,$AB$4:$AV$15,AC$3,FALSE)</f>
        <v>Group 1</v>
      </c>
      <c r="E17" s="765"/>
      <c r="F17" s="766" t="s">
        <v>138</v>
      </c>
      <c r="G17" s="767">
        <f>'Master Input'!K$3</f>
        <v>0.4236111111111111</v>
      </c>
      <c r="H17" s="765"/>
      <c r="I17" s="723"/>
      <c r="J17" s="765" t="str">
        <f>VLOOKUP($B19,$AB$4:$AV$15,$AH$3,FALSE)</f>
        <v>Group 2</v>
      </c>
      <c r="K17" s="765"/>
      <c r="L17" s="766" t="s">
        <v>138</v>
      </c>
      <c r="M17" s="767">
        <f>'Master Input'!L$3</f>
        <v>0.43055555555555558</v>
      </c>
      <c r="N17" s="765"/>
      <c r="O17" s="723"/>
      <c r="P17" s="765" t="str">
        <f>VLOOKUP($B19,$AB$4:$AV$15,$AM$3,FALSE)</f>
        <v>Group 3</v>
      </c>
      <c r="Q17" s="765"/>
      <c r="R17" s="766" t="s">
        <v>138</v>
      </c>
      <c r="S17" s="767">
        <f>'Master Input'!K$4</f>
        <v>0.4375</v>
      </c>
      <c r="T17" s="765"/>
      <c r="U17" s="723"/>
      <c r="V17" s="765" t="str">
        <f>VLOOKUP($B19,$AB$4:$AV$15,$AR$3,FALSE)</f>
        <v>Group 4</v>
      </c>
      <c r="W17" s="765"/>
      <c r="X17" s="766" t="s">
        <v>138</v>
      </c>
      <c r="Y17" s="767">
        <f>'Master Input'!L$4</f>
        <v>0.44444444444444442</v>
      </c>
      <c r="Z17" s="765"/>
      <c r="AA17" s="723"/>
      <c r="AB17" s="730"/>
      <c r="AC17" s="1173" t="s">
        <v>134</v>
      </c>
      <c r="AD17" s="1129"/>
      <c r="AE17" s="1129"/>
      <c r="AF17" s="1129"/>
      <c r="AG17" s="1129"/>
      <c r="AH17" s="1174" t="s">
        <v>135</v>
      </c>
      <c r="AI17" s="1129"/>
      <c r="AJ17" s="1129"/>
      <c r="AK17" s="1129"/>
      <c r="AL17" s="1129"/>
      <c r="AM17" s="1175" t="s">
        <v>136</v>
      </c>
      <c r="AN17" s="1129"/>
      <c r="AO17" s="1129"/>
      <c r="AP17" s="1129"/>
      <c r="AQ17" s="1129"/>
      <c r="AR17" s="1177" t="s">
        <v>137</v>
      </c>
      <c r="AS17" s="1129"/>
      <c r="AT17" s="1129"/>
      <c r="AU17" s="1129"/>
      <c r="AV17" s="1129"/>
      <c r="AW17" s="667"/>
      <c r="AX17" s="667"/>
      <c r="AY17" s="667"/>
    </row>
    <row r="18" spans="1:51">
      <c r="A18" s="723"/>
      <c r="B18" s="768" t="str">
        <f>'Master Input'!K6</f>
        <v>The Bear - White</v>
      </c>
      <c r="C18" s="723"/>
      <c r="D18" s="736" t="str">
        <f>VLOOKUP($B19,$AB$4:$AV$15,$AD$3,FALSE)</f>
        <v>WEEZ</v>
      </c>
      <c r="E18" s="736" t="s">
        <v>146</v>
      </c>
      <c r="F18" s="769"/>
      <c r="G18" s="736" t="str">
        <f>VLOOKUP($B19,$AB$4:$AV$15,$AE$3,FALSE)</f>
        <v>WEEZ</v>
      </c>
      <c r="H18" s="736" t="s">
        <v>146</v>
      </c>
      <c r="I18" s="723"/>
      <c r="J18" s="736" t="str">
        <f>VLOOKUP($B19,$AB$4:$AV$15,$AI$3,FALSE)</f>
        <v>TEES</v>
      </c>
      <c r="K18" s="736" t="s">
        <v>146</v>
      </c>
      <c r="L18" s="769"/>
      <c r="M18" s="736" t="str">
        <f>VLOOKUP($B19,$AB$4:$AV$15,$AJ$3,FALSE)</f>
        <v>TEES</v>
      </c>
      <c r="N18" s="736" t="s">
        <v>146</v>
      </c>
      <c r="O18" s="723"/>
      <c r="P18" s="736" t="str">
        <f>VLOOKUP($B19,$AB$4:$AV$15,$AN$3,FALSE)</f>
        <v>WEEZ</v>
      </c>
      <c r="Q18" s="736" t="s">
        <v>146</v>
      </c>
      <c r="R18" s="769"/>
      <c r="S18" s="736" t="str">
        <f>VLOOKUP($B19,$AB$4:$AV$15,$AO$3,FALSE)</f>
        <v>WEEZ</v>
      </c>
      <c r="T18" s="736" t="s">
        <v>146</v>
      </c>
      <c r="U18" s="723"/>
      <c r="V18" s="736" t="str">
        <f>VLOOKUP($B19,$AB$4:$AV$15,$AS$3,FALSE)</f>
        <v>TEES</v>
      </c>
      <c r="W18" s="736" t="s">
        <v>146</v>
      </c>
      <c r="X18" s="769"/>
      <c r="Y18" s="736" t="str">
        <f>VLOOKUP($B19,$AB$4:$AV$15,$AT$3,FALSE)</f>
        <v>TEES</v>
      </c>
      <c r="Z18" s="736" t="s">
        <v>146</v>
      </c>
      <c r="AA18" s="723"/>
      <c r="AB18" s="730" t="s">
        <v>156</v>
      </c>
      <c r="AC18" s="731" t="s">
        <v>139</v>
      </c>
      <c r="AD18" s="731" t="s">
        <v>140</v>
      </c>
      <c r="AE18" s="731" t="s">
        <v>141</v>
      </c>
      <c r="AF18" s="731" t="s">
        <v>142</v>
      </c>
      <c r="AG18" s="731" t="s">
        <v>143</v>
      </c>
      <c r="AH18" s="732" t="s">
        <v>139</v>
      </c>
      <c r="AI18" s="732" t="s">
        <v>140</v>
      </c>
      <c r="AJ18" s="732" t="s">
        <v>141</v>
      </c>
      <c r="AK18" s="732" t="s">
        <v>144</v>
      </c>
      <c r="AL18" s="732" t="s">
        <v>145</v>
      </c>
      <c r="AM18" s="733" t="s">
        <v>139</v>
      </c>
      <c r="AN18" s="733" t="s">
        <v>140</v>
      </c>
      <c r="AO18" s="733" t="s">
        <v>141</v>
      </c>
      <c r="AP18" s="733" t="s">
        <v>144</v>
      </c>
      <c r="AQ18" s="733" t="s">
        <v>145</v>
      </c>
      <c r="AR18" s="770" t="s">
        <v>139</v>
      </c>
      <c r="AS18" s="770" t="s">
        <v>140</v>
      </c>
      <c r="AT18" s="770" t="s">
        <v>141</v>
      </c>
      <c r="AU18" s="770" t="s">
        <v>144</v>
      </c>
      <c r="AV18" s="770" t="s">
        <v>145</v>
      </c>
      <c r="AW18" s="667"/>
      <c r="AX18" s="667"/>
      <c r="AY18" s="667"/>
    </row>
    <row r="19" spans="1:51">
      <c r="A19" s="723"/>
      <c r="B19" s="768" t="str">
        <f>'Master Input'!L6</f>
        <v>Team Best Ball</v>
      </c>
      <c r="C19" s="723"/>
      <c r="D19" s="739" t="s">
        <v>127</v>
      </c>
      <c r="E19" s="740">
        <f ca="1">IF(D19="","-", VLOOKUP(D19,'Master Input'!$A$11:$L$27, 'Master Input'!$L$28, FALSE))</f>
        <v>7</v>
      </c>
      <c r="F19" s="771">
        <f>VLOOKUP($B19,$AB$4:$AV$15,$AF$3,FALSE)</f>
        <v>0</v>
      </c>
      <c r="G19" s="739" t="s">
        <v>125</v>
      </c>
      <c r="H19" s="740">
        <f ca="1">IF(G19="","-", VLOOKUP(G19,'Master Input'!$A$11:$L$27, 'Master Input'!$L$28, FALSE))</f>
        <v>5</v>
      </c>
      <c r="I19" s="723"/>
      <c r="J19" s="739" t="s">
        <v>118</v>
      </c>
      <c r="K19" s="740">
        <f ca="1">IF(J19="","-", VLOOKUP(J19,'Master Input'!$A$11:$L$27, 'Master Input'!$L$28, FALSE))</f>
        <v>14</v>
      </c>
      <c r="L19" s="771">
        <f>VLOOKUP($B19,$AB$4:$AV$15,$AK$3,FALSE)</f>
        <v>0</v>
      </c>
      <c r="M19" s="739" t="s">
        <v>120</v>
      </c>
      <c r="N19" s="740">
        <f ca="1">IF(M19="","-", VLOOKUP(M19,'Master Input'!$A$11:$L$27, 'Master Input'!$L$28, FALSE))</f>
        <v>16</v>
      </c>
      <c r="O19" s="723"/>
      <c r="P19" s="739" t="s">
        <v>126</v>
      </c>
      <c r="Q19" s="740">
        <f ca="1">IF(P19="","-", VLOOKUP(P19,'Master Input'!$A$11:$L$27, 'Master Input'!$L$28, FALSE))</f>
        <v>6</v>
      </c>
      <c r="R19" s="771">
        <f>VLOOKUP($B19,$AB$4:$AV$15,$AP$3,FALSE)</f>
        <v>0</v>
      </c>
      <c r="S19" s="739" t="s">
        <v>128</v>
      </c>
      <c r="T19" s="740">
        <f ca="1">IF(S19="","-", VLOOKUP(S19,'Master Input'!$A$11:$L$27, 'Master Input'!$L$28, FALSE))</f>
        <v>10</v>
      </c>
      <c r="U19" s="723"/>
      <c r="V19" s="739" t="s">
        <v>108</v>
      </c>
      <c r="W19" s="740">
        <f ca="1">IF(V19="","-", VLOOKUP(V19,'Master Input'!$A$11:$L$27, 'Master Input'!$L$28, FALSE))</f>
        <v>8</v>
      </c>
      <c r="X19" s="771">
        <f>VLOOKUP($B19,$AB$4:$AV$15,$AU$3,FALSE)</f>
        <v>0</v>
      </c>
      <c r="Y19" s="739" t="s">
        <v>110</v>
      </c>
      <c r="Z19" s="740">
        <f ca="1">IF(Y19="","-", VLOOKUP(Y19,'Master Input'!$A$11:$L$27, 'Master Input'!$L$28, FALSE))</f>
        <v>9</v>
      </c>
      <c r="AA19" s="723"/>
      <c r="AB19" s="738" t="s">
        <v>109</v>
      </c>
      <c r="AC19" s="738">
        <v>2</v>
      </c>
      <c r="AD19" s="738">
        <v>3</v>
      </c>
      <c r="AE19" s="738">
        <v>4</v>
      </c>
      <c r="AF19" s="738">
        <v>5</v>
      </c>
      <c r="AG19" s="738">
        <v>6</v>
      </c>
      <c r="AH19" s="738">
        <v>7</v>
      </c>
      <c r="AI19" s="738">
        <v>8</v>
      </c>
      <c r="AJ19" s="738">
        <v>9</v>
      </c>
      <c r="AK19" s="738">
        <v>10</v>
      </c>
      <c r="AL19" s="738">
        <v>11</v>
      </c>
      <c r="AM19" s="738">
        <v>12</v>
      </c>
      <c r="AN19" s="738">
        <v>13</v>
      </c>
      <c r="AO19" s="738">
        <v>14</v>
      </c>
      <c r="AP19" s="738">
        <v>15</v>
      </c>
      <c r="AQ19" s="738">
        <v>16</v>
      </c>
      <c r="AR19" s="738">
        <v>17</v>
      </c>
      <c r="AS19" s="738">
        <v>18</v>
      </c>
      <c r="AT19" s="738">
        <v>19</v>
      </c>
      <c r="AU19" s="738">
        <v>20</v>
      </c>
      <c r="AV19" s="738">
        <v>21</v>
      </c>
      <c r="AW19" s="667"/>
      <c r="AX19" s="667"/>
      <c r="AY19" s="667"/>
    </row>
    <row r="20" spans="1:51">
      <c r="A20" s="723"/>
      <c r="B20" s="772" t="str">
        <f>VLOOKUP(B19,'Master Input'!$O$12:$S$23,'Master Input'!$S$11, FALSE)</f>
        <v>1 Pt/Hole Front, 2 Pt/Hole Back</v>
      </c>
      <c r="C20" s="723"/>
      <c r="D20" s="739" t="s">
        <v>130</v>
      </c>
      <c r="E20" s="740">
        <f ca="1">IF(D20="","-", VLOOKUP(D20,'Master Input'!$A$11:$L$27, 'Master Input'!$L$28, FALSE))</f>
        <v>15</v>
      </c>
      <c r="F20" s="771">
        <f>VLOOKUP($B19,$AB$4:$AV$15,$AG$3,FALSE)</f>
        <v>0</v>
      </c>
      <c r="G20" s="739" t="s">
        <v>132</v>
      </c>
      <c r="H20" s="740">
        <f ca="1">IF(G20="","-", VLOOKUP(G20,'Master Input'!$A$11:$L$27, 'Master Input'!$L$28, FALSE))</f>
        <v>18</v>
      </c>
      <c r="I20" s="723"/>
      <c r="J20" s="739" t="s">
        <v>112</v>
      </c>
      <c r="K20" s="740">
        <f ca="1">IF(J20="","-", VLOOKUP(J20,'Master Input'!$A$11:$L$27, 'Master Input'!$L$28, FALSE))</f>
        <v>10</v>
      </c>
      <c r="L20" s="771">
        <f>VLOOKUP($B19,$AB$4:$AV$15,$AL$3,FALSE)</f>
        <v>0</v>
      </c>
      <c r="M20" s="739" t="s">
        <v>113</v>
      </c>
      <c r="N20" s="740">
        <f ca="1">IF(M20="","-", VLOOKUP(M20,'Master Input'!$A$11:$L$27, 'Master Input'!$L$28, FALSE))</f>
        <v>9</v>
      </c>
      <c r="O20" s="723"/>
      <c r="P20" s="739" t="s">
        <v>131</v>
      </c>
      <c r="Q20" s="740">
        <f ca="1">IF(P20="","-", VLOOKUP(P20,'Master Input'!$A$11:$L$27, 'Master Input'!$L$28, FALSE))</f>
        <v>18</v>
      </c>
      <c r="R20" s="771">
        <f>VLOOKUP($B19,$AB$4:$AV$15,$AQ$3,FALSE)</f>
        <v>0</v>
      </c>
      <c r="S20" s="739" t="s">
        <v>129</v>
      </c>
      <c r="T20" s="740">
        <f ca="1">IF(S20="","-", VLOOKUP(S20,'Master Input'!$A$11:$L$27, 'Master Input'!$L$28, FALSE))</f>
        <v>11</v>
      </c>
      <c r="U20" s="723"/>
      <c r="V20" s="739" t="s">
        <v>122</v>
      </c>
      <c r="W20" s="740">
        <f ca="1">IF(V20="","-", VLOOKUP(V20,'Master Input'!$A$11:$L$27, 'Master Input'!$L$28, FALSE))</f>
        <v>35</v>
      </c>
      <c r="X20" s="771">
        <f>VLOOKUP($B19,$AB$4:$AV$15,$AV$3,FALSE)</f>
        <v>0</v>
      </c>
      <c r="Y20" s="739" t="s">
        <v>115</v>
      </c>
      <c r="Z20" s="740">
        <f ca="1">IF(Y20="","-", VLOOKUP(Y20,'Master Input'!$A$11:$L$27, 'Master Input'!$L$28, FALSE))</f>
        <v>9</v>
      </c>
      <c r="AA20" s="723"/>
      <c r="AB20" s="730" t="str">
        <f>B3</f>
        <v>Sundance - Blue</v>
      </c>
      <c r="AC20" s="731" t="str">
        <f>D2</f>
        <v>Match 1</v>
      </c>
      <c r="AD20" s="731" t="str">
        <f>D4</f>
        <v>Elger</v>
      </c>
      <c r="AE20" s="731" t="str">
        <f>D5</f>
        <v>T-Mo</v>
      </c>
      <c r="AF20" s="731" t="str">
        <f>G4</f>
        <v>R-Mac</v>
      </c>
      <c r="AG20" s="731" t="str">
        <f>G5</f>
        <v>House</v>
      </c>
      <c r="AH20" s="732" t="str">
        <f>J2</f>
        <v>Match 2</v>
      </c>
      <c r="AI20" s="732" t="str">
        <f>J4</f>
        <v>Pace</v>
      </c>
      <c r="AJ20" s="732" t="str">
        <f>J5</f>
        <v>Weezy</v>
      </c>
      <c r="AK20" s="732" t="str">
        <f>M4</f>
        <v>CuzNick</v>
      </c>
      <c r="AL20" s="732" t="str">
        <f>M5</f>
        <v>Saugy</v>
      </c>
      <c r="AM20" s="733" t="str">
        <f>P2</f>
        <v>Match 3</v>
      </c>
      <c r="AN20" s="733" t="str">
        <f>P4</f>
        <v>Andy</v>
      </c>
      <c r="AO20" s="733" t="str">
        <f>P5</f>
        <v>Joe O</v>
      </c>
      <c r="AP20" s="733" t="str">
        <f>S4</f>
        <v>Telly</v>
      </c>
      <c r="AQ20" s="733" t="str">
        <f>S5</f>
        <v>DK</v>
      </c>
      <c r="AR20" s="770" t="str">
        <f>V2</f>
        <v>Match 4</v>
      </c>
      <c r="AS20" s="770" t="str">
        <f>V4</f>
        <v>Jensen</v>
      </c>
      <c r="AT20" s="770" t="str">
        <f>V5</f>
        <v>Hile</v>
      </c>
      <c r="AU20" s="770" t="str">
        <f>Y4</f>
        <v>KJ</v>
      </c>
      <c r="AV20" s="770" t="str">
        <f>Y5</f>
        <v>TJSC</v>
      </c>
      <c r="AX20" s="667"/>
      <c r="AY20" s="667"/>
    </row>
    <row r="21" spans="1:51">
      <c r="A21" s="723"/>
      <c r="B21" s="723"/>
      <c r="C21" s="723"/>
      <c r="D21" s="724" t="s">
        <v>157</v>
      </c>
      <c r="E21" s="723"/>
      <c r="F21" s="723"/>
      <c r="G21" s="723"/>
      <c r="H21" s="723"/>
      <c r="I21" s="723"/>
      <c r="J21" s="724" t="s">
        <v>158</v>
      </c>
      <c r="K21" s="723"/>
      <c r="L21" s="723"/>
      <c r="M21" s="723"/>
      <c r="N21" s="723"/>
      <c r="O21" s="723"/>
      <c r="P21" s="723"/>
      <c r="Q21" s="723"/>
      <c r="R21" s="723"/>
      <c r="S21" s="723"/>
      <c r="T21" s="723"/>
      <c r="U21" s="723"/>
      <c r="V21" s="723"/>
      <c r="W21" s="723"/>
      <c r="X21" s="723"/>
      <c r="Y21" s="723"/>
      <c r="Z21" s="723"/>
      <c r="AA21" s="723"/>
      <c r="AB21" s="730" t="str">
        <f>B8</f>
        <v>The Wolverine - White</v>
      </c>
      <c r="AC21" s="731" t="str">
        <f>D7</f>
        <v>Matches 1 &amp; 2</v>
      </c>
      <c r="AD21" s="731" t="str">
        <f>D9</f>
        <v>Jensen</v>
      </c>
      <c r="AE21" s="731" t="str">
        <f>D10</f>
        <v>Elger</v>
      </c>
      <c r="AF21" s="731" t="str">
        <f>G9</f>
        <v>CuzNick</v>
      </c>
      <c r="AG21" s="731" t="str">
        <f>G10</f>
        <v>House</v>
      </c>
      <c r="AH21" s="732" t="str">
        <f>J7</f>
        <v>Matches 3 &amp; 4</v>
      </c>
      <c r="AI21" s="732" t="str">
        <f>J9</f>
        <v>T-Mo</v>
      </c>
      <c r="AJ21" s="732" t="str">
        <f>J10</f>
        <v>Weezy</v>
      </c>
      <c r="AK21" s="732" t="str">
        <f>M9</f>
        <v>KJ</v>
      </c>
      <c r="AL21" s="732" t="str">
        <f>M10</f>
        <v>TJSC</v>
      </c>
      <c r="AM21" s="733" t="str">
        <f>P7</f>
        <v>Matches 5 &amp; 6</v>
      </c>
      <c r="AN21" s="733" t="str">
        <f>P9</f>
        <v>Pace</v>
      </c>
      <c r="AO21" s="733" t="str">
        <f>P10</f>
        <v>Andy</v>
      </c>
      <c r="AP21" s="733" t="str">
        <f>S9</f>
        <v>Telly</v>
      </c>
      <c r="AQ21" s="733" t="str">
        <f>S10</f>
        <v>DK</v>
      </c>
      <c r="AR21" s="770" t="str">
        <f>V7</f>
        <v>Matches 7 &amp; 8</v>
      </c>
      <c r="AS21" s="770" t="str">
        <f>V9</f>
        <v>Joe O</v>
      </c>
      <c r="AT21" s="770" t="str">
        <f>V10</f>
        <v>Hile</v>
      </c>
      <c r="AU21" s="770" t="str">
        <f>Y9</f>
        <v>R-Mac</v>
      </c>
      <c r="AV21" s="770" t="str">
        <f>Y10</f>
        <v>Saugy</v>
      </c>
      <c r="AX21" s="667"/>
      <c r="AY21" s="667"/>
    </row>
    <row r="22" spans="1:51">
      <c r="A22" s="723"/>
      <c r="B22" s="723"/>
      <c r="C22" s="723"/>
      <c r="D22" s="723"/>
      <c r="E22" s="723"/>
      <c r="F22" s="723"/>
      <c r="G22" s="723"/>
      <c r="H22" s="723"/>
      <c r="I22" s="723"/>
      <c r="J22" s="723"/>
      <c r="K22" s="723"/>
      <c r="L22" s="723"/>
      <c r="M22" s="723"/>
      <c r="N22" s="723"/>
      <c r="O22" s="723"/>
      <c r="P22" s="723"/>
      <c r="Q22" s="723"/>
      <c r="R22" s="723"/>
      <c r="S22" s="723"/>
      <c r="T22" s="723"/>
      <c r="U22" s="723"/>
      <c r="V22" s="723"/>
      <c r="W22" s="723"/>
      <c r="X22" s="723"/>
      <c r="Y22" s="723"/>
      <c r="Z22" s="723"/>
      <c r="AA22" s="723"/>
      <c r="AB22" s="730" t="str">
        <f>B13</f>
        <v>The Wolverine - Blue</v>
      </c>
      <c r="AC22" s="731" t="str">
        <f>D12</f>
        <v>Match 1</v>
      </c>
      <c r="AD22" s="731" t="str">
        <f>D14</f>
        <v>Elger</v>
      </c>
      <c r="AE22" s="731" t="str">
        <f>D15</f>
        <v>Andy</v>
      </c>
      <c r="AF22" s="731" t="str">
        <f>G14</f>
        <v>Telly</v>
      </c>
      <c r="AG22" s="731" t="str">
        <f>G15</f>
        <v>KJ</v>
      </c>
      <c r="AH22" s="732" t="str">
        <f>J12</f>
        <v>Match 2</v>
      </c>
      <c r="AI22" s="732" t="str">
        <f>J14</f>
        <v>Jensen</v>
      </c>
      <c r="AJ22" s="732" t="str">
        <f>J15</f>
        <v>Pace</v>
      </c>
      <c r="AK22" s="732" t="str">
        <f>M14</f>
        <v>R-Mac</v>
      </c>
      <c r="AL22" s="732" t="str">
        <f>M15</f>
        <v>CuzNick</v>
      </c>
      <c r="AM22" s="733" t="str">
        <f>P12</f>
        <v>Match 3</v>
      </c>
      <c r="AN22" s="733" t="str">
        <f>P14</f>
        <v>T-Mo</v>
      </c>
      <c r="AO22" s="733" t="str">
        <f>P15</f>
        <v>Joe O</v>
      </c>
      <c r="AP22" s="733" t="str">
        <f>S14</f>
        <v>House</v>
      </c>
      <c r="AQ22" s="733" t="str">
        <f>S15</f>
        <v>TJSC</v>
      </c>
      <c r="AR22" s="770" t="str">
        <f>V12</f>
        <v>Match 4</v>
      </c>
      <c r="AS22" s="770" t="str">
        <f>V14</f>
        <v>Hile</v>
      </c>
      <c r="AT22" s="770" t="str">
        <f>V15</f>
        <v>Weezy</v>
      </c>
      <c r="AU22" s="770" t="str">
        <f>Y14</f>
        <v>DK</v>
      </c>
      <c r="AV22" s="770" t="str">
        <f>Y15</f>
        <v>Saugy</v>
      </c>
      <c r="AX22" s="667"/>
      <c r="AY22" s="667"/>
    </row>
    <row r="23" spans="1:51">
      <c r="A23" s="723"/>
      <c r="B23" s="723"/>
      <c r="C23" s="723"/>
      <c r="D23" s="723"/>
      <c r="E23" s="723"/>
      <c r="F23" s="723"/>
      <c r="G23" s="723"/>
      <c r="H23" s="723"/>
      <c r="I23" s="723"/>
      <c r="J23" s="723"/>
      <c r="K23" s="723"/>
      <c r="L23" s="723"/>
      <c r="M23" s="723"/>
      <c r="N23" s="723"/>
      <c r="O23" s="723"/>
      <c r="P23" s="723"/>
      <c r="Q23" s="723"/>
      <c r="R23" s="723"/>
      <c r="S23" s="723"/>
      <c r="T23" s="723"/>
      <c r="U23" s="723"/>
      <c r="V23" s="723"/>
      <c r="W23" s="723"/>
      <c r="X23" s="723"/>
      <c r="Y23" s="723"/>
      <c r="Z23" s="723"/>
      <c r="AA23" s="723"/>
      <c r="AB23" s="730" t="str">
        <f>B18</f>
        <v>The Bear - White</v>
      </c>
      <c r="AC23" s="731" t="str">
        <f>D17</f>
        <v>Group 1</v>
      </c>
      <c r="AD23" s="731" t="str">
        <f>D19</f>
        <v>Jensen</v>
      </c>
      <c r="AE23" s="731" t="str">
        <f>D20</f>
        <v>Joe O</v>
      </c>
      <c r="AF23" s="731" t="str">
        <f>G19</f>
        <v>Elger</v>
      </c>
      <c r="AG23" s="731" t="str">
        <f>G20</f>
        <v>Weezy</v>
      </c>
      <c r="AH23" s="732" t="str">
        <f>J17</f>
        <v>Group 2</v>
      </c>
      <c r="AI23" s="732" t="str">
        <f>J19</f>
        <v>TJSC</v>
      </c>
      <c r="AJ23" s="732" t="str">
        <f>J20</f>
        <v>CuzNick</v>
      </c>
      <c r="AK23" s="732" t="str">
        <f>M19</f>
        <v>DK</v>
      </c>
      <c r="AL23" s="732" t="str">
        <f>M20</f>
        <v>R-Mac</v>
      </c>
      <c r="AM23" s="733" t="str">
        <f>P17</f>
        <v>Group 3</v>
      </c>
      <c r="AN23" s="733" t="str">
        <f>P19</f>
        <v>Andy</v>
      </c>
      <c r="AO23" s="733" t="str">
        <f>P20</f>
        <v>Hile</v>
      </c>
      <c r="AP23" s="733" t="str">
        <f>S19</f>
        <v>Pace</v>
      </c>
      <c r="AQ23" s="733" t="str">
        <f>S20</f>
        <v>T-Mo</v>
      </c>
      <c r="AR23" s="770" t="str">
        <f>V17</f>
        <v>Group 4</v>
      </c>
      <c r="AS23" s="770" t="str">
        <f>V19</f>
        <v>Telly</v>
      </c>
      <c r="AT23" s="770" t="str">
        <f>V20</f>
        <v>Saugy</v>
      </c>
      <c r="AU23" s="770" t="str">
        <f>Y19</f>
        <v>KJ</v>
      </c>
      <c r="AV23" s="770" t="str">
        <f>Y20</f>
        <v>House</v>
      </c>
      <c r="AX23" s="667"/>
      <c r="AY23" s="667"/>
    </row>
    <row r="24" spans="1:51">
      <c r="A24" s="723"/>
      <c r="B24" s="723"/>
      <c r="C24" s="723"/>
      <c r="D24" s="723"/>
      <c r="E24" s="723"/>
      <c r="F24" s="723"/>
      <c r="G24" s="723"/>
      <c r="H24" s="723"/>
      <c r="I24" s="723"/>
      <c r="J24" s="723"/>
      <c r="K24" s="723"/>
      <c r="L24" s="723"/>
      <c r="M24" s="723"/>
      <c r="N24" s="723"/>
      <c r="O24" s="723"/>
      <c r="P24" s="723"/>
      <c r="Q24" s="723"/>
      <c r="R24" s="723"/>
      <c r="S24" s="723"/>
      <c r="T24" s="723"/>
      <c r="U24" s="723"/>
      <c r="V24" s="723"/>
      <c r="W24" s="723"/>
      <c r="X24" s="723"/>
      <c r="Y24" s="723"/>
      <c r="Z24" s="723"/>
      <c r="AA24" s="723"/>
      <c r="AB24" s="730"/>
      <c r="AC24" s="667"/>
      <c r="AD24" s="667"/>
      <c r="AE24" s="667"/>
      <c r="AF24" s="667"/>
      <c r="AG24" s="667"/>
      <c r="AH24" s="667"/>
      <c r="AI24" s="667"/>
      <c r="AJ24" s="667"/>
      <c r="AK24" s="667"/>
      <c r="AL24" s="667"/>
      <c r="AM24" s="667"/>
      <c r="AN24" s="667"/>
      <c r="AO24" s="667"/>
      <c r="AP24" s="667"/>
      <c r="AQ24" s="667"/>
      <c r="AR24" s="667"/>
      <c r="AS24" s="667"/>
      <c r="AT24" s="667"/>
      <c r="AU24" s="667"/>
      <c r="AV24" s="667"/>
      <c r="AW24" s="667"/>
      <c r="AX24" s="667"/>
      <c r="AY24" s="667"/>
    </row>
    <row r="25" spans="1:51">
      <c r="A25" s="723"/>
      <c r="B25" s="723"/>
      <c r="C25" s="723"/>
      <c r="D25" s="723"/>
      <c r="E25" s="723"/>
      <c r="F25" s="723"/>
      <c r="G25" s="723"/>
      <c r="H25" s="723"/>
      <c r="I25" s="723"/>
      <c r="J25" s="723"/>
      <c r="K25" s="723"/>
      <c r="L25" s="723"/>
      <c r="M25" s="723"/>
      <c r="N25" s="723"/>
      <c r="O25" s="723"/>
      <c r="P25" s="723"/>
      <c r="Q25" s="723"/>
      <c r="R25" s="723"/>
      <c r="S25" s="723"/>
      <c r="T25" s="723"/>
      <c r="U25" s="723"/>
      <c r="V25" s="723"/>
      <c r="W25" s="723"/>
      <c r="X25" s="723"/>
      <c r="Y25" s="723"/>
      <c r="Z25" s="723"/>
      <c r="AA25" s="723"/>
      <c r="AB25" s="730"/>
      <c r="AC25" s="667"/>
      <c r="AD25" s="667"/>
      <c r="AE25" s="667"/>
      <c r="AF25" s="667"/>
      <c r="AG25" s="667"/>
      <c r="AH25" s="667"/>
      <c r="AI25" s="667"/>
      <c r="AJ25" s="667"/>
      <c r="AK25" s="667"/>
      <c r="AL25" s="667"/>
      <c r="AM25" s="667"/>
      <c r="AN25" s="667"/>
      <c r="AO25" s="667"/>
      <c r="AP25" s="667"/>
      <c r="AQ25" s="667"/>
      <c r="AR25" s="667"/>
      <c r="AS25" s="667"/>
      <c r="AT25" s="667"/>
      <c r="AU25" s="667"/>
      <c r="AV25" s="667"/>
      <c r="AW25" s="667"/>
      <c r="AX25" s="667"/>
      <c r="AY25" s="667"/>
    </row>
    <row r="26" spans="1:51">
      <c r="A26" s="723"/>
      <c r="B26" s="723"/>
      <c r="C26" s="723"/>
      <c r="D26" s="723"/>
      <c r="E26" s="723"/>
      <c r="F26" s="723"/>
      <c r="G26" s="723"/>
      <c r="H26" s="723"/>
      <c r="I26" s="723"/>
      <c r="J26" s="723"/>
      <c r="K26" s="723"/>
      <c r="L26" s="723"/>
      <c r="M26" s="723"/>
      <c r="N26" s="723"/>
      <c r="O26" s="723"/>
      <c r="P26" s="723"/>
      <c r="Q26" s="723"/>
      <c r="R26" s="723"/>
      <c r="S26" s="723"/>
      <c r="T26" s="723"/>
      <c r="U26" s="723"/>
      <c r="V26" s="723"/>
      <c r="W26" s="723"/>
      <c r="X26" s="723"/>
      <c r="Y26" s="723"/>
      <c r="Z26" s="723"/>
      <c r="AA26" s="723"/>
      <c r="AB26" s="730"/>
      <c r="AC26" s="667"/>
      <c r="AD26" s="667"/>
      <c r="AE26" s="667"/>
      <c r="AF26" s="667"/>
      <c r="AG26" s="667"/>
      <c r="AH26" s="667"/>
      <c r="AI26" s="667"/>
      <c r="AJ26" s="667"/>
      <c r="AK26" s="667"/>
      <c r="AL26" s="667"/>
      <c r="AM26" s="667"/>
      <c r="AN26" s="667"/>
      <c r="AO26" s="667"/>
      <c r="AP26" s="667"/>
      <c r="AQ26" s="667"/>
      <c r="AR26" s="667"/>
      <c r="AS26" s="667"/>
      <c r="AT26" s="667"/>
      <c r="AU26" s="667"/>
      <c r="AV26" s="667"/>
      <c r="AW26" s="667"/>
      <c r="AX26" s="667"/>
      <c r="AY26" s="667"/>
    </row>
    <row r="27" spans="1:51">
      <c r="AB27" s="730"/>
      <c r="AC27" s="667"/>
      <c r="AD27" s="667"/>
      <c r="AE27" s="667"/>
      <c r="AF27" s="667"/>
      <c r="AG27" s="667"/>
      <c r="AH27" s="667"/>
      <c r="AI27" s="667"/>
      <c r="AJ27" s="667"/>
      <c r="AK27" s="667"/>
      <c r="AL27" s="667"/>
      <c r="AM27" s="667"/>
      <c r="AN27" s="667"/>
      <c r="AO27" s="667"/>
      <c r="AP27" s="667"/>
      <c r="AQ27" s="667"/>
      <c r="AR27" s="667"/>
      <c r="AS27" s="667"/>
      <c r="AT27" s="667"/>
      <c r="AU27" s="667"/>
      <c r="AV27" s="667"/>
      <c r="AW27" s="667"/>
      <c r="AX27" s="667"/>
      <c r="AY27" s="667"/>
    </row>
  </sheetData>
  <mergeCells count="8">
    <mergeCell ref="AC1:AG1"/>
    <mergeCell ref="AH1:AL1"/>
    <mergeCell ref="AM1:AQ1"/>
    <mergeCell ref="AR1:AV1"/>
    <mergeCell ref="AC17:AG17"/>
    <mergeCell ref="AH17:AL17"/>
    <mergeCell ref="AM17:AQ17"/>
    <mergeCell ref="AR17:AV17"/>
  </mergeCells>
  <conditionalFormatting sqref="D3 G3:H3 J3 M3 P3 S3 V3 Y3 D8 G8:H8 J8 M8 P8 S8 V8 Y8 D13 G13:H13 J13 M13 P13 S13 V13 Y13 D18 G18:H18 J18 M18 P18 S18 V18 Y18">
    <cfRule type="cellIs" dxfId="10" priority="1" operator="equal">
      <formula>INDIRECT("'Master Input'!A10")</formula>
    </cfRule>
  </conditionalFormatting>
  <conditionalFormatting sqref="D4 G4:H4 J4 M4:N4 P4 S4:T4 V4 Y4:Z4 D9 G9:H9 J9 M9:N9 P9 S9:T9 V9 Y9:Z9 D14 G14:H14 J14 M14:N14 P14 S14:T14 V14 Y14:Z14 D19 G19:H19 J19 M19 P19:Q19 S19:T19 V19:W19 Y19:Z19">
    <cfRule type="expression" dxfId="9" priority="2">
      <formula>D3=INDIRECT("'Master Input'!A10")</formula>
    </cfRule>
  </conditionalFormatting>
  <conditionalFormatting sqref="D5 G5:H5 J5 M5:N5 P5 S5:T5 V5 Y5:Z5 D10 G10:H10 J10 M10:N10 P10 S10:T10 V10 Y10:Z10 D15 G15:H15 J15 M15:N15 P15 S15:T15 V15 Y15:Z15 D20 G20:H20 J20 M20 P20:Q20 S20:T20 V20:W20 Y20:Z20">
    <cfRule type="expression" dxfId="8" priority="3">
      <formula>D3=INDIRECT("'Master Input'!A10")</formula>
    </cfRule>
  </conditionalFormatting>
  <conditionalFormatting sqref="E3 H3 K3 N3 Q3 T3 W3 Z3 E8 H8 K8 N8 Q8 T8 W8 Z8 E13 H13 K13 N13 Q13 T13 W13 Z13 E18 H18 K18 N18 Q18 T18 W18 Z18">
    <cfRule type="expression" dxfId="7" priority="4">
      <formula>D3=INDIRECT("'Master Input'!A10")</formula>
    </cfRule>
  </conditionalFormatting>
  <conditionalFormatting sqref="E4:E5 H4:H5 K4:K5 N4:N5 Q4:Q5 T4:T5 W4:W5 Z4:Z5 E9:E10 H9:H10 K9:K10 N9:N10 Q9:Q10 T9:T10 W9:W10 Z9:Z10 E14:E15 H14:H15 K14:K15 N14:N15 Q14:Q15 T14:T15 W14:W15 Y14:Z15 E19:E20 H19:H20 K19:K20 N19:N20 Q19:Q20 T19:T20 W19:W20 Z19:Z20">
    <cfRule type="expression" dxfId="6" priority="5">
      <formula>D3=INDIRECT("'Master Input'!A10")</formula>
    </cfRule>
  </conditionalFormatting>
  <conditionalFormatting sqref="E5 H5 K5 N5 Q5 T5 W5 Z5 E10 H10 K10 N10 Q10 T10 W10 Z10 E15 H15 K15 N15 Q15 T15 W15 Y15:Z15 E20 H20 K20 N20 Q20 T20 W20 Z20">
    <cfRule type="expression" dxfId="5" priority="6">
      <formula>D3=INDIRECT("'Master Input'!A10")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1400-000000000000}">
          <x14:formula1>
            <xm:f>'Master Input'!$A$10:$A$27</xm:f>
          </x14:formula1>
          <xm:sqref>D4:D5 G4:G5 J4:J5 M4:M5 P4:P5 S4:S5 V4:V5 Y4:Y5 D9:D10 G9:G10 J9:J10 M9:M10 P9:P10 S9:S10 V9:V10 Y9:Y10 D14:D15 G14:G15 J14:J15 M14:M15 P14:P15 S14:S15 V14:V15 Y14:Y15 D19:D20 G19:G20 J19:J20 M19:M20 P19:P20 S19:S20 V19:V20 Y19:Y20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0000"/>
    <outlinePr summaryBelow="0" summaryRight="0"/>
  </sheetPr>
  <dimension ref="A1:W45"/>
  <sheetViews>
    <sheetView showGridLines="0" workbookViewId="0"/>
  </sheetViews>
  <sheetFormatPr defaultColWidth="17.26953125" defaultRowHeight="15" customHeight="1"/>
  <cols>
    <col min="1" max="1" width="0.81640625" customWidth="1"/>
    <col min="2" max="2" width="5.08984375" customWidth="1"/>
    <col min="3" max="9" width="3.7265625" customWidth="1"/>
    <col min="10" max="10" width="5.08984375" customWidth="1"/>
    <col min="11" max="11" width="0.81640625" customWidth="1"/>
    <col min="12" max="23" width="14.453125" customWidth="1"/>
  </cols>
  <sheetData>
    <row r="1" spans="1:23" ht="70">
      <c r="A1" s="773"/>
      <c r="B1" s="1206" t="str">
        <f>'Master Input'!K6</f>
        <v>The Bear - White</v>
      </c>
      <c r="C1" s="1139"/>
      <c r="D1" s="1139"/>
      <c r="E1" s="1139"/>
      <c r="F1" s="774"/>
      <c r="G1" s="1206" t="str">
        <f>'Master Input'!L6</f>
        <v>Team Best Ball</v>
      </c>
      <c r="H1" s="1139"/>
      <c r="I1" s="1139"/>
      <c r="J1" s="1139"/>
      <c r="K1" s="773"/>
      <c r="L1" s="775"/>
      <c r="M1" s="1207" t="s">
        <v>159</v>
      </c>
      <c r="N1" s="1129"/>
      <c r="O1" s="1129"/>
      <c r="P1" s="1129"/>
      <c r="Q1" s="1129"/>
      <c r="R1" s="1129"/>
      <c r="S1" s="1129"/>
      <c r="T1" s="1129"/>
      <c r="U1" s="1129"/>
      <c r="V1" s="1129"/>
      <c r="W1" s="775"/>
    </row>
    <row r="2" spans="1:23" ht="14.5">
      <c r="A2" s="193"/>
      <c r="B2" s="2" t="s">
        <v>12</v>
      </c>
      <c r="C2" s="1136" t="s">
        <v>13</v>
      </c>
      <c r="D2" s="1129"/>
      <c r="E2" s="776"/>
      <c r="F2" s="8" t="s">
        <v>32</v>
      </c>
      <c r="G2" s="776"/>
      <c r="H2" s="1136" t="s">
        <v>13</v>
      </c>
      <c r="I2" s="1129"/>
      <c r="J2" s="2" t="s">
        <v>12</v>
      </c>
      <c r="K2" s="193"/>
      <c r="L2" s="193"/>
      <c r="M2" s="193"/>
      <c r="N2" s="193"/>
      <c r="O2" s="193"/>
      <c r="P2" s="193"/>
      <c r="Q2" s="193"/>
      <c r="R2" s="193"/>
      <c r="S2" s="193"/>
      <c r="T2" s="193"/>
      <c r="U2" s="193"/>
      <c r="V2" s="193"/>
      <c r="W2" s="193"/>
    </row>
    <row r="3" spans="1:23" ht="18" customHeight="1">
      <c r="A3" s="193"/>
      <c r="B3" s="57">
        <f t="shared" ref="B3:B11" si="0">IF(OR(C3="", H3=""),"-",IF(C3&lt;H3,1, IF(C3=H3, 0.5,0)))</f>
        <v>1</v>
      </c>
      <c r="C3" s="1195">
        <v>-2</v>
      </c>
      <c r="D3" s="1141"/>
      <c r="E3" s="777" t="str">
        <f ca="1">IF(OR(C3="",C3='Captains Card 2'!E37),"","X")</f>
        <v/>
      </c>
      <c r="F3" s="778">
        <v>1</v>
      </c>
      <c r="G3" s="777" t="str">
        <f ca="1">IF(OR(H3="",H3='Captains Card 1'!E37),"","X")</f>
        <v/>
      </c>
      <c r="H3" s="1178">
        <v>0</v>
      </c>
      <c r="I3" s="1141"/>
      <c r="J3" s="57">
        <f t="shared" ref="J3:J11" si="1">IF(OR(C3="", H3=""),"-",IF(C3&gt;H3,1, IF(C3=H3, 0.5,0)))</f>
        <v>0</v>
      </c>
      <c r="K3" s="193"/>
      <c r="L3" s="193"/>
      <c r="M3" s="775"/>
      <c r="N3" s="775"/>
      <c r="O3" s="775"/>
      <c r="P3" s="193"/>
      <c r="Q3" s="193"/>
      <c r="R3" s="193"/>
      <c r="S3" s="193"/>
      <c r="T3" s="193"/>
      <c r="U3" s="193"/>
      <c r="V3" s="193"/>
      <c r="W3" s="193"/>
    </row>
    <row r="4" spans="1:23" ht="18" customHeight="1">
      <c r="A4" s="193"/>
      <c r="B4" s="57">
        <f t="shared" si="0"/>
        <v>0.5</v>
      </c>
      <c r="C4" s="1195">
        <v>-2</v>
      </c>
      <c r="D4" s="1141"/>
      <c r="E4" s="777" t="str">
        <f ca="1">IF(OR(C4="",C4='Captains Card 2'!F37),"","X")</f>
        <v/>
      </c>
      <c r="F4" s="778">
        <v>2</v>
      </c>
      <c r="G4" s="777" t="str">
        <f ca="1">IF(OR(H4="",H4='Captains Card 1'!F37),"","X")</f>
        <v/>
      </c>
      <c r="H4" s="1178">
        <v>-2</v>
      </c>
      <c r="I4" s="1141"/>
      <c r="J4" s="57">
        <f t="shared" si="1"/>
        <v>0.5</v>
      </c>
      <c r="K4" s="193"/>
      <c r="L4" s="779"/>
      <c r="M4" s="1179" t="s">
        <v>1</v>
      </c>
      <c r="N4" s="1180"/>
      <c r="O4" s="1181"/>
      <c r="P4" s="193"/>
      <c r="Q4" s="193"/>
      <c r="T4" s="1187" t="s">
        <v>160</v>
      </c>
      <c r="U4" s="1188"/>
      <c r="V4" s="1189"/>
      <c r="W4" s="193"/>
    </row>
    <row r="5" spans="1:23" ht="18" customHeight="1">
      <c r="A5" s="193"/>
      <c r="B5" s="57">
        <f t="shared" si="0"/>
        <v>1</v>
      </c>
      <c r="C5" s="1195">
        <v>-2</v>
      </c>
      <c r="D5" s="1141"/>
      <c r="E5" s="777" t="str">
        <f ca="1">IF(OR(C5="",C5='Captains Card 2'!G37),"","X")</f>
        <v/>
      </c>
      <c r="F5" s="778">
        <v>3</v>
      </c>
      <c r="G5" s="777" t="str">
        <f ca="1">IF(OR(H5="",H5='Captains Card 1'!G37),"","X")</f>
        <v/>
      </c>
      <c r="H5" s="1178">
        <v>2</v>
      </c>
      <c r="I5" s="1141"/>
      <c r="J5" s="57">
        <f t="shared" si="1"/>
        <v>0</v>
      </c>
      <c r="K5" s="193"/>
      <c r="L5" s="779"/>
      <c r="M5" s="1182"/>
      <c r="N5" s="1129"/>
      <c r="O5" s="1183"/>
      <c r="P5" s="193"/>
      <c r="Q5" s="193"/>
      <c r="T5" s="1190"/>
      <c r="U5" s="1129"/>
      <c r="V5" s="1191"/>
      <c r="W5" s="193"/>
    </row>
    <row r="6" spans="1:23" ht="18" customHeight="1">
      <c r="A6" s="193"/>
      <c r="B6" s="57">
        <f t="shared" si="0"/>
        <v>0.5</v>
      </c>
      <c r="C6" s="1195">
        <v>0</v>
      </c>
      <c r="D6" s="1141"/>
      <c r="E6" s="777" t="str">
        <f ca="1">IF(OR(C6="",C6='Captains Card 2'!H37),"","X")</f>
        <v/>
      </c>
      <c r="F6" s="778">
        <v>4</v>
      </c>
      <c r="G6" s="777" t="str">
        <f ca="1">IF(OR(H6="",H6='Captains Card 1'!H37),"","X")</f>
        <v/>
      </c>
      <c r="H6" s="1178">
        <v>0</v>
      </c>
      <c r="I6" s="1141"/>
      <c r="J6" s="57">
        <f t="shared" si="1"/>
        <v>0.5</v>
      </c>
      <c r="K6" s="193"/>
      <c r="L6" s="779"/>
      <c r="M6" s="1184"/>
      <c r="N6" s="1185"/>
      <c r="O6" s="1186"/>
      <c r="P6" s="193"/>
      <c r="Q6" s="193"/>
      <c r="T6" s="1192"/>
      <c r="U6" s="1193"/>
      <c r="V6" s="1194"/>
      <c r="W6" s="193"/>
    </row>
    <row r="7" spans="1:23" ht="18" customHeight="1">
      <c r="A7" s="193"/>
      <c r="B7" s="57">
        <f t="shared" si="0"/>
        <v>0</v>
      </c>
      <c r="C7" s="1195">
        <v>-2</v>
      </c>
      <c r="D7" s="1141"/>
      <c r="E7" s="777" t="str">
        <f ca="1">IF(OR(C7="",C7='Captains Card 2'!I37),"","X")</f>
        <v/>
      </c>
      <c r="F7" s="778">
        <v>5</v>
      </c>
      <c r="G7" s="777" t="str">
        <f ca="1">IF(OR(H7="",H7='Captains Card 1'!I37),"","X")</f>
        <v/>
      </c>
      <c r="H7" s="1178">
        <v>-4</v>
      </c>
      <c r="I7" s="1141"/>
      <c r="J7" s="57">
        <f t="shared" si="1"/>
        <v>1</v>
      </c>
      <c r="K7" s="193"/>
      <c r="L7" s="779"/>
      <c r="M7" s="1196">
        <f ca="1">SCOREBOARD!C3</f>
        <v>45.5</v>
      </c>
      <c r="N7" s="1180"/>
      <c r="O7" s="1181"/>
      <c r="P7" s="193"/>
      <c r="Q7" s="193"/>
      <c r="T7" s="1197">
        <f ca="1">SCOREBOARD!H3</f>
        <v>37.5</v>
      </c>
      <c r="U7" s="1188"/>
      <c r="V7" s="1189"/>
      <c r="W7" s="193"/>
    </row>
    <row r="8" spans="1:23" ht="18" customHeight="1">
      <c r="A8" s="193"/>
      <c r="B8" s="57">
        <f t="shared" si="0"/>
        <v>0.5</v>
      </c>
      <c r="C8" s="1195">
        <v>-1</v>
      </c>
      <c r="D8" s="1141"/>
      <c r="E8" s="777" t="str">
        <f ca="1">IF(OR(C8="",C8='Captains Card 2'!J37),"","X")</f>
        <v/>
      </c>
      <c r="F8" s="778">
        <v>6</v>
      </c>
      <c r="G8" s="777" t="str">
        <f ca="1">IF(OR(H8="",H8='Captains Card 1'!J37),"","X")</f>
        <v/>
      </c>
      <c r="H8" s="1178">
        <v>-1</v>
      </c>
      <c r="I8" s="1141"/>
      <c r="J8" s="57">
        <f t="shared" si="1"/>
        <v>0.5</v>
      </c>
      <c r="K8" s="193"/>
      <c r="L8" s="779"/>
      <c r="M8" s="1182"/>
      <c r="N8" s="1129"/>
      <c r="O8" s="1183"/>
      <c r="P8" s="193"/>
      <c r="Q8" s="193"/>
      <c r="T8" s="1190"/>
      <c r="U8" s="1129"/>
      <c r="V8" s="1191"/>
      <c r="W8" s="193"/>
    </row>
    <row r="9" spans="1:23" ht="18" customHeight="1">
      <c r="A9" s="193"/>
      <c r="B9" s="57">
        <f t="shared" si="0"/>
        <v>0</v>
      </c>
      <c r="C9" s="1195">
        <v>1</v>
      </c>
      <c r="D9" s="1141"/>
      <c r="E9" s="777" t="str">
        <f ca="1">IF(OR(C9="",C9='Captains Card 2'!K37),"","X")</f>
        <v/>
      </c>
      <c r="F9" s="778">
        <v>7</v>
      </c>
      <c r="G9" s="777" t="str">
        <f ca="1">IF(OR(H9="",H9='Captains Card 1'!K37),"","X")</f>
        <v/>
      </c>
      <c r="H9" s="1178">
        <v>-1</v>
      </c>
      <c r="I9" s="1141"/>
      <c r="J9" s="57">
        <f t="shared" si="1"/>
        <v>1</v>
      </c>
      <c r="K9" s="193"/>
      <c r="L9" s="779"/>
      <c r="M9" s="1182"/>
      <c r="N9" s="1129"/>
      <c r="O9" s="1183"/>
      <c r="P9" s="193"/>
      <c r="Q9" s="193"/>
      <c r="T9" s="1190"/>
      <c r="U9" s="1129"/>
      <c r="V9" s="1191"/>
      <c r="W9" s="193"/>
    </row>
    <row r="10" spans="1:23" ht="18" customHeight="1">
      <c r="A10" s="193"/>
      <c r="B10" s="57">
        <f t="shared" si="0"/>
        <v>1</v>
      </c>
      <c r="C10" s="1195">
        <v>-3</v>
      </c>
      <c r="D10" s="1141"/>
      <c r="E10" s="777" t="str">
        <f ca="1">IF(OR(C10="",C10='Captains Card 2'!L37),"","X")</f>
        <v/>
      </c>
      <c r="F10" s="778">
        <v>8</v>
      </c>
      <c r="G10" s="777" t="str">
        <f ca="1">IF(OR(H10="",H10='Captains Card 1'!L37),"","X")</f>
        <v/>
      </c>
      <c r="H10" s="1178">
        <v>-1</v>
      </c>
      <c r="I10" s="1141"/>
      <c r="J10" s="57">
        <f t="shared" si="1"/>
        <v>0</v>
      </c>
      <c r="K10" s="193"/>
      <c r="L10" s="779"/>
      <c r="M10" s="1182"/>
      <c r="N10" s="1129"/>
      <c r="O10" s="1183"/>
      <c r="P10" s="193"/>
      <c r="Q10" s="193"/>
      <c r="T10" s="1190"/>
      <c r="U10" s="1129"/>
      <c r="V10" s="1191"/>
      <c r="W10" s="193"/>
    </row>
    <row r="11" spans="1:23" ht="18" customHeight="1">
      <c r="A11" s="193"/>
      <c r="B11" s="780">
        <f t="shared" si="0"/>
        <v>0</v>
      </c>
      <c r="C11" s="1208">
        <v>-2</v>
      </c>
      <c r="D11" s="1209"/>
      <c r="E11" s="781" t="str">
        <f ca="1">IF(OR(C11="",C11='Captains Card 2'!M37),"","X")</f>
        <v/>
      </c>
      <c r="F11" s="782">
        <v>9</v>
      </c>
      <c r="G11" s="781" t="str">
        <f ca="1">IF(OR(H11="",H11='Captains Card 1'!M37),"","X")</f>
        <v/>
      </c>
      <c r="H11" s="1210">
        <v>-3</v>
      </c>
      <c r="I11" s="1209"/>
      <c r="J11" s="780">
        <f t="shared" si="1"/>
        <v>1</v>
      </c>
      <c r="K11" s="193"/>
      <c r="L11" s="779"/>
      <c r="M11" s="1182"/>
      <c r="N11" s="1129"/>
      <c r="O11" s="1183"/>
      <c r="P11" s="193"/>
      <c r="Q11" s="193"/>
      <c r="T11" s="1190"/>
      <c r="U11" s="1129"/>
      <c r="V11" s="1191"/>
      <c r="W11" s="193"/>
    </row>
    <row r="12" spans="1:23" ht="18" customHeight="1">
      <c r="A12" s="193"/>
      <c r="B12" s="783">
        <f t="shared" ref="B12:B20" si="2">IF(OR(C12="", H12=""),"-",IF(C12&lt;H12,2, IF(C12=H12, 1,0)))</f>
        <v>0</v>
      </c>
      <c r="C12" s="1211">
        <v>-1</v>
      </c>
      <c r="D12" s="1212"/>
      <c r="E12" s="777" t="str">
        <f ca="1">IF(OR(C12="",C12='Captains Card 2'!Q37),"","X")</f>
        <v/>
      </c>
      <c r="F12" s="784">
        <v>10</v>
      </c>
      <c r="G12" s="777" t="str">
        <f ca="1">IF(OR(H12="",H12='Captains Card 1'!Q37),"","X")</f>
        <v/>
      </c>
      <c r="H12" s="1213">
        <v>-2</v>
      </c>
      <c r="I12" s="1212"/>
      <c r="J12" s="783">
        <f t="shared" ref="J12:J20" si="3">IF(OR(C12="", H12=""),"-",IF(C12&gt;H12,2, IF(C12=H12, 1,0)))</f>
        <v>2</v>
      </c>
      <c r="K12" s="193"/>
      <c r="L12" s="779"/>
      <c r="M12" s="1182"/>
      <c r="N12" s="1129"/>
      <c r="O12" s="1183"/>
      <c r="P12" s="193"/>
      <c r="Q12" s="193"/>
      <c r="T12" s="1190"/>
      <c r="U12" s="1129"/>
      <c r="V12" s="1191"/>
      <c r="W12" s="193"/>
    </row>
    <row r="13" spans="1:23" ht="18" customHeight="1">
      <c r="A13" s="193"/>
      <c r="B13" s="57">
        <f t="shared" si="2"/>
        <v>2</v>
      </c>
      <c r="C13" s="1195">
        <v>-3</v>
      </c>
      <c r="D13" s="1141"/>
      <c r="E13" s="777" t="str">
        <f ca="1">IF(OR(C13="",C13='Captains Card 2'!R37),"","X")</f>
        <v/>
      </c>
      <c r="F13" s="778">
        <v>11</v>
      </c>
      <c r="G13" s="777" t="str">
        <f ca="1">IF(OR(H13="",H13='Captains Card 1'!R37),"","X")</f>
        <v/>
      </c>
      <c r="H13" s="1178">
        <v>-1</v>
      </c>
      <c r="I13" s="1141"/>
      <c r="J13" s="57">
        <f t="shared" si="3"/>
        <v>0</v>
      </c>
      <c r="K13" s="193"/>
      <c r="L13" s="779"/>
      <c r="M13" s="1182"/>
      <c r="N13" s="1129"/>
      <c r="O13" s="1183"/>
      <c r="P13" s="193"/>
      <c r="Q13" s="193"/>
      <c r="T13" s="1190"/>
      <c r="U13" s="1129"/>
      <c r="V13" s="1191"/>
      <c r="W13" s="193"/>
    </row>
    <row r="14" spans="1:23" ht="18" customHeight="1">
      <c r="A14" s="193"/>
      <c r="B14" s="57">
        <f t="shared" si="2"/>
        <v>0</v>
      </c>
      <c r="C14" s="1195">
        <v>-2</v>
      </c>
      <c r="D14" s="1141"/>
      <c r="E14" s="777" t="str">
        <f ca="1">IF(OR(C14="",C14='Captains Card 2'!S37),"","X")</f>
        <v/>
      </c>
      <c r="F14" s="778">
        <v>12</v>
      </c>
      <c r="G14" s="777" t="str">
        <f ca="1">IF(OR(H14="",H14='Captains Card 1'!S37),"","X")</f>
        <v/>
      </c>
      <c r="H14" s="1178">
        <v>-3</v>
      </c>
      <c r="I14" s="1141"/>
      <c r="J14" s="57">
        <f t="shared" si="3"/>
        <v>2</v>
      </c>
      <c r="K14" s="193"/>
      <c r="L14" s="779"/>
      <c r="M14" s="1182"/>
      <c r="N14" s="1129"/>
      <c r="O14" s="1183"/>
      <c r="P14" s="193"/>
      <c r="Q14" s="193"/>
      <c r="T14" s="1190"/>
      <c r="U14" s="1129"/>
      <c r="V14" s="1191"/>
      <c r="W14" s="193"/>
    </row>
    <row r="15" spans="1:23" ht="18" customHeight="1">
      <c r="A15" s="193"/>
      <c r="B15" s="57">
        <f t="shared" si="2"/>
        <v>0</v>
      </c>
      <c r="C15" s="1195">
        <v>-1</v>
      </c>
      <c r="D15" s="1141"/>
      <c r="E15" s="777" t="str">
        <f ca="1">IF(OR(C15="",C15='Captains Card 2'!T37),"","X")</f>
        <v/>
      </c>
      <c r="F15" s="778">
        <v>13</v>
      </c>
      <c r="G15" s="777" t="str">
        <f ca="1">IF(OR(H15="",H15='Captains Card 1'!T37),"","X")</f>
        <v/>
      </c>
      <c r="H15" s="1178">
        <v>-2</v>
      </c>
      <c r="I15" s="1141"/>
      <c r="J15" s="57">
        <f t="shared" si="3"/>
        <v>2</v>
      </c>
      <c r="K15" s="193"/>
      <c r="L15" s="779"/>
      <c r="M15" s="1184"/>
      <c r="N15" s="1185"/>
      <c r="O15" s="1186"/>
      <c r="P15" s="193"/>
      <c r="Q15" s="193"/>
      <c r="T15" s="1192"/>
      <c r="U15" s="1193"/>
      <c r="V15" s="1194"/>
      <c r="W15" s="193"/>
    </row>
    <row r="16" spans="1:23" ht="18" customHeight="1">
      <c r="A16" s="193"/>
      <c r="B16" s="57">
        <f t="shared" si="2"/>
        <v>0</v>
      </c>
      <c r="C16" s="1195">
        <v>5</v>
      </c>
      <c r="D16" s="1141"/>
      <c r="E16" s="777" t="str">
        <f ca="1">IF(OR(C16="",C16='Captains Card 2'!U37),"","X")</f>
        <v/>
      </c>
      <c r="F16" s="778">
        <v>14</v>
      </c>
      <c r="G16" s="777" t="str">
        <f ca="1">IF(OR(H16="",H16='Captains Card 1'!U37),"","X")</f>
        <v/>
      </c>
      <c r="H16" s="1178">
        <v>-2</v>
      </c>
      <c r="I16" s="1141"/>
      <c r="J16" s="57">
        <f t="shared" si="3"/>
        <v>2</v>
      </c>
      <c r="K16" s="193"/>
      <c r="L16" s="779"/>
      <c r="M16" s="1179" t="s">
        <v>3</v>
      </c>
      <c r="N16" s="1180"/>
      <c r="O16" s="1181"/>
      <c r="P16" s="193"/>
      <c r="Q16" s="193"/>
      <c r="T16" s="1187" t="s">
        <v>4</v>
      </c>
      <c r="U16" s="1188"/>
      <c r="V16" s="1189"/>
      <c r="W16" s="193"/>
    </row>
    <row r="17" spans="1:23" ht="18" customHeight="1">
      <c r="A17" s="193"/>
      <c r="B17" s="57">
        <f t="shared" si="2"/>
        <v>2</v>
      </c>
      <c r="C17" s="1195">
        <v>-1</v>
      </c>
      <c r="D17" s="1141"/>
      <c r="E17" s="777" t="str">
        <f ca="1">IF(OR(C17="",C17='Captains Card 2'!V37),"","X")</f>
        <v/>
      </c>
      <c r="F17" s="778">
        <v>15</v>
      </c>
      <c r="G17" s="777" t="str">
        <f ca="1">IF(OR(H17="",H17='Captains Card 1'!V37),"","X")</f>
        <v/>
      </c>
      <c r="H17" s="1178">
        <v>2</v>
      </c>
      <c r="I17" s="1141"/>
      <c r="J17" s="57">
        <f t="shared" si="3"/>
        <v>0</v>
      </c>
      <c r="K17" s="193"/>
      <c r="L17" s="779"/>
      <c r="M17" s="1182"/>
      <c r="N17" s="1129"/>
      <c r="O17" s="1183"/>
      <c r="P17" s="193"/>
      <c r="Q17" s="193"/>
      <c r="T17" s="1190"/>
      <c r="U17" s="1129"/>
      <c r="V17" s="1191"/>
      <c r="W17" s="193"/>
    </row>
    <row r="18" spans="1:23" ht="18" customHeight="1">
      <c r="A18" s="193"/>
      <c r="B18" s="57">
        <f t="shared" si="2"/>
        <v>0</v>
      </c>
      <c r="C18" s="1195">
        <v>-2</v>
      </c>
      <c r="D18" s="1141"/>
      <c r="E18" s="777" t="str">
        <f ca="1">IF(OR(C18="",C18='Captains Card 2'!W37),"","X")</f>
        <v/>
      </c>
      <c r="F18" s="778">
        <v>16</v>
      </c>
      <c r="G18" s="777" t="str">
        <f ca="1">IF(OR(H18="",H18='Captains Card 1'!W37),"","X")</f>
        <v/>
      </c>
      <c r="H18" s="1178">
        <v>-4</v>
      </c>
      <c r="I18" s="1141"/>
      <c r="J18" s="57">
        <f t="shared" si="3"/>
        <v>2</v>
      </c>
      <c r="K18" s="193"/>
      <c r="L18" s="779"/>
      <c r="M18" s="1184"/>
      <c r="N18" s="1185"/>
      <c r="O18" s="1186"/>
      <c r="P18" s="193"/>
      <c r="Q18" s="193"/>
      <c r="T18" s="1192"/>
      <c r="U18" s="1193"/>
      <c r="V18" s="1194"/>
      <c r="W18" s="193"/>
    </row>
    <row r="19" spans="1:23" ht="18" customHeight="1">
      <c r="A19" s="193"/>
      <c r="B19" s="785">
        <f t="shared" si="2"/>
        <v>0</v>
      </c>
      <c r="C19" s="1195">
        <v>3</v>
      </c>
      <c r="D19" s="1141"/>
      <c r="E19" s="777" t="str">
        <f ca="1">IF(OR(C19="",C19='Captains Card 2'!X37),"","X")</f>
        <v/>
      </c>
      <c r="F19" s="778">
        <v>17</v>
      </c>
      <c r="G19" s="777" t="str">
        <f ca="1">IF(OR(H19="",H19='Captains Card 1'!X37),"","X")</f>
        <v/>
      </c>
      <c r="H19" s="1198">
        <v>-1</v>
      </c>
      <c r="I19" s="1143"/>
      <c r="J19" s="785">
        <f t="shared" si="3"/>
        <v>2</v>
      </c>
      <c r="K19" s="193"/>
      <c r="L19" s="779"/>
      <c r="M19" s="1203" t="str">
        <f ca="1">IF(AND(T7&lt;42,M7&lt;42), "", IF(AND(M7=41.5, T7=41.5),"TIE",IF(T7&gt;=42, "Drinkin' Time","CHAMPIONS")))</f>
        <v>CHAMPIONS</v>
      </c>
      <c r="N19" s="1129"/>
      <c r="O19" s="1129"/>
      <c r="P19" s="1204" t="str">
        <f ca="1">IF(AND(M7+T7&gt;83, M7&gt;T7),"&lt;&lt;&lt;   Tie Breaker       ", IF(AND(M7+T7&gt;83, M7&lt;T7),"       Tie Breaker   &gt;&gt;&gt;","42 Points to Win"))</f>
        <v>42 Points to Win</v>
      </c>
      <c r="Q19" s="1129"/>
      <c r="R19" s="1129"/>
      <c r="S19" s="1129"/>
      <c r="T19" s="1203" t="str">
        <f ca="1">IF(AND(T7&lt;42,M7&lt;42), "", IF(AND(T7=41.5, M7=41.5),"TIE",IF(M7&gt;=42, "Drinkin' Time","CHAMPIONS")))</f>
        <v>Drinkin' Time</v>
      </c>
      <c r="U19" s="1129"/>
      <c r="V19" s="1129"/>
      <c r="W19" s="193"/>
    </row>
    <row r="20" spans="1:23" ht="18" customHeight="1">
      <c r="A20" s="193"/>
      <c r="B20" s="785">
        <f t="shared" si="2"/>
        <v>2</v>
      </c>
      <c r="C20" s="1195">
        <v>-2</v>
      </c>
      <c r="D20" s="1141"/>
      <c r="E20" s="777" t="str">
        <f ca="1">IF(OR(C20="",C20='Captains Card 2'!Y37),"","X")</f>
        <v/>
      </c>
      <c r="F20" s="778">
        <v>18</v>
      </c>
      <c r="G20" s="777" t="str">
        <f ca="1">IF(OR(H20="",H20='Captains Card 1'!Y37),"","X")</f>
        <v/>
      </c>
      <c r="H20" s="1198">
        <v>1</v>
      </c>
      <c r="I20" s="1143"/>
      <c r="J20" s="785">
        <f t="shared" si="3"/>
        <v>0</v>
      </c>
      <c r="K20" s="193"/>
      <c r="L20" s="779"/>
      <c r="M20" s="1129"/>
      <c r="N20" s="1129"/>
      <c r="O20" s="1129"/>
      <c r="P20" s="1129"/>
      <c r="Q20" s="1129"/>
      <c r="R20" s="1129"/>
      <c r="S20" s="1129"/>
      <c r="T20" s="1129"/>
      <c r="U20" s="1129"/>
      <c r="V20" s="1129"/>
      <c r="W20" s="193"/>
    </row>
    <row r="21" spans="1:23" ht="14.5">
      <c r="A21" s="193"/>
      <c r="B21" s="786">
        <f>SUM(B3:B20)</f>
        <v>10.5</v>
      </c>
      <c r="C21" s="1199">
        <f>SUM(C3:D20)</f>
        <v>-17</v>
      </c>
      <c r="D21" s="1200"/>
      <c r="E21" s="787"/>
      <c r="F21" s="787" t="s">
        <v>14</v>
      </c>
      <c r="G21" s="787"/>
      <c r="H21" s="1201">
        <f>SUM(H3:I20)</f>
        <v>-22</v>
      </c>
      <c r="I21" s="1200"/>
      <c r="J21" s="788">
        <f>SUM(J3:J20)</f>
        <v>16.5</v>
      </c>
      <c r="K21" s="193"/>
      <c r="L21" s="193"/>
      <c r="M21" s="1129"/>
      <c r="N21" s="1129"/>
      <c r="O21" s="1129"/>
      <c r="P21" s="1129"/>
      <c r="Q21" s="1129"/>
      <c r="R21" s="1129"/>
      <c r="S21" s="1129"/>
      <c r="T21" s="1129"/>
      <c r="U21" s="1129"/>
      <c r="V21" s="1129"/>
      <c r="W21" s="193"/>
    </row>
    <row r="22" spans="1:23" ht="14.5">
      <c r="A22" s="193"/>
      <c r="B22" s="787"/>
      <c r="C22" s="1202">
        <f>IF(OR(C20="",H20=""),"",IF(C21&lt;H21,0.5,IF(AND(C21=H21,C20&lt;H20),0.5,IF(AND(C21=H21,C20=H20,C19&lt;H19),0.5,IF(AND(C21=H21,C20=H20,C19=H19,C18&lt;H18),0.5,0)))))</f>
        <v>0</v>
      </c>
      <c r="D22" s="1200"/>
      <c r="E22" s="787"/>
      <c r="F22" s="65" t="s">
        <v>161</v>
      </c>
      <c r="G22" s="787"/>
      <c r="H22" s="1202">
        <f>IF(OR(C20="",H20=""),"",IF(C21&gt;H21,0.5,IF(AND(C21=H21,C20&gt;H20),0.5,IF(AND(C21=H21,C20=H20,C19&gt;H19),0.5,IF(AND(C21=H21,C20=H20,C19=H19,C18&gt;H18),0.5,0)))))</f>
        <v>0.5</v>
      </c>
      <c r="I22" s="1200"/>
      <c r="J22" s="787"/>
      <c r="K22" s="193"/>
      <c r="L22" s="193"/>
      <c r="M22" s="1129"/>
      <c r="N22" s="1129"/>
      <c r="O22" s="1129"/>
      <c r="P22" s="9"/>
      <c r="Q22" s="9"/>
      <c r="R22" s="9"/>
      <c r="S22" s="9"/>
      <c r="T22" s="1129"/>
      <c r="U22" s="1129"/>
      <c r="V22" s="1129"/>
      <c r="W22" s="193"/>
    </row>
    <row r="23" spans="1:23" ht="16">
      <c r="A23" s="193"/>
      <c r="B23" s="789"/>
      <c r="C23" s="789"/>
      <c r="D23" s="789"/>
      <c r="E23" s="789"/>
      <c r="F23" s="789"/>
      <c r="G23" s="789"/>
      <c r="H23" s="789"/>
      <c r="I23" s="789"/>
      <c r="J23" s="789"/>
      <c r="K23" s="193"/>
      <c r="L23" s="193"/>
      <c r="M23" s="1129"/>
      <c r="N23" s="1129"/>
      <c r="O23" s="1129"/>
      <c r="P23" s="1205" t="s">
        <v>162</v>
      </c>
      <c r="Q23" s="1129"/>
      <c r="R23" s="1129"/>
      <c r="S23" s="1129"/>
      <c r="T23" s="1129"/>
      <c r="U23" s="1129"/>
      <c r="V23" s="1129"/>
      <c r="W23" s="193"/>
    </row>
    <row r="24" spans="1:23" ht="54" hidden="1">
      <c r="A24" s="193"/>
      <c r="B24" s="790"/>
      <c r="C24" s="790"/>
      <c r="D24" s="790"/>
      <c r="E24" s="790"/>
      <c r="F24" s="790"/>
      <c r="G24" s="790"/>
      <c r="H24" s="790"/>
      <c r="I24" s="790"/>
      <c r="J24" s="790"/>
      <c r="K24" s="791"/>
      <c r="L24" s="791"/>
      <c r="M24" s="792"/>
      <c r="N24" s="792"/>
      <c r="O24" s="792"/>
      <c r="P24" s="791"/>
      <c r="Q24" s="791"/>
      <c r="R24" s="791"/>
      <c r="S24" s="791"/>
      <c r="T24" s="792"/>
      <c r="U24" s="792"/>
      <c r="V24" s="792"/>
      <c r="W24" s="791"/>
    </row>
    <row r="25" spans="1:23" ht="54" hidden="1">
      <c r="A25" s="193"/>
      <c r="B25" s="789"/>
      <c r="C25" s="789"/>
      <c r="D25" s="789"/>
      <c r="E25" s="789"/>
      <c r="F25" s="789"/>
      <c r="G25" s="789"/>
      <c r="H25" s="789"/>
      <c r="I25" s="789"/>
      <c r="J25" s="789"/>
      <c r="K25" s="193"/>
      <c r="L25" s="193"/>
      <c r="M25" s="793"/>
      <c r="N25" s="793"/>
      <c r="O25" s="793"/>
      <c r="P25" s="193"/>
      <c r="Q25" s="193"/>
      <c r="R25" s="193"/>
      <c r="S25" s="193"/>
      <c r="T25" s="793"/>
      <c r="U25" s="793"/>
      <c r="V25" s="793"/>
      <c r="W25" s="193"/>
    </row>
    <row r="26" spans="1:23" ht="54" hidden="1">
      <c r="A26" s="193"/>
      <c r="B26" s="789"/>
      <c r="C26" s="789"/>
      <c r="D26" s="789"/>
      <c r="E26" s="789"/>
      <c r="F26" s="789"/>
      <c r="G26" s="789"/>
      <c r="H26" s="789"/>
      <c r="I26" s="789"/>
      <c r="J26" s="789"/>
      <c r="K26" s="193"/>
      <c r="L26" s="193"/>
      <c r="M26" s="793"/>
      <c r="N26" s="793"/>
      <c r="O26" s="793"/>
      <c r="P26" s="193"/>
      <c r="Q26" s="193"/>
      <c r="R26" s="193"/>
      <c r="S26" s="193"/>
      <c r="T26" s="793"/>
      <c r="U26" s="793"/>
      <c r="V26" s="793"/>
      <c r="W26" s="193"/>
    </row>
    <row r="27" spans="1:23" hidden="1">
      <c r="A27" s="193"/>
      <c r="B27" s="789"/>
      <c r="C27" s="794">
        <f ca="1">'Captains Card 2'!E33</f>
        <v>4</v>
      </c>
      <c r="H27" s="795">
        <f ca="1">'Captains Card 1'!E33</f>
        <v>4</v>
      </c>
      <c r="V27">
        <f>'Captains Card 1'!Z31</f>
        <v>0</v>
      </c>
    </row>
    <row r="28" spans="1:23" ht="54" hidden="1">
      <c r="A28" s="193"/>
      <c r="B28" s="789"/>
      <c r="C28" s="794">
        <f ca="1">'Captains Card 2'!F33</f>
        <v>4</v>
      </c>
      <c r="D28" s="796"/>
      <c r="E28" s="796"/>
      <c r="F28" s="796"/>
      <c r="G28" s="796"/>
      <c r="H28" s="795">
        <f ca="1">'Captains Card 1'!F33</f>
        <v>4</v>
      </c>
      <c r="I28" s="789"/>
      <c r="J28" s="789"/>
      <c r="K28" s="193"/>
      <c r="L28" s="193"/>
      <c r="M28" s="793"/>
      <c r="N28" s="793"/>
      <c r="O28" s="793"/>
      <c r="P28" s="193"/>
      <c r="Q28" s="193"/>
      <c r="R28" s="193"/>
      <c r="S28" s="193"/>
      <c r="T28" s="793"/>
      <c r="U28" s="793"/>
      <c r="V28" s="793"/>
      <c r="W28" s="193"/>
    </row>
    <row r="29" spans="1:23" ht="54" hidden="1">
      <c r="A29" s="193"/>
      <c r="B29" s="789"/>
      <c r="C29" s="794">
        <f ca="1">'Captains Card 2'!G33</f>
        <v>5</v>
      </c>
      <c r="D29" s="796"/>
      <c r="E29" s="796"/>
      <c r="F29" s="796"/>
      <c r="G29" s="796"/>
      <c r="H29" s="795">
        <f ca="1">'Captains Card 1'!G33</f>
        <v>5</v>
      </c>
      <c r="I29" s="789"/>
      <c r="J29" s="789"/>
      <c r="K29" s="193"/>
      <c r="L29" s="193"/>
      <c r="M29" s="793"/>
      <c r="N29" s="793"/>
      <c r="O29" s="793"/>
      <c r="P29" s="193"/>
      <c r="Q29" s="193"/>
      <c r="R29" s="193"/>
      <c r="S29" s="193"/>
      <c r="T29" s="793"/>
      <c r="U29" s="793"/>
      <c r="V29" s="793"/>
      <c r="W29" s="193"/>
    </row>
    <row r="30" spans="1:23" ht="54" hidden="1">
      <c r="A30" s="193"/>
      <c r="B30" s="789"/>
      <c r="C30" s="794">
        <f ca="1">'Captains Card 2'!H33</f>
        <v>3</v>
      </c>
      <c r="D30" s="796"/>
      <c r="E30" s="796"/>
      <c r="F30" s="796"/>
      <c r="G30" s="796"/>
      <c r="H30" s="795">
        <f ca="1">'Captains Card 1'!H33</f>
        <v>3</v>
      </c>
      <c r="I30" s="789"/>
      <c r="J30" s="789"/>
      <c r="K30" s="193"/>
      <c r="L30" s="193"/>
      <c r="M30" s="793"/>
      <c r="N30" s="793"/>
      <c r="O30" s="793"/>
      <c r="P30" s="193"/>
      <c r="Q30" s="193"/>
      <c r="R30" s="193"/>
      <c r="S30" s="193"/>
      <c r="T30" s="793"/>
      <c r="U30" s="793"/>
      <c r="V30" s="793"/>
      <c r="W30" s="193"/>
    </row>
    <row r="31" spans="1:23" ht="54" hidden="1">
      <c r="A31" s="193"/>
      <c r="B31" s="789"/>
      <c r="C31" s="794">
        <f ca="1">'Captains Card 2'!I33</f>
        <v>4</v>
      </c>
      <c r="D31" s="796"/>
      <c r="E31" s="796"/>
      <c r="F31" s="796"/>
      <c r="G31" s="796"/>
      <c r="H31" s="795">
        <f ca="1">'Captains Card 1'!I33</f>
        <v>4</v>
      </c>
      <c r="I31" s="789"/>
      <c r="J31" s="789"/>
      <c r="K31" s="193"/>
      <c r="L31" s="193"/>
      <c r="M31" s="793"/>
      <c r="N31" s="793"/>
      <c r="O31" s="793"/>
      <c r="P31" s="193"/>
      <c r="Q31" s="193"/>
      <c r="R31" s="193"/>
      <c r="S31" s="193"/>
      <c r="T31" s="793"/>
      <c r="U31" s="793"/>
      <c r="V31" s="793"/>
      <c r="W31" s="193"/>
    </row>
    <row r="32" spans="1:23" ht="54" hidden="1">
      <c r="A32" s="193"/>
      <c r="B32" s="789"/>
      <c r="C32" s="794">
        <f ca="1">'Captains Card 2'!J33</f>
        <v>5</v>
      </c>
      <c r="D32" s="796"/>
      <c r="E32" s="796"/>
      <c r="F32" s="796"/>
      <c r="G32" s="796"/>
      <c r="H32" s="795">
        <f ca="1">'Captains Card 1'!J33</f>
        <v>5</v>
      </c>
      <c r="I32" s="789"/>
      <c r="J32" s="789"/>
      <c r="K32" s="193"/>
      <c r="L32" s="193"/>
      <c r="M32" s="793"/>
      <c r="N32" s="793"/>
      <c r="O32" s="793"/>
      <c r="P32" s="193"/>
      <c r="Q32" s="193"/>
      <c r="R32" s="193"/>
      <c r="S32" s="193"/>
      <c r="T32" s="793"/>
      <c r="U32" s="793"/>
      <c r="V32" s="793"/>
      <c r="W32" s="193"/>
    </row>
    <row r="33" spans="1:23" ht="54" hidden="1">
      <c r="A33" s="193"/>
      <c r="B33" s="789"/>
      <c r="C33" s="794">
        <f ca="1">'Captains Card 2'!K33</f>
        <v>4</v>
      </c>
      <c r="D33" s="796"/>
      <c r="E33" s="796"/>
      <c r="F33" s="796"/>
      <c r="G33" s="796"/>
      <c r="H33" s="795">
        <f ca="1">'Captains Card 1'!K33</f>
        <v>4</v>
      </c>
      <c r="I33" s="789"/>
      <c r="J33" s="789"/>
      <c r="K33" s="193"/>
      <c r="L33" s="193"/>
      <c r="M33" s="793"/>
      <c r="N33" s="793"/>
      <c r="O33" s="793"/>
      <c r="P33" s="193"/>
      <c r="Q33" s="193"/>
      <c r="R33" s="193"/>
      <c r="S33" s="193"/>
      <c r="T33" s="793"/>
      <c r="U33" s="793"/>
      <c r="V33" s="793"/>
      <c r="W33" s="193"/>
    </row>
    <row r="34" spans="1:23" ht="54" hidden="1">
      <c r="A34" s="193"/>
      <c r="B34" s="789"/>
      <c r="C34" s="794">
        <f ca="1">'Captains Card 2'!L33</f>
        <v>4</v>
      </c>
      <c r="D34" s="796"/>
      <c r="E34" s="796"/>
      <c r="F34" s="796"/>
      <c r="G34" s="796"/>
      <c r="H34" s="795">
        <f ca="1">'Captains Card 1'!L33</f>
        <v>4</v>
      </c>
      <c r="I34" s="789"/>
      <c r="J34" s="789"/>
      <c r="K34" s="193"/>
      <c r="L34" s="193"/>
      <c r="M34" s="793"/>
      <c r="N34" s="793"/>
      <c r="O34" s="793"/>
      <c r="P34" s="193"/>
      <c r="Q34" s="193"/>
      <c r="R34" s="193"/>
      <c r="S34" s="193"/>
      <c r="T34" s="793"/>
      <c r="U34" s="793"/>
      <c r="V34" s="793"/>
      <c r="W34" s="193"/>
    </row>
    <row r="35" spans="1:23" ht="54" hidden="1">
      <c r="A35" s="193"/>
      <c r="B35" s="789"/>
      <c r="C35" s="794">
        <f ca="1">'Captains Card 2'!M33</f>
        <v>3</v>
      </c>
      <c r="D35" s="796"/>
      <c r="E35" s="796"/>
      <c r="F35" s="796"/>
      <c r="G35" s="796"/>
      <c r="H35" s="795">
        <f ca="1">'Captains Card 1'!M33</f>
        <v>3</v>
      </c>
      <c r="I35" s="789"/>
      <c r="J35" s="789"/>
      <c r="K35" s="193"/>
      <c r="L35" s="193"/>
      <c r="M35" s="793"/>
      <c r="N35" s="793"/>
      <c r="O35" s="793"/>
      <c r="P35" s="193"/>
      <c r="Q35" s="193"/>
      <c r="R35" s="193"/>
      <c r="S35" s="193"/>
      <c r="T35" s="793"/>
      <c r="U35" s="793"/>
      <c r="V35" s="793"/>
      <c r="W35" s="193"/>
    </row>
    <row r="36" spans="1:23" ht="54" hidden="1">
      <c r="A36" s="193"/>
      <c r="B36" s="789"/>
      <c r="C36" s="794">
        <f ca="1">'Captains Card 2'!Q33</f>
        <v>5</v>
      </c>
      <c r="D36" s="796"/>
      <c r="E36" s="796"/>
      <c r="F36" s="796"/>
      <c r="G36" s="796"/>
      <c r="H36" s="795">
        <f ca="1">'Captains Card 1'!Q33</f>
        <v>5</v>
      </c>
      <c r="I36" s="789"/>
      <c r="J36" s="789"/>
      <c r="K36" s="193"/>
      <c r="L36" s="193"/>
      <c r="M36" s="793"/>
      <c r="N36" s="793"/>
      <c r="O36" s="793"/>
      <c r="P36" s="193"/>
      <c r="Q36" s="193"/>
      <c r="R36" s="193"/>
      <c r="S36" s="193"/>
      <c r="T36" s="793"/>
      <c r="U36" s="793"/>
      <c r="V36" s="793"/>
      <c r="W36" s="193"/>
    </row>
    <row r="37" spans="1:23" ht="54" hidden="1">
      <c r="A37" s="193"/>
      <c r="B37" s="789"/>
      <c r="C37" s="794">
        <f ca="1">'Captains Card 2'!R33</f>
        <v>4</v>
      </c>
      <c r="D37" s="796"/>
      <c r="E37" s="796"/>
      <c r="F37" s="796"/>
      <c r="G37" s="796"/>
      <c r="H37" s="795">
        <f ca="1">'Captains Card 1'!R33</f>
        <v>4</v>
      </c>
      <c r="I37" s="789"/>
      <c r="J37" s="789"/>
      <c r="K37" s="193"/>
      <c r="L37" s="193"/>
      <c r="M37" s="793"/>
      <c r="N37" s="793"/>
      <c r="O37" s="793"/>
      <c r="P37" s="193"/>
      <c r="Q37" s="193"/>
      <c r="R37" s="193"/>
      <c r="S37" s="193"/>
      <c r="T37" s="793"/>
      <c r="U37" s="793"/>
      <c r="V37" s="793"/>
      <c r="W37" s="193"/>
    </row>
    <row r="38" spans="1:23" ht="54" hidden="1">
      <c r="A38" s="193"/>
      <c r="B38" s="789"/>
      <c r="C38" s="794">
        <f ca="1">'Captains Card 2'!S33</f>
        <v>4</v>
      </c>
      <c r="D38" s="796"/>
      <c r="E38" s="796"/>
      <c r="F38" s="796"/>
      <c r="G38" s="796"/>
      <c r="H38" s="795">
        <f ca="1">'Captains Card 1'!S33</f>
        <v>4</v>
      </c>
      <c r="I38" s="789"/>
      <c r="J38" s="789"/>
      <c r="K38" s="193"/>
      <c r="L38" s="193"/>
      <c r="M38" s="793"/>
      <c r="N38" s="793"/>
      <c r="O38" s="793"/>
      <c r="P38" s="193"/>
      <c r="Q38" s="193"/>
      <c r="R38" s="193"/>
      <c r="S38" s="193"/>
      <c r="T38" s="793"/>
      <c r="U38" s="793"/>
      <c r="V38" s="793"/>
      <c r="W38" s="193"/>
    </row>
    <row r="39" spans="1:23" ht="54" hidden="1">
      <c r="A39" s="193"/>
      <c r="B39" s="789"/>
      <c r="C39" s="794">
        <f ca="1">'Captains Card 2'!T33</f>
        <v>3</v>
      </c>
      <c r="D39" s="796"/>
      <c r="E39" s="796"/>
      <c r="F39" s="796"/>
      <c r="G39" s="796"/>
      <c r="H39" s="795">
        <f ca="1">'Captains Card 1'!T33</f>
        <v>3</v>
      </c>
      <c r="I39" s="789"/>
      <c r="J39" s="789"/>
      <c r="K39" s="193"/>
      <c r="L39" s="193"/>
      <c r="M39" s="793"/>
      <c r="N39" s="793"/>
      <c r="O39" s="793"/>
      <c r="P39" s="193"/>
      <c r="Q39" s="193"/>
      <c r="R39" s="193"/>
      <c r="S39" s="193"/>
      <c r="T39" s="793"/>
      <c r="U39" s="793"/>
      <c r="V39" s="793"/>
      <c r="W39" s="193"/>
    </row>
    <row r="40" spans="1:23" ht="54" hidden="1">
      <c r="A40" s="193"/>
      <c r="B40" s="789"/>
      <c r="C40" s="794">
        <f ca="1">'Captains Card 2'!U33</f>
        <v>4</v>
      </c>
      <c r="D40" s="796"/>
      <c r="E40" s="796"/>
      <c r="F40" s="796"/>
      <c r="G40" s="796"/>
      <c r="H40" s="795">
        <f ca="1">'Captains Card 1'!U33</f>
        <v>4</v>
      </c>
      <c r="I40" s="789"/>
      <c r="J40" s="789"/>
      <c r="K40" s="193"/>
      <c r="L40" s="193"/>
      <c r="M40" s="793"/>
      <c r="N40" s="793"/>
      <c r="O40" s="793"/>
      <c r="P40" s="193"/>
      <c r="Q40" s="193"/>
      <c r="R40" s="193"/>
      <c r="S40" s="193"/>
      <c r="T40" s="793"/>
      <c r="U40" s="793"/>
      <c r="V40" s="793"/>
      <c r="W40" s="193"/>
    </row>
    <row r="41" spans="1:23" ht="54" hidden="1">
      <c r="A41" s="193"/>
      <c r="B41" s="789"/>
      <c r="C41" s="794">
        <f ca="1">'Captains Card 2'!V33</f>
        <v>5</v>
      </c>
      <c r="D41" s="796"/>
      <c r="E41" s="796"/>
      <c r="F41" s="796"/>
      <c r="G41" s="796"/>
      <c r="H41" s="795">
        <f ca="1">'Captains Card 1'!V33</f>
        <v>5</v>
      </c>
      <c r="I41" s="789"/>
      <c r="J41" s="789"/>
      <c r="K41" s="193"/>
      <c r="L41" s="193"/>
      <c r="M41" s="793"/>
      <c r="N41" s="793"/>
      <c r="O41" s="793"/>
      <c r="P41" s="193"/>
      <c r="Q41" s="193"/>
      <c r="R41" s="193"/>
      <c r="S41" s="193"/>
      <c r="T41" s="793"/>
      <c r="U41" s="793"/>
      <c r="V41" s="793"/>
      <c r="W41" s="193"/>
    </row>
    <row r="42" spans="1:23" ht="54" hidden="1">
      <c r="A42" s="193"/>
      <c r="B42" s="789"/>
      <c r="C42" s="794">
        <f ca="1">'Captains Card 2'!W33</f>
        <v>4</v>
      </c>
      <c r="D42" s="796"/>
      <c r="E42" s="796"/>
      <c r="F42" s="796"/>
      <c r="G42" s="796"/>
      <c r="H42" s="795">
        <f ca="1">'Captains Card 1'!W33</f>
        <v>4</v>
      </c>
      <c r="I42" s="789"/>
      <c r="J42" s="789"/>
      <c r="K42" s="193"/>
      <c r="L42" s="193"/>
      <c r="M42" s="793"/>
      <c r="N42" s="793"/>
      <c r="O42" s="793"/>
      <c r="P42" s="193"/>
      <c r="Q42" s="193"/>
      <c r="R42" s="193"/>
      <c r="S42" s="193"/>
      <c r="T42" s="793"/>
      <c r="U42" s="793"/>
      <c r="V42" s="793"/>
      <c r="W42" s="193"/>
    </row>
    <row r="43" spans="1:23" ht="54" hidden="1">
      <c r="A43" s="193"/>
      <c r="B43" s="789"/>
      <c r="C43" s="794">
        <f ca="1">'Captains Card 2'!X33</f>
        <v>3</v>
      </c>
      <c r="D43" s="796"/>
      <c r="E43" s="796"/>
      <c r="F43" s="796"/>
      <c r="G43" s="796"/>
      <c r="H43" s="795">
        <f ca="1">'Captains Card 1'!X33</f>
        <v>3</v>
      </c>
      <c r="I43" s="789"/>
      <c r="J43" s="789"/>
      <c r="K43" s="193"/>
      <c r="L43" s="193"/>
      <c r="M43" s="793"/>
      <c r="N43" s="793"/>
      <c r="O43" s="793"/>
      <c r="P43" s="193"/>
      <c r="Q43" s="193"/>
      <c r="R43" s="193"/>
      <c r="S43" s="193"/>
      <c r="T43" s="793"/>
      <c r="U43" s="793"/>
      <c r="V43" s="793"/>
      <c r="W43" s="193"/>
    </row>
    <row r="44" spans="1:23" ht="54" hidden="1">
      <c r="A44" s="193"/>
      <c r="B44" s="789"/>
      <c r="C44" s="794">
        <f ca="1">'Captains Card 2'!Y33</f>
        <v>4</v>
      </c>
      <c r="D44" s="796"/>
      <c r="E44" s="796"/>
      <c r="F44" s="796"/>
      <c r="G44" s="796"/>
      <c r="H44" s="795">
        <f ca="1">'Captains Card 1'!Y33</f>
        <v>4</v>
      </c>
      <c r="I44" s="789"/>
      <c r="J44" s="789"/>
      <c r="K44" s="193"/>
      <c r="L44" s="193"/>
      <c r="M44" s="793"/>
      <c r="N44" s="793"/>
      <c r="O44" s="793"/>
      <c r="P44" s="193"/>
      <c r="Q44" s="193"/>
      <c r="R44" s="193"/>
      <c r="S44" s="193"/>
      <c r="T44" s="793"/>
      <c r="U44" s="793"/>
      <c r="V44" s="793"/>
      <c r="W44" s="193"/>
    </row>
    <row r="45" spans="1:23" ht="54" hidden="1">
      <c r="A45" s="193"/>
      <c r="B45" s="789"/>
      <c r="C45" s="789"/>
      <c r="D45" s="789"/>
      <c r="E45" s="789"/>
      <c r="F45" s="789"/>
      <c r="G45" s="789"/>
      <c r="H45" s="789"/>
      <c r="I45" s="789"/>
      <c r="J45" s="789"/>
      <c r="K45" s="193"/>
      <c r="L45" s="193"/>
      <c r="M45" s="793"/>
      <c r="N45" s="793"/>
      <c r="O45" s="793"/>
      <c r="P45" s="193"/>
      <c r="Q45" s="193"/>
      <c r="R45" s="193"/>
      <c r="S45" s="193"/>
      <c r="T45" s="793"/>
      <c r="U45" s="793"/>
      <c r="V45" s="793"/>
      <c r="W45" s="193"/>
    </row>
  </sheetData>
  <mergeCells count="55">
    <mergeCell ref="C13:D13"/>
    <mergeCell ref="H13:I13"/>
    <mergeCell ref="C14:D14"/>
    <mergeCell ref="H14:I14"/>
    <mergeCell ref="B1:E1"/>
    <mergeCell ref="G1:J1"/>
    <mergeCell ref="M1:V1"/>
    <mergeCell ref="C2:D2"/>
    <mergeCell ref="H2:I2"/>
    <mergeCell ref="M19:O23"/>
    <mergeCell ref="P19:S21"/>
    <mergeCell ref="T19:V23"/>
    <mergeCell ref="C20:D20"/>
    <mergeCell ref="P23:S23"/>
    <mergeCell ref="H19:I19"/>
    <mergeCell ref="H20:I20"/>
    <mergeCell ref="C21:D21"/>
    <mergeCell ref="H21:I21"/>
    <mergeCell ref="C22:D22"/>
    <mergeCell ref="H22:I22"/>
    <mergeCell ref="C19:D19"/>
    <mergeCell ref="C16:D16"/>
    <mergeCell ref="H16:I16"/>
    <mergeCell ref="M16:O18"/>
    <mergeCell ref="T16:V18"/>
    <mergeCell ref="H17:I17"/>
    <mergeCell ref="H18:I18"/>
    <mergeCell ref="C17:D17"/>
    <mergeCell ref="C18:D18"/>
    <mergeCell ref="C7:D7"/>
    <mergeCell ref="H7:I7"/>
    <mergeCell ref="M7:O15"/>
    <mergeCell ref="T7:V15"/>
    <mergeCell ref="C8:D8"/>
    <mergeCell ref="C9:D9"/>
    <mergeCell ref="C15:D15"/>
    <mergeCell ref="H15:I15"/>
    <mergeCell ref="H8:I8"/>
    <mergeCell ref="H9:I9"/>
    <mergeCell ref="C10:D10"/>
    <mergeCell ref="H10:I10"/>
    <mergeCell ref="C11:D11"/>
    <mergeCell ref="H11:I11"/>
    <mergeCell ref="C12:D12"/>
    <mergeCell ref="H12:I12"/>
    <mergeCell ref="H3:I3"/>
    <mergeCell ref="H4:I4"/>
    <mergeCell ref="M4:O6"/>
    <mergeCell ref="T4:V6"/>
    <mergeCell ref="C5:D5"/>
    <mergeCell ref="H5:I5"/>
    <mergeCell ref="H6:I6"/>
    <mergeCell ref="C6:D6"/>
    <mergeCell ref="C3:D3"/>
    <mergeCell ref="C4:D4"/>
  </mergeCells>
  <conditionalFormatting sqref="B3:B20">
    <cfRule type="colorScale" priority="2">
      <colorScale>
        <cfvo type="formula" val="0"/>
        <cfvo type="formula" val="1"/>
        <cfvo type="formula" val="2"/>
        <color rgb="FFFFFFFF"/>
        <color rgb="FF93C4A6"/>
        <color rgb="FF6AA888"/>
      </colorScale>
    </cfRule>
  </conditionalFormatting>
  <conditionalFormatting sqref="J3:J20">
    <cfRule type="colorScale" priority="1">
      <colorScale>
        <cfvo type="formula" val="0"/>
        <cfvo type="formula" val="1"/>
        <cfvo type="formula" val="2"/>
        <color rgb="FFFFFFFF"/>
        <color rgb="FFCCCCCC"/>
        <color rgb="FF999999"/>
      </colorScale>
    </cfRule>
  </conditionalFormatting>
  <conditionalFormatting sqref="M19:O26 M28:O45">
    <cfRule type="cellIs" dxfId="4" priority="3" operator="equal">
      <formula>"CHAMPIONS"</formula>
    </cfRule>
  </conditionalFormatting>
  <conditionalFormatting sqref="P19:S21">
    <cfRule type="cellIs" dxfId="3" priority="5" operator="equal">
      <formula>"TIE BREAKER APPLIED"</formula>
    </cfRule>
  </conditionalFormatting>
  <conditionalFormatting sqref="T19:V26 T28:V45">
    <cfRule type="cellIs" dxfId="2" priority="4" operator="equal">
      <formula>"CHAMPIONS"</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73763"/>
    <outlinePr summaryBelow="0" summaryRight="0"/>
  </sheetPr>
  <dimension ref="A1:AD210"/>
  <sheetViews>
    <sheetView workbookViewId="0"/>
  </sheetViews>
  <sheetFormatPr defaultColWidth="17.26953125" defaultRowHeight="15" customHeight="1"/>
  <sheetData>
    <row r="1" spans="1:29">
      <c r="A1" s="797" t="s">
        <v>163</v>
      </c>
      <c r="B1" s="798" t="s">
        <v>164</v>
      </c>
      <c r="C1" s="533"/>
      <c r="D1" s="235" t="s">
        <v>165</v>
      </c>
      <c r="E1" s="235"/>
      <c r="F1" s="235"/>
      <c r="G1" s="235"/>
      <c r="H1" s="533"/>
      <c r="I1" s="533"/>
      <c r="J1" s="533"/>
      <c r="K1" s="533"/>
      <c r="L1" s="533"/>
      <c r="M1" s="533"/>
      <c r="N1" s="533"/>
      <c r="O1" s="533"/>
      <c r="P1" s="533"/>
      <c r="Q1" s="533"/>
      <c r="R1" s="533"/>
      <c r="S1" s="533"/>
      <c r="T1" s="533"/>
      <c r="U1" s="799"/>
      <c r="V1" s="799"/>
      <c r="W1" s="799"/>
      <c r="X1" s="799"/>
      <c r="Y1" s="799"/>
      <c r="Z1" s="799"/>
      <c r="AA1" s="799"/>
      <c r="AB1" s="799"/>
      <c r="AC1" s="799"/>
    </row>
    <row r="2" spans="1:29">
      <c r="A2" s="800">
        <f ca="1">IFERROR(__xludf.DUMMYFUNCTION("importrange(""https://docs.google.com/spreadsheets/d/1m6mRrzcYD76qGshekJQ_sT8LAdm9xWMw9meiWP_IXoA/edit"",""Master!R3:S22"")"),5.522)</f>
        <v>5.5220000000000002</v>
      </c>
      <c r="B2" s="801" t="str">
        <f ca="1">IFERROR(__xludf.DUMMYFUNCTION("""COMPUTED_VALUE"""),"Scott R")</f>
        <v>Scott R</v>
      </c>
      <c r="C2" s="802"/>
      <c r="D2" s="803"/>
      <c r="E2" s="235"/>
      <c r="F2" s="235"/>
      <c r="G2" s="235"/>
      <c r="H2" s="533"/>
      <c r="I2" s="533"/>
      <c r="J2" s="804"/>
      <c r="K2" s="533"/>
      <c r="L2" s="804"/>
      <c r="M2" s="533"/>
      <c r="N2" s="533"/>
      <c r="O2" s="533"/>
      <c r="P2" s="533"/>
      <c r="Q2" s="533"/>
      <c r="R2" s="533"/>
      <c r="S2" s="533"/>
      <c r="T2" s="533"/>
      <c r="U2" s="799"/>
      <c r="V2" s="799"/>
      <c r="W2" s="799"/>
      <c r="X2" s="799"/>
      <c r="Y2" s="799"/>
      <c r="Z2" s="799"/>
      <c r="AA2" s="799"/>
      <c r="AB2" s="799"/>
      <c r="AC2" s="799"/>
    </row>
    <row r="3" spans="1:29">
      <c r="A3" s="805">
        <f ca="1">IFERROR(__xludf.DUMMYFUNCTION("""COMPUTED_VALUE"""),6.409)</f>
        <v>6.4089999999999998</v>
      </c>
      <c r="B3" s="801" t="str">
        <f ca="1">IFERROR(__xludf.DUMMYFUNCTION("""COMPUTED_VALUE"""),"Grant S")</f>
        <v>Grant S</v>
      </c>
      <c r="C3" s="802"/>
      <c r="D3" s="803"/>
      <c r="E3" s="235"/>
      <c r="F3" s="235"/>
      <c r="G3" s="235"/>
      <c r="H3" s="533"/>
      <c r="I3" s="533"/>
      <c r="J3" s="802"/>
      <c r="K3" s="533"/>
      <c r="L3" s="804"/>
      <c r="M3" s="802"/>
      <c r="N3" s="533"/>
      <c r="O3" s="533"/>
      <c r="P3" s="533"/>
      <c r="Q3" s="533"/>
      <c r="R3" s="533"/>
      <c r="S3" s="533"/>
      <c r="T3" s="533"/>
      <c r="U3" s="799"/>
      <c r="V3" s="799"/>
      <c r="W3" s="799"/>
      <c r="X3" s="799"/>
      <c r="Y3" s="799"/>
      <c r="Z3" s="799"/>
      <c r="AA3" s="799"/>
      <c r="AB3" s="799"/>
      <c r="AC3" s="799"/>
    </row>
    <row r="4" spans="1:29">
      <c r="A4" s="805">
        <f ca="1">IFERROR(__xludf.DUMMYFUNCTION("""COMPUTED_VALUE"""),6.81199999999999)</f>
        <v>6.8119999999999896</v>
      </c>
      <c r="B4" s="801" t="str">
        <f ca="1">IFERROR(__xludf.DUMMYFUNCTION("""COMPUTED_VALUE"""),"Jensen")</f>
        <v>Jensen</v>
      </c>
      <c r="C4" s="802"/>
      <c r="D4" s="803"/>
      <c r="E4" s="235"/>
      <c r="F4" s="235"/>
      <c r="G4" s="235"/>
      <c r="H4" s="533"/>
      <c r="I4" s="533"/>
      <c r="J4" s="802"/>
      <c r="K4" s="533"/>
      <c r="L4" s="804"/>
      <c r="M4" s="802"/>
      <c r="N4" s="533"/>
      <c r="O4" s="533"/>
      <c r="P4" s="533"/>
      <c r="Q4" s="533"/>
      <c r="R4" s="533"/>
      <c r="S4" s="533"/>
      <c r="T4" s="533"/>
      <c r="U4" s="799"/>
      <c r="V4" s="799"/>
      <c r="W4" s="799"/>
      <c r="X4" s="799"/>
      <c r="Y4" s="799"/>
      <c r="Z4" s="799"/>
      <c r="AA4" s="799"/>
      <c r="AB4" s="799"/>
      <c r="AC4" s="799"/>
    </row>
    <row r="5" spans="1:29">
      <c r="A5" s="805">
        <f ca="1">IFERROR(__xludf.DUMMYFUNCTION("""COMPUTED_VALUE"""),6.925)</f>
        <v>6.9249999999999998</v>
      </c>
      <c r="B5" s="801" t="str">
        <f ca="1">IFERROR(__xludf.DUMMYFUNCTION("""COMPUTED_VALUE"""),"Telly")</f>
        <v>Telly</v>
      </c>
      <c r="C5" s="802"/>
      <c r="D5" s="803"/>
      <c r="E5" s="235"/>
      <c r="F5" s="235"/>
      <c r="G5" s="235"/>
      <c r="H5" s="533"/>
      <c r="I5" s="533"/>
      <c r="J5" s="802"/>
      <c r="K5" s="533"/>
      <c r="L5" s="804"/>
      <c r="M5" s="802"/>
      <c r="N5" s="533"/>
      <c r="O5" s="533"/>
      <c r="P5" s="533"/>
      <c r="Q5" s="533"/>
      <c r="R5" s="533"/>
      <c r="S5" s="533"/>
      <c r="T5" s="533"/>
      <c r="U5" s="799"/>
      <c r="V5" s="799"/>
      <c r="W5" s="799"/>
      <c r="X5" s="799"/>
      <c r="Y5" s="799"/>
      <c r="Z5" s="799"/>
      <c r="AA5" s="799"/>
      <c r="AB5" s="799"/>
      <c r="AC5" s="799"/>
    </row>
    <row r="6" spans="1:29">
      <c r="A6" s="805">
        <f ca="1">IFERROR(__xludf.DUMMYFUNCTION("""COMPUTED_VALUE"""),7.208)</f>
        <v>7.2080000000000002</v>
      </c>
      <c r="B6" s="801" t="str">
        <f ca="1">IFERROR(__xludf.DUMMYFUNCTION("""COMPUTED_VALUE"""),"Elger")</f>
        <v>Elger</v>
      </c>
      <c r="C6" s="802"/>
      <c r="D6" s="803"/>
      <c r="E6" s="235"/>
      <c r="F6" s="235"/>
      <c r="G6" s="235"/>
      <c r="H6" s="533"/>
      <c r="I6" s="533"/>
      <c r="J6" s="802"/>
      <c r="K6" s="533"/>
      <c r="L6" s="804"/>
      <c r="M6" s="802"/>
      <c r="N6" s="533"/>
      <c r="O6" s="533"/>
      <c r="P6" s="533"/>
      <c r="Q6" s="533"/>
      <c r="R6" s="533"/>
      <c r="S6" s="533"/>
      <c r="T6" s="533"/>
      <c r="U6" s="799"/>
      <c r="V6" s="799"/>
      <c r="W6" s="799"/>
      <c r="X6" s="799"/>
      <c r="Y6" s="799"/>
      <c r="Z6" s="799"/>
      <c r="AA6" s="799"/>
      <c r="AB6" s="799"/>
      <c r="AC6" s="799"/>
    </row>
    <row r="7" spans="1:29">
      <c r="A7" s="805">
        <f ca="1">IFERROR(__xludf.DUMMYFUNCTION("""COMPUTED_VALUE"""),7.303)</f>
        <v>7.3029999999999999</v>
      </c>
      <c r="B7" s="801" t="str">
        <f ca="1">IFERROR(__xludf.DUMMYFUNCTION("""COMPUTED_VALUE"""),"Andy")</f>
        <v>Andy</v>
      </c>
      <c r="C7" s="802"/>
      <c r="D7" s="803"/>
      <c r="E7" s="235"/>
      <c r="F7" s="235"/>
      <c r="G7" s="235"/>
      <c r="H7" s="533"/>
      <c r="I7" s="533"/>
      <c r="J7" s="802"/>
      <c r="K7" s="533"/>
      <c r="L7" s="804"/>
      <c r="M7" s="802"/>
      <c r="N7" s="533"/>
      <c r="O7" s="533"/>
      <c r="P7" s="533"/>
      <c r="Q7" s="533"/>
      <c r="R7" s="533"/>
      <c r="S7" s="533"/>
      <c r="T7" s="533"/>
      <c r="U7" s="799"/>
      <c r="V7" s="799"/>
      <c r="W7" s="799"/>
      <c r="X7" s="799"/>
      <c r="Y7" s="799"/>
      <c r="Z7" s="799"/>
      <c r="AA7" s="799"/>
      <c r="AB7" s="799"/>
      <c r="AC7" s="799"/>
    </row>
    <row r="8" spans="1:29">
      <c r="A8" s="805">
        <f ca="1">IFERROR(__xludf.DUMMYFUNCTION("""COMPUTED_VALUE"""),7.816)</f>
        <v>7.8159999999999998</v>
      </c>
      <c r="B8" s="801" t="str">
        <f ca="1">IFERROR(__xludf.DUMMYFUNCTION("""COMPUTED_VALUE"""),"KJ")</f>
        <v>KJ</v>
      </c>
      <c r="C8" s="802"/>
      <c r="D8" s="803"/>
      <c r="E8" s="235"/>
      <c r="F8" s="235"/>
      <c r="G8" s="235"/>
      <c r="H8" s="533"/>
      <c r="I8" s="533"/>
      <c r="J8" s="802"/>
      <c r="K8" s="533"/>
      <c r="L8" s="804"/>
      <c r="M8" s="802"/>
      <c r="N8" s="533"/>
      <c r="O8" s="533"/>
      <c r="P8" s="533"/>
      <c r="Q8" s="533"/>
      <c r="R8" s="533"/>
      <c r="S8" s="533"/>
      <c r="T8" s="533"/>
      <c r="U8" s="799"/>
      <c r="V8" s="799"/>
      <c r="W8" s="799"/>
      <c r="X8" s="799"/>
      <c r="Y8" s="799"/>
      <c r="Z8" s="799"/>
      <c r="AA8" s="799"/>
      <c r="AB8" s="799"/>
      <c r="AC8" s="799"/>
    </row>
    <row r="9" spans="1:29">
      <c r="A9" s="805">
        <f ca="1">IFERROR(__xludf.DUMMYFUNCTION("""COMPUTED_VALUE"""),9.02)</f>
        <v>9.02</v>
      </c>
      <c r="B9" s="801" t="str">
        <f ca="1">IFERROR(__xludf.DUMMYFUNCTION("""COMPUTED_VALUE"""),"R-Mac")</f>
        <v>R-Mac</v>
      </c>
      <c r="C9" s="802"/>
      <c r="D9" s="803"/>
      <c r="E9" s="235"/>
      <c r="F9" s="235"/>
      <c r="G9" s="235"/>
      <c r="H9" s="533"/>
      <c r="I9" s="533"/>
      <c r="J9" s="802"/>
      <c r="K9" s="533"/>
      <c r="L9" s="804"/>
      <c r="M9" s="802"/>
      <c r="N9" s="533"/>
      <c r="O9" s="533"/>
      <c r="P9" s="533"/>
      <c r="Q9" s="533"/>
      <c r="R9" s="533"/>
      <c r="S9" s="533"/>
      <c r="T9" s="533"/>
      <c r="U9" s="799"/>
      <c r="V9" s="799"/>
      <c r="W9" s="799"/>
      <c r="X9" s="799"/>
      <c r="Y9" s="799"/>
      <c r="Z9" s="799"/>
      <c r="AA9" s="799"/>
      <c r="AB9" s="799"/>
      <c r="AC9" s="799"/>
    </row>
    <row r="10" spans="1:29">
      <c r="A10" s="805">
        <f ca="1">IFERROR(__xludf.DUMMYFUNCTION("""COMPUTED_VALUE"""),9.311)</f>
        <v>9.3109999999999999</v>
      </c>
      <c r="B10" s="801" t="str">
        <f ca="1">IFERROR(__xludf.DUMMYFUNCTION("""COMPUTED_VALUE"""),"House")</f>
        <v>House</v>
      </c>
      <c r="C10" s="533"/>
      <c r="D10" s="803"/>
      <c r="E10" s="235"/>
      <c r="F10" s="235"/>
      <c r="G10" s="235"/>
      <c r="H10" s="533"/>
      <c r="I10" s="533"/>
      <c r="J10" s="802"/>
      <c r="K10" s="533"/>
      <c r="L10" s="804"/>
      <c r="M10" s="802"/>
      <c r="N10" s="533"/>
      <c r="O10" s="533"/>
      <c r="P10" s="533"/>
      <c r="Q10" s="533"/>
      <c r="R10" s="533"/>
      <c r="S10" s="533"/>
      <c r="T10" s="533"/>
      <c r="U10" s="799"/>
      <c r="V10" s="799"/>
      <c r="W10" s="799"/>
      <c r="X10" s="799"/>
      <c r="Y10" s="799"/>
      <c r="Z10" s="799"/>
      <c r="AA10" s="799"/>
      <c r="AB10" s="799"/>
      <c r="AC10" s="799"/>
    </row>
    <row r="11" spans="1:29">
      <c r="A11" s="805">
        <f ca="1">IFERROR(__xludf.DUMMYFUNCTION("""COMPUTED_VALUE"""),9.607)</f>
        <v>9.6069999999999993</v>
      </c>
      <c r="B11" s="801" t="str">
        <f ca="1">IFERROR(__xludf.DUMMYFUNCTION("""COMPUTED_VALUE"""),"CuzNick")</f>
        <v>CuzNick</v>
      </c>
      <c r="C11" s="533"/>
      <c r="D11" s="803"/>
      <c r="E11" s="235"/>
      <c r="F11" s="235"/>
      <c r="G11" s="235"/>
      <c r="H11" s="533"/>
      <c r="I11" s="533"/>
      <c r="J11" s="802"/>
      <c r="K11" s="533"/>
      <c r="L11" s="804"/>
      <c r="M11" s="533"/>
      <c r="N11" s="533"/>
      <c r="O11" s="533"/>
      <c r="P11" s="533"/>
      <c r="Q11" s="533"/>
      <c r="R11" s="533"/>
      <c r="S11" s="533"/>
      <c r="T11" s="533"/>
      <c r="U11" s="799"/>
      <c r="V11" s="799"/>
      <c r="W11" s="799"/>
      <c r="X11" s="799"/>
      <c r="Y11" s="799"/>
      <c r="Z11" s="799"/>
      <c r="AA11" s="799"/>
      <c r="AB11" s="799"/>
      <c r="AC11" s="799"/>
    </row>
    <row r="12" spans="1:29">
      <c r="A12" s="805">
        <f ca="1">IFERROR(__xludf.DUMMYFUNCTION("""COMPUTED_VALUE"""),10.318)</f>
        <v>10.318</v>
      </c>
      <c r="B12" s="801" t="str">
        <f ca="1">IFERROR(__xludf.DUMMYFUNCTION("""COMPUTED_VALUE"""),"Pace")</f>
        <v>Pace</v>
      </c>
      <c r="C12" s="802"/>
      <c r="D12" s="803"/>
      <c r="E12" s="235"/>
      <c r="F12" s="235"/>
      <c r="G12" s="235"/>
      <c r="H12" s="533"/>
      <c r="I12" s="533"/>
      <c r="J12" s="802"/>
      <c r="K12" s="533"/>
      <c r="L12" s="804"/>
      <c r="M12" s="533"/>
      <c r="N12" s="533"/>
      <c r="O12" s="533"/>
      <c r="P12" s="533"/>
      <c r="Q12" s="533"/>
      <c r="R12" s="533"/>
      <c r="S12" s="533"/>
      <c r="T12" s="533"/>
      <c r="U12" s="799"/>
      <c r="V12" s="799"/>
      <c r="W12" s="799"/>
      <c r="X12" s="799"/>
      <c r="Y12" s="799"/>
      <c r="Z12" s="799"/>
      <c r="AA12" s="799"/>
      <c r="AB12" s="799"/>
      <c r="AC12" s="799"/>
    </row>
    <row r="13" spans="1:29">
      <c r="A13" s="805">
        <f ca="1">IFERROR(__xludf.DUMMYFUNCTION("""COMPUTED_VALUE"""),11.6269999999999)</f>
        <v>11.626999999999899</v>
      </c>
      <c r="B13" s="801" t="str">
        <f ca="1">IFERROR(__xludf.DUMMYFUNCTION("""COMPUTED_VALUE"""),"TJSC")</f>
        <v>TJSC</v>
      </c>
      <c r="C13" s="802"/>
      <c r="D13" s="803"/>
      <c r="E13" s="235"/>
      <c r="F13" s="235"/>
      <c r="G13" s="235"/>
      <c r="H13" s="533"/>
      <c r="I13" s="533"/>
      <c r="J13" s="802"/>
      <c r="K13" s="533"/>
      <c r="L13" s="804"/>
      <c r="M13" s="802"/>
      <c r="N13" s="533"/>
      <c r="O13" s="533"/>
      <c r="P13" s="533"/>
      <c r="Q13" s="533"/>
      <c r="R13" s="533"/>
      <c r="S13" s="533"/>
      <c r="T13" s="533"/>
      <c r="U13" s="799"/>
      <c r="V13" s="799"/>
      <c r="W13" s="799"/>
      <c r="X13" s="799"/>
      <c r="Y13" s="799"/>
      <c r="Z13" s="799"/>
      <c r="AA13" s="799"/>
      <c r="AB13" s="799"/>
      <c r="AC13" s="799"/>
    </row>
    <row r="14" spans="1:29">
      <c r="A14" s="805">
        <f ca="1">IFERROR(__xludf.DUMMYFUNCTION("""COMPUTED_VALUE"""),11.7139999999999)</f>
        <v>11.713999999999899</v>
      </c>
      <c r="B14" s="801" t="str">
        <f ca="1">IFERROR(__xludf.DUMMYFUNCTION("""COMPUTED_VALUE"""),"Joe O")</f>
        <v>Joe O</v>
      </c>
      <c r="C14" s="802"/>
      <c r="D14" s="803"/>
      <c r="E14" s="235"/>
      <c r="F14" s="235"/>
      <c r="G14" s="235"/>
      <c r="H14" s="533"/>
      <c r="I14" s="533"/>
      <c r="J14" s="802"/>
      <c r="K14" s="533"/>
      <c r="L14" s="804"/>
      <c r="M14" s="802"/>
      <c r="N14" s="533"/>
      <c r="O14" s="533"/>
      <c r="P14" s="533"/>
      <c r="Q14" s="533"/>
      <c r="R14" s="533"/>
      <c r="S14" s="533"/>
      <c r="T14" s="533"/>
      <c r="U14" s="799"/>
      <c r="V14" s="799"/>
      <c r="W14" s="799"/>
      <c r="X14" s="799"/>
      <c r="Y14" s="799"/>
      <c r="Z14" s="799"/>
      <c r="AA14" s="799"/>
      <c r="AB14" s="799"/>
      <c r="AC14" s="799"/>
    </row>
    <row r="15" spans="1:29">
      <c r="A15" s="805">
        <f ca="1">IFERROR(__xludf.DUMMYFUNCTION("""COMPUTED_VALUE"""),12.225)</f>
        <v>12.225</v>
      </c>
      <c r="B15" s="801" t="str">
        <f ca="1">IFERROR(__xludf.DUMMYFUNCTION("""COMPUTED_VALUE"""),"T-Mo")</f>
        <v>T-Mo</v>
      </c>
      <c r="C15" s="802"/>
      <c r="D15" s="803"/>
      <c r="E15" s="235"/>
      <c r="F15" s="235"/>
      <c r="G15" s="235"/>
      <c r="H15" s="533"/>
      <c r="I15" s="533"/>
      <c r="J15" s="802"/>
      <c r="K15" s="533"/>
      <c r="L15" s="804"/>
      <c r="M15" s="802"/>
      <c r="N15" s="533"/>
      <c r="O15" s="533"/>
      <c r="P15" s="533"/>
      <c r="Q15" s="533"/>
      <c r="R15" s="533"/>
      <c r="S15" s="533"/>
      <c r="T15" s="533"/>
      <c r="U15" s="799"/>
      <c r="V15" s="799"/>
      <c r="W15" s="799"/>
      <c r="X15" s="799"/>
      <c r="Y15" s="799"/>
      <c r="Z15" s="799"/>
      <c r="AA15" s="799"/>
      <c r="AB15" s="799"/>
      <c r="AC15" s="799"/>
    </row>
    <row r="16" spans="1:29">
      <c r="A16" s="805">
        <f ca="1">IFERROR(__xludf.DUMMYFUNCTION("""COMPUTED_VALUE"""),14.027)</f>
        <v>14.026999999999999</v>
      </c>
      <c r="B16" s="801" t="str">
        <f ca="1">IFERROR(__xludf.DUMMYFUNCTION("""COMPUTED_VALUE"""),"Weezy")</f>
        <v>Weezy</v>
      </c>
      <c r="C16" s="802"/>
      <c r="D16" s="803"/>
      <c r="E16" s="235"/>
      <c r="F16" s="235"/>
      <c r="G16" s="235"/>
      <c r="H16" s="533"/>
      <c r="I16" s="533"/>
      <c r="J16" s="802"/>
      <c r="K16" s="533"/>
      <c r="L16" s="804"/>
      <c r="M16" s="802"/>
      <c r="N16" s="533"/>
      <c r="O16" s="533"/>
      <c r="P16" s="533"/>
      <c r="Q16" s="533"/>
      <c r="R16" s="533"/>
      <c r="S16" s="533"/>
      <c r="T16" s="533"/>
      <c r="U16" s="799"/>
      <c r="V16" s="799"/>
      <c r="W16" s="799"/>
      <c r="X16" s="799"/>
      <c r="Y16" s="799"/>
      <c r="Z16" s="799"/>
      <c r="AA16" s="799"/>
      <c r="AB16" s="799"/>
      <c r="AC16" s="799"/>
    </row>
    <row r="17" spans="1:30">
      <c r="A17" s="805">
        <f ca="1">IFERROR(__xludf.DUMMYFUNCTION("""COMPUTED_VALUE"""),16.508)</f>
        <v>16.507999999999999</v>
      </c>
      <c r="B17" s="801" t="str">
        <f ca="1">IFERROR(__xludf.DUMMYFUNCTION("""COMPUTED_VALUE"""),"DK")</f>
        <v>DK</v>
      </c>
      <c r="C17" s="802"/>
      <c r="D17" s="803"/>
      <c r="E17" s="235"/>
      <c r="F17" s="235"/>
      <c r="G17" s="235"/>
      <c r="H17" s="533"/>
      <c r="I17" s="533"/>
      <c r="J17" s="802"/>
      <c r="K17" s="533"/>
      <c r="L17" s="804"/>
      <c r="M17" s="802"/>
      <c r="N17" s="533"/>
      <c r="O17" s="533"/>
      <c r="P17" s="533"/>
      <c r="Q17" s="533"/>
      <c r="R17" s="533"/>
      <c r="S17" s="533"/>
      <c r="T17" s="533"/>
      <c r="U17" s="799"/>
      <c r="V17" s="799"/>
      <c r="W17" s="799"/>
      <c r="X17" s="799"/>
      <c r="Y17" s="799"/>
      <c r="Z17" s="799"/>
      <c r="AA17" s="799"/>
      <c r="AB17" s="799"/>
      <c r="AC17" s="799"/>
    </row>
    <row r="18" spans="1:30">
      <c r="A18" s="805">
        <f ca="1">IFERROR(__xludf.DUMMYFUNCTION("""COMPUTED_VALUE"""),18.511)</f>
        <v>18.510999999999999</v>
      </c>
      <c r="B18" s="801" t="str">
        <f ca="1">IFERROR(__xludf.DUMMYFUNCTION("""COMPUTED_VALUE"""),"Hile")</f>
        <v>Hile</v>
      </c>
      <c r="C18" s="802"/>
      <c r="D18" s="803"/>
      <c r="E18" s="235"/>
      <c r="F18" s="235"/>
      <c r="G18" s="235"/>
      <c r="H18" s="533"/>
      <c r="I18" s="533"/>
      <c r="J18" s="802"/>
      <c r="K18" s="533"/>
      <c r="L18" s="804"/>
      <c r="M18" s="802"/>
      <c r="N18" s="533"/>
      <c r="O18" s="533"/>
      <c r="P18" s="533"/>
      <c r="Q18" s="533"/>
      <c r="R18" s="533"/>
      <c r="S18" s="533"/>
      <c r="T18" s="533"/>
      <c r="U18" s="799"/>
      <c r="V18" s="799"/>
      <c r="W18" s="799"/>
      <c r="X18" s="799"/>
      <c r="Y18" s="799"/>
      <c r="Z18" s="799"/>
      <c r="AA18" s="799"/>
      <c r="AB18" s="799"/>
      <c r="AC18" s="799"/>
    </row>
    <row r="19" spans="1:30">
      <c r="A19" s="805">
        <f ca="1">IFERROR(__xludf.DUMMYFUNCTION("""COMPUTED_VALUE"""),18.807)</f>
        <v>18.806999999999999</v>
      </c>
      <c r="B19" s="801" t="str">
        <f ca="1">IFERROR(__xludf.DUMMYFUNCTION("""COMPUTED_VALUE"""),"Carp")</f>
        <v>Carp</v>
      </c>
      <c r="C19" s="802"/>
      <c r="D19" s="803"/>
      <c r="E19" s="235"/>
      <c r="F19" s="235"/>
      <c r="G19" s="235"/>
      <c r="H19" s="533"/>
      <c r="I19" s="533"/>
      <c r="J19" s="804"/>
      <c r="K19" s="533"/>
      <c r="L19" s="804"/>
      <c r="M19" s="802"/>
      <c r="N19" s="533"/>
      <c r="O19" s="533"/>
      <c r="P19" s="533"/>
      <c r="Q19" s="533"/>
      <c r="R19" s="533"/>
      <c r="S19" s="533"/>
      <c r="T19" s="533"/>
      <c r="U19" s="799"/>
      <c r="V19" s="799"/>
      <c r="W19" s="799"/>
      <c r="X19" s="799"/>
      <c r="Y19" s="799"/>
      <c r="Z19" s="799"/>
      <c r="AA19" s="799"/>
      <c r="AB19" s="799"/>
      <c r="AC19" s="799"/>
    </row>
    <row r="20" spans="1:30">
      <c r="A20" s="805">
        <f ca="1">IFERROR(__xludf.DUMMYFUNCTION("""COMPUTED_VALUE"""),22.616)</f>
        <v>22.616</v>
      </c>
      <c r="B20" s="801" t="str">
        <f ca="1">IFERROR(__xludf.DUMMYFUNCTION("""COMPUTED_VALUE"""),"Kyle M")</f>
        <v>Kyle M</v>
      </c>
      <c r="C20" s="802"/>
      <c r="D20" s="803"/>
      <c r="E20" s="235"/>
      <c r="F20" s="235"/>
      <c r="G20" s="235"/>
      <c r="H20" s="533"/>
      <c r="I20" s="533"/>
      <c r="J20" s="804"/>
      <c r="K20" s="533"/>
      <c r="L20" s="804"/>
      <c r="M20" s="802"/>
      <c r="N20" s="533"/>
      <c r="O20" s="533"/>
      <c r="P20" s="533"/>
      <c r="Q20" s="533"/>
      <c r="R20" s="533"/>
      <c r="S20" s="533"/>
      <c r="T20" s="533"/>
      <c r="U20" s="799"/>
      <c r="V20" s="799"/>
      <c r="W20" s="799"/>
      <c r="X20" s="799"/>
      <c r="Y20" s="799"/>
      <c r="Z20" s="799"/>
      <c r="AA20" s="799"/>
      <c r="AB20" s="799"/>
      <c r="AC20" s="799"/>
    </row>
    <row r="21" spans="1:30">
      <c r="A21" s="805">
        <f ca="1">IFERROR(__xludf.DUMMYFUNCTION("""COMPUTED_VALUE"""),25.2219999999999)</f>
        <v>25.221999999999898</v>
      </c>
      <c r="B21" s="801" t="str">
        <f ca="1">IFERROR(__xludf.DUMMYFUNCTION("""COMPUTED_VALUE"""),"Saugy")</f>
        <v>Saugy</v>
      </c>
      <c r="C21" s="533"/>
      <c r="D21" s="803"/>
      <c r="E21" s="235"/>
      <c r="F21" s="235"/>
      <c r="G21" s="235"/>
      <c r="H21" s="533"/>
      <c r="I21" s="533"/>
      <c r="J21" s="804"/>
      <c r="K21" s="533"/>
      <c r="L21" s="804"/>
      <c r="M21" s="533"/>
      <c r="N21" s="533"/>
      <c r="O21" s="533"/>
      <c r="P21" s="533"/>
      <c r="Q21" s="533"/>
      <c r="R21" s="533"/>
      <c r="S21" s="533"/>
      <c r="T21" s="533"/>
      <c r="U21" s="799"/>
      <c r="V21" s="799"/>
      <c r="W21" s="799"/>
      <c r="X21" s="799"/>
      <c r="Y21" s="799"/>
      <c r="Z21" s="799"/>
      <c r="AA21" s="799"/>
      <c r="AB21" s="799"/>
      <c r="AC21" s="799"/>
    </row>
    <row r="22" spans="1:30">
      <c r="A22" s="804"/>
      <c r="B22" s="804"/>
      <c r="C22" s="533"/>
      <c r="D22" s="804"/>
      <c r="E22" s="533"/>
      <c r="F22" s="533"/>
      <c r="G22" s="533"/>
      <c r="H22" s="533"/>
      <c r="I22" s="533"/>
      <c r="J22" s="804"/>
      <c r="K22" s="804"/>
      <c r="L22" s="804"/>
      <c r="M22" s="533"/>
      <c r="N22" s="533"/>
      <c r="O22" s="533"/>
      <c r="P22" s="533"/>
      <c r="Q22" s="533"/>
      <c r="R22" s="533"/>
      <c r="S22" s="533"/>
      <c r="T22" s="533"/>
      <c r="U22" s="806"/>
      <c r="V22" s="799"/>
      <c r="W22" s="799"/>
      <c r="X22" s="799"/>
      <c r="Y22" s="799"/>
      <c r="Z22" s="799"/>
      <c r="AA22" s="799"/>
      <c r="AB22" s="799"/>
      <c r="AC22" s="799"/>
      <c r="AD22" s="799"/>
    </row>
    <row r="23" spans="1:30">
      <c r="A23" s="804"/>
      <c r="B23" s="804"/>
      <c r="C23" s="533"/>
      <c r="D23" s="804"/>
      <c r="E23" s="533"/>
      <c r="F23" s="533"/>
      <c r="G23" s="533"/>
      <c r="H23" s="533"/>
      <c r="I23" s="533"/>
      <c r="J23" s="804"/>
      <c r="K23" s="804"/>
      <c r="L23" s="804"/>
      <c r="M23" s="533"/>
      <c r="N23" s="533"/>
      <c r="O23" s="533"/>
      <c r="P23" s="533"/>
      <c r="Q23" s="533"/>
      <c r="R23" s="533"/>
      <c r="S23" s="533"/>
      <c r="T23" s="533"/>
      <c r="U23" s="806"/>
      <c r="V23" s="799"/>
      <c r="W23" s="799"/>
      <c r="X23" s="799"/>
      <c r="Y23" s="799"/>
      <c r="Z23" s="799"/>
      <c r="AA23" s="799"/>
      <c r="AB23" s="799"/>
      <c r="AC23" s="799"/>
      <c r="AD23" s="799"/>
    </row>
    <row r="24" spans="1:30">
      <c r="A24" s="804"/>
      <c r="B24" s="804"/>
      <c r="C24" s="533"/>
      <c r="D24" s="804"/>
      <c r="E24" s="533"/>
      <c r="F24" s="533"/>
      <c r="G24" s="533"/>
      <c r="H24" s="533"/>
      <c r="I24" s="533"/>
      <c r="J24" s="804"/>
      <c r="K24" s="804"/>
      <c r="L24" s="804"/>
      <c r="M24" s="533"/>
      <c r="N24" s="533"/>
      <c r="O24" s="533"/>
      <c r="P24" s="533"/>
      <c r="Q24" s="533"/>
      <c r="R24" s="533"/>
      <c r="S24" s="533"/>
      <c r="T24" s="533"/>
      <c r="U24" s="806"/>
      <c r="V24" s="799"/>
      <c r="W24" s="799"/>
      <c r="X24" s="799"/>
      <c r="Y24" s="799"/>
      <c r="Z24" s="799"/>
      <c r="AA24" s="799"/>
      <c r="AB24" s="799"/>
      <c r="AC24" s="799"/>
      <c r="AD24" s="799"/>
    </row>
    <row r="25" spans="1:30">
      <c r="A25" s="804"/>
      <c r="B25" s="804"/>
      <c r="C25" s="533"/>
      <c r="D25" s="804"/>
      <c r="E25" s="533"/>
      <c r="F25" s="533"/>
      <c r="G25" s="533"/>
      <c r="H25" s="533"/>
      <c r="I25" s="533"/>
      <c r="J25" s="533"/>
      <c r="K25" s="533"/>
      <c r="L25" s="533"/>
      <c r="M25" s="533"/>
      <c r="N25" s="533"/>
      <c r="O25" s="533"/>
      <c r="P25" s="533"/>
      <c r="Q25" s="533"/>
      <c r="R25" s="533"/>
      <c r="S25" s="533"/>
      <c r="T25" s="533"/>
      <c r="U25" s="799"/>
      <c r="V25" s="799"/>
      <c r="W25" s="799"/>
      <c r="X25" s="799"/>
      <c r="Y25" s="799"/>
      <c r="Z25" s="799"/>
      <c r="AA25" s="799"/>
      <c r="AB25" s="799"/>
      <c r="AC25" s="799"/>
    </row>
    <row r="26" spans="1:30">
      <c r="A26" s="804"/>
      <c r="B26" s="804"/>
      <c r="C26" s="533"/>
      <c r="D26" s="804"/>
      <c r="E26" s="533"/>
      <c r="F26" s="533"/>
      <c r="G26" s="533"/>
      <c r="H26" s="533"/>
      <c r="I26" s="533"/>
      <c r="J26" s="533"/>
      <c r="K26" s="533"/>
      <c r="L26" s="533"/>
      <c r="M26" s="533"/>
      <c r="N26" s="533"/>
      <c r="O26" s="533"/>
      <c r="P26" s="533"/>
      <c r="Q26" s="533"/>
      <c r="R26" s="533"/>
      <c r="S26" s="533"/>
      <c r="T26" s="533"/>
      <c r="U26" s="799"/>
      <c r="V26" s="799"/>
      <c r="W26" s="799"/>
      <c r="X26" s="799"/>
      <c r="Y26" s="799"/>
      <c r="Z26" s="799"/>
      <c r="AA26" s="799"/>
      <c r="AB26" s="799"/>
      <c r="AC26" s="799"/>
    </row>
    <row r="27" spans="1:30">
      <c r="A27" s="804"/>
      <c r="B27" s="804"/>
      <c r="C27" s="533"/>
      <c r="D27" s="804"/>
      <c r="E27" s="533"/>
      <c r="F27" s="533"/>
      <c r="G27" s="533"/>
      <c r="H27" s="533"/>
      <c r="I27" s="533"/>
      <c r="J27" s="533"/>
      <c r="K27" s="533"/>
      <c r="L27" s="533"/>
      <c r="M27" s="533"/>
      <c r="N27" s="533"/>
      <c r="O27" s="533"/>
      <c r="P27" s="533"/>
      <c r="Q27" s="533"/>
      <c r="R27" s="533"/>
      <c r="S27" s="533"/>
      <c r="T27" s="533"/>
      <c r="U27" s="799"/>
      <c r="V27" s="799"/>
      <c r="W27" s="799"/>
      <c r="X27" s="799"/>
      <c r="Y27" s="799"/>
      <c r="Z27" s="799"/>
      <c r="AA27" s="799"/>
      <c r="AB27" s="799"/>
      <c r="AC27" s="799"/>
    </row>
    <row r="28" spans="1:30">
      <c r="A28" s="804"/>
      <c r="B28" s="804"/>
      <c r="C28" s="533"/>
      <c r="D28" s="804"/>
      <c r="E28" s="533"/>
      <c r="F28" s="533"/>
      <c r="G28" s="533"/>
      <c r="H28" s="533"/>
      <c r="I28" s="533"/>
      <c r="J28" s="533"/>
      <c r="K28" s="533"/>
      <c r="L28" s="533"/>
      <c r="M28" s="533"/>
      <c r="N28" s="533"/>
      <c r="O28" s="533"/>
      <c r="P28" s="533"/>
      <c r="Q28" s="533"/>
      <c r="R28" s="533"/>
      <c r="S28" s="533"/>
      <c r="T28" s="533"/>
      <c r="U28" s="799"/>
      <c r="V28" s="799"/>
      <c r="W28" s="799"/>
      <c r="X28" s="799"/>
      <c r="Y28" s="799"/>
      <c r="Z28" s="799"/>
      <c r="AA28" s="799"/>
      <c r="AB28" s="799"/>
      <c r="AC28" s="799"/>
    </row>
    <row r="29" spans="1:30">
      <c r="A29" s="804"/>
      <c r="B29" s="804"/>
      <c r="C29" s="533"/>
      <c r="D29" s="804"/>
      <c r="E29" s="533"/>
      <c r="F29" s="533"/>
      <c r="G29" s="533"/>
      <c r="H29" s="533"/>
      <c r="I29" s="533"/>
      <c r="J29" s="533"/>
      <c r="K29" s="533"/>
      <c r="L29" s="533"/>
      <c r="M29" s="533"/>
      <c r="N29" s="533"/>
      <c r="O29" s="533"/>
      <c r="P29" s="533"/>
      <c r="Q29" s="533"/>
      <c r="R29" s="533"/>
      <c r="S29" s="533"/>
      <c r="T29" s="533"/>
      <c r="U29" s="799"/>
      <c r="V29" s="799"/>
      <c r="W29" s="799"/>
      <c r="X29" s="799"/>
      <c r="Y29" s="799"/>
      <c r="Z29" s="799"/>
      <c r="AA29" s="799"/>
      <c r="AB29" s="799"/>
      <c r="AC29" s="799"/>
    </row>
    <row r="30" spans="1:30">
      <c r="A30" s="804"/>
      <c r="B30" s="804"/>
      <c r="C30" s="533"/>
      <c r="D30" s="804"/>
      <c r="E30" s="533"/>
      <c r="F30" s="533"/>
      <c r="G30" s="533"/>
      <c r="H30" s="533"/>
      <c r="I30" s="533"/>
      <c r="J30" s="533"/>
      <c r="K30" s="533"/>
      <c r="L30" s="533"/>
      <c r="M30" s="533"/>
      <c r="N30" s="533"/>
      <c r="O30" s="533"/>
      <c r="P30" s="533"/>
      <c r="Q30" s="533"/>
      <c r="R30" s="533"/>
      <c r="S30" s="533"/>
      <c r="T30" s="533"/>
      <c r="U30" s="799"/>
      <c r="V30" s="799"/>
      <c r="W30" s="799"/>
      <c r="X30" s="799"/>
      <c r="Y30" s="799"/>
      <c r="Z30" s="799"/>
      <c r="AA30" s="799"/>
      <c r="AB30" s="799"/>
      <c r="AC30" s="799"/>
    </row>
    <row r="31" spans="1:30">
      <c r="A31" s="804"/>
      <c r="B31" s="804"/>
      <c r="C31" s="533"/>
      <c r="D31" s="804"/>
      <c r="E31" s="533"/>
      <c r="F31" s="533"/>
      <c r="G31" s="533"/>
      <c r="H31" s="533"/>
      <c r="I31" s="533"/>
      <c r="J31" s="533"/>
      <c r="K31" s="533"/>
      <c r="L31" s="533"/>
      <c r="M31" s="533"/>
      <c r="N31" s="533"/>
      <c r="O31" s="533"/>
      <c r="P31" s="533"/>
      <c r="Q31" s="533"/>
      <c r="R31" s="533"/>
      <c r="S31" s="533"/>
      <c r="T31" s="533"/>
      <c r="U31" s="799"/>
      <c r="V31" s="799"/>
      <c r="W31" s="799"/>
      <c r="X31" s="799"/>
      <c r="Y31" s="799"/>
      <c r="Z31" s="799"/>
      <c r="AA31" s="799"/>
      <c r="AB31" s="799"/>
      <c r="AC31" s="799"/>
    </row>
    <row r="32" spans="1:30">
      <c r="A32" s="804"/>
      <c r="B32" s="804"/>
      <c r="C32" s="533"/>
      <c r="D32" s="804"/>
      <c r="E32" s="533"/>
      <c r="F32" s="533"/>
      <c r="G32" s="533"/>
      <c r="H32" s="533"/>
      <c r="I32" s="533"/>
      <c r="J32" s="533"/>
      <c r="K32" s="533"/>
      <c r="L32" s="533"/>
      <c r="M32" s="533"/>
      <c r="N32" s="533"/>
      <c r="O32" s="533"/>
      <c r="P32" s="533"/>
      <c r="Q32" s="533"/>
      <c r="R32" s="533"/>
      <c r="S32" s="533"/>
      <c r="T32" s="533"/>
      <c r="U32" s="799"/>
      <c r="V32" s="799"/>
      <c r="W32" s="799"/>
      <c r="X32" s="799"/>
      <c r="Y32" s="799"/>
      <c r="Z32" s="799"/>
      <c r="AA32" s="799"/>
      <c r="AB32" s="799"/>
      <c r="AC32" s="799"/>
    </row>
    <row r="33" spans="1:29">
      <c r="A33" s="804"/>
      <c r="B33" s="804"/>
      <c r="C33" s="533"/>
      <c r="D33" s="804"/>
      <c r="E33" s="533"/>
      <c r="F33" s="533"/>
      <c r="G33" s="533"/>
      <c r="H33" s="533"/>
      <c r="I33" s="533"/>
      <c r="J33" s="533"/>
      <c r="K33" s="533"/>
      <c r="L33" s="533"/>
      <c r="M33" s="533"/>
      <c r="N33" s="533"/>
      <c r="O33" s="533"/>
      <c r="P33" s="533"/>
      <c r="Q33" s="533"/>
      <c r="R33" s="533"/>
      <c r="S33" s="533"/>
      <c r="T33" s="533"/>
      <c r="U33" s="799"/>
      <c r="V33" s="799"/>
      <c r="W33" s="799"/>
      <c r="X33" s="799"/>
      <c r="Y33" s="799"/>
      <c r="Z33" s="799"/>
      <c r="AA33" s="799"/>
      <c r="AB33" s="799"/>
      <c r="AC33" s="799"/>
    </row>
    <row r="34" spans="1:29">
      <c r="A34" s="804"/>
      <c r="B34" s="804"/>
      <c r="C34" s="533"/>
      <c r="D34" s="804"/>
      <c r="E34" s="533"/>
      <c r="F34" s="533"/>
      <c r="G34" s="533"/>
      <c r="H34" s="533"/>
      <c r="I34" s="804"/>
      <c r="J34" s="804"/>
      <c r="K34" s="804"/>
      <c r="L34" s="804"/>
      <c r="M34" s="804"/>
      <c r="N34" s="804"/>
      <c r="O34" s="804"/>
      <c r="P34" s="804"/>
      <c r="Q34" s="804"/>
      <c r="R34" s="533"/>
      <c r="S34" s="533"/>
      <c r="T34" s="533"/>
      <c r="U34" s="799"/>
      <c r="V34" s="799"/>
      <c r="W34" s="799"/>
      <c r="X34" s="799"/>
      <c r="Y34" s="799"/>
      <c r="Z34" s="799"/>
      <c r="AA34" s="799"/>
      <c r="AB34" s="799"/>
      <c r="AC34" s="799"/>
    </row>
    <row r="35" spans="1:29">
      <c r="A35" s="804"/>
      <c r="B35" s="804"/>
      <c r="C35" s="533"/>
      <c r="D35" s="804"/>
      <c r="E35" s="533"/>
      <c r="F35" s="533"/>
      <c r="G35" s="533"/>
      <c r="H35" s="533"/>
      <c r="I35" s="804"/>
      <c r="J35" s="804"/>
      <c r="K35" s="804"/>
      <c r="L35" s="804"/>
      <c r="M35" s="804"/>
      <c r="N35" s="804"/>
      <c r="O35" s="804"/>
      <c r="P35" s="804"/>
      <c r="Q35" s="804"/>
      <c r="R35" s="533"/>
      <c r="S35" s="533"/>
      <c r="T35" s="533"/>
      <c r="U35" s="799"/>
      <c r="V35" s="799"/>
      <c r="W35" s="799"/>
      <c r="X35" s="799"/>
      <c r="Y35" s="799"/>
      <c r="Z35" s="799"/>
      <c r="AA35" s="799"/>
      <c r="AB35" s="799"/>
      <c r="AC35" s="799"/>
    </row>
    <row r="36" spans="1:29">
      <c r="A36" s="804"/>
      <c r="B36" s="804"/>
      <c r="C36" s="533"/>
      <c r="D36" s="804"/>
      <c r="E36" s="533"/>
      <c r="F36" s="533"/>
      <c r="G36" s="533"/>
      <c r="H36" s="533"/>
      <c r="I36" s="533"/>
      <c r="J36" s="804"/>
      <c r="K36" s="804"/>
      <c r="L36" s="533"/>
      <c r="M36" s="533"/>
      <c r="N36" s="533"/>
      <c r="O36" s="533"/>
      <c r="P36" s="533"/>
      <c r="Q36" s="533"/>
      <c r="R36" s="533"/>
      <c r="S36" s="533"/>
      <c r="T36" s="533"/>
      <c r="U36" s="799"/>
      <c r="V36" s="799"/>
      <c r="W36" s="799"/>
      <c r="X36" s="799"/>
      <c r="Y36" s="799"/>
      <c r="Z36" s="799"/>
      <c r="AA36" s="799"/>
      <c r="AB36" s="799"/>
      <c r="AC36" s="799"/>
    </row>
    <row r="37" spans="1:29">
      <c r="A37" s="804"/>
      <c r="B37" s="804"/>
      <c r="C37" s="533"/>
      <c r="D37" s="804"/>
      <c r="E37" s="533"/>
      <c r="F37" s="533"/>
      <c r="G37" s="533"/>
      <c r="H37" s="533"/>
      <c r="I37" s="533"/>
      <c r="J37" s="533"/>
      <c r="K37" s="533"/>
      <c r="L37" s="533"/>
      <c r="M37" s="533"/>
      <c r="N37" s="533"/>
      <c r="O37" s="533"/>
      <c r="P37" s="533"/>
      <c r="Q37" s="533"/>
      <c r="R37" s="533"/>
      <c r="S37" s="533"/>
      <c r="T37" s="533"/>
      <c r="U37" s="799"/>
      <c r="V37" s="799"/>
      <c r="W37" s="799"/>
      <c r="X37" s="799"/>
      <c r="Y37" s="799"/>
      <c r="Z37" s="799"/>
      <c r="AA37" s="799"/>
      <c r="AB37" s="799"/>
      <c r="AC37" s="799"/>
    </row>
    <row r="38" spans="1:29">
      <c r="A38" s="804"/>
      <c r="B38" s="804"/>
      <c r="C38" s="533"/>
      <c r="D38" s="804"/>
      <c r="E38" s="533"/>
      <c r="F38" s="533"/>
      <c r="G38" s="533"/>
      <c r="H38" s="533"/>
      <c r="I38" s="533"/>
      <c r="J38" s="533"/>
      <c r="K38" s="533"/>
      <c r="L38" s="533"/>
      <c r="M38" s="533"/>
      <c r="N38" s="533"/>
      <c r="O38" s="533"/>
      <c r="P38" s="533"/>
      <c r="Q38" s="533"/>
      <c r="R38" s="533"/>
      <c r="S38" s="533"/>
      <c r="T38" s="533"/>
      <c r="U38" s="799"/>
      <c r="V38" s="799"/>
      <c r="W38" s="799"/>
      <c r="X38" s="799"/>
      <c r="Y38" s="799"/>
      <c r="Z38" s="799"/>
      <c r="AA38" s="799"/>
      <c r="AB38" s="799"/>
      <c r="AC38" s="799"/>
    </row>
    <row r="39" spans="1:29">
      <c r="A39" s="804"/>
      <c r="B39" s="804"/>
      <c r="C39" s="533"/>
      <c r="D39" s="804"/>
      <c r="E39" s="533"/>
      <c r="F39" s="533"/>
      <c r="G39" s="533"/>
      <c r="H39" s="533"/>
      <c r="I39" s="533"/>
      <c r="J39" s="533"/>
      <c r="K39" s="533"/>
      <c r="L39" s="533"/>
      <c r="M39" s="533"/>
      <c r="N39" s="533"/>
      <c r="O39" s="533"/>
      <c r="P39" s="533"/>
      <c r="Q39" s="533"/>
      <c r="R39" s="533"/>
      <c r="S39" s="533"/>
      <c r="T39" s="533"/>
      <c r="U39" s="799"/>
      <c r="V39" s="799"/>
      <c r="W39" s="799"/>
      <c r="X39" s="799"/>
      <c r="Y39" s="799"/>
      <c r="Z39" s="799"/>
      <c r="AA39" s="799"/>
      <c r="AB39" s="799"/>
      <c r="AC39" s="799"/>
    </row>
    <row r="40" spans="1:29">
      <c r="A40" s="804"/>
      <c r="B40" s="804"/>
      <c r="C40" s="533"/>
      <c r="D40" s="804"/>
      <c r="E40" s="533"/>
      <c r="F40" s="533"/>
      <c r="G40" s="533"/>
      <c r="H40" s="533"/>
      <c r="I40" s="533"/>
      <c r="J40" s="533"/>
      <c r="K40" s="533"/>
      <c r="L40" s="533"/>
      <c r="M40" s="533"/>
      <c r="N40" s="533"/>
      <c r="O40" s="533"/>
      <c r="P40" s="533"/>
      <c r="Q40" s="533"/>
      <c r="R40" s="533"/>
      <c r="S40" s="533"/>
      <c r="T40" s="533"/>
      <c r="U40" s="799"/>
      <c r="V40" s="799"/>
      <c r="W40" s="799"/>
      <c r="X40" s="799"/>
      <c r="Y40" s="799"/>
      <c r="Z40" s="799"/>
      <c r="AA40" s="799"/>
      <c r="AB40" s="799"/>
      <c r="AC40" s="799"/>
    </row>
    <row r="41" spans="1:29">
      <c r="A41" s="804"/>
      <c r="B41" s="804"/>
      <c r="C41" s="533"/>
      <c r="D41" s="804"/>
      <c r="E41" s="533"/>
      <c r="F41" s="533"/>
      <c r="G41" s="533"/>
      <c r="H41" s="533"/>
      <c r="I41" s="533"/>
      <c r="J41" s="533"/>
      <c r="K41" s="533"/>
      <c r="L41" s="533"/>
      <c r="M41" s="533"/>
      <c r="N41" s="533"/>
      <c r="O41" s="533"/>
      <c r="P41" s="533"/>
      <c r="Q41" s="533"/>
      <c r="R41" s="533"/>
      <c r="S41" s="533"/>
      <c r="T41" s="533"/>
      <c r="U41" s="799"/>
      <c r="V41" s="799"/>
      <c r="W41" s="799"/>
      <c r="X41" s="799"/>
      <c r="Y41" s="799"/>
      <c r="Z41" s="799"/>
      <c r="AA41" s="799"/>
      <c r="AB41" s="799"/>
      <c r="AC41" s="799"/>
    </row>
    <row r="42" spans="1:29">
      <c r="A42" s="804"/>
      <c r="B42" s="804"/>
      <c r="C42" s="533"/>
      <c r="D42" s="804"/>
      <c r="E42" s="533"/>
      <c r="F42" s="533"/>
      <c r="G42" s="533"/>
      <c r="H42" s="533"/>
      <c r="I42" s="533"/>
      <c r="J42" s="533"/>
      <c r="K42" s="533"/>
      <c r="L42" s="533"/>
      <c r="M42" s="533"/>
      <c r="N42" s="533"/>
      <c r="O42" s="533"/>
      <c r="P42" s="533"/>
      <c r="Q42" s="533"/>
      <c r="R42" s="533"/>
      <c r="S42" s="533"/>
      <c r="T42" s="533"/>
      <c r="U42" s="799"/>
      <c r="V42" s="799"/>
      <c r="W42" s="799"/>
      <c r="X42" s="799"/>
      <c r="Y42" s="799"/>
      <c r="Z42" s="799"/>
      <c r="AA42" s="799"/>
      <c r="AB42" s="799"/>
      <c r="AC42" s="799"/>
    </row>
    <row r="43" spans="1:29">
      <c r="A43" s="804"/>
      <c r="B43" s="804"/>
      <c r="C43" s="533"/>
      <c r="D43" s="804"/>
      <c r="E43" s="533"/>
      <c r="F43" s="533"/>
      <c r="G43" s="533"/>
      <c r="H43" s="533"/>
      <c r="I43" s="533"/>
      <c r="J43" s="533"/>
      <c r="K43" s="533"/>
      <c r="L43" s="533"/>
      <c r="M43" s="533"/>
      <c r="N43" s="533"/>
      <c r="O43" s="533"/>
      <c r="P43" s="533"/>
      <c r="Q43" s="533"/>
      <c r="R43" s="533"/>
      <c r="S43" s="533"/>
      <c r="T43" s="533"/>
      <c r="U43" s="799"/>
      <c r="V43" s="799"/>
      <c r="W43" s="799"/>
      <c r="X43" s="799"/>
      <c r="Y43" s="799"/>
      <c r="Z43" s="799"/>
      <c r="AA43" s="799"/>
      <c r="AB43" s="799"/>
      <c r="AC43" s="799"/>
    </row>
    <row r="44" spans="1:29">
      <c r="A44" s="804"/>
      <c r="B44" s="804"/>
      <c r="C44" s="533"/>
      <c r="D44" s="804"/>
      <c r="E44" s="533"/>
      <c r="F44" s="533"/>
      <c r="G44" s="533"/>
      <c r="H44" s="533"/>
      <c r="I44" s="533"/>
      <c r="J44" s="533"/>
      <c r="K44" s="533"/>
      <c r="L44" s="533"/>
      <c r="M44" s="533"/>
      <c r="N44" s="533"/>
      <c r="O44" s="533"/>
      <c r="P44" s="533"/>
      <c r="Q44" s="533"/>
      <c r="R44" s="533"/>
      <c r="S44" s="533"/>
      <c r="T44" s="533"/>
      <c r="U44" s="799"/>
      <c r="V44" s="799"/>
      <c r="W44" s="799"/>
      <c r="X44" s="799"/>
      <c r="Y44" s="799"/>
      <c r="Z44" s="799"/>
      <c r="AA44" s="799"/>
      <c r="AB44" s="799"/>
      <c r="AC44" s="799"/>
    </row>
    <row r="45" spans="1:29">
      <c r="A45" s="804"/>
      <c r="B45" s="804"/>
      <c r="C45" s="533"/>
      <c r="D45" s="804"/>
      <c r="E45" s="533"/>
      <c r="F45" s="533"/>
      <c r="G45" s="533"/>
      <c r="H45" s="533"/>
      <c r="I45" s="533"/>
      <c r="J45" s="533"/>
      <c r="K45" s="533"/>
      <c r="L45" s="533"/>
      <c r="M45" s="533"/>
      <c r="N45" s="533"/>
      <c r="O45" s="533"/>
      <c r="P45" s="533"/>
      <c r="Q45" s="533"/>
      <c r="R45" s="533"/>
      <c r="S45" s="533"/>
      <c r="T45" s="533"/>
      <c r="U45" s="799"/>
      <c r="V45" s="799"/>
      <c r="W45" s="799"/>
      <c r="X45" s="799"/>
      <c r="Y45" s="799"/>
      <c r="Z45" s="799"/>
      <c r="AA45" s="799"/>
      <c r="AB45" s="799"/>
      <c r="AC45" s="799"/>
    </row>
    <row r="46" spans="1:29">
      <c r="A46" s="804"/>
      <c r="B46" s="804"/>
      <c r="C46" s="533"/>
      <c r="D46" s="804"/>
      <c r="E46" s="533"/>
      <c r="F46" s="533"/>
      <c r="G46" s="533"/>
      <c r="H46" s="533"/>
      <c r="I46" s="804"/>
      <c r="J46" s="804"/>
      <c r="K46" s="804"/>
      <c r="L46" s="804"/>
      <c r="M46" s="804"/>
      <c r="N46" s="804"/>
      <c r="O46" s="804"/>
      <c r="P46" s="804"/>
      <c r="Q46" s="804"/>
      <c r="R46" s="533"/>
      <c r="S46" s="533"/>
      <c r="T46" s="533"/>
      <c r="U46" s="799"/>
      <c r="V46" s="799"/>
      <c r="W46" s="799"/>
      <c r="X46" s="799"/>
      <c r="Y46" s="799"/>
      <c r="Z46" s="799"/>
      <c r="AA46" s="799"/>
      <c r="AB46" s="799"/>
      <c r="AC46" s="799"/>
    </row>
    <row r="47" spans="1:29">
      <c r="A47" s="804"/>
      <c r="B47" s="804"/>
      <c r="C47" s="533"/>
      <c r="D47" s="804"/>
      <c r="E47" s="533"/>
      <c r="F47" s="533"/>
      <c r="G47" s="533"/>
      <c r="H47" s="533"/>
      <c r="I47" s="804"/>
      <c r="J47" s="804"/>
      <c r="K47" s="804"/>
      <c r="L47" s="804"/>
      <c r="M47" s="804"/>
      <c r="N47" s="804"/>
      <c r="O47" s="804"/>
      <c r="P47" s="804"/>
      <c r="Q47" s="804"/>
      <c r="R47" s="533"/>
      <c r="S47" s="533"/>
      <c r="T47" s="533"/>
      <c r="U47" s="799"/>
      <c r="V47" s="799"/>
      <c r="W47" s="799"/>
      <c r="X47" s="799"/>
      <c r="Y47" s="799"/>
      <c r="Z47" s="799"/>
      <c r="AA47" s="799"/>
      <c r="AB47" s="799"/>
      <c r="AC47" s="799"/>
    </row>
    <row r="48" spans="1:29">
      <c r="A48" s="799" t="s">
        <v>166</v>
      </c>
      <c r="B48" s="799" t="s">
        <v>167</v>
      </c>
      <c r="C48" s="799"/>
      <c r="D48" s="807">
        <v>13.7</v>
      </c>
      <c r="E48" s="808"/>
      <c r="F48" s="808">
        <f t="shared" ref="F48:F210" si="0">IFERROR(FIND("~",D48),0)</f>
        <v>0</v>
      </c>
      <c r="G48" s="809">
        <f t="shared" ref="G48:G210" si="1">IF(F48&gt;0,LEFT(D48,FIND("~",D48)-1)+1,D48)</f>
        <v>13.7</v>
      </c>
      <c r="H48" s="799"/>
      <c r="I48" s="799"/>
      <c r="J48" s="807"/>
      <c r="K48" s="807"/>
      <c r="L48" s="799"/>
      <c r="M48" s="799"/>
      <c r="N48" s="799"/>
      <c r="O48" s="799"/>
      <c r="P48" s="799"/>
      <c r="Q48" s="799"/>
      <c r="R48" s="799"/>
      <c r="S48" s="799"/>
      <c r="T48" s="799"/>
      <c r="U48" s="799"/>
      <c r="V48" s="799"/>
      <c r="W48" s="799"/>
      <c r="X48" s="799"/>
      <c r="Y48" s="799"/>
      <c r="Z48" s="799"/>
      <c r="AA48" s="799"/>
      <c r="AB48" s="799"/>
      <c r="AC48" s="799"/>
    </row>
    <row r="49" spans="1:30">
      <c r="A49" s="799" t="s">
        <v>168</v>
      </c>
      <c r="B49" s="799"/>
      <c r="C49" s="799"/>
      <c r="D49" s="807"/>
      <c r="E49" s="808"/>
      <c r="F49" s="808">
        <f t="shared" si="0"/>
        <v>0</v>
      </c>
      <c r="G49" s="809">
        <f t="shared" si="1"/>
        <v>0</v>
      </c>
      <c r="H49" s="799"/>
      <c r="I49" s="799"/>
      <c r="J49" s="807"/>
      <c r="K49" s="807"/>
      <c r="L49" s="799"/>
      <c r="M49" s="799"/>
      <c r="N49" s="799"/>
      <c r="O49" s="799"/>
      <c r="P49" s="799"/>
      <c r="Q49" s="799"/>
      <c r="R49" s="799"/>
      <c r="S49" s="799"/>
      <c r="T49" s="799"/>
      <c r="U49" s="799"/>
      <c r="V49" s="799"/>
      <c r="W49" s="799"/>
      <c r="X49" s="799"/>
      <c r="Y49" s="799"/>
      <c r="Z49" s="799"/>
      <c r="AA49" s="799"/>
      <c r="AB49" s="799"/>
      <c r="AC49" s="799"/>
    </row>
    <row r="50" spans="1:30">
      <c r="A50" s="799" t="s">
        <v>169</v>
      </c>
      <c r="B50" s="799"/>
      <c r="C50" s="799"/>
      <c r="D50" s="807"/>
      <c r="E50" s="808"/>
      <c r="F50" s="808">
        <f t="shared" si="0"/>
        <v>0</v>
      </c>
      <c r="G50" s="809">
        <f t="shared" si="1"/>
        <v>0</v>
      </c>
      <c r="H50" s="799"/>
      <c r="I50" s="799"/>
      <c r="J50" s="807"/>
      <c r="K50" s="807"/>
      <c r="L50" s="799"/>
      <c r="M50" s="799"/>
      <c r="N50" s="799"/>
      <c r="O50" s="799"/>
      <c r="P50" s="799"/>
      <c r="Q50" s="799"/>
      <c r="R50" s="799"/>
      <c r="S50" s="799"/>
      <c r="T50" s="799"/>
      <c r="U50" s="799"/>
      <c r="V50" s="799"/>
      <c r="W50" s="799"/>
      <c r="X50" s="799"/>
      <c r="Y50" s="799"/>
      <c r="Z50" s="799"/>
      <c r="AA50" s="799"/>
      <c r="AB50" s="799"/>
      <c r="AC50" s="799"/>
    </row>
    <row r="51" spans="1:30">
      <c r="A51" s="799" t="s">
        <v>166</v>
      </c>
      <c r="B51" s="799" t="s">
        <v>170</v>
      </c>
      <c r="C51" s="799" t="s">
        <v>171</v>
      </c>
      <c r="D51" s="807">
        <v>14.5</v>
      </c>
      <c r="E51" s="808"/>
      <c r="F51" s="808">
        <f t="shared" si="0"/>
        <v>0</v>
      </c>
      <c r="G51" s="809">
        <f t="shared" si="1"/>
        <v>14.5</v>
      </c>
      <c r="H51" s="799"/>
      <c r="I51" s="799"/>
      <c r="J51" s="807"/>
      <c r="K51" s="807"/>
      <c r="L51" s="799"/>
      <c r="M51" s="799"/>
      <c r="N51" s="799"/>
      <c r="O51" s="799"/>
      <c r="P51" s="799"/>
      <c r="Q51" s="799"/>
      <c r="R51" s="799"/>
      <c r="S51" s="799"/>
      <c r="T51" s="799"/>
      <c r="U51" s="799"/>
      <c r="V51" s="799"/>
      <c r="W51" s="799"/>
      <c r="X51" s="799"/>
      <c r="Y51" s="799"/>
      <c r="Z51" s="799"/>
      <c r="AA51" s="799"/>
      <c r="AB51" s="799"/>
      <c r="AC51" s="799"/>
    </row>
    <row r="52" spans="1:30">
      <c r="A52" s="799" t="s">
        <v>168</v>
      </c>
      <c r="B52" s="799"/>
      <c r="C52" s="799"/>
      <c r="D52" s="807"/>
      <c r="E52" s="808"/>
      <c r="F52" s="808">
        <f t="shared" si="0"/>
        <v>0</v>
      </c>
      <c r="G52" s="809">
        <f t="shared" si="1"/>
        <v>0</v>
      </c>
      <c r="H52" s="799"/>
      <c r="I52" s="799"/>
      <c r="J52" s="807"/>
      <c r="K52" s="807"/>
      <c r="L52" s="799"/>
      <c r="M52" s="799"/>
      <c r="N52" s="799"/>
      <c r="O52" s="799"/>
      <c r="P52" s="799"/>
      <c r="Q52" s="799"/>
      <c r="R52" s="799"/>
      <c r="S52" s="799"/>
      <c r="T52" s="799"/>
      <c r="U52" s="799"/>
      <c r="V52" s="799"/>
      <c r="W52" s="799"/>
      <c r="X52" s="799"/>
      <c r="Y52" s="799"/>
      <c r="Z52" s="799"/>
      <c r="AA52" s="799"/>
      <c r="AB52" s="799"/>
      <c r="AC52" s="799"/>
    </row>
    <row r="53" spans="1:30">
      <c r="A53" s="799" t="s">
        <v>169</v>
      </c>
      <c r="B53" s="799"/>
      <c r="C53" s="799"/>
      <c r="D53" s="807"/>
      <c r="E53" s="808"/>
      <c r="F53" s="808">
        <f t="shared" si="0"/>
        <v>0</v>
      </c>
      <c r="G53" s="809">
        <f t="shared" si="1"/>
        <v>0</v>
      </c>
      <c r="H53" s="799"/>
      <c r="I53" s="799"/>
      <c r="J53" s="807"/>
      <c r="K53" s="807"/>
      <c r="L53" s="799"/>
      <c r="M53" s="799"/>
      <c r="N53" s="799"/>
      <c r="O53" s="799"/>
      <c r="P53" s="799"/>
      <c r="Q53" s="799"/>
      <c r="R53" s="799"/>
      <c r="S53" s="799"/>
      <c r="T53" s="799"/>
      <c r="U53" s="799"/>
      <c r="V53" s="799"/>
      <c r="W53" s="799"/>
      <c r="X53" s="799"/>
      <c r="Y53" s="799"/>
      <c r="Z53" s="799"/>
      <c r="AA53" s="799"/>
      <c r="AB53" s="799"/>
      <c r="AC53" s="799"/>
    </row>
    <row r="54" spans="1:30">
      <c r="A54" s="799" t="s">
        <v>166</v>
      </c>
      <c r="B54" s="799" t="s">
        <v>172</v>
      </c>
      <c r="C54" s="799" t="s">
        <v>171</v>
      </c>
      <c r="D54" s="807">
        <v>10.6</v>
      </c>
      <c r="E54" s="808"/>
      <c r="F54" s="808">
        <f t="shared" si="0"/>
        <v>0</v>
      </c>
      <c r="G54" s="809">
        <f t="shared" si="1"/>
        <v>10.6</v>
      </c>
      <c r="H54" s="799"/>
      <c r="I54" s="799"/>
      <c r="J54" s="807"/>
      <c r="K54" s="807"/>
      <c r="L54" s="799"/>
      <c r="M54" s="799"/>
      <c r="N54" s="799"/>
      <c r="O54" s="799"/>
      <c r="P54" s="799"/>
      <c r="Q54" s="799"/>
      <c r="R54" s="799"/>
      <c r="S54" s="799"/>
      <c r="T54" s="799"/>
      <c r="U54" s="799"/>
      <c r="V54" s="799"/>
      <c r="W54" s="799"/>
      <c r="X54" s="799"/>
      <c r="Y54" s="799"/>
      <c r="Z54" s="799"/>
      <c r="AA54" s="799"/>
      <c r="AB54" s="799"/>
      <c r="AC54" s="799"/>
    </row>
    <row r="55" spans="1:30">
      <c r="A55" s="799" t="s">
        <v>168</v>
      </c>
      <c r="B55" s="799"/>
      <c r="C55" s="799"/>
      <c r="D55" s="807"/>
      <c r="E55" s="808"/>
      <c r="F55" s="808">
        <f t="shared" si="0"/>
        <v>0</v>
      </c>
      <c r="G55" s="809">
        <f t="shared" si="1"/>
        <v>0</v>
      </c>
      <c r="H55" s="799"/>
      <c r="I55" s="799"/>
      <c r="J55" s="807"/>
      <c r="K55" s="807"/>
      <c r="L55" s="799"/>
      <c r="M55" s="799"/>
      <c r="N55" s="799"/>
      <c r="O55" s="799"/>
      <c r="P55" s="799"/>
      <c r="Q55" s="799"/>
      <c r="R55" s="799"/>
      <c r="S55" s="799"/>
      <c r="T55" s="799"/>
      <c r="U55" s="799"/>
      <c r="V55" s="799"/>
      <c r="W55" s="799"/>
      <c r="X55" s="799"/>
      <c r="Y55" s="799"/>
      <c r="Z55" s="799"/>
      <c r="AA55" s="799"/>
      <c r="AB55" s="799"/>
      <c r="AC55" s="799"/>
    </row>
    <row r="56" spans="1:30">
      <c r="A56" s="799" t="s">
        <v>169</v>
      </c>
      <c r="B56" s="799"/>
      <c r="C56" s="799"/>
      <c r="D56" s="807"/>
      <c r="E56" s="808"/>
      <c r="F56" s="808">
        <f t="shared" si="0"/>
        <v>0</v>
      </c>
      <c r="G56" s="809">
        <f t="shared" si="1"/>
        <v>0</v>
      </c>
      <c r="H56" s="799"/>
      <c r="I56" s="799"/>
      <c r="J56" s="807"/>
      <c r="K56" s="807"/>
      <c r="L56" s="799"/>
      <c r="M56" s="799"/>
      <c r="N56" s="799"/>
      <c r="O56" s="799"/>
      <c r="P56" s="799"/>
      <c r="Q56" s="799"/>
      <c r="R56" s="799"/>
      <c r="S56" s="799"/>
      <c r="T56" s="799"/>
      <c r="U56" s="799"/>
      <c r="V56" s="799"/>
      <c r="W56" s="799"/>
      <c r="X56" s="799"/>
      <c r="Y56" s="799"/>
      <c r="Z56" s="799"/>
      <c r="AA56" s="799"/>
      <c r="AB56" s="799"/>
      <c r="AC56" s="799"/>
    </row>
    <row r="57" spans="1:30">
      <c r="A57" s="799" t="s">
        <v>166</v>
      </c>
      <c r="B57" s="799" t="s">
        <v>173</v>
      </c>
      <c r="C57" s="799" t="s">
        <v>171</v>
      </c>
      <c r="D57" s="807">
        <v>5.0999999999999996</v>
      </c>
      <c r="E57" s="808"/>
      <c r="F57" s="808">
        <f t="shared" si="0"/>
        <v>0</v>
      </c>
      <c r="G57" s="809">
        <f t="shared" si="1"/>
        <v>5.0999999999999996</v>
      </c>
      <c r="H57" s="799"/>
      <c r="I57" s="799"/>
      <c r="J57" s="807"/>
      <c r="K57" s="807"/>
      <c r="L57" s="799"/>
      <c r="M57" s="799"/>
      <c r="N57" s="799"/>
      <c r="O57" s="799"/>
      <c r="P57" s="799"/>
      <c r="Q57" s="799"/>
      <c r="R57" s="799"/>
      <c r="S57" s="799"/>
      <c r="T57" s="799"/>
      <c r="U57" s="799"/>
      <c r="V57" s="799"/>
      <c r="W57" s="799"/>
      <c r="X57" s="799"/>
      <c r="Y57" s="799"/>
      <c r="Z57" s="799"/>
      <c r="AA57" s="799"/>
      <c r="AB57" s="799"/>
      <c r="AC57" s="799"/>
    </row>
    <row r="58" spans="1:30">
      <c r="A58" s="799" t="s">
        <v>168</v>
      </c>
      <c r="B58" s="799"/>
      <c r="C58" s="799"/>
      <c r="D58" s="807"/>
      <c r="E58" s="808"/>
      <c r="F58" s="808">
        <f t="shared" si="0"/>
        <v>0</v>
      </c>
      <c r="G58" s="809">
        <f t="shared" si="1"/>
        <v>0</v>
      </c>
      <c r="H58" s="799"/>
      <c r="I58" s="799"/>
      <c r="J58" s="807"/>
      <c r="K58" s="807"/>
      <c r="L58" s="807"/>
      <c r="M58" s="799"/>
      <c r="N58" s="799"/>
      <c r="O58" s="799"/>
      <c r="P58" s="799"/>
      <c r="Q58" s="799"/>
      <c r="R58" s="799"/>
      <c r="S58" s="799"/>
      <c r="T58" s="799"/>
      <c r="U58" s="799"/>
      <c r="V58" s="799"/>
      <c r="W58" s="799"/>
      <c r="X58" s="799"/>
      <c r="Y58" s="799"/>
      <c r="Z58" s="799"/>
      <c r="AA58" s="799"/>
      <c r="AB58" s="799"/>
      <c r="AC58" s="799"/>
      <c r="AD58" s="799"/>
    </row>
    <row r="59" spans="1:30">
      <c r="A59" s="799" t="s">
        <v>169</v>
      </c>
      <c r="B59" s="799"/>
      <c r="C59" s="799"/>
      <c r="D59" s="807"/>
      <c r="E59" s="808"/>
      <c r="F59" s="808">
        <f t="shared" si="0"/>
        <v>0</v>
      </c>
      <c r="G59" s="809">
        <f t="shared" si="1"/>
        <v>0</v>
      </c>
      <c r="H59" s="799"/>
      <c r="I59" s="799"/>
      <c r="J59" s="807"/>
      <c r="K59" s="807"/>
      <c r="L59" s="807"/>
      <c r="M59" s="799"/>
      <c r="N59" s="799"/>
      <c r="O59" s="799"/>
      <c r="P59" s="799"/>
      <c r="Q59" s="799"/>
      <c r="R59" s="799"/>
      <c r="S59" s="799"/>
      <c r="T59" s="799"/>
      <c r="U59" s="799"/>
      <c r="V59" s="799"/>
      <c r="W59" s="799"/>
      <c r="X59" s="799"/>
      <c r="Y59" s="799"/>
      <c r="Z59" s="799"/>
      <c r="AA59" s="799"/>
      <c r="AB59" s="799"/>
      <c r="AC59" s="799"/>
      <c r="AD59" s="799"/>
    </row>
    <row r="60" spans="1:30">
      <c r="A60" s="799" t="s">
        <v>166</v>
      </c>
      <c r="B60" s="799" t="s">
        <v>174</v>
      </c>
      <c r="C60" s="799" t="s">
        <v>171</v>
      </c>
      <c r="D60" s="807">
        <v>8.5</v>
      </c>
      <c r="E60" s="808"/>
      <c r="F60" s="808">
        <f t="shared" si="0"/>
        <v>0</v>
      </c>
      <c r="G60" s="809">
        <f t="shared" si="1"/>
        <v>8.5</v>
      </c>
      <c r="H60" s="799"/>
      <c r="I60" s="799"/>
      <c r="J60" s="807"/>
      <c r="K60" s="807"/>
      <c r="L60" s="807"/>
      <c r="M60" s="799"/>
      <c r="N60" s="799"/>
      <c r="O60" s="799"/>
      <c r="P60" s="799"/>
      <c r="Q60" s="799"/>
      <c r="R60" s="799"/>
      <c r="S60" s="799"/>
      <c r="T60" s="799"/>
      <c r="U60" s="799"/>
      <c r="V60" s="799"/>
      <c r="W60" s="799"/>
      <c r="X60" s="799"/>
      <c r="Y60" s="799"/>
      <c r="Z60" s="799"/>
      <c r="AA60" s="799"/>
      <c r="AB60" s="799"/>
      <c r="AC60" s="799"/>
      <c r="AD60" s="799"/>
    </row>
    <row r="61" spans="1:30">
      <c r="A61" s="799" t="s">
        <v>168</v>
      </c>
      <c r="B61" s="799"/>
      <c r="C61" s="799"/>
      <c r="D61" s="807"/>
      <c r="E61" s="808"/>
      <c r="F61" s="808">
        <f t="shared" si="0"/>
        <v>0</v>
      </c>
      <c r="G61" s="809">
        <f t="shared" si="1"/>
        <v>0</v>
      </c>
      <c r="H61" s="799"/>
      <c r="I61" s="799"/>
      <c r="J61" s="807"/>
      <c r="K61" s="807"/>
      <c r="L61" s="807"/>
      <c r="M61" s="799"/>
      <c r="N61" s="799"/>
      <c r="O61" s="799"/>
      <c r="P61" s="799"/>
      <c r="Q61" s="799"/>
      <c r="R61" s="799"/>
      <c r="S61" s="799"/>
      <c r="T61" s="799"/>
      <c r="U61" s="799"/>
      <c r="V61" s="799"/>
      <c r="W61" s="799"/>
      <c r="X61" s="799"/>
      <c r="Y61" s="799"/>
      <c r="Z61" s="799"/>
      <c r="AA61" s="799"/>
      <c r="AB61" s="799"/>
      <c r="AC61" s="799"/>
      <c r="AD61" s="799"/>
    </row>
    <row r="62" spans="1:30">
      <c r="A62" s="799" t="s">
        <v>169</v>
      </c>
      <c r="B62" s="799"/>
      <c r="C62" s="799"/>
      <c r="D62" s="807"/>
      <c r="E62" s="808"/>
      <c r="F62" s="808">
        <f t="shared" si="0"/>
        <v>0</v>
      </c>
      <c r="G62" s="809">
        <f t="shared" si="1"/>
        <v>0</v>
      </c>
      <c r="H62" s="799"/>
      <c r="I62" s="799"/>
      <c r="J62" s="807"/>
      <c r="K62" s="807"/>
      <c r="L62" s="807"/>
      <c r="M62" s="799"/>
      <c r="N62" s="799"/>
      <c r="O62" s="799"/>
      <c r="P62" s="799"/>
      <c r="Q62" s="799"/>
      <c r="R62" s="799"/>
      <c r="S62" s="799"/>
      <c r="T62" s="799"/>
      <c r="U62" s="799"/>
      <c r="V62" s="799"/>
      <c r="W62" s="799"/>
      <c r="X62" s="799"/>
      <c r="Y62" s="799"/>
      <c r="Z62" s="799"/>
      <c r="AA62" s="799"/>
      <c r="AB62" s="799"/>
      <c r="AC62" s="799"/>
      <c r="AD62" s="799"/>
    </row>
    <row r="63" spans="1:30">
      <c r="A63" s="799" t="s">
        <v>166</v>
      </c>
      <c r="B63" s="799" t="s">
        <v>175</v>
      </c>
      <c r="C63" s="799"/>
      <c r="D63" s="807">
        <v>9.6</v>
      </c>
      <c r="E63" s="808"/>
      <c r="F63" s="808">
        <f t="shared" si="0"/>
        <v>0</v>
      </c>
      <c r="G63" s="809">
        <f t="shared" si="1"/>
        <v>9.6</v>
      </c>
      <c r="H63" s="799"/>
      <c r="I63" s="799"/>
      <c r="J63" s="807"/>
      <c r="K63" s="807"/>
      <c r="L63" s="807"/>
      <c r="M63" s="799"/>
      <c r="N63" s="799"/>
      <c r="O63" s="799"/>
      <c r="P63" s="799"/>
      <c r="Q63" s="799"/>
      <c r="R63" s="799"/>
      <c r="S63" s="799"/>
      <c r="T63" s="799"/>
      <c r="U63" s="799"/>
      <c r="V63" s="799"/>
      <c r="W63" s="799"/>
      <c r="X63" s="799"/>
      <c r="Y63" s="799"/>
      <c r="Z63" s="799"/>
      <c r="AA63" s="799"/>
      <c r="AB63" s="799"/>
      <c r="AC63" s="799"/>
      <c r="AD63" s="799"/>
    </row>
    <row r="64" spans="1:30">
      <c r="A64" s="799" t="s">
        <v>168</v>
      </c>
      <c r="B64" s="799"/>
      <c r="C64" s="799"/>
      <c r="D64" s="807"/>
      <c r="E64" s="808"/>
      <c r="F64" s="808">
        <f t="shared" si="0"/>
        <v>0</v>
      </c>
      <c r="G64" s="809">
        <f t="shared" si="1"/>
        <v>0</v>
      </c>
      <c r="H64" s="799"/>
      <c r="I64" s="799"/>
      <c r="J64" s="807"/>
      <c r="K64" s="807"/>
      <c r="L64" s="807"/>
      <c r="M64" s="799"/>
      <c r="N64" s="799"/>
      <c r="O64" s="799"/>
      <c r="P64" s="799"/>
      <c r="Q64" s="799"/>
      <c r="R64" s="799"/>
      <c r="S64" s="799"/>
      <c r="T64" s="799"/>
      <c r="U64" s="799"/>
      <c r="V64" s="799"/>
      <c r="W64" s="799"/>
      <c r="X64" s="799"/>
      <c r="Y64" s="799"/>
      <c r="Z64" s="799"/>
      <c r="AA64" s="799"/>
      <c r="AB64" s="799"/>
      <c r="AC64" s="799"/>
      <c r="AD64" s="799"/>
    </row>
    <row r="65" spans="1:30">
      <c r="A65" s="799" t="s">
        <v>169</v>
      </c>
      <c r="B65" s="799"/>
      <c r="C65" s="799"/>
      <c r="D65" s="807"/>
      <c r="E65" s="808"/>
      <c r="F65" s="808">
        <f t="shared" si="0"/>
        <v>0</v>
      </c>
      <c r="G65" s="809">
        <f t="shared" si="1"/>
        <v>0</v>
      </c>
      <c r="H65" s="799"/>
      <c r="I65" s="799"/>
      <c r="J65" s="807"/>
      <c r="K65" s="807"/>
      <c r="L65" s="807"/>
      <c r="M65" s="799"/>
      <c r="N65" s="799"/>
      <c r="O65" s="799"/>
      <c r="P65" s="799"/>
      <c r="Q65" s="799"/>
      <c r="R65" s="799"/>
      <c r="S65" s="799"/>
      <c r="T65" s="799"/>
      <c r="U65" s="799"/>
      <c r="V65" s="799"/>
      <c r="W65" s="799"/>
      <c r="X65" s="799"/>
      <c r="Y65" s="799"/>
      <c r="Z65" s="799"/>
      <c r="AA65" s="799"/>
      <c r="AB65" s="799"/>
      <c r="AC65" s="799"/>
      <c r="AD65" s="799"/>
    </row>
    <row r="66" spans="1:30">
      <c r="A66" s="799" t="s">
        <v>166</v>
      </c>
      <c r="B66" s="799" t="s">
        <v>176</v>
      </c>
      <c r="C66" s="799"/>
      <c r="D66" s="807">
        <v>12.6</v>
      </c>
      <c r="E66" s="808"/>
      <c r="F66" s="808">
        <f t="shared" si="0"/>
        <v>0</v>
      </c>
      <c r="G66" s="809">
        <f t="shared" si="1"/>
        <v>12.6</v>
      </c>
      <c r="H66" s="799"/>
      <c r="I66" s="799"/>
      <c r="J66" s="807"/>
      <c r="K66" s="807"/>
      <c r="L66" s="807"/>
      <c r="M66" s="799"/>
      <c r="N66" s="799"/>
      <c r="O66" s="799"/>
      <c r="P66" s="799"/>
      <c r="Q66" s="799"/>
      <c r="R66" s="799"/>
      <c r="S66" s="799"/>
      <c r="T66" s="799"/>
      <c r="U66" s="799"/>
      <c r="V66" s="799"/>
      <c r="W66" s="799"/>
      <c r="X66" s="799"/>
      <c r="Y66" s="799"/>
      <c r="Z66" s="799"/>
      <c r="AA66" s="799"/>
      <c r="AB66" s="799"/>
      <c r="AC66" s="799"/>
      <c r="AD66" s="799"/>
    </row>
    <row r="67" spans="1:30">
      <c r="A67" s="799" t="s">
        <v>168</v>
      </c>
      <c r="B67" s="799"/>
      <c r="C67" s="799"/>
      <c r="D67" s="807"/>
      <c r="E67" s="808"/>
      <c r="F67" s="808">
        <f t="shared" si="0"/>
        <v>0</v>
      </c>
      <c r="G67" s="809">
        <f t="shared" si="1"/>
        <v>0</v>
      </c>
      <c r="H67" s="799"/>
      <c r="I67" s="799"/>
      <c r="J67" s="807"/>
      <c r="K67" s="807"/>
      <c r="L67" s="807"/>
      <c r="M67" s="799"/>
      <c r="N67" s="799"/>
      <c r="O67" s="799"/>
      <c r="P67" s="799"/>
      <c r="Q67" s="799"/>
      <c r="R67" s="799"/>
      <c r="S67" s="799"/>
      <c r="T67" s="799"/>
      <c r="U67" s="799"/>
      <c r="V67" s="799"/>
      <c r="W67" s="799"/>
      <c r="X67" s="799"/>
      <c r="Y67" s="799"/>
      <c r="Z67" s="799"/>
      <c r="AA67" s="799"/>
      <c r="AB67" s="799"/>
      <c r="AC67" s="799"/>
      <c r="AD67" s="799"/>
    </row>
    <row r="68" spans="1:30">
      <c r="A68" s="799" t="s">
        <v>169</v>
      </c>
      <c r="B68" s="799"/>
      <c r="C68" s="799"/>
      <c r="D68" s="807"/>
      <c r="E68" s="808"/>
      <c r="F68" s="808">
        <f t="shared" si="0"/>
        <v>0</v>
      </c>
      <c r="G68" s="809">
        <f t="shared" si="1"/>
        <v>0</v>
      </c>
      <c r="H68" s="799"/>
      <c r="I68" s="799"/>
      <c r="J68" s="807"/>
      <c r="K68" s="807"/>
      <c r="L68" s="807"/>
      <c r="M68" s="799"/>
      <c r="N68" s="799"/>
      <c r="O68" s="799"/>
      <c r="P68" s="799"/>
      <c r="Q68" s="799"/>
      <c r="R68" s="799"/>
      <c r="S68" s="799"/>
      <c r="T68" s="799"/>
      <c r="U68" s="799"/>
      <c r="V68" s="799"/>
      <c r="W68" s="799"/>
      <c r="X68" s="799"/>
      <c r="Y68" s="799"/>
      <c r="Z68" s="799"/>
      <c r="AA68" s="799"/>
      <c r="AB68" s="799"/>
      <c r="AC68" s="799"/>
      <c r="AD68" s="799"/>
    </row>
    <row r="69" spans="1:30">
      <c r="A69" s="799"/>
      <c r="B69" s="799"/>
      <c r="C69" s="799"/>
      <c r="D69" s="807"/>
      <c r="E69" s="808"/>
      <c r="F69" s="808">
        <f t="shared" si="0"/>
        <v>0</v>
      </c>
      <c r="G69" s="809">
        <f t="shared" si="1"/>
        <v>0</v>
      </c>
      <c r="H69" s="799"/>
      <c r="I69" s="799"/>
      <c r="J69" s="807"/>
      <c r="K69" s="807"/>
      <c r="L69" s="807"/>
      <c r="M69" s="799"/>
      <c r="N69" s="799"/>
      <c r="O69" s="799"/>
      <c r="P69" s="799"/>
      <c r="Q69" s="799"/>
      <c r="R69" s="799"/>
      <c r="S69" s="799"/>
      <c r="T69" s="799"/>
      <c r="U69" s="799"/>
      <c r="V69" s="799"/>
      <c r="W69" s="799"/>
      <c r="X69" s="799"/>
      <c r="Y69" s="799"/>
      <c r="Z69" s="799"/>
      <c r="AA69" s="799"/>
      <c r="AB69" s="799"/>
      <c r="AC69" s="799"/>
      <c r="AD69" s="799"/>
    </row>
    <row r="70" spans="1:30">
      <c r="A70" s="799"/>
      <c r="B70" s="799"/>
      <c r="C70" s="799"/>
      <c r="D70" s="807"/>
      <c r="E70" s="808"/>
      <c r="F70" s="808">
        <f t="shared" si="0"/>
        <v>0</v>
      </c>
      <c r="G70" s="809">
        <f t="shared" si="1"/>
        <v>0</v>
      </c>
      <c r="H70" s="799"/>
      <c r="I70" s="799"/>
      <c r="J70" s="807"/>
      <c r="K70" s="807"/>
      <c r="L70" s="807"/>
      <c r="M70" s="799"/>
      <c r="N70" s="799"/>
      <c r="O70" s="799"/>
      <c r="P70" s="799"/>
      <c r="Q70" s="799"/>
      <c r="R70" s="799"/>
      <c r="S70" s="799"/>
      <c r="T70" s="799"/>
      <c r="U70" s="799"/>
      <c r="V70" s="799"/>
      <c r="W70" s="799"/>
      <c r="X70" s="799"/>
      <c r="Y70" s="799"/>
      <c r="Z70" s="799"/>
      <c r="AA70" s="799"/>
      <c r="AB70" s="799"/>
      <c r="AC70" s="799"/>
      <c r="AD70" s="799"/>
    </row>
    <row r="71" spans="1:30">
      <c r="A71" s="799"/>
      <c r="B71" s="799"/>
      <c r="C71" s="799"/>
      <c r="D71" s="807"/>
      <c r="E71" s="808"/>
      <c r="F71" s="808">
        <f t="shared" si="0"/>
        <v>0</v>
      </c>
      <c r="G71" s="809">
        <f t="shared" si="1"/>
        <v>0</v>
      </c>
      <c r="H71" s="799"/>
      <c r="I71" s="799"/>
      <c r="J71" s="807"/>
      <c r="K71" s="807"/>
      <c r="L71" s="807"/>
      <c r="M71" s="799"/>
      <c r="N71" s="799"/>
      <c r="O71" s="799"/>
      <c r="P71" s="799"/>
      <c r="Q71" s="799"/>
      <c r="R71" s="799"/>
      <c r="S71" s="799"/>
      <c r="T71" s="799"/>
      <c r="U71" s="799"/>
      <c r="V71" s="799"/>
      <c r="W71" s="799"/>
      <c r="X71" s="799"/>
      <c r="Y71" s="799"/>
      <c r="Z71" s="799"/>
      <c r="AA71" s="799"/>
      <c r="AB71" s="799"/>
      <c r="AC71" s="799"/>
      <c r="AD71" s="799"/>
    </row>
    <row r="72" spans="1:30">
      <c r="A72" s="799"/>
      <c r="B72" s="799"/>
      <c r="C72" s="799"/>
      <c r="D72" s="807"/>
      <c r="E72" s="808"/>
      <c r="F72" s="808">
        <f t="shared" si="0"/>
        <v>0</v>
      </c>
      <c r="G72" s="809">
        <f t="shared" si="1"/>
        <v>0</v>
      </c>
      <c r="H72" s="799"/>
      <c r="I72" s="799"/>
      <c r="J72" s="807"/>
      <c r="K72" s="807"/>
      <c r="L72" s="807"/>
      <c r="M72" s="799"/>
      <c r="N72" s="799"/>
      <c r="O72" s="799"/>
      <c r="P72" s="799"/>
      <c r="Q72" s="799"/>
      <c r="R72" s="799"/>
      <c r="S72" s="799"/>
      <c r="T72" s="799"/>
      <c r="U72" s="799"/>
      <c r="V72" s="799"/>
      <c r="W72" s="799"/>
      <c r="X72" s="799"/>
      <c r="Y72" s="799"/>
      <c r="Z72" s="799"/>
      <c r="AA72" s="799"/>
      <c r="AB72" s="799"/>
      <c r="AC72" s="799"/>
      <c r="AD72" s="799"/>
    </row>
    <row r="73" spans="1:30">
      <c r="A73" s="799"/>
      <c r="B73" s="799"/>
      <c r="C73" s="799"/>
      <c r="D73" s="807"/>
      <c r="E73" s="808"/>
      <c r="F73" s="808">
        <f t="shared" si="0"/>
        <v>0</v>
      </c>
      <c r="G73" s="809">
        <f t="shared" si="1"/>
        <v>0</v>
      </c>
      <c r="H73" s="799"/>
      <c r="I73" s="799"/>
      <c r="J73" s="807"/>
      <c r="K73" s="807"/>
      <c r="L73" s="807"/>
      <c r="M73" s="799"/>
      <c r="N73" s="799"/>
      <c r="O73" s="799"/>
      <c r="P73" s="799"/>
      <c r="Q73" s="799"/>
      <c r="R73" s="799"/>
      <c r="S73" s="799"/>
      <c r="T73" s="799"/>
      <c r="U73" s="799"/>
      <c r="V73" s="799"/>
      <c r="W73" s="799"/>
      <c r="X73" s="799"/>
      <c r="Y73" s="799"/>
      <c r="Z73" s="799"/>
      <c r="AA73" s="799"/>
      <c r="AB73" s="799"/>
      <c r="AC73" s="799"/>
      <c r="AD73" s="799"/>
    </row>
    <row r="74" spans="1:30">
      <c r="A74" s="799"/>
      <c r="B74" s="799"/>
      <c r="C74" s="799"/>
      <c r="D74" s="807"/>
      <c r="E74" s="808"/>
      <c r="F74" s="808">
        <f t="shared" si="0"/>
        <v>0</v>
      </c>
      <c r="G74" s="809">
        <f t="shared" si="1"/>
        <v>0</v>
      </c>
      <c r="H74" s="799"/>
      <c r="I74" s="799"/>
      <c r="J74" s="807"/>
      <c r="K74" s="807"/>
      <c r="L74" s="807"/>
      <c r="M74" s="799"/>
      <c r="N74" s="799"/>
      <c r="O74" s="799"/>
      <c r="P74" s="799"/>
      <c r="Q74" s="799"/>
      <c r="R74" s="799"/>
      <c r="S74" s="799"/>
      <c r="T74" s="799"/>
      <c r="U74" s="799"/>
      <c r="V74" s="799"/>
      <c r="W74" s="799"/>
      <c r="X74" s="799"/>
      <c r="Y74" s="799"/>
      <c r="Z74" s="799"/>
      <c r="AA74" s="799"/>
      <c r="AB74" s="799"/>
      <c r="AC74" s="799"/>
      <c r="AD74" s="799"/>
    </row>
    <row r="75" spans="1:30">
      <c r="A75" s="799"/>
      <c r="B75" s="799"/>
      <c r="C75" s="799"/>
      <c r="D75" s="807"/>
      <c r="E75" s="808"/>
      <c r="F75" s="808">
        <f t="shared" si="0"/>
        <v>0</v>
      </c>
      <c r="G75" s="809">
        <f t="shared" si="1"/>
        <v>0</v>
      </c>
      <c r="H75" s="799"/>
      <c r="I75" s="799"/>
      <c r="J75" s="807"/>
      <c r="K75" s="807"/>
      <c r="L75" s="807"/>
      <c r="M75" s="799"/>
      <c r="N75" s="799"/>
      <c r="O75" s="799"/>
      <c r="P75" s="799"/>
      <c r="Q75" s="799"/>
      <c r="R75" s="799"/>
      <c r="S75" s="799"/>
      <c r="T75" s="799"/>
      <c r="U75" s="799"/>
      <c r="V75" s="799"/>
      <c r="W75" s="799"/>
      <c r="X75" s="799"/>
      <c r="Y75" s="799"/>
      <c r="Z75" s="799"/>
      <c r="AA75" s="799"/>
      <c r="AB75" s="799"/>
      <c r="AC75" s="799"/>
      <c r="AD75" s="799"/>
    </row>
    <row r="76" spans="1:30">
      <c r="A76" s="799"/>
      <c r="B76" s="799"/>
      <c r="C76" s="799"/>
      <c r="D76" s="807"/>
      <c r="E76" s="808"/>
      <c r="F76" s="808">
        <f t="shared" si="0"/>
        <v>0</v>
      </c>
      <c r="G76" s="809">
        <f t="shared" si="1"/>
        <v>0</v>
      </c>
      <c r="H76" s="799"/>
      <c r="I76" s="799"/>
      <c r="J76" s="807"/>
      <c r="K76" s="807"/>
      <c r="L76" s="807"/>
      <c r="M76" s="799"/>
      <c r="N76" s="799"/>
      <c r="O76" s="799"/>
      <c r="P76" s="799"/>
      <c r="Q76" s="799"/>
      <c r="R76" s="799"/>
      <c r="S76" s="799"/>
      <c r="T76" s="799"/>
      <c r="U76" s="799"/>
      <c r="V76" s="799"/>
      <c r="W76" s="799"/>
      <c r="X76" s="799"/>
      <c r="Y76" s="799"/>
      <c r="Z76" s="799"/>
      <c r="AA76" s="799"/>
      <c r="AB76" s="799"/>
      <c r="AC76" s="799"/>
      <c r="AD76" s="799"/>
    </row>
    <row r="77" spans="1:30">
      <c r="A77" s="799"/>
      <c r="B77" s="799"/>
      <c r="C77" s="799"/>
      <c r="D77" s="807"/>
      <c r="E77" s="808"/>
      <c r="F77" s="808">
        <f t="shared" si="0"/>
        <v>0</v>
      </c>
      <c r="G77" s="809">
        <f t="shared" si="1"/>
        <v>0</v>
      </c>
      <c r="H77" s="799"/>
      <c r="I77" s="799"/>
      <c r="J77" s="807"/>
      <c r="K77" s="807"/>
      <c r="L77" s="807"/>
      <c r="M77" s="799"/>
      <c r="N77" s="799"/>
      <c r="O77" s="799"/>
      <c r="P77" s="799"/>
      <c r="Q77" s="799"/>
      <c r="R77" s="799"/>
      <c r="S77" s="799"/>
      <c r="T77" s="799"/>
      <c r="U77" s="799"/>
      <c r="V77" s="799"/>
      <c r="W77" s="799"/>
      <c r="X77" s="799"/>
      <c r="Y77" s="799"/>
      <c r="Z77" s="799"/>
      <c r="AA77" s="799"/>
      <c r="AB77" s="799"/>
      <c r="AC77" s="799"/>
      <c r="AD77" s="799"/>
    </row>
    <row r="78" spans="1:30">
      <c r="A78" s="799"/>
      <c r="B78" s="799"/>
      <c r="C78" s="799"/>
      <c r="D78" s="807"/>
      <c r="E78" s="808"/>
      <c r="F78" s="808">
        <f t="shared" si="0"/>
        <v>0</v>
      </c>
      <c r="G78" s="809">
        <f t="shared" si="1"/>
        <v>0</v>
      </c>
      <c r="H78" s="799"/>
      <c r="I78" s="799"/>
      <c r="J78" s="807"/>
      <c r="K78" s="807"/>
      <c r="L78" s="807"/>
      <c r="M78" s="799"/>
      <c r="N78" s="799"/>
      <c r="O78" s="799"/>
      <c r="P78" s="799"/>
      <c r="Q78" s="799"/>
      <c r="R78" s="799"/>
      <c r="S78" s="799"/>
      <c r="T78" s="799"/>
      <c r="U78" s="799"/>
      <c r="V78" s="799"/>
      <c r="W78" s="799"/>
      <c r="X78" s="799"/>
      <c r="Y78" s="799"/>
      <c r="Z78" s="799"/>
      <c r="AA78" s="799"/>
      <c r="AB78" s="799"/>
      <c r="AC78" s="799"/>
      <c r="AD78" s="799"/>
    </row>
    <row r="79" spans="1:30">
      <c r="A79" s="799"/>
      <c r="B79" s="799"/>
      <c r="C79" s="799"/>
      <c r="D79" s="807"/>
      <c r="E79" s="808"/>
      <c r="F79" s="808">
        <f t="shared" si="0"/>
        <v>0</v>
      </c>
      <c r="G79" s="809">
        <f t="shared" si="1"/>
        <v>0</v>
      </c>
      <c r="H79" s="799"/>
      <c r="I79" s="799"/>
      <c r="J79" s="807"/>
      <c r="K79" s="807"/>
      <c r="L79" s="807"/>
      <c r="M79" s="799"/>
      <c r="N79" s="799"/>
      <c r="O79" s="799"/>
      <c r="P79" s="799"/>
      <c r="Q79" s="799"/>
      <c r="R79" s="799"/>
      <c r="S79" s="799"/>
      <c r="T79" s="799"/>
      <c r="U79" s="799"/>
      <c r="V79" s="799"/>
      <c r="W79" s="799"/>
      <c r="X79" s="799"/>
      <c r="Y79" s="799"/>
      <c r="Z79" s="799"/>
      <c r="AA79" s="799"/>
      <c r="AB79" s="799"/>
      <c r="AC79" s="799"/>
      <c r="AD79" s="799"/>
    </row>
    <row r="80" spans="1:30">
      <c r="A80" s="799"/>
      <c r="B80" s="799"/>
      <c r="C80" s="799"/>
      <c r="D80" s="807"/>
      <c r="E80" s="808"/>
      <c r="F80" s="808">
        <f t="shared" si="0"/>
        <v>0</v>
      </c>
      <c r="G80" s="809">
        <f t="shared" si="1"/>
        <v>0</v>
      </c>
      <c r="H80" s="799"/>
      <c r="I80" s="799"/>
      <c r="J80" s="807"/>
      <c r="K80" s="807"/>
      <c r="L80" s="807"/>
      <c r="M80" s="799"/>
      <c r="N80" s="799"/>
      <c r="O80" s="799"/>
      <c r="P80" s="799"/>
      <c r="Q80" s="799"/>
      <c r="R80" s="799"/>
      <c r="S80" s="799"/>
      <c r="T80" s="799"/>
      <c r="U80" s="799"/>
      <c r="V80" s="799"/>
      <c r="W80" s="799"/>
      <c r="X80" s="799"/>
      <c r="Y80" s="799"/>
      <c r="Z80" s="799"/>
      <c r="AA80" s="799"/>
      <c r="AB80" s="799"/>
      <c r="AC80" s="799"/>
      <c r="AD80" s="799"/>
    </row>
    <row r="81" spans="1:30">
      <c r="A81" s="799"/>
      <c r="B81" s="799"/>
      <c r="C81" s="799"/>
      <c r="D81" s="807"/>
      <c r="E81" s="808"/>
      <c r="F81" s="808">
        <f t="shared" si="0"/>
        <v>0</v>
      </c>
      <c r="G81" s="809">
        <f t="shared" si="1"/>
        <v>0</v>
      </c>
      <c r="H81" s="799"/>
      <c r="I81" s="799"/>
      <c r="J81" s="807"/>
      <c r="K81" s="807"/>
      <c r="L81" s="807"/>
      <c r="M81" s="799"/>
      <c r="N81" s="799"/>
      <c r="O81" s="799"/>
      <c r="P81" s="799"/>
      <c r="Q81" s="799"/>
      <c r="R81" s="799"/>
      <c r="S81" s="799"/>
      <c r="T81" s="799"/>
      <c r="U81" s="799"/>
      <c r="V81" s="799"/>
      <c r="W81" s="799"/>
      <c r="X81" s="799"/>
      <c r="Y81" s="799"/>
      <c r="Z81" s="799"/>
      <c r="AA81" s="799"/>
      <c r="AB81" s="799"/>
      <c r="AC81" s="799"/>
      <c r="AD81" s="799"/>
    </row>
    <row r="82" spans="1:30">
      <c r="A82" s="799"/>
      <c r="B82" s="799"/>
      <c r="C82" s="799"/>
      <c r="D82" s="807"/>
      <c r="E82" s="808"/>
      <c r="F82" s="808">
        <f t="shared" si="0"/>
        <v>0</v>
      </c>
      <c r="G82" s="809">
        <f t="shared" si="1"/>
        <v>0</v>
      </c>
      <c r="H82" s="799"/>
      <c r="I82" s="799"/>
      <c r="J82" s="807"/>
      <c r="K82" s="807"/>
      <c r="L82" s="807"/>
      <c r="M82" s="799"/>
      <c r="N82" s="799"/>
      <c r="O82" s="799"/>
      <c r="P82" s="799"/>
      <c r="Q82" s="799"/>
      <c r="R82" s="799"/>
      <c r="S82" s="799"/>
      <c r="T82" s="799"/>
      <c r="U82" s="799"/>
      <c r="V82" s="799"/>
      <c r="W82" s="799"/>
      <c r="X82" s="799"/>
      <c r="Y82" s="799"/>
      <c r="Z82" s="799"/>
      <c r="AA82" s="799"/>
      <c r="AB82" s="799"/>
      <c r="AC82" s="799"/>
      <c r="AD82" s="799"/>
    </row>
    <row r="83" spans="1:30">
      <c r="A83" s="799"/>
      <c r="B83" s="799"/>
      <c r="C83" s="799"/>
      <c r="D83" s="807"/>
      <c r="E83" s="808"/>
      <c r="F83" s="808">
        <f t="shared" si="0"/>
        <v>0</v>
      </c>
      <c r="G83" s="809">
        <f t="shared" si="1"/>
        <v>0</v>
      </c>
      <c r="H83" s="799"/>
      <c r="I83" s="799"/>
      <c r="J83" s="807"/>
      <c r="K83" s="807"/>
      <c r="L83" s="807"/>
      <c r="M83" s="799"/>
      <c r="N83" s="799"/>
      <c r="O83" s="799"/>
      <c r="P83" s="799"/>
      <c r="Q83" s="799"/>
      <c r="R83" s="799"/>
      <c r="S83" s="799"/>
      <c r="T83" s="799"/>
      <c r="U83" s="799"/>
      <c r="V83" s="799"/>
      <c r="W83" s="799"/>
      <c r="X83" s="799"/>
      <c r="Y83" s="799"/>
      <c r="Z83" s="799"/>
      <c r="AA83" s="799"/>
      <c r="AB83" s="799"/>
      <c r="AC83" s="799"/>
      <c r="AD83" s="799"/>
    </row>
    <row r="84" spans="1:30">
      <c r="A84" s="799"/>
      <c r="B84" s="799"/>
      <c r="C84" s="799"/>
      <c r="D84" s="807"/>
      <c r="E84" s="808"/>
      <c r="F84" s="808">
        <f t="shared" si="0"/>
        <v>0</v>
      </c>
      <c r="G84" s="809">
        <f t="shared" si="1"/>
        <v>0</v>
      </c>
      <c r="H84" s="799"/>
      <c r="I84" s="799"/>
      <c r="J84" s="807"/>
      <c r="K84" s="807"/>
      <c r="L84" s="807"/>
      <c r="M84" s="799"/>
      <c r="N84" s="799"/>
      <c r="O84" s="799"/>
      <c r="P84" s="799"/>
      <c r="Q84" s="799"/>
      <c r="R84" s="799"/>
      <c r="S84" s="799"/>
      <c r="T84" s="799"/>
      <c r="U84" s="799"/>
      <c r="V84" s="799"/>
      <c r="W84" s="799"/>
      <c r="X84" s="799"/>
      <c r="Y84" s="799"/>
      <c r="Z84" s="799"/>
      <c r="AA84" s="799"/>
      <c r="AB84" s="799"/>
      <c r="AC84" s="799"/>
      <c r="AD84" s="799"/>
    </row>
    <row r="85" spans="1:30">
      <c r="A85" s="799"/>
      <c r="B85" s="799"/>
      <c r="C85" s="799"/>
      <c r="D85" s="807"/>
      <c r="E85" s="808"/>
      <c r="F85" s="808">
        <f t="shared" si="0"/>
        <v>0</v>
      </c>
      <c r="G85" s="809">
        <f t="shared" si="1"/>
        <v>0</v>
      </c>
      <c r="H85" s="799"/>
      <c r="I85" s="799"/>
      <c r="J85" s="807"/>
      <c r="K85" s="807"/>
      <c r="L85" s="807"/>
      <c r="M85" s="799"/>
      <c r="N85" s="799"/>
      <c r="O85" s="799"/>
      <c r="P85" s="799"/>
      <c r="Q85" s="799"/>
      <c r="R85" s="799"/>
      <c r="S85" s="799"/>
      <c r="T85" s="799"/>
      <c r="U85" s="799"/>
      <c r="V85" s="799"/>
      <c r="W85" s="799"/>
      <c r="X85" s="799"/>
      <c r="Y85" s="799"/>
      <c r="Z85" s="799"/>
      <c r="AA85" s="799"/>
      <c r="AB85" s="799"/>
      <c r="AC85" s="799"/>
      <c r="AD85" s="799"/>
    </row>
    <row r="86" spans="1:30">
      <c r="A86" s="799"/>
      <c r="B86" s="799"/>
      <c r="C86" s="799"/>
      <c r="D86" s="807"/>
      <c r="E86" s="808"/>
      <c r="F86" s="808">
        <f t="shared" si="0"/>
        <v>0</v>
      </c>
      <c r="G86" s="809">
        <f t="shared" si="1"/>
        <v>0</v>
      </c>
      <c r="H86" s="799"/>
      <c r="I86" s="799"/>
      <c r="J86" s="807"/>
      <c r="K86" s="807"/>
      <c r="L86" s="807"/>
      <c r="M86" s="799"/>
      <c r="N86" s="799"/>
      <c r="O86" s="799"/>
      <c r="P86" s="799"/>
      <c r="Q86" s="799"/>
      <c r="R86" s="799"/>
      <c r="S86" s="799"/>
      <c r="T86" s="799"/>
      <c r="U86" s="799"/>
      <c r="V86" s="799"/>
      <c r="W86" s="799"/>
      <c r="X86" s="799"/>
      <c r="Y86" s="799"/>
      <c r="Z86" s="799"/>
      <c r="AA86" s="799"/>
      <c r="AB86" s="799"/>
      <c r="AC86" s="799"/>
      <c r="AD86" s="799"/>
    </row>
    <row r="87" spans="1:30">
      <c r="A87" s="799"/>
      <c r="B87" s="799"/>
      <c r="C87" s="799"/>
      <c r="D87" s="807"/>
      <c r="E87" s="808"/>
      <c r="F87" s="808">
        <f t="shared" si="0"/>
        <v>0</v>
      </c>
      <c r="G87" s="809">
        <f t="shared" si="1"/>
        <v>0</v>
      </c>
      <c r="H87" s="799"/>
      <c r="I87" s="799"/>
      <c r="J87" s="807"/>
      <c r="K87" s="807"/>
      <c r="L87" s="807"/>
      <c r="M87" s="799"/>
      <c r="N87" s="799"/>
      <c r="O87" s="799"/>
      <c r="P87" s="799"/>
      <c r="Q87" s="799"/>
      <c r="R87" s="799"/>
      <c r="S87" s="799"/>
      <c r="T87" s="799"/>
      <c r="U87" s="799"/>
      <c r="V87" s="799"/>
      <c r="W87" s="799"/>
      <c r="X87" s="799"/>
      <c r="Y87" s="799"/>
      <c r="Z87" s="799"/>
      <c r="AA87" s="799"/>
      <c r="AB87" s="799"/>
      <c r="AC87" s="799"/>
      <c r="AD87" s="799"/>
    </row>
    <row r="88" spans="1:30">
      <c r="A88" s="799"/>
      <c r="B88" s="799"/>
      <c r="C88" s="799"/>
      <c r="D88" s="807"/>
      <c r="E88" s="808"/>
      <c r="F88" s="808">
        <f t="shared" si="0"/>
        <v>0</v>
      </c>
      <c r="G88" s="809">
        <f t="shared" si="1"/>
        <v>0</v>
      </c>
      <c r="H88" s="799"/>
      <c r="I88" s="799"/>
      <c r="J88" s="807"/>
      <c r="K88" s="807"/>
      <c r="L88" s="807"/>
      <c r="M88" s="799"/>
      <c r="N88" s="799"/>
      <c r="O88" s="799"/>
      <c r="P88" s="799"/>
      <c r="Q88" s="799"/>
      <c r="R88" s="799"/>
      <c r="S88" s="799"/>
      <c r="T88" s="799"/>
      <c r="U88" s="799"/>
      <c r="V88" s="799"/>
      <c r="W88" s="799"/>
      <c r="X88" s="799"/>
      <c r="Y88" s="799"/>
      <c r="Z88" s="799"/>
      <c r="AA88" s="799"/>
      <c r="AB88" s="799"/>
      <c r="AC88" s="799"/>
      <c r="AD88" s="799"/>
    </row>
    <row r="89" spans="1:30">
      <c r="A89" s="799"/>
      <c r="B89" s="799"/>
      <c r="C89" s="799"/>
      <c r="D89" s="807"/>
      <c r="E89" s="808"/>
      <c r="F89" s="808">
        <f t="shared" si="0"/>
        <v>0</v>
      </c>
      <c r="G89" s="809">
        <f t="shared" si="1"/>
        <v>0</v>
      </c>
      <c r="H89" s="799"/>
      <c r="I89" s="799"/>
      <c r="J89" s="807"/>
      <c r="K89" s="807"/>
      <c r="L89" s="807"/>
      <c r="M89" s="799"/>
      <c r="N89" s="799"/>
      <c r="O89" s="799"/>
      <c r="P89" s="799"/>
      <c r="Q89" s="799"/>
      <c r="R89" s="799"/>
      <c r="S89" s="799"/>
      <c r="T89" s="799"/>
      <c r="U89" s="799"/>
      <c r="V89" s="799"/>
      <c r="W89" s="799"/>
      <c r="X89" s="799"/>
      <c r="Y89" s="799"/>
      <c r="Z89" s="799"/>
      <c r="AA89" s="799"/>
      <c r="AB89" s="799"/>
      <c r="AC89" s="799"/>
      <c r="AD89" s="799"/>
    </row>
    <row r="90" spans="1:30">
      <c r="A90" s="799"/>
      <c r="B90" s="799"/>
      <c r="C90" s="799"/>
      <c r="D90" s="807"/>
      <c r="E90" s="808"/>
      <c r="F90" s="808">
        <f t="shared" si="0"/>
        <v>0</v>
      </c>
      <c r="G90" s="809">
        <f t="shared" si="1"/>
        <v>0</v>
      </c>
      <c r="H90" s="799"/>
      <c r="I90" s="799"/>
      <c r="J90" s="807"/>
      <c r="K90" s="807"/>
      <c r="L90" s="807"/>
      <c r="M90" s="799"/>
      <c r="N90" s="799"/>
      <c r="O90" s="799"/>
      <c r="P90" s="799"/>
      <c r="Q90" s="799"/>
      <c r="R90" s="799"/>
      <c r="S90" s="799"/>
      <c r="T90" s="799"/>
      <c r="U90" s="799"/>
      <c r="V90" s="799"/>
      <c r="W90" s="799"/>
      <c r="X90" s="799"/>
      <c r="Y90" s="799"/>
      <c r="Z90" s="799"/>
      <c r="AA90" s="799"/>
      <c r="AB90" s="799"/>
      <c r="AC90" s="799"/>
      <c r="AD90" s="799"/>
    </row>
    <row r="91" spans="1:30">
      <c r="A91" s="799"/>
      <c r="B91" s="799"/>
      <c r="C91" s="799"/>
      <c r="D91" s="807"/>
      <c r="E91" s="808"/>
      <c r="F91" s="808">
        <f t="shared" si="0"/>
        <v>0</v>
      </c>
      <c r="G91" s="809">
        <f t="shared" si="1"/>
        <v>0</v>
      </c>
      <c r="H91" s="799"/>
      <c r="I91" s="799"/>
      <c r="J91" s="807"/>
      <c r="K91" s="807"/>
      <c r="L91" s="807"/>
      <c r="M91" s="799"/>
      <c r="N91" s="799"/>
      <c r="O91" s="799"/>
      <c r="P91" s="799"/>
      <c r="Q91" s="799"/>
      <c r="R91" s="799"/>
      <c r="S91" s="799"/>
      <c r="T91" s="799"/>
      <c r="U91" s="799"/>
      <c r="V91" s="799"/>
      <c r="W91" s="799"/>
      <c r="X91" s="799"/>
      <c r="Y91" s="799"/>
      <c r="Z91" s="799"/>
      <c r="AA91" s="799"/>
      <c r="AB91" s="799"/>
      <c r="AC91" s="799"/>
      <c r="AD91" s="799"/>
    </row>
    <row r="92" spans="1:30">
      <c r="A92" s="799"/>
      <c r="B92" s="799"/>
      <c r="C92" s="799"/>
      <c r="D92" s="807"/>
      <c r="E92" s="808"/>
      <c r="F92" s="808">
        <f t="shared" si="0"/>
        <v>0</v>
      </c>
      <c r="G92" s="809">
        <f t="shared" si="1"/>
        <v>0</v>
      </c>
      <c r="H92" s="799"/>
      <c r="I92" s="799"/>
      <c r="J92" s="807"/>
      <c r="K92" s="807"/>
      <c r="L92" s="807"/>
      <c r="M92" s="799"/>
      <c r="N92" s="799"/>
      <c r="O92" s="799"/>
      <c r="P92" s="799"/>
      <c r="Q92" s="799"/>
      <c r="R92" s="799"/>
      <c r="S92" s="799"/>
      <c r="T92" s="799"/>
      <c r="U92" s="799"/>
      <c r="V92" s="799"/>
      <c r="W92" s="799"/>
      <c r="X92" s="799"/>
      <c r="Y92" s="799"/>
      <c r="Z92" s="799"/>
      <c r="AA92" s="799"/>
      <c r="AB92" s="799"/>
      <c r="AC92" s="799"/>
      <c r="AD92" s="799"/>
    </row>
    <row r="93" spans="1:30">
      <c r="A93" s="799"/>
      <c r="B93" s="799"/>
      <c r="C93" s="799"/>
      <c r="D93" s="807"/>
      <c r="E93" s="808"/>
      <c r="F93" s="808">
        <f t="shared" si="0"/>
        <v>0</v>
      </c>
      <c r="G93" s="809">
        <f t="shared" si="1"/>
        <v>0</v>
      </c>
      <c r="H93" s="799"/>
      <c r="I93" s="799"/>
      <c r="J93" s="807"/>
      <c r="K93" s="807"/>
      <c r="L93" s="807"/>
      <c r="M93" s="799"/>
      <c r="N93" s="799"/>
      <c r="O93" s="799"/>
      <c r="P93" s="799"/>
      <c r="Q93" s="799"/>
      <c r="R93" s="799"/>
      <c r="S93" s="799"/>
      <c r="T93" s="799"/>
      <c r="U93" s="799"/>
      <c r="V93" s="799"/>
      <c r="W93" s="799"/>
      <c r="X93" s="799"/>
      <c r="Y93" s="799"/>
      <c r="Z93" s="799"/>
      <c r="AA93" s="799"/>
      <c r="AB93" s="799"/>
      <c r="AC93" s="799"/>
      <c r="AD93" s="799"/>
    </row>
    <row r="94" spans="1:30">
      <c r="A94" s="799"/>
      <c r="B94" s="799"/>
      <c r="C94" s="799"/>
      <c r="D94" s="807"/>
      <c r="E94" s="808"/>
      <c r="F94" s="808">
        <f t="shared" si="0"/>
        <v>0</v>
      </c>
      <c r="G94" s="809">
        <f t="shared" si="1"/>
        <v>0</v>
      </c>
      <c r="H94" s="799"/>
      <c r="I94" s="799"/>
      <c r="J94" s="807"/>
      <c r="K94" s="807"/>
      <c r="L94" s="807"/>
      <c r="M94" s="799"/>
      <c r="N94" s="799"/>
      <c r="O94" s="799"/>
      <c r="P94" s="799"/>
      <c r="Q94" s="799"/>
      <c r="R94" s="799"/>
      <c r="S94" s="799"/>
      <c r="T94" s="799"/>
      <c r="U94" s="799"/>
      <c r="V94" s="799"/>
      <c r="W94" s="799"/>
      <c r="X94" s="799"/>
      <c r="Y94" s="799"/>
      <c r="Z94" s="799"/>
      <c r="AA94" s="799"/>
      <c r="AB94" s="799"/>
      <c r="AC94" s="799"/>
      <c r="AD94" s="799"/>
    </row>
    <row r="95" spans="1:30">
      <c r="A95" s="799"/>
      <c r="B95" s="799"/>
      <c r="C95" s="799"/>
      <c r="D95" s="807"/>
      <c r="E95" s="808"/>
      <c r="F95" s="808">
        <f t="shared" si="0"/>
        <v>0</v>
      </c>
      <c r="G95" s="809">
        <f t="shared" si="1"/>
        <v>0</v>
      </c>
      <c r="H95" s="799"/>
      <c r="I95" s="799"/>
      <c r="J95" s="807"/>
      <c r="K95" s="807"/>
      <c r="L95" s="807"/>
      <c r="M95" s="799"/>
      <c r="N95" s="799"/>
      <c r="O95" s="799"/>
      <c r="P95" s="799"/>
      <c r="Q95" s="799"/>
      <c r="R95" s="799"/>
      <c r="S95" s="799"/>
      <c r="T95" s="799"/>
      <c r="U95" s="799"/>
      <c r="V95" s="799"/>
      <c r="W95" s="799"/>
      <c r="X95" s="799"/>
      <c r="Y95" s="799"/>
      <c r="Z95" s="799"/>
      <c r="AA95" s="799"/>
      <c r="AB95" s="799"/>
      <c r="AC95" s="799"/>
      <c r="AD95" s="799"/>
    </row>
    <row r="96" spans="1:30">
      <c r="A96" s="799"/>
      <c r="B96" s="799"/>
      <c r="C96" s="799"/>
      <c r="D96" s="807"/>
      <c r="E96" s="808"/>
      <c r="F96" s="808">
        <f t="shared" si="0"/>
        <v>0</v>
      </c>
      <c r="G96" s="809">
        <f t="shared" si="1"/>
        <v>0</v>
      </c>
      <c r="H96" s="799"/>
      <c r="I96" s="799"/>
      <c r="J96" s="807"/>
      <c r="K96" s="807"/>
      <c r="L96" s="807"/>
      <c r="M96" s="799"/>
      <c r="N96" s="799"/>
      <c r="O96" s="799"/>
      <c r="P96" s="799"/>
      <c r="Q96" s="799"/>
      <c r="R96" s="799"/>
      <c r="S96" s="799"/>
      <c r="T96" s="799"/>
      <c r="U96" s="799"/>
      <c r="V96" s="799"/>
      <c r="W96" s="799"/>
      <c r="X96" s="799"/>
      <c r="Y96" s="799"/>
      <c r="Z96" s="799"/>
      <c r="AA96" s="799"/>
      <c r="AB96" s="799"/>
      <c r="AC96" s="799"/>
      <c r="AD96" s="799"/>
    </row>
    <row r="97" spans="1:30">
      <c r="A97" s="799"/>
      <c r="B97" s="799"/>
      <c r="C97" s="799"/>
      <c r="D97" s="807"/>
      <c r="E97" s="808"/>
      <c r="F97" s="808">
        <f t="shared" si="0"/>
        <v>0</v>
      </c>
      <c r="G97" s="809">
        <f t="shared" si="1"/>
        <v>0</v>
      </c>
      <c r="H97" s="799"/>
      <c r="I97" s="799"/>
      <c r="J97" s="807"/>
      <c r="K97" s="807"/>
      <c r="L97" s="807"/>
      <c r="M97" s="799"/>
      <c r="N97" s="799"/>
      <c r="O97" s="799"/>
      <c r="P97" s="799"/>
      <c r="Q97" s="799"/>
      <c r="R97" s="799"/>
      <c r="S97" s="799"/>
      <c r="T97" s="799"/>
      <c r="U97" s="799"/>
      <c r="V97" s="799"/>
      <c r="W97" s="799"/>
      <c r="X97" s="799"/>
      <c r="Y97" s="799"/>
      <c r="Z97" s="799"/>
      <c r="AA97" s="799"/>
      <c r="AB97" s="799"/>
      <c r="AC97" s="799"/>
      <c r="AD97" s="799"/>
    </row>
    <row r="98" spans="1:30">
      <c r="A98" s="799"/>
      <c r="B98" s="799"/>
      <c r="C98" s="799"/>
      <c r="D98" s="807"/>
      <c r="E98" s="808"/>
      <c r="F98" s="808">
        <f t="shared" si="0"/>
        <v>0</v>
      </c>
      <c r="G98" s="809">
        <f t="shared" si="1"/>
        <v>0</v>
      </c>
      <c r="H98" s="799"/>
      <c r="I98" s="799"/>
      <c r="J98" s="807"/>
      <c r="K98" s="807"/>
      <c r="L98" s="807"/>
      <c r="M98" s="799"/>
      <c r="N98" s="799"/>
      <c r="O98" s="799"/>
      <c r="P98" s="799"/>
      <c r="Q98" s="799"/>
      <c r="R98" s="799"/>
      <c r="S98" s="799"/>
      <c r="T98" s="799"/>
      <c r="U98" s="799"/>
      <c r="V98" s="799"/>
      <c r="W98" s="799"/>
      <c r="X98" s="799"/>
      <c r="Y98" s="799"/>
      <c r="Z98" s="799"/>
      <c r="AA98" s="799"/>
      <c r="AB98" s="799"/>
      <c r="AC98" s="799"/>
      <c r="AD98" s="799"/>
    </row>
    <row r="99" spans="1:30">
      <c r="A99" s="799"/>
      <c r="B99" s="799"/>
      <c r="C99" s="799"/>
      <c r="D99" s="807"/>
      <c r="E99" s="808"/>
      <c r="F99" s="808">
        <f t="shared" si="0"/>
        <v>0</v>
      </c>
      <c r="G99" s="809">
        <f t="shared" si="1"/>
        <v>0</v>
      </c>
      <c r="H99" s="799"/>
      <c r="I99" s="799"/>
      <c r="J99" s="807"/>
      <c r="K99" s="807"/>
      <c r="L99" s="807"/>
      <c r="M99" s="799"/>
      <c r="N99" s="799"/>
      <c r="O99" s="799"/>
      <c r="P99" s="799"/>
      <c r="Q99" s="799"/>
      <c r="R99" s="799"/>
      <c r="S99" s="799"/>
      <c r="T99" s="799"/>
      <c r="U99" s="799"/>
      <c r="V99" s="799"/>
      <c r="W99" s="799"/>
      <c r="X99" s="799"/>
      <c r="Y99" s="799"/>
      <c r="Z99" s="799"/>
      <c r="AA99" s="799"/>
      <c r="AB99" s="799"/>
      <c r="AC99" s="799"/>
      <c r="AD99" s="799"/>
    </row>
    <row r="100" spans="1:30">
      <c r="A100" s="799"/>
      <c r="B100" s="799"/>
      <c r="C100" s="799"/>
      <c r="D100" s="807"/>
      <c r="E100" s="808"/>
      <c r="F100" s="808">
        <f t="shared" si="0"/>
        <v>0</v>
      </c>
      <c r="G100" s="809">
        <f t="shared" si="1"/>
        <v>0</v>
      </c>
      <c r="H100" s="799"/>
      <c r="I100" s="799"/>
      <c r="J100" s="807"/>
      <c r="K100" s="807"/>
      <c r="L100" s="807"/>
      <c r="M100" s="799"/>
      <c r="N100" s="799"/>
      <c r="O100" s="799"/>
      <c r="P100" s="799"/>
      <c r="Q100" s="799"/>
      <c r="R100" s="799"/>
      <c r="S100" s="799"/>
      <c r="T100" s="799"/>
      <c r="U100" s="799"/>
      <c r="V100" s="799"/>
      <c r="W100" s="799"/>
      <c r="X100" s="799"/>
      <c r="Y100" s="799"/>
      <c r="Z100" s="799"/>
      <c r="AA100" s="799"/>
      <c r="AB100" s="799"/>
      <c r="AC100" s="799"/>
      <c r="AD100" s="799"/>
    </row>
    <row r="101" spans="1:30">
      <c r="A101" s="799"/>
      <c r="B101" s="799"/>
      <c r="C101" s="799"/>
      <c r="D101" s="807"/>
      <c r="E101" s="808"/>
      <c r="F101" s="808">
        <f t="shared" si="0"/>
        <v>0</v>
      </c>
      <c r="G101" s="809">
        <f t="shared" si="1"/>
        <v>0</v>
      </c>
      <c r="H101" s="799"/>
      <c r="I101" s="799"/>
      <c r="J101" s="807"/>
      <c r="K101" s="807"/>
      <c r="L101" s="807"/>
      <c r="M101" s="799"/>
      <c r="N101" s="799"/>
      <c r="O101" s="799"/>
      <c r="P101" s="799"/>
      <c r="Q101" s="799"/>
      <c r="R101" s="799"/>
      <c r="S101" s="799"/>
      <c r="T101" s="799"/>
      <c r="U101" s="799"/>
      <c r="V101" s="799"/>
      <c r="W101" s="799"/>
      <c r="X101" s="799"/>
      <c r="Y101" s="799"/>
      <c r="Z101" s="799"/>
      <c r="AA101" s="799"/>
      <c r="AB101" s="799"/>
      <c r="AC101" s="799"/>
      <c r="AD101" s="799"/>
    </row>
    <row r="102" spans="1:30">
      <c r="A102" s="799"/>
      <c r="B102" s="799"/>
      <c r="C102" s="799"/>
      <c r="D102" s="807"/>
      <c r="E102" s="808"/>
      <c r="F102" s="808">
        <f t="shared" si="0"/>
        <v>0</v>
      </c>
      <c r="G102" s="809">
        <f t="shared" si="1"/>
        <v>0</v>
      </c>
      <c r="H102" s="799"/>
      <c r="I102" s="799"/>
      <c r="J102" s="807"/>
      <c r="K102" s="807"/>
      <c r="L102" s="807"/>
      <c r="M102" s="799"/>
      <c r="N102" s="799"/>
      <c r="O102" s="799"/>
      <c r="P102" s="799"/>
      <c r="Q102" s="799"/>
      <c r="R102" s="799"/>
      <c r="S102" s="799"/>
      <c r="T102" s="799"/>
      <c r="U102" s="799"/>
      <c r="V102" s="799"/>
      <c r="W102" s="799"/>
      <c r="X102" s="799"/>
      <c r="Y102" s="799"/>
      <c r="Z102" s="799"/>
      <c r="AA102" s="799"/>
      <c r="AB102" s="799"/>
      <c r="AC102" s="799"/>
      <c r="AD102" s="799"/>
    </row>
    <row r="103" spans="1:30">
      <c r="A103" s="799"/>
      <c r="B103" s="799"/>
      <c r="C103" s="799"/>
      <c r="D103" s="807"/>
      <c r="E103" s="808"/>
      <c r="F103" s="808">
        <f t="shared" si="0"/>
        <v>0</v>
      </c>
      <c r="G103" s="809">
        <f t="shared" si="1"/>
        <v>0</v>
      </c>
      <c r="H103" s="799"/>
      <c r="I103" s="799"/>
      <c r="J103" s="807"/>
      <c r="K103" s="807"/>
      <c r="L103" s="807"/>
      <c r="M103" s="799"/>
      <c r="N103" s="799"/>
      <c r="O103" s="799"/>
      <c r="P103" s="799"/>
      <c r="Q103" s="799"/>
      <c r="R103" s="799"/>
      <c r="S103" s="799"/>
      <c r="T103" s="799"/>
      <c r="U103" s="799"/>
      <c r="V103" s="799"/>
      <c r="W103" s="799"/>
      <c r="X103" s="799"/>
      <c r="Y103" s="799"/>
      <c r="Z103" s="799"/>
      <c r="AA103" s="799"/>
      <c r="AB103" s="799"/>
      <c r="AC103" s="799"/>
      <c r="AD103" s="799"/>
    </row>
    <row r="104" spans="1:30">
      <c r="A104" s="799"/>
      <c r="B104" s="799"/>
      <c r="C104" s="799"/>
      <c r="D104" s="807"/>
      <c r="E104" s="808"/>
      <c r="F104" s="808">
        <f t="shared" si="0"/>
        <v>0</v>
      </c>
      <c r="G104" s="809">
        <f t="shared" si="1"/>
        <v>0</v>
      </c>
      <c r="H104" s="799"/>
      <c r="I104" s="799"/>
      <c r="J104" s="807"/>
      <c r="K104" s="807"/>
      <c r="L104" s="807"/>
      <c r="M104" s="799"/>
      <c r="N104" s="799"/>
      <c r="O104" s="799"/>
      <c r="P104" s="799"/>
      <c r="Q104" s="799"/>
      <c r="R104" s="799"/>
      <c r="S104" s="799"/>
      <c r="T104" s="799"/>
      <c r="U104" s="799"/>
      <c r="V104" s="799"/>
      <c r="W104" s="799"/>
      <c r="X104" s="799"/>
      <c r="Y104" s="799"/>
      <c r="Z104" s="799"/>
      <c r="AA104" s="799"/>
      <c r="AB104" s="799"/>
      <c r="AC104" s="799"/>
      <c r="AD104" s="799"/>
    </row>
    <row r="105" spans="1:30">
      <c r="A105" s="799"/>
      <c r="B105" s="799"/>
      <c r="C105" s="799"/>
      <c r="D105" s="807"/>
      <c r="E105" s="808"/>
      <c r="F105" s="808">
        <f t="shared" si="0"/>
        <v>0</v>
      </c>
      <c r="G105" s="809">
        <f t="shared" si="1"/>
        <v>0</v>
      </c>
      <c r="H105" s="799"/>
      <c r="I105" s="799"/>
      <c r="J105" s="807"/>
      <c r="K105" s="807"/>
      <c r="L105" s="807"/>
      <c r="M105" s="799"/>
      <c r="N105" s="799"/>
      <c r="O105" s="799"/>
      <c r="P105" s="799"/>
      <c r="Q105" s="799"/>
      <c r="R105" s="799"/>
      <c r="S105" s="799"/>
      <c r="T105" s="799"/>
      <c r="U105" s="799"/>
      <c r="V105" s="799"/>
      <c r="W105" s="799"/>
      <c r="X105" s="799"/>
      <c r="Y105" s="799"/>
      <c r="Z105" s="799"/>
      <c r="AA105" s="799"/>
      <c r="AB105" s="799"/>
      <c r="AC105" s="799"/>
      <c r="AD105" s="799"/>
    </row>
    <row r="106" spans="1:30">
      <c r="A106" s="799"/>
      <c r="B106" s="799"/>
      <c r="C106" s="799"/>
      <c r="D106" s="807"/>
      <c r="E106" s="808"/>
      <c r="F106" s="808">
        <f t="shared" si="0"/>
        <v>0</v>
      </c>
      <c r="G106" s="809">
        <f t="shared" si="1"/>
        <v>0</v>
      </c>
      <c r="H106" s="799"/>
      <c r="I106" s="799"/>
      <c r="J106" s="807"/>
      <c r="K106" s="807"/>
      <c r="L106" s="807"/>
      <c r="M106" s="799"/>
      <c r="N106" s="799"/>
      <c r="O106" s="799"/>
      <c r="P106" s="799"/>
      <c r="Q106" s="799"/>
      <c r="R106" s="799"/>
      <c r="S106" s="799"/>
      <c r="T106" s="799"/>
      <c r="U106" s="799"/>
      <c r="V106" s="799"/>
      <c r="W106" s="799"/>
      <c r="X106" s="799"/>
      <c r="Y106" s="799"/>
      <c r="Z106" s="799"/>
      <c r="AA106" s="799"/>
      <c r="AB106" s="799"/>
      <c r="AC106" s="799"/>
      <c r="AD106" s="799"/>
    </row>
    <row r="107" spans="1:30">
      <c r="A107" s="799"/>
      <c r="B107" s="799"/>
      <c r="C107" s="799"/>
      <c r="D107" s="807"/>
      <c r="E107" s="808"/>
      <c r="F107" s="808">
        <f t="shared" si="0"/>
        <v>0</v>
      </c>
      <c r="G107" s="809">
        <f t="shared" si="1"/>
        <v>0</v>
      </c>
      <c r="H107" s="799"/>
      <c r="I107" s="799"/>
      <c r="J107" s="807"/>
      <c r="K107" s="807"/>
      <c r="L107" s="807"/>
      <c r="M107" s="799"/>
      <c r="N107" s="799"/>
      <c r="O107" s="799"/>
      <c r="P107" s="799"/>
      <c r="Q107" s="799"/>
      <c r="R107" s="799"/>
      <c r="S107" s="799"/>
      <c r="T107" s="799"/>
      <c r="U107" s="799"/>
      <c r="V107" s="799"/>
      <c r="W107" s="799"/>
      <c r="X107" s="799"/>
      <c r="Y107" s="799"/>
      <c r="Z107" s="799"/>
      <c r="AA107" s="799"/>
      <c r="AB107" s="799"/>
      <c r="AC107" s="799"/>
      <c r="AD107" s="799"/>
    </row>
    <row r="108" spans="1:30">
      <c r="A108" s="799"/>
      <c r="B108" s="799"/>
      <c r="C108" s="799"/>
      <c r="D108" s="807"/>
      <c r="E108" s="808"/>
      <c r="F108" s="808">
        <f t="shared" si="0"/>
        <v>0</v>
      </c>
      <c r="G108" s="809">
        <f t="shared" si="1"/>
        <v>0</v>
      </c>
      <c r="H108" s="799"/>
      <c r="I108" s="799"/>
      <c r="J108" s="807"/>
      <c r="K108" s="807"/>
      <c r="L108" s="807"/>
      <c r="M108" s="799"/>
      <c r="N108" s="799"/>
      <c r="O108" s="799"/>
      <c r="P108" s="799"/>
      <c r="Q108" s="799"/>
      <c r="R108" s="799"/>
      <c r="S108" s="799"/>
      <c r="T108" s="799"/>
      <c r="U108" s="799"/>
      <c r="V108" s="799"/>
      <c r="W108" s="799"/>
      <c r="X108" s="799"/>
      <c r="Y108" s="799"/>
      <c r="Z108" s="799"/>
      <c r="AA108" s="799"/>
      <c r="AB108" s="799"/>
      <c r="AC108" s="799"/>
      <c r="AD108" s="799"/>
    </row>
    <row r="109" spans="1:30">
      <c r="A109" s="799"/>
      <c r="B109" s="799"/>
      <c r="C109" s="799"/>
      <c r="D109" s="807"/>
      <c r="E109" s="808"/>
      <c r="F109" s="808">
        <f t="shared" si="0"/>
        <v>0</v>
      </c>
      <c r="G109" s="809">
        <f t="shared" si="1"/>
        <v>0</v>
      </c>
      <c r="H109" s="799"/>
      <c r="I109" s="799"/>
      <c r="J109" s="807"/>
      <c r="K109" s="807"/>
      <c r="L109" s="807"/>
      <c r="M109" s="799"/>
      <c r="N109" s="799"/>
      <c r="O109" s="799"/>
      <c r="P109" s="799"/>
      <c r="Q109" s="799"/>
      <c r="R109" s="799"/>
      <c r="S109" s="799"/>
      <c r="T109" s="799"/>
      <c r="U109" s="799"/>
      <c r="V109" s="799"/>
      <c r="W109" s="799"/>
      <c r="X109" s="799"/>
      <c r="Y109" s="799"/>
      <c r="Z109" s="799"/>
      <c r="AA109" s="799"/>
      <c r="AB109" s="799"/>
      <c r="AC109" s="799"/>
      <c r="AD109" s="799"/>
    </row>
    <row r="110" spans="1:30">
      <c r="A110" s="799"/>
      <c r="B110" s="799"/>
      <c r="C110" s="799"/>
      <c r="D110" s="807"/>
      <c r="E110" s="808"/>
      <c r="F110" s="808">
        <f t="shared" si="0"/>
        <v>0</v>
      </c>
      <c r="G110" s="809">
        <f t="shared" si="1"/>
        <v>0</v>
      </c>
      <c r="H110" s="799"/>
      <c r="I110" s="799"/>
      <c r="J110" s="807"/>
      <c r="K110" s="807"/>
      <c r="L110" s="807"/>
      <c r="M110" s="799"/>
      <c r="N110" s="799"/>
      <c r="O110" s="799"/>
      <c r="P110" s="799"/>
      <c r="Q110" s="799"/>
      <c r="R110" s="799"/>
      <c r="S110" s="799"/>
      <c r="T110" s="799"/>
      <c r="U110" s="799"/>
      <c r="V110" s="799"/>
      <c r="W110" s="799"/>
      <c r="X110" s="799"/>
      <c r="Y110" s="799"/>
      <c r="Z110" s="799"/>
      <c r="AA110" s="799"/>
      <c r="AB110" s="799"/>
      <c r="AC110" s="799"/>
      <c r="AD110" s="799"/>
    </row>
    <row r="111" spans="1:30">
      <c r="A111" s="799"/>
      <c r="B111" s="799"/>
      <c r="C111" s="799"/>
      <c r="D111" s="807"/>
      <c r="E111" s="808"/>
      <c r="F111" s="808">
        <f t="shared" si="0"/>
        <v>0</v>
      </c>
      <c r="G111" s="809">
        <f t="shared" si="1"/>
        <v>0</v>
      </c>
      <c r="H111" s="799"/>
      <c r="I111" s="799"/>
      <c r="J111" s="807"/>
      <c r="K111" s="807"/>
      <c r="L111" s="807"/>
      <c r="M111" s="799"/>
      <c r="N111" s="799"/>
      <c r="O111" s="799"/>
      <c r="P111" s="799"/>
      <c r="Q111" s="799"/>
      <c r="R111" s="799"/>
      <c r="S111" s="799"/>
      <c r="T111" s="799"/>
      <c r="U111" s="799"/>
      <c r="V111" s="799"/>
      <c r="W111" s="799"/>
      <c r="X111" s="799"/>
      <c r="Y111" s="799"/>
      <c r="Z111" s="799"/>
      <c r="AA111" s="799"/>
      <c r="AB111" s="799"/>
      <c r="AC111" s="799"/>
      <c r="AD111" s="799"/>
    </row>
    <row r="112" spans="1:30">
      <c r="A112" s="799"/>
      <c r="B112" s="799"/>
      <c r="C112" s="799"/>
      <c r="D112" s="807"/>
      <c r="E112" s="808"/>
      <c r="F112" s="808">
        <f t="shared" si="0"/>
        <v>0</v>
      </c>
      <c r="G112" s="809">
        <f t="shared" si="1"/>
        <v>0</v>
      </c>
      <c r="H112" s="799"/>
      <c r="I112" s="799"/>
      <c r="J112" s="807"/>
      <c r="K112" s="807"/>
      <c r="L112" s="807"/>
      <c r="M112" s="799"/>
      <c r="N112" s="799"/>
      <c r="O112" s="799"/>
      <c r="P112" s="799"/>
      <c r="Q112" s="799"/>
      <c r="R112" s="799"/>
      <c r="S112" s="799"/>
      <c r="T112" s="799"/>
      <c r="U112" s="799"/>
      <c r="V112" s="799"/>
      <c r="W112" s="799"/>
      <c r="X112" s="799"/>
      <c r="Y112" s="799"/>
      <c r="Z112" s="799"/>
      <c r="AA112" s="799"/>
      <c r="AB112" s="799"/>
      <c r="AC112" s="799"/>
      <c r="AD112" s="799"/>
    </row>
    <row r="113" spans="1:30">
      <c r="A113" s="799"/>
      <c r="B113" s="799"/>
      <c r="C113" s="799"/>
      <c r="D113" s="807"/>
      <c r="E113" s="808"/>
      <c r="F113" s="808">
        <f t="shared" si="0"/>
        <v>0</v>
      </c>
      <c r="G113" s="809">
        <f t="shared" si="1"/>
        <v>0</v>
      </c>
      <c r="H113" s="799"/>
      <c r="I113" s="799"/>
      <c r="J113" s="807"/>
      <c r="K113" s="807"/>
      <c r="L113" s="807"/>
      <c r="M113" s="799"/>
      <c r="N113" s="799"/>
      <c r="O113" s="799"/>
      <c r="P113" s="799"/>
      <c r="Q113" s="799"/>
      <c r="R113" s="799"/>
      <c r="S113" s="799"/>
      <c r="T113" s="799"/>
      <c r="U113" s="799"/>
      <c r="V113" s="799"/>
      <c r="W113" s="799"/>
      <c r="X113" s="799"/>
      <c r="Y113" s="799"/>
      <c r="Z113" s="799"/>
      <c r="AA113" s="799"/>
      <c r="AB113" s="799"/>
      <c r="AC113" s="799"/>
      <c r="AD113" s="799"/>
    </row>
    <row r="114" spans="1:30">
      <c r="A114" s="799"/>
      <c r="B114" s="799"/>
      <c r="C114" s="799"/>
      <c r="D114" s="807"/>
      <c r="E114" s="808"/>
      <c r="F114" s="808">
        <f t="shared" si="0"/>
        <v>0</v>
      </c>
      <c r="G114" s="809">
        <f t="shared" si="1"/>
        <v>0</v>
      </c>
      <c r="H114" s="799"/>
      <c r="I114" s="799"/>
      <c r="J114" s="807"/>
      <c r="K114" s="807"/>
      <c r="L114" s="807"/>
      <c r="M114" s="799"/>
      <c r="N114" s="799"/>
      <c r="O114" s="799"/>
      <c r="P114" s="799"/>
      <c r="Q114" s="799"/>
      <c r="R114" s="799"/>
      <c r="S114" s="799"/>
      <c r="T114" s="799"/>
      <c r="U114" s="799"/>
      <c r="V114" s="799"/>
      <c r="W114" s="799"/>
      <c r="X114" s="799"/>
      <c r="Y114" s="799"/>
      <c r="Z114" s="799"/>
      <c r="AA114" s="799"/>
      <c r="AB114" s="799"/>
      <c r="AC114" s="799"/>
      <c r="AD114" s="799"/>
    </row>
    <row r="115" spans="1:30">
      <c r="A115" s="799"/>
      <c r="B115" s="799"/>
      <c r="C115" s="799"/>
      <c r="D115" s="807"/>
      <c r="E115" s="808"/>
      <c r="F115" s="808">
        <f t="shared" si="0"/>
        <v>0</v>
      </c>
      <c r="G115" s="809">
        <f t="shared" si="1"/>
        <v>0</v>
      </c>
      <c r="H115" s="799"/>
      <c r="I115" s="799"/>
      <c r="J115" s="807"/>
      <c r="K115" s="807"/>
      <c r="L115" s="807"/>
      <c r="M115" s="799"/>
      <c r="N115" s="799"/>
      <c r="O115" s="799"/>
      <c r="P115" s="799"/>
      <c r="Q115" s="799"/>
      <c r="R115" s="799"/>
      <c r="S115" s="799"/>
      <c r="T115" s="799"/>
      <c r="U115" s="799"/>
      <c r="V115" s="799"/>
      <c r="W115" s="799"/>
      <c r="X115" s="799"/>
      <c r="Y115" s="799"/>
      <c r="Z115" s="799"/>
      <c r="AA115" s="799"/>
      <c r="AB115" s="799"/>
      <c r="AC115" s="799"/>
      <c r="AD115" s="799"/>
    </row>
    <row r="116" spans="1:30">
      <c r="A116" s="799"/>
      <c r="B116" s="799"/>
      <c r="C116" s="799"/>
      <c r="D116" s="807"/>
      <c r="E116" s="808"/>
      <c r="F116" s="808">
        <f t="shared" si="0"/>
        <v>0</v>
      </c>
      <c r="G116" s="809">
        <f t="shared" si="1"/>
        <v>0</v>
      </c>
      <c r="H116" s="799"/>
      <c r="I116" s="799"/>
      <c r="J116" s="807"/>
      <c r="K116" s="807"/>
      <c r="L116" s="807"/>
      <c r="M116" s="799"/>
      <c r="N116" s="799"/>
      <c r="O116" s="799"/>
      <c r="P116" s="799"/>
      <c r="Q116" s="799"/>
      <c r="R116" s="799"/>
      <c r="S116" s="799"/>
      <c r="T116" s="799"/>
      <c r="U116" s="799"/>
      <c r="V116" s="799"/>
      <c r="W116" s="799"/>
      <c r="X116" s="799"/>
      <c r="Y116" s="799"/>
      <c r="Z116" s="799"/>
      <c r="AA116" s="799"/>
      <c r="AB116" s="799"/>
      <c r="AC116" s="799"/>
      <c r="AD116" s="799"/>
    </row>
    <row r="117" spans="1:30">
      <c r="A117" s="799"/>
      <c r="B117" s="799"/>
      <c r="C117" s="799"/>
      <c r="D117" s="807"/>
      <c r="E117" s="808"/>
      <c r="F117" s="808">
        <f t="shared" si="0"/>
        <v>0</v>
      </c>
      <c r="G117" s="809">
        <f t="shared" si="1"/>
        <v>0</v>
      </c>
      <c r="H117" s="799"/>
      <c r="I117" s="799"/>
      <c r="J117" s="807"/>
      <c r="K117" s="807"/>
      <c r="L117" s="807"/>
      <c r="M117" s="799"/>
      <c r="N117" s="799"/>
      <c r="O117" s="799"/>
      <c r="P117" s="799"/>
      <c r="Q117" s="799"/>
      <c r="R117" s="799"/>
      <c r="S117" s="799"/>
      <c r="T117" s="799"/>
      <c r="U117" s="799"/>
      <c r="V117" s="799"/>
      <c r="W117" s="799"/>
      <c r="X117" s="799"/>
      <c r="Y117" s="799"/>
      <c r="Z117" s="799"/>
      <c r="AA117" s="799"/>
      <c r="AB117" s="799"/>
      <c r="AC117" s="799"/>
      <c r="AD117" s="799"/>
    </row>
    <row r="118" spans="1:30">
      <c r="A118" s="799"/>
      <c r="B118" s="799"/>
      <c r="C118" s="799"/>
      <c r="D118" s="807"/>
      <c r="E118" s="808"/>
      <c r="F118" s="808">
        <f t="shared" si="0"/>
        <v>0</v>
      </c>
      <c r="G118" s="809">
        <f t="shared" si="1"/>
        <v>0</v>
      </c>
      <c r="H118" s="799"/>
      <c r="I118" s="799"/>
      <c r="J118" s="807"/>
      <c r="K118" s="807"/>
      <c r="L118" s="807"/>
      <c r="M118" s="799"/>
      <c r="N118" s="799"/>
      <c r="O118" s="799"/>
      <c r="P118" s="799"/>
      <c r="Q118" s="799"/>
      <c r="R118" s="799"/>
      <c r="S118" s="799"/>
      <c r="T118" s="799"/>
      <c r="U118" s="799"/>
      <c r="V118" s="799"/>
      <c r="W118" s="799"/>
      <c r="X118" s="799"/>
      <c r="Y118" s="799"/>
      <c r="Z118" s="799"/>
      <c r="AA118" s="799"/>
      <c r="AB118" s="799"/>
      <c r="AC118" s="799"/>
      <c r="AD118" s="799"/>
    </row>
    <row r="119" spans="1:30">
      <c r="A119" s="799"/>
      <c r="B119" s="799"/>
      <c r="C119" s="799"/>
      <c r="D119" s="807"/>
      <c r="E119" s="808"/>
      <c r="F119" s="808">
        <f t="shared" si="0"/>
        <v>0</v>
      </c>
      <c r="G119" s="809">
        <f t="shared" si="1"/>
        <v>0</v>
      </c>
      <c r="H119" s="799"/>
      <c r="I119" s="799"/>
      <c r="J119" s="807"/>
      <c r="K119" s="807"/>
      <c r="L119" s="807"/>
      <c r="M119" s="799"/>
      <c r="N119" s="799"/>
      <c r="O119" s="799"/>
      <c r="P119" s="799"/>
      <c r="Q119" s="799"/>
      <c r="R119" s="799"/>
      <c r="S119" s="799"/>
      <c r="T119" s="799"/>
      <c r="U119" s="799"/>
      <c r="V119" s="799"/>
      <c r="W119" s="799"/>
      <c r="X119" s="799"/>
      <c r="Y119" s="799"/>
      <c r="Z119" s="799"/>
      <c r="AA119" s="799"/>
      <c r="AB119" s="799"/>
      <c r="AC119" s="799"/>
      <c r="AD119" s="799"/>
    </row>
    <row r="120" spans="1:30">
      <c r="A120" s="799"/>
      <c r="B120" s="799"/>
      <c r="C120" s="799"/>
      <c r="D120" s="807"/>
      <c r="E120" s="808"/>
      <c r="F120" s="808">
        <f t="shared" si="0"/>
        <v>0</v>
      </c>
      <c r="G120" s="809">
        <f t="shared" si="1"/>
        <v>0</v>
      </c>
      <c r="H120" s="799"/>
      <c r="I120" s="799"/>
      <c r="J120" s="807"/>
      <c r="K120" s="807"/>
      <c r="L120" s="807"/>
      <c r="M120" s="799"/>
      <c r="N120" s="799"/>
      <c r="O120" s="799"/>
      <c r="P120" s="799"/>
      <c r="Q120" s="799"/>
      <c r="R120" s="799"/>
      <c r="S120" s="799"/>
      <c r="T120" s="799"/>
      <c r="U120" s="799"/>
      <c r="V120" s="799"/>
      <c r="W120" s="799"/>
      <c r="X120" s="799"/>
      <c r="Y120" s="799"/>
      <c r="Z120" s="799"/>
      <c r="AA120" s="799"/>
      <c r="AB120" s="799"/>
      <c r="AC120" s="799"/>
      <c r="AD120" s="799"/>
    </row>
    <row r="121" spans="1:30">
      <c r="A121" s="799"/>
      <c r="B121" s="799"/>
      <c r="C121" s="799"/>
      <c r="D121" s="807"/>
      <c r="E121" s="808"/>
      <c r="F121" s="808">
        <f t="shared" si="0"/>
        <v>0</v>
      </c>
      <c r="G121" s="809">
        <f t="shared" si="1"/>
        <v>0</v>
      </c>
      <c r="H121" s="799"/>
      <c r="I121" s="799"/>
      <c r="J121" s="807"/>
      <c r="K121" s="807"/>
      <c r="L121" s="807"/>
      <c r="M121" s="799"/>
      <c r="N121" s="799"/>
      <c r="O121" s="799"/>
      <c r="P121" s="799"/>
      <c r="Q121" s="799"/>
      <c r="R121" s="799"/>
      <c r="S121" s="799"/>
      <c r="T121" s="799"/>
      <c r="U121" s="799"/>
      <c r="V121" s="799"/>
      <c r="W121" s="799"/>
      <c r="X121" s="799"/>
      <c r="Y121" s="799"/>
      <c r="Z121" s="799"/>
      <c r="AA121" s="799"/>
      <c r="AB121" s="799"/>
      <c r="AC121" s="799"/>
      <c r="AD121" s="799"/>
    </row>
    <row r="122" spans="1:30">
      <c r="A122" s="799"/>
      <c r="B122" s="799"/>
      <c r="C122" s="799"/>
      <c r="D122" s="807"/>
      <c r="E122" s="808"/>
      <c r="F122" s="808">
        <f t="shared" si="0"/>
        <v>0</v>
      </c>
      <c r="G122" s="809">
        <f t="shared" si="1"/>
        <v>0</v>
      </c>
      <c r="H122" s="799"/>
      <c r="I122" s="799"/>
      <c r="J122" s="807"/>
      <c r="K122" s="807"/>
      <c r="L122" s="807"/>
      <c r="M122" s="799"/>
      <c r="N122" s="799"/>
      <c r="O122" s="799"/>
      <c r="P122" s="799"/>
      <c r="Q122" s="799"/>
      <c r="R122" s="799"/>
      <c r="S122" s="799"/>
      <c r="T122" s="799"/>
      <c r="U122" s="799"/>
      <c r="V122" s="799"/>
      <c r="W122" s="799"/>
      <c r="X122" s="799"/>
      <c r="Y122" s="799"/>
      <c r="Z122" s="799"/>
      <c r="AA122" s="799"/>
      <c r="AB122" s="799"/>
      <c r="AC122" s="799"/>
      <c r="AD122" s="799"/>
    </row>
    <row r="123" spans="1:30">
      <c r="A123" s="799"/>
      <c r="B123" s="799"/>
      <c r="C123" s="799"/>
      <c r="D123" s="807"/>
      <c r="E123" s="808"/>
      <c r="F123" s="808">
        <f t="shared" si="0"/>
        <v>0</v>
      </c>
      <c r="G123" s="809">
        <f t="shared" si="1"/>
        <v>0</v>
      </c>
      <c r="H123" s="799"/>
      <c r="I123" s="799"/>
      <c r="J123" s="807"/>
      <c r="K123" s="807"/>
      <c r="L123" s="807"/>
      <c r="M123" s="799"/>
      <c r="N123" s="799"/>
      <c r="O123" s="799"/>
      <c r="P123" s="799"/>
      <c r="Q123" s="799"/>
      <c r="R123" s="799"/>
      <c r="S123" s="799"/>
      <c r="T123" s="799"/>
      <c r="U123" s="799"/>
      <c r="V123" s="799"/>
      <c r="W123" s="799"/>
      <c r="X123" s="799"/>
      <c r="Y123" s="799"/>
      <c r="Z123" s="799"/>
      <c r="AA123" s="799"/>
      <c r="AB123" s="799"/>
      <c r="AC123" s="799"/>
      <c r="AD123" s="799"/>
    </row>
    <row r="124" spans="1:30">
      <c r="A124" s="799"/>
      <c r="B124" s="799"/>
      <c r="C124" s="799"/>
      <c r="D124" s="807"/>
      <c r="E124" s="808"/>
      <c r="F124" s="808">
        <f t="shared" si="0"/>
        <v>0</v>
      </c>
      <c r="G124" s="809">
        <f t="shared" si="1"/>
        <v>0</v>
      </c>
      <c r="H124" s="799"/>
      <c r="I124" s="799"/>
      <c r="J124" s="807"/>
      <c r="K124" s="807"/>
      <c r="L124" s="807"/>
      <c r="M124" s="799"/>
      <c r="N124" s="799"/>
      <c r="O124" s="799"/>
      <c r="P124" s="799"/>
      <c r="Q124" s="799"/>
      <c r="R124" s="799"/>
      <c r="S124" s="799"/>
      <c r="T124" s="799"/>
      <c r="U124" s="799"/>
      <c r="V124" s="799"/>
      <c r="W124" s="799"/>
      <c r="X124" s="799"/>
      <c r="Y124" s="799"/>
      <c r="Z124" s="799"/>
      <c r="AA124" s="799"/>
      <c r="AB124" s="799"/>
      <c r="AC124" s="799"/>
      <c r="AD124" s="799"/>
    </row>
    <row r="125" spans="1:30">
      <c r="A125" s="799"/>
      <c r="B125" s="799"/>
      <c r="C125" s="799"/>
      <c r="D125" s="807"/>
      <c r="E125" s="808"/>
      <c r="F125" s="808">
        <f t="shared" si="0"/>
        <v>0</v>
      </c>
      <c r="G125" s="809">
        <f t="shared" si="1"/>
        <v>0</v>
      </c>
      <c r="H125" s="799"/>
      <c r="I125" s="799"/>
      <c r="J125" s="807"/>
      <c r="K125" s="807"/>
      <c r="L125" s="807"/>
      <c r="M125" s="799"/>
      <c r="N125" s="799"/>
      <c r="O125" s="799"/>
      <c r="P125" s="799"/>
      <c r="Q125" s="799"/>
      <c r="R125" s="799"/>
      <c r="S125" s="799"/>
      <c r="T125" s="799"/>
      <c r="U125" s="799"/>
      <c r="V125" s="799"/>
      <c r="W125" s="799"/>
      <c r="X125" s="799"/>
      <c r="Y125" s="799"/>
      <c r="Z125" s="799"/>
      <c r="AA125" s="799"/>
      <c r="AB125" s="799"/>
      <c r="AC125" s="799"/>
      <c r="AD125" s="799"/>
    </row>
    <row r="126" spans="1:30">
      <c r="A126" s="799"/>
      <c r="B126" s="799"/>
      <c r="C126" s="799"/>
      <c r="D126" s="807"/>
      <c r="E126" s="808"/>
      <c r="F126" s="808">
        <f t="shared" si="0"/>
        <v>0</v>
      </c>
      <c r="G126" s="809">
        <f t="shared" si="1"/>
        <v>0</v>
      </c>
      <c r="H126" s="799"/>
      <c r="I126" s="799"/>
      <c r="J126" s="807"/>
      <c r="K126" s="807"/>
      <c r="L126" s="807"/>
      <c r="M126" s="799"/>
      <c r="N126" s="799"/>
      <c r="O126" s="799"/>
      <c r="P126" s="799"/>
      <c r="Q126" s="799"/>
      <c r="R126" s="799"/>
      <c r="S126" s="799"/>
      <c r="T126" s="799"/>
      <c r="U126" s="799"/>
      <c r="V126" s="799"/>
      <c r="W126" s="799"/>
      <c r="X126" s="799"/>
      <c r="Y126" s="799"/>
      <c r="Z126" s="799"/>
      <c r="AA126" s="799"/>
      <c r="AB126" s="799"/>
      <c r="AC126" s="799"/>
      <c r="AD126" s="799"/>
    </row>
    <row r="127" spans="1:30">
      <c r="A127" s="799"/>
      <c r="B127" s="799"/>
      <c r="C127" s="799"/>
      <c r="D127" s="807"/>
      <c r="E127" s="808"/>
      <c r="F127" s="808">
        <f t="shared" si="0"/>
        <v>0</v>
      </c>
      <c r="G127" s="809">
        <f t="shared" si="1"/>
        <v>0</v>
      </c>
      <c r="H127" s="799"/>
      <c r="I127" s="799"/>
      <c r="J127" s="807"/>
      <c r="K127" s="807"/>
      <c r="L127" s="807"/>
      <c r="M127" s="799"/>
      <c r="N127" s="799"/>
      <c r="O127" s="799"/>
      <c r="P127" s="799"/>
      <c r="Q127" s="799"/>
      <c r="R127" s="799"/>
      <c r="S127" s="799"/>
      <c r="T127" s="799"/>
      <c r="U127" s="799"/>
      <c r="V127" s="799"/>
      <c r="W127" s="799"/>
      <c r="X127" s="799"/>
      <c r="Y127" s="799"/>
      <c r="Z127" s="799"/>
      <c r="AA127" s="799"/>
      <c r="AB127" s="799"/>
      <c r="AC127" s="799"/>
      <c r="AD127" s="799"/>
    </row>
    <row r="128" spans="1:30">
      <c r="A128" s="799"/>
      <c r="B128" s="799"/>
      <c r="C128" s="799"/>
      <c r="D128" s="807"/>
      <c r="E128" s="808"/>
      <c r="F128" s="808">
        <f t="shared" si="0"/>
        <v>0</v>
      </c>
      <c r="G128" s="809">
        <f t="shared" si="1"/>
        <v>0</v>
      </c>
      <c r="H128" s="799"/>
      <c r="I128" s="799"/>
      <c r="J128" s="807"/>
      <c r="K128" s="807"/>
      <c r="L128" s="807"/>
      <c r="M128" s="799"/>
      <c r="N128" s="799"/>
      <c r="O128" s="799"/>
      <c r="P128" s="799"/>
      <c r="Q128" s="799"/>
      <c r="R128" s="799"/>
      <c r="S128" s="799"/>
      <c r="T128" s="799"/>
      <c r="U128" s="799"/>
      <c r="V128" s="799"/>
      <c r="W128" s="799"/>
      <c r="X128" s="799"/>
      <c r="Y128" s="799"/>
      <c r="Z128" s="799"/>
      <c r="AA128" s="799"/>
      <c r="AB128" s="799"/>
      <c r="AC128" s="799"/>
      <c r="AD128" s="799"/>
    </row>
    <row r="129" spans="1:30">
      <c r="A129" s="799"/>
      <c r="B129" s="799"/>
      <c r="C129" s="799"/>
      <c r="D129" s="807"/>
      <c r="E129" s="808"/>
      <c r="F129" s="808">
        <f t="shared" si="0"/>
        <v>0</v>
      </c>
      <c r="G129" s="809">
        <f t="shared" si="1"/>
        <v>0</v>
      </c>
      <c r="H129" s="799"/>
      <c r="I129" s="799"/>
      <c r="J129" s="807"/>
      <c r="K129" s="807"/>
      <c r="L129" s="807"/>
      <c r="M129" s="799"/>
      <c r="N129" s="799"/>
      <c r="O129" s="799"/>
      <c r="P129" s="799"/>
      <c r="Q129" s="799"/>
      <c r="R129" s="799"/>
      <c r="S129" s="799"/>
      <c r="T129" s="799"/>
      <c r="U129" s="799"/>
      <c r="V129" s="799"/>
      <c r="W129" s="799"/>
      <c r="X129" s="799"/>
      <c r="Y129" s="799"/>
      <c r="Z129" s="799"/>
      <c r="AA129" s="799"/>
      <c r="AB129" s="799"/>
      <c r="AC129" s="799"/>
      <c r="AD129" s="799"/>
    </row>
    <row r="130" spans="1:30">
      <c r="A130" s="799"/>
      <c r="B130" s="799"/>
      <c r="C130" s="799"/>
      <c r="D130" s="807"/>
      <c r="E130" s="808"/>
      <c r="F130" s="808">
        <f t="shared" si="0"/>
        <v>0</v>
      </c>
      <c r="G130" s="809">
        <f t="shared" si="1"/>
        <v>0</v>
      </c>
      <c r="H130" s="799"/>
      <c r="I130" s="799"/>
      <c r="J130" s="807"/>
      <c r="K130" s="807"/>
      <c r="L130" s="807"/>
      <c r="M130" s="799"/>
      <c r="N130" s="799"/>
      <c r="O130" s="799"/>
      <c r="P130" s="799"/>
      <c r="Q130" s="799"/>
      <c r="R130" s="799"/>
      <c r="S130" s="799"/>
      <c r="T130" s="799"/>
      <c r="U130" s="799"/>
      <c r="V130" s="799"/>
      <c r="W130" s="799"/>
      <c r="X130" s="799"/>
      <c r="Y130" s="799"/>
      <c r="Z130" s="799"/>
      <c r="AA130" s="799"/>
      <c r="AB130" s="799"/>
      <c r="AC130" s="799"/>
      <c r="AD130" s="799"/>
    </row>
    <row r="131" spans="1:30">
      <c r="A131" s="799"/>
      <c r="B131" s="799"/>
      <c r="C131" s="799"/>
      <c r="D131" s="807"/>
      <c r="E131" s="808"/>
      <c r="F131" s="808">
        <f t="shared" si="0"/>
        <v>0</v>
      </c>
      <c r="G131" s="809">
        <f t="shared" si="1"/>
        <v>0</v>
      </c>
      <c r="H131" s="799"/>
      <c r="I131" s="799"/>
      <c r="J131" s="807"/>
      <c r="K131" s="807"/>
      <c r="L131" s="807"/>
      <c r="M131" s="799"/>
      <c r="N131" s="799"/>
      <c r="O131" s="799"/>
      <c r="P131" s="799"/>
      <c r="Q131" s="799"/>
      <c r="R131" s="799"/>
      <c r="S131" s="799"/>
      <c r="T131" s="799"/>
      <c r="U131" s="799"/>
      <c r="V131" s="799"/>
      <c r="W131" s="799"/>
      <c r="X131" s="799"/>
      <c r="Y131" s="799"/>
      <c r="Z131" s="799"/>
      <c r="AA131" s="799"/>
      <c r="AB131" s="799"/>
      <c r="AC131" s="799"/>
      <c r="AD131" s="799"/>
    </row>
    <row r="132" spans="1:30">
      <c r="A132" s="799"/>
      <c r="B132" s="799"/>
      <c r="C132" s="799"/>
      <c r="D132" s="807"/>
      <c r="E132" s="808"/>
      <c r="F132" s="808">
        <f t="shared" si="0"/>
        <v>0</v>
      </c>
      <c r="G132" s="809">
        <f t="shared" si="1"/>
        <v>0</v>
      </c>
      <c r="H132" s="799"/>
      <c r="I132" s="799"/>
      <c r="J132" s="807"/>
      <c r="K132" s="807"/>
      <c r="L132" s="807"/>
      <c r="M132" s="799"/>
      <c r="N132" s="799"/>
      <c r="O132" s="799"/>
      <c r="P132" s="799"/>
      <c r="Q132" s="799"/>
      <c r="R132" s="799"/>
      <c r="S132" s="799"/>
      <c r="T132" s="799"/>
      <c r="U132" s="799"/>
      <c r="V132" s="799"/>
      <c r="W132" s="799"/>
      <c r="X132" s="799"/>
      <c r="Y132" s="799"/>
      <c r="Z132" s="799"/>
      <c r="AA132" s="799"/>
      <c r="AB132" s="799"/>
      <c r="AC132" s="799"/>
      <c r="AD132" s="799"/>
    </row>
    <row r="133" spans="1:30">
      <c r="A133" s="799"/>
      <c r="B133" s="799"/>
      <c r="C133" s="799"/>
      <c r="D133" s="807"/>
      <c r="E133" s="808"/>
      <c r="F133" s="808">
        <f t="shared" si="0"/>
        <v>0</v>
      </c>
      <c r="G133" s="809">
        <f t="shared" si="1"/>
        <v>0</v>
      </c>
      <c r="H133" s="799"/>
      <c r="I133" s="799"/>
      <c r="J133" s="807"/>
      <c r="K133" s="807"/>
      <c r="L133" s="807"/>
      <c r="M133" s="799"/>
      <c r="N133" s="799"/>
      <c r="O133" s="799"/>
      <c r="P133" s="799"/>
      <c r="Q133" s="799"/>
      <c r="R133" s="799"/>
      <c r="S133" s="799"/>
      <c r="T133" s="799"/>
      <c r="U133" s="799"/>
      <c r="V133" s="799"/>
      <c r="W133" s="799"/>
      <c r="X133" s="799"/>
      <c r="Y133" s="799"/>
      <c r="Z133" s="799"/>
      <c r="AA133" s="799"/>
      <c r="AB133" s="799"/>
      <c r="AC133" s="799"/>
      <c r="AD133" s="799"/>
    </row>
    <row r="134" spans="1:30">
      <c r="A134" s="799"/>
      <c r="B134" s="799"/>
      <c r="C134" s="799"/>
      <c r="D134" s="807"/>
      <c r="E134" s="808"/>
      <c r="F134" s="808">
        <f t="shared" si="0"/>
        <v>0</v>
      </c>
      <c r="G134" s="809">
        <f t="shared" si="1"/>
        <v>0</v>
      </c>
      <c r="H134" s="799"/>
      <c r="I134" s="799"/>
      <c r="J134" s="807"/>
      <c r="K134" s="807"/>
      <c r="L134" s="807"/>
      <c r="M134" s="799"/>
      <c r="N134" s="799"/>
      <c r="O134" s="799"/>
      <c r="P134" s="799"/>
      <c r="Q134" s="799"/>
      <c r="R134" s="799"/>
      <c r="S134" s="799"/>
      <c r="T134" s="799"/>
      <c r="U134" s="799"/>
      <c r="V134" s="799"/>
      <c r="W134" s="799"/>
      <c r="X134" s="799"/>
      <c r="Y134" s="799"/>
      <c r="Z134" s="799"/>
      <c r="AA134" s="799"/>
      <c r="AB134" s="799"/>
      <c r="AC134" s="799"/>
      <c r="AD134" s="799"/>
    </row>
    <row r="135" spans="1:30">
      <c r="A135" s="799"/>
      <c r="B135" s="799"/>
      <c r="C135" s="799"/>
      <c r="D135" s="807"/>
      <c r="E135" s="808"/>
      <c r="F135" s="808">
        <f t="shared" si="0"/>
        <v>0</v>
      </c>
      <c r="G135" s="809">
        <f t="shared" si="1"/>
        <v>0</v>
      </c>
      <c r="H135" s="799"/>
      <c r="I135" s="799"/>
      <c r="J135" s="807"/>
      <c r="K135" s="807"/>
      <c r="L135" s="807"/>
      <c r="M135" s="799"/>
      <c r="N135" s="799"/>
      <c r="O135" s="799"/>
      <c r="P135" s="799"/>
      <c r="Q135" s="799"/>
      <c r="R135" s="799"/>
      <c r="S135" s="799"/>
      <c r="T135" s="799"/>
      <c r="U135" s="799"/>
      <c r="V135" s="799"/>
      <c r="W135" s="799"/>
      <c r="X135" s="799"/>
      <c r="Y135" s="799"/>
      <c r="Z135" s="799"/>
      <c r="AA135" s="799"/>
      <c r="AB135" s="799"/>
      <c r="AC135" s="799"/>
      <c r="AD135" s="799"/>
    </row>
    <row r="136" spans="1:30">
      <c r="A136" s="799"/>
      <c r="B136" s="799"/>
      <c r="C136" s="799"/>
      <c r="D136" s="807"/>
      <c r="E136" s="808"/>
      <c r="F136" s="808">
        <f t="shared" si="0"/>
        <v>0</v>
      </c>
      <c r="G136" s="809">
        <f t="shared" si="1"/>
        <v>0</v>
      </c>
      <c r="H136" s="799"/>
      <c r="I136" s="799"/>
      <c r="J136" s="807"/>
      <c r="K136" s="807"/>
      <c r="L136" s="807"/>
      <c r="M136" s="799"/>
      <c r="N136" s="799"/>
      <c r="O136" s="799"/>
      <c r="P136" s="799"/>
      <c r="Q136" s="799"/>
      <c r="R136" s="799"/>
      <c r="S136" s="799"/>
      <c r="T136" s="799"/>
      <c r="U136" s="799"/>
      <c r="V136" s="799"/>
      <c r="W136" s="799"/>
      <c r="X136" s="799"/>
      <c r="Y136" s="799"/>
      <c r="Z136" s="799"/>
      <c r="AA136" s="799"/>
      <c r="AB136" s="799"/>
      <c r="AC136" s="799"/>
      <c r="AD136" s="799"/>
    </row>
    <row r="137" spans="1:30">
      <c r="A137" s="799"/>
      <c r="B137" s="799"/>
      <c r="C137" s="799"/>
      <c r="D137" s="807"/>
      <c r="E137" s="808"/>
      <c r="F137" s="808">
        <f t="shared" si="0"/>
        <v>0</v>
      </c>
      <c r="G137" s="809">
        <f t="shared" si="1"/>
        <v>0</v>
      </c>
      <c r="H137" s="799"/>
      <c r="I137" s="799"/>
      <c r="J137" s="807"/>
      <c r="K137" s="807"/>
      <c r="L137" s="807"/>
      <c r="M137" s="799"/>
      <c r="N137" s="799"/>
      <c r="O137" s="799"/>
      <c r="P137" s="799"/>
      <c r="Q137" s="799"/>
      <c r="R137" s="799"/>
      <c r="S137" s="799"/>
      <c r="T137" s="799"/>
      <c r="U137" s="799"/>
      <c r="V137" s="799"/>
      <c r="W137" s="799"/>
      <c r="X137" s="799"/>
      <c r="Y137" s="799"/>
      <c r="Z137" s="799"/>
      <c r="AA137" s="799"/>
      <c r="AB137" s="799"/>
      <c r="AC137" s="799"/>
      <c r="AD137" s="799"/>
    </row>
    <row r="138" spans="1:30">
      <c r="A138" s="799"/>
      <c r="B138" s="799"/>
      <c r="C138" s="799"/>
      <c r="D138" s="807"/>
      <c r="E138" s="808"/>
      <c r="F138" s="808">
        <f t="shared" si="0"/>
        <v>0</v>
      </c>
      <c r="G138" s="809">
        <f t="shared" si="1"/>
        <v>0</v>
      </c>
      <c r="H138" s="799"/>
      <c r="I138" s="799"/>
      <c r="J138" s="807"/>
      <c r="K138" s="807"/>
      <c r="L138" s="807"/>
      <c r="M138" s="799"/>
      <c r="N138" s="799"/>
      <c r="O138" s="799"/>
      <c r="P138" s="799"/>
      <c r="Q138" s="799"/>
      <c r="R138" s="799"/>
      <c r="S138" s="799"/>
      <c r="T138" s="799"/>
      <c r="U138" s="799"/>
      <c r="V138" s="799"/>
      <c r="W138" s="799"/>
      <c r="X138" s="799"/>
      <c r="Y138" s="799"/>
      <c r="Z138" s="799"/>
      <c r="AA138" s="799"/>
      <c r="AB138" s="799"/>
      <c r="AC138" s="799"/>
      <c r="AD138" s="799"/>
    </row>
    <row r="139" spans="1:30">
      <c r="A139" s="799"/>
      <c r="B139" s="799"/>
      <c r="C139" s="799"/>
      <c r="D139" s="807"/>
      <c r="E139" s="808"/>
      <c r="F139" s="808">
        <f t="shared" si="0"/>
        <v>0</v>
      </c>
      <c r="G139" s="809">
        <f t="shared" si="1"/>
        <v>0</v>
      </c>
      <c r="H139" s="799"/>
      <c r="I139" s="799"/>
      <c r="J139" s="807"/>
      <c r="K139" s="807"/>
      <c r="L139" s="807"/>
      <c r="M139" s="799"/>
      <c r="N139" s="799"/>
      <c r="O139" s="799"/>
      <c r="P139" s="799"/>
      <c r="Q139" s="799"/>
      <c r="R139" s="799"/>
      <c r="S139" s="799"/>
      <c r="T139" s="799"/>
      <c r="U139" s="799"/>
      <c r="V139" s="799"/>
      <c r="W139" s="799"/>
      <c r="X139" s="799"/>
      <c r="Y139" s="799"/>
      <c r="Z139" s="799"/>
      <c r="AA139" s="799"/>
      <c r="AB139" s="799"/>
      <c r="AC139" s="799"/>
      <c r="AD139" s="799"/>
    </row>
    <row r="140" spans="1:30">
      <c r="A140" s="799"/>
      <c r="B140" s="799"/>
      <c r="C140" s="799"/>
      <c r="D140" s="807"/>
      <c r="E140" s="808"/>
      <c r="F140" s="808">
        <f t="shared" si="0"/>
        <v>0</v>
      </c>
      <c r="G140" s="809">
        <f t="shared" si="1"/>
        <v>0</v>
      </c>
      <c r="H140" s="799"/>
      <c r="I140" s="799"/>
      <c r="J140" s="807"/>
      <c r="K140" s="807"/>
      <c r="L140" s="807"/>
      <c r="M140" s="799"/>
      <c r="N140" s="799"/>
      <c r="O140" s="799"/>
      <c r="P140" s="799"/>
      <c r="Q140" s="799"/>
      <c r="R140" s="799"/>
      <c r="S140" s="799"/>
      <c r="T140" s="799"/>
      <c r="U140" s="799"/>
      <c r="V140" s="799"/>
      <c r="W140" s="799"/>
      <c r="X140" s="799"/>
      <c r="Y140" s="799"/>
      <c r="Z140" s="799"/>
      <c r="AA140" s="799"/>
      <c r="AB140" s="799"/>
      <c r="AC140" s="799"/>
      <c r="AD140" s="799"/>
    </row>
    <row r="141" spans="1:30">
      <c r="A141" s="799"/>
      <c r="B141" s="799"/>
      <c r="C141" s="799"/>
      <c r="D141" s="807"/>
      <c r="E141" s="808"/>
      <c r="F141" s="808">
        <f t="shared" si="0"/>
        <v>0</v>
      </c>
      <c r="G141" s="809">
        <f t="shared" si="1"/>
        <v>0</v>
      </c>
      <c r="H141" s="799"/>
      <c r="I141" s="799"/>
      <c r="J141" s="807"/>
      <c r="K141" s="807"/>
      <c r="L141" s="807"/>
      <c r="M141" s="799"/>
      <c r="N141" s="799"/>
      <c r="O141" s="799"/>
      <c r="P141" s="799"/>
      <c r="Q141" s="799"/>
      <c r="R141" s="799"/>
      <c r="S141" s="799"/>
      <c r="T141" s="799"/>
      <c r="U141" s="799"/>
      <c r="V141" s="799"/>
      <c r="W141" s="799"/>
      <c r="X141" s="799"/>
      <c r="Y141" s="799"/>
      <c r="Z141" s="799"/>
      <c r="AA141" s="799"/>
      <c r="AB141" s="799"/>
      <c r="AC141" s="799"/>
      <c r="AD141" s="799"/>
    </row>
    <row r="142" spans="1:30">
      <c r="A142" s="799"/>
      <c r="B142" s="799"/>
      <c r="C142" s="799"/>
      <c r="D142" s="807"/>
      <c r="E142" s="808"/>
      <c r="F142" s="808">
        <f t="shared" si="0"/>
        <v>0</v>
      </c>
      <c r="G142" s="809">
        <f t="shared" si="1"/>
        <v>0</v>
      </c>
      <c r="H142" s="799"/>
      <c r="I142" s="799"/>
      <c r="J142" s="807"/>
      <c r="K142" s="807"/>
      <c r="L142" s="807"/>
      <c r="M142" s="799"/>
      <c r="N142" s="799"/>
      <c r="O142" s="799"/>
      <c r="P142" s="799"/>
      <c r="Q142" s="799"/>
      <c r="R142" s="799"/>
      <c r="S142" s="799"/>
      <c r="T142" s="799"/>
      <c r="U142" s="799"/>
      <c r="V142" s="799"/>
      <c r="W142" s="799"/>
      <c r="X142" s="799"/>
      <c r="Y142" s="799"/>
      <c r="Z142" s="799"/>
      <c r="AA142" s="799"/>
      <c r="AB142" s="799"/>
      <c r="AC142" s="799"/>
      <c r="AD142" s="799"/>
    </row>
    <row r="143" spans="1:30">
      <c r="A143" s="799"/>
      <c r="B143" s="799"/>
      <c r="C143" s="799"/>
      <c r="D143" s="807"/>
      <c r="E143" s="808"/>
      <c r="F143" s="808">
        <f t="shared" si="0"/>
        <v>0</v>
      </c>
      <c r="G143" s="809">
        <f t="shared" si="1"/>
        <v>0</v>
      </c>
      <c r="H143" s="799"/>
      <c r="I143" s="799"/>
      <c r="J143" s="807"/>
      <c r="K143" s="807"/>
      <c r="L143" s="807"/>
      <c r="M143" s="799"/>
      <c r="N143" s="799"/>
      <c r="O143" s="799"/>
      <c r="P143" s="799"/>
      <c r="Q143" s="799"/>
      <c r="R143" s="799"/>
      <c r="S143" s="799"/>
      <c r="T143" s="799"/>
      <c r="U143" s="799"/>
      <c r="V143" s="799"/>
      <c r="W143" s="799"/>
      <c r="X143" s="799"/>
      <c r="Y143" s="799"/>
      <c r="Z143" s="799"/>
      <c r="AA143" s="799"/>
      <c r="AB143" s="799"/>
      <c r="AC143" s="799"/>
      <c r="AD143" s="799"/>
    </row>
    <row r="144" spans="1:30">
      <c r="A144" s="799"/>
      <c r="B144" s="799"/>
      <c r="C144" s="799"/>
      <c r="D144" s="807"/>
      <c r="E144" s="808"/>
      <c r="F144" s="808">
        <f t="shared" si="0"/>
        <v>0</v>
      </c>
      <c r="G144" s="809">
        <f t="shared" si="1"/>
        <v>0</v>
      </c>
      <c r="H144" s="799"/>
      <c r="I144" s="799"/>
      <c r="J144" s="807"/>
      <c r="K144" s="807"/>
      <c r="L144" s="807"/>
      <c r="M144" s="799"/>
      <c r="N144" s="799"/>
      <c r="O144" s="799"/>
      <c r="P144" s="799"/>
      <c r="Q144" s="799"/>
      <c r="R144" s="799"/>
      <c r="S144" s="799"/>
      <c r="T144" s="799"/>
      <c r="U144" s="799"/>
      <c r="V144" s="799"/>
      <c r="W144" s="799"/>
      <c r="X144" s="799"/>
      <c r="Y144" s="799"/>
      <c r="Z144" s="799"/>
      <c r="AA144" s="799"/>
      <c r="AB144" s="799"/>
      <c r="AC144" s="799"/>
      <c r="AD144" s="799"/>
    </row>
    <row r="145" spans="1:30">
      <c r="A145" s="799"/>
      <c r="B145" s="799"/>
      <c r="C145" s="799"/>
      <c r="D145" s="807"/>
      <c r="E145" s="808"/>
      <c r="F145" s="808">
        <f t="shared" si="0"/>
        <v>0</v>
      </c>
      <c r="G145" s="809">
        <f t="shared" si="1"/>
        <v>0</v>
      </c>
      <c r="H145" s="799"/>
      <c r="I145" s="799"/>
      <c r="J145" s="807"/>
      <c r="K145" s="807"/>
      <c r="L145" s="807"/>
      <c r="M145" s="799"/>
      <c r="N145" s="799"/>
      <c r="O145" s="799"/>
      <c r="P145" s="799"/>
      <c r="Q145" s="799"/>
      <c r="R145" s="799"/>
      <c r="S145" s="799"/>
      <c r="T145" s="799"/>
      <c r="U145" s="799"/>
      <c r="V145" s="799"/>
      <c r="W145" s="799"/>
      <c r="X145" s="799"/>
      <c r="Y145" s="799"/>
      <c r="Z145" s="799"/>
      <c r="AA145" s="799"/>
      <c r="AB145" s="799"/>
      <c r="AC145" s="799"/>
      <c r="AD145" s="799"/>
    </row>
    <row r="146" spans="1:30">
      <c r="A146" s="799"/>
      <c r="B146" s="799"/>
      <c r="C146" s="799"/>
      <c r="D146" s="807"/>
      <c r="E146" s="808"/>
      <c r="F146" s="808">
        <f t="shared" si="0"/>
        <v>0</v>
      </c>
      <c r="G146" s="809">
        <f t="shared" si="1"/>
        <v>0</v>
      </c>
      <c r="H146" s="799"/>
      <c r="I146" s="799"/>
      <c r="J146" s="807"/>
      <c r="K146" s="807"/>
      <c r="L146" s="807"/>
      <c r="M146" s="799"/>
      <c r="N146" s="799"/>
      <c r="O146" s="799"/>
      <c r="P146" s="799"/>
      <c r="Q146" s="799"/>
      <c r="R146" s="799"/>
      <c r="S146" s="799"/>
      <c r="T146" s="799"/>
      <c r="U146" s="799"/>
      <c r="V146" s="799"/>
      <c r="W146" s="799"/>
      <c r="X146" s="799"/>
      <c r="Y146" s="799"/>
      <c r="Z146" s="799"/>
      <c r="AA146" s="799"/>
      <c r="AB146" s="799"/>
      <c r="AC146" s="799"/>
      <c r="AD146" s="799"/>
    </row>
    <row r="147" spans="1:30">
      <c r="A147" s="799"/>
      <c r="B147" s="799"/>
      <c r="C147" s="799"/>
      <c r="D147" s="807"/>
      <c r="E147" s="808"/>
      <c r="F147" s="808">
        <f t="shared" si="0"/>
        <v>0</v>
      </c>
      <c r="G147" s="809">
        <f t="shared" si="1"/>
        <v>0</v>
      </c>
      <c r="H147" s="799"/>
      <c r="I147" s="799"/>
      <c r="J147" s="807"/>
      <c r="K147" s="807"/>
      <c r="L147" s="807"/>
      <c r="M147" s="799"/>
      <c r="N147" s="799"/>
      <c r="O147" s="799"/>
      <c r="P147" s="799"/>
      <c r="Q147" s="799"/>
      <c r="R147" s="799"/>
      <c r="S147" s="799"/>
      <c r="T147" s="799"/>
      <c r="U147" s="799"/>
      <c r="V147" s="799"/>
      <c r="W147" s="799"/>
      <c r="X147" s="799"/>
      <c r="Y147" s="799"/>
      <c r="Z147" s="799"/>
      <c r="AA147" s="799"/>
      <c r="AB147" s="799"/>
      <c r="AC147" s="799"/>
      <c r="AD147" s="799"/>
    </row>
    <row r="148" spans="1:30">
      <c r="A148" s="799"/>
      <c r="B148" s="799"/>
      <c r="C148" s="799"/>
      <c r="D148" s="807"/>
      <c r="E148" s="808"/>
      <c r="F148" s="808">
        <f t="shared" si="0"/>
        <v>0</v>
      </c>
      <c r="G148" s="809">
        <f t="shared" si="1"/>
        <v>0</v>
      </c>
      <c r="H148" s="799"/>
      <c r="I148" s="799"/>
      <c r="J148" s="807"/>
      <c r="K148" s="807"/>
      <c r="L148" s="807"/>
      <c r="M148" s="799"/>
      <c r="N148" s="799"/>
      <c r="O148" s="799"/>
      <c r="P148" s="799"/>
      <c r="Q148" s="799"/>
      <c r="R148" s="799"/>
      <c r="S148" s="799"/>
      <c r="T148" s="799"/>
      <c r="U148" s="799"/>
      <c r="V148" s="799"/>
      <c r="W148" s="799"/>
      <c r="X148" s="799"/>
      <c r="Y148" s="799"/>
      <c r="Z148" s="799"/>
      <c r="AA148" s="799"/>
      <c r="AB148" s="799"/>
      <c r="AC148" s="799"/>
      <c r="AD148" s="799"/>
    </row>
    <row r="149" spans="1:30">
      <c r="A149" s="799"/>
      <c r="B149" s="799"/>
      <c r="C149" s="799"/>
      <c r="D149" s="807"/>
      <c r="E149" s="808"/>
      <c r="F149" s="808">
        <f t="shared" si="0"/>
        <v>0</v>
      </c>
      <c r="G149" s="809">
        <f t="shared" si="1"/>
        <v>0</v>
      </c>
      <c r="H149" s="799"/>
      <c r="I149" s="799"/>
      <c r="J149" s="807"/>
      <c r="K149" s="807"/>
      <c r="L149" s="807"/>
      <c r="M149" s="799"/>
      <c r="N149" s="799"/>
      <c r="O149" s="799"/>
      <c r="P149" s="799"/>
      <c r="Q149" s="799"/>
      <c r="R149" s="799"/>
      <c r="S149" s="799"/>
      <c r="T149" s="799"/>
      <c r="U149" s="799"/>
      <c r="V149" s="799"/>
      <c r="W149" s="799"/>
      <c r="X149" s="799"/>
      <c r="Y149" s="799"/>
      <c r="Z149" s="799"/>
      <c r="AA149" s="799"/>
      <c r="AB149" s="799"/>
      <c r="AC149" s="799"/>
      <c r="AD149" s="799"/>
    </row>
    <row r="150" spans="1:30">
      <c r="A150" s="799"/>
      <c r="B150" s="799"/>
      <c r="C150" s="799"/>
      <c r="D150" s="807"/>
      <c r="E150" s="808"/>
      <c r="F150" s="808">
        <f t="shared" si="0"/>
        <v>0</v>
      </c>
      <c r="G150" s="809">
        <f t="shared" si="1"/>
        <v>0</v>
      </c>
      <c r="H150" s="799"/>
      <c r="I150" s="799"/>
      <c r="J150" s="807"/>
      <c r="K150" s="807"/>
      <c r="L150" s="807"/>
      <c r="M150" s="799"/>
      <c r="N150" s="799"/>
      <c r="O150" s="799"/>
      <c r="P150" s="799"/>
      <c r="Q150" s="799"/>
      <c r="R150" s="799"/>
      <c r="S150" s="799"/>
      <c r="T150" s="799"/>
      <c r="U150" s="799"/>
      <c r="V150" s="799"/>
      <c r="W150" s="799"/>
      <c r="X150" s="799"/>
      <c r="Y150" s="799"/>
      <c r="Z150" s="799"/>
      <c r="AA150" s="799"/>
      <c r="AB150" s="799"/>
      <c r="AC150" s="799"/>
      <c r="AD150" s="799"/>
    </row>
    <row r="151" spans="1:30">
      <c r="A151" s="799"/>
      <c r="B151" s="799"/>
      <c r="C151" s="799"/>
      <c r="D151" s="807"/>
      <c r="E151" s="808"/>
      <c r="F151" s="808">
        <f t="shared" si="0"/>
        <v>0</v>
      </c>
      <c r="G151" s="809">
        <f t="shared" si="1"/>
        <v>0</v>
      </c>
      <c r="H151" s="799"/>
      <c r="I151" s="799"/>
      <c r="J151" s="807"/>
      <c r="K151" s="807"/>
      <c r="L151" s="807"/>
      <c r="M151" s="799"/>
      <c r="N151" s="799"/>
      <c r="O151" s="799"/>
      <c r="P151" s="799"/>
      <c r="Q151" s="799"/>
      <c r="R151" s="799"/>
      <c r="S151" s="799"/>
      <c r="T151" s="799"/>
      <c r="U151" s="799"/>
      <c r="V151" s="799"/>
      <c r="W151" s="799"/>
      <c r="X151" s="799"/>
      <c r="Y151" s="799"/>
      <c r="Z151" s="799"/>
      <c r="AA151" s="799"/>
      <c r="AB151" s="799"/>
      <c r="AC151" s="799"/>
      <c r="AD151" s="799"/>
    </row>
    <row r="152" spans="1:30">
      <c r="A152" s="799"/>
      <c r="B152" s="799"/>
      <c r="C152" s="799"/>
      <c r="D152" s="807"/>
      <c r="E152" s="808"/>
      <c r="F152" s="808">
        <f t="shared" si="0"/>
        <v>0</v>
      </c>
      <c r="G152" s="809">
        <f t="shared" si="1"/>
        <v>0</v>
      </c>
      <c r="H152" s="799"/>
      <c r="I152" s="799"/>
      <c r="J152" s="807"/>
      <c r="K152" s="807"/>
      <c r="L152" s="807"/>
      <c r="M152" s="799"/>
      <c r="N152" s="799"/>
      <c r="O152" s="799"/>
      <c r="P152" s="799"/>
      <c r="Q152" s="799"/>
      <c r="R152" s="799"/>
      <c r="S152" s="799"/>
      <c r="T152" s="799"/>
      <c r="U152" s="799"/>
      <c r="V152" s="799"/>
      <c r="W152" s="799"/>
      <c r="X152" s="799"/>
      <c r="Y152" s="799"/>
      <c r="Z152" s="799"/>
      <c r="AA152" s="799"/>
      <c r="AB152" s="799"/>
      <c r="AC152" s="799"/>
      <c r="AD152" s="799"/>
    </row>
    <row r="153" spans="1:30">
      <c r="A153" s="799"/>
      <c r="B153" s="799"/>
      <c r="C153" s="799"/>
      <c r="D153" s="807"/>
      <c r="E153" s="808"/>
      <c r="F153" s="808">
        <f t="shared" si="0"/>
        <v>0</v>
      </c>
      <c r="G153" s="809">
        <f t="shared" si="1"/>
        <v>0</v>
      </c>
      <c r="H153" s="799"/>
      <c r="I153" s="799"/>
      <c r="J153" s="807"/>
      <c r="K153" s="807"/>
      <c r="L153" s="807"/>
      <c r="M153" s="799"/>
      <c r="N153" s="799"/>
      <c r="O153" s="799"/>
      <c r="P153" s="799"/>
      <c r="Q153" s="799"/>
      <c r="R153" s="799"/>
      <c r="S153" s="799"/>
      <c r="T153" s="799"/>
      <c r="U153" s="799"/>
      <c r="V153" s="799"/>
      <c r="W153" s="799"/>
      <c r="X153" s="799"/>
      <c r="Y153" s="799"/>
      <c r="Z153" s="799"/>
      <c r="AA153" s="799"/>
      <c r="AB153" s="799"/>
      <c r="AC153" s="799"/>
      <c r="AD153" s="799"/>
    </row>
    <row r="154" spans="1:30">
      <c r="A154" s="799"/>
      <c r="B154" s="799"/>
      <c r="C154" s="799"/>
      <c r="D154" s="807"/>
      <c r="E154" s="808"/>
      <c r="F154" s="808">
        <f t="shared" si="0"/>
        <v>0</v>
      </c>
      <c r="G154" s="809">
        <f t="shared" si="1"/>
        <v>0</v>
      </c>
      <c r="H154" s="799"/>
      <c r="I154" s="799"/>
      <c r="J154" s="807"/>
      <c r="K154" s="807"/>
      <c r="L154" s="807"/>
      <c r="M154" s="799"/>
      <c r="N154" s="799"/>
      <c r="O154" s="799"/>
      <c r="P154" s="799"/>
      <c r="Q154" s="799"/>
      <c r="R154" s="799"/>
      <c r="S154" s="799"/>
      <c r="T154" s="799"/>
      <c r="U154" s="799"/>
      <c r="V154" s="799"/>
      <c r="W154" s="799"/>
      <c r="X154" s="799"/>
      <c r="Y154" s="799"/>
      <c r="Z154" s="799"/>
      <c r="AA154" s="799"/>
      <c r="AB154" s="799"/>
      <c r="AC154" s="799"/>
      <c r="AD154" s="799"/>
    </row>
    <row r="155" spans="1:30">
      <c r="A155" s="799"/>
      <c r="B155" s="799"/>
      <c r="C155" s="799"/>
      <c r="D155" s="807"/>
      <c r="E155" s="808"/>
      <c r="F155" s="808">
        <f t="shared" si="0"/>
        <v>0</v>
      </c>
      <c r="G155" s="809">
        <f t="shared" si="1"/>
        <v>0</v>
      </c>
      <c r="H155" s="799"/>
      <c r="I155" s="799"/>
      <c r="J155" s="807"/>
      <c r="K155" s="807"/>
      <c r="L155" s="807"/>
      <c r="M155" s="799"/>
      <c r="N155" s="799"/>
      <c r="O155" s="799"/>
      <c r="P155" s="799"/>
      <c r="Q155" s="799"/>
      <c r="R155" s="799"/>
      <c r="S155" s="799"/>
      <c r="T155" s="799"/>
      <c r="U155" s="799"/>
      <c r="V155" s="799"/>
      <c r="W155" s="799"/>
      <c r="X155" s="799"/>
      <c r="Y155" s="799"/>
      <c r="Z155" s="799"/>
      <c r="AA155" s="799"/>
      <c r="AB155" s="799"/>
      <c r="AC155" s="799"/>
      <c r="AD155" s="799"/>
    </row>
    <row r="156" spans="1:30">
      <c r="A156" s="799"/>
      <c r="B156" s="799"/>
      <c r="C156" s="799"/>
      <c r="D156" s="807"/>
      <c r="E156" s="808"/>
      <c r="F156" s="808">
        <f t="shared" si="0"/>
        <v>0</v>
      </c>
      <c r="G156" s="809">
        <f t="shared" si="1"/>
        <v>0</v>
      </c>
      <c r="H156" s="799"/>
      <c r="I156" s="799"/>
      <c r="J156" s="807"/>
      <c r="K156" s="807"/>
      <c r="L156" s="807"/>
      <c r="M156" s="799"/>
      <c r="N156" s="799"/>
      <c r="O156" s="799"/>
      <c r="P156" s="799"/>
      <c r="Q156" s="799"/>
      <c r="R156" s="799"/>
      <c r="S156" s="799"/>
      <c r="T156" s="799"/>
      <c r="U156" s="799"/>
      <c r="V156" s="799"/>
      <c r="W156" s="799"/>
      <c r="X156" s="799"/>
      <c r="Y156" s="799"/>
      <c r="Z156" s="799"/>
      <c r="AA156" s="799"/>
      <c r="AB156" s="799"/>
      <c r="AC156" s="799"/>
      <c r="AD156" s="799"/>
    </row>
    <row r="157" spans="1:30">
      <c r="A157" s="799"/>
      <c r="B157" s="799"/>
      <c r="C157" s="799"/>
      <c r="D157" s="807"/>
      <c r="E157" s="808"/>
      <c r="F157" s="808">
        <f t="shared" si="0"/>
        <v>0</v>
      </c>
      <c r="G157" s="809">
        <f t="shared" si="1"/>
        <v>0</v>
      </c>
      <c r="H157" s="799"/>
      <c r="I157" s="799"/>
      <c r="J157" s="807"/>
      <c r="K157" s="807"/>
      <c r="L157" s="807"/>
      <c r="M157" s="799"/>
      <c r="N157" s="799"/>
      <c r="O157" s="799"/>
      <c r="P157" s="799"/>
      <c r="Q157" s="799"/>
      <c r="R157" s="799"/>
      <c r="S157" s="799"/>
      <c r="T157" s="799"/>
      <c r="U157" s="799"/>
      <c r="V157" s="799"/>
      <c r="W157" s="799"/>
      <c r="X157" s="799"/>
      <c r="Y157" s="799"/>
      <c r="Z157" s="799"/>
      <c r="AA157" s="799"/>
      <c r="AB157" s="799"/>
      <c r="AC157" s="799"/>
      <c r="AD157" s="799"/>
    </row>
    <row r="158" spans="1:30">
      <c r="A158" s="799"/>
      <c r="B158" s="799"/>
      <c r="C158" s="799"/>
      <c r="D158" s="807"/>
      <c r="E158" s="808"/>
      <c r="F158" s="808">
        <f t="shared" si="0"/>
        <v>0</v>
      </c>
      <c r="G158" s="809">
        <f t="shared" si="1"/>
        <v>0</v>
      </c>
      <c r="H158" s="799"/>
      <c r="I158" s="799"/>
      <c r="J158" s="807"/>
      <c r="K158" s="807"/>
      <c r="L158" s="807"/>
      <c r="M158" s="799"/>
      <c r="N158" s="799"/>
      <c r="O158" s="799"/>
      <c r="P158" s="799"/>
      <c r="Q158" s="799"/>
      <c r="R158" s="799"/>
      <c r="S158" s="799"/>
      <c r="T158" s="799"/>
      <c r="U158" s="799"/>
      <c r="V158" s="799"/>
      <c r="W158" s="799"/>
      <c r="X158" s="799"/>
      <c r="Y158" s="799"/>
      <c r="Z158" s="799"/>
      <c r="AA158" s="799"/>
      <c r="AB158" s="799"/>
      <c r="AC158" s="799"/>
      <c r="AD158" s="799"/>
    </row>
    <row r="159" spans="1:30">
      <c r="A159" s="799"/>
      <c r="B159" s="799"/>
      <c r="C159" s="799"/>
      <c r="D159" s="807"/>
      <c r="E159" s="808"/>
      <c r="F159" s="808">
        <f t="shared" si="0"/>
        <v>0</v>
      </c>
      <c r="G159" s="809">
        <f t="shared" si="1"/>
        <v>0</v>
      </c>
      <c r="H159" s="799"/>
      <c r="I159" s="799"/>
      <c r="J159" s="807"/>
      <c r="K159" s="807"/>
      <c r="L159" s="807"/>
      <c r="M159" s="799"/>
      <c r="N159" s="799"/>
      <c r="O159" s="799"/>
      <c r="P159" s="799"/>
      <c r="Q159" s="799"/>
      <c r="R159" s="799"/>
      <c r="S159" s="799"/>
      <c r="T159" s="799"/>
      <c r="U159" s="799"/>
      <c r="V159" s="799"/>
      <c r="W159" s="799"/>
      <c r="X159" s="799"/>
      <c r="Y159" s="799"/>
      <c r="Z159" s="799"/>
      <c r="AA159" s="799"/>
      <c r="AB159" s="799"/>
      <c r="AC159" s="799"/>
      <c r="AD159" s="799"/>
    </row>
    <row r="160" spans="1:30">
      <c r="A160" s="799"/>
      <c r="B160" s="799"/>
      <c r="C160" s="799"/>
      <c r="D160" s="807"/>
      <c r="E160" s="808"/>
      <c r="F160" s="808">
        <f t="shared" si="0"/>
        <v>0</v>
      </c>
      <c r="G160" s="809">
        <f t="shared" si="1"/>
        <v>0</v>
      </c>
      <c r="H160" s="799"/>
      <c r="I160" s="799"/>
      <c r="J160" s="807"/>
      <c r="K160" s="807"/>
      <c r="L160" s="807"/>
      <c r="M160" s="799"/>
      <c r="N160" s="799"/>
      <c r="O160" s="799"/>
      <c r="P160" s="799"/>
      <c r="Q160" s="799"/>
      <c r="R160" s="799"/>
      <c r="S160" s="799"/>
      <c r="T160" s="799"/>
      <c r="U160" s="799"/>
      <c r="V160" s="799"/>
      <c r="W160" s="799"/>
      <c r="X160" s="799"/>
      <c r="Y160" s="799"/>
      <c r="Z160" s="799"/>
      <c r="AA160" s="799"/>
      <c r="AB160" s="799"/>
      <c r="AC160" s="799"/>
      <c r="AD160" s="799"/>
    </row>
    <row r="161" spans="1:30">
      <c r="A161" s="799"/>
      <c r="B161" s="799"/>
      <c r="C161" s="799"/>
      <c r="D161" s="807"/>
      <c r="E161" s="808"/>
      <c r="F161" s="808">
        <f t="shared" si="0"/>
        <v>0</v>
      </c>
      <c r="G161" s="809">
        <f t="shared" si="1"/>
        <v>0</v>
      </c>
      <c r="H161" s="799"/>
      <c r="I161" s="799"/>
      <c r="J161" s="807"/>
      <c r="K161" s="807"/>
      <c r="L161" s="807"/>
      <c r="M161" s="799"/>
      <c r="N161" s="799"/>
      <c r="O161" s="799"/>
      <c r="P161" s="799"/>
      <c r="Q161" s="799"/>
      <c r="R161" s="799"/>
      <c r="S161" s="799"/>
      <c r="T161" s="799"/>
      <c r="U161" s="799"/>
      <c r="V161" s="799"/>
      <c r="W161" s="799"/>
      <c r="X161" s="799"/>
      <c r="Y161" s="799"/>
      <c r="Z161" s="799"/>
      <c r="AA161" s="799"/>
      <c r="AB161" s="799"/>
      <c r="AC161" s="799"/>
      <c r="AD161" s="799"/>
    </row>
    <row r="162" spans="1:30">
      <c r="A162" s="799"/>
      <c r="B162" s="799"/>
      <c r="C162" s="799"/>
      <c r="D162" s="807"/>
      <c r="E162" s="808"/>
      <c r="F162" s="808">
        <f t="shared" si="0"/>
        <v>0</v>
      </c>
      <c r="G162" s="809">
        <f t="shared" si="1"/>
        <v>0</v>
      </c>
      <c r="H162" s="799"/>
      <c r="I162" s="799"/>
      <c r="J162" s="807"/>
      <c r="K162" s="807"/>
      <c r="L162" s="807"/>
      <c r="M162" s="799"/>
      <c r="N162" s="799"/>
      <c r="O162" s="799"/>
      <c r="P162" s="799"/>
      <c r="Q162" s="799"/>
      <c r="R162" s="799"/>
      <c r="S162" s="799"/>
      <c r="T162" s="799"/>
      <c r="U162" s="799"/>
      <c r="V162" s="799"/>
      <c r="W162" s="799"/>
      <c r="X162" s="799"/>
      <c r="Y162" s="799"/>
      <c r="Z162" s="799"/>
      <c r="AA162" s="799"/>
      <c r="AB162" s="799"/>
      <c r="AC162" s="799"/>
      <c r="AD162" s="799"/>
    </row>
    <row r="163" spans="1:30">
      <c r="A163" s="799"/>
      <c r="B163" s="799"/>
      <c r="C163" s="799"/>
      <c r="D163" s="807"/>
      <c r="E163" s="808"/>
      <c r="F163" s="808">
        <f t="shared" si="0"/>
        <v>0</v>
      </c>
      <c r="G163" s="809">
        <f t="shared" si="1"/>
        <v>0</v>
      </c>
      <c r="H163" s="799"/>
      <c r="I163" s="799"/>
      <c r="J163" s="807"/>
      <c r="K163" s="807"/>
      <c r="L163" s="807"/>
      <c r="M163" s="799"/>
      <c r="N163" s="799"/>
      <c r="O163" s="799"/>
      <c r="P163" s="799"/>
      <c r="Q163" s="799"/>
      <c r="R163" s="799"/>
      <c r="S163" s="799"/>
      <c r="T163" s="799"/>
      <c r="U163" s="799"/>
      <c r="V163" s="799"/>
      <c r="W163" s="799"/>
      <c r="X163" s="799"/>
      <c r="Y163" s="799"/>
      <c r="Z163" s="799"/>
      <c r="AA163" s="799"/>
      <c r="AB163" s="799"/>
      <c r="AC163" s="799"/>
      <c r="AD163" s="799"/>
    </row>
    <row r="164" spans="1:30">
      <c r="A164" s="799"/>
      <c r="B164" s="799"/>
      <c r="C164" s="799"/>
      <c r="D164" s="807"/>
      <c r="E164" s="808"/>
      <c r="F164" s="808">
        <f t="shared" si="0"/>
        <v>0</v>
      </c>
      <c r="G164" s="809">
        <f t="shared" si="1"/>
        <v>0</v>
      </c>
      <c r="H164" s="799"/>
      <c r="I164" s="799"/>
      <c r="J164" s="807"/>
      <c r="K164" s="807"/>
      <c r="L164" s="807"/>
      <c r="M164" s="799"/>
      <c r="N164" s="799"/>
      <c r="O164" s="799"/>
      <c r="P164" s="799"/>
      <c r="Q164" s="799"/>
      <c r="R164" s="799"/>
      <c r="S164" s="799"/>
      <c r="T164" s="799"/>
      <c r="U164" s="799"/>
      <c r="V164" s="799"/>
      <c r="W164" s="799"/>
      <c r="X164" s="799"/>
      <c r="Y164" s="799"/>
      <c r="Z164" s="799"/>
      <c r="AA164" s="799"/>
      <c r="AB164" s="799"/>
      <c r="AC164" s="799"/>
      <c r="AD164" s="799"/>
    </row>
    <row r="165" spans="1:30">
      <c r="A165" s="799"/>
      <c r="B165" s="799"/>
      <c r="C165" s="799"/>
      <c r="D165" s="807"/>
      <c r="E165" s="808"/>
      <c r="F165" s="808">
        <f t="shared" si="0"/>
        <v>0</v>
      </c>
      <c r="G165" s="809">
        <f t="shared" si="1"/>
        <v>0</v>
      </c>
      <c r="H165" s="799"/>
      <c r="I165" s="799"/>
      <c r="J165" s="807"/>
      <c r="K165" s="807"/>
      <c r="L165" s="807"/>
      <c r="M165" s="799"/>
      <c r="N165" s="799"/>
      <c r="O165" s="799"/>
      <c r="P165" s="799"/>
      <c r="Q165" s="799"/>
      <c r="R165" s="799"/>
      <c r="S165" s="799"/>
      <c r="T165" s="799"/>
      <c r="U165" s="799"/>
      <c r="V165" s="799"/>
      <c r="W165" s="799"/>
      <c r="X165" s="799"/>
      <c r="Y165" s="799"/>
      <c r="Z165" s="799"/>
      <c r="AA165" s="799"/>
      <c r="AB165" s="799"/>
      <c r="AC165" s="799"/>
      <c r="AD165" s="799"/>
    </row>
    <row r="166" spans="1:30">
      <c r="A166" s="799"/>
      <c r="B166" s="799"/>
      <c r="C166" s="799"/>
      <c r="D166" s="807"/>
      <c r="E166" s="808"/>
      <c r="F166" s="808">
        <f t="shared" si="0"/>
        <v>0</v>
      </c>
      <c r="G166" s="809">
        <f t="shared" si="1"/>
        <v>0</v>
      </c>
      <c r="H166" s="799"/>
      <c r="I166" s="799"/>
      <c r="J166" s="807"/>
      <c r="K166" s="807"/>
      <c r="L166" s="807"/>
      <c r="M166" s="799"/>
      <c r="N166" s="799"/>
      <c r="O166" s="799"/>
      <c r="P166" s="799"/>
      <c r="Q166" s="799"/>
      <c r="R166" s="799"/>
      <c r="S166" s="799"/>
      <c r="T166" s="799"/>
      <c r="U166" s="799"/>
      <c r="V166" s="799"/>
      <c r="W166" s="799"/>
      <c r="X166" s="799"/>
      <c r="Y166" s="799"/>
      <c r="Z166" s="799"/>
      <c r="AA166" s="799"/>
      <c r="AB166" s="799"/>
      <c r="AC166" s="799"/>
      <c r="AD166" s="799"/>
    </row>
    <row r="167" spans="1:30">
      <c r="A167" s="799"/>
      <c r="B167" s="799"/>
      <c r="C167" s="799"/>
      <c r="D167" s="807"/>
      <c r="E167" s="808"/>
      <c r="F167" s="808">
        <f t="shared" si="0"/>
        <v>0</v>
      </c>
      <c r="G167" s="809">
        <f t="shared" si="1"/>
        <v>0</v>
      </c>
      <c r="H167" s="799"/>
      <c r="I167" s="799"/>
      <c r="J167" s="807"/>
      <c r="K167" s="807"/>
      <c r="L167" s="807"/>
      <c r="M167" s="799"/>
      <c r="N167" s="799"/>
      <c r="O167" s="799"/>
      <c r="P167" s="799"/>
      <c r="Q167" s="799"/>
      <c r="R167" s="799"/>
      <c r="S167" s="799"/>
      <c r="T167" s="799"/>
      <c r="U167" s="799"/>
      <c r="V167" s="799"/>
      <c r="W167" s="799"/>
      <c r="X167" s="799"/>
      <c r="Y167" s="799"/>
      <c r="Z167" s="799"/>
      <c r="AA167" s="799"/>
      <c r="AB167" s="799"/>
      <c r="AC167" s="799"/>
      <c r="AD167" s="799"/>
    </row>
    <row r="168" spans="1:30">
      <c r="A168" s="799"/>
      <c r="B168" s="799"/>
      <c r="C168" s="799"/>
      <c r="D168" s="807"/>
      <c r="E168" s="808"/>
      <c r="F168" s="808">
        <f t="shared" si="0"/>
        <v>0</v>
      </c>
      <c r="G168" s="809">
        <f t="shared" si="1"/>
        <v>0</v>
      </c>
      <c r="H168" s="799"/>
      <c r="I168" s="799"/>
      <c r="J168" s="807"/>
      <c r="K168" s="807"/>
      <c r="L168" s="807"/>
      <c r="M168" s="799"/>
      <c r="N168" s="799"/>
      <c r="O168" s="799"/>
      <c r="P168" s="799"/>
      <c r="Q168" s="799"/>
      <c r="R168" s="799"/>
      <c r="S168" s="799"/>
      <c r="T168" s="799"/>
      <c r="U168" s="799"/>
      <c r="V168" s="799"/>
      <c r="W168" s="799"/>
      <c r="X168" s="799"/>
      <c r="Y168" s="799"/>
      <c r="Z168" s="799"/>
      <c r="AA168" s="799"/>
      <c r="AB168" s="799"/>
      <c r="AC168" s="799"/>
      <c r="AD168" s="799"/>
    </row>
    <row r="169" spans="1:30">
      <c r="A169" s="799"/>
      <c r="B169" s="799"/>
      <c r="C169" s="799"/>
      <c r="D169" s="807"/>
      <c r="E169" s="808"/>
      <c r="F169" s="808">
        <f t="shared" si="0"/>
        <v>0</v>
      </c>
      <c r="G169" s="809">
        <f t="shared" si="1"/>
        <v>0</v>
      </c>
      <c r="H169" s="799"/>
      <c r="I169" s="799"/>
      <c r="J169" s="807"/>
      <c r="K169" s="807"/>
      <c r="L169" s="807"/>
      <c r="M169" s="799"/>
      <c r="N169" s="799"/>
      <c r="O169" s="799"/>
      <c r="P169" s="799"/>
      <c r="Q169" s="799"/>
      <c r="R169" s="799"/>
      <c r="S169" s="799"/>
      <c r="T169" s="799"/>
      <c r="U169" s="799"/>
      <c r="V169" s="799"/>
      <c r="W169" s="799"/>
      <c r="X169" s="799"/>
      <c r="Y169" s="799"/>
      <c r="Z169" s="799"/>
      <c r="AA169" s="799"/>
      <c r="AB169" s="799"/>
      <c r="AC169" s="799"/>
      <c r="AD169" s="799"/>
    </row>
    <row r="170" spans="1:30">
      <c r="A170" s="799"/>
      <c r="B170" s="799"/>
      <c r="C170" s="799"/>
      <c r="D170" s="807"/>
      <c r="E170" s="808"/>
      <c r="F170" s="808">
        <f t="shared" si="0"/>
        <v>0</v>
      </c>
      <c r="G170" s="809">
        <f t="shared" si="1"/>
        <v>0</v>
      </c>
      <c r="H170" s="799"/>
      <c r="I170" s="799"/>
      <c r="J170" s="807"/>
      <c r="K170" s="807"/>
      <c r="L170" s="807"/>
      <c r="M170" s="799"/>
      <c r="N170" s="799"/>
      <c r="O170" s="799"/>
      <c r="P170" s="799"/>
      <c r="Q170" s="799"/>
      <c r="R170" s="799"/>
      <c r="S170" s="799"/>
      <c r="T170" s="799"/>
      <c r="U170" s="799"/>
      <c r="V170" s="799"/>
      <c r="W170" s="799"/>
      <c r="X170" s="799"/>
      <c r="Y170" s="799"/>
      <c r="Z170" s="799"/>
      <c r="AA170" s="799"/>
      <c r="AB170" s="799"/>
      <c r="AC170" s="799"/>
      <c r="AD170" s="799"/>
    </row>
    <row r="171" spans="1:30">
      <c r="A171" s="799"/>
      <c r="B171" s="799"/>
      <c r="C171" s="799"/>
      <c r="D171" s="807"/>
      <c r="E171" s="808"/>
      <c r="F171" s="808">
        <f t="shared" si="0"/>
        <v>0</v>
      </c>
      <c r="G171" s="809">
        <f t="shared" si="1"/>
        <v>0</v>
      </c>
      <c r="H171" s="799"/>
      <c r="I171" s="799"/>
      <c r="J171" s="807"/>
      <c r="K171" s="807"/>
      <c r="L171" s="807"/>
      <c r="M171" s="799"/>
      <c r="N171" s="799"/>
      <c r="O171" s="799"/>
      <c r="P171" s="799"/>
      <c r="Q171" s="799"/>
      <c r="R171" s="799"/>
      <c r="S171" s="799"/>
      <c r="T171" s="799"/>
      <c r="U171" s="799"/>
      <c r="V171" s="799"/>
      <c r="W171" s="799"/>
      <c r="X171" s="799"/>
      <c r="Y171" s="799"/>
      <c r="Z171" s="799"/>
      <c r="AA171" s="799"/>
      <c r="AB171" s="799"/>
      <c r="AC171" s="799"/>
      <c r="AD171" s="799"/>
    </row>
    <row r="172" spans="1:30">
      <c r="A172" s="799"/>
      <c r="B172" s="799"/>
      <c r="C172" s="799"/>
      <c r="D172" s="807"/>
      <c r="E172" s="808"/>
      <c r="F172" s="808">
        <f t="shared" si="0"/>
        <v>0</v>
      </c>
      <c r="G172" s="809">
        <f t="shared" si="1"/>
        <v>0</v>
      </c>
      <c r="H172" s="799"/>
      <c r="I172" s="799"/>
      <c r="J172" s="807"/>
      <c r="K172" s="807"/>
      <c r="L172" s="807"/>
      <c r="M172" s="799"/>
      <c r="N172" s="799"/>
      <c r="O172" s="799"/>
      <c r="P172" s="799"/>
      <c r="Q172" s="799"/>
      <c r="R172" s="799"/>
      <c r="S172" s="799"/>
      <c r="T172" s="799"/>
      <c r="U172" s="799"/>
      <c r="V172" s="799"/>
      <c r="W172" s="799"/>
      <c r="X172" s="799"/>
      <c r="Y172" s="799"/>
      <c r="Z172" s="799"/>
      <c r="AA172" s="799"/>
      <c r="AB172" s="799"/>
      <c r="AC172" s="799"/>
      <c r="AD172" s="799"/>
    </row>
    <row r="173" spans="1:30">
      <c r="A173" s="799"/>
      <c r="B173" s="799"/>
      <c r="C173" s="799"/>
      <c r="D173" s="807"/>
      <c r="E173" s="808"/>
      <c r="F173" s="808">
        <f t="shared" si="0"/>
        <v>0</v>
      </c>
      <c r="G173" s="809">
        <f t="shared" si="1"/>
        <v>0</v>
      </c>
      <c r="H173" s="799"/>
      <c r="I173" s="799"/>
      <c r="J173" s="807"/>
      <c r="K173" s="807"/>
      <c r="L173" s="807"/>
      <c r="M173" s="799"/>
      <c r="N173" s="799"/>
      <c r="O173" s="799"/>
      <c r="P173" s="799"/>
      <c r="Q173" s="799"/>
      <c r="R173" s="799"/>
      <c r="S173" s="799"/>
      <c r="T173" s="799"/>
      <c r="U173" s="799"/>
      <c r="V173" s="799"/>
      <c r="W173" s="799"/>
      <c r="X173" s="799"/>
      <c r="Y173" s="799"/>
      <c r="Z173" s="799"/>
      <c r="AA173" s="799"/>
      <c r="AB173" s="799"/>
      <c r="AC173" s="799"/>
      <c r="AD173" s="799"/>
    </row>
    <row r="174" spans="1:30">
      <c r="A174" s="799"/>
      <c r="B174" s="799"/>
      <c r="C174" s="799"/>
      <c r="D174" s="807"/>
      <c r="E174" s="808"/>
      <c r="F174" s="808">
        <f t="shared" si="0"/>
        <v>0</v>
      </c>
      <c r="G174" s="809">
        <f t="shared" si="1"/>
        <v>0</v>
      </c>
      <c r="H174" s="799"/>
      <c r="I174" s="799"/>
      <c r="J174" s="807"/>
      <c r="K174" s="807"/>
      <c r="L174" s="807"/>
      <c r="M174" s="799"/>
      <c r="N174" s="799"/>
      <c r="O174" s="799"/>
      <c r="P174" s="799"/>
      <c r="Q174" s="799"/>
      <c r="R174" s="799"/>
      <c r="S174" s="799"/>
      <c r="T174" s="799"/>
      <c r="U174" s="799"/>
      <c r="V174" s="799"/>
      <c r="W174" s="799"/>
      <c r="X174" s="799"/>
      <c r="Y174" s="799"/>
      <c r="Z174" s="799"/>
      <c r="AA174" s="799"/>
      <c r="AB174" s="799"/>
      <c r="AC174" s="799"/>
      <c r="AD174" s="799"/>
    </row>
    <row r="175" spans="1:30">
      <c r="A175" s="799"/>
      <c r="B175" s="799"/>
      <c r="C175" s="799"/>
      <c r="D175" s="807"/>
      <c r="E175" s="808"/>
      <c r="F175" s="808">
        <f t="shared" si="0"/>
        <v>0</v>
      </c>
      <c r="G175" s="809">
        <f t="shared" si="1"/>
        <v>0</v>
      </c>
      <c r="H175" s="799"/>
      <c r="I175" s="799"/>
      <c r="J175" s="807"/>
      <c r="K175" s="807"/>
      <c r="L175" s="807"/>
      <c r="M175" s="799"/>
      <c r="N175" s="799"/>
      <c r="O175" s="799"/>
      <c r="P175" s="799"/>
      <c r="Q175" s="799"/>
      <c r="R175" s="799"/>
      <c r="S175" s="799"/>
      <c r="T175" s="799"/>
      <c r="U175" s="799"/>
      <c r="V175" s="799"/>
      <c r="W175" s="799"/>
      <c r="X175" s="799"/>
      <c r="Y175" s="799"/>
      <c r="Z175" s="799"/>
      <c r="AA175" s="799"/>
      <c r="AB175" s="799"/>
      <c r="AC175" s="799"/>
      <c r="AD175" s="799"/>
    </row>
    <row r="176" spans="1:30">
      <c r="A176" s="799"/>
      <c r="B176" s="799"/>
      <c r="C176" s="799"/>
      <c r="D176" s="807"/>
      <c r="E176" s="808"/>
      <c r="F176" s="808">
        <f t="shared" si="0"/>
        <v>0</v>
      </c>
      <c r="G176" s="809">
        <f t="shared" si="1"/>
        <v>0</v>
      </c>
      <c r="H176" s="799"/>
      <c r="I176" s="799"/>
      <c r="J176" s="807"/>
      <c r="K176" s="807"/>
      <c r="L176" s="807"/>
      <c r="M176" s="799"/>
      <c r="N176" s="799"/>
      <c r="O176" s="799"/>
      <c r="P176" s="799"/>
      <c r="Q176" s="799"/>
      <c r="R176" s="799"/>
      <c r="S176" s="799"/>
      <c r="T176" s="799"/>
      <c r="U176" s="799"/>
      <c r="V176" s="799"/>
      <c r="W176" s="799"/>
      <c r="X176" s="799"/>
      <c r="Y176" s="799"/>
      <c r="Z176" s="799"/>
      <c r="AA176" s="799"/>
      <c r="AB176" s="799"/>
      <c r="AC176" s="799"/>
      <c r="AD176" s="799"/>
    </row>
    <row r="177" spans="1:30">
      <c r="A177" s="799"/>
      <c r="B177" s="799"/>
      <c r="C177" s="799"/>
      <c r="D177" s="807"/>
      <c r="E177" s="808"/>
      <c r="F177" s="808">
        <f t="shared" si="0"/>
        <v>0</v>
      </c>
      <c r="G177" s="809">
        <f t="shared" si="1"/>
        <v>0</v>
      </c>
      <c r="H177" s="799"/>
      <c r="I177" s="799"/>
      <c r="J177" s="807"/>
      <c r="K177" s="807"/>
      <c r="L177" s="807"/>
      <c r="M177" s="799"/>
      <c r="N177" s="799"/>
      <c r="O177" s="799"/>
      <c r="P177" s="799"/>
      <c r="Q177" s="799"/>
      <c r="R177" s="799"/>
      <c r="S177" s="799"/>
      <c r="T177" s="799"/>
      <c r="U177" s="799"/>
      <c r="V177" s="799"/>
      <c r="W177" s="799"/>
      <c r="X177" s="799"/>
      <c r="Y177" s="799"/>
      <c r="Z177" s="799"/>
      <c r="AA177" s="799"/>
      <c r="AB177" s="799"/>
      <c r="AC177" s="799"/>
      <c r="AD177" s="799"/>
    </row>
    <row r="178" spans="1:30">
      <c r="A178" s="799"/>
      <c r="B178" s="799"/>
      <c r="C178" s="799"/>
      <c r="D178" s="807"/>
      <c r="E178" s="808"/>
      <c r="F178" s="808">
        <f t="shared" si="0"/>
        <v>0</v>
      </c>
      <c r="G178" s="809">
        <f t="shared" si="1"/>
        <v>0</v>
      </c>
      <c r="H178" s="799"/>
      <c r="I178" s="799"/>
      <c r="J178" s="807"/>
      <c r="K178" s="807"/>
      <c r="L178" s="807"/>
      <c r="M178" s="799"/>
      <c r="N178" s="799"/>
      <c r="O178" s="799"/>
      <c r="P178" s="799"/>
      <c r="Q178" s="799"/>
      <c r="R178" s="799"/>
      <c r="S178" s="799"/>
      <c r="T178" s="799"/>
      <c r="U178" s="799"/>
      <c r="V178" s="799"/>
      <c r="W178" s="799"/>
      <c r="X178" s="799"/>
      <c r="Y178" s="799"/>
      <c r="Z178" s="799"/>
      <c r="AA178" s="799"/>
      <c r="AB178" s="799"/>
      <c r="AC178" s="799"/>
      <c r="AD178" s="799"/>
    </row>
    <row r="179" spans="1:30">
      <c r="A179" s="799"/>
      <c r="B179" s="799"/>
      <c r="C179" s="799"/>
      <c r="D179" s="807"/>
      <c r="E179" s="808"/>
      <c r="F179" s="808">
        <f t="shared" si="0"/>
        <v>0</v>
      </c>
      <c r="G179" s="809">
        <f t="shared" si="1"/>
        <v>0</v>
      </c>
      <c r="H179" s="799"/>
      <c r="I179" s="799"/>
      <c r="J179" s="807"/>
      <c r="K179" s="807"/>
      <c r="L179" s="807"/>
      <c r="M179" s="799"/>
      <c r="N179" s="799"/>
      <c r="O179" s="799"/>
      <c r="P179" s="799"/>
      <c r="Q179" s="799"/>
      <c r="R179" s="799"/>
      <c r="S179" s="799"/>
      <c r="T179" s="799"/>
      <c r="U179" s="799"/>
      <c r="V179" s="799"/>
      <c r="W179" s="799"/>
      <c r="X179" s="799"/>
      <c r="Y179" s="799"/>
      <c r="Z179" s="799"/>
      <c r="AA179" s="799"/>
      <c r="AB179" s="799"/>
      <c r="AC179" s="799"/>
      <c r="AD179" s="799"/>
    </row>
    <row r="180" spans="1:30">
      <c r="A180" s="799"/>
      <c r="B180" s="799"/>
      <c r="C180" s="799"/>
      <c r="D180" s="807"/>
      <c r="E180" s="808"/>
      <c r="F180" s="808">
        <f t="shared" si="0"/>
        <v>0</v>
      </c>
      <c r="G180" s="809">
        <f t="shared" si="1"/>
        <v>0</v>
      </c>
      <c r="H180" s="799"/>
      <c r="I180" s="799"/>
      <c r="J180" s="807"/>
      <c r="K180" s="807"/>
      <c r="L180" s="807"/>
      <c r="M180" s="799"/>
      <c r="N180" s="799"/>
      <c r="O180" s="799"/>
      <c r="P180" s="799"/>
      <c r="Q180" s="799"/>
      <c r="R180" s="799"/>
      <c r="S180" s="799"/>
      <c r="T180" s="799"/>
      <c r="U180" s="799"/>
      <c r="V180" s="799"/>
      <c r="W180" s="799"/>
      <c r="X180" s="799"/>
      <c r="Y180" s="799"/>
      <c r="Z180" s="799"/>
      <c r="AA180" s="799"/>
      <c r="AB180" s="799"/>
      <c r="AC180" s="799"/>
      <c r="AD180" s="799"/>
    </row>
    <row r="181" spans="1:30">
      <c r="A181" s="799"/>
      <c r="B181" s="799"/>
      <c r="C181" s="799"/>
      <c r="D181" s="807"/>
      <c r="E181" s="808"/>
      <c r="F181" s="808">
        <f t="shared" si="0"/>
        <v>0</v>
      </c>
      <c r="G181" s="809">
        <f t="shared" si="1"/>
        <v>0</v>
      </c>
      <c r="H181" s="799"/>
      <c r="I181" s="799"/>
      <c r="J181" s="807"/>
      <c r="K181" s="807"/>
      <c r="L181" s="807"/>
      <c r="M181" s="799"/>
      <c r="N181" s="799"/>
      <c r="O181" s="799"/>
      <c r="P181" s="799"/>
      <c r="Q181" s="799"/>
      <c r="R181" s="799"/>
      <c r="S181" s="799"/>
      <c r="T181" s="799"/>
      <c r="U181" s="799"/>
      <c r="V181" s="799"/>
      <c r="W181" s="799"/>
      <c r="X181" s="799"/>
      <c r="Y181" s="799"/>
      <c r="Z181" s="799"/>
      <c r="AA181" s="799"/>
      <c r="AB181" s="799"/>
      <c r="AC181" s="799"/>
      <c r="AD181" s="799"/>
    </row>
    <row r="182" spans="1:30">
      <c r="A182" s="799"/>
      <c r="B182" s="799"/>
      <c r="C182" s="799"/>
      <c r="D182" s="807"/>
      <c r="E182" s="808"/>
      <c r="F182" s="808">
        <f t="shared" si="0"/>
        <v>0</v>
      </c>
      <c r="G182" s="809">
        <f t="shared" si="1"/>
        <v>0</v>
      </c>
      <c r="H182" s="799"/>
      <c r="I182" s="799"/>
      <c r="J182" s="807"/>
      <c r="K182" s="807"/>
      <c r="L182" s="807"/>
      <c r="M182" s="799"/>
      <c r="N182" s="799"/>
      <c r="O182" s="799"/>
      <c r="P182" s="799"/>
      <c r="Q182" s="799"/>
      <c r="R182" s="799"/>
      <c r="S182" s="799"/>
      <c r="T182" s="799"/>
      <c r="U182" s="799"/>
      <c r="V182" s="799"/>
      <c r="W182" s="799"/>
      <c r="X182" s="799"/>
      <c r="Y182" s="799"/>
      <c r="Z182" s="799"/>
      <c r="AA182" s="799"/>
      <c r="AB182" s="799"/>
      <c r="AC182" s="799"/>
      <c r="AD182" s="799"/>
    </row>
    <row r="183" spans="1:30">
      <c r="A183" s="799"/>
      <c r="B183" s="799"/>
      <c r="C183" s="799"/>
      <c r="D183" s="807"/>
      <c r="E183" s="808"/>
      <c r="F183" s="808">
        <f t="shared" si="0"/>
        <v>0</v>
      </c>
      <c r="G183" s="809">
        <f t="shared" si="1"/>
        <v>0</v>
      </c>
      <c r="H183" s="799"/>
      <c r="I183" s="799"/>
      <c r="J183" s="807"/>
      <c r="K183" s="807"/>
      <c r="L183" s="807"/>
      <c r="M183" s="799"/>
      <c r="N183" s="799"/>
      <c r="O183" s="799"/>
      <c r="P183" s="799"/>
      <c r="Q183" s="799"/>
      <c r="R183" s="799"/>
      <c r="S183" s="799"/>
      <c r="T183" s="799"/>
      <c r="U183" s="799"/>
      <c r="V183" s="799"/>
      <c r="W183" s="799"/>
      <c r="X183" s="799"/>
      <c r="Y183" s="799"/>
      <c r="Z183" s="799"/>
      <c r="AA183" s="799"/>
      <c r="AB183" s="799"/>
      <c r="AC183" s="799"/>
      <c r="AD183" s="799"/>
    </row>
    <row r="184" spans="1:30">
      <c r="A184" s="799"/>
      <c r="B184" s="799"/>
      <c r="C184" s="799"/>
      <c r="D184" s="807"/>
      <c r="E184" s="808"/>
      <c r="F184" s="808">
        <f t="shared" si="0"/>
        <v>0</v>
      </c>
      <c r="G184" s="809">
        <f t="shared" si="1"/>
        <v>0</v>
      </c>
      <c r="H184" s="799"/>
      <c r="I184" s="799"/>
      <c r="J184" s="807"/>
      <c r="K184" s="807"/>
      <c r="L184" s="807"/>
      <c r="M184" s="799"/>
      <c r="N184" s="799"/>
      <c r="O184" s="799"/>
      <c r="P184" s="799"/>
      <c r="Q184" s="799"/>
      <c r="R184" s="799"/>
      <c r="S184" s="799"/>
      <c r="T184" s="799"/>
      <c r="U184" s="799"/>
      <c r="V184" s="799"/>
      <c r="W184" s="799"/>
      <c r="X184" s="799"/>
      <c r="Y184" s="799"/>
      <c r="Z184" s="799"/>
      <c r="AA184" s="799"/>
      <c r="AB184" s="799"/>
      <c r="AC184" s="799"/>
      <c r="AD184" s="799"/>
    </row>
    <row r="185" spans="1:30">
      <c r="A185" s="799"/>
      <c r="B185" s="799"/>
      <c r="C185" s="799"/>
      <c r="D185" s="807"/>
      <c r="E185" s="808"/>
      <c r="F185" s="808">
        <f t="shared" si="0"/>
        <v>0</v>
      </c>
      <c r="G185" s="809">
        <f t="shared" si="1"/>
        <v>0</v>
      </c>
      <c r="H185" s="799"/>
      <c r="I185" s="799"/>
      <c r="J185" s="807"/>
      <c r="K185" s="807"/>
      <c r="L185" s="807"/>
      <c r="M185" s="799"/>
      <c r="N185" s="799"/>
      <c r="O185" s="799"/>
      <c r="P185" s="799"/>
      <c r="Q185" s="799"/>
      <c r="R185" s="799"/>
      <c r="S185" s="799"/>
      <c r="T185" s="799"/>
      <c r="U185" s="799"/>
      <c r="V185" s="799"/>
      <c r="W185" s="799"/>
      <c r="X185" s="799"/>
      <c r="Y185" s="799"/>
      <c r="Z185" s="799"/>
      <c r="AA185" s="799"/>
      <c r="AB185" s="799"/>
      <c r="AC185" s="799"/>
      <c r="AD185" s="799"/>
    </row>
    <row r="186" spans="1:30">
      <c r="A186" s="799"/>
      <c r="B186" s="799"/>
      <c r="C186" s="799"/>
      <c r="D186" s="807"/>
      <c r="E186" s="808"/>
      <c r="F186" s="808">
        <f t="shared" si="0"/>
        <v>0</v>
      </c>
      <c r="G186" s="809">
        <f t="shared" si="1"/>
        <v>0</v>
      </c>
      <c r="H186" s="799"/>
      <c r="I186" s="799"/>
      <c r="J186" s="807"/>
      <c r="K186" s="807"/>
      <c r="L186" s="807"/>
      <c r="M186" s="799"/>
      <c r="N186" s="799"/>
      <c r="O186" s="799"/>
      <c r="P186" s="799"/>
      <c r="Q186" s="799"/>
      <c r="R186" s="799"/>
      <c r="S186" s="799"/>
      <c r="T186" s="799"/>
      <c r="U186" s="799"/>
      <c r="V186" s="799"/>
      <c r="W186" s="799"/>
      <c r="X186" s="799"/>
      <c r="Y186" s="799"/>
      <c r="Z186" s="799"/>
      <c r="AA186" s="799"/>
      <c r="AB186" s="799"/>
      <c r="AC186" s="799"/>
      <c r="AD186" s="799"/>
    </row>
    <row r="187" spans="1:30">
      <c r="A187" s="799"/>
      <c r="B187" s="799"/>
      <c r="C187" s="799"/>
      <c r="D187" s="807"/>
      <c r="E187" s="808"/>
      <c r="F187" s="808">
        <f t="shared" si="0"/>
        <v>0</v>
      </c>
      <c r="G187" s="809">
        <f t="shared" si="1"/>
        <v>0</v>
      </c>
      <c r="H187" s="799"/>
      <c r="I187" s="799"/>
      <c r="J187" s="807"/>
      <c r="K187" s="807"/>
      <c r="L187" s="807"/>
      <c r="M187" s="799"/>
      <c r="N187" s="799"/>
      <c r="O187" s="799"/>
      <c r="P187" s="799"/>
      <c r="Q187" s="799"/>
      <c r="R187" s="799"/>
      <c r="S187" s="799"/>
      <c r="T187" s="799"/>
      <c r="U187" s="799"/>
      <c r="V187" s="799"/>
      <c r="W187" s="799"/>
      <c r="X187" s="799"/>
      <c r="Y187" s="799"/>
      <c r="Z187" s="799"/>
      <c r="AA187" s="799"/>
      <c r="AB187" s="799"/>
      <c r="AC187" s="799"/>
      <c r="AD187" s="799"/>
    </row>
    <row r="188" spans="1:30">
      <c r="A188" s="799"/>
      <c r="B188" s="799"/>
      <c r="C188" s="799"/>
      <c r="D188" s="807"/>
      <c r="E188" s="808"/>
      <c r="F188" s="808">
        <f t="shared" si="0"/>
        <v>0</v>
      </c>
      <c r="G188" s="809">
        <f t="shared" si="1"/>
        <v>0</v>
      </c>
      <c r="H188" s="799"/>
      <c r="I188" s="799"/>
      <c r="J188" s="807"/>
      <c r="K188" s="807"/>
      <c r="L188" s="807"/>
      <c r="M188" s="799"/>
      <c r="N188" s="799"/>
      <c r="O188" s="799"/>
      <c r="P188" s="799"/>
      <c r="Q188" s="799"/>
      <c r="R188" s="799"/>
      <c r="S188" s="799"/>
      <c r="T188" s="799"/>
      <c r="U188" s="799"/>
      <c r="V188" s="799"/>
      <c r="W188" s="799"/>
      <c r="X188" s="799"/>
      <c r="Y188" s="799"/>
      <c r="Z188" s="799"/>
      <c r="AA188" s="799"/>
      <c r="AB188" s="799"/>
      <c r="AC188" s="799"/>
      <c r="AD188" s="799"/>
    </row>
    <row r="189" spans="1:30">
      <c r="A189" s="799"/>
      <c r="B189" s="799"/>
      <c r="C189" s="799"/>
      <c r="D189" s="807"/>
      <c r="E189" s="808"/>
      <c r="F189" s="808">
        <f t="shared" si="0"/>
        <v>0</v>
      </c>
      <c r="G189" s="809">
        <f t="shared" si="1"/>
        <v>0</v>
      </c>
      <c r="H189" s="799"/>
      <c r="I189" s="799"/>
      <c r="J189" s="807"/>
      <c r="K189" s="807"/>
      <c r="L189" s="807"/>
      <c r="M189" s="799"/>
      <c r="N189" s="799"/>
      <c r="O189" s="799"/>
      <c r="P189" s="799"/>
      <c r="Q189" s="799"/>
      <c r="R189" s="799"/>
      <c r="S189" s="799"/>
      <c r="T189" s="799"/>
      <c r="U189" s="799"/>
      <c r="V189" s="799"/>
      <c r="W189" s="799"/>
      <c r="X189" s="799"/>
      <c r="Y189" s="799"/>
      <c r="Z189" s="799"/>
      <c r="AA189" s="799"/>
      <c r="AB189" s="799"/>
      <c r="AC189" s="799"/>
      <c r="AD189" s="799"/>
    </row>
    <row r="190" spans="1:30">
      <c r="A190" s="799"/>
      <c r="B190" s="799"/>
      <c r="C190" s="799"/>
      <c r="D190" s="807"/>
      <c r="E190" s="808"/>
      <c r="F190" s="808">
        <f t="shared" si="0"/>
        <v>0</v>
      </c>
      <c r="G190" s="809">
        <f t="shared" si="1"/>
        <v>0</v>
      </c>
      <c r="H190" s="799"/>
      <c r="I190" s="799"/>
      <c r="J190" s="807"/>
      <c r="K190" s="807"/>
      <c r="L190" s="807"/>
      <c r="M190" s="799"/>
      <c r="N190" s="799"/>
      <c r="O190" s="799"/>
      <c r="P190" s="799"/>
      <c r="Q190" s="799"/>
      <c r="R190" s="799"/>
      <c r="S190" s="799"/>
      <c r="T190" s="799"/>
      <c r="U190" s="799"/>
      <c r="V190" s="799"/>
      <c r="W190" s="799"/>
      <c r="X190" s="799"/>
      <c r="Y190" s="799"/>
      <c r="Z190" s="799"/>
      <c r="AA190" s="799"/>
      <c r="AB190" s="799"/>
      <c r="AC190" s="799"/>
      <c r="AD190" s="799"/>
    </row>
    <row r="191" spans="1:30">
      <c r="A191" s="799"/>
      <c r="B191" s="799"/>
      <c r="C191" s="799"/>
      <c r="D191" s="807"/>
      <c r="E191" s="808"/>
      <c r="F191" s="808">
        <f t="shared" si="0"/>
        <v>0</v>
      </c>
      <c r="G191" s="809">
        <f t="shared" si="1"/>
        <v>0</v>
      </c>
      <c r="H191" s="799"/>
      <c r="I191" s="799"/>
      <c r="J191" s="807"/>
      <c r="K191" s="807"/>
      <c r="L191" s="807"/>
      <c r="M191" s="799"/>
      <c r="N191" s="799"/>
      <c r="O191" s="799"/>
      <c r="P191" s="799"/>
      <c r="Q191" s="799"/>
      <c r="R191" s="799"/>
      <c r="S191" s="799"/>
      <c r="T191" s="799"/>
      <c r="U191" s="799"/>
      <c r="V191" s="799"/>
      <c r="W191" s="799"/>
      <c r="X191" s="799"/>
      <c r="Y191" s="799"/>
      <c r="Z191" s="799"/>
      <c r="AA191" s="799"/>
      <c r="AB191" s="799"/>
      <c r="AC191" s="799"/>
      <c r="AD191" s="799"/>
    </row>
    <row r="192" spans="1:30">
      <c r="A192" s="799"/>
      <c r="B192" s="799"/>
      <c r="C192" s="799"/>
      <c r="D192" s="807"/>
      <c r="E192" s="808"/>
      <c r="F192" s="808">
        <f t="shared" si="0"/>
        <v>0</v>
      </c>
      <c r="G192" s="809">
        <f t="shared" si="1"/>
        <v>0</v>
      </c>
      <c r="H192" s="799"/>
      <c r="I192" s="799"/>
      <c r="J192" s="807"/>
      <c r="K192" s="807"/>
      <c r="L192" s="807"/>
      <c r="M192" s="799"/>
      <c r="N192" s="799"/>
      <c r="O192" s="799"/>
      <c r="P192" s="799"/>
      <c r="Q192" s="799"/>
      <c r="R192" s="799"/>
      <c r="S192" s="799"/>
      <c r="T192" s="799"/>
      <c r="U192" s="799"/>
      <c r="V192" s="799"/>
      <c r="W192" s="799"/>
      <c r="X192" s="799"/>
      <c r="Y192" s="799"/>
      <c r="Z192" s="799"/>
      <c r="AA192" s="799"/>
      <c r="AB192" s="799"/>
      <c r="AC192" s="799"/>
      <c r="AD192" s="799"/>
    </row>
    <row r="193" spans="1:30">
      <c r="A193" s="799"/>
      <c r="B193" s="799"/>
      <c r="C193" s="799"/>
      <c r="D193" s="807"/>
      <c r="E193" s="808"/>
      <c r="F193" s="808">
        <f t="shared" si="0"/>
        <v>0</v>
      </c>
      <c r="G193" s="809">
        <f t="shared" si="1"/>
        <v>0</v>
      </c>
      <c r="H193" s="799"/>
      <c r="I193" s="799"/>
      <c r="J193" s="807"/>
      <c r="K193" s="807"/>
      <c r="L193" s="807"/>
      <c r="M193" s="799"/>
      <c r="N193" s="799"/>
      <c r="O193" s="799"/>
      <c r="P193" s="799"/>
      <c r="Q193" s="799"/>
      <c r="R193" s="799"/>
      <c r="S193" s="799"/>
      <c r="T193" s="799"/>
      <c r="U193" s="799"/>
      <c r="V193" s="799"/>
      <c r="W193" s="799"/>
      <c r="X193" s="799"/>
      <c r="Y193" s="799"/>
      <c r="Z193" s="799"/>
      <c r="AA193" s="799"/>
      <c r="AB193" s="799"/>
      <c r="AC193" s="799"/>
      <c r="AD193" s="799"/>
    </row>
    <row r="194" spans="1:30">
      <c r="A194" s="799"/>
      <c r="B194" s="799"/>
      <c r="C194" s="799"/>
      <c r="D194" s="807"/>
      <c r="E194" s="808"/>
      <c r="F194" s="808">
        <f t="shared" si="0"/>
        <v>0</v>
      </c>
      <c r="G194" s="809">
        <f t="shared" si="1"/>
        <v>0</v>
      </c>
      <c r="H194" s="799"/>
      <c r="I194" s="799"/>
      <c r="J194" s="807"/>
      <c r="K194" s="807"/>
      <c r="L194" s="807"/>
      <c r="M194" s="799"/>
      <c r="N194" s="799"/>
      <c r="O194" s="799"/>
      <c r="P194" s="799"/>
      <c r="Q194" s="799"/>
      <c r="R194" s="799"/>
      <c r="S194" s="799"/>
      <c r="T194" s="799"/>
      <c r="U194" s="799"/>
      <c r="V194" s="799"/>
      <c r="W194" s="799"/>
      <c r="X194" s="799"/>
      <c r="Y194" s="799"/>
      <c r="Z194" s="799"/>
      <c r="AA194" s="799"/>
      <c r="AB194" s="799"/>
      <c r="AC194" s="799"/>
      <c r="AD194" s="799"/>
    </row>
    <row r="195" spans="1:30">
      <c r="A195" s="799"/>
      <c r="B195" s="799"/>
      <c r="C195" s="799"/>
      <c r="D195" s="807"/>
      <c r="E195" s="808"/>
      <c r="F195" s="808">
        <f t="shared" si="0"/>
        <v>0</v>
      </c>
      <c r="G195" s="809">
        <f t="shared" si="1"/>
        <v>0</v>
      </c>
      <c r="H195" s="799"/>
      <c r="I195" s="799"/>
      <c r="J195" s="807"/>
      <c r="K195" s="807"/>
      <c r="L195" s="807"/>
      <c r="M195" s="799"/>
      <c r="N195" s="799"/>
      <c r="O195" s="799"/>
      <c r="P195" s="799"/>
      <c r="Q195" s="799"/>
      <c r="R195" s="799"/>
      <c r="S195" s="799"/>
      <c r="T195" s="799"/>
      <c r="U195" s="799"/>
      <c r="V195" s="799"/>
      <c r="W195" s="799"/>
      <c r="X195" s="799"/>
      <c r="Y195" s="799"/>
      <c r="Z195" s="799"/>
      <c r="AA195" s="799"/>
      <c r="AB195" s="799"/>
      <c r="AC195" s="799"/>
      <c r="AD195" s="799"/>
    </row>
    <row r="196" spans="1:30">
      <c r="A196" s="799"/>
      <c r="B196" s="799"/>
      <c r="C196" s="799"/>
      <c r="D196" s="807"/>
      <c r="E196" s="808"/>
      <c r="F196" s="808">
        <f t="shared" si="0"/>
        <v>0</v>
      </c>
      <c r="G196" s="809">
        <f t="shared" si="1"/>
        <v>0</v>
      </c>
      <c r="H196" s="799"/>
      <c r="I196" s="799"/>
      <c r="J196" s="807"/>
      <c r="K196" s="807"/>
      <c r="L196" s="807"/>
      <c r="M196" s="799"/>
      <c r="N196" s="799"/>
      <c r="O196" s="799"/>
      <c r="P196" s="799"/>
      <c r="Q196" s="799"/>
      <c r="R196" s="799"/>
      <c r="S196" s="799"/>
      <c r="T196" s="799"/>
      <c r="U196" s="799"/>
      <c r="V196" s="799"/>
      <c r="W196" s="799"/>
      <c r="X196" s="799"/>
      <c r="Y196" s="799"/>
      <c r="Z196" s="799"/>
      <c r="AA196" s="799"/>
      <c r="AB196" s="799"/>
      <c r="AC196" s="799"/>
      <c r="AD196" s="799"/>
    </row>
    <row r="197" spans="1:30">
      <c r="A197" s="799"/>
      <c r="B197" s="799"/>
      <c r="C197" s="799"/>
      <c r="D197" s="807"/>
      <c r="E197" s="808"/>
      <c r="F197" s="808">
        <f t="shared" si="0"/>
        <v>0</v>
      </c>
      <c r="G197" s="809">
        <f t="shared" si="1"/>
        <v>0</v>
      </c>
      <c r="H197" s="799"/>
      <c r="I197" s="799"/>
      <c r="J197" s="807"/>
      <c r="K197" s="807"/>
      <c r="L197" s="807"/>
      <c r="M197" s="799"/>
      <c r="N197" s="799"/>
      <c r="O197" s="799"/>
      <c r="P197" s="799"/>
      <c r="Q197" s="799"/>
      <c r="R197" s="799"/>
      <c r="S197" s="799"/>
      <c r="T197" s="799"/>
      <c r="U197" s="799"/>
      <c r="V197" s="799"/>
      <c r="W197" s="799"/>
      <c r="X197" s="799"/>
      <c r="Y197" s="799"/>
      <c r="Z197" s="799"/>
      <c r="AA197" s="799"/>
      <c r="AB197" s="799"/>
      <c r="AC197" s="799"/>
      <c r="AD197" s="799"/>
    </row>
    <row r="198" spans="1:30">
      <c r="A198" s="799"/>
      <c r="B198" s="799"/>
      <c r="C198" s="799"/>
      <c r="D198" s="807"/>
      <c r="E198" s="808"/>
      <c r="F198" s="808">
        <f t="shared" si="0"/>
        <v>0</v>
      </c>
      <c r="G198" s="809">
        <f t="shared" si="1"/>
        <v>0</v>
      </c>
      <c r="H198" s="799"/>
      <c r="I198" s="799"/>
      <c r="J198" s="807"/>
      <c r="K198" s="807"/>
      <c r="L198" s="807"/>
      <c r="M198" s="799"/>
      <c r="N198" s="799"/>
      <c r="O198" s="799"/>
      <c r="P198" s="799"/>
      <c r="Q198" s="799"/>
      <c r="R198" s="799"/>
      <c r="S198" s="799"/>
      <c r="T198" s="799"/>
      <c r="U198" s="799"/>
      <c r="V198" s="799"/>
      <c r="W198" s="799"/>
      <c r="X198" s="799"/>
      <c r="Y198" s="799"/>
      <c r="Z198" s="799"/>
      <c r="AA198" s="799"/>
      <c r="AB198" s="799"/>
      <c r="AC198" s="799"/>
      <c r="AD198" s="799"/>
    </row>
    <row r="199" spans="1:30">
      <c r="A199" s="799"/>
      <c r="B199" s="799"/>
      <c r="C199" s="799"/>
      <c r="D199" s="807"/>
      <c r="E199" s="808"/>
      <c r="F199" s="808">
        <f t="shared" si="0"/>
        <v>0</v>
      </c>
      <c r="G199" s="809">
        <f t="shared" si="1"/>
        <v>0</v>
      </c>
      <c r="H199" s="799"/>
      <c r="I199" s="799"/>
      <c r="J199" s="807"/>
      <c r="K199" s="807"/>
      <c r="L199" s="807"/>
      <c r="M199" s="799"/>
      <c r="N199" s="799"/>
      <c r="O199" s="799"/>
      <c r="P199" s="799"/>
      <c r="Q199" s="799"/>
      <c r="R199" s="799"/>
      <c r="S199" s="799"/>
      <c r="T199" s="799"/>
      <c r="U199" s="799"/>
      <c r="V199" s="799"/>
      <c r="W199" s="799"/>
      <c r="X199" s="799"/>
      <c r="Y199" s="799"/>
      <c r="Z199" s="799"/>
      <c r="AA199" s="799"/>
      <c r="AB199" s="799"/>
      <c r="AC199" s="799"/>
      <c r="AD199" s="799"/>
    </row>
    <row r="200" spans="1:30">
      <c r="A200" s="799"/>
      <c r="B200" s="799"/>
      <c r="C200" s="799"/>
      <c r="D200" s="807"/>
      <c r="E200" s="808"/>
      <c r="F200" s="808">
        <f t="shared" si="0"/>
        <v>0</v>
      </c>
      <c r="G200" s="809">
        <f t="shared" si="1"/>
        <v>0</v>
      </c>
      <c r="H200" s="799"/>
      <c r="I200" s="799"/>
      <c r="J200" s="807"/>
      <c r="K200" s="807"/>
      <c r="L200" s="807"/>
      <c r="M200" s="799"/>
      <c r="N200" s="799"/>
      <c r="O200" s="799"/>
      <c r="P200" s="799"/>
      <c r="Q200" s="799"/>
      <c r="R200" s="799"/>
      <c r="S200" s="799"/>
      <c r="T200" s="799"/>
      <c r="U200" s="799"/>
      <c r="V200" s="799"/>
      <c r="W200" s="799"/>
      <c r="X200" s="799"/>
      <c r="Y200" s="799"/>
      <c r="Z200" s="799"/>
      <c r="AA200" s="799"/>
      <c r="AB200" s="799"/>
      <c r="AC200" s="799"/>
      <c r="AD200" s="799"/>
    </row>
    <row r="201" spans="1:30">
      <c r="A201" s="799"/>
      <c r="B201" s="799"/>
      <c r="C201" s="799"/>
      <c r="D201" s="807"/>
      <c r="E201" s="808"/>
      <c r="F201" s="808">
        <f t="shared" si="0"/>
        <v>0</v>
      </c>
      <c r="G201" s="809">
        <f t="shared" si="1"/>
        <v>0</v>
      </c>
      <c r="H201" s="799"/>
      <c r="I201" s="799"/>
      <c r="J201" s="807"/>
      <c r="K201" s="807"/>
      <c r="L201" s="807"/>
      <c r="M201" s="799"/>
      <c r="N201" s="799"/>
      <c r="O201" s="799"/>
      <c r="P201" s="799"/>
      <c r="Q201" s="799"/>
      <c r="R201" s="799"/>
      <c r="S201" s="799"/>
      <c r="T201" s="799"/>
      <c r="U201" s="799"/>
      <c r="V201" s="799"/>
      <c r="W201" s="799"/>
      <c r="X201" s="799"/>
      <c r="Y201" s="799"/>
      <c r="Z201" s="799"/>
      <c r="AA201" s="799"/>
      <c r="AB201" s="799"/>
      <c r="AC201" s="799"/>
      <c r="AD201" s="799"/>
    </row>
    <row r="202" spans="1:30">
      <c r="A202" s="799"/>
      <c r="B202" s="799"/>
      <c r="C202" s="799"/>
      <c r="D202" s="807"/>
      <c r="E202" s="808"/>
      <c r="F202" s="808">
        <f t="shared" si="0"/>
        <v>0</v>
      </c>
      <c r="G202" s="809">
        <f t="shared" si="1"/>
        <v>0</v>
      </c>
      <c r="H202" s="799"/>
      <c r="I202" s="799"/>
      <c r="J202" s="807"/>
      <c r="K202" s="807"/>
      <c r="L202" s="807"/>
      <c r="M202" s="799"/>
      <c r="N202" s="799"/>
      <c r="O202" s="799"/>
      <c r="P202" s="799"/>
      <c r="Q202" s="799"/>
      <c r="R202" s="799"/>
      <c r="S202" s="799"/>
      <c r="T202" s="799"/>
      <c r="U202" s="799"/>
      <c r="V202" s="799"/>
      <c r="W202" s="799"/>
      <c r="X202" s="799"/>
      <c r="Y202" s="799"/>
      <c r="Z202" s="799"/>
      <c r="AA202" s="799"/>
      <c r="AB202" s="799"/>
      <c r="AC202" s="799"/>
      <c r="AD202" s="799"/>
    </row>
    <row r="203" spans="1:30">
      <c r="A203" s="799"/>
      <c r="B203" s="799"/>
      <c r="C203" s="799"/>
      <c r="D203" s="807"/>
      <c r="E203" s="808"/>
      <c r="F203" s="808">
        <f t="shared" si="0"/>
        <v>0</v>
      </c>
      <c r="G203" s="809">
        <f t="shared" si="1"/>
        <v>0</v>
      </c>
      <c r="H203" s="799"/>
      <c r="I203" s="799"/>
      <c r="J203" s="807"/>
      <c r="K203" s="807"/>
      <c r="L203" s="807"/>
      <c r="M203" s="799"/>
      <c r="N203" s="799"/>
      <c r="O203" s="799"/>
      <c r="P203" s="799"/>
      <c r="Q203" s="799"/>
      <c r="R203" s="799"/>
      <c r="S203" s="799"/>
      <c r="T203" s="799"/>
      <c r="U203" s="799"/>
      <c r="V203" s="799"/>
      <c r="W203" s="799"/>
      <c r="X203" s="799"/>
      <c r="Y203" s="799"/>
      <c r="Z203" s="799"/>
      <c r="AA203" s="799"/>
      <c r="AB203" s="799"/>
      <c r="AC203" s="799"/>
      <c r="AD203" s="799"/>
    </row>
    <row r="204" spans="1:30">
      <c r="A204" s="799"/>
      <c r="B204" s="799"/>
      <c r="C204" s="799"/>
      <c r="D204" s="807"/>
      <c r="E204" s="808"/>
      <c r="F204" s="808">
        <f t="shared" si="0"/>
        <v>0</v>
      </c>
      <c r="G204" s="809">
        <f t="shared" si="1"/>
        <v>0</v>
      </c>
      <c r="H204" s="799"/>
      <c r="I204" s="799"/>
      <c r="J204" s="807"/>
      <c r="K204" s="807"/>
      <c r="L204" s="807"/>
      <c r="M204" s="799"/>
      <c r="N204" s="799"/>
      <c r="O204" s="799"/>
      <c r="P204" s="799"/>
      <c r="Q204" s="799"/>
      <c r="R204" s="799"/>
      <c r="S204" s="799"/>
      <c r="T204" s="799"/>
      <c r="U204" s="799"/>
      <c r="V204" s="799"/>
      <c r="W204" s="799"/>
      <c r="X204" s="799"/>
      <c r="Y204" s="799"/>
      <c r="Z204" s="799"/>
      <c r="AA204" s="799"/>
      <c r="AB204" s="799"/>
      <c r="AC204" s="799"/>
      <c r="AD204" s="799"/>
    </row>
    <row r="205" spans="1:30">
      <c r="A205" s="799"/>
      <c r="B205" s="799"/>
      <c r="C205" s="799"/>
      <c r="D205" s="807"/>
      <c r="E205" s="808"/>
      <c r="F205" s="808">
        <f t="shared" si="0"/>
        <v>0</v>
      </c>
      <c r="G205" s="809">
        <f t="shared" si="1"/>
        <v>0</v>
      </c>
      <c r="H205" s="799"/>
      <c r="I205" s="799"/>
      <c r="J205" s="807"/>
      <c r="K205" s="807"/>
      <c r="L205" s="807"/>
      <c r="M205" s="799"/>
      <c r="N205" s="799"/>
      <c r="O205" s="799"/>
      <c r="P205" s="799"/>
      <c r="Q205" s="799"/>
      <c r="R205" s="799"/>
      <c r="S205" s="799"/>
      <c r="T205" s="799"/>
      <c r="U205" s="799"/>
      <c r="V205" s="799"/>
      <c r="W205" s="799"/>
      <c r="X205" s="799"/>
      <c r="Y205" s="799"/>
      <c r="Z205" s="799"/>
      <c r="AA205" s="799"/>
      <c r="AB205" s="799"/>
      <c r="AC205" s="799"/>
      <c r="AD205" s="799"/>
    </row>
    <row r="206" spans="1:30">
      <c r="A206" s="799"/>
      <c r="B206" s="799"/>
      <c r="C206" s="799"/>
      <c r="D206" s="807"/>
      <c r="E206" s="808"/>
      <c r="F206" s="808">
        <f t="shared" si="0"/>
        <v>0</v>
      </c>
      <c r="G206" s="809">
        <f t="shared" si="1"/>
        <v>0</v>
      </c>
      <c r="H206" s="799"/>
      <c r="I206" s="799"/>
      <c r="J206" s="799"/>
      <c r="K206" s="799"/>
      <c r="L206" s="799"/>
      <c r="M206" s="799"/>
      <c r="N206" s="799"/>
      <c r="O206" s="799"/>
      <c r="P206" s="799"/>
      <c r="Q206" s="799"/>
      <c r="R206" s="799"/>
      <c r="S206" s="799"/>
      <c r="T206" s="799"/>
      <c r="U206" s="799"/>
      <c r="V206" s="799"/>
      <c r="W206" s="799"/>
      <c r="X206" s="799"/>
      <c r="Y206" s="799"/>
      <c r="Z206" s="799"/>
      <c r="AA206" s="799"/>
      <c r="AB206" s="799"/>
      <c r="AC206" s="799"/>
      <c r="AD206" s="799"/>
    </row>
    <row r="207" spans="1:30">
      <c r="A207" s="799"/>
      <c r="B207" s="799"/>
      <c r="C207" s="799"/>
      <c r="D207" s="807"/>
      <c r="E207" s="808"/>
      <c r="F207" s="808">
        <f t="shared" si="0"/>
        <v>0</v>
      </c>
      <c r="G207" s="809">
        <f t="shared" si="1"/>
        <v>0</v>
      </c>
      <c r="H207" s="799"/>
      <c r="I207" s="799"/>
      <c r="J207" s="799"/>
      <c r="K207" s="799"/>
      <c r="L207" s="799"/>
      <c r="M207" s="799"/>
      <c r="N207" s="799"/>
      <c r="O207" s="799"/>
      <c r="P207" s="799"/>
      <c r="Q207" s="799"/>
      <c r="R207" s="799"/>
      <c r="S207" s="799"/>
      <c r="T207" s="799"/>
      <c r="U207" s="799"/>
      <c r="V207" s="799"/>
      <c r="W207" s="799"/>
      <c r="X207" s="799"/>
      <c r="Y207" s="799"/>
      <c r="Z207" s="799"/>
      <c r="AA207" s="799"/>
      <c r="AB207" s="799"/>
      <c r="AC207" s="799"/>
      <c r="AD207" s="799"/>
    </row>
    <row r="208" spans="1:30">
      <c r="A208" s="799"/>
      <c r="B208" s="799"/>
      <c r="C208" s="799"/>
      <c r="D208" s="807"/>
      <c r="E208" s="808"/>
      <c r="F208" s="808">
        <f t="shared" si="0"/>
        <v>0</v>
      </c>
      <c r="G208" s="809">
        <f t="shared" si="1"/>
        <v>0</v>
      </c>
      <c r="H208" s="799"/>
      <c r="I208" s="799"/>
      <c r="J208" s="799"/>
      <c r="K208" s="799"/>
      <c r="L208" s="799"/>
      <c r="M208" s="799"/>
      <c r="N208" s="799"/>
      <c r="O208" s="799"/>
      <c r="P208" s="799"/>
      <c r="Q208" s="799"/>
      <c r="R208" s="799"/>
      <c r="S208" s="799"/>
      <c r="T208" s="799"/>
      <c r="U208" s="799"/>
      <c r="V208" s="799"/>
      <c r="W208" s="799"/>
      <c r="X208" s="799"/>
      <c r="Y208" s="799"/>
      <c r="Z208" s="799"/>
      <c r="AA208" s="799"/>
      <c r="AB208" s="799"/>
      <c r="AC208" s="799"/>
      <c r="AD208" s="799"/>
    </row>
    <row r="209" spans="1:30">
      <c r="A209" s="799"/>
      <c r="B209" s="799"/>
      <c r="C209" s="799"/>
      <c r="D209" s="807"/>
      <c r="E209" s="808"/>
      <c r="F209" s="808">
        <f t="shared" si="0"/>
        <v>0</v>
      </c>
      <c r="G209" s="809">
        <f t="shared" si="1"/>
        <v>0</v>
      </c>
      <c r="H209" s="799"/>
      <c r="I209" s="799"/>
      <c r="J209" s="799"/>
      <c r="K209" s="799"/>
      <c r="L209" s="799"/>
      <c r="M209" s="799"/>
      <c r="N209" s="799"/>
      <c r="O209" s="799"/>
      <c r="P209" s="799"/>
      <c r="Q209" s="799"/>
      <c r="R209" s="799"/>
      <c r="S209" s="799"/>
      <c r="T209" s="799"/>
      <c r="U209" s="799"/>
      <c r="V209" s="799"/>
      <c r="W209" s="799"/>
      <c r="X209" s="799"/>
      <c r="Y209" s="799"/>
      <c r="Z209" s="799"/>
      <c r="AA209" s="799"/>
      <c r="AB209" s="799"/>
      <c r="AC209" s="799"/>
      <c r="AD209" s="799"/>
    </row>
    <row r="210" spans="1:30">
      <c r="A210" s="799"/>
      <c r="B210" s="799"/>
      <c r="C210" s="799"/>
      <c r="D210" s="807"/>
      <c r="E210" s="808"/>
      <c r="F210" s="808">
        <f t="shared" si="0"/>
        <v>0</v>
      </c>
      <c r="G210" s="809">
        <f t="shared" si="1"/>
        <v>0</v>
      </c>
      <c r="H210" s="799"/>
      <c r="I210" s="799"/>
      <c r="J210" s="799"/>
      <c r="K210" s="799"/>
      <c r="L210" s="799"/>
      <c r="M210" s="799"/>
      <c r="N210" s="799"/>
      <c r="O210" s="799"/>
      <c r="P210" s="799"/>
      <c r="Q210" s="799"/>
      <c r="R210" s="799"/>
      <c r="S210" s="799"/>
      <c r="T210" s="799"/>
      <c r="U210" s="799"/>
      <c r="V210" s="799"/>
      <c r="W210" s="799"/>
      <c r="X210" s="799"/>
      <c r="Y210" s="799"/>
      <c r="Z210" s="799"/>
      <c r="AA210" s="799"/>
      <c r="AB210" s="799"/>
      <c r="AC210" s="799"/>
      <c r="AD210" s="79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8761D"/>
    <outlinePr summaryBelow="0" summaryRight="0"/>
  </sheetPr>
  <dimension ref="A1:AT20"/>
  <sheetViews>
    <sheetView workbookViewId="0">
      <pane ySplit="2" topLeftCell="A3" activePane="bottomLeft" state="frozen"/>
      <selection pane="bottomLeft" activeCell="B4" sqref="B4"/>
    </sheetView>
  </sheetViews>
  <sheetFormatPr defaultColWidth="17.26953125" defaultRowHeight="15" customHeight="1"/>
  <cols>
    <col min="1" max="1" width="24.81640625" customWidth="1"/>
    <col min="2" max="4" width="8.7265625" customWidth="1"/>
    <col min="5" max="5" width="11.54296875" customWidth="1"/>
    <col min="6" max="46" width="4.453125" customWidth="1"/>
  </cols>
  <sheetData>
    <row r="1" spans="1:46">
      <c r="A1" s="810" t="s">
        <v>177</v>
      </c>
      <c r="B1" s="811">
        <v>2</v>
      </c>
      <c r="C1" s="812">
        <v>3</v>
      </c>
      <c r="D1" s="812">
        <v>4</v>
      </c>
      <c r="E1" s="812">
        <v>5</v>
      </c>
      <c r="F1" s="812">
        <v>6</v>
      </c>
      <c r="G1" s="812">
        <v>7</v>
      </c>
      <c r="H1" s="812">
        <v>8</v>
      </c>
      <c r="I1" s="812">
        <v>9</v>
      </c>
      <c r="J1" s="812">
        <v>10</v>
      </c>
      <c r="K1" s="812">
        <v>11</v>
      </c>
      <c r="L1" s="812">
        <v>12</v>
      </c>
      <c r="M1" s="812">
        <v>13</v>
      </c>
      <c r="N1" s="812">
        <v>14</v>
      </c>
      <c r="O1" s="812">
        <v>15</v>
      </c>
      <c r="P1" s="812">
        <v>16</v>
      </c>
      <c r="Q1" s="812">
        <v>17</v>
      </c>
      <c r="R1" s="812">
        <v>18</v>
      </c>
      <c r="S1" s="812">
        <v>19</v>
      </c>
      <c r="T1" s="812">
        <v>20</v>
      </c>
      <c r="U1" s="812">
        <v>21</v>
      </c>
      <c r="V1" s="812">
        <v>22</v>
      </c>
      <c r="W1" s="812">
        <v>23</v>
      </c>
      <c r="X1" s="812">
        <v>24</v>
      </c>
      <c r="Y1" s="812">
        <v>25</v>
      </c>
      <c r="Z1" s="812">
        <v>26</v>
      </c>
      <c r="AA1" s="812">
        <v>27</v>
      </c>
      <c r="AB1" s="812">
        <v>28</v>
      </c>
      <c r="AC1" s="812">
        <v>29</v>
      </c>
      <c r="AD1" s="812">
        <v>30</v>
      </c>
      <c r="AE1" s="812">
        <v>31</v>
      </c>
      <c r="AF1" s="812">
        <v>32</v>
      </c>
      <c r="AG1" s="812">
        <v>33</v>
      </c>
      <c r="AH1" s="812">
        <v>34</v>
      </c>
      <c r="AI1" s="812">
        <v>35</v>
      </c>
      <c r="AJ1" s="812">
        <v>36</v>
      </c>
      <c r="AK1" s="812">
        <v>37</v>
      </c>
      <c r="AL1" s="812">
        <v>38</v>
      </c>
      <c r="AM1" s="812">
        <v>39</v>
      </c>
      <c r="AN1" s="812">
        <v>40</v>
      </c>
      <c r="AO1" s="812">
        <v>41</v>
      </c>
      <c r="AP1" s="812">
        <v>42</v>
      </c>
      <c r="AQ1" s="812">
        <v>43</v>
      </c>
      <c r="AR1" s="812">
        <v>44</v>
      </c>
      <c r="AS1" s="812">
        <v>45</v>
      </c>
      <c r="AT1" s="812">
        <v>46</v>
      </c>
    </row>
    <row r="2" spans="1:46">
      <c r="A2" s="813" t="s">
        <v>178</v>
      </c>
      <c r="B2" s="814" t="s">
        <v>179</v>
      </c>
      <c r="C2" s="815"/>
      <c r="D2" s="813"/>
      <c r="E2" s="791"/>
      <c r="F2" s="791"/>
      <c r="G2" s="791">
        <v>2</v>
      </c>
      <c r="H2" s="791">
        <v>3</v>
      </c>
      <c r="I2" s="791">
        <v>4</v>
      </c>
      <c r="J2" s="791">
        <v>5</v>
      </c>
      <c r="K2" s="791">
        <v>6</v>
      </c>
      <c r="L2" s="791">
        <v>7</v>
      </c>
      <c r="M2" s="791">
        <v>8</v>
      </c>
      <c r="N2" s="791">
        <v>9</v>
      </c>
      <c r="O2" s="791">
        <v>10</v>
      </c>
      <c r="P2" s="791">
        <v>11</v>
      </c>
      <c r="Q2" s="791">
        <v>12</v>
      </c>
      <c r="R2" s="791">
        <v>13</v>
      </c>
      <c r="S2" s="791">
        <v>14</v>
      </c>
      <c r="T2" s="791">
        <v>15</v>
      </c>
      <c r="U2" s="791">
        <v>16</v>
      </c>
      <c r="V2" s="791">
        <v>17</v>
      </c>
      <c r="W2" s="791">
        <v>18</v>
      </c>
      <c r="X2" s="791" t="s">
        <v>180</v>
      </c>
      <c r="Y2" s="791" t="s">
        <v>181</v>
      </c>
      <c r="Z2" s="791" t="s">
        <v>182</v>
      </c>
      <c r="AA2" s="791"/>
      <c r="AB2" s="791">
        <v>1</v>
      </c>
      <c r="AC2" s="791">
        <v>2</v>
      </c>
      <c r="AD2" s="791">
        <v>3</v>
      </c>
      <c r="AE2" s="791">
        <v>4</v>
      </c>
      <c r="AF2" s="791">
        <v>5</v>
      </c>
      <c r="AG2" s="791">
        <v>6</v>
      </c>
      <c r="AH2" s="791">
        <v>7</v>
      </c>
      <c r="AI2" s="791">
        <v>8</v>
      </c>
      <c r="AJ2" s="791">
        <v>9</v>
      </c>
      <c r="AK2" s="791">
        <v>10</v>
      </c>
      <c r="AL2" s="791">
        <v>11</v>
      </c>
      <c r="AM2" s="791">
        <v>12</v>
      </c>
      <c r="AN2" s="791">
        <v>13</v>
      </c>
      <c r="AO2" s="791">
        <v>14</v>
      </c>
      <c r="AP2" s="791">
        <v>15</v>
      </c>
      <c r="AQ2" s="791">
        <v>16</v>
      </c>
      <c r="AR2" s="791">
        <v>17</v>
      </c>
      <c r="AS2" s="791">
        <v>18</v>
      </c>
      <c r="AT2" s="791" t="s">
        <v>183</v>
      </c>
    </row>
    <row r="3" spans="1:46">
      <c r="A3" s="816" t="str">
        <f ca="1">IFERROR(__xludf.DUMMYFUNCTION("importrange(""https://docs.google.com/spreadsheets/d/1OgU5QBUsNVST8Q_V3mJ68Y4DzCBMKcdY2UpHRd1GxjM/edit#gid=1898301280"",""List!A93:W110"")"),"Sundance - White")</f>
        <v>Sundance - White</v>
      </c>
      <c r="B3" s="817">
        <f ca="1">IFERROR(__xludf.DUMMYFUNCTION("""COMPUTED_VALUE"""),69.9)</f>
        <v>69.900000000000006</v>
      </c>
      <c r="C3" s="818">
        <f ca="1">IFERROR(__xludf.DUMMYFUNCTION("""COMPUTED_VALUE"""),129)</f>
        <v>129</v>
      </c>
      <c r="D3" s="818">
        <f ca="1">IFERROR(__xludf.DUMMYFUNCTION("""COMPUTED_VALUE"""),6136)</f>
        <v>6136</v>
      </c>
      <c r="E3" s="819" t="str">
        <f ca="1">IFERROR(__xludf.DUMMYFUNCTION("""COMPUTED_VALUE"""),"Handicap")</f>
        <v>Handicap</v>
      </c>
      <c r="F3" s="819">
        <f ca="1">IFERROR(__xludf.DUMMYFUNCTION("""COMPUTED_VALUE"""),14)</f>
        <v>14</v>
      </c>
      <c r="G3" s="819">
        <f ca="1">IFERROR(__xludf.DUMMYFUNCTION("""COMPUTED_VALUE"""),16)</f>
        <v>16</v>
      </c>
      <c r="H3" s="819">
        <f ca="1">IFERROR(__xludf.DUMMYFUNCTION("""COMPUTED_VALUE"""),11)</f>
        <v>11</v>
      </c>
      <c r="I3" s="819">
        <f ca="1">IFERROR(__xludf.DUMMYFUNCTION("""COMPUTED_VALUE"""),12)</f>
        <v>12</v>
      </c>
      <c r="J3" s="819">
        <f ca="1">IFERROR(__xludf.DUMMYFUNCTION("""COMPUTED_VALUE"""),6)</f>
        <v>6</v>
      </c>
      <c r="K3" s="819">
        <f ca="1">IFERROR(__xludf.DUMMYFUNCTION("""COMPUTED_VALUE"""),8)</f>
        <v>8</v>
      </c>
      <c r="L3" s="819">
        <f ca="1">IFERROR(__xludf.DUMMYFUNCTION("""COMPUTED_VALUE"""),17)</f>
        <v>17</v>
      </c>
      <c r="M3" s="819">
        <f ca="1">IFERROR(__xludf.DUMMYFUNCTION("""COMPUTED_VALUE"""),5)</f>
        <v>5</v>
      </c>
      <c r="N3" s="819">
        <f ca="1">IFERROR(__xludf.DUMMYFUNCTION("""COMPUTED_VALUE"""),2)</f>
        <v>2</v>
      </c>
      <c r="O3" s="819">
        <f ca="1">IFERROR(__xludf.DUMMYFUNCTION("""COMPUTED_VALUE"""),9)</f>
        <v>9</v>
      </c>
      <c r="P3" s="819">
        <f ca="1">IFERROR(__xludf.DUMMYFUNCTION("""COMPUTED_VALUE"""),13)</f>
        <v>13</v>
      </c>
      <c r="Q3" s="819">
        <f ca="1">IFERROR(__xludf.DUMMYFUNCTION("""COMPUTED_VALUE"""),4)</f>
        <v>4</v>
      </c>
      <c r="R3" s="819">
        <f ca="1">IFERROR(__xludf.DUMMYFUNCTION("""COMPUTED_VALUE"""),18)</f>
        <v>18</v>
      </c>
      <c r="S3" s="819">
        <f ca="1">IFERROR(__xludf.DUMMYFUNCTION("""COMPUTED_VALUE"""),7)</f>
        <v>7</v>
      </c>
      <c r="T3" s="819">
        <f ca="1">IFERROR(__xludf.DUMMYFUNCTION("""COMPUTED_VALUE"""),3)</f>
        <v>3</v>
      </c>
      <c r="U3" s="819">
        <f ca="1">IFERROR(__xludf.DUMMYFUNCTION("""COMPUTED_VALUE"""),10)</f>
        <v>10</v>
      </c>
      <c r="V3" s="819">
        <f ca="1">IFERROR(__xludf.DUMMYFUNCTION("""COMPUTED_VALUE"""),15)</f>
        <v>15</v>
      </c>
      <c r="W3" s="819">
        <f ca="1">IFERROR(__xludf.DUMMYFUNCTION("""COMPUTED_VALUE"""),1)</f>
        <v>1</v>
      </c>
      <c r="X3" s="819">
        <f t="shared" ref="X3:X4" ca="1" si="0">SUM(F3:N3)</f>
        <v>91</v>
      </c>
      <c r="Y3" s="819">
        <f t="shared" ref="Y3:Y4" ca="1" si="1">SUM(O3:W3)</f>
        <v>80</v>
      </c>
      <c r="Z3" s="819">
        <f t="shared" ref="Z3:Z4" ca="1" si="2">SUM(X3:Y3)</f>
        <v>171</v>
      </c>
      <c r="AA3" s="820" t="s">
        <v>22</v>
      </c>
      <c r="AB3" s="820">
        <f t="shared" ref="AB3:AS3" ca="1" si="3">F4</f>
        <v>4</v>
      </c>
      <c r="AC3" s="820">
        <f t="shared" ca="1" si="3"/>
        <v>4</v>
      </c>
      <c r="AD3" s="820">
        <f t="shared" ca="1" si="3"/>
        <v>3</v>
      </c>
      <c r="AE3" s="820">
        <f t="shared" ca="1" si="3"/>
        <v>4</v>
      </c>
      <c r="AF3" s="820">
        <f t="shared" ca="1" si="3"/>
        <v>4</v>
      </c>
      <c r="AG3" s="820">
        <f t="shared" ca="1" si="3"/>
        <v>5</v>
      </c>
      <c r="AH3" s="820">
        <f t="shared" ca="1" si="3"/>
        <v>4</v>
      </c>
      <c r="AI3" s="820">
        <f t="shared" ca="1" si="3"/>
        <v>3</v>
      </c>
      <c r="AJ3" s="820">
        <f t="shared" ca="1" si="3"/>
        <v>5</v>
      </c>
      <c r="AK3" s="820">
        <f t="shared" ca="1" si="3"/>
        <v>4</v>
      </c>
      <c r="AL3" s="820">
        <f t="shared" ca="1" si="3"/>
        <v>4</v>
      </c>
      <c r="AM3" s="820">
        <f t="shared" ca="1" si="3"/>
        <v>4</v>
      </c>
      <c r="AN3" s="820">
        <f t="shared" ca="1" si="3"/>
        <v>3</v>
      </c>
      <c r="AO3" s="820">
        <f t="shared" ca="1" si="3"/>
        <v>5</v>
      </c>
      <c r="AP3" s="820">
        <f t="shared" ca="1" si="3"/>
        <v>4</v>
      </c>
      <c r="AQ3" s="820">
        <f t="shared" ca="1" si="3"/>
        <v>5</v>
      </c>
      <c r="AR3" s="820">
        <f t="shared" ca="1" si="3"/>
        <v>3</v>
      </c>
      <c r="AS3" s="820">
        <f t="shared" ca="1" si="3"/>
        <v>4</v>
      </c>
      <c r="AT3" s="820">
        <f ca="1">SUM(AB3:AS3)</f>
        <v>72</v>
      </c>
    </row>
    <row r="4" spans="1:46">
      <c r="A4" s="821"/>
      <c r="B4" s="822"/>
      <c r="C4" s="821"/>
      <c r="D4" s="821"/>
      <c r="E4" s="823" t="str">
        <f ca="1">IFERROR(__xludf.DUMMYFUNCTION("""COMPUTED_VALUE"""),"Par")</f>
        <v>Par</v>
      </c>
      <c r="F4" s="823">
        <f ca="1">IFERROR(__xludf.DUMMYFUNCTION("""COMPUTED_VALUE"""),4)</f>
        <v>4</v>
      </c>
      <c r="G4" s="823">
        <f ca="1">IFERROR(__xludf.DUMMYFUNCTION("""COMPUTED_VALUE"""),4)</f>
        <v>4</v>
      </c>
      <c r="H4" s="823">
        <f ca="1">IFERROR(__xludf.DUMMYFUNCTION("""COMPUTED_VALUE"""),3)</f>
        <v>3</v>
      </c>
      <c r="I4" s="823">
        <f ca="1">IFERROR(__xludf.DUMMYFUNCTION("""COMPUTED_VALUE"""),4)</f>
        <v>4</v>
      </c>
      <c r="J4" s="823">
        <f ca="1">IFERROR(__xludf.DUMMYFUNCTION("""COMPUTED_VALUE"""),4)</f>
        <v>4</v>
      </c>
      <c r="K4" s="823">
        <f ca="1">IFERROR(__xludf.DUMMYFUNCTION("""COMPUTED_VALUE"""),5)</f>
        <v>5</v>
      </c>
      <c r="L4" s="823">
        <f ca="1">IFERROR(__xludf.DUMMYFUNCTION("""COMPUTED_VALUE"""),4)</f>
        <v>4</v>
      </c>
      <c r="M4" s="823">
        <f ca="1">IFERROR(__xludf.DUMMYFUNCTION("""COMPUTED_VALUE"""),3)</f>
        <v>3</v>
      </c>
      <c r="N4" s="823">
        <f ca="1">IFERROR(__xludf.DUMMYFUNCTION("""COMPUTED_VALUE"""),5)</f>
        <v>5</v>
      </c>
      <c r="O4" s="823">
        <f ca="1">IFERROR(__xludf.DUMMYFUNCTION("""COMPUTED_VALUE"""),4)</f>
        <v>4</v>
      </c>
      <c r="P4" s="823">
        <f ca="1">IFERROR(__xludf.DUMMYFUNCTION("""COMPUTED_VALUE"""),4)</f>
        <v>4</v>
      </c>
      <c r="Q4" s="823">
        <f ca="1">IFERROR(__xludf.DUMMYFUNCTION("""COMPUTED_VALUE"""),4)</f>
        <v>4</v>
      </c>
      <c r="R4" s="823">
        <f ca="1">IFERROR(__xludf.DUMMYFUNCTION("""COMPUTED_VALUE"""),3)</f>
        <v>3</v>
      </c>
      <c r="S4" s="823">
        <f ca="1">IFERROR(__xludf.DUMMYFUNCTION("""COMPUTED_VALUE"""),5)</f>
        <v>5</v>
      </c>
      <c r="T4" s="823">
        <f ca="1">IFERROR(__xludf.DUMMYFUNCTION("""COMPUTED_VALUE"""),4)</f>
        <v>4</v>
      </c>
      <c r="U4" s="823">
        <f ca="1">IFERROR(__xludf.DUMMYFUNCTION("""COMPUTED_VALUE"""),5)</f>
        <v>5</v>
      </c>
      <c r="V4" s="823">
        <f ca="1">IFERROR(__xludf.DUMMYFUNCTION("""COMPUTED_VALUE"""),3)</f>
        <v>3</v>
      </c>
      <c r="W4" s="823">
        <f ca="1">IFERROR(__xludf.DUMMYFUNCTION("""COMPUTED_VALUE"""),4)</f>
        <v>4</v>
      </c>
      <c r="X4" s="820">
        <f t="shared" ca="1" si="0"/>
        <v>36</v>
      </c>
      <c r="Y4" s="820">
        <f t="shared" ca="1" si="1"/>
        <v>36</v>
      </c>
      <c r="Z4" s="820">
        <f t="shared" ca="1" si="2"/>
        <v>72</v>
      </c>
      <c r="AA4" s="823"/>
      <c r="AB4" s="533"/>
      <c r="AC4" s="533"/>
      <c r="AD4" s="533"/>
      <c r="AE4" s="533"/>
      <c r="AF4" s="533"/>
      <c r="AG4" s="533"/>
      <c r="AH4" s="533"/>
      <c r="AI4" s="533"/>
      <c r="AJ4" s="533"/>
      <c r="AK4" s="533"/>
      <c r="AL4" s="533"/>
      <c r="AM4" s="533"/>
      <c r="AN4" s="533"/>
      <c r="AO4" s="533"/>
      <c r="AP4" s="533"/>
      <c r="AQ4" s="533"/>
      <c r="AR4" s="533"/>
      <c r="AS4" s="533"/>
      <c r="AT4" s="533"/>
    </row>
    <row r="5" spans="1:46">
      <c r="A5" s="216" t="str">
        <f ca="1">IFERROR(__xludf.DUMMYFUNCTION("""COMPUTED_VALUE"""),"Sundance - Blue")</f>
        <v>Sundance - Blue</v>
      </c>
      <c r="B5" s="817">
        <f ca="1">IFERROR(__xludf.DUMMYFUNCTION("""COMPUTED_VALUE"""),71.4)</f>
        <v>71.400000000000006</v>
      </c>
      <c r="C5" s="818">
        <f ca="1">IFERROR(__xludf.DUMMYFUNCTION("""COMPUTED_VALUE"""),131)</f>
        <v>131</v>
      </c>
      <c r="D5" s="818">
        <f ca="1">IFERROR(__xludf.DUMMYFUNCTION("""COMPUTED_VALUE"""),6481)</f>
        <v>6481</v>
      </c>
      <c r="E5" s="819" t="str">
        <f ca="1">IFERROR(__xludf.DUMMYFUNCTION("""COMPUTED_VALUE"""),"Handicap")</f>
        <v>Handicap</v>
      </c>
      <c r="F5" s="819">
        <f ca="1">IFERROR(__xludf.DUMMYFUNCTION("""COMPUTED_VALUE"""),14)</f>
        <v>14</v>
      </c>
      <c r="G5" s="819">
        <f ca="1">IFERROR(__xludf.DUMMYFUNCTION("""COMPUTED_VALUE"""),16)</f>
        <v>16</v>
      </c>
      <c r="H5" s="819">
        <f ca="1">IFERROR(__xludf.DUMMYFUNCTION("""COMPUTED_VALUE"""),11)</f>
        <v>11</v>
      </c>
      <c r="I5" s="819">
        <f ca="1">IFERROR(__xludf.DUMMYFUNCTION("""COMPUTED_VALUE"""),12)</f>
        <v>12</v>
      </c>
      <c r="J5" s="819">
        <f ca="1">IFERROR(__xludf.DUMMYFUNCTION("""COMPUTED_VALUE"""),6)</f>
        <v>6</v>
      </c>
      <c r="K5" s="819">
        <f ca="1">IFERROR(__xludf.DUMMYFUNCTION("""COMPUTED_VALUE"""),8)</f>
        <v>8</v>
      </c>
      <c r="L5" s="819">
        <f ca="1">IFERROR(__xludf.DUMMYFUNCTION("""COMPUTED_VALUE"""),17)</f>
        <v>17</v>
      </c>
      <c r="M5" s="819">
        <f ca="1">IFERROR(__xludf.DUMMYFUNCTION("""COMPUTED_VALUE"""),5)</f>
        <v>5</v>
      </c>
      <c r="N5" s="819">
        <f ca="1">IFERROR(__xludf.DUMMYFUNCTION("""COMPUTED_VALUE"""),2)</f>
        <v>2</v>
      </c>
      <c r="O5" s="819">
        <f ca="1">IFERROR(__xludf.DUMMYFUNCTION("""COMPUTED_VALUE"""),9)</f>
        <v>9</v>
      </c>
      <c r="P5" s="819">
        <f ca="1">IFERROR(__xludf.DUMMYFUNCTION("""COMPUTED_VALUE"""),13)</f>
        <v>13</v>
      </c>
      <c r="Q5" s="819">
        <f ca="1">IFERROR(__xludf.DUMMYFUNCTION("""COMPUTED_VALUE"""),4)</f>
        <v>4</v>
      </c>
      <c r="R5" s="819">
        <f ca="1">IFERROR(__xludf.DUMMYFUNCTION("""COMPUTED_VALUE"""),18)</f>
        <v>18</v>
      </c>
      <c r="S5" s="819">
        <f ca="1">IFERROR(__xludf.DUMMYFUNCTION("""COMPUTED_VALUE"""),7)</f>
        <v>7</v>
      </c>
      <c r="T5" s="819">
        <f ca="1">IFERROR(__xludf.DUMMYFUNCTION("""COMPUTED_VALUE"""),3)</f>
        <v>3</v>
      </c>
      <c r="U5" s="819">
        <f ca="1">IFERROR(__xludf.DUMMYFUNCTION("""COMPUTED_VALUE"""),10)</f>
        <v>10</v>
      </c>
      <c r="V5" s="819">
        <f ca="1">IFERROR(__xludf.DUMMYFUNCTION("""COMPUTED_VALUE"""),15)</f>
        <v>15</v>
      </c>
      <c r="W5" s="819">
        <f ca="1">IFERROR(__xludf.DUMMYFUNCTION("""COMPUTED_VALUE"""),1)</f>
        <v>1</v>
      </c>
      <c r="X5" s="819"/>
      <c r="Y5" s="819"/>
      <c r="Z5" s="819"/>
      <c r="AA5" s="820" t="s">
        <v>22</v>
      </c>
      <c r="AB5" s="820">
        <f t="shared" ref="AB5:AS5" ca="1" si="4">F6</f>
        <v>4</v>
      </c>
      <c r="AC5" s="820">
        <f t="shared" ca="1" si="4"/>
        <v>4</v>
      </c>
      <c r="AD5" s="820">
        <f t="shared" ca="1" si="4"/>
        <v>3</v>
      </c>
      <c r="AE5" s="820">
        <f t="shared" ca="1" si="4"/>
        <v>4</v>
      </c>
      <c r="AF5" s="820">
        <f t="shared" ca="1" si="4"/>
        <v>4</v>
      </c>
      <c r="AG5" s="820">
        <f t="shared" ca="1" si="4"/>
        <v>5</v>
      </c>
      <c r="AH5" s="820">
        <f t="shared" ca="1" si="4"/>
        <v>4</v>
      </c>
      <c r="AI5" s="820">
        <f t="shared" ca="1" si="4"/>
        <v>3</v>
      </c>
      <c r="AJ5" s="820">
        <f t="shared" ca="1" si="4"/>
        <v>5</v>
      </c>
      <c r="AK5" s="820">
        <f t="shared" ca="1" si="4"/>
        <v>4</v>
      </c>
      <c r="AL5" s="820">
        <f t="shared" ca="1" si="4"/>
        <v>4</v>
      </c>
      <c r="AM5" s="820">
        <f t="shared" ca="1" si="4"/>
        <v>4</v>
      </c>
      <c r="AN5" s="820">
        <f t="shared" ca="1" si="4"/>
        <v>3</v>
      </c>
      <c r="AO5" s="820">
        <f t="shared" ca="1" si="4"/>
        <v>5</v>
      </c>
      <c r="AP5" s="820">
        <f t="shared" ca="1" si="4"/>
        <v>4</v>
      </c>
      <c r="AQ5" s="820">
        <f t="shared" ca="1" si="4"/>
        <v>5</v>
      </c>
      <c r="AR5" s="820">
        <f t="shared" ca="1" si="4"/>
        <v>3</v>
      </c>
      <c r="AS5" s="820">
        <f t="shared" ca="1" si="4"/>
        <v>4</v>
      </c>
      <c r="AT5" s="820">
        <f ca="1">SUM(AB5:AS5)</f>
        <v>72</v>
      </c>
    </row>
    <row r="6" spans="1:46">
      <c r="A6" s="821"/>
      <c r="B6" s="822"/>
      <c r="C6" s="821"/>
      <c r="D6" s="821"/>
      <c r="E6" s="823" t="str">
        <f ca="1">IFERROR(__xludf.DUMMYFUNCTION("""COMPUTED_VALUE"""),"Par")</f>
        <v>Par</v>
      </c>
      <c r="F6" s="823">
        <f ca="1">IFERROR(__xludf.DUMMYFUNCTION("""COMPUTED_VALUE"""),4)</f>
        <v>4</v>
      </c>
      <c r="G6" s="823">
        <f ca="1">IFERROR(__xludf.DUMMYFUNCTION("""COMPUTED_VALUE"""),4)</f>
        <v>4</v>
      </c>
      <c r="H6" s="823">
        <f ca="1">IFERROR(__xludf.DUMMYFUNCTION("""COMPUTED_VALUE"""),3)</f>
        <v>3</v>
      </c>
      <c r="I6" s="823">
        <f ca="1">IFERROR(__xludf.DUMMYFUNCTION("""COMPUTED_VALUE"""),4)</f>
        <v>4</v>
      </c>
      <c r="J6" s="823">
        <f ca="1">IFERROR(__xludf.DUMMYFUNCTION("""COMPUTED_VALUE"""),4)</f>
        <v>4</v>
      </c>
      <c r="K6" s="823">
        <f ca="1">IFERROR(__xludf.DUMMYFUNCTION("""COMPUTED_VALUE"""),5)</f>
        <v>5</v>
      </c>
      <c r="L6" s="823">
        <f ca="1">IFERROR(__xludf.DUMMYFUNCTION("""COMPUTED_VALUE"""),4)</f>
        <v>4</v>
      </c>
      <c r="M6" s="823">
        <f ca="1">IFERROR(__xludf.DUMMYFUNCTION("""COMPUTED_VALUE"""),3)</f>
        <v>3</v>
      </c>
      <c r="N6" s="823">
        <f ca="1">IFERROR(__xludf.DUMMYFUNCTION("""COMPUTED_VALUE"""),5)</f>
        <v>5</v>
      </c>
      <c r="O6" s="823">
        <f ca="1">IFERROR(__xludf.DUMMYFUNCTION("""COMPUTED_VALUE"""),4)</f>
        <v>4</v>
      </c>
      <c r="P6" s="823">
        <f ca="1">IFERROR(__xludf.DUMMYFUNCTION("""COMPUTED_VALUE"""),4)</f>
        <v>4</v>
      </c>
      <c r="Q6" s="823">
        <f ca="1">IFERROR(__xludf.DUMMYFUNCTION("""COMPUTED_VALUE"""),4)</f>
        <v>4</v>
      </c>
      <c r="R6" s="823">
        <f ca="1">IFERROR(__xludf.DUMMYFUNCTION("""COMPUTED_VALUE"""),3)</f>
        <v>3</v>
      </c>
      <c r="S6" s="823">
        <f ca="1">IFERROR(__xludf.DUMMYFUNCTION("""COMPUTED_VALUE"""),5)</f>
        <v>5</v>
      </c>
      <c r="T6" s="823">
        <f ca="1">IFERROR(__xludf.DUMMYFUNCTION("""COMPUTED_VALUE"""),4)</f>
        <v>4</v>
      </c>
      <c r="U6" s="823">
        <f ca="1">IFERROR(__xludf.DUMMYFUNCTION("""COMPUTED_VALUE"""),5)</f>
        <v>5</v>
      </c>
      <c r="V6" s="823">
        <f ca="1">IFERROR(__xludf.DUMMYFUNCTION("""COMPUTED_VALUE"""),3)</f>
        <v>3</v>
      </c>
      <c r="W6" s="823">
        <f ca="1">IFERROR(__xludf.DUMMYFUNCTION("""COMPUTED_VALUE"""),4)</f>
        <v>4</v>
      </c>
      <c r="X6" s="820">
        <f ca="1">SUM(F6:N6)</f>
        <v>36</v>
      </c>
      <c r="Y6" s="820">
        <f ca="1">SUM(O6:W6)</f>
        <v>36</v>
      </c>
      <c r="Z6" s="820">
        <f ca="1">SUM(X6:Y6)</f>
        <v>72</v>
      </c>
      <c r="AA6" s="823"/>
      <c r="AB6" s="533"/>
      <c r="AC6" s="533"/>
      <c r="AD6" s="533"/>
      <c r="AE6" s="533"/>
      <c r="AF6" s="533"/>
      <c r="AG6" s="533"/>
      <c r="AH6" s="533"/>
      <c r="AI6" s="533"/>
      <c r="AJ6" s="533"/>
      <c r="AK6" s="533"/>
      <c r="AL6" s="533"/>
      <c r="AM6" s="533"/>
      <c r="AN6" s="533"/>
      <c r="AO6" s="533"/>
      <c r="AP6" s="533"/>
      <c r="AQ6" s="533"/>
      <c r="AR6" s="533"/>
      <c r="AS6" s="533"/>
      <c r="AT6" s="533"/>
    </row>
    <row r="7" spans="1:46">
      <c r="A7" s="216" t="str">
        <f ca="1">IFERROR(__xludf.DUMMYFUNCTION("""COMPUTED_VALUE"""),"The Wolverine - White")</f>
        <v>The Wolverine - White</v>
      </c>
      <c r="B7" s="817">
        <f ca="1">IFERROR(__xludf.DUMMYFUNCTION("""COMPUTED_VALUE"""),68.7)</f>
        <v>68.7</v>
      </c>
      <c r="C7" s="818">
        <f ca="1">IFERROR(__xludf.DUMMYFUNCTION("""COMPUTED_VALUE"""),134)</f>
        <v>134</v>
      </c>
      <c r="D7" s="818">
        <f ca="1">IFERROR(__xludf.DUMMYFUNCTION("""COMPUTED_VALUE"""),5888)</f>
        <v>5888</v>
      </c>
      <c r="E7" s="819" t="str">
        <f ca="1">IFERROR(__xludf.DUMMYFUNCTION("""COMPUTED_VALUE"""),"Handicap")</f>
        <v>Handicap</v>
      </c>
      <c r="F7" s="819">
        <f ca="1">IFERROR(__xludf.DUMMYFUNCTION("""COMPUTED_VALUE"""),11)</f>
        <v>11</v>
      </c>
      <c r="G7" s="819">
        <f ca="1">IFERROR(__xludf.DUMMYFUNCTION("""COMPUTED_VALUE"""),5)</f>
        <v>5</v>
      </c>
      <c r="H7" s="819">
        <f ca="1">IFERROR(__xludf.DUMMYFUNCTION("""COMPUTED_VALUE"""),1)</f>
        <v>1</v>
      </c>
      <c r="I7" s="819">
        <f ca="1">IFERROR(__xludf.DUMMYFUNCTION("""COMPUTED_VALUE"""),13)</f>
        <v>13</v>
      </c>
      <c r="J7" s="819">
        <f ca="1">IFERROR(__xludf.DUMMYFUNCTION("""COMPUTED_VALUE"""),15)</f>
        <v>15</v>
      </c>
      <c r="K7" s="819">
        <f ca="1">IFERROR(__xludf.DUMMYFUNCTION("""COMPUTED_VALUE"""),3)</f>
        <v>3</v>
      </c>
      <c r="L7" s="819">
        <f ca="1">IFERROR(__xludf.DUMMYFUNCTION("""COMPUTED_VALUE"""),9)</f>
        <v>9</v>
      </c>
      <c r="M7" s="819">
        <f ca="1">IFERROR(__xludf.DUMMYFUNCTION("""COMPUTED_VALUE"""),7)</f>
        <v>7</v>
      </c>
      <c r="N7" s="819">
        <f ca="1">IFERROR(__xludf.DUMMYFUNCTION("""COMPUTED_VALUE"""),17)</f>
        <v>17</v>
      </c>
      <c r="O7" s="819">
        <f ca="1">IFERROR(__xludf.DUMMYFUNCTION("""COMPUTED_VALUE"""),4)</f>
        <v>4</v>
      </c>
      <c r="P7" s="819">
        <f ca="1">IFERROR(__xludf.DUMMYFUNCTION("""COMPUTED_VALUE"""),2)</f>
        <v>2</v>
      </c>
      <c r="Q7" s="819">
        <f ca="1">IFERROR(__xludf.DUMMYFUNCTION("""COMPUTED_VALUE"""),14)</f>
        <v>14</v>
      </c>
      <c r="R7" s="819">
        <f ca="1">IFERROR(__xludf.DUMMYFUNCTION("""COMPUTED_VALUE"""),10)</f>
        <v>10</v>
      </c>
      <c r="S7" s="819">
        <f ca="1">IFERROR(__xludf.DUMMYFUNCTION("""COMPUTED_VALUE"""),18)</f>
        <v>18</v>
      </c>
      <c r="T7" s="819">
        <f ca="1">IFERROR(__xludf.DUMMYFUNCTION("""COMPUTED_VALUE"""),16)</f>
        <v>16</v>
      </c>
      <c r="U7" s="819">
        <f ca="1">IFERROR(__xludf.DUMMYFUNCTION("""COMPUTED_VALUE"""),8)</f>
        <v>8</v>
      </c>
      <c r="V7" s="819">
        <f ca="1">IFERROR(__xludf.DUMMYFUNCTION("""COMPUTED_VALUE"""),12)</f>
        <v>12</v>
      </c>
      <c r="W7" s="819">
        <f ca="1">IFERROR(__xludf.DUMMYFUNCTION("""COMPUTED_VALUE"""),6)</f>
        <v>6</v>
      </c>
      <c r="X7" s="819"/>
      <c r="Y7" s="819"/>
      <c r="Z7" s="819"/>
      <c r="AA7" s="820" t="s">
        <v>22</v>
      </c>
      <c r="AB7" s="820">
        <f t="shared" ref="AB7:AS7" ca="1" si="5">F8</f>
        <v>4</v>
      </c>
      <c r="AC7" s="820">
        <f t="shared" ca="1" si="5"/>
        <v>4</v>
      </c>
      <c r="AD7" s="820">
        <f t="shared" ca="1" si="5"/>
        <v>5</v>
      </c>
      <c r="AE7" s="820">
        <f t="shared" ca="1" si="5"/>
        <v>4</v>
      </c>
      <c r="AF7" s="820">
        <f t="shared" ca="1" si="5"/>
        <v>3</v>
      </c>
      <c r="AG7" s="820">
        <f t="shared" ca="1" si="5"/>
        <v>4</v>
      </c>
      <c r="AH7" s="820">
        <f t="shared" ca="1" si="5"/>
        <v>4</v>
      </c>
      <c r="AI7" s="820">
        <f t="shared" ca="1" si="5"/>
        <v>5</v>
      </c>
      <c r="AJ7" s="820">
        <f t="shared" ca="1" si="5"/>
        <v>3</v>
      </c>
      <c r="AK7" s="820">
        <f t="shared" ca="1" si="5"/>
        <v>4</v>
      </c>
      <c r="AL7" s="820">
        <f t="shared" ca="1" si="5"/>
        <v>5</v>
      </c>
      <c r="AM7" s="820">
        <f t="shared" ca="1" si="5"/>
        <v>3</v>
      </c>
      <c r="AN7" s="820">
        <f t="shared" ca="1" si="5"/>
        <v>4</v>
      </c>
      <c r="AO7" s="820">
        <f t="shared" ca="1" si="5"/>
        <v>3</v>
      </c>
      <c r="AP7" s="820">
        <f t="shared" ca="1" si="5"/>
        <v>4</v>
      </c>
      <c r="AQ7" s="820">
        <f t="shared" ca="1" si="5"/>
        <v>4</v>
      </c>
      <c r="AR7" s="820">
        <f t="shared" ca="1" si="5"/>
        <v>4</v>
      </c>
      <c r="AS7" s="820">
        <f t="shared" ca="1" si="5"/>
        <v>5</v>
      </c>
      <c r="AT7" s="820">
        <f ca="1">SUM(AB7:AS7)</f>
        <v>72</v>
      </c>
    </row>
    <row r="8" spans="1:46">
      <c r="A8" s="821"/>
      <c r="B8" s="822"/>
      <c r="C8" s="821"/>
      <c r="D8" s="821"/>
      <c r="E8" s="823" t="str">
        <f ca="1">IFERROR(__xludf.DUMMYFUNCTION("""COMPUTED_VALUE"""),"Par")</f>
        <v>Par</v>
      </c>
      <c r="F8" s="823">
        <f ca="1">IFERROR(__xludf.DUMMYFUNCTION("""COMPUTED_VALUE"""),4)</f>
        <v>4</v>
      </c>
      <c r="G8" s="823">
        <f ca="1">IFERROR(__xludf.DUMMYFUNCTION("""COMPUTED_VALUE"""),4)</f>
        <v>4</v>
      </c>
      <c r="H8" s="823">
        <f ca="1">IFERROR(__xludf.DUMMYFUNCTION("""COMPUTED_VALUE"""),5)</f>
        <v>5</v>
      </c>
      <c r="I8" s="823">
        <f ca="1">IFERROR(__xludf.DUMMYFUNCTION("""COMPUTED_VALUE"""),4)</f>
        <v>4</v>
      </c>
      <c r="J8" s="823">
        <f ca="1">IFERROR(__xludf.DUMMYFUNCTION("""COMPUTED_VALUE"""),3)</f>
        <v>3</v>
      </c>
      <c r="K8" s="823">
        <f ca="1">IFERROR(__xludf.DUMMYFUNCTION("""COMPUTED_VALUE"""),4)</f>
        <v>4</v>
      </c>
      <c r="L8" s="823">
        <f ca="1">IFERROR(__xludf.DUMMYFUNCTION("""COMPUTED_VALUE"""),4)</f>
        <v>4</v>
      </c>
      <c r="M8" s="823">
        <f ca="1">IFERROR(__xludf.DUMMYFUNCTION("""COMPUTED_VALUE"""),5)</f>
        <v>5</v>
      </c>
      <c r="N8" s="823">
        <f ca="1">IFERROR(__xludf.DUMMYFUNCTION("""COMPUTED_VALUE"""),3)</f>
        <v>3</v>
      </c>
      <c r="O8" s="823">
        <f ca="1">IFERROR(__xludf.DUMMYFUNCTION("""COMPUTED_VALUE"""),4)</f>
        <v>4</v>
      </c>
      <c r="P8" s="823">
        <f ca="1">IFERROR(__xludf.DUMMYFUNCTION("""COMPUTED_VALUE"""),5)</f>
        <v>5</v>
      </c>
      <c r="Q8" s="823">
        <f ca="1">IFERROR(__xludf.DUMMYFUNCTION("""COMPUTED_VALUE"""),3)</f>
        <v>3</v>
      </c>
      <c r="R8" s="823">
        <f ca="1">IFERROR(__xludf.DUMMYFUNCTION("""COMPUTED_VALUE"""),4)</f>
        <v>4</v>
      </c>
      <c r="S8" s="823">
        <f ca="1">IFERROR(__xludf.DUMMYFUNCTION("""COMPUTED_VALUE"""),3)</f>
        <v>3</v>
      </c>
      <c r="T8" s="823">
        <f ca="1">IFERROR(__xludf.DUMMYFUNCTION("""COMPUTED_VALUE"""),4)</f>
        <v>4</v>
      </c>
      <c r="U8" s="823">
        <f ca="1">IFERROR(__xludf.DUMMYFUNCTION("""COMPUTED_VALUE"""),4)</f>
        <v>4</v>
      </c>
      <c r="V8" s="823">
        <f ca="1">IFERROR(__xludf.DUMMYFUNCTION("""COMPUTED_VALUE"""),4)</f>
        <v>4</v>
      </c>
      <c r="W8" s="823">
        <f ca="1">IFERROR(__xludf.DUMMYFUNCTION("""COMPUTED_VALUE"""),5)</f>
        <v>5</v>
      </c>
      <c r="X8" s="820">
        <f ca="1">SUM(F8:N8)</f>
        <v>36</v>
      </c>
      <c r="Y8" s="820">
        <f ca="1">SUM(O8:W8)</f>
        <v>36</v>
      </c>
      <c r="Z8" s="820">
        <f ca="1">SUM(X8:Y8)</f>
        <v>72</v>
      </c>
      <c r="AA8" s="823"/>
      <c r="AB8" s="533"/>
      <c r="AC8" s="533"/>
      <c r="AD8" s="533"/>
      <c r="AE8" s="533"/>
      <c r="AF8" s="533"/>
      <c r="AG8" s="533"/>
      <c r="AH8" s="533"/>
      <c r="AI8" s="533"/>
      <c r="AJ8" s="533"/>
      <c r="AK8" s="533"/>
      <c r="AL8" s="533"/>
      <c r="AM8" s="533"/>
      <c r="AN8" s="533"/>
      <c r="AO8" s="533"/>
      <c r="AP8" s="533"/>
      <c r="AQ8" s="533"/>
      <c r="AR8" s="533"/>
      <c r="AS8" s="533"/>
      <c r="AT8" s="533"/>
    </row>
    <row r="9" spans="1:46">
      <c r="A9" s="216" t="str">
        <f ca="1">IFERROR(__xludf.DUMMYFUNCTION("""COMPUTED_VALUE"""),"The Wolverine - Blue")</f>
        <v>The Wolverine - Blue</v>
      </c>
      <c r="B9" s="817">
        <f ca="1">IFERROR(__xludf.DUMMYFUNCTION("""COMPUTED_VALUE"""),71.8)</f>
        <v>71.8</v>
      </c>
      <c r="C9" s="818">
        <f ca="1">IFERROR(__xludf.DUMMYFUNCTION("""COMPUTED_VALUE"""),138)</f>
        <v>138</v>
      </c>
      <c r="D9" s="818">
        <f ca="1">IFERROR(__xludf.DUMMYFUNCTION("""COMPUTED_VALUE"""),6487)</f>
        <v>6487</v>
      </c>
      <c r="E9" s="819" t="str">
        <f ca="1">IFERROR(__xludf.DUMMYFUNCTION("""COMPUTED_VALUE"""),"Handicap")</f>
        <v>Handicap</v>
      </c>
      <c r="F9" s="819">
        <f ca="1">IFERROR(__xludf.DUMMYFUNCTION("""COMPUTED_VALUE"""),11)</f>
        <v>11</v>
      </c>
      <c r="G9" s="819">
        <f ca="1">IFERROR(__xludf.DUMMYFUNCTION("""COMPUTED_VALUE"""),5)</f>
        <v>5</v>
      </c>
      <c r="H9" s="819">
        <f ca="1">IFERROR(__xludf.DUMMYFUNCTION("""COMPUTED_VALUE"""),1)</f>
        <v>1</v>
      </c>
      <c r="I9" s="819">
        <f ca="1">IFERROR(__xludf.DUMMYFUNCTION("""COMPUTED_VALUE"""),13)</f>
        <v>13</v>
      </c>
      <c r="J9" s="819">
        <f ca="1">IFERROR(__xludf.DUMMYFUNCTION("""COMPUTED_VALUE"""),15)</f>
        <v>15</v>
      </c>
      <c r="K9" s="819">
        <f ca="1">IFERROR(__xludf.DUMMYFUNCTION("""COMPUTED_VALUE"""),3)</f>
        <v>3</v>
      </c>
      <c r="L9" s="819">
        <f ca="1">IFERROR(__xludf.DUMMYFUNCTION("""COMPUTED_VALUE"""),9)</f>
        <v>9</v>
      </c>
      <c r="M9" s="819">
        <f ca="1">IFERROR(__xludf.DUMMYFUNCTION("""COMPUTED_VALUE"""),7)</f>
        <v>7</v>
      </c>
      <c r="N9" s="819">
        <f ca="1">IFERROR(__xludf.DUMMYFUNCTION("""COMPUTED_VALUE"""),17)</f>
        <v>17</v>
      </c>
      <c r="O9" s="819">
        <f ca="1">IFERROR(__xludf.DUMMYFUNCTION("""COMPUTED_VALUE"""),4)</f>
        <v>4</v>
      </c>
      <c r="P9" s="819">
        <f ca="1">IFERROR(__xludf.DUMMYFUNCTION("""COMPUTED_VALUE"""),2)</f>
        <v>2</v>
      </c>
      <c r="Q9" s="819">
        <f ca="1">IFERROR(__xludf.DUMMYFUNCTION("""COMPUTED_VALUE"""),14)</f>
        <v>14</v>
      </c>
      <c r="R9" s="819">
        <f ca="1">IFERROR(__xludf.DUMMYFUNCTION("""COMPUTED_VALUE"""),10)</f>
        <v>10</v>
      </c>
      <c r="S9" s="819">
        <f ca="1">IFERROR(__xludf.DUMMYFUNCTION("""COMPUTED_VALUE"""),18)</f>
        <v>18</v>
      </c>
      <c r="T9" s="819">
        <f ca="1">IFERROR(__xludf.DUMMYFUNCTION("""COMPUTED_VALUE"""),16)</f>
        <v>16</v>
      </c>
      <c r="U9" s="819">
        <f ca="1">IFERROR(__xludf.DUMMYFUNCTION("""COMPUTED_VALUE"""),8)</f>
        <v>8</v>
      </c>
      <c r="V9" s="819">
        <f ca="1">IFERROR(__xludf.DUMMYFUNCTION("""COMPUTED_VALUE"""),12)</f>
        <v>12</v>
      </c>
      <c r="W9" s="819">
        <f ca="1">IFERROR(__xludf.DUMMYFUNCTION("""COMPUTED_VALUE"""),6)</f>
        <v>6</v>
      </c>
      <c r="X9" s="819"/>
      <c r="Y9" s="819"/>
      <c r="Z9" s="819"/>
      <c r="AA9" s="820" t="s">
        <v>22</v>
      </c>
      <c r="AB9" s="820">
        <f t="shared" ref="AB9:AS9" ca="1" si="6">F10</f>
        <v>4</v>
      </c>
      <c r="AC9" s="820">
        <f t="shared" ca="1" si="6"/>
        <v>4</v>
      </c>
      <c r="AD9" s="820">
        <f t="shared" ca="1" si="6"/>
        <v>5</v>
      </c>
      <c r="AE9" s="820">
        <f t="shared" ca="1" si="6"/>
        <v>4</v>
      </c>
      <c r="AF9" s="820">
        <f t="shared" ca="1" si="6"/>
        <v>3</v>
      </c>
      <c r="AG9" s="820">
        <f t="shared" ca="1" si="6"/>
        <v>4</v>
      </c>
      <c r="AH9" s="820">
        <f t="shared" ca="1" si="6"/>
        <v>4</v>
      </c>
      <c r="AI9" s="820">
        <f t="shared" ca="1" si="6"/>
        <v>5</v>
      </c>
      <c r="AJ9" s="820">
        <f t="shared" ca="1" si="6"/>
        <v>3</v>
      </c>
      <c r="AK9" s="820">
        <f t="shared" ca="1" si="6"/>
        <v>4</v>
      </c>
      <c r="AL9" s="820">
        <f t="shared" ca="1" si="6"/>
        <v>5</v>
      </c>
      <c r="AM9" s="820">
        <f t="shared" ca="1" si="6"/>
        <v>3</v>
      </c>
      <c r="AN9" s="820">
        <f t="shared" ca="1" si="6"/>
        <v>4</v>
      </c>
      <c r="AO9" s="820">
        <f t="shared" ca="1" si="6"/>
        <v>3</v>
      </c>
      <c r="AP9" s="820">
        <f t="shared" ca="1" si="6"/>
        <v>4</v>
      </c>
      <c r="AQ9" s="820">
        <f t="shared" ca="1" si="6"/>
        <v>4</v>
      </c>
      <c r="AR9" s="820">
        <f t="shared" ca="1" si="6"/>
        <v>4</v>
      </c>
      <c r="AS9" s="820">
        <f t="shared" ca="1" si="6"/>
        <v>5</v>
      </c>
      <c r="AT9" s="820">
        <f ca="1">SUM(AB9:AS9)</f>
        <v>72</v>
      </c>
    </row>
    <row r="10" spans="1:46">
      <c r="A10" s="821"/>
      <c r="B10" s="822"/>
      <c r="C10" s="821"/>
      <c r="D10" s="821"/>
      <c r="E10" s="823" t="str">
        <f ca="1">IFERROR(__xludf.DUMMYFUNCTION("""COMPUTED_VALUE"""),"Par")</f>
        <v>Par</v>
      </c>
      <c r="F10" s="823">
        <f ca="1">IFERROR(__xludf.DUMMYFUNCTION("""COMPUTED_VALUE"""),4)</f>
        <v>4</v>
      </c>
      <c r="G10" s="823">
        <f ca="1">IFERROR(__xludf.DUMMYFUNCTION("""COMPUTED_VALUE"""),4)</f>
        <v>4</v>
      </c>
      <c r="H10" s="823">
        <f ca="1">IFERROR(__xludf.DUMMYFUNCTION("""COMPUTED_VALUE"""),5)</f>
        <v>5</v>
      </c>
      <c r="I10" s="823">
        <f ca="1">IFERROR(__xludf.DUMMYFUNCTION("""COMPUTED_VALUE"""),4)</f>
        <v>4</v>
      </c>
      <c r="J10" s="823">
        <f ca="1">IFERROR(__xludf.DUMMYFUNCTION("""COMPUTED_VALUE"""),3)</f>
        <v>3</v>
      </c>
      <c r="K10" s="823">
        <f ca="1">IFERROR(__xludf.DUMMYFUNCTION("""COMPUTED_VALUE"""),4)</f>
        <v>4</v>
      </c>
      <c r="L10" s="823">
        <f ca="1">IFERROR(__xludf.DUMMYFUNCTION("""COMPUTED_VALUE"""),4)</f>
        <v>4</v>
      </c>
      <c r="M10" s="823">
        <f ca="1">IFERROR(__xludf.DUMMYFUNCTION("""COMPUTED_VALUE"""),5)</f>
        <v>5</v>
      </c>
      <c r="N10" s="823">
        <f ca="1">IFERROR(__xludf.DUMMYFUNCTION("""COMPUTED_VALUE"""),3)</f>
        <v>3</v>
      </c>
      <c r="O10" s="823">
        <f ca="1">IFERROR(__xludf.DUMMYFUNCTION("""COMPUTED_VALUE"""),4)</f>
        <v>4</v>
      </c>
      <c r="P10" s="823">
        <f ca="1">IFERROR(__xludf.DUMMYFUNCTION("""COMPUTED_VALUE"""),5)</f>
        <v>5</v>
      </c>
      <c r="Q10" s="823">
        <f ca="1">IFERROR(__xludf.DUMMYFUNCTION("""COMPUTED_VALUE"""),3)</f>
        <v>3</v>
      </c>
      <c r="R10" s="823">
        <f ca="1">IFERROR(__xludf.DUMMYFUNCTION("""COMPUTED_VALUE"""),4)</f>
        <v>4</v>
      </c>
      <c r="S10" s="823">
        <f ca="1">IFERROR(__xludf.DUMMYFUNCTION("""COMPUTED_VALUE"""),3)</f>
        <v>3</v>
      </c>
      <c r="T10" s="823">
        <f ca="1">IFERROR(__xludf.DUMMYFUNCTION("""COMPUTED_VALUE"""),4)</f>
        <v>4</v>
      </c>
      <c r="U10" s="823">
        <f ca="1">IFERROR(__xludf.DUMMYFUNCTION("""COMPUTED_VALUE"""),4)</f>
        <v>4</v>
      </c>
      <c r="V10" s="823">
        <f ca="1">IFERROR(__xludf.DUMMYFUNCTION("""COMPUTED_VALUE"""),4)</f>
        <v>4</v>
      </c>
      <c r="W10" s="823">
        <f ca="1">IFERROR(__xludf.DUMMYFUNCTION("""COMPUTED_VALUE"""),5)</f>
        <v>5</v>
      </c>
      <c r="X10" s="820">
        <f ca="1">SUM(F10:N10)</f>
        <v>36</v>
      </c>
      <c r="Y10" s="820">
        <f ca="1">SUM(O10:W10)</f>
        <v>36</v>
      </c>
      <c r="Z10" s="820">
        <f ca="1">SUM(X10:Y10)</f>
        <v>72</v>
      </c>
      <c r="AA10" s="823"/>
      <c r="AB10" s="533"/>
      <c r="AC10" s="533"/>
      <c r="AD10" s="533"/>
      <c r="AE10" s="533"/>
      <c r="AF10" s="533"/>
      <c r="AG10" s="533"/>
      <c r="AH10" s="533"/>
      <c r="AI10" s="533"/>
      <c r="AJ10" s="533"/>
      <c r="AK10" s="533"/>
      <c r="AL10" s="533"/>
      <c r="AM10" s="533"/>
      <c r="AN10" s="533"/>
      <c r="AO10" s="533"/>
      <c r="AP10" s="533"/>
      <c r="AQ10" s="533"/>
      <c r="AR10" s="533"/>
      <c r="AS10" s="533"/>
      <c r="AT10" s="533"/>
    </row>
    <row r="11" spans="1:46">
      <c r="A11" s="216" t="str">
        <f ca="1">IFERROR(__xludf.DUMMYFUNCTION("""COMPUTED_VALUE"""),"The Bear - White")</f>
        <v>The Bear - White</v>
      </c>
      <c r="B11" s="817">
        <f ca="1">IFERROR(__xludf.DUMMYFUNCTION("""COMPUTED_VALUE"""),71.1)</f>
        <v>71.099999999999994</v>
      </c>
      <c r="C11" s="818">
        <f ca="1">IFERROR(__xludf.DUMMYFUNCTION("""COMPUTED_VALUE"""),139)</f>
        <v>139</v>
      </c>
      <c r="D11" s="818">
        <f ca="1">IFERROR(__xludf.DUMMYFUNCTION("""COMPUTED_VALUE"""),6122)</f>
        <v>6122</v>
      </c>
      <c r="E11" s="819" t="str">
        <f ca="1">IFERROR(__xludf.DUMMYFUNCTION("""COMPUTED_VALUE"""),"Handicap")</f>
        <v>Handicap</v>
      </c>
      <c r="F11" s="819">
        <f ca="1">IFERROR(__xludf.DUMMYFUNCTION("""COMPUTED_VALUE"""),11)</f>
        <v>11</v>
      </c>
      <c r="G11" s="819">
        <f ca="1">IFERROR(__xludf.DUMMYFUNCTION("""COMPUTED_VALUE"""),3)</f>
        <v>3</v>
      </c>
      <c r="H11" s="819">
        <f ca="1">IFERROR(__xludf.DUMMYFUNCTION("""COMPUTED_VALUE"""),15)</f>
        <v>15</v>
      </c>
      <c r="I11" s="819">
        <f ca="1">IFERROR(__xludf.DUMMYFUNCTION("""COMPUTED_VALUE"""),13)</f>
        <v>13</v>
      </c>
      <c r="J11" s="819">
        <f ca="1">IFERROR(__xludf.DUMMYFUNCTION("""COMPUTED_VALUE"""),1)</f>
        <v>1</v>
      </c>
      <c r="K11" s="819">
        <f ca="1">IFERROR(__xludf.DUMMYFUNCTION("""COMPUTED_VALUE"""),17)</f>
        <v>17</v>
      </c>
      <c r="L11" s="819">
        <f ca="1">IFERROR(__xludf.DUMMYFUNCTION("""COMPUTED_VALUE"""),5)</f>
        <v>5</v>
      </c>
      <c r="M11" s="819">
        <f ca="1">IFERROR(__xludf.DUMMYFUNCTION("""COMPUTED_VALUE"""),7)</f>
        <v>7</v>
      </c>
      <c r="N11" s="819">
        <f ca="1">IFERROR(__xludf.DUMMYFUNCTION("""COMPUTED_VALUE"""),9)</f>
        <v>9</v>
      </c>
      <c r="O11" s="819">
        <f ca="1">IFERROR(__xludf.DUMMYFUNCTION("""COMPUTED_VALUE"""),18)</f>
        <v>18</v>
      </c>
      <c r="P11" s="819">
        <f ca="1">IFERROR(__xludf.DUMMYFUNCTION("""COMPUTED_VALUE"""),4)</f>
        <v>4</v>
      </c>
      <c r="Q11" s="819">
        <f ca="1">IFERROR(__xludf.DUMMYFUNCTION("""COMPUTED_VALUE"""),6)</f>
        <v>6</v>
      </c>
      <c r="R11" s="819">
        <f ca="1">IFERROR(__xludf.DUMMYFUNCTION("""COMPUTED_VALUE"""),12)</f>
        <v>12</v>
      </c>
      <c r="S11" s="819">
        <f ca="1">IFERROR(__xludf.DUMMYFUNCTION("""COMPUTED_VALUE"""),16)</f>
        <v>16</v>
      </c>
      <c r="T11" s="819">
        <f ca="1">IFERROR(__xludf.DUMMYFUNCTION("""COMPUTED_VALUE"""),14)</f>
        <v>14</v>
      </c>
      <c r="U11" s="819">
        <f ca="1">IFERROR(__xludf.DUMMYFUNCTION("""COMPUTED_VALUE"""),2)</f>
        <v>2</v>
      </c>
      <c r="V11" s="819">
        <f ca="1">IFERROR(__xludf.DUMMYFUNCTION("""COMPUTED_VALUE"""),8)</f>
        <v>8</v>
      </c>
      <c r="W11" s="819">
        <f ca="1">IFERROR(__xludf.DUMMYFUNCTION("""COMPUTED_VALUE"""),10)</f>
        <v>10</v>
      </c>
      <c r="X11" s="819"/>
      <c r="Y11" s="819"/>
      <c r="Z11" s="819"/>
      <c r="AA11" s="820" t="s">
        <v>22</v>
      </c>
      <c r="AB11" s="820">
        <f t="shared" ref="AB11:AS11" ca="1" si="7">F12</f>
        <v>4</v>
      </c>
      <c r="AC11" s="820">
        <f t="shared" ca="1" si="7"/>
        <v>4</v>
      </c>
      <c r="AD11" s="820">
        <f t="shared" ca="1" si="7"/>
        <v>5</v>
      </c>
      <c r="AE11" s="820">
        <f t="shared" ca="1" si="7"/>
        <v>3</v>
      </c>
      <c r="AF11" s="820">
        <f t="shared" ca="1" si="7"/>
        <v>4</v>
      </c>
      <c r="AG11" s="820">
        <f t="shared" ca="1" si="7"/>
        <v>5</v>
      </c>
      <c r="AH11" s="820">
        <f t="shared" ca="1" si="7"/>
        <v>4</v>
      </c>
      <c r="AI11" s="820">
        <f t="shared" ca="1" si="7"/>
        <v>4</v>
      </c>
      <c r="AJ11" s="820">
        <f t="shared" ca="1" si="7"/>
        <v>3</v>
      </c>
      <c r="AK11" s="820">
        <f t="shared" ca="1" si="7"/>
        <v>5</v>
      </c>
      <c r="AL11" s="820">
        <f t="shared" ca="1" si="7"/>
        <v>4</v>
      </c>
      <c r="AM11" s="820">
        <f t="shared" ca="1" si="7"/>
        <v>4</v>
      </c>
      <c r="AN11" s="820">
        <f t="shared" ca="1" si="7"/>
        <v>3</v>
      </c>
      <c r="AO11" s="820">
        <f t="shared" ca="1" si="7"/>
        <v>4</v>
      </c>
      <c r="AP11" s="820">
        <f t="shared" ca="1" si="7"/>
        <v>5</v>
      </c>
      <c r="AQ11" s="820">
        <f t="shared" ca="1" si="7"/>
        <v>4</v>
      </c>
      <c r="AR11" s="820">
        <f t="shared" ca="1" si="7"/>
        <v>3</v>
      </c>
      <c r="AS11" s="820">
        <f t="shared" ca="1" si="7"/>
        <v>4</v>
      </c>
      <c r="AT11" s="820">
        <f ca="1">SUM(AB11:AS11)</f>
        <v>72</v>
      </c>
    </row>
    <row r="12" spans="1:46">
      <c r="A12" s="821"/>
      <c r="B12" s="822"/>
      <c r="C12" s="821"/>
      <c r="D12" s="821"/>
      <c r="E12" s="823" t="str">
        <f ca="1">IFERROR(__xludf.DUMMYFUNCTION("""COMPUTED_VALUE"""),"Par")</f>
        <v>Par</v>
      </c>
      <c r="F12" s="823">
        <f ca="1">IFERROR(__xludf.DUMMYFUNCTION("""COMPUTED_VALUE"""),4)</f>
        <v>4</v>
      </c>
      <c r="G12" s="823">
        <f ca="1">IFERROR(__xludf.DUMMYFUNCTION("""COMPUTED_VALUE"""),4)</f>
        <v>4</v>
      </c>
      <c r="H12" s="823">
        <f ca="1">IFERROR(__xludf.DUMMYFUNCTION("""COMPUTED_VALUE"""),5)</f>
        <v>5</v>
      </c>
      <c r="I12" s="823">
        <f ca="1">IFERROR(__xludf.DUMMYFUNCTION("""COMPUTED_VALUE"""),3)</f>
        <v>3</v>
      </c>
      <c r="J12" s="823">
        <f ca="1">IFERROR(__xludf.DUMMYFUNCTION("""COMPUTED_VALUE"""),4)</f>
        <v>4</v>
      </c>
      <c r="K12" s="823">
        <f ca="1">IFERROR(__xludf.DUMMYFUNCTION("""COMPUTED_VALUE"""),5)</f>
        <v>5</v>
      </c>
      <c r="L12" s="823">
        <f ca="1">IFERROR(__xludf.DUMMYFUNCTION("""COMPUTED_VALUE"""),4)</f>
        <v>4</v>
      </c>
      <c r="M12" s="823">
        <f ca="1">IFERROR(__xludf.DUMMYFUNCTION("""COMPUTED_VALUE"""),4)</f>
        <v>4</v>
      </c>
      <c r="N12" s="823">
        <f ca="1">IFERROR(__xludf.DUMMYFUNCTION("""COMPUTED_VALUE"""),3)</f>
        <v>3</v>
      </c>
      <c r="O12" s="823">
        <f ca="1">IFERROR(__xludf.DUMMYFUNCTION("""COMPUTED_VALUE"""),5)</f>
        <v>5</v>
      </c>
      <c r="P12" s="823">
        <f ca="1">IFERROR(__xludf.DUMMYFUNCTION("""COMPUTED_VALUE"""),4)</f>
        <v>4</v>
      </c>
      <c r="Q12" s="823">
        <f ca="1">IFERROR(__xludf.DUMMYFUNCTION("""COMPUTED_VALUE"""),4)</f>
        <v>4</v>
      </c>
      <c r="R12" s="823">
        <f ca="1">IFERROR(__xludf.DUMMYFUNCTION("""COMPUTED_VALUE"""),3)</f>
        <v>3</v>
      </c>
      <c r="S12" s="823">
        <f ca="1">IFERROR(__xludf.DUMMYFUNCTION("""COMPUTED_VALUE"""),4)</f>
        <v>4</v>
      </c>
      <c r="T12" s="823">
        <f ca="1">IFERROR(__xludf.DUMMYFUNCTION("""COMPUTED_VALUE"""),5)</f>
        <v>5</v>
      </c>
      <c r="U12" s="823">
        <f ca="1">IFERROR(__xludf.DUMMYFUNCTION("""COMPUTED_VALUE"""),4)</f>
        <v>4</v>
      </c>
      <c r="V12" s="823">
        <f ca="1">IFERROR(__xludf.DUMMYFUNCTION("""COMPUTED_VALUE"""),3)</f>
        <v>3</v>
      </c>
      <c r="W12" s="823">
        <f ca="1">IFERROR(__xludf.DUMMYFUNCTION("""COMPUTED_VALUE"""),4)</f>
        <v>4</v>
      </c>
      <c r="X12" s="820">
        <f ca="1">SUM(F12:N12)</f>
        <v>36</v>
      </c>
      <c r="Y12" s="820">
        <f ca="1">SUM(O12:W12)</f>
        <v>36</v>
      </c>
      <c r="Z12" s="820">
        <f ca="1">SUM(X12:Y12)</f>
        <v>72</v>
      </c>
      <c r="AA12" s="823"/>
      <c r="AB12" s="533"/>
      <c r="AC12" s="533"/>
      <c r="AD12" s="533"/>
      <c r="AE12" s="533"/>
      <c r="AF12" s="533"/>
      <c r="AG12" s="533"/>
      <c r="AH12" s="533"/>
      <c r="AI12" s="533"/>
      <c r="AJ12" s="533"/>
      <c r="AK12" s="533"/>
      <c r="AL12" s="533"/>
      <c r="AM12" s="533"/>
      <c r="AN12" s="533"/>
      <c r="AO12" s="533"/>
      <c r="AP12" s="533"/>
      <c r="AQ12" s="533"/>
      <c r="AR12" s="533"/>
      <c r="AS12" s="533"/>
      <c r="AT12" s="533"/>
    </row>
    <row r="13" spans="1:46">
      <c r="A13" s="216" t="str">
        <f ca="1">IFERROR(__xludf.DUMMYFUNCTION("""COMPUTED_VALUE"""),"The Loop Red - Middle")</f>
        <v>The Loop Red - Middle</v>
      </c>
      <c r="B13" s="817">
        <f ca="1">IFERROR(__xludf.DUMMYFUNCTION("""COMPUTED_VALUE"""),68.7)</f>
        <v>68.7</v>
      </c>
      <c r="C13" s="818">
        <f ca="1">IFERROR(__xludf.DUMMYFUNCTION("""COMPUTED_VALUE"""),117)</f>
        <v>117</v>
      </c>
      <c r="D13" s="818">
        <f ca="1">IFERROR(__xludf.DUMMYFUNCTION("""COMPUTED_VALUE"""),6064)</f>
        <v>6064</v>
      </c>
      <c r="E13" s="819" t="str">
        <f ca="1">IFERROR(__xludf.DUMMYFUNCTION("""COMPUTED_VALUE"""),"Handicap")</f>
        <v>Handicap</v>
      </c>
      <c r="F13" s="819">
        <f ca="1">IFERROR(__xludf.DUMMYFUNCTION("""COMPUTED_VALUE"""),11)</f>
        <v>11</v>
      </c>
      <c r="G13" s="819">
        <f ca="1">IFERROR(__xludf.DUMMYFUNCTION("""COMPUTED_VALUE"""),9)</f>
        <v>9</v>
      </c>
      <c r="H13" s="819">
        <f ca="1">IFERROR(__xludf.DUMMYFUNCTION("""COMPUTED_VALUE"""),7)</f>
        <v>7</v>
      </c>
      <c r="I13" s="819">
        <f ca="1">IFERROR(__xludf.DUMMYFUNCTION("""COMPUTED_VALUE"""),13)</f>
        <v>13</v>
      </c>
      <c r="J13" s="819">
        <f ca="1">IFERROR(__xludf.DUMMYFUNCTION("""COMPUTED_VALUE"""),3)</f>
        <v>3</v>
      </c>
      <c r="K13" s="819">
        <f ca="1">IFERROR(__xludf.DUMMYFUNCTION("""COMPUTED_VALUE"""),17)</f>
        <v>17</v>
      </c>
      <c r="L13" s="819">
        <f ca="1">IFERROR(__xludf.DUMMYFUNCTION("""COMPUTED_VALUE"""),15)</f>
        <v>15</v>
      </c>
      <c r="M13" s="819">
        <f ca="1">IFERROR(__xludf.DUMMYFUNCTION("""COMPUTED_VALUE"""),1)</f>
        <v>1</v>
      </c>
      <c r="N13" s="819">
        <f ca="1">IFERROR(__xludf.DUMMYFUNCTION("""COMPUTED_VALUE"""),5)</f>
        <v>5</v>
      </c>
      <c r="O13" s="819">
        <f ca="1">IFERROR(__xludf.DUMMYFUNCTION("""COMPUTED_VALUE"""),2)</f>
        <v>2</v>
      </c>
      <c r="P13" s="819">
        <f ca="1">IFERROR(__xludf.DUMMYFUNCTION("""COMPUTED_VALUE"""),12)</f>
        <v>12</v>
      </c>
      <c r="Q13" s="819">
        <f ca="1">IFERROR(__xludf.DUMMYFUNCTION("""COMPUTED_VALUE"""),14)</f>
        <v>14</v>
      </c>
      <c r="R13" s="819">
        <f ca="1">IFERROR(__xludf.DUMMYFUNCTION("""COMPUTED_VALUE"""),8)</f>
        <v>8</v>
      </c>
      <c r="S13" s="819">
        <f ca="1">IFERROR(__xludf.DUMMYFUNCTION("""COMPUTED_VALUE"""),16)</f>
        <v>16</v>
      </c>
      <c r="T13" s="819">
        <f ca="1">IFERROR(__xludf.DUMMYFUNCTION("""COMPUTED_VALUE"""),6)</f>
        <v>6</v>
      </c>
      <c r="U13" s="819">
        <f ca="1">IFERROR(__xludf.DUMMYFUNCTION("""COMPUTED_VALUE"""),4)</f>
        <v>4</v>
      </c>
      <c r="V13" s="819">
        <f ca="1">IFERROR(__xludf.DUMMYFUNCTION("""COMPUTED_VALUE"""),18)</f>
        <v>18</v>
      </c>
      <c r="W13" s="819">
        <f ca="1">IFERROR(__xludf.DUMMYFUNCTION("""COMPUTED_VALUE"""),10)</f>
        <v>10</v>
      </c>
      <c r="X13" s="819"/>
      <c r="Y13" s="819"/>
      <c r="Z13" s="819"/>
      <c r="AA13" s="820" t="s">
        <v>22</v>
      </c>
      <c r="AB13" s="820">
        <f t="shared" ref="AB13:AS13" ca="1" si="8">F14</f>
        <v>4</v>
      </c>
      <c r="AC13" s="820">
        <f t="shared" ca="1" si="8"/>
        <v>5</v>
      </c>
      <c r="AD13" s="820">
        <f t="shared" ca="1" si="8"/>
        <v>4</v>
      </c>
      <c r="AE13" s="820">
        <f t="shared" ca="1" si="8"/>
        <v>3</v>
      </c>
      <c r="AF13" s="820">
        <f t="shared" ca="1" si="8"/>
        <v>4</v>
      </c>
      <c r="AG13" s="820">
        <f t="shared" ca="1" si="8"/>
        <v>3</v>
      </c>
      <c r="AH13" s="820">
        <f t="shared" ca="1" si="8"/>
        <v>4</v>
      </c>
      <c r="AI13" s="820">
        <f t="shared" ca="1" si="8"/>
        <v>4</v>
      </c>
      <c r="AJ13" s="820">
        <f t="shared" ca="1" si="8"/>
        <v>5</v>
      </c>
      <c r="AK13" s="820">
        <f t="shared" ca="1" si="8"/>
        <v>4</v>
      </c>
      <c r="AL13" s="820">
        <f t="shared" ca="1" si="8"/>
        <v>3</v>
      </c>
      <c r="AM13" s="820">
        <f t="shared" ca="1" si="8"/>
        <v>4</v>
      </c>
      <c r="AN13" s="820">
        <f t="shared" ca="1" si="8"/>
        <v>5</v>
      </c>
      <c r="AO13" s="820">
        <f t="shared" ca="1" si="8"/>
        <v>3</v>
      </c>
      <c r="AP13" s="820">
        <f t="shared" ca="1" si="8"/>
        <v>4</v>
      </c>
      <c r="AQ13" s="820">
        <f t="shared" ca="1" si="8"/>
        <v>4</v>
      </c>
      <c r="AR13" s="820">
        <f t="shared" ca="1" si="8"/>
        <v>3</v>
      </c>
      <c r="AS13" s="820">
        <f t="shared" ca="1" si="8"/>
        <v>4</v>
      </c>
      <c r="AT13" s="820">
        <f ca="1">SUM(AB13:AS13)</f>
        <v>70</v>
      </c>
    </row>
    <row r="14" spans="1:46">
      <c r="A14" s="821"/>
      <c r="B14" s="822"/>
      <c r="C14" s="821"/>
      <c r="D14" s="821"/>
      <c r="E14" s="823" t="str">
        <f ca="1">IFERROR(__xludf.DUMMYFUNCTION("""COMPUTED_VALUE"""),"Par")</f>
        <v>Par</v>
      </c>
      <c r="F14" s="823">
        <f ca="1">IFERROR(__xludf.DUMMYFUNCTION("""COMPUTED_VALUE"""),4)</f>
        <v>4</v>
      </c>
      <c r="G14" s="823">
        <f ca="1">IFERROR(__xludf.DUMMYFUNCTION("""COMPUTED_VALUE"""),5)</f>
        <v>5</v>
      </c>
      <c r="H14" s="823">
        <f ca="1">IFERROR(__xludf.DUMMYFUNCTION("""COMPUTED_VALUE"""),4)</f>
        <v>4</v>
      </c>
      <c r="I14" s="823">
        <f ca="1">IFERROR(__xludf.DUMMYFUNCTION("""COMPUTED_VALUE"""),3)</f>
        <v>3</v>
      </c>
      <c r="J14" s="823">
        <f ca="1">IFERROR(__xludf.DUMMYFUNCTION("""COMPUTED_VALUE"""),4)</f>
        <v>4</v>
      </c>
      <c r="K14" s="823">
        <f ca="1">IFERROR(__xludf.DUMMYFUNCTION("""COMPUTED_VALUE"""),3)</f>
        <v>3</v>
      </c>
      <c r="L14" s="823">
        <f ca="1">IFERROR(__xludf.DUMMYFUNCTION("""COMPUTED_VALUE"""),4)</f>
        <v>4</v>
      </c>
      <c r="M14" s="823">
        <f ca="1">IFERROR(__xludf.DUMMYFUNCTION("""COMPUTED_VALUE"""),4)</f>
        <v>4</v>
      </c>
      <c r="N14" s="823">
        <f ca="1">IFERROR(__xludf.DUMMYFUNCTION("""COMPUTED_VALUE"""),5)</f>
        <v>5</v>
      </c>
      <c r="O14" s="823">
        <f ca="1">IFERROR(__xludf.DUMMYFUNCTION("""COMPUTED_VALUE"""),4)</f>
        <v>4</v>
      </c>
      <c r="P14" s="823">
        <f ca="1">IFERROR(__xludf.DUMMYFUNCTION("""COMPUTED_VALUE"""),3)</f>
        <v>3</v>
      </c>
      <c r="Q14" s="823">
        <f ca="1">IFERROR(__xludf.DUMMYFUNCTION("""COMPUTED_VALUE"""),4)</f>
        <v>4</v>
      </c>
      <c r="R14" s="823">
        <f ca="1">IFERROR(__xludf.DUMMYFUNCTION("""COMPUTED_VALUE"""),5)</f>
        <v>5</v>
      </c>
      <c r="S14" s="823">
        <f ca="1">IFERROR(__xludf.DUMMYFUNCTION("""COMPUTED_VALUE"""),3)</f>
        <v>3</v>
      </c>
      <c r="T14" s="823">
        <f ca="1">IFERROR(__xludf.DUMMYFUNCTION("""COMPUTED_VALUE"""),4)</f>
        <v>4</v>
      </c>
      <c r="U14" s="823">
        <f ca="1">IFERROR(__xludf.DUMMYFUNCTION("""COMPUTED_VALUE"""),4)</f>
        <v>4</v>
      </c>
      <c r="V14" s="823">
        <f ca="1">IFERROR(__xludf.DUMMYFUNCTION("""COMPUTED_VALUE"""),3)</f>
        <v>3</v>
      </c>
      <c r="W14" s="823">
        <f ca="1">IFERROR(__xludf.DUMMYFUNCTION("""COMPUTED_VALUE"""),4)</f>
        <v>4</v>
      </c>
      <c r="X14" s="820">
        <f ca="1">SUM(F14:N14)</f>
        <v>36</v>
      </c>
      <c r="Y14" s="820">
        <f ca="1">SUM(O14:W14)</f>
        <v>34</v>
      </c>
      <c r="Z14" s="820">
        <f ca="1">SUM(X14:Y14)</f>
        <v>70</v>
      </c>
      <c r="AA14" s="823"/>
      <c r="AB14" s="533"/>
      <c r="AC14" s="533"/>
      <c r="AD14" s="533"/>
      <c r="AE14" s="533"/>
      <c r="AF14" s="533"/>
      <c r="AG14" s="533"/>
      <c r="AH14" s="533"/>
      <c r="AI14" s="533"/>
      <c r="AJ14" s="533"/>
      <c r="AK14" s="533"/>
      <c r="AL14" s="533"/>
      <c r="AM14" s="533"/>
      <c r="AN14" s="533"/>
      <c r="AO14" s="533"/>
      <c r="AP14" s="533"/>
      <c r="AQ14" s="533"/>
      <c r="AR14" s="533"/>
      <c r="AS14" s="533"/>
      <c r="AT14" s="533"/>
    </row>
    <row r="15" spans="1:46">
      <c r="A15" s="821" t="str">
        <f ca="1">IFERROR(__xludf.DUMMYFUNCTION("""COMPUTED_VALUE"""),"The Nightmare - Blue/White")</f>
        <v>The Nightmare - Blue/White</v>
      </c>
      <c r="B15" s="822">
        <f ca="1">IFERROR(__xludf.DUMMYFUNCTION("""COMPUTED_VALUE"""),69.3)</f>
        <v>69.3</v>
      </c>
      <c r="C15" s="821">
        <f ca="1">IFERROR(__xludf.DUMMYFUNCTION("""COMPUTED_VALUE"""),128)</f>
        <v>128</v>
      </c>
      <c r="D15" s="821">
        <f ca="1">IFERROR(__xludf.DUMMYFUNCTION("""COMPUTED_VALUE"""),6095)</f>
        <v>6095</v>
      </c>
      <c r="E15" s="823" t="str">
        <f ca="1">IFERROR(__xludf.DUMMYFUNCTION("""COMPUTED_VALUE"""),"Handicap")</f>
        <v>Handicap</v>
      </c>
      <c r="F15" s="823">
        <f ca="1">IFERROR(__xludf.DUMMYFUNCTION("""COMPUTED_VALUE"""),13)</f>
        <v>13</v>
      </c>
      <c r="G15" s="823">
        <f ca="1">IFERROR(__xludf.DUMMYFUNCTION("""COMPUTED_VALUE"""),15)</f>
        <v>15</v>
      </c>
      <c r="H15" s="823">
        <f ca="1">IFERROR(__xludf.DUMMYFUNCTION("""COMPUTED_VALUE"""),5)</f>
        <v>5</v>
      </c>
      <c r="I15" s="823">
        <f ca="1">IFERROR(__xludf.DUMMYFUNCTION("""COMPUTED_VALUE"""),9)</f>
        <v>9</v>
      </c>
      <c r="J15" s="823">
        <f ca="1">IFERROR(__xludf.DUMMYFUNCTION("""COMPUTED_VALUE"""),17)</f>
        <v>17</v>
      </c>
      <c r="K15" s="823">
        <f ca="1">IFERROR(__xludf.DUMMYFUNCTION("""COMPUTED_VALUE"""),3)</f>
        <v>3</v>
      </c>
      <c r="L15" s="823">
        <f ca="1">IFERROR(__xludf.DUMMYFUNCTION("""COMPUTED_VALUE"""),11)</f>
        <v>11</v>
      </c>
      <c r="M15" s="823">
        <f ca="1">IFERROR(__xludf.DUMMYFUNCTION("""COMPUTED_VALUE"""),1)</f>
        <v>1</v>
      </c>
      <c r="N15" s="823">
        <f ca="1">IFERROR(__xludf.DUMMYFUNCTION("""COMPUTED_VALUE"""),7)</f>
        <v>7</v>
      </c>
      <c r="O15" s="823">
        <f ca="1">IFERROR(__xludf.DUMMYFUNCTION("""COMPUTED_VALUE"""),16)</f>
        <v>16</v>
      </c>
      <c r="P15" s="823">
        <f ca="1">IFERROR(__xludf.DUMMYFUNCTION("""COMPUTED_VALUE"""),6)</f>
        <v>6</v>
      </c>
      <c r="Q15" s="823">
        <f ca="1">IFERROR(__xludf.DUMMYFUNCTION("""COMPUTED_VALUE"""),18)</f>
        <v>18</v>
      </c>
      <c r="R15" s="823">
        <f ca="1">IFERROR(__xludf.DUMMYFUNCTION("""COMPUTED_VALUE"""),8)</f>
        <v>8</v>
      </c>
      <c r="S15" s="823">
        <f ca="1">IFERROR(__xludf.DUMMYFUNCTION("""COMPUTED_VALUE"""),12)</f>
        <v>12</v>
      </c>
      <c r="T15" s="823">
        <f ca="1">IFERROR(__xludf.DUMMYFUNCTION("""COMPUTED_VALUE"""),4)</f>
        <v>4</v>
      </c>
      <c r="U15" s="823">
        <f ca="1">IFERROR(__xludf.DUMMYFUNCTION("""COMPUTED_VALUE"""),10)</f>
        <v>10</v>
      </c>
      <c r="V15" s="823">
        <f ca="1">IFERROR(__xludf.DUMMYFUNCTION("""COMPUTED_VALUE"""),14)</f>
        <v>14</v>
      </c>
      <c r="W15" s="823">
        <f ca="1">IFERROR(__xludf.DUMMYFUNCTION("""COMPUTED_VALUE"""),2)</f>
        <v>2</v>
      </c>
      <c r="X15" s="820"/>
      <c r="Y15" s="820"/>
      <c r="Z15" s="820"/>
      <c r="AA15" s="823"/>
      <c r="AB15" s="533"/>
      <c r="AC15" s="533"/>
      <c r="AD15" s="533"/>
      <c r="AE15" s="533"/>
      <c r="AF15" s="533"/>
      <c r="AG15" s="533"/>
      <c r="AH15" s="533"/>
      <c r="AI15" s="533"/>
      <c r="AJ15" s="533"/>
      <c r="AK15" s="533"/>
      <c r="AL15" s="533"/>
      <c r="AM15" s="533"/>
      <c r="AN15" s="533"/>
      <c r="AO15" s="533"/>
      <c r="AP15" s="533"/>
      <c r="AQ15" s="533"/>
      <c r="AR15" s="533"/>
      <c r="AS15" s="533"/>
      <c r="AT15" s="533"/>
    </row>
    <row r="16" spans="1:46">
      <c r="A16" s="821"/>
      <c r="B16" s="822"/>
      <c r="C16" s="821"/>
      <c r="D16" s="821"/>
      <c r="E16" s="823" t="str">
        <f ca="1">IFERROR(__xludf.DUMMYFUNCTION("""COMPUTED_VALUE"""),"Par")</f>
        <v>Par</v>
      </c>
      <c r="F16" s="823">
        <f ca="1">IFERROR(__xludf.DUMMYFUNCTION("""COMPUTED_VALUE"""),4)</f>
        <v>4</v>
      </c>
      <c r="G16" s="823">
        <f ca="1">IFERROR(__xludf.DUMMYFUNCTION("""COMPUTED_VALUE"""),3)</f>
        <v>3</v>
      </c>
      <c r="H16" s="823">
        <f ca="1">IFERROR(__xludf.DUMMYFUNCTION("""COMPUTED_VALUE"""),4)</f>
        <v>4</v>
      </c>
      <c r="I16" s="823">
        <f ca="1">IFERROR(__xludf.DUMMYFUNCTION("""COMPUTED_VALUE"""),4)</f>
        <v>4</v>
      </c>
      <c r="J16" s="823">
        <f ca="1">IFERROR(__xludf.DUMMYFUNCTION("""COMPUTED_VALUE"""),3)</f>
        <v>3</v>
      </c>
      <c r="K16" s="823">
        <f ca="1">IFERROR(__xludf.DUMMYFUNCTION("""COMPUTED_VALUE"""),5)</f>
        <v>5</v>
      </c>
      <c r="L16" s="823">
        <f ca="1">IFERROR(__xludf.DUMMYFUNCTION("""COMPUTED_VALUE"""),4)</f>
        <v>4</v>
      </c>
      <c r="M16" s="823">
        <f ca="1">IFERROR(__xludf.DUMMYFUNCTION("""COMPUTED_VALUE"""),5)</f>
        <v>5</v>
      </c>
      <c r="N16" s="823">
        <f ca="1">IFERROR(__xludf.DUMMYFUNCTION("""COMPUTED_VALUE"""),4)</f>
        <v>4</v>
      </c>
      <c r="O16" s="823">
        <f ca="1">IFERROR(__xludf.DUMMYFUNCTION("""COMPUTED_VALUE"""),4)</f>
        <v>4</v>
      </c>
      <c r="P16" s="823">
        <f ca="1">IFERROR(__xludf.DUMMYFUNCTION("""COMPUTED_VALUE"""),5)</f>
        <v>5</v>
      </c>
      <c r="Q16" s="823">
        <f ca="1">IFERROR(__xludf.DUMMYFUNCTION("""COMPUTED_VALUE"""),3)</f>
        <v>3</v>
      </c>
      <c r="R16" s="823">
        <f ca="1">IFERROR(__xludf.DUMMYFUNCTION("""COMPUTED_VALUE"""),4)</f>
        <v>4</v>
      </c>
      <c r="S16" s="823">
        <f ca="1">IFERROR(__xludf.DUMMYFUNCTION("""COMPUTED_VALUE"""),3)</f>
        <v>3</v>
      </c>
      <c r="T16" s="823">
        <f ca="1">IFERROR(__xludf.DUMMYFUNCTION("""COMPUTED_VALUE"""),4)</f>
        <v>4</v>
      </c>
      <c r="U16" s="823">
        <f ca="1">IFERROR(__xludf.DUMMYFUNCTION("""COMPUTED_VALUE"""),4)</f>
        <v>4</v>
      </c>
      <c r="V16" s="823">
        <f ca="1">IFERROR(__xludf.DUMMYFUNCTION("""COMPUTED_VALUE"""),4)</f>
        <v>4</v>
      </c>
      <c r="W16" s="823">
        <f ca="1">IFERROR(__xludf.DUMMYFUNCTION("""COMPUTED_VALUE"""),5)</f>
        <v>5</v>
      </c>
      <c r="X16" s="820"/>
      <c r="Y16" s="820"/>
      <c r="Z16" s="820"/>
      <c r="AA16" s="823"/>
      <c r="AB16" s="533"/>
      <c r="AC16" s="533"/>
      <c r="AD16" s="533"/>
      <c r="AE16" s="533"/>
      <c r="AF16" s="533"/>
      <c r="AG16" s="533"/>
      <c r="AH16" s="533"/>
      <c r="AI16" s="533"/>
      <c r="AJ16" s="533"/>
      <c r="AK16" s="533"/>
      <c r="AL16" s="533"/>
      <c r="AM16" s="533"/>
      <c r="AN16" s="533"/>
      <c r="AO16" s="533"/>
      <c r="AP16" s="533"/>
      <c r="AQ16" s="533"/>
      <c r="AR16" s="533"/>
      <c r="AS16" s="533"/>
      <c r="AT16" s="533"/>
    </row>
    <row r="17" spans="1:46">
      <c r="A17" s="821" t="str">
        <f ca="1">IFERROR(__xludf.DUMMYFUNCTION("""COMPUTED_VALUE"""),"The Dream - Blue")</f>
        <v>The Dream - Blue</v>
      </c>
      <c r="B17" s="822">
        <f ca="1">IFERROR(__xludf.DUMMYFUNCTION("""COMPUTED_VALUE"""),71)</f>
        <v>71</v>
      </c>
      <c r="C17" s="821">
        <f ca="1">IFERROR(__xludf.DUMMYFUNCTION("""COMPUTED_VALUE"""),128)</f>
        <v>128</v>
      </c>
      <c r="D17" s="821">
        <f ca="1">IFERROR(__xludf.DUMMYFUNCTION("""COMPUTED_VALUE"""),6322)</f>
        <v>6322</v>
      </c>
      <c r="E17" s="823" t="str">
        <f ca="1">IFERROR(__xludf.DUMMYFUNCTION("""COMPUTED_VALUE"""),"Handicap")</f>
        <v>Handicap</v>
      </c>
      <c r="F17" s="823">
        <f ca="1">IFERROR(__xludf.DUMMYFUNCTION("""COMPUTED_VALUE"""),9)</f>
        <v>9</v>
      </c>
      <c r="G17" s="823">
        <f ca="1">IFERROR(__xludf.DUMMYFUNCTION("""COMPUTED_VALUE"""),7)</f>
        <v>7</v>
      </c>
      <c r="H17" s="823">
        <f ca="1">IFERROR(__xludf.DUMMYFUNCTION("""COMPUTED_VALUE"""),5)</f>
        <v>5</v>
      </c>
      <c r="I17" s="823">
        <f ca="1">IFERROR(__xludf.DUMMYFUNCTION("""COMPUTED_VALUE"""),3)</f>
        <v>3</v>
      </c>
      <c r="J17" s="823">
        <f ca="1">IFERROR(__xludf.DUMMYFUNCTION("""COMPUTED_VALUE"""),13)</f>
        <v>13</v>
      </c>
      <c r="K17" s="823">
        <f ca="1">IFERROR(__xludf.DUMMYFUNCTION("""COMPUTED_VALUE"""),11)</f>
        <v>11</v>
      </c>
      <c r="L17" s="823">
        <f ca="1">IFERROR(__xludf.DUMMYFUNCTION("""COMPUTED_VALUE"""),15)</f>
        <v>15</v>
      </c>
      <c r="M17" s="823">
        <f ca="1">IFERROR(__xludf.DUMMYFUNCTION("""COMPUTED_VALUE"""),17)</f>
        <v>17</v>
      </c>
      <c r="N17" s="823">
        <f ca="1">IFERROR(__xludf.DUMMYFUNCTION("""COMPUTED_VALUE"""),1)</f>
        <v>1</v>
      </c>
      <c r="O17" s="823">
        <f ca="1">IFERROR(__xludf.DUMMYFUNCTION("""COMPUTED_VALUE"""),12)</f>
        <v>12</v>
      </c>
      <c r="P17" s="823">
        <f ca="1">IFERROR(__xludf.DUMMYFUNCTION("""COMPUTED_VALUE"""),10)</f>
        <v>10</v>
      </c>
      <c r="Q17" s="823">
        <f ca="1">IFERROR(__xludf.DUMMYFUNCTION("""COMPUTED_VALUE"""),16)</f>
        <v>16</v>
      </c>
      <c r="R17" s="823">
        <f ca="1">IFERROR(__xludf.DUMMYFUNCTION("""COMPUTED_VALUE"""),6)</f>
        <v>6</v>
      </c>
      <c r="S17" s="823">
        <f ca="1">IFERROR(__xludf.DUMMYFUNCTION("""COMPUTED_VALUE"""),14)</f>
        <v>14</v>
      </c>
      <c r="T17" s="823">
        <f ca="1">IFERROR(__xludf.DUMMYFUNCTION("""COMPUTED_VALUE"""),4)</f>
        <v>4</v>
      </c>
      <c r="U17" s="823">
        <f ca="1">IFERROR(__xludf.DUMMYFUNCTION("""COMPUTED_VALUE"""),8)</f>
        <v>8</v>
      </c>
      <c r="V17" s="823">
        <f ca="1">IFERROR(__xludf.DUMMYFUNCTION("""COMPUTED_VALUE"""),18)</f>
        <v>18</v>
      </c>
      <c r="W17" s="823">
        <f ca="1">IFERROR(__xludf.DUMMYFUNCTION("""COMPUTED_VALUE"""),2)</f>
        <v>2</v>
      </c>
      <c r="X17" s="820"/>
      <c r="Y17" s="820"/>
      <c r="Z17" s="820"/>
      <c r="AA17" s="823"/>
      <c r="AB17" s="533"/>
      <c r="AC17" s="533"/>
      <c r="AD17" s="533"/>
      <c r="AE17" s="533"/>
      <c r="AF17" s="533"/>
      <c r="AG17" s="533"/>
      <c r="AH17" s="533"/>
      <c r="AI17" s="533"/>
      <c r="AJ17" s="533"/>
      <c r="AK17" s="533"/>
      <c r="AL17" s="533"/>
      <c r="AM17" s="533"/>
      <c r="AN17" s="533"/>
      <c r="AO17" s="533"/>
      <c r="AP17" s="533"/>
      <c r="AQ17" s="533"/>
      <c r="AR17" s="533"/>
      <c r="AS17" s="533"/>
      <c r="AT17" s="533"/>
    </row>
    <row r="18" spans="1:46">
      <c r="A18" s="821"/>
      <c r="B18" s="822"/>
      <c r="C18" s="821"/>
      <c r="D18" s="821"/>
      <c r="E18" s="823" t="str">
        <f ca="1">IFERROR(__xludf.DUMMYFUNCTION("""COMPUTED_VALUE"""),"Par")</f>
        <v>Par</v>
      </c>
      <c r="F18" s="823">
        <f ca="1">IFERROR(__xludf.DUMMYFUNCTION("""COMPUTED_VALUE"""),5)</f>
        <v>5</v>
      </c>
      <c r="G18" s="823">
        <f ca="1">IFERROR(__xludf.DUMMYFUNCTION("""COMPUTED_VALUE"""),4)</f>
        <v>4</v>
      </c>
      <c r="H18" s="823">
        <f ca="1">IFERROR(__xludf.DUMMYFUNCTION("""COMPUTED_VALUE"""),4)</f>
        <v>4</v>
      </c>
      <c r="I18" s="823">
        <f ca="1">IFERROR(__xludf.DUMMYFUNCTION("""COMPUTED_VALUE"""),4)</f>
        <v>4</v>
      </c>
      <c r="J18" s="823">
        <f ca="1">IFERROR(__xludf.DUMMYFUNCTION("""COMPUTED_VALUE"""),3)</f>
        <v>3</v>
      </c>
      <c r="K18" s="823">
        <f ca="1">IFERROR(__xludf.DUMMYFUNCTION("""COMPUTED_VALUE"""),4)</f>
        <v>4</v>
      </c>
      <c r="L18" s="823">
        <f ca="1">IFERROR(__xludf.DUMMYFUNCTION("""COMPUTED_VALUE"""),4)</f>
        <v>4</v>
      </c>
      <c r="M18" s="823">
        <f ca="1">IFERROR(__xludf.DUMMYFUNCTION("""COMPUTED_VALUE"""),3)</f>
        <v>3</v>
      </c>
      <c r="N18" s="823">
        <f ca="1">IFERROR(__xludf.DUMMYFUNCTION("""COMPUTED_VALUE"""),5)</f>
        <v>5</v>
      </c>
      <c r="O18" s="823">
        <f ca="1">IFERROR(__xludf.DUMMYFUNCTION("""COMPUTED_VALUE"""),4)</f>
        <v>4</v>
      </c>
      <c r="P18" s="823">
        <f ca="1">IFERROR(__xludf.DUMMYFUNCTION("""COMPUTED_VALUE"""),5)</f>
        <v>5</v>
      </c>
      <c r="Q18" s="823">
        <f ca="1">IFERROR(__xludf.DUMMYFUNCTION("""COMPUTED_VALUE"""),3)</f>
        <v>3</v>
      </c>
      <c r="R18" s="823">
        <f ca="1">IFERROR(__xludf.DUMMYFUNCTION("""COMPUTED_VALUE"""),4)</f>
        <v>4</v>
      </c>
      <c r="S18" s="823">
        <f ca="1">IFERROR(__xludf.DUMMYFUNCTION("""COMPUTED_VALUE"""),4)</f>
        <v>4</v>
      </c>
      <c r="T18" s="823">
        <f ca="1">IFERROR(__xludf.DUMMYFUNCTION("""COMPUTED_VALUE"""),4)</f>
        <v>4</v>
      </c>
      <c r="U18" s="823">
        <f ca="1">IFERROR(__xludf.DUMMYFUNCTION("""COMPUTED_VALUE"""),5)</f>
        <v>5</v>
      </c>
      <c r="V18" s="823">
        <f ca="1">IFERROR(__xludf.DUMMYFUNCTION("""COMPUTED_VALUE"""),3)</f>
        <v>3</v>
      </c>
      <c r="W18" s="823">
        <f ca="1">IFERROR(__xludf.DUMMYFUNCTION("""COMPUTED_VALUE"""),4)</f>
        <v>4</v>
      </c>
      <c r="X18" s="820"/>
      <c r="Y18" s="820"/>
      <c r="Z18" s="820"/>
      <c r="AA18" s="823"/>
      <c r="AB18" s="533"/>
      <c r="AC18" s="533"/>
      <c r="AD18" s="533"/>
      <c r="AE18" s="533"/>
      <c r="AF18" s="533"/>
      <c r="AG18" s="533"/>
      <c r="AH18" s="533"/>
      <c r="AI18" s="533"/>
      <c r="AJ18" s="533"/>
      <c r="AK18" s="533"/>
      <c r="AL18" s="533"/>
      <c r="AM18" s="533"/>
      <c r="AN18" s="533"/>
      <c r="AO18" s="533"/>
      <c r="AP18" s="533"/>
      <c r="AQ18" s="533"/>
      <c r="AR18" s="533"/>
      <c r="AS18" s="533"/>
      <c r="AT18" s="533"/>
    </row>
    <row r="19" spans="1:46">
      <c r="A19" s="821" t="str">
        <f ca="1">IFERROR(__xludf.DUMMYFUNCTION("""COMPUTED_VALUE"""),"Forest Dunes - ii/iii")</f>
        <v>Forest Dunes - ii/iii</v>
      </c>
      <c r="B19" s="822">
        <f ca="1">IFERROR(__xludf.DUMMYFUNCTION("""COMPUTED_VALUE"""),71.3)</f>
        <v>71.3</v>
      </c>
      <c r="C19" s="821">
        <f ca="1">IFERROR(__xludf.DUMMYFUNCTION("""COMPUTED_VALUE"""),140)</f>
        <v>140</v>
      </c>
      <c r="D19" s="821">
        <f ca="1">IFERROR(__xludf.DUMMYFUNCTION("""COMPUTED_VALUE"""),6334)</f>
        <v>6334</v>
      </c>
      <c r="E19" s="823" t="str">
        <f ca="1">IFERROR(__xludf.DUMMYFUNCTION("""COMPUTED_VALUE"""),"Handicap")</f>
        <v>Handicap</v>
      </c>
      <c r="F19" s="823">
        <f ca="1">IFERROR(__xludf.DUMMYFUNCTION("""COMPUTED_VALUE"""),15)</f>
        <v>15</v>
      </c>
      <c r="G19" s="823">
        <f ca="1">IFERROR(__xludf.DUMMYFUNCTION("""COMPUTED_VALUE"""),1)</f>
        <v>1</v>
      </c>
      <c r="H19" s="823">
        <f ca="1">IFERROR(__xludf.DUMMYFUNCTION("""COMPUTED_VALUE"""),13)</f>
        <v>13</v>
      </c>
      <c r="I19" s="823">
        <f ca="1">IFERROR(__xludf.DUMMYFUNCTION("""COMPUTED_VALUE"""),9)</f>
        <v>9</v>
      </c>
      <c r="J19" s="823">
        <f ca="1">IFERROR(__xludf.DUMMYFUNCTION("""COMPUTED_VALUE"""),5)</f>
        <v>5</v>
      </c>
      <c r="K19" s="823">
        <f ca="1">IFERROR(__xludf.DUMMYFUNCTION("""COMPUTED_VALUE"""),11)</f>
        <v>11</v>
      </c>
      <c r="L19" s="823">
        <f ca="1">IFERROR(__xludf.DUMMYFUNCTION("""COMPUTED_VALUE"""),7)</f>
        <v>7</v>
      </c>
      <c r="M19" s="823">
        <f ca="1">IFERROR(__xludf.DUMMYFUNCTION("""COMPUTED_VALUE"""),3)</f>
        <v>3</v>
      </c>
      <c r="N19" s="823">
        <f ca="1">IFERROR(__xludf.DUMMYFUNCTION("""COMPUTED_VALUE"""),17)</f>
        <v>17</v>
      </c>
      <c r="O19" s="823">
        <f ca="1">IFERROR(__xludf.DUMMYFUNCTION("""COMPUTED_VALUE"""),4)</f>
        <v>4</v>
      </c>
      <c r="P19" s="823">
        <f ca="1">IFERROR(__xludf.DUMMYFUNCTION("""COMPUTED_VALUE"""),18)</f>
        <v>18</v>
      </c>
      <c r="Q19" s="823">
        <f ca="1">IFERROR(__xludf.DUMMYFUNCTION("""COMPUTED_VALUE"""),10)</f>
        <v>10</v>
      </c>
      <c r="R19" s="823">
        <f ca="1">IFERROR(__xludf.DUMMYFUNCTION("""COMPUTED_VALUE"""),14)</f>
        <v>14</v>
      </c>
      <c r="S19" s="823">
        <f ca="1">IFERROR(__xludf.DUMMYFUNCTION("""COMPUTED_VALUE"""),2)</f>
        <v>2</v>
      </c>
      <c r="T19" s="823">
        <f ca="1">IFERROR(__xludf.DUMMYFUNCTION("""COMPUTED_VALUE"""),6)</f>
        <v>6</v>
      </c>
      <c r="U19" s="823">
        <f ca="1">IFERROR(__xludf.DUMMYFUNCTION("""COMPUTED_VALUE"""),8)</f>
        <v>8</v>
      </c>
      <c r="V19" s="823">
        <f ca="1">IFERROR(__xludf.DUMMYFUNCTION("""COMPUTED_VALUE"""),16)</f>
        <v>16</v>
      </c>
      <c r="W19" s="823">
        <f ca="1">IFERROR(__xludf.DUMMYFUNCTION("""COMPUTED_VALUE"""),12)</f>
        <v>12</v>
      </c>
      <c r="X19" s="820"/>
      <c r="Y19" s="820"/>
      <c r="Z19" s="820"/>
      <c r="AA19" s="823"/>
      <c r="AB19" s="533"/>
      <c r="AC19" s="533"/>
      <c r="AD19" s="533"/>
      <c r="AE19" s="533"/>
      <c r="AF19" s="533"/>
      <c r="AG19" s="533"/>
      <c r="AH19" s="533"/>
      <c r="AI19" s="533"/>
      <c r="AJ19" s="533"/>
      <c r="AK19" s="533"/>
      <c r="AL19" s="533"/>
      <c r="AM19" s="533"/>
      <c r="AN19" s="533"/>
      <c r="AO19" s="533"/>
      <c r="AP19" s="533"/>
      <c r="AQ19" s="533"/>
      <c r="AR19" s="533"/>
      <c r="AS19" s="533"/>
      <c r="AT19" s="533"/>
    </row>
    <row r="20" spans="1:46">
      <c r="A20" s="821"/>
      <c r="B20" s="822"/>
      <c r="C20" s="821"/>
      <c r="D20" s="821"/>
      <c r="E20" s="823" t="str">
        <f ca="1">IFERROR(__xludf.DUMMYFUNCTION("""COMPUTED_VALUE"""),"Par")</f>
        <v>Par</v>
      </c>
      <c r="F20" s="823">
        <f ca="1">IFERROR(__xludf.DUMMYFUNCTION("""COMPUTED_VALUE"""),4)</f>
        <v>4</v>
      </c>
      <c r="G20" s="823">
        <f ca="1">IFERROR(__xludf.DUMMYFUNCTION("""COMPUTED_VALUE"""),4)</f>
        <v>4</v>
      </c>
      <c r="H20" s="823">
        <f ca="1">IFERROR(__xludf.DUMMYFUNCTION("""COMPUTED_VALUE"""),3)</f>
        <v>3</v>
      </c>
      <c r="I20" s="823">
        <f ca="1">IFERROR(__xludf.DUMMYFUNCTION("""COMPUTED_VALUE"""),4)</f>
        <v>4</v>
      </c>
      <c r="J20" s="823">
        <f ca="1">IFERROR(__xludf.DUMMYFUNCTION("""COMPUTED_VALUE"""),5)</f>
        <v>5</v>
      </c>
      <c r="K20" s="823">
        <f ca="1">IFERROR(__xludf.DUMMYFUNCTION("""COMPUTED_VALUE"""),4)</f>
        <v>4</v>
      </c>
      <c r="L20" s="823">
        <f ca="1">IFERROR(__xludf.DUMMYFUNCTION("""COMPUTED_VALUE"""),5)</f>
        <v>5</v>
      </c>
      <c r="M20" s="823">
        <f ca="1">IFERROR(__xludf.DUMMYFUNCTION("""COMPUTED_VALUE"""),4)</f>
        <v>4</v>
      </c>
      <c r="N20" s="823">
        <f ca="1">IFERROR(__xludf.DUMMYFUNCTION("""COMPUTED_VALUE"""),3)</f>
        <v>3</v>
      </c>
      <c r="O20" s="823">
        <f ca="1">IFERROR(__xludf.DUMMYFUNCTION("""COMPUTED_VALUE"""),4)</f>
        <v>4</v>
      </c>
      <c r="P20" s="823">
        <f ca="1">IFERROR(__xludf.DUMMYFUNCTION("""COMPUTED_VALUE"""),3)</f>
        <v>3</v>
      </c>
      <c r="Q20" s="823">
        <f ca="1">IFERROR(__xludf.DUMMYFUNCTION("""COMPUTED_VALUE"""),4)</f>
        <v>4</v>
      </c>
      <c r="R20" s="823">
        <f ca="1">IFERROR(__xludf.DUMMYFUNCTION("""COMPUTED_VALUE"""),4)</f>
        <v>4</v>
      </c>
      <c r="S20" s="823">
        <f ca="1">IFERROR(__xludf.DUMMYFUNCTION("""COMPUTED_VALUE"""),4)</f>
        <v>4</v>
      </c>
      <c r="T20" s="823">
        <f ca="1">IFERROR(__xludf.DUMMYFUNCTION("""COMPUTED_VALUE"""),5)</f>
        <v>5</v>
      </c>
      <c r="U20" s="823">
        <f ca="1">IFERROR(__xludf.DUMMYFUNCTION("""COMPUTED_VALUE"""),3)</f>
        <v>3</v>
      </c>
      <c r="V20" s="823">
        <f ca="1">IFERROR(__xludf.DUMMYFUNCTION("""COMPUTED_VALUE"""),4)</f>
        <v>4</v>
      </c>
      <c r="W20" s="823">
        <f ca="1">IFERROR(__xludf.DUMMYFUNCTION("""COMPUTED_VALUE"""),5)</f>
        <v>5</v>
      </c>
      <c r="X20" s="820"/>
      <c r="Y20" s="820"/>
      <c r="Z20" s="820"/>
      <c r="AA20" s="823"/>
      <c r="AB20" s="533"/>
      <c r="AC20" s="533"/>
      <c r="AD20" s="533"/>
      <c r="AE20" s="533"/>
      <c r="AF20" s="533"/>
      <c r="AG20" s="533"/>
      <c r="AH20" s="533"/>
      <c r="AI20" s="533"/>
      <c r="AJ20" s="533"/>
      <c r="AK20" s="533"/>
      <c r="AL20" s="533"/>
      <c r="AM20" s="533"/>
      <c r="AN20" s="533"/>
      <c r="AO20" s="533"/>
      <c r="AP20" s="533"/>
      <c r="AQ20" s="533"/>
      <c r="AR20" s="533"/>
      <c r="AS20" s="533"/>
      <c r="AT20" s="533"/>
    </row>
  </sheetData>
  <conditionalFormatting sqref="B3:B20">
    <cfRule type="colorScale" priority="2">
      <colorScale>
        <cfvo type="min"/>
        <cfvo type="percentile" val="50"/>
        <cfvo type="max"/>
        <color rgb="FF57BB8A"/>
        <color rgb="FFFFFFFF"/>
        <color rgb="FFE67C73"/>
      </colorScale>
    </cfRule>
  </conditionalFormatting>
  <conditionalFormatting sqref="C3:C20">
    <cfRule type="colorScale" priority="1">
      <colorScale>
        <cfvo type="min"/>
        <cfvo type="percentile" val="50"/>
        <cfvo type="max"/>
        <color rgb="FF57BB8A"/>
        <color rgb="FFFFFFFF"/>
        <color rgb="FFE67C73"/>
      </colorScale>
    </cfRule>
  </conditionalFormatting>
  <conditionalFormatting sqref="D3:D20">
    <cfRule type="colorScale" priority="3">
      <colorScale>
        <cfvo type="min"/>
        <cfvo type="percentile" val="50"/>
        <cfvo type="max"/>
        <color rgb="FF57BB8A"/>
        <color rgb="FFFFFFFF"/>
        <color rgb="FFE67C73"/>
      </colorScale>
    </cfRule>
  </conditionalFormatting>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outlinePr summaryBelow="0" summaryRight="0"/>
  </sheetPr>
  <dimension ref="A1:BJ95"/>
  <sheetViews>
    <sheetView workbookViewId="0"/>
  </sheetViews>
  <sheetFormatPr defaultColWidth="17.26953125" defaultRowHeight="15" customHeight="1"/>
  <cols>
    <col min="1" max="1" width="8.7265625" customWidth="1"/>
    <col min="2" max="2" width="3" customWidth="1"/>
    <col min="3" max="3" width="4.453125" customWidth="1"/>
    <col min="4" max="22" width="5" customWidth="1"/>
    <col min="23" max="24" width="3.54296875" customWidth="1"/>
    <col min="25" max="27" width="5.81640625" customWidth="1"/>
    <col min="28" max="28" width="2.26953125" customWidth="1"/>
    <col min="29" max="29" width="8.7265625" customWidth="1"/>
    <col min="30" max="30" width="3" customWidth="1"/>
    <col min="31" max="31" width="4.453125" customWidth="1"/>
    <col min="32" max="50" width="5" customWidth="1"/>
    <col min="51" max="52" width="3.54296875" customWidth="1"/>
    <col min="53" max="54" width="5.81640625" customWidth="1"/>
    <col min="55" max="55" width="2.26953125" customWidth="1"/>
    <col min="56" max="62" width="7.26953125" customWidth="1"/>
  </cols>
  <sheetData>
    <row r="1" spans="1:62" ht="14.25" customHeight="1">
      <c r="A1" s="824" t="s">
        <v>76</v>
      </c>
      <c r="B1" s="825"/>
      <c r="C1" s="825"/>
      <c r="D1" s="1214" t="str">
        <f>'Master Input'!$E$6</f>
        <v>Sundance - Blue</v>
      </c>
      <c r="E1" s="1149"/>
      <c r="F1" s="1149"/>
      <c r="G1" s="1149"/>
      <c r="H1" s="1149"/>
      <c r="I1" s="1149"/>
      <c r="J1" s="1149"/>
      <c r="K1" s="1149"/>
      <c r="L1" s="1149"/>
      <c r="M1" s="1149"/>
      <c r="N1" s="1149"/>
      <c r="O1" s="1149"/>
      <c r="P1" s="1149"/>
      <c r="Q1" s="1149"/>
      <c r="R1" s="1149"/>
      <c r="S1" s="1149"/>
      <c r="T1" s="1149"/>
      <c r="U1" s="1149"/>
      <c r="V1" s="1149"/>
      <c r="W1" s="1149"/>
      <c r="X1" s="1215"/>
      <c r="Y1" s="826">
        <f ca="1">VLOOKUP($D1, 'Course List'!$A$3:$C$14,2, FALSE)</f>
        <v>71.400000000000006</v>
      </c>
      <c r="Z1" s="827">
        <f ca="1">VLOOKUP($D1, 'Course List'!$A$3:$C$14,3, FALSE)</f>
        <v>131</v>
      </c>
      <c r="AA1" s="827"/>
      <c r="AB1" s="828"/>
      <c r="AC1" s="824" t="s">
        <v>76</v>
      </c>
      <c r="AD1" s="825"/>
      <c r="AE1" s="825"/>
      <c r="AF1" s="1216" t="str">
        <f>D1</f>
        <v>Sundance - Blue</v>
      </c>
      <c r="AG1" s="1149"/>
      <c r="AH1" s="1149"/>
      <c r="AI1" s="1149"/>
      <c r="AJ1" s="1149"/>
      <c r="AK1" s="1149"/>
      <c r="AL1" s="1149"/>
      <c r="AM1" s="1149"/>
      <c r="AN1" s="1149"/>
      <c r="AO1" s="1149"/>
      <c r="AP1" s="1149"/>
      <c r="AQ1" s="1149"/>
      <c r="AR1" s="1149"/>
      <c r="AS1" s="1149"/>
      <c r="AT1" s="1149"/>
      <c r="AU1" s="1149"/>
      <c r="AV1" s="1149"/>
      <c r="AW1" s="1149"/>
      <c r="AX1" s="1149"/>
      <c r="AY1" s="1149"/>
      <c r="AZ1" s="1215"/>
      <c r="BA1" s="826">
        <f t="shared" ref="BA1:BB1" ca="1" si="0">Y1</f>
        <v>71.400000000000006</v>
      </c>
      <c r="BB1" s="827">
        <f t="shared" ca="1" si="0"/>
        <v>131</v>
      </c>
      <c r="BC1" s="828"/>
      <c r="BD1" s="829"/>
      <c r="BE1" s="829"/>
      <c r="BF1" s="829"/>
      <c r="BG1" s="829"/>
      <c r="BH1" s="829"/>
      <c r="BI1" s="829"/>
      <c r="BJ1" s="829"/>
    </row>
    <row r="2" spans="1:62" ht="14.25" customHeight="1">
      <c r="A2" s="830" t="s">
        <v>184</v>
      </c>
      <c r="B2" s="829"/>
      <c r="C2" s="831"/>
      <c r="D2" s="832" t="s">
        <v>32</v>
      </c>
      <c r="E2" s="833">
        <v>1</v>
      </c>
      <c r="F2" s="834">
        <v>2</v>
      </c>
      <c r="G2" s="834">
        <v>3</v>
      </c>
      <c r="H2" s="834">
        <v>4</v>
      </c>
      <c r="I2" s="834">
        <v>5</v>
      </c>
      <c r="J2" s="834">
        <v>6</v>
      </c>
      <c r="K2" s="834">
        <v>7</v>
      </c>
      <c r="L2" s="834">
        <v>8</v>
      </c>
      <c r="M2" s="834">
        <v>9</v>
      </c>
      <c r="N2" s="835">
        <v>10</v>
      </c>
      <c r="O2" s="835">
        <v>11</v>
      </c>
      <c r="P2" s="835">
        <v>12</v>
      </c>
      <c r="Q2" s="835">
        <v>13</v>
      </c>
      <c r="R2" s="835">
        <v>14</v>
      </c>
      <c r="S2" s="835">
        <v>15</v>
      </c>
      <c r="T2" s="835">
        <v>16</v>
      </c>
      <c r="U2" s="835">
        <v>17</v>
      </c>
      <c r="V2" s="835">
        <v>18</v>
      </c>
      <c r="W2" s="836" t="s">
        <v>17</v>
      </c>
      <c r="X2" s="836" t="s">
        <v>18</v>
      </c>
      <c r="Y2" s="836" t="s">
        <v>14</v>
      </c>
      <c r="Z2" s="836" t="s">
        <v>19</v>
      </c>
      <c r="AA2" s="836" t="s">
        <v>185</v>
      </c>
      <c r="AB2" s="829"/>
      <c r="AC2" s="837" t="s">
        <v>19</v>
      </c>
      <c r="AD2" s="829"/>
      <c r="AE2" s="831"/>
      <c r="AF2" s="832" t="s">
        <v>32</v>
      </c>
      <c r="AG2" s="833">
        <v>1</v>
      </c>
      <c r="AH2" s="834">
        <v>2</v>
      </c>
      <c r="AI2" s="834">
        <v>3</v>
      </c>
      <c r="AJ2" s="834">
        <v>4</v>
      </c>
      <c r="AK2" s="834">
        <v>5</v>
      </c>
      <c r="AL2" s="834">
        <v>6</v>
      </c>
      <c r="AM2" s="834">
        <v>7</v>
      </c>
      <c r="AN2" s="834">
        <v>8</v>
      </c>
      <c r="AO2" s="834">
        <v>9</v>
      </c>
      <c r="AP2" s="835">
        <v>10</v>
      </c>
      <c r="AQ2" s="835">
        <v>11</v>
      </c>
      <c r="AR2" s="835">
        <v>12</v>
      </c>
      <c r="AS2" s="835">
        <v>13</v>
      </c>
      <c r="AT2" s="835">
        <v>14</v>
      </c>
      <c r="AU2" s="835">
        <v>15</v>
      </c>
      <c r="AV2" s="835">
        <v>16</v>
      </c>
      <c r="AW2" s="835">
        <v>17</v>
      </c>
      <c r="AX2" s="835">
        <v>18</v>
      </c>
      <c r="AY2" s="836" t="s">
        <v>17</v>
      </c>
      <c r="AZ2" s="836" t="s">
        <v>18</v>
      </c>
      <c r="BA2" s="836" t="s">
        <v>14</v>
      </c>
      <c r="BB2" s="836" t="s">
        <v>186</v>
      </c>
      <c r="BC2" s="838"/>
      <c r="BD2" s="829"/>
      <c r="BE2" s="829"/>
      <c r="BF2" s="829"/>
      <c r="BG2" s="829"/>
      <c r="BH2" s="829"/>
      <c r="BI2" s="829"/>
      <c r="BJ2" s="829"/>
    </row>
    <row r="3" spans="1:62" ht="14.25" customHeight="1">
      <c r="A3" s="839"/>
      <c r="B3" s="829"/>
      <c r="C3" s="840">
        <v>5</v>
      </c>
      <c r="D3" s="832" t="s">
        <v>105</v>
      </c>
      <c r="E3" s="841">
        <f ca="1">VLOOKUP($D1, 'Course List'!$A$3:$AS$14,5+E2, FALSE)</f>
        <v>14</v>
      </c>
      <c r="F3" s="841">
        <f ca="1">VLOOKUP($D1, 'Course List'!$A$3:$AS$14,5+F2, FALSE)</f>
        <v>16</v>
      </c>
      <c r="G3" s="841">
        <f ca="1">VLOOKUP($D1, 'Course List'!$A$3:$AS$14,5+G2, FALSE)</f>
        <v>11</v>
      </c>
      <c r="H3" s="841">
        <f ca="1">VLOOKUP($D1, 'Course List'!$A$3:$AS$14,5+H2, FALSE)</f>
        <v>12</v>
      </c>
      <c r="I3" s="841">
        <f ca="1">VLOOKUP($D1, 'Course List'!$A$3:$AS$14,5+I2, FALSE)</f>
        <v>6</v>
      </c>
      <c r="J3" s="841">
        <f ca="1">VLOOKUP($D1, 'Course List'!$A$3:$AS$14,5+J2, FALSE)</f>
        <v>8</v>
      </c>
      <c r="K3" s="841">
        <f ca="1">VLOOKUP($D1, 'Course List'!$A$3:$AS$14,5+K2, FALSE)</f>
        <v>17</v>
      </c>
      <c r="L3" s="841">
        <f ca="1">VLOOKUP($D1, 'Course List'!$A$3:$AS$14,5+L2, FALSE)</f>
        <v>5</v>
      </c>
      <c r="M3" s="841">
        <f ca="1">VLOOKUP($D1, 'Course List'!$A$3:$AS$14,5+M2, FALSE)</f>
        <v>2</v>
      </c>
      <c r="N3" s="842">
        <f ca="1">VLOOKUP($D1, 'Course List'!$A$3:$AS$14,5+N2, FALSE)</f>
        <v>9</v>
      </c>
      <c r="O3" s="842">
        <f ca="1">VLOOKUP($D1, 'Course List'!$A$3:$AS$14,5+O2, FALSE)</f>
        <v>13</v>
      </c>
      <c r="P3" s="842">
        <f ca="1">VLOOKUP($D1, 'Course List'!$A$3:$AS$14,5+P2, FALSE)</f>
        <v>4</v>
      </c>
      <c r="Q3" s="842">
        <f ca="1">VLOOKUP($D1, 'Course List'!$A$3:$AS$14,5+Q2, FALSE)</f>
        <v>18</v>
      </c>
      <c r="R3" s="842">
        <f ca="1">VLOOKUP($D1, 'Course List'!$A$3:$AS$14,5+R2, FALSE)</f>
        <v>7</v>
      </c>
      <c r="S3" s="842">
        <f ca="1">VLOOKUP($D1, 'Course List'!$A$3:$AS$14,5+S2, FALSE)</f>
        <v>3</v>
      </c>
      <c r="T3" s="842">
        <f ca="1">VLOOKUP($D1, 'Course List'!$A$3:$AS$14,5+T2, FALSE)</f>
        <v>10</v>
      </c>
      <c r="U3" s="842">
        <f ca="1">VLOOKUP($D1, 'Course List'!$A$3:$AS$14,5+U2, FALSE)</f>
        <v>15</v>
      </c>
      <c r="V3" s="842">
        <f ca="1">VLOOKUP($D1, 'Course List'!$A$3:$AS$14,5+V2, FALSE)</f>
        <v>1</v>
      </c>
      <c r="W3" s="843"/>
      <c r="X3" s="843"/>
      <c r="Y3" s="843"/>
      <c r="Z3" s="843"/>
      <c r="AA3" s="843"/>
      <c r="AB3" s="844"/>
      <c r="AC3" s="839"/>
      <c r="AD3" s="829"/>
      <c r="AE3" s="840">
        <v>5</v>
      </c>
      <c r="AF3" s="832" t="s">
        <v>105</v>
      </c>
      <c r="AG3" s="841">
        <f t="shared" ref="AG3:AX3" ca="1" si="1">E3</f>
        <v>14</v>
      </c>
      <c r="AH3" s="841">
        <f t="shared" ca="1" si="1"/>
        <v>16</v>
      </c>
      <c r="AI3" s="841">
        <f t="shared" ca="1" si="1"/>
        <v>11</v>
      </c>
      <c r="AJ3" s="841">
        <f t="shared" ca="1" si="1"/>
        <v>12</v>
      </c>
      <c r="AK3" s="841">
        <f t="shared" ca="1" si="1"/>
        <v>6</v>
      </c>
      <c r="AL3" s="841">
        <f t="shared" ca="1" si="1"/>
        <v>8</v>
      </c>
      <c r="AM3" s="841">
        <f t="shared" ca="1" si="1"/>
        <v>17</v>
      </c>
      <c r="AN3" s="841">
        <f t="shared" ca="1" si="1"/>
        <v>5</v>
      </c>
      <c r="AO3" s="841">
        <f t="shared" ca="1" si="1"/>
        <v>2</v>
      </c>
      <c r="AP3" s="842">
        <f t="shared" ca="1" si="1"/>
        <v>9</v>
      </c>
      <c r="AQ3" s="842">
        <f t="shared" ca="1" si="1"/>
        <v>13</v>
      </c>
      <c r="AR3" s="842">
        <f t="shared" ca="1" si="1"/>
        <v>4</v>
      </c>
      <c r="AS3" s="842">
        <f t="shared" ca="1" si="1"/>
        <v>18</v>
      </c>
      <c r="AT3" s="842">
        <f t="shared" ca="1" si="1"/>
        <v>7</v>
      </c>
      <c r="AU3" s="842">
        <f t="shared" ca="1" si="1"/>
        <v>3</v>
      </c>
      <c r="AV3" s="842">
        <f t="shared" ca="1" si="1"/>
        <v>10</v>
      </c>
      <c r="AW3" s="842">
        <f t="shared" ca="1" si="1"/>
        <v>15</v>
      </c>
      <c r="AX3" s="842">
        <f t="shared" ca="1" si="1"/>
        <v>1</v>
      </c>
      <c r="AY3" s="843"/>
      <c r="AZ3" s="843"/>
      <c r="BA3" s="843"/>
      <c r="BB3" s="843"/>
      <c r="BC3" s="844"/>
      <c r="BD3" s="845" t="s">
        <v>187</v>
      </c>
      <c r="BE3" s="846" t="s">
        <v>35</v>
      </c>
      <c r="BF3" s="846"/>
      <c r="BG3" s="846"/>
      <c r="BH3" s="846"/>
      <c r="BI3" s="846"/>
      <c r="BJ3" s="846"/>
    </row>
    <row r="4" spans="1:62" ht="14.25" customHeight="1">
      <c r="A4" s="847" t="s">
        <v>23</v>
      </c>
      <c r="B4" s="847" t="s">
        <v>188</v>
      </c>
      <c r="C4" s="848" t="s">
        <v>189</v>
      </c>
      <c r="D4" s="832" t="s">
        <v>183</v>
      </c>
      <c r="E4" s="841">
        <f ca="1">VLOOKUP($D1, 'Course List'!$A$3:$AS$14,27+E2, FALSE)</f>
        <v>4</v>
      </c>
      <c r="F4" s="841">
        <f ca="1">VLOOKUP($D1, 'Course List'!$A$3:$AS$14,27+F2, FALSE)</f>
        <v>4</v>
      </c>
      <c r="G4" s="841">
        <f ca="1">VLOOKUP($D1, 'Course List'!$A$3:$AS$14,27+G2, FALSE)</f>
        <v>3</v>
      </c>
      <c r="H4" s="841">
        <f ca="1">VLOOKUP($D1, 'Course List'!$A$3:$AS$14,27+H2, FALSE)</f>
        <v>4</v>
      </c>
      <c r="I4" s="841">
        <f ca="1">VLOOKUP($D1, 'Course List'!$A$3:$AS$14,27+I2, FALSE)</f>
        <v>4</v>
      </c>
      <c r="J4" s="841">
        <f ca="1">VLOOKUP($D1, 'Course List'!$A$3:$AS$14,27+J2, FALSE)</f>
        <v>5</v>
      </c>
      <c r="K4" s="841">
        <f ca="1">VLOOKUP($D1, 'Course List'!$A$3:$AS$14,27+K2, FALSE)</f>
        <v>4</v>
      </c>
      <c r="L4" s="841">
        <f ca="1">VLOOKUP($D1, 'Course List'!$A$3:$AS$14,27+L2, FALSE)</f>
        <v>3</v>
      </c>
      <c r="M4" s="841">
        <f ca="1">VLOOKUP($D1, 'Course List'!$A$3:$AS$14,27+M2, FALSE)</f>
        <v>5</v>
      </c>
      <c r="N4" s="842">
        <f ca="1">VLOOKUP($D1, 'Course List'!$A$3:$AS$14,27+N2, FALSE)</f>
        <v>4</v>
      </c>
      <c r="O4" s="842">
        <f ca="1">VLOOKUP($D1, 'Course List'!$A$3:$AS$14,27+O2, FALSE)</f>
        <v>4</v>
      </c>
      <c r="P4" s="842">
        <f ca="1">VLOOKUP($D1, 'Course List'!$A$3:$AS$14,27+P2, FALSE)</f>
        <v>4</v>
      </c>
      <c r="Q4" s="842">
        <f ca="1">VLOOKUP($D1, 'Course List'!$A$3:$AS$14,27+Q2, FALSE)</f>
        <v>3</v>
      </c>
      <c r="R4" s="842">
        <f ca="1">VLOOKUP($D1, 'Course List'!$A$3:$AS$14,27+R2, FALSE)</f>
        <v>5</v>
      </c>
      <c r="S4" s="842">
        <f ca="1">VLOOKUP($D1, 'Course List'!$A$3:$AS$14,27+S2, FALSE)</f>
        <v>4</v>
      </c>
      <c r="T4" s="842">
        <f ca="1">VLOOKUP($D1, 'Course List'!$A$3:$AS$14,27+T2, FALSE)</f>
        <v>5</v>
      </c>
      <c r="U4" s="842">
        <f ca="1">VLOOKUP($D1, 'Course List'!$A$3:$AS$14,27+U2, FALSE)</f>
        <v>3</v>
      </c>
      <c r="V4" s="842">
        <f ca="1">VLOOKUP($D1, 'Course List'!$A$3:$AS$14,27+V2, FALSE)</f>
        <v>4</v>
      </c>
      <c r="W4" s="836">
        <f t="shared" ref="W4:W20" ca="1" si="2">SUM(E4:M4)</f>
        <v>36</v>
      </c>
      <c r="X4" s="836">
        <f t="shared" ref="X4:X20" ca="1" si="3">SUM(N4:V4)</f>
        <v>36</v>
      </c>
      <c r="Y4" s="836">
        <f ca="1">W4+X4</f>
        <v>72</v>
      </c>
      <c r="Z4" s="836"/>
      <c r="AA4" s="836"/>
      <c r="AB4" s="838"/>
      <c r="AC4" s="847" t="s">
        <v>23</v>
      </c>
      <c r="AD4" s="847" t="s">
        <v>188</v>
      </c>
      <c r="AE4" s="848" t="s">
        <v>190</v>
      </c>
      <c r="AF4" s="832" t="s">
        <v>183</v>
      </c>
      <c r="AG4" s="841">
        <f t="shared" ref="AG4:AX4" ca="1" si="4">E4</f>
        <v>4</v>
      </c>
      <c r="AH4" s="841">
        <f t="shared" ca="1" si="4"/>
        <v>4</v>
      </c>
      <c r="AI4" s="841">
        <f t="shared" ca="1" si="4"/>
        <v>3</v>
      </c>
      <c r="AJ4" s="841">
        <f t="shared" ca="1" si="4"/>
        <v>4</v>
      </c>
      <c r="AK4" s="841">
        <f t="shared" ca="1" si="4"/>
        <v>4</v>
      </c>
      <c r="AL4" s="841">
        <f t="shared" ca="1" si="4"/>
        <v>5</v>
      </c>
      <c r="AM4" s="841">
        <f t="shared" ca="1" si="4"/>
        <v>4</v>
      </c>
      <c r="AN4" s="841">
        <f t="shared" ca="1" si="4"/>
        <v>3</v>
      </c>
      <c r="AO4" s="841">
        <f t="shared" ca="1" si="4"/>
        <v>5</v>
      </c>
      <c r="AP4" s="842">
        <f t="shared" ca="1" si="4"/>
        <v>4</v>
      </c>
      <c r="AQ4" s="842">
        <f t="shared" ca="1" si="4"/>
        <v>4</v>
      </c>
      <c r="AR4" s="842">
        <f t="shared" ca="1" si="4"/>
        <v>4</v>
      </c>
      <c r="AS4" s="842">
        <f t="shared" ca="1" si="4"/>
        <v>3</v>
      </c>
      <c r="AT4" s="842">
        <f t="shared" ca="1" si="4"/>
        <v>5</v>
      </c>
      <c r="AU4" s="842">
        <f t="shared" ca="1" si="4"/>
        <v>4</v>
      </c>
      <c r="AV4" s="842">
        <f t="shared" ca="1" si="4"/>
        <v>5</v>
      </c>
      <c r="AW4" s="842">
        <f t="shared" ca="1" si="4"/>
        <v>3</v>
      </c>
      <c r="AX4" s="842">
        <f t="shared" ca="1" si="4"/>
        <v>4</v>
      </c>
      <c r="AY4" s="836">
        <f t="shared" ref="AY4:AY20" ca="1" si="5">SUM(AG4:AO4)</f>
        <v>36</v>
      </c>
      <c r="AZ4" s="836">
        <f t="shared" ref="AZ4:AZ20" ca="1" si="6">SUM(AP4:AX4)</f>
        <v>36</v>
      </c>
      <c r="BA4" s="836">
        <f ca="1">AY4+AZ4</f>
        <v>72</v>
      </c>
      <c r="BB4" s="836"/>
      <c r="BC4" s="838"/>
      <c r="BD4" s="829" t="s">
        <v>191</v>
      </c>
      <c r="BE4" s="829" t="s">
        <v>192</v>
      </c>
      <c r="BF4" s="829" t="s">
        <v>193</v>
      </c>
      <c r="BG4" s="829" t="s">
        <v>194</v>
      </c>
      <c r="BH4" s="829" t="s">
        <v>195</v>
      </c>
      <c r="BI4" s="829" t="s">
        <v>196</v>
      </c>
      <c r="BJ4" s="829" t="s">
        <v>197</v>
      </c>
    </row>
    <row r="5" spans="1:62" ht="14.25" customHeight="1">
      <c r="A5" s="849" t="str">
        <f>'Master Input'!$A$11</f>
        <v>Telly</v>
      </c>
      <c r="B5" s="850">
        <f ca="1">VLOOKUP(A5,'Master Input'!$A$11:$L$27,6,FALSE)</f>
        <v>8</v>
      </c>
      <c r="C5" s="849">
        <f>VLOOKUP(A5,'Locked Bets Setup'!$A$5:$L$20,10,FALSE)</f>
        <v>0</v>
      </c>
      <c r="D5" s="851"/>
      <c r="E5" s="852">
        <f>IF(COUNTIF('R1_G1'!$A$8:$A$17,$A5)=1,VLOOKUP($A5,'R1_G1'!$A$8:$Y$17, E$2+4,FALSE),
IF(COUNTIF('R1_G2'!$A$8:$A$17,$A5)=1,VLOOKUP($A5,'R1_G2'!$A$8:$Y$17, E$2+4,FALSE),
IF(COUNTIF('R1_G3'!$A$8:$A$17,$A5)=1,VLOOKUP($A5,'R1_G3'!$A$8:$Y$17, E$2+4,FALSE),
IF(COUNTIF('R1_G4'!$A$8:$A$17,$A5)=1,VLOOKUP($A5,'R1_G4'!$A$8:$Y$17, E$2+4,FALSE),""))))</f>
        <v>5</v>
      </c>
      <c r="F5" s="852">
        <f>IF(COUNTIF('R1_G1'!$A$8:$A$17,$A5)=1,VLOOKUP($A5,'R1_G1'!$A$8:$Y$17, F$2+4,FALSE),
IF(COUNTIF('R1_G2'!$A$8:$A$17,$A5)=1,VLOOKUP($A5,'R1_G2'!$A$8:$Y$17, F$2+4,FALSE),
IF(COUNTIF('R1_G3'!$A$8:$A$17,$A5)=1,VLOOKUP($A5,'R1_G3'!$A$8:$Y$17, F$2+4,FALSE),
IF(COUNTIF('R1_G4'!$A$8:$A$17,$A5)=1,VLOOKUP($A5,'R1_G4'!$A$8:$Y$17, F$2+4,FALSE),""))))</f>
        <v>4</v>
      </c>
      <c r="G5" s="852">
        <f>IF(COUNTIF('R1_G1'!$A$8:$A$17,$A5)=1,VLOOKUP($A5,'R1_G1'!$A$8:$Y$17, G$2+4,FALSE),
IF(COUNTIF('R1_G2'!$A$8:$A$17,$A5)=1,VLOOKUP($A5,'R1_G2'!$A$8:$Y$17, G$2+4,FALSE),
IF(COUNTIF('R1_G3'!$A$8:$A$17,$A5)=1,VLOOKUP($A5,'R1_G3'!$A$8:$Y$17, G$2+4,FALSE),
IF(COUNTIF('R1_G4'!$A$8:$A$17,$A5)=1,VLOOKUP($A5,'R1_G4'!$A$8:$Y$17, G$2+4,FALSE),""))))</f>
        <v>4</v>
      </c>
      <c r="H5" s="852">
        <f>IF(COUNTIF('R1_G1'!$A$8:$A$17,$A5)=1,VLOOKUP($A5,'R1_G1'!$A$8:$Y$17, H$2+4,FALSE),
IF(COUNTIF('R1_G2'!$A$8:$A$17,$A5)=1,VLOOKUP($A5,'R1_G2'!$A$8:$Y$17, H$2+4,FALSE),
IF(COUNTIF('R1_G3'!$A$8:$A$17,$A5)=1,VLOOKUP($A5,'R1_G3'!$A$8:$Y$17, H$2+4,FALSE),
IF(COUNTIF('R1_G4'!$A$8:$A$17,$A5)=1,VLOOKUP($A5,'R1_G4'!$A$8:$Y$17, H$2+4,FALSE),""))))</f>
        <v>5</v>
      </c>
      <c r="I5" s="852">
        <f>IF(COUNTIF('R1_G1'!$A$8:$A$17,$A5)=1,VLOOKUP($A5,'R1_G1'!$A$8:$Y$17, I$2+4,FALSE),
IF(COUNTIF('R1_G2'!$A$8:$A$17,$A5)=1,VLOOKUP($A5,'R1_G2'!$A$8:$Y$17, I$2+4,FALSE),
IF(COUNTIF('R1_G3'!$A$8:$A$17,$A5)=1,VLOOKUP($A5,'R1_G3'!$A$8:$Y$17, I$2+4,FALSE),
IF(COUNTIF('R1_G4'!$A$8:$A$17,$A5)=1,VLOOKUP($A5,'R1_G4'!$A$8:$Y$17, I$2+4,FALSE),""))))</f>
        <v>4</v>
      </c>
      <c r="J5" s="852">
        <f>IF(COUNTIF('R1_G1'!$A$8:$A$17,$A5)=1,VLOOKUP($A5,'R1_G1'!$A$8:$Y$17, J$2+4,FALSE),
IF(COUNTIF('R1_G2'!$A$8:$A$17,$A5)=1,VLOOKUP($A5,'R1_G2'!$A$8:$Y$17, J$2+4,FALSE),
IF(COUNTIF('R1_G3'!$A$8:$A$17,$A5)=1,VLOOKUP($A5,'R1_G3'!$A$8:$Y$17, J$2+4,FALSE),
IF(COUNTIF('R1_G4'!$A$8:$A$17,$A5)=1,VLOOKUP($A5,'R1_G4'!$A$8:$Y$17, J$2+4,FALSE),""))))</f>
        <v>5</v>
      </c>
      <c r="K5" s="852">
        <f>IF(COUNTIF('R1_G1'!$A$8:$A$17,$A5)=1,VLOOKUP($A5,'R1_G1'!$A$8:$Y$17, K$2+4,FALSE),
IF(COUNTIF('R1_G2'!$A$8:$A$17,$A5)=1,VLOOKUP($A5,'R1_G2'!$A$8:$Y$17, K$2+4,FALSE),
IF(COUNTIF('R1_G3'!$A$8:$A$17,$A5)=1,VLOOKUP($A5,'R1_G3'!$A$8:$Y$17, K$2+4,FALSE),
IF(COUNTIF('R1_G4'!$A$8:$A$17,$A5)=1,VLOOKUP($A5,'R1_G4'!$A$8:$Y$17, K$2+4,FALSE),""))))</f>
        <v>5</v>
      </c>
      <c r="L5" s="852">
        <f>IF(COUNTIF('R1_G1'!$A$8:$A$17,$A5)=1,VLOOKUP($A5,'R1_G1'!$A$8:$Y$17, L$2+4,FALSE),
IF(COUNTIF('R1_G2'!$A$8:$A$17,$A5)=1,VLOOKUP($A5,'R1_G2'!$A$8:$Y$17, L$2+4,FALSE),
IF(COUNTIF('R1_G3'!$A$8:$A$17,$A5)=1,VLOOKUP($A5,'R1_G3'!$A$8:$Y$17, L$2+4,FALSE),
IF(COUNTIF('R1_G4'!$A$8:$A$17,$A5)=1,VLOOKUP($A5,'R1_G4'!$A$8:$Y$17, L$2+4,FALSE),""))))</f>
        <v>4</v>
      </c>
      <c r="M5" s="852">
        <f>IF(COUNTIF('R1_G1'!$A$8:$A$17,$A5)=1,VLOOKUP($A5,'R1_G1'!$A$8:$Y$17, M$2+4,FALSE),
IF(COUNTIF('R1_G2'!$A$8:$A$17,$A5)=1,VLOOKUP($A5,'R1_G2'!$A$8:$Y$17, M$2+4,FALSE),
IF(COUNTIF('R1_G3'!$A$8:$A$17,$A5)=1,VLOOKUP($A5,'R1_G3'!$A$8:$Y$17, M$2+4,FALSE),
IF(COUNTIF('R1_G4'!$A$8:$A$17,$A5)=1,VLOOKUP($A5,'R1_G4'!$A$8:$Y$17, M$2+4,FALSE),""))))</f>
        <v>6</v>
      </c>
      <c r="N5" s="853">
        <f>IF(COUNTIF('R1_G1'!$A$8:$A$17,$A5)=1,VLOOKUP($A5,'R1_G1'!$A$8:$Y$17, N$2+7,FALSE),
IF(COUNTIF('R1_G2'!$A$8:$A$17,$A5)=1,VLOOKUP($A5,'R1_G2'!$A$8:$Y$17, N$2+7,FALSE),
IF(COUNTIF('R1_G3'!$A$8:$A$17,$A5)=1,VLOOKUP($A5,'R1_G3'!$A$8:$Y$17, N$2+7,FALSE),
IF(COUNTIF('R1_G4'!$A$8:$A$17,$A5)=1,VLOOKUP($A5,'R1_G4'!$A$8:$Y$17, N$2+7,FALSE),""))))</f>
        <v>5</v>
      </c>
      <c r="O5" s="853">
        <f>IF(COUNTIF('R1_G1'!$A$8:$A$17,$A5)=1,VLOOKUP($A5,'R1_G1'!$A$8:$Y$17, O$2+7,FALSE),
IF(COUNTIF('R1_G2'!$A$8:$A$17,$A5)=1,VLOOKUP($A5,'R1_G2'!$A$8:$Y$17, O$2+7,FALSE),
IF(COUNTIF('R1_G3'!$A$8:$A$17,$A5)=1,VLOOKUP($A5,'R1_G3'!$A$8:$Y$17, O$2+7,FALSE),
IF(COUNTIF('R1_G4'!$A$8:$A$17,$A5)=1,VLOOKUP($A5,'R1_G4'!$A$8:$Y$17, O$2+7,FALSE),""))))</f>
        <v>4</v>
      </c>
      <c r="P5" s="853">
        <f>IF(COUNTIF('R1_G1'!$A$8:$A$17,$A5)=1,VLOOKUP($A5,'R1_G1'!$A$8:$Y$17, P$2+7,FALSE),
IF(COUNTIF('R1_G2'!$A$8:$A$17,$A5)=1,VLOOKUP($A5,'R1_G2'!$A$8:$Y$17, P$2+7,FALSE),
IF(COUNTIF('R1_G3'!$A$8:$A$17,$A5)=1,VLOOKUP($A5,'R1_G3'!$A$8:$Y$17, P$2+7,FALSE),
IF(COUNTIF('R1_G4'!$A$8:$A$17,$A5)=1,VLOOKUP($A5,'R1_G4'!$A$8:$Y$17, P$2+7,FALSE),""))))</f>
        <v>5</v>
      </c>
      <c r="Q5" s="853">
        <f>IF(COUNTIF('R1_G1'!$A$8:$A$17,$A5)=1,VLOOKUP($A5,'R1_G1'!$A$8:$Y$17, Q$2+7,FALSE),
IF(COUNTIF('R1_G2'!$A$8:$A$17,$A5)=1,VLOOKUP($A5,'R1_G2'!$A$8:$Y$17, Q$2+7,FALSE),
IF(COUNTIF('R1_G3'!$A$8:$A$17,$A5)=1,VLOOKUP($A5,'R1_G3'!$A$8:$Y$17, Q$2+7,FALSE),
IF(COUNTIF('R1_G4'!$A$8:$A$17,$A5)=1,VLOOKUP($A5,'R1_G4'!$A$8:$Y$17, Q$2+7,FALSE),""))))</f>
        <v>3</v>
      </c>
      <c r="R5" s="853">
        <f>IF(COUNTIF('R1_G1'!$A$8:$A$17,$A5)=1,VLOOKUP($A5,'R1_G1'!$A$8:$Y$17, R$2+7,FALSE),
IF(COUNTIF('R1_G2'!$A$8:$A$17,$A5)=1,VLOOKUP($A5,'R1_G2'!$A$8:$Y$17, R$2+7,FALSE),
IF(COUNTIF('R1_G3'!$A$8:$A$17,$A5)=1,VLOOKUP($A5,'R1_G3'!$A$8:$Y$17, R$2+7,FALSE),
IF(COUNTIF('R1_G4'!$A$8:$A$17,$A5)=1,VLOOKUP($A5,'R1_G4'!$A$8:$Y$17, R$2+7,FALSE),""))))</f>
        <v>5</v>
      </c>
      <c r="S5" s="853">
        <f>IF(COUNTIF('R1_G1'!$A$8:$A$17,$A5)=1,VLOOKUP($A5,'R1_G1'!$A$8:$Y$17, S$2+7,FALSE),
IF(COUNTIF('R1_G2'!$A$8:$A$17,$A5)=1,VLOOKUP($A5,'R1_G2'!$A$8:$Y$17, S$2+7,FALSE),
IF(COUNTIF('R1_G3'!$A$8:$A$17,$A5)=1,VLOOKUP($A5,'R1_G3'!$A$8:$Y$17, S$2+7,FALSE),
IF(COUNTIF('R1_G4'!$A$8:$A$17,$A5)=1,VLOOKUP($A5,'R1_G4'!$A$8:$Y$17, S$2+7,FALSE),""))))</f>
        <v>6</v>
      </c>
      <c r="T5" s="853">
        <f>IF(COUNTIF('R1_G1'!$A$8:$A$17,$A5)=1,VLOOKUP($A5,'R1_G1'!$A$8:$Y$17, T$2+7,FALSE),
IF(COUNTIF('R1_G2'!$A$8:$A$17,$A5)=1,VLOOKUP($A5,'R1_G2'!$A$8:$Y$17, T$2+7,FALSE),
IF(COUNTIF('R1_G3'!$A$8:$A$17,$A5)=1,VLOOKUP($A5,'R1_G3'!$A$8:$Y$17, T$2+7,FALSE),
IF(COUNTIF('R1_G4'!$A$8:$A$17,$A5)=1,VLOOKUP($A5,'R1_G4'!$A$8:$Y$17, T$2+7,FALSE),""))))</f>
        <v>5</v>
      </c>
      <c r="U5" s="853">
        <f>IF(COUNTIF('R1_G1'!$A$8:$A$17,$A5)=1,VLOOKUP($A5,'R1_G1'!$A$8:$Y$17, U$2+7,FALSE),
IF(COUNTIF('R1_G2'!$A$8:$A$17,$A5)=1,VLOOKUP($A5,'R1_G2'!$A$8:$Y$17, U$2+7,FALSE),
IF(COUNTIF('R1_G3'!$A$8:$A$17,$A5)=1,VLOOKUP($A5,'R1_G3'!$A$8:$Y$17, U$2+7,FALSE),
IF(COUNTIF('R1_G4'!$A$8:$A$17,$A5)=1,VLOOKUP($A5,'R1_G4'!$A$8:$Y$17, U$2+7,FALSE),""))))</f>
        <v>5</v>
      </c>
      <c r="V5" s="853">
        <f>IF(COUNTIF('R1_G1'!$A$8:$A$17,$A5)=1,VLOOKUP($A5,'R1_G1'!$A$8:$Y$17, V$2+7,FALSE),
IF(COUNTIF('R1_G2'!$A$8:$A$17,$A5)=1,VLOOKUP($A5,'R1_G2'!$A$8:$Y$17, V$2+7,FALSE),
IF(COUNTIF('R1_G3'!$A$8:$A$17,$A5)=1,VLOOKUP($A5,'R1_G3'!$A$8:$Y$17, V$2+7,FALSE),
IF(COUNTIF('R1_G4'!$A$8:$A$17,$A5)=1,VLOOKUP($A5,'R1_G4'!$A$8:$Y$17, V$2+7,FALSE),""))))</f>
        <v>7</v>
      </c>
      <c r="W5" s="852">
        <f t="shared" si="2"/>
        <v>42</v>
      </c>
      <c r="X5" s="852">
        <f t="shared" si="3"/>
        <v>45</v>
      </c>
      <c r="Y5" s="852">
        <f t="shared" ref="Y5:Y20" si="7">IF(COUNT(E5:V5)=18,W5+X5,"")</f>
        <v>87</v>
      </c>
      <c r="Z5" s="850">
        <f t="shared" ref="Z5:Z20" ca="1" si="8">IF(Y5="","",IF(V5="","",Y5-B5))</f>
        <v>79</v>
      </c>
      <c r="AA5" s="850">
        <f t="shared" ref="AA5:AA20" si="9">Y5</f>
        <v>87</v>
      </c>
      <c r="AB5" s="838"/>
      <c r="AC5" s="849" t="str">
        <f>'Master Input'!$A$11</f>
        <v>Telly</v>
      </c>
      <c r="AD5" s="850">
        <f ca="1">VLOOKUP(AC5,'Master Input'!$A$11:$L$27,6,FALSE)</f>
        <v>8</v>
      </c>
      <c r="AE5" s="849" t="s">
        <v>198</v>
      </c>
      <c r="AF5" s="851"/>
      <c r="AG5" s="852">
        <f t="shared" ref="AG5:AX5" ca="1" si="10">IF(E5="","",E5-IF($B5&gt;0,FLOOR($B5/18,1),0)-IF(AND(MOD($B5,18)&gt;=E$3,$B5&gt;0),1,0)+IF(E$3-18&gt;$B5,1,0))</f>
        <v>5</v>
      </c>
      <c r="AH5" s="852">
        <f t="shared" ca="1" si="10"/>
        <v>4</v>
      </c>
      <c r="AI5" s="852">
        <f t="shared" ca="1" si="10"/>
        <v>4</v>
      </c>
      <c r="AJ5" s="852">
        <f t="shared" ca="1" si="10"/>
        <v>5</v>
      </c>
      <c r="AK5" s="852">
        <f t="shared" ca="1" si="10"/>
        <v>3</v>
      </c>
      <c r="AL5" s="852">
        <f t="shared" ca="1" si="10"/>
        <v>4</v>
      </c>
      <c r="AM5" s="852">
        <f t="shared" ca="1" si="10"/>
        <v>5</v>
      </c>
      <c r="AN5" s="852">
        <f t="shared" ca="1" si="10"/>
        <v>3</v>
      </c>
      <c r="AO5" s="852">
        <f t="shared" ca="1" si="10"/>
        <v>5</v>
      </c>
      <c r="AP5" s="853">
        <f t="shared" ca="1" si="10"/>
        <v>5</v>
      </c>
      <c r="AQ5" s="853">
        <f t="shared" ca="1" si="10"/>
        <v>4</v>
      </c>
      <c r="AR5" s="853">
        <f t="shared" ca="1" si="10"/>
        <v>4</v>
      </c>
      <c r="AS5" s="853">
        <f t="shared" ca="1" si="10"/>
        <v>3</v>
      </c>
      <c r="AT5" s="853">
        <f t="shared" ca="1" si="10"/>
        <v>4</v>
      </c>
      <c r="AU5" s="853">
        <f t="shared" ca="1" si="10"/>
        <v>5</v>
      </c>
      <c r="AV5" s="853">
        <f t="shared" ca="1" si="10"/>
        <v>5</v>
      </c>
      <c r="AW5" s="853">
        <f t="shared" ca="1" si="10"/>
        <v>5</v>
      </c>
      <c r="AX5" s="853">
        <f t="shared" ca="1" si="10"/>
        <v>6</v>
      </c>
      <c r="AY5" s="852">
        <f t="shared" ca="1" si="5"/>
        <v>38</v>
      </c>
      <c r="AZ5" s="852">
        <f t="shared" ca="1" si="6"/>
        <v>41</v>
      </c>
      <c r="BA5" s="852">
        <f t="shared" ref="BA5:BA20" ca="1" si="11">IF(COUNT(AG5:AX5)=18,AY5+AZ5,"")</f>
        <v>79</v>
      </c>
      <c r="BB5" s="849" t="str">
        <f ca="1">IF(COUNTIF('R1_G1'!$A$8:$A$17,$A5)=1, IF(AND(BA5=Z5,BA5=VLOOKUP($A5,'R1_G1'!$A$8:$AB$17, 28,FALSE)),"yes","no"),
IF(COUNTIF('R1_G2'!$A$8:$A$17,$A5)=1, IF(AND(BA5=Z5,BA5=VLOOKUP($A5,'R1_G2'!$A$8:$AB$17, 28,FALSE)),"yes","no"),
IF(COUNTIF('R1_G3'!$A$8:$A$17,$A5)=1, IF(AND(BA5=Z5,BA5=VLOOKUP($A5,'R1_G3'!$A$8:$AB$17, 28,FALSE)),"yes","no"),
IF(COUNTIF('R1_G4'!$A$8:$A$17,$A5)=1, IF(AND(BA5=Z5,BA5=VLOOKUP($A5,'R1_G4'!$A$8:$AB$17, 28,FALSE)),"yes","no"),
"?"))))</f>
        <v>yes</v>
      </c>
      <c r="BC5" s="838"/>
      <c r="BD5" s="854">
        <f t="shared" ref="BD5:BD20" ca="1" si="12">IF(AG5&lt;AG$4,1,IF(AG5=AG$4,0.5,0))+
IF(AH5&lt;AH$4,1,IF(AH5=AH$4,0.5,0))+
IF(AI5&lt;AI$4,1,IF(AI5=AI$4,0.5,0))+
IF(AJ5&lt;AJ$4,1,IF(AJ5=AJ$4,0.5,0))+
IF(AK5&lt;AK$4,1,IF(AK5=AK$4,0.5,0))+
IF(AL5&lt;AL$4,1,IF(AL5=AL$4,0.5,0))+
IF(AM5&lt;AM$4,1,IF(AM5=AM$4,0.5,0))+
IF(AN5&lt;AN$4,1,IF(AN5=AN$4,0.5,0))+
IF(AO5&lt;AO$4,1,IF(AO5=AO$4,0.5,0))+
IF(AP5&lt;AP$4,1,IF(AP5=AP$4,0.5,0))+
IF(AQ5&lt;AQ$4,1,IF(AQ5=AQ$4,0.5,0))+
IF(AR5&lt;AR$4,1,IF(AR5=AR$4,0.5,0))+
IF(AS5&lt;AS$4,1,IF(AS5=AS$4,0.5,0))+
IF(AT5&lt;AT$4,1,IF(AT5=AT$4,0.5,0))+
IF(AU5&lt;AU$4,1,IF(AU5=AU$4,0.5,0))+
IF(AV5&lt;AV$4,1,IF(AV5=AV$4,0.5,0))+
IF(AW5&lt;AW$4,1,IF(AW5=AW$4,0.5,0))+
IF(AX5&lt;AX$4,1,IF(AX5=AX$4,0.5,0))</f>
        <v>6.5</v>
      </c>
      <c r="BE5" s="855">
        <f t="shared" ref="BE5:BE20" ca="1" si="13">(RANK(AG5,$AG$5:$AG$20,0)-1)/15+(COUNTIF($AG$5:$AG$20,AG5)-1)/30+
(RANK(AH5,$AH$5:$AH$20,0)-1)/15+(COUNTIF($AH$5:$AH$20,AH5)-1)/30+
(RANK(AI5,$AI$5:$AI$20,0)-1)/15+(COUNTIF($AI$5:$AI$20,AI5)-1)/30+
(RANK(AJ5,$AJ$5:$AJ$20,0)-1)/15+(COUNTIF($AJ$5:$AJ$20,AJ5)-1)/30+
(RANK(AK5,$AK$5:$AK$20,0)-1)/15+(COUNTIF($AK$5:$AK$20,AK5)-1)/30+
(RANK(AL5,$AL$5:$AL$20,0)-1)/15+(COUNTIF($AL$5:$AL$20,AL5)-1)/30+
(RANK(AM5,$AM$5:$AM$20,0)-1)/15+(COUNTIF($AM$5:$AM$20,AM5)-1)/30+
(RANK(AN5,$AN$5:$AN$20,0)-1)/15+(COUNTIF($AN$5:$AN$20,AN5)-1)/30+
(RANK(AO5,$AO$5:$AO$20,0)-1)/15+(COUNTIF($AO$5:$AO$20,AO5)-1)/30+
(RANK(AP5,$AP$5:$AP$20,0)-1)/15+(COUNTIF($AP$5:$AP$20,AP5)-1)/30+
(RANK(AQ5,$AQ$5:$AQ$20,0)-1)/15+(COUNTIF($AQ$5:$AQ$20,AQ5)-1)/30+
(RANK(AR5,$AR$5:$AR$20,0)-1)/15+(COUNTIF($AR$5:$AR$20,AR5)-1)/30+
(RANK(AS5,$AS$5:$AS$20,0)-1)/15+(COUNTIF($AS$5:$AS$20,AS5)-1)/30+
(RANK(AT5,$AT$5:$AT$20,0)-1)/15+(COUNTIF($AT$5:$AT$20,AT5)-1)/30+
(RANK(AU5,$AU$5:$AU$20,0)-1)/15+(COUNTIF($AU$5:$AU$20,AU5)-1)/30+
(RANK(AV5,$AV$5:$AV$20,0)-1)/15+(COUNTIF($AV$5:$AV$20,AV5)-1)/30+
(RANK(AW5,$AW$5:$AW$20,0)-1)/15+(COUNTIF($AW$5:$AW$20,AW5)-1)/30+
(RANK(AX5,$AX$5:$AX$20,0)-1)/15+(COUNTIF($AX$5:$AX$20,AX5)-1)/30</f>
        <v>7.9333333333333345</v>
      </c>
      <c r="BF5" s="856">
        <f ca="1">COUNTIFS($AG4:$AX4,3,$AG5:$AX5,"&lt;=1")
+COUNTIFS($AG4:$AX4,4,$AG5:$AX5,"&lt;=2")
+COUNTIFS($AG4:$AX4,5,$AG5:$AX5,"&lt;=3")</f>
        <v>0</v>
      </c>
      <c r="BG5" s="856">
        <f ca="1">COUNTIFS($AG4:$AX4,3,$AG5:$AX5,2)
+COUNTIFS($AG4:$AX4,4,$AG5:$AX5,3)
+COUNTIFS($AG4:$AX4,5,$AG5:$AX5,4)</f>
        <v>3</v>
      </c>
      <c r="BH5" s="856">
        <f ca="1">COUNTIFS($AG4:$AX4,3,$AG5:$AX5,3)
+COUNTIFS($AG4:$AX4,4,$AG5:$AX5,4)
+COUNTIFS($AG4:$AX4,5,$AG5:$AX5,5)</f>
        <v>7</v>
      </c>
      <c r="BI5" s="856">
        <f ca="1">COUNTIFS($AG4:$AX4,3,$AG5:$AX5,4)
+COUNTIFS($AG4:$AX4,4,$AG5:$AX5,5)
+COUNTIFS($AG4:$AX4,5,$AG5:$AX5,6)</f>
        <v>6</v>
      </c>
      <c r="BJ5" s="856">
        <f ca="1">COUNTIFS($AG4:$AX4,3,$AG5:$AX5,"&gt;=5")
+COUNTIFS($AG4:$AX4,4,$AG5:$AX5,"&gt;=6")
+COUNTIFS($AG4:$AX4,5,$AG5:$AX5,"&gt;=7")</f>
        <v>2</v>
      </c>
    </row>
    <row r="6" spans="1:62" ht="14.25" customHeight="1">
      <c r="A6" s="857" t="str">
        <f>'Master Input'!$A$12</f>
        <v>KJ</v>
      </c>
      <c r="B6" s="858">
        <f ca="1">VLOOKUP(A6,'Master Input'!$A$11:$L$27,6,FALSE)</f>
        <v>8</v>
      </c>
      <c r="C6" s="849">
        <f>VLOOKUP(A6,'Locked Bets Setup'!$A$5:$L$20,10,FALSE)</f>
        <v>0</v>
      </c>
      <c r="D6" s="851"/>
      <c r="E6" s="859">
        <f>IF(COUNTIF('R1_G1'!$A$8:$A$17,$A6)=1,VLOOKUP($A6,'R1_G1'!$A$8:$Y$17, E$2+4,FALSE),
IF(COUNTIF('R1_G2'!$A$8:$A$17,$A6)=1,VLOOKUP($A6,'R1_G2'!$A$8:$Y$17, E$2+4,FALSE),
IF(COUNTIF('R1_G3'!$A$8:$A$17,$A6)=1,VLOOKUP($A6,'R1_G3'!$A$8:$Y$17, E$2+4,FALSE),
IF(COUNTIF('R1_G4'!$A$8:$A$17,$A6)=1,VLOOKUP($A6,'R1_G4'!$A$8:$Y$17, E$2+4,FALSE),""))))</f>
        <v>4</v>
      </c>
      <c r="F6" s="859">
        <f>IF(COUNTIF('R1_G1'!$A$8:$A$17,$A6)=1,VLOOKUP($A6,'R1_G1'!$A$8:$Y$17, F$2+4,FALSE),
IF(COUNTIF('R1_G2'!$A$8:$A$17,$A6)=1,VLOOKUP($A6,'R1_G2'!$A$8:$Y$17, F$2+4,FALSE),
IF(COUNTIF('R1_G3'!$A$8:$A$17,$A6)=1,VLOOKUP($A6,'R1_G3'!$A$8:$Y$17, F$2+4,FALSE),
IF(COUNTIF('R1_G4'!$A$8:$A$17,$A6)=1,VLOOKUP($A6,'R1_G4'!$A$8:$Y$17, F$2+4,FALSE),""))))</f>
        <v>3</v>
      </c>
      <c r="G6" s="859">
        <f>IF(COUNTIF('R1_G1'!$A$8:$A$17,$A6)=1,VLOOKUP($A6,'R1_G1'!$A$8:$Y$17, G$2+4,FALSE),
IF(COUNTIF('R1_G2'!$A$8:$A$17,$A6)=1,VLOOKUP($A6,'R1_G2'!$A$8:$Y$17, G$2+4,FALSE),
IF(COUNTIF('R1_G3'!$A$8:$A$17,$A6)=1,VLOOKUP($A6,'R1_G3'!$A$8:$Y$17, G$2+4,FALSE),
IF(COUNTIF('R1_G4'!$A$8:$A$17,$A6)=1,VLOOKUP($A6,'R1_G4'!$A$8:$Y$17, G$2+4,FALSE),""))))</f>
        <v>3</v>
      </c>
      <c r="H6" s="859">
        <f>IF(COUNTIF('R1_G1'!$A$8:$A$17,$A6)=1,VLOOKUP($A6,'R1_G1'!$A$8:$Y$17, H$2+4,FALSE),
IF(COUNTIF('R1_G2'!$A$8:$A$17,$A6)=1,VLOOKUP($A6,'R1_G2'!$A$8:$Y$17, H$2+4,FALSE),
IF(COUNTIF('R1_G3'!$A$8:$A$17,$A6)=1,VLOOKUP($A6,'R1_G3'!$A$8:$Y$17, H$2+4,FALSE),
IF(COUNTIF('R1_G4'!$A$8:$A$17,$A6)=1,VLOOKUP($A6,'R1_G4'!$A$8:$Y$17, H$2+4,FALSE),""))))</f>
        <v>5</v>
      </c>
      <c r="I6" s="859">
        <f>IF(COUNTIF('R1_G1'!$A$8:$A$17,$A6)=1,VLOOKUP($A6,'R1_G1'!$A$8:$Y$17, I$2+4,FALSE),
IF(COUNTIF('R1_G2'!$A$8:$A$17,$A6)=1,VLOOKUP($A6,'R1_G2'!$A$8:$Y$17, I$2+4,FALSE),
IF(COUNTIF('R1_G3'!$A$8:$A$17,$A6)=1,VLOOKUP($A6,'R1_G3'!$A$8:$Y$17, I$2+4,FALSE),
IF(COUNTIF('R1_G4'!$A$8:$A$17,$A6)=1,VLOOKUP($A6,'R1_G4'!$A$8:$Y$17, I$2+4,FALSE),""))))</f>
        <v>6</v>
      </c>
      <c r="J6" s="859">
        <f>IF(COUNTIF('R1_G1'!$A$8:$A$17,$A6)=1,VLOOKUP($A6,'R1_G1'!$A$8:$Y$17, J$2+4,FALSE),
IF(COUNTIF('R1_G2'!$A$8:$A$17,$A6)=1,VLOOKUP($A6,'R1_G2'!$A$8:$Y$17, J$2+4,FALSE),
IF(COUNTIF('R1_G3'!$A$8:$A$17,$A6)=1,VLOOKUP($A6,'R1_G3'!$A$8:$Y$17, J$2+4,FALSE),
IF(COUNTIF('R1_G4'!$A$8:$A$17,$A6)=1,VLOOKUP($A6,'R1_G4'!$A$8:$Y$17, J$2+4,FALSE),""))))</f>
        <v>6</v>
      </c>
      <c r="K6" s="859">
        <f>IF(COUNTIF('R1_G1'!$A$8:$A$17,$A6)=1,VLOOKUP($A6,'R1_G1'!$A$8:$Y$17, K$2+4,FALSE),
IF(COUNTIF('R1_G2'!$A$8:$A$17,$A6)=1,VLOOKUP($A6,'R1_G2'!$A$8:$Y$17, K$2+4,FALSE),
IF(COUNTIF('R1_G3'!$A$8:$A$17,$A6)=1,VLOOKUP($A6,'R1_G3'!$A$8:$Y$17, K$2+4,FALSE),
IF(COUNTIF('R1_G4'!$A$8:$A$17,$A6)=1,VLOOKUP($A6,'R1_G4'!$A$8:$Y$17, K$2+4,FALSE),""))))</f>
        <v>4</v>
      </c>
      <c r="L6" s="859">
        <f>IF(COUNTIF('R1_G1'!$A$8:$A$17,$A6)=1,VLOOKUP($A6,'R1_G1'!$A$8:$Y$17, L$2+4,FALSE),
IF(COUNTIF('R1_G2'!$A$8:$A$17,$A6)=1,VLOOKUP($A6,'R1_G2'!$A$8:$Y$17, L$2+4,FALSE),
IF(COUNTIF('R1_G3'!$A$8:$A$17,$A6)=1,VLOOKUP($A6,'R1_G3'!$A$8:$Y$17, L$2+4,FALSE),
IF(COUNTIF('R1_G4'!$A$8:$A$17,$A6)=1,VLOOKUP($A6,'R1_G4'!$A$8:$Y$17, L$2+4,FALSE),""))))</f>
        <v>4</v>
      </c>
      <c r="M6" s="859">
        <f>IF(COUNTIF('R1_G1'!$A$8:$A$17,$A6)=1,VLOOKUP($A6,'R1_G1'!$A$8:$Y$17, M$2+4,FALSE),
IF(COUNTIF('R1_G2'!$A$8:$A$17,$A6)=1,VLOOKUP($A6,'R1_G2'!$A$8:$Y$17, M$2+4,FALSE),
IF(COUNTIF('R1_G3'!$A$8:$A$17,$A6)=1,VLOOKUP($A6,'R1_G3'!$A$8:$Y$17, M$2+4,FALSE),
IF(COUNTIF('R1_G4'!$A$8:$A$17,$A6)=1,VLOOKUP($A6,'R1_G4'!$A$8:$Y$17, M$2+4,FALSE),""))))</f>
        <v>5</v>
      </c>
      <c r="N6" s="852">
        <f>IF(COUNTIF('R1_G1'!$A$8:$A$17,$A6)=1,VLOOKUP($A6,'R1_G1'!$A$8:$Y$17, N$2+7,FALSE),
IF(COUNTIF('R1_G2'!$A$8:$A$17,$A6)=1,VLOOKUP($A6,'R1_G2'!$A$8:$Y$17, N$2+7,FALSE),
IF(COUNTIF('R1_G3'!$A$8:$A$17,$A6)=1,VLOOKUP($A6,'R1_G3'!$A$8:$Y$17, N$2+7,FALSE),
IF(COUNTIF('R1_G4'!$A$8:$A$17,$A6)=1,VLOOKUP($A6,'R1_G4'!$A$8:$Y$17, N$2+7,FALSE),""))))</f>
        <v>4</v>
      </c>
      <c r="O6" s="852">
        <f>IF(COUNTIF('R1_G1'!$A$8:$A$17,$A6)=1,VLOOKUP($A6,'R1_G1'!$A$8:$Y$17, O$2+7,FALSE),
IF(COUNTIF('R1_G2'!$A$8:$A$17,$A6)=1,VLOOKUP($A6,'R1_G2'!$A$8:$Y$17, O$2+7,FALSE),
IF(COUNTIF('R1_G3'!$A$8:$A$17,$A6)=1,VLOOKUP($A6,'R1_G3'!$A$8:$Y$17, O$2+7,FALSE),
IF(COUNTIF('R1_G4'!$A$8:$A$17,$A6)=1,VLOOKUP($A6,'R1_G4'!$A$8:$Y$17, O$2+7,FALSE),""))))</f>
        <v>4</v>
      </c>
      <c r="P6" s="852">
        <f>IF(COUNTIF('R1_G1'!$A$8:$A$17,$A6)=1,VLOOKUP($A6,'R1_G1'!$A$8:$Y$17, P$2+7,FALSE),
IF(COUNTIF('R1_G2'!$A$8:$A$17,$A6)=1,VLOOKUP($A6,'R1_G2'!$A$8:$Y$17, P$2+7,FALSE),
IF(COUNTIF('R1_G3'!$A$8:$A$17,$A6)=1,VLOOKUP($A6,'R1_G3'!$A$8:$Y$17, P$2+7,FALSE),
IF(COUNTIF('R1_G4'!$A$8:$A$17,$A6)=1,VLOOKUP($A6,'R1_G4'!$A$8:$Y$17, P$2+7,FALSE),""))))</f>
        <v>6</v>
      </c>
      <c r="Q6" s="852">
        <f>IF(COUNTIF('R1_G1'!$A$8:$A$17,$A6)=1,VLOOKUP($A6,'R1_G1'!$A$8:$Y$17, Q$2+7,FALSE),
IF(COUNTIF('R1_G2'!$A$8:$A$17,$A6)=1,VLOOKUP($A6,'R1_G2'!$A$8:$Y$17, Q$2+7,FALSE),
IF(COUNTIF('R1_G3'!$A$8:$A$17,$A6)=1,VLOOKUP($A6,'R1_G3'!$A$8:$Y$17, Q$2+7,FALSE),
IF(COUNTIF('R1_G4'!$A$8:$A$17,$A6)=1,VLOOKUP($A6,'R1_G4'!$A$8:$Y$17, Q$2+7,FALSE),""))))</f>
        <v>4</v>
      </c>
      <c r="R6" s="852">
        <f>IF(COUNTIF('R1_G1'!$A$8:$A$17,$A6)=1,VLOOKUP($A6,'R1_G1'!$A$8:$Y$17, R$2+7,FALSE),
IF(COUNTIF('R1_G2'!$A$8:$A$17,$A6)=1,VLOOKUP($A6,'R1_G2'!$A$8:$Y$17, R$2+7,FALSE),
IF(COUNTIF('R1_G3'!$A$8:$A$17,$A6)=1,VLOOKUP($A6,'R1_G3'!$A$8:$Y$17, R$2+7,FALSE),
IF(COUNTIF('R1_G4'!$A$8:$A$17,$A6)=1,VLOOKUP($A6,'R1_G4'!$A$8:$Y$17, R$2+7,FALSE),""))))</f>
        <v>5</v>
      </c>
      <c r="S6" s="852">
        <f>IF(COUNTIF('R1_G1'!$A$8:$A$17,$A6)=1,VLOOKUP($A6,'R1_G1'!$A$8:$Y$17, S$2+7,FALSE),
IF(COUNTIF('R1_G2'!$A$8:$A$17,$A6)=1,VLOOKUP($A6,'R1_G2'!$A$8:$Y$17, S$2+7,FALSE),
IF(COUNTIF('R1_G3'!$A$8:$A$17,$A6)=1,VLOOKUP($A6,'R1_G3'!$A$8:$Y$17, S$2+7,FALSE),
IF(COUNTIF('R1_G4'!$A$8:$A$17,$A6)=1,VLOOKUP($A6,'R1_G4'!$A$8:$Y$17, S$2+7,FALSE),""))))</f>
        <v>4</v>
      </c>
      <c r="T6" s="852">
        <f>IF(COUNTIF('R1_G1'!$A$8:$A$17,$A6)=1,VLOOKUP($A6,'R1_G1'!$A$8:$Y$17, T$2+7,FALSE),
IF(COUNTIF('R1_G2'!$A$8:$A$17,$A6)=1,VLOOKUP($A6,'R1_G2'!$A$8:$Y$17, T$2+7,FALSE),
IF(COUNTIF('R1_G3'!$A$8:$A$17,$A6)=1,VLOOKUP($A6,'R1_G3'!$A$8:$Y$17, T$2+7,FALSE),
IF(COUNTIF('R1_G4'!$A$8:$A$17,$A6)=1,VLOOKUP($A6,'R1_G4'!$A$8:$Y$17, T$2+7,FALSE),""))))</f>
        <v>4</v>
      </c>
      <c r="U6" s="852">
        <f>IF(COUNTIF('R1_G1'!$A$8:$A$17,$A6)=1,VLOOKUP($A6,'R1_G1'!$A$8:$Y$17, U$2+7,FALSE),
IF(COUNTIF('R1_G2'!$A$8:$A$17,$A6)=1,VLOOKUP($A6,'R1_G2'!$A$8:$Y$17, U$2+7,FALSE),
IF(COUNTIF('R1_G3'!$A$8:$A$17,$A6)=1,VLOOKUP($A6,'R1_G3'!$A$8:$Y$17, U$2+7,FALSE),
IF(COUNTIF('R1_G4'!$A$8:$A$17,$A6)=1,VLOOKUP($A6,'R1_G4'!$A$8:$Y$17, U$2+7,FALSE),""))))</f>
        <v>4</v>
      </c>
      <c r="V6" s="852">
        <f>IF(COUNTIF('R1_G1'!$A$8:$A$17,$A6)=1,VLOOKUP($A6,'R1_G1'!$A$8:$Y$17, V$2+7,FALSE),
IF(COUNTIF('R1_G2'!$A$8:$A$17,$A6)=1,VLOOKUP($A6,'R1_G2'!$A$8:$Y$17, V$2+7,FALSE),
IF(COUNTIF('R1_G3'!$A$8:$A$17,$A6)=1,VLOOKUP($A6,'R1_G3'!$A$8:$Y$17, V$2+7,FALSE),
IF(COUNTIF('R1_G4'!$A$8:$A$17,$A6)=1,VLOOKUP($A6,'R1_G4'!$A$8:$Y$17, V$2+7,FALSE),""))))</f>
        <v>6</v>
      </c>
      <c r="W6" s="859">
        <f t="shared" si="2"/>
        <v>40</v>
      </c>
      <c r="X6" s="859">
        <f t="shared" si="3"/>
        <v>41</v>
      </c>
      <c r="Y6" s="859">
        <f t="shared" si="7"/>
        <v>81</v>
      </c>
      <c r="Z6" s="858">
        <f t="shared" ca="1" si="8"/>
        <v>73</v>
      </c>
      <c r="AA6" s="858">
        <f t="shared" si="9"/>
        <v>81</v>
      </c>
      <c r="AB6" s="838"/>
      <c r="AC6" s="857" t="str">
        <f>'Master Input'!$A$12</f>
        <v>KJ</v>
      </c>
      <c r="AD6" s="858">
        <f ca="1">VLOOKUP(AC6,'Master Input'!$A$11:$L$27,6,FALSE)</f>
        <v>8</v>
      </c>
      <c r="AE6" s="857" t="s">
        <v>198</v>
      </c>
      <c r="AF6" s="832"/>
      <c r="AG6" s="859">
        <f t="shared" ref="AG6:AX6" ca="1" si="14">IF(E6="","",E6-IF($B6&gt;0,FLOOR($B6/18,1),0)-IF(AND(MOD($B6,18)&gt;=E$3,$B6&gt;0),1,0)+IF(E$3-18&gt;$B6,1,0))</f>
        <v>4</v>
      </c>
      <c r="AH6" s="859">
        <f t="shared" ca="1" si="14"/>
        <v>3</v>
      </c>
      <c r="AI6" s="859">
        <f t="shared" ca="1" si="14"/>
        <v>3</v>
      </c>
      <c r="AJ6" s="859">
        <f t="shared" ca="1" si="14"/>
        <v>5</v>
      </c>
      <c r="AK6" s="859">
        <f t="shared" ca="1" si="14"/>
        <v>5</v>
      </c>
      <c r="AL6" s="859">
        <f t="shared" ca="1" si="14"/>
        <v>5</v>
      </c>
      <c r="AM6" s="859">
        <f t="shared" ca="1" si="14"/>
        <v>4</v>
      </c>
      <c r="AN6" s="859">
        <f t="shared" ca="1" si="14"/>
        <v>3</v>
      </c>
      <c r="AO6" s="859">
        <f t="shared" ca="1" si="14"/>
        <v>4</v>
      </c>
      <c r="AP6" s="852">
        <f t="shared" ca="1" si="14"/>
        <v>4</v>
      </c>
      <c r="AQ6" s="852">
        <f t="shared" ca="1" si="14"/>
        <v>4</v>
      </c>
      <c r="AR6" s="852">
        <f t="shared" ca="1" si="14"/>
        <v>5</v>
      </c>
      <c r="AS6" s="852">
        <f t="shared" ca="1" si="14"/>
        <v>4</v>
      </c>
      <c r="AT6" s="852">
        <f t="shared" ca="1" si="14"/>
        <v>4</v>
      </c>
      <c r="AU6" s="852">
        <f t="shared" ca="1" si="14"/>
        <v>3</v>
      </c>
      <c r="AV6" s="852">
        <f t="shared" ca="1" si="14"/>
        <v>4</v>
      </c>
      <c r="AW6" s="852">
        <f t="shared" ca="1" si="14"/>
        <v>4</v>
      </c>
      <c r="AX6" s="852">
        <f t="shared" ca="1" si="14"/>
        <v>5</v>
      </c>
      <c r="AY6" s="859">
        <f t="shared" ca="1" si="5"/>
        <v>36</v>
      </c>
      <c r="AZ6" s="859">
        <f t="shared" ca="1" si="6"/>
        <v>37</v>
      </c>
      <c r="BA6" s="859">
        <f t="shared" ca="1" si="11"/>
        <v>73</v>
      </c>
      <c r="BB6" s="857" t="str">
        <f ca="1">IF(COUNTIF('R1_G1'!$A$8:$A$17,$A6)=1, IF(AND(BA6=Z6,BA6=VLOOKUP($A6,'R1_G1'!$A$8:$AB$17, 28,FALSE)),"yes","no"),
IF(COUNTIF('R1_G2'!$A$8:$A$17,$A6)=1, IF(AND(BA6=Z6,BA6=VLOOKUP($A6,'R1_G2'!$A$8:$AB$17, 28,FALSE)),"yes","no"),
IF(COUNTIF('R1_G3'!$A$8:$A$17,$A6)=1, IF(AND(BA6=Z6,BA6=VLOOKUP($A6,'R1_G3'!$A$8:$AB$17, 28,FALSE)),"yes","no"),
IF(COUNTIF('R1_G4'!$A$8:$A$17,$A6)=1, IF(AND(BA6=Z6,BA6=VLOOKUP($A6,'R1_G4'!$A$8:$AB$17, 28,FALSE)),"yes","no"),
"?"))))</f>
        <v>yes</v>
      </c>
      <c r="BC6" s="838"/>
      <c r="BD6" s="860">
        <f t="shared" ca="1" si="12"/>
        <v>8.5</v>
      </c>
      <c r="BE6" s="861">
        <f t="shared" ca="1" si="13"/>
        <v>10.033333333333333</v>
      </c>
      <c r="BF6" s="861">
        <f t="shared" ref="BF6:BF20" ca="1" si="15">COUNTIFS($AG$4:$AX$4,3,$AG6:$AX6,"&lt;=1")
+COUNTIFS($AG$4:$AX$4,4,$AG6:$AX6,"&lt;=2")
+COUNTIFS($AG$4:$AX$4,5,$AG6:$AX6,"&lt;=3")</f>
        <v>0</v>
      </c>
      <c r="BG6" s="861">
        <f t="shared" ref="BG6:BG20" ca="1" si="16">COUNTIFS($AG$4:$AX$4,3,$AG6:$AX6,2)
+COUNTIFS($AG$4:$AX$4,4,$AG6:$AX6,3)
+COUNTIFS($AG$4:$AX$4,5,$AG6:$AX6,4)</f>
        <v>5</v>
      </c>
      <c r="BH6" s="861">
        <f t="shared" ref="BH6:BH20" ca="1" si="17">COUNTIFS($AG$4:$AX$4,3,$AG6:$AX6,3)
+COUNTIFS($AG$4:$AX$4,4,$AG6:$AX6,4)
+COUNTIFS($AG$4:$AX$4,5,$AG6:$AX6,5)</f>
        <v>7</v>
      </c>
      <c r="BI6" s="861">
        <f t="shared" ref="BI6:BI20" ca="1" si="18">COUNTIFS($AG$4:$AX$4,3,$AG6:$AX6,4)
+COUNTIFS($AG$4:$AX$4,4,$AG6:$AX6,5)
+COUNTIFS($AG$4:$AX$4,5,$AG6:$AX6,6)</f>
        <v>6</v>
      </c>
      <c r="BJ6" s="861">
        <f t="shared" ref="BJ6:BJ20" ca="1" si="19">COUNTIFS($AG$4:$AX$4,3,$AG6:$AX6,"&gt;=5")
+COUNTIFS($AG$4:$AX$4,4,$AG6:$AX6,"&gt;=6")
+COUNTIFS($AG$4:$AX$4,5,$AG6:$AX6,"&gt;=7")</f>
        <v>0</v>
      </c>
    </row>
    <row r="7" spans="1:62" ht="14.25" customHeight="1">
      <c r="A7" s="849" t="str">
        <f>'Master Input'!$A$13</f>
        <v>CuzNick</v>
      </c>
      <c r="B7" s="850">
        <f ca="1">VLOOKUP(A7,'Master Input'!$A$11:$L$27,6,FALSE)</f>
        <v>9</v>
      </c>
      <c r="C7" s="849">
        <f>VLOOKUP(A7,'Locked Bets Setup'!$A$5:$L$20,10,FALSE)</f>
        <v>0</v>
      </c>
      <c r="D7" s="851"/>
      <c r="E7" s="852">
        <f>IF(COUNTIF('R1_G1'!$A$8:$A$17,$A7)=1,VLOOKUP($A7,'R1_G1'!$A$8:$Y$17, E$2+4,FALSE),
IF(COUNTIF('R1_G2'!$A$8:$A$17,$A7)=1,VLOOKUP($A7,'R1_G2'!$A$8:$Y$17, E$2+4,FALSE),
IF(COUNTIF('R1_G3'!$A$8:$A$17,$A7)=1,VLOOKUP($A7,'R1_G3'!$A$8:$Y$17, E$2+4,FALSE),
IF(COUNTIF('R1_G4'!$A$8:$A$17,$A7)=1,VLOOKUP($A7,'R1_G4'!$A$8:$Y$17, E$2+4,FALSE),""))))</f>
        <v>5</v>
      </c>
      <c r="F7" s="852">
        <f>IF(COUNTIF('R1_G1'!$A$8:$A$17,$A7)=1,VLOOKUP($A7,'R1_G1'!$A$8:$Y$17, F$2+4,FALSE),
IF(COUNTIF('R1_G2'!$A$8:$A$17,$A7)=1,VLOOKUP($A7,'R1_G2'!$A$8:$Y$17, F$2+4,FALSE),
IF(COUNTIF('R1_G3'!$A$8:$A$17,$A7)=1,VLOOKUP($A7,'R1_G3'!$A$8:$Y$17, F$2+4,FALSE),
IF(COUNTIF('R1_G4'!$A$8:$A$17,$A7)=1,VLOOKUP($A7,'R1_G4'!$A$8:$Y$17, F$2+4,FALSE),""))))</f>
        <v>5</v>
      </c>
      <c r="G7" s="852">
        <f>IF(COUNTIF('R1_G1'!$A$8:$A$17,$A7)=1,VLOOKUP($A7,'R1_G1'!$A$8:$Y$17, G$2+4,FALSE),
IF(COUNTIF('R1_G2'!$A$8:$A$17,$A7)=1,VLOOKUP($A7,'R1_G2'!$A$8:$Y$17, G$2+4,FALSE),
IF(COUNTIF('R1_G3'!$A$8:$A$17,$A7)=1,VLOOKUP($A7,'R1_G3'!$A$8:$Y$17, G$2+4,FALSE),
IF(COUNTIF('R1_G4'!$A$8:$A$17,$A7)=1,VLOOKUP($A7,'R1_G4'!$A$8:$Y$17, G$2+4,FALSE),""))))</f>
        <v>3</v>
      </c>
      <c r="H7" s="852">
        <f>IF(COUNTIF('R1_G1'!$A$8:$A$17,$A7)=1,VLOOKUP($A7,'R1_G1'!$A$8:$Y$17, H$2+4,FALSE),
IF(COUNTIF('R1_G2'!$A$8:$A$17,$A7)=1,VLOOKUP($A7,'R1_G2'!$A$8:$Y$17, H$2+4,FALSE),
IF(COUNTIF('R1_G3'!$A$8:$A$17,$A7)=1,VLOOKUP($A7,'R1_G3'!$A$8:$Y$17, H$2+4,FALSE),
IF(COUNTIF('R1_G4'!$A$8:$A$17,$A7)=1,VLOOKUP($A7,'R1_G4'!$A$8:$Y$17, H$2+4,FALSE),""))))</f>
        <v>6</v>
      </c>
      <c r="I7" s="852">
        <f>IF(COUNTIF('R1_G1'!$A$8:$A$17,$A7)=1,VLOOKUP($A7,'R1_G1'!$A$8:$Y$17, I$2+4,FALSE),
IF(COUNTIF('R1_G2'!$A$8:$A$17,$A7)=1,VLOOKUP($A7,'R1_G2'!$A$8:$Y$17, I$2+4,FALSE),
IF(COUNTIF('R1_G3'!$A$8:$A$17,$A7)=1,VLOOKUP($A7,'R1_G3'!$A$8:$Y$17, I$2+4,FALSE),
IF(COUNTIF('R1_G4'!$A$8:$A$17,$A7)=1,VLOOKUP($A7,'R1_G4'!$A$8:$Y$17, I$2+4,FALSE),""))))</f>
        <v>6</v>
      </c>
      <c r="J7" s="852">
        <f>IF(COUNTIF('R1_G1'!$A$8:$A$17,$A7)=1,VLOOKUP($A7,'R1_G1'!$A$8:$Y$17, J$2+4,FALSE),
IF(COUNTIF('R1_G2'!$A$8:$A$17,$A7)=1,VLOOKUP($A7,'R1_G2'!$A$8:$Y$17, J$2+4,FALSE),
IF(COUNTIF('R1_G3'!$A$8:$A$17,$A7)=1,VLOOKUP($A7,'R1_G3'!$A$8:$Y$17, J$2+4,FALSE),
IF(COUNTIF('R1_G4'!$A$8:$A$17,$A7)=1,VLOOKUP($A7,'R1_G4'!$A$8:$Y$17, J$2+4,FALSE),""))))</f>
        <v>4</v>
      </c>
      <c r="K7" s="852">
        <f>IF(COUNTIF('R1_G1'!$A$8:$A$17,$A7)=1,VLOOKUP($A7,'R1_G1'!$A$8:$Y$17, K$2+4,FALSE),
IF(COUNTIF('R1_G2'!$A$8:$A$17,$A7)=1,VLOOKUP($A7,'R1_G2'!$A$8:$Y$17, K$2+4,FALSE),
IF(COUNTIF('R1_G3'!$A$8:$A$17,$A7)=1,VLOOKUP($A7,'R1_G3'!$A$8:$Y$17, K$2+4,FALSE),
IF(COUNTIF('R1_G4'!$A$8:$A$17,$A7)=1,VLOOKUP($A7,'R1_G4'!$A$8:$Y$17, K$2+4,FALSE),""))))</f>
        <v>4</v>
      </c>
      <c r="L7" s="852">
        <f>IF(COUNTIF('R1_G1'!$A$8:$A$17,$A7)=1,VLOOKUP($A7,'R1_G1'!$A$8:$Y$17, L$2+4,FALSE),
IF(COUNTIF('R1_G2'!$A$8:$A$17,$A7)=1,VLOOKUP($A7,'R1_G2'!$A$8:$Y$17, L$2+4,FALSE),
IF(COUNTIF('R1_G3'!$A$8:$A$17,$A7)=1,VLOOKUP($A7,'R1_G3'!$A$8:$Y$17, L$2+4,FALSE),
IF(COUNTIF('R1_G4'!$A$8:$A$17,$A7)=1,VLOOKUP($A7,'R1_G4'!$A$8:$Y$17, L$2+4,FALSE),""))))</f>
        <v>4</v>
      </c>
      <c r="M7" s="852">
        <f>IF(COUNTIF('R1_G1'!$A$8:$A$17,$A7)=1,VLOOKUP($A7,'R1_G1'!$A$8:$Y$17, M$2+4,FALSE),
IF(COUNTIF('R1_G2'!$A$8:$A$17,$A7)=1,VLOOKUP($A7,'R1_G2'!$A$8:$Y$17, M$2+4,FALSE),
IF(COUNTIF('R1_G3'!$A$8:$A$17,$A7)=1,VLOOKUP($A7,'R1_G3'!$A$8:$Y$17, M$2+4,FALSE),
IF(COUNTIF('R1_G4'!$A$8:$A$17,$A7)=1,VLOOKUP($A7,'R1_G4'!$A$8:$Y$17, M$2+4,FALSE),""))))</f>
        <v>7</v>
      </c>
      <c r="N7" s="853">
        <f>IF(COUNTIF('R1_G1'!$A$8:$A$17,$A7)=1,VLOOKUP($A7,'R1_G1'!$A$8:$Y$17, N$2+7,FALSE),
IF(COUNTIF('R1_G2'!$A$8:$A$17,$A7)=1,VLOOKUP($A7,'R1_G2'!$A$8:$Y$17, N$2+7,FALSE),
IF(COUNTIF('R1_G3'!$A$8:$A$17,$A7)=1,VLOOKUP($A7,'R1_G3'!$A$8:$Y$17, N$2+7,FALSE),
IF(COUNTIF('R1_G4'!$A$8:$A$17,$A7)=1,VLOOKUP($A7,'R1_G4'!$A$8:$Y$17, N$2+7,FALSE),""))))</f>
        <v>4</v>
      </c>
      <c r="O7" s="853">
        <f>IF(COUNTIF('R1_G1'!$A$8:$A$17,$A7)=1,VLOOKUP($A7,'R1_G1'!$A$8:$Y$17, O$2+7,FALSE),
IF(COUNTIF('R1_G2'!$A$8:$A$17,$A7)=1,VLOOKUP($A7,'R1_G2'!$A$8:$Y$17, O$2+7,FALSE),
IF(COUNTIF('R1_G3'!$A$8:$A$17,$A7)=1,VLOOKUP($A7,'R1_G3'!$A$8:$Y$17, O$2+7,FALSE),
IF(COUNTIF('R1_G4'!$A$8:$A$17,$A7)=1,VLOOKUP($A7,'R1_G4'!$A$8:$Y$17, O$2+7,FALSE),""))))</f>
        <v>4</v>
      </c>
      <c r="P7" s="853">
        <f>IF(COUNTIF('R1_G1'!$A$8:$A$17,$A7)=1,VLOOKUP($A7,'R1_G1'!$A$8:$Y$17, P$2+7,FALSE),
IF(COUNTIF('R1_G2'!$A$8:$A$17,$A7)=1,VLOOKUP($A7,'R1_G2'!$A$8:$Y$17, P$2+7,FALSE),
IF(COUNTIF('R1_G3'!$A$8:$A$17,$A7)=1,VLOOKUP($A7,'R1_G3'!$A$8:$Y$17, P$2+7,FALSE),
IF(COUNTIF('R1_G4'!$A$8:$A$17,$A7)=1,VLOOKUP($A7,'R1_G4'!$A$8:$Y$17, P$2+7,FALSE),""))))</f>
        <v>4</v>
      </c>
      <c r="Q7" s="853">
        <f>IF(COUNTIF('R1_G1'!$A$8:$A$17,$A7)=1,VLOOKUP($A7,'R1_G1'!$A$8:$Y$17, Q$2+7,FALSE),
IF(COUNTIF('R1_G2'!$A$8:$A$17,$A7)=1,VLOOKUP($A7,'R1_G2'!$A$8:$Y$17, Q$2+7,FALSE),
IF(COUNTIF('R1_G3'!$A$8:$A$17,$A7)=1,VLOOKUP($A7,'R1_G3'!$A$8:$Y$17, Q$2+7,FALSE),
IF(COUNTIF('R1_G4'!$A$8:$A$17,$A7)=1,VLOOKUP($A7,'R1_G4'!$A$8:$Y$17, Q$2+7,FALSE),""))))</f>
        <v>4</v>
      </c>
      <c r="R7" s="853">
        <f>IF(COUNTIF('R1_G1'!$A$8:$A$17,$A7)=1,VLOOKUP($A7,'R1_G1'!$A$8:$Y$17, R$2+7,FALSE),
IF(COUNTIF('R1_G2'!$A$8:$A$17,$A7)=1,VLOOKUP($A7,'R1_G2'!$A$8:$Y$17, R$2+7,FALSE),
IF(COUNTIF('R1_G3'!$A$8:$A$17,$A7)=1,VLOOKUP($A7,'R1_G3'!$A$8:$Y$17, R$2+7,FALSE),
IF(COUNTIF('R1_G4'!$A$8:$A$17,$A7)=1,VLOOKUP($A7,'R1_G4'!$A$8:$Y$17, R$2+7,FALSE),""))))</f>
        <v>5</v>
      </c>
      <c r="S7" s="853">
        <f>IF(COUNTIF('R1_G1'!$A$8:$A$17,$A7)=1,VLOOKUP($A7,'R1_G1'!$A$8:$Y$17, S$2+7,FALSE),
IF(COUNTIF('R1_G2'!$A$8:$A$17,$A7)=1,VLOOKUP($A7,'R1_G2'!$A$8:$Y$17, S$2+7,FALSE),
IF(COUNTIF('R1_G3'!$A$8:$A$17,$A7)=1,VLOOKUP($A7,'R1_G3'!$A$8:$Y$17, S$2+7,FALSE),
IF(COUNTIF('R1_G4'!$A$8:$A$17,$A7)=1,VLOOKUP($A7,'R1_G4'!$A$8:$Y$17, S$2+7,FALSE),""))))</f>
        <v>4</v>
      </c>
      <c r="T7" s="853">
        <f>IF(COUNTIF('R1_G1'!$A$8:$A$17,$A7)=1,VLOOKUP($A7,'R1_G1'!$A$8:$Y$17, T$2+7,FALSE),
IF(COUNTIF('R1_G2'!$A$8:$A$17,$A7)=1,VLOOKUP($A7,'R1_G2'!$A$8:$Y$17, T$2+7,FALSE),
IF(COUNTIF('R1_G3'!$A$8:$A$17,$A7)=1,VLOOKUP($A7,'R1_G3'!$A$8:$Y$17, T$2+7,FALSE),
IF(COUNTIF('R1_G4'!$A$8:$A$17,$A7)=1,VLOOKUP($A7,'R1_G4'!$A$8:$Y$17, T$2+7,FALSE),""))))</f>
        <v>5</v>
      </c>
      <c r="U7" s="853">
        <f>IF(COUNTIF('R1_G1'!$A$8:$A$17,$A7)=1,VLOOKUP($A7,'R1_G1'!$A$8:$Y$17, U$2+7,FALSE),
IF(COUNTIF('R1_G2'!$A$8:$A$17,$A7)=1,VLOOKUP($A7,'R1_G2'!$A$8:$Y$17, U$2+7,FALSE),
IF(COUNTIF('R1_G3'!$A$8:$A$17,$A7)=1,VLOOKUP($A7,'R1_G3'!$A$8:$Y$17, U$2+7,FALSE),
IF(COUNTIF('R1_G4'!$A$8:$A$17,$A7)=1,VLOOKUP($A7,'R1_G4'!$A$8:$Y$17, U$2+7,FALSE),""))))</f>
        <v>4</v>
      </c>
      <c r="V7" s="853">
        <f>IF(COUNTIF('R1_G1'!$A$8:$A$17,$A7)=1,VLOOKUP($A7,'R1_G1'!$A$8:$Y$17, V$2+7,FALSE),
IF(COUNTIF('R1_G2'!$A$8:$A$17,$A7)=1,VLOOKUP($A7,'R1_G2'!$A$8:$Y$17, V$2+7,FALSE),
IF(COUNTIF('R1_G3'!$A$8:$A$17,$A7)=1,VLOOKUP($A7,'R1_G3'!$A$8:$Y$17, V$2+7,FALSE),
IF(COUNTIF('R1_G4'!$A$8:$A$17,$A7)=1,VLOOKUP($A7,'R1_G4'!$A$8:$Y$17, V$2+7,FALSE),""))))</f>
        <v>7</v>
      </c>
      <c r="W7" s="852">
        <f t="shared" si="2"/>
        <v>44</v>
      </c>
      <c r="X7" s="852">
        <f t="shared" si="3"/>
        <v>41</v>
      </c>
      <c r="Y7" s="852">
        <f t="shared" si="7"/>
        <v>85</v>
      </c>
      <c r="Z7" s="850">
        <f t="shared" ca="1" si="8"/>
        <v>76</v>
      </c>
      <c r="AA7" s="850">
        <f t="shared" si="9"/>
        <v>85</v>
      </c>
      <c r="AB7" s="838"/>
      <c r="AC7" s="849" t="str">
        <f>'Master Input'!$A$13</f>
        <v>CuzNick</v>
      </c>
      <c r="AD7" s="850">
        <f ca="1">VLOOKUP(AC7,'Master Input'!$A$11:$L$27,6,FALSE)</f>
        <v>9</v>
      </c>
      <c r="AE7" s="849" t="s">
        <v>198</v>
      </c>
      <c r="AF7" s="832"/>
      <c r="AG7" s="852">
        <f t="shared" ref="AG7:AX7" ca="1" si="20">IF(E7="","",E7-IF($B7&gt;0,FLOOR($B7/18,1),0)-IF(AND(MOD($B7,18)&gt;=E$3,$B7&gt;0),1,0)+IF(E$3-18&gt;$B7,1,0))</f>
        <v>5</v>
      </c>
      <c r="AH7" s="852">
        <f t="shared" ca="1" si="20"/>
        <v>5</v>
      </c>
      <c r="AI7" s="852">
        <f t="shared" ca="1" si="20"/>
        <v>3</v>
      </c>
      <c r="AJ7" s="852">
        <f t="shared" ca="1" si="20"/>
        <v>6</v>
      </c>
      <c r="AK7" s="852">
        <f t="shared" ca="1" si="20"/>
        <v>5</v>
      </c>
      <c r="AL7" s="852">
        <f t="shared" ca="1" si="20"/>
        <v>3</v>
      </c>
      <c r="AM7" s="852">
        <f t="shared" ca="1" si="20"/>
        <v>4</v>
      </c>
      <c r="AN7" s="852">
        <f t="shared" ca="1" si="20"/>
        <v>3</v>
      </c>
      <c r="AO7" s="852">
        <f t="shared" ca="1" si="20"/>
        <v>6</v>
      </c>
      <c r="AP7" s="853">
        <f t="shared" ca="1" si="20"/>
        <v>3</v>
      </c>
      <c r="AQ7" s="853">
        <f t="shared" ca="1" si="20"/>
        <v>4</v>
      </c>
      <c r="AR7" s="853">
        <f t="shared" ca="1" si="20"/>
        <v>3</v>
      </c>
      <c r="AS7" s="853">
        <f t="shared" ca="1" si="20"/>
        <v>4</v>
      </c>
      <c r="AT7" s="853">
        <f t="shared" ca="1" si="20"/>
        <v>4</v>
      </c>
      <c r="AU7" s="853">
        <f t="shared" ca="1" si="20"/>
        <v>3</v>
      </c>
      <c r="AV7" s="853">
        <f t="shared" ca="1" si="20"/>
        <v>5</v>
      </c>
      <c r="AW7" s="853">
        <f t="shared" ca="1" si="20"/>
        <v>4</v>
      </c>
      <c r="AX7" s="853">
        <f t="shared" ca="1" si="20"/>
        <v>6</v>
      </c>
      <c r="AY7" s="852">
        <f t="shared" ca="1" si="5"/>
        <v>40</v>
      </c>
      <c r="AZ7" s="852">
        <f t="shared" ca="1" si="6"/>
        <v>36</v>
      </c>
      <c r="BA7" s="852">
        <f t="shared" ca="1" si="11"/>
        <v>76</v>
      </c>
      <c r="BB7" s="849" t="str">
        <f ca="1">IF(COUNTIF('R1_G1'!$A$8:$A$17,$A7)=1, IF(AND(BA7=Z7,BA7=VLOOKUP($A7,'R1_G1'!$A$8:$AB$17, 28,FALSE)),"yes","no"),
IF(COUNTIF('R1_G2'!$A$8:$A$17,$A7)=1, IF(AND(BA7=Z7,BA7=VLOOKUP($A7,'R1_G2'!$A$8:$AB$17, 28,FALSE)),"yes","no"),
IF(COUNTIF('R1_G3'!$A$8:$A$17,$A7)=1, IF(AND(BA7=Z7,BA7=VLOOKUP($A7,'R1_G3'!$A$8:$AB$17, 28,FALSE)),"yes","no"),
IF(COUNTIF('R1_G4'!$A$8:$A$17,$A7)=1, IF(AND(BA7=Z7,BA7=VLOOKUP($A7,'R1_G4'!$A$8:$AB$17, 28,FALSE)),"yes","no"),
"?"))))</f>
        <v>yes</v>
      </c>
      <c r="BC7" s="838"/>
      <c r="BD7" s="862">
        <f t="shared" ca="1" si="12"/>
        <v>7.5</v>
      </c>
      <c r="BE7" s="855">
        <f t="shared" ca="1" si="13"/>
        <v>8.8666666666666654</v>
      </c>
      <c r="BF7" s="855">
        <f t="shared" ca="1" si="15"/>
        <v>1</v>
      </c>
      <c r="BG7" s="855">
        <f t="shared" ca="1" si="16"/>
        <v>4</v>
      </c>
      <c r="BH7" s="855">
        <f t="shared" ca="1" si="17"/>
        <v>5</v>
      </c>
      <c r="BI7" s="855">
        <f t="shared" ca="1" si="18"/>
        <v>6</v>
      </c>
      <c r="BJ7" s="855">
        <f t="shared" ca="1" si="19"/>
        <v>2</v>
      </c>
    </row>
    <row r="8" spans="1:62" ht="14.25" customHeight="1">
      <c r="A8" s="857" t="str">
        <f>'Master Input'!$A$14</f>
        <v>R-Mac</v>
      </c>
      <c r="B8" s="858">
        <f ca="1">VLOOKUP(A8,'Master Input'!$A$11:$L$27,6,FALSE)</f>
        <v>9</v>
      </c>
      <c r="C8" s="849">
        <f>VLOOKUP(A8,'Locked Bets Setup'!$A$5:$L$20,10,FALSE)</f>
        <v>0</v>
      </c>
      <c r="D8" s="851"/>
      <c r="E8" s="859">
        <f>IF(COUNTIF('R1_G1'!$A$8:$A$17,$A8)=1,VLOOKUP($A8,'R1_G1'!$A$8:$Y$17, E$2+4,FALSE),
IF(COUNTIF('R1_G2'!$A$8:$A$17,$A8)=1,VLOOKUP($A8,'R1_G2'!$A$8:$Y$17, E$2+4,FALSE),
IF(COUNTIF('R1_G3'!$A$8:$A$17,$A8)=1,VLOOKUP($A8,'R1_G3'!$A$8:$Y$17, E$2+4,FALSE),
IF(COUNTIF('R1_G4'!$A$8:$A$17,$A8)=1,VLOOKUP($A8,'R1_G4'!$A$8:$Y$17, E$2+4,FALSE),""))))</f>
        <v>5</v>
      </c>
      <c r="F8" s="859">
        <f>IF(COUNTIF('R1_G1'!$A$8:$A$17,$A8)=1,VLOOKUP($A8,'R1_G1'!$A$8:$Y$17, F$2+4,FALSE),
IF(COUNTIF('R1_G2'!$A$8:$A$17,$A8)=1,VLOOKUP($A8,'R1_G2'!$A$8:$Y$17, F$2+4,FALSE),
IF(COUNTIF('R1_G3'!$A$8:$A$17,$A8)=1,VLOOKUP($A8,'R1_G3'!$A$8:$Y$17, F$2+4,FALSE),
IF(COUNTIF('R1_G4'!$A$8:$A$17,$A8)=1,VLOOKUP($A8,'R1_G4'!$A$8:$Y$17, F$2+4,FALSE),""))))</f>
        <v>4</v>
      </c>
      <c r="G8" s="859">
        <f>IF(COUNTIF('R1_G1'!$A$8:$A$17,$A8)=1,VLOOKUP($A8,'R1_G1'!$A$8:$Y$17, G$2+4,FALSE),
IF(COUNTIF('R1_G2'!$A$8:$A$17,$A8)=1,VLOOKUP($A8,'R1_G2'!$A$8:$Y$17, G$2+4,FALSE),
IF(COUNTIF('R1_G3'!$A$8:$A$17,$A8)=1,VLOOKUP($A8,'R1_G3'!$A$8:$Y$17, G$2+4,FALSE),
IF(COUNTIF('R1_G4'!$A$8:$A$17,$A8)=1,VLOOKUP($A8,'R1_G4'!$A$8:$Y$17, G$2+4,FALSE),""))))</f>
        <v>5</v>
      </c>
      <c r="H8" s="859">
        <f>IF(COUNTIF('R1_G1'!$A$8:$A$17,$A8)=1,VLOOKUP($A8,'R1_G1'!$A$8:$Y$17, H$2+4,FALSE),
IF(COUNTIF('R1_G2'!$A$8:$A$17,$A8)=1,VLOOKUP($A8,'R1_G2'!$A$8:$Y$17, H$2+4,FALSE),
IF(COUNTIF('R1_G3'!$A$8:$A$17,$A8)=1,VLOOKUP($A8,'R1_G3'!$A$8:$Y$17, H$2+4,FALSE),
IF(COUNTIF('R1_G4'!$A$8:$A$17,$A8)=1,VLOOKUP($A8,'R1_G4'!$A$8:$Y$17, H$2+4,FALSE),""))))</f>
        <v>4</v>
      </c>
      <c r="I8" s="859">
        <f>IF(COUNTIF('R1_G1'!$A$8:$A$17,$A8)=1,VLOOKUP($A8,'R1_G1'!$A$8:$Y$17, I$2+4,FALSE),
IF(COUNTIF('R1_G2'!$A$8:$A$17,$A8)=1,VLOOKUP($A8,'R1_G2'!$A$8:$Y$17, I$2+4,FALSE),
IF(COUNTIF('R1_G3'!$A$8:$A$17,$A8)=1,VLOOKUP($A8,'R1_G3'!$A$8:$Y$17, I$2+4,FALSE),
IF(COUNTIF('R1_G4'!$A$8:$A$17,$A8)=1,VLOOKUP($A8,'R1_G4'!$A$8:$Y$17, I$2+4,FALSE),""))))</f>
        <v>4</v>
      </c>
      <c r="J8" s="859">
        <f>IF(COUNTIF('R1_G1'!$A$8:$A$17,$A8)=1,VLOOKUP($A8,'R1_G1'!$A$8:$Y$17, J$2+4,FALSE),
IF(COUNTIF('R1_G2'!$A$8:$A$17,$A8)=1,VLOOKUP($A8,'R1_G2'!$A$8:$Y$17, J$2+4,FALSE),
IF(COUNTIF('R1_G3'!$A$8:$A$17,$A8)=1,VLOOKUP($A8,'R1_G3'!$A$8:$Y$17, J$2+4,FALSE),
IF(COUNTIF('R1_G4'!$A$8:$A$17,$A8)=1,VLOOKUP($A8,'R1_G4'!$A$8:$Y$17, J$2+4,FALSE),""))))</f>
        <v>6</v>
      </c>
      <c r="K8" s="859">
        <f>IF(COUNTIF('R1_G1'!$A$8:$A$17,$A8)=1,VLOOKUP($A8,'R1_G1'!$A$8:$Y$17, K$2+4,FALSE),
IF(COUNTIF('R1_G2'!$A$8:$A$17,$A8)=1,VLOOKUP($A8,'R1_G2'!$A$8:$Y$17, K$2+4,FALSE),
IF(COUNTIF('R1_G3'!$A$8:$A$17,$A8)=1,VLOOKUP($A8,'R1_G3'!$A$8:$Y$17, K$2+4,FALSE),
IF(COUNTIF('R1_G4'!$A$8:$A$17,$A8)=1,VLOOKUP($A8,'R1_G4'!$A$8:$Y$17, K$2+4,FALSE),""))))</f>
        <v>4</v>
      </c>
      <c r="L8" s="859">
        <f>IF(COUNTIF('R1_G1'!$A$8:$A$17,$A8)=1,VLOOKUP($A8,'R1_G1'!$A$8:$Y$17, L$2+4,FALSE),
IF(COUNTIF('R1_G2'!$A$8:$A$17,$A8)=1,VLOOKUP($A8,'R1_G2'!$A$8:$Y$17, L$2+4,FALSE),
IF(COUNTIF('R1_G3'!$A$8:$A$17,$A8)=1,VLOOKUP($A8,'R1_G3'!$A$8:$Y$17, L$2+4,FALSE),
IF(COUNTIF('R1_G4'!$A$8:$A$17,$A8)=1,VLOOKUP($A8,'R1_G4'!$A$8:$Y$17, L$2+4,FALSE),""))))</f>
        <v>4</v>
      </c>
      <c r="M8" s="859">
        <f>IF(COUNTIF('R1_G1'!$A$8:$A$17,$A8)=1,VLOOKUP($A8,'R1_G1'!$A$8:$Y$17, M$2+4,FALSE),
IF(COUNTIF('R1_G2'!$A$8:$A$17,$A8)=1,VLOOKUP($A8,'R1_G2'!$A$8:$Y$17, M$2+4,FALSE),
IF(COUNTIF('R1_G3'!$A$8:$A$17,$A8)=1,VLOOKUP($A8,'R1_G3'!$A$8:$Y$17, M$2+4,FALSE),
IF(COUNTIF('R1_G4'!$A$8:$A$17,$A8)=1,VLOOKUP($A8,'R1_G4'!$A$8:$Y$17, M$2+4,FALSE),""))))</f>
        <v>7</v>
      </c>
      <c r="N8" s="852">
        <f>IF(COUNTIF('R1_G1'!$A$8:$A$17,$A8)=1,VLOOKUP($A8,'R1_G1'!$A$8:$Y$17, N$2+7,FALSE),
IF(COUNTIF('R1_G2'!$A$8:$A$17,$A8)=1,VLOOKUP($A8,'R1_G2'!$A$8:$Y$17, N$2+7,FALSE),
IF(COUNTIF('R1_G3'!$A$8:$A$17,$A8)=1,VLOOKUP($A8,'R1_G3'!$A$8:$Y$17, N$2+7,FALSE),
IF(COUNTIF('R1_G4'!$A$8:$A$17,$A8)=1,VLOOKUP($A8,'R1_G4'!$A$8:$Y$17, N$2+7,FALSE),""))))</f>
        <v>6</v>
      </c>
      <c r="O8" s="852">
        <f>IF(COUNTIF('R1_G1'!$A$8:$A$17,$A8)=1,VLOOKUP($A8,'R1_G1'!$A$8:$Y$17, O$2+7,FALSE),
IF(COUNTIF('R1_G2'!$A$8:$A$17,$A8)=1,VLOOKUP($A8,'R1_G2'!$A$8:$Y$17, O$2+7,FALSE),
IF(COUNTIF('R1_G3'!$A$8:$A$17,$A8)=1,VLOOKUP($A8,'R1_G3'!$A$8:$Y$17, O$2+7,FALSE),
IF(COUNTIF('R1_G4'!$A$8:$A$17,$A8)=1,VLOOKUP($A8,'R1_G4'!$A$8:$Y$17, O$2+7,FALSE),""))))</f>
        <v>4</v>
      </c>
      <c r="P8" s="852">
        <f>IF(COUNTIF('R1_G1'!$A$8:$A$17,$A8)=1,VLOOKUP($A8,'R1_G1'!$A$8:$Y$17, P$2+7,FALSE),
IF(COUNTIF('R1_G2'!$A$8:$A$17,$A8)=1,VLOOKUP($A8,'R1_G2'!$A$8:$Y$17, P$2+7,FALSE),
IF(COUNTIF('R1_G3'!$A$8:$A$17,$A8)=1,VLOOKUP($A8,'R1_G3'!$A$8:$Y$17, P$2+7,FALSE),
IF(COUNTIF('R1_G4'!$A$8:$A$17,$A8)=1,VLOOKUP($A8,'R1_G4'!$A$8:$Y$17, P$2+7,FALSE),""))))</f>
        <v>4</v>
      </c>
      <c r="Q8" s="852">
        <f>IF(COUNTIF('R1_G1'!$A$8:$A$17,$A8)=1,VLOOKUP($A8,'R1_G1'!$A$8:$Y$17, Q$2+7,FALSE),
IF(COUNTIF('R1_G2'!$A$8:$A$17,$A8)=1,VLOOKUP($A8,'R1_G2'!$A$8:$Y$17, Q$2+7,FALSE),
IF(COUNTIF('R1_G3'!$A$8:$A$17,$A8)=1,VLOOKUP($A8,'R1_G3'!$A$8:$Y$17, Q$2+7,FALSE),
IF(COUNTIF('R1_G4'!$A$8:$A$17,$A8)=1,VLOOKUP($A8,'R1_G4'!$A$8:$Y$17, Q$2+7,FALSE),""))))</f>
        <v>3</v>
      </c>
      <c r="R8" s="852">
        <f>IF(COUNTIF('R1_G1'!$A$8:$A$17,$A8)=1,VLOOKUP($A8,'R1_G1'!$A$8:$Y$17, R$2+7,FALSE),
IF(COUNTIF('R1_G2'!$A$8:$A$17,$A8)=1,VLOOKUP($A8,'R1_G2'!$A$8:$Y$17, R$2+7,FALSE),
IF(COUNTIF('R1_G3'!$A$8:$A$17,$A8)=1,VLOOKUP($A8,'R1_G3'!$A$8:$Y$17, R$2+7,FALSE),
IF(COUNTIF('R1_G4'!$A$8:$A$17,$A8)=1,VLOOKUP($A8,'R1_G4'!$A$8:$Y$17, R$2+7,FALSE),""))))</f>
        <v>5</v>
      </c>
      <c r="S8" s="852">
        <f>IF(COUNTIF('R1_G1'!$A$8:$A$17,$A8)=1,VLOOKUP($A8,'R1_G1'!$A$8:$Y$17, S$2+7,FALSE),
IF(COUNTIF('R1_G2'!$A$8:$A$17,$A8)=1,VLOOKUP($A8,'R1_G2'!$A$8:$Y$17, S$2+7,FALSE),
IF(COUNTIF('R1_G3'!$A$8:$A$17,$A8)=1,VLOOKUP($A8,'R1_G3'!$A$8:$Y$17, S$2+7,FALSE),
IF(COUNTIF('R1_G4'!$A$8:$A$17,$A8)=1,VLOOKUP($A8,'R1_G4'!$A$8:$Y$17, S$2+7,FALSE),""))))</f>
        <v>7</v>
      </c>
      <c r="T8" s="852">
        <f>IF(COUNTIF('R1_G1'!$A$8:$A$17,$A8)=1,VLOOKUP($A8,'R1_G1'!$A$8:$Y$17, T$2+7,FALSE),
IF(COUNTIF('R1_G2'!$A$8:$A$17,$A8)=1,VLOOKUP($A8,'R1_G2'!$A$8:$Y$17, T$2+7,FALSE),
IF(COUNTIF('R1_G3'!$A$8:$A$17,$A8)=1,VLOOKUP($A8,'R1_G3'!$A$8:$Y$17, T$2+7,FALSE),
IF(COUNTIF('R1_G4'!$A$8:$A$17,$A8)=1,VLOOKUP($A8,'R1_G4'!$A$8:$Y$17, T$2+7,FALSE),""))))</f>
        <v>5</v>
      </c>
      <c r="U8" s="852">
        <f>IF(COUNTIF('R1_G1'!$A$8:$A$17,$A8)=1,VLOOKUP($A8,'R1_G1'!$A$8:$Y$17, U$2+7,FALSE),
IF(COUNTIF('R1_G2'!$A$8:$A$17,$A8)=1,VLOOKUP($A8,'R1_G2'!$A$8:$Y$17, U$2+7,FALSE),
IF(COUNTIF('R1_G3'!$A$8:$A$17,$A8)=1,VLOOKUP($A8,'R1_G3'!$A$8:$Y$17, U$2+7,FALSE),
IF(COUNTIF('R1_G4'!$A$8:$A$17,$A8)=1,VLOOKUP($A8,'R1_G4'!$A$8:$Y$17, U$2+7,FALSE),""))))</f>
        <v>4</v>
      </c>
      <c r="V8" s="852">
        <f>IF(COUNTIF('R1_G1'!$A$8:$A$17,$A8)=1,VLOOKUP($A8,'R1_G1'!$A$8:$Y$17, V$2+7,FALSE),
IF(COUNTIF('R1_G2'!$A$8:$A$17,$A8)=1,VLOOKUP($A8,'R1_G2'!$A$8:$Y$17, V$2+7,FALSE),
IF(COUNTIF('R1_G3'!$A$8:$A$17,$A8)=1,VLOOKUP($A8,'R1_G3'!$A$8:$Y$17, V$2+7,FALSE),
IF(COUNTIF('R1_G4'!$A$8:$A$17,$A8)=1,VLOOKUP($A8,'R1_G4'!$A$8:$Y$17, V$2+7,FALSE),""))))</f>
        <v>6</v>
      </c>
      <c r="W8" s="859">
        <f t="shared" si="2"/>
        <v>43</v>
      </c>
      <c r="X8" s="859">
        <f t="shared" si="3"/>
        <v>44</v>
      </c>
      <c r="Y8" s="859">
        <f t="shared" si="7"/>
        <v>87</v>
      </c>
      <c r="Z8" s="858">
        <f t="shared" ca="1" si="8"/>
        <v>78</v>
      </c>
      <c r="AA8" s="858">
        <f t="shared" si="9"/>
        <v>87</v>
      </c>
      <c r="AB8" s="838"/>
      <c r="AC8" s="857" t="str">
        <f>'Master Input'!$A$14</f>
        <v>R-Mac</v>
      </c>
      <c r="AD8" s="858">
        <f ca="1">VLOOKUP(AC8,'Master Input'!$A$11:$L$27,6,FALSE)</f>
        <v>9</v>
      </c>
      <c r="AE8" s="857" t="s">
        <v>198</v>
      </c>
      <c r="AF8" s="832"/>
      <c r="AG8" s="859">
        <f t="shared" ref="AG8:AX8" ca="1" si="21">IF(E8="","",E8-IF($B8&gt;0,FLOOR($B8/18,1),0)-IF(AND(MOD($B8,18)&gt;=E$3,$B8&gt;0),1,0)+IF(E$3-18&gt;$B8,1,0))</f>
        <v>5</v>
      </c>
      <c r="AH8" s="859">
        <f t="shared" ca="1" si="21"/>
        <v>4</v>
      </c>
      <c r="AI8" s="859">
        <f t="shared" ca="1" si="21"/>
        <v>5</v>
      </c>
      <c r="AJ8" s="859">
        <f t="shared" ca="1" si="21"/>
        <v>4</v>
      </c>
      <c r="AK8" s="859">
        <f t="shared" ca="1" si="21"/>
        <v>3</v>
      </c>
      <c r="AL8" s="859">
        <f t="shared" ca="1" si="21"/>
        <v>5</v>
      </c>
      <c r="AM8" s="859">
        <f t="shared" ca="1" si="21"/>
        <v>4</v>
      </c>
      <c r="AN8" s="859">
        <f t="shared" ca="1" si="21"/>
        <v>3</v>
      </c>
      <c r="AO8" s="859">
        <f t="shared" ca="1" si="21"/>
        <v>6</v>
      </c>
      <c r="AP8" s="852">
        <f t="shared" ca="1" si="21"/>
        <v>5</v>
      </c>
      <c r="AQ8" s="852">
        <f t="shared" ca="1" si="21"/>
        <v>4</v>
      </c>
      <c r="AR8" s="852">
        <f t="shared" ca="1" si="21"/>
        <v>3</v>
      </c>
      <c r="AS8" s="852">
        <f t="shared" ca="1" si="21"/>
        <v>3</v>
      </c>
      <c r="AT8" s="852">
        <f t="shared" ca="1" si="21"/>
        <v>4</v>
      </c>
      <c r="AU8" s="852">
        <f t="shared" ca="1" si="21"/>
        <v>6</v>
      </c>
      <c r="AV8" s="852">
        <f t="shared" ca="1" si="21"/>
        <v>5</v>
      </c>
      <c r="AW8" s="852">
        <f t="shared" ca="1" si="21"/>
        <v>4</v>
      </c>
      <c r="AX8" s="852">
        <f t="shared" ca="1" si="21"/>
        <v>5</v>
      </c>
      <c r="AY8" s="859">
        <f t="shared" ca="1" si="5"/>
        <v>39</v>
      </c>
      <c r="AZ8" s="859">
        <f t="shared" ca="1" si="6"/>
        <v>39</v>
      </c>
      <c r="BA8" s="859">
        <f t="shared" ca="1" si="11"/>
        <v>78</v>
      </c>
      <c r="BB8" s="857" t="str">
        <f ca="1">IF(COUNTIF('R1_G1'!$A$8:$A$17,$A8)=1, IF(AND(BA8=Z8,BA8=VLOOKUP($A8,'R1_G1'!$A$8:$AB$17, 28,FALSE)),"yes","no"),
IF(COUNTIF('R1_G2'!$A$8:$A$17,$A8)=1, IF(AND(BA8=Z8,BA8=VLOOKUP($A8,'R1_G2'!$A$8:$AB$17, 28,FALSE)),"yes","no"),
IF(COUNTIF('R1_G3'!$A$8:$A$17,$A8)=1, IF(AND(BA8=Z8,BA8=VLOOKUP($A8,'R1_G3'!$A$8:$AB$17, 28,FALSE)),"yes","no"),
IF(COUNTIF('R1_G4'!$A$8:$A$17,$A8)=1, IF(AND(BA8=Z8,BA8=VLOOKUP($A8,'R1_G4'!$A$8:$AB$17, 28,FALSE)),"yes","no"),
"?"))))</f>
        <v>yes</v>
      </c>
      <c r="BC8" s="838"/>
      <c r="BD8" s="860">
        <f t="shared" ca="1" si="12"/>
        <v>7</v>
      </c>
      <c r="BE8" s="861">
        <f t="shared" ca="1" si="13"/>
        <v>8.6333333333333329</v>
      </c>
      <c r="BF8" s="861">
        <f t="shared" ca="1" si="15"/>
        <v>0</v>
      </c>
      <c r="BG8" s="861">
        <f t="shared" ca="1" si="16"/>
        <v>3</v>
      </c>
      <c r="BH8" s="861">
        <f t="shared" ca="1" si="17"/>
        <v>8</v>
      </c>
      <c r="BI8" s="861">
        <f t="shared" ca="1" si="18"/>
        <v>5</v>
      </c>
      <c r="BJ8" s="861">
        <f t="shared" ca="1" si="19"/>
        <v>2</v>
      </c>
    </row>
    <row r="9" spans="1:62" ht="14.25" customHeight="1">
      <c r="A9" s="849" t="str">
        <f>'Master Input'!$A$15</f>
        <v>House</v>
      </c>
      <c r="B9" s="850">
        <f ca="1">VLOOKUP(A9,'Master Input'!$A$11:$L$27,6,FALSE)</f>
        <v>10</v>
      </c>
      <c r="C9" s="849">
        <f>VLOOKUP(A9,'Locked Bets Setup'!$A$5:$L$20,10,FALSE)</f>
        <v>0</v>
      </c>
      <c r="D9" s="851"/>
      <c r="E9" s="852">
        <f>IF(COUNTIF('R1_G1'!$A$8:$A$17,$A9)=1,VLOOKUP($A9,'R1_G1'!$A$8:$Y$17, E$2+4,FALSE),
IF(COUNTIF('R1_G2'!$A$8:$A$17,$A9)=1,VLOOKUP($A9,'R1_G2'!$A$8:$Y$17, E$2+4,FALSE),
IF(COUNTIF('R1_G3'!$A$8:$A$17,$A9)=1,VLOOKUP($A9,'R1_G3'!$A$8:$Y$17, E$2+4,FALSE),
IF(COUNTIF('R1_G4'!$A$8:$A$17,$A9)=1,VLOOKUP($A9,'R1_G4'!$A$8:$Y$17, E$2+4,FALSE),""))))</f>
        <v>6</v>
      </c>
      <c r="F9" s="852">
        <f>IF(COUNTIF('R1_G1'!$A$8:$A$17,$A9)=1,VLOOKUP($A9,'R1_G1'!$A$8:$Y$17, F$2+4,FALSE),
IF(COUNTIF('R1_G2'!$A$8:$A$17,$A9)=1,VLOOKUP($A9,'R1_G2'!$A$8:$Y$17, F$2+4,FALSE),
IF(COUNTIF('R1_G3'!$A$8:$A$17,$A9)=1,VLOOKUP($A9,'R1_G3'!$A$8:$Y$17, F$2+4,FALSE),
IF(COUNTIF('R1_G4'!$A$8:$A$17,$A9)=1,VLOOKUP($A9,'R1_G4'!$A$8:$Y$17, F$2+4,FALSE),""))))</f>
        <v>4</v>
      </c>
      <c r="G9" s="852">
        <f>IF(COUNTIF('R1_G1'!$A$8:$A$17,$A9)=1,VLOOKUP($A9,'R1_G1'!$A$8:$Y$17, G$2+4,FALSE),
IF(COUNTIF('R1_G2'!$A$8:$A$17,$A9)=1,VLOOKUP($A9,'R1_G2'!$A$8:$Y$17, G$2+4,FALSE),
IF(COUNTIF('R1_G3'!$A$8:$A$17,$A9)=1,VLOOKUP($A9,'R1_G3'!$A$8:$Y$17, G$2+4,FALSE),
IF(COUNTIF('R1_G4'!$A$8:$A$17,$A9)=1,VLOOKUP($A9,'R1_G4'!$A$8:$Y$17, G$2+4,FALSE),""))))</f>
        <v>3</v>
      </c>
      <c r="H9" s="852">
        <f>IF(COUNTIF('R1_G1'!$A$8:$A$17,$A9)=1,VLOOKUP($A9,'R1_G1'!$A$8:$Y$17, H$2+4,FALSE),
IF(COUNTIF('R1_G2'!$A$8:$A$17,$A9)=1,VLOOKUP($A9,'R1_G2'!$A$8:$Y$17, H$2+4,FALSE),
IF(COUNTIF('R1_G3'!$A$8:$A$17,$A9)=1,VLOOKUP($A9,'R1_G3'!$A$8:$Y$17, H$2+4,FALSE),
IF(COUNTIF('R1_G4'!$A$8:$A$17,$A9)=1,VLOOKUP($A9,'R1_G4'!$A$8:$Y$17, H$2+4,FALSE),""))))</f>
        <v>4</v>
      </c>
      <c r="I9" s="852">
        <f>IF(COUNTIF('R1_G1'!$A$8:$A$17,$A9)=1,VLOOKUP($A9,'R1_G1'!$A$8:$Y$17, I$2+4,FALSE),
IF(COUNTIF('R1_G2'!$A$8:$A$17,$A9)=1,VLOOKUP($A9,'R1_G2'!$A$8:$Y$17, I$2+4,FALSE),
IF(COUNTIF('R1_G3'!$A$8:$A$17,$A9)=1,VLOOKUP($A9,'R1_G3'!$A$8:$Y$17, I$2+4,FALSE),
IF(COUNTIF('R1_G4'!$A$8:$A$17,$A9)=1,VLOOKUP($A9,'R1_G4'!$A$8:$Y$17, I$2+4,FALSE),""))))</f>
        <v>5</v>
      </c>
      <c r="J9" s="852">
        <f>IF(COUNTIF('R1_G1'!$A$8:$A$17,$A9)=1,VLOOKUP($A9,'R1_G1'!$A$8:$Y$17, J$2+4,FALSE),
IF(COUNTIF('R1_G2'!$A$8:$A$17,$A9)=1,VLOOKUP($A9,'R1_G2'!$A$8:$Y$17, J$2+4,FALSE),
IF(COUNTIF('R1_G3'!$A$8:$A$17,$A9)=1,VLOOKUP($A9,'R1_G3'!$A$8:$Y$17, J$2+4,FALSE),
IF(COUNTIF('R1_G4'!$A$8:$A$17,$A9)=1,VLOOKUP($A9,'R1_G4'!$A$8:$Y$17, J$2+4,FALSE),""))))</f>
        <v>7</v>
      </c>
      <c r="K9" s="852">
        <f>IF(COUNTIF('R1_G1'!$A$8:$A$17,$A9)=1,VLOOKUP($A9,'R1_G1'!$A$8:$Y$17, K$2+4,FALSE),
IF(COUNTIF('R1_G2'!$A$8:$A$17,$A9)=1,VLOOKUP($A9,'R1_G2'!$A$8:$Y$17, K$2+4,FALSE),
IF(COUNTIF('R1_G3'!$A$8:$A$17,$A9)=1,VLOOKUP($A9,'R1_G3'!$A$8:$Y$17, K$2+4,FALSE),
IF(COUNTIF('R1_G4'!$A$8:$A$17,$A9)=1,VLOOKUP($A9,'R1_G4'!$A$8:$Y$17, K$2+4,FALSE),""))))</f>
        <v>5</v>
      </c>
      <c r="L9" s="852">
        <f>IF(COUNTIF('R1_G1'!$A$8:$A$17,$A9)=1,VLOOKUP($A9,'R1_G1'!$A$8:$Y$17, L$2+4,FALSE),
IF(COUNTIF('R1_G2'!$A$8:$A$17,$A9)=1,VLOOKUP($A9,'R1_G2'!$A$8:$Y$17, L$2+4,FALSE),
IF(COUNTIF('R1_G3'!$A$8:$A$17,$A9)=1,VLOOKUP($A9,'R1_G3'!$A$8:$Y$17, L$2+4,FALSE),
IF(COUNTIF('R1_G4'!$A$8:$A$17,$A9)=1,VLOOKUP($A9,'R1_G4'!$A$8:$Y$17, L$2+4,FALSE),""))))</f>
        <v>4</v>
      </c>
      <c r="M9" s="852">
        <f>IF(COUNTIF('R1_G1'!$A$8:$A$17,$A9)=1,VLOOKUP($A9,'R1_G1'!$A$8:$Y$17, M$2+4,FALSE),
IF(COUNTIF('R1_G2'!$A$8:$A$17,$A9)=1,VLOOKUP($A9,'R1_G2'!$A$8:$Y$17, M$2+4,FALSE),
IF(COUNTIF('R1_G3'!$A$8:$A$17,$A9)=1,VLOOKUP($A9,'R1_G3'!$A$8:$Y$17, M$2+4,FALSE),
IF(COUNTIF('R1_G4'!$A$8:$A$17,$A9)=1,VLOOKUP($A9,'R1_G4'!$A$8:$Y$17, M$2+4,FALSE),""))))</f>
        <v>9</v>
      </c>
      <c r="N9" s="853">
        <f>IF(COUNTIF('R1_G1'!$A$8:$A$17,$A9)=1,VLOOKUP($A9,'R1_G1'!$A$8:$Y$17, N$2+7,FALSE),
IF(COUNTIF('R1_G2'!$A$8:$A$17,$A9)=1,VLOOKUP($A9,'R1_G2'!$A$8:$Y$17, N$2+7,FALSE),
IF(COUNTIF('R1_G3'!$A$8:$A$17,$A9)=1,VLOOKUP($A9,'R1_G3'!$A$8:$Y$17, N$2+7,FALSE),
IF(COUNTIF('R1_G4'!$A$8:$A$17,$A9)=1,VLOOKUP($A9,'R1_G4'!$A$8:$Y$17, N$2+7,FALSE),""))))</f>
        <v>6</v>
      </c>
      <c r="O9" s="853">
        <f>IF(COUNTIF('R1_G1'!$A$8:$A$17,$A9)=1,VLOOKUP($A9,'R1_G1'!$A$8:$Y$17, O$2+7,FALSE),
IF(COUNTIF('R1_G2'!$A$8:$A$17,$A9)=1,VLOOKUP($A9,'R1_G2'!$A$8:$Y$17, O$2+7,FALSE),
IF(COUNTIF('R1_G3'!$A$8:$A$17,$A9)=1,VLOOKUP($A9,'R1_G3'!$A$8:$Y$17, O$2+7,FALSE),
IF(COUNTIF('R1_G4'!$A$8:$A$17,$A9)=1,VLOOKUP($A9,'R1_G4'!$A$8:$Y$17, O$2+7,FALSE),""))))</f>
        <v>3</v>
      </c>
      <c r="P9" s="853">
        <f>IF(COUNTIF('R1_G1'!$A$8:$A$17,$A9)=1,VLOOKUP($A9,'R1_G1'!$A$8:$Y$17, P$2+7,FALSE),
IF(COUNTIF('R1_G2'!$A$8:$A$17,$A9)=1,VLOOKUP($A9,'R1_G2'!$A$8:$Y$17, P$2+7,FALSE),
IF(COUNTIF('R1_G3'!$A$8:$A$17,$A9)=1,VLOOKUP($A9,'R1_G3'!$A$8:$Y$17, P$2+7,FALSE),
IF(COUNTIF('R1_G4'!$A$8:$A$17,$A9)=1,VLOOKUP($A9,'R1_G4'!$A$8:$Y$17, P$2+7,FALSE),""))))</f>
        <v>3</v>
      </c>
      <c r="Q9" s="853">
        <f>IF(COUNTIF('R1_G1'!$A$8:$A$17,$A9)=1,VLOOKUP($A9,'R1_G1'!$A$8:$Y$17, Q$2+7,FALSE),
IF(COUNTIF('R1_G2'!$A$8:$A$17,$A9)=1,VLOOKUP($A9,'R1_G2'!$A$8:$Y$17, Q$2+7,FALSE),
IF(COUNTIF('R1_G3'!$A$8:$A$17,$A9)=1,VLOOKUP($A9,'R1_G3'!$A$8:$Y$17, Q$2+7,FALSE),
IF(COUNTIF('R1_G4'!$A$8:$A$17,$A9)=1,VLOOKUP($A9,'R1_G4'!$A$8:$Y$17, Q$2+7,FALSE),""))))</f>
        <v>4</v>
      </c>
      <c r="R9" s="853">
        <f>IF(COUNTIF('R1_G1'!$A$8:$A$17,$A9)=1,VLOOKUP($A9,'R1_G1'!$A$8:$Y$17, R$2+7,FALSE),
IF(COUNTIF('R1_G2'!$A$8:$A$17,$A9)=1,VLOOKUP($A9,'R1_G2'!$A$8:$Y$17, R$2+7,FALSE),
IF(COUNTIF('R1_G3'!$A$8:$A$17,$A9)=1,VLOOKUP($A9,'R1_G3'!$A$8:$Y$17, R$2+7,FALSE),
IF(COUNTIF('R1_G4'!$A$8:$A$17,$A9)=1,VLOOKUP($A9,'R1_G4'!$A$8:$Y$17, R$2+7,FALSE),""))))</f>
        <v>6</v>
      </c>
      <c r="S9" s="853">
        <f>IF(COUNTIF('R1_G1'!$A$8:$A$17,$A9)=1,VLOOKUP($A9,'R1_G1'!$A$8:$Y$17, S$2+7,FALSE),
IF(COUNTIF('R1_G2'!$A$8:$A$17,$A9)=1,VLOOKUP($A9,'R1_G2'!$A$8:$Y$17, S$2+7,FALSE),
IF(COUNTIF('R1_G3'!$A$8:$A$17,$A9)=1,VLOOKUP($A9,'R1_G3'!$A$8:$Y$17, S$2+7,FALSE),
IF(COUNTIF('R1_G4'!$A$8:$A$17,$A9)=1,VLOOKUP($A9,'R1_G4'!$A$8:$Y$17, S$2+7,FALSE),""))))</f>
        <v>3</v>
      </c>
      <c r="T9" s="853">
        <f>IF(COUNTIF('R1_G1'!$A$8:$A$17,$A9)=1,VLOOKUP($A9,'R1_G1'!$A$8:$Y$17, T$2+7,FALSE),
IF(COUNTIF('R1_G2'!$A$8:$A$17,$A9)=1,VLOOKUP($A9,'R1_G2'!$A$8:$Y$17, T$2+7,FALSE),
IF(COUNTIF('R1_G3'!$A$8:$A$17,$A9)=1,VLOOKUP($A9,'R1_G3'!$A$8:$Y$17, T$2+7,FALSE),
IF(COUNTIF('R1_G4'!$A$8:$A$17,$A9)=1,VLOOKUP($A9,'R1_G4'!$A$8:$Y$17, T$2+7,FALSE),""))))</f>
        <v>5</v>
      </c>
      <c r="U9" s="853">
        <f>IF(COUNTIF('R1_G1'!$A$8:$A$17,$A9)=1,VLOOKUP($A9,'R1_G1'!$A$8:$Y$17, U$2+7,FALSE),
IF(COUNTIF('R1_G2'!$A$8:$A$17,$A9)=1,VLOOKUP($A9,'R1_G2'!$A$8:$Y$17, U$2+7,FALSE),
IF(COUNTIF('R1_G3'!$A$8:$A$17,$A9)=1,VLOOKUP($A9,'R1_G3'!$A$8:$Y$17, U$2+7,FALSE),
IF(COUNTIF('R1_G4'!$A$8:$A$17,$A9)=1,VLOOKUP($A9,'R1_G4'!$A$8:$Y$17, U$2+7,FALSE),""))))</f>
        <v>2</v>
      </c>
      <c r="V9" s="853">
        <f>IF(COUNTIF('R1_G1'!$A$8:$A$17,$A9)=1,VLOOKUP($A9,'R1_G1'!$A$8:$Y$17, V$2+7,FALSE),
IF(COUNTIF('R1_G2'!$A$8:$A$17,$A9)=1,VLOOKUP($A9,'R1_G2'!$A$8:$Y$17, V$2+7,FALSE),
IF(COUNTIF('R1_G3'!$A$8:$A$17,$A9)=1,VLOOKUP($A9,'R1_G3'!$A$8:$Y$17, V$2+7,FALSE),
IF(COUNTIF('R1_G4'!$A$8:$A$17,$A9)=1,VLOOKUP($A9,'R1_G4'!$A$8:$Y$17, V$2+7,FALSE),""))))</f>
        <v>4</v>
      </c>
      <c r="W9" s="852">
        <f t="shared" si="2"/>
        <v>47</v>
      </c>
      <c r="X9" s="852">
        <f t="shared" si="3"/>
        <v>36</v>
      </c>
      <c r="Y9" s="852">
        <f t="shared" si="7"/>
        <v>83</v>
      </c>
      <c r="Z9" s="850">
        <f t="shared" ca="1" si="8"/>
        <v>73</v>
      </c>
      <c r="AA9" s="850">
        <f t="shared" si="9"/>
        <v>83</v>
      </c>
      <c r="AB9" s="838"/>
      <c r="AC9" s="849" t="str">
        <f>'Master Input'!$A$15</f>
        <v>House</v>
      </c>
      <c r="AD9" s="850">
        <f ca="1">VLOOKUP(AC9,'Master Input'!$A$11:$L$27,6,FALSE)</f>
        <v>10</v>
      </c>
      <c r="AE9" s="849" t="s">
        <v>198</v>
      </c>
      <c r="AF9" s="832"/>
      <c r="AG9" s="852">
        <f t="shared" ref="AG9:AX9" ca="1" si="22">IF(E9="","",E9-IF($B9&gt;0,FLOOR($B9/18,1),0)-IF(AND(MOD($B9,18)&gt;=E$3,$B9&gt;0),1,0)+IF(E$3-18&gt;$B9,1,0))</f>
        <v>6</v>
      </c>
      <c r="AH9" s="852">
        <f t="shared" ca="1" si="22"/>
        <v>4</v>
      </c>
      <c r="AI9" s="852">
        <f t="shared" ca="1" si="22"/>
        <v>3</v>
      </c>
      <c r="AJ9" s="852">
        <f t="shared" ca="1" si="22"/>
        <v>4</v>
      </c>
      <c r="AK9" s="852">
        <f t="shared" ca="1" si="22"/>
        <v>4</v>
      </c>
      <c r="AL9" s="852">
        <f t="shared" ca="1" si="22"/>
        <v>6</v>
      </c>
      <c r="AM9" s="852">
        <f t="shared" ca="1" si="22"/>
        <v>5</v>
      </c>
      <c r="AN9" s="852">
        <f t="shared" ca="1" si="22"/>
        <v>3</v>
      </c>
      <c r="AO9" s="852">
        <f t="shared" ca="1" si="22"/>
        <v>8</v>
      </c>
      <c r="AP9" s="853">
        <f t="shared" ca="1" si="22"/>
        <v>5</v>
      </c>
      <c r="AQ9" s="853">
        <f t="shared" ca="1" si="22"/>
        <v>3</v>
      </c>
      <c r="AR9" s="853">
        <f t="shared" ca="1" si="22"/>
        <v>2</v>
      </c>
      <c r="AS9" s="853">
        <f t="shared" ca="1" si="22"/>
        <v>4</v>
      </c>
      <c r="AT9" s="853">
        <f t="shared" ca="1" si="22"/>
        <v>5</v>
      </c>
      <c r="AU9" s="853">
        <f t="shared" ca="1" si="22"/>
        <v>2</v>
      </c>
      <c r="AV9" s="853">
        <f t="shared" ca="1" si="22"/>
        <v>4</v>
      </c>
      <c r="AW9" s="853">
        <f t="shared" ca="1" si="22"/>
        <v>2</v>
      </c>
      <c r="AX9" s="853">
        <f t="shared" ca="1" si="22"/>
        <v>3</v>
      </c>
      <c r="AY9" s="852">
        <f t="shared" ca="1" si="5"/>
        <v>43</v>
      </c>
      <c r="AZ9" s="852">
        <f t="shared" ca="1" si="6"/>
        <v>30</v>
      </c>
      <c r="BA9" s="852">
        <f t="shared" ca="1" si="11"/>
        <v>73</v>
      </c>
      <c r="BB9" s="849" t="str">
        <f ca="1">IF(COUNTIF('R1_G1'!$A$8:$A$17,$A9)=1, IF(AND(BA9=Z9,BA9=VLOOKUP($A9,'R1_G1'!$A$8:$AB$17, 28,FALSE)),"yes","no"),
IF(COUNTIF('R1_G2'!$A$8:$A$17,$A9)=1, IF(AND(BA9=Z9,BA9=VLOOKUP($A9,'R1_G2'!$A$8:$AB$17, 28,FALSE)),"yes","no"),
IF(COUNTIF('R1_G3'!$A$8:$A$17,$A9)=1, IF(AND(BA9=Z9,BA9=VLOOKUP($A9,'R1_G3'!$A$8:$AB$17, 28,FALSE)),"yes","no"),
IF(COUNTIF('R1_G4'!$A$8:$A$17,$A9)=1, IF(AND(BA9=Z9,BA9=VLOOKUP($A9,'R1_G4'!$A$8:$AB$17, 28,FALSE)),"yes","no"),
"?"))))</f>
        <v>yes</v>
      </c>
      <c r="BC9" s="838"/>
      <c r="BD9" s="862">
        <f t="shared" ca="1" si="12"/>
        <v>9</v>
      </c>
      <c r="BE9" s="855">
        <f t="shared" ca="1" si="13"/>
        <v>9.7333333333333361</v>
      </c>
      <c r="BF9" s="855">
        <f t="shared" ca="1" si="15"/>
        <v>2</v>
      </c>
      <c r="BG9" s="855">
        <f t="shared" ca="1" si="16"/>
        <v>4</v>
      </c>
      <c r="BH9" s="855">
        <f t="shared" ca="1" si="17"/>
        <v>6</v>
      </c>
      <c r="BI9" s="855">
        <f t="shared" ca="1" si="18"/>
        <v>4</v>
      </c>
      <c r="BJ9" s="855">
        <f t="shared" ca="1" si="19"/>
        <v>2</v>
      </c>
    </row>
    <row r="10" spans="1:62" ht="14.25" customHeight="1">
      <c r="A10" s="857" t="str">
        <f>'Master Input'!$A$16</f>
        <v>TJSC</v>
      </c>
      <c r="B10" s="858">
        <f ca="1">VLOOKUP(A10,'Master Input'!$A$11:$L$27,6,FALSE)</f>
        <v>14</v>
      </c>
      <c r="C10" s="849">
        <f>VLOOKUP(A10,'Locked Bets Setup'!$A$5:$L$20,10,FALSE)</f>
        <v>0</v>
      </c>
      <c r="D10" s="851"/>
      <c r="E10" s="859">
        <f>IF(COUNTIF('R1_G1'!$A$8:$A$17,$A10)=1,VLOOKUP($A10,'R1_G1'!$A$8:$Y$17, E$2+4,FALSE),
IF(COUNTIF('R1_G2'!$A$8:$A$17,$A10)=1,VLOOKUP($A10,'R1_G2'!$A$8:$Y$17, E$2+4,FALSE),
IF(COUNTIF('R1_G3'!$A$8:$A$17,$A10)=1,VLOOKUP($A10,'R1_G3'!$A$8:$Y$17, E$2+4,FALSE),
IF(COUNTIF('R1_G4'!$A$8:$A$17,$A10)=1,VLOOKUP($A10,'R1_G4'!$A$8:$Y$17, E$2+4,FALSE),""))))</f>
        <v>5</v>
      </c>
      <c r="F10" s="859">
        <f>IF(COUNTIF('R1_G1'!$A$8:$A$17,$A10)=1,VLOOKUP($A10,'R1_G1'!$A$8:$Y$17, F$2+4,FALSE),
IF(COUNTIF('R1_G2'!$A$8:$A$17,$A10)=1,VLOOKUP($A10,'R1_G2'!$A$8:$Y$17, F$2+4,FALSE),
IF(COUNTIF('R1_G3'!$A$8:$A$17,$A10)=1,VLOOKUP($A10,'R1_G3'!$A$8:$Y$17, F$2+4,FALSE),
IF(COUNTIF('R1_G4'!$A$8:$A$17,$A10)=1,VLOOKUP($A10,'R1_G4'!$A$8:$Y$17, F$2+4,FALSE),""))))</f>
        <v>5</v>
      </c>
      <c r="G10" s="859">
        <f>IF(COUNTIF('R1_G1'!$A$8:$A$17,$A10)=1,VLOOKUP($A10,'R1_G1'!$A$8:$Y$17, G$2+4,FALSE),
IF(COUNTIF('R1_G2'!$A$8:$A$17,$A10)=1,VLOOKUP($A10,'R1_G2'!$A$8:$Y$17, G$2+4,FALSE),
IF(COUNTIF('R1_G3'!$A$8:$A$17,$A10)=1,VLOOKUP($A10,'R1_G3'!$A$8:$Y$17, G$2+4,FALSE),
IF(COUNTIF('R1_G4'!$A$8:$A$17,$A10)=1,VLOOKUP($A10,'R1_G4'!$A$8:$Y$17, G$2+4,FALSE),""))))</f>
        <v>3</v>
      </c>
      <c r="H10" s="859">
        <f>IF(COUNTIF('R1_G1'!$A$8:$A$17,$A10)=1,VLOOKUP($A10,'R1_G1'!$A$8:$Y$17, H$2+4,FALSE),
IF(COUNTIF('R1_G2'!$A$8:$A$17,$A10)=1,VLOOKUP($A10,'R1_G2'!$A$8:$Y$17, H$2+4,FALSE),
IF(COUNTIF('R1_G3'!$A$8:$A$17,$A10)=1,VLOOKUP($A10,'R1_G3'!$A$8:$Y$17, H$2+4,FALSE),
IF(COUNTIF('R1_G4'!$A$8:$A$17,$A10)=1,VLOOKUP($A10,'R1_G4'!$A$8:$Y$17, H$2+4,FALSE),""))))</f>
        <v>5</v>
      </c>
      <c r="I10" s="859">
        <f>IF(COUNTIF('R1_G1'!$A$8:$A$17,$A10)=1,VLOOKUP($A10,'R1_G1'!$A$8:$Y$17, I$2+4,FALSE),
IF(COUNTIF('R1_G2'!$A$8:$A$17,$A10)=1,VLOOKUP($A10,'R1_G2'!$A$8:$Y$17, I$2+4,FALSE),
IF(COUNTIF('R1_G3'!$A$8:$A$17,$A10)=1,VLOOKUP($A10,'R1_G3'!$A$8:$Y$17, I$2+4,FALSE),
IF(COUNTIF('R1_G4'!$A$8:$A$17,$A10)=1,VLOOKUP($A10,'R1_G4'!$A$8:$Y$17, I$2+4,FALSE),""))))</f>
        <v>5</v>
      </c>
      <c r="J10" s="859">
        <f>IF(COUNTIF('R1_G1'!$A$8:$A$17,$A10)=1,VLOOKUP($A10,'R1_G1'!$A$8:$Y$17, J$2+4,FALSE),
IF(COUNTIF('R1_G2'!$A$8:$A$17,$A10)=1,VLOOKUP($A10,'R1_G2'!$A$8:$Y$17, J$2+4,FALSE),
IF(COUNTIF('R1_G3'!$A$8:$A$17,$A10)=1,VLOOKUP($A10,'R1_G3'!$A$8:$Y$17, J$2+4,FALSE),
IF(COUNTIF('R1_G4'!$A$8:$A$17,$A10)=1,VLOOKUP($A10,'R1_G4'!$A$8:$Y$17, J$2+4,FALSE),""))))</f>
        <v>5</v>
      </c>
      <c r="K10" s="859">
        <f>IF(COUNTIF('R1_G1'!$A$8:$A$17,$A10)=1,VLOOKUP($A10,'R1_G1'!$A$8:$Y$17, K$2+4,FALSE),
IF(COUNTIF('R1_G2'!$A$8:$A$17,$A10)=1,VLOOKUP($A10,'R1_G2'!$A$8:$Y$17, K$2+4,FALSE),
IF(COUNTIF('R1_G3'!$A$8:$A$17,$A10)=1,VLOOKUP($A10,'R1_G3'!$A$8:$Y$17, K$2+4,FALSE),
IF(COUNTIF('R1_G4'!$A$8:$A$17,$A10)=1,VLOOKUP($A10,'R1_G4'!$A$8:$Y$17, K$2+4,FALSE),""))))</f>
        <v>3</v>
      </c>
      <c r="L10" s="859">
        <f>IF(COUNTIF('R1_G1'!$A$8:$A$17,$A10)=1,VLOOKUP($A10,'R1_G1'!$A$8:$Y$17, L$2+4,FALSE),
IF(COUNTIF('R1_G2'!$A$8:$A$17,$A10)=1,VLOOKUP($A10,'R1_G2'!$A$8:$Y$17, L$2+4,FALSE),
IF(COUNTIF('R1_G3'!$A$8:$A$17,$A10)=1,VLOOKUP($A10,'R1_G3'!$A$8:$Y$17, L$2+4,FALSE),
IF(COUNTIF('R1_G4'!$A$8:$A$17,$A10)=1,VLOOKUP($A10,'R1_G4'!$A$8:$Y$17, L$2+4,FALSE),""))))</f>
        <v>4</v>
      </c>
      <c r="M10" s="859">
        <f>IF(COUNTIF('R1_G1'!$A$8:$A$17,$A10)=1,VLOOKUP($A10,'R1_G1'!$A$8:$Y$17, M$2+4,FALSE),
IF(COUNTIF('R1_G2'!$A$8:$A$17,$A10)=1,VLOOKUP($A10,'R1_G2'!$A$8:$Y$17, M$2+4,FALSE),
IF(COUNTIF('R1_G3'!$A$8:$A$17,$A10)=1,VLOOKUP($A10,'R1_G3'!$A$8:$Y$17, M$2+4,FALSE),
IF(COUNTIF('R1_G4'!$A$8:$A$17,$A10)=1,VLOOKUP($A10,'R1_G4'!$A$8:$Y$17, M$2+4,FALSE),""))))</f>
        <v>6</v>
      </c>
      <c r="N10" s="852">
        <f>IF(COUNTIF('R1_G1'!$A$8:$A$17,$A10)=1,VLOOKUP($A10,'R1_G1'!$A$8:$Y$17, N$2+7,FALSE),
IF(COUNTIF('R1_G2'!$A$8:$A$17,$A10)=1,VLOOKUP($A10,'R1_G2'!$A$8:$Y$17, N$2+7,FALSE),
IF(COUNTIF('R1_G3'!$A$8:$A$17,$A10)=1,VLOOKUP($A10,'R1_G3'!$A$8:$Y$17, N$2+7,FALSE),
IF(COUNTIF('R1_G4'!$A$8:$A$17,$A10)=1,VLOOKUP($A10,'R1_G4'!$A$8:$Y$17, N$2+7,FALSE),""))))</f>
        <v>5</v>
      </c>
      <c r="O10" s="852">
        <f>IF(COUNTIF('R1_G1'!$A$8:$A$17,$A10)=1,VLOOKUP($A10,'R1_G1'!$A$8:$Y$17, O$2+7,FALSE),
IF(COUNTIF('R1_G2'!$A$8:$A$17,$A10)=1,VLOOKUP($A10,'R1_G2'!$A$8:$Y$17, O$2+7,FALSE),
IF(COUNTIF('R1_G3'!$A$8:$A$17,$A10)=1,VLOOKUP($A10,'R1_G3'!$A$8:$Y$17, O$2+7,FALSE),
IF(COUNTIF('R1_G4'!$A$8:$A$17,$A10)=1,VLOOKUP($A10,'R1_G4'!$A$8:$Y$17, O$2+7,FALSE),""))))</f>
        <v>4</v>
      </c>
      <c r="P10" s="852">
        <f>IF(COUNTIF('R1_G1'!$A$8:$A$17,$A10)=1,VLOOKUP($A10,'R1_G1'!$A$8:$Y$17, P$2+7,FALSE),
IF(COUNTIF('R1_G2'!$A$8:$A$17,$A10)=1,VLOOKUP($A10,'R1_G2'!$A$8:$Y$17, P$2+7,FALSE),
IF(COUNTIF('R1_G3'!$A$8:$A$17,$A10)=1,VLOOKUP($A10,'R1_G3'!$A$8:$Y$17, P$2+7,FALSE),
IF(COUNTIF('R1_G4'!$A$8:$A$17,$A10)=1,VLOOKUP($A10,'R1_G4'!$A$8:$Y$17, P$2+7,FALSE),""))))</f>
        <v>5</v>
      </c>
      <c r="Q10" s="852">
        <f>IF(COUNTIF('R1_G1'!$A$8:$A$17,$A10)=1,VLOOKUP($A10,'R1_G1'!$A$8:$Y$17, Q$2+7,FALSE),
IF(COUNTIF('R1_G2'!$A$8:$A$17,$A10)=1,VLOOKUP($A10,'R1_G2'!$A$8:$Y$17, Q$2+7,FALSE),
IF(COUNTIF('R1_G3'!$A$8:$A$17,$A10)=1,VLOOKUP($A10,'R1_G3'!$A$8:$Y$17, Q$2+7,FALSE),
IF(COUNTIF('R1_G4'!$A$8:$A$17,$A10)=1,VLOOKUP($A10,'R1_G4'!$A$8:$Y$17, Q$2+7,FALSE),""))))</f>
        <v>2</v>
      </c>
      <c r="R10" s="852">
        <f>IF(COUNTIF('R1_G1'!$A$8:$A$17,$A10)=1,VLOOKUP($A10,'R1_G1'!$A$8:$Y$17, R$2+7,FALSE),
IF(COUNTIF('R1_G2'!$A$8:$A$17,$A10)=1,VLOOKUP($A10,'R1_G2'!$A$8:$Y$17, R$2+7,FALSE),
IF(COUNTIF('R1_G3'!$A$8:$A$17,$A10)=1,VLOOKUP($A10,'R1_G3'!$A$8:$Y$17, R$2+7,FALSE),
IF(COUNTIF('R1_G4'!$A$8:$A$17,$A10)=1,VLOOKUP($A10,'R1_G4'!$A$8:$Y$17, R$2+7,FALSE),""))))</f>
        <v>7</v>
      </c>
      <c r="S10" s="852">
        <f>IF(COUNTIF('R1_G1'!$A$8:$A$17,$A10)=1,VLOOKUP($A10,'R1_G1'!$A$8:$Y$17, S$2+7,FALSE),
IF(COUNTIF('R1_G2'!$A$8:$A$17,$A10)=1,VLOOKUP($A10,'R1_G2'!$A$8:$Y$17, S$2+7,FALSE),
IF(COUNTIF('R1_G3'!$A$8:$A$17,$A10)=1,VLOOKUP($A10,'R1_G3'!$A$8:$Y$17, S$2+7,FALSE),
IF(COUNTIF('R1_G4'!$A$8:$A$17,$A10)=1,VLOOKUP($A10,'R1_G4'!$A$8:$Y$17, S$2+7,FALSE),""))))</f>
        <v>5</v>
      </c>
      <c r="T10" s="852">
        <f>IF(COUNTIF('R1_G1'!$A$8:$A$17,$A10)=1,VLOOKUP($A10,'R1_G1'!$A$8:$Y$17, T$2+7,FALSE),
IF(COUNTIF('R1_G2'!$A$8:$A$17,$A10)=1,VLOOKUP($A10,'R1_G2'!$A$8:$Y$17, T$2+7,FALSE),
IF(COUNTIF('R1_G3'!$A$8:$A$17,$A10)=1,VLOOKUP($A10,'R1_G3'!$A$8:$Y$17, T$2+7,FALSE),
IF(COUNTIF('R1_G4'!$A$8:$A$17,$A10)=1,VLOOKUP($A10,'R1_G4'!$A$8:$Y$17, T$2+7,FALSE),""))))</f>
        <v>5</v>
      </c>
      <c r="U10" s="852">
        <f>IF(COUNTIF('R1_G1'!$A$8:$A$17,$A10)=1,VLOOKUP($A10,'R1_G1'!$A$8:$Y$17, U$2+7,FALSE),
IF(COUNTIF('R1_G2'!$A$8:$A$17,$A10)=1,VLOOKUP($A10,'R1_G2'!$A$8:$Y$17, U$2+7,FALSE),
IF(COUNTIF('R1_G3'!$A$8:$A$17,$A10)=1,VLOOKUP($A10,'R1_G3'!$A$8:$Y$17, U$2+7,FALSE),
IF(COUNTIF('R1_G4'!$A$8:$A$17,$A10)=1,VLOOKUP($A10,'R1_G4'!$A$8:$Y$17, U$2+7,FALSE),""))))</f>
        <v>3</v>
      </c>
      <c r="V10" s="852">
        <f>IF(COUNTIF('R1_G1'!$A$8:$A$17,$A10)=1,VLOOKUP($A10,'R1_G1'!$A$8:$Y$17, V$2+7,FALSE),
IF(COUNTIF('R1_G2'!$A$8:$A$17,$A10)=1,VLOOKUP($A10,'R1_G2'!$A$8:$Y$17, V$2+7,FALSE),
IF(COUNTIF('R1_G3'!$A$8:$A$17,$A10)=1,VLOOKUP($A10,'R1_G3'!$A$8:$Y$17, V$2+7,FALSE),
IF(COUNTIF('R1_G4'!$A$8:$A$17,$A10)=1,VLOOKUP($A10,'R1_G4'!$A$8:$Y$17, V$2+7,FALSE),""))))</f>
        <v>4</v>
      </c>
      <c r="W10" s="859">
        <f t="shared" si="2"/>
        <v>41</v>
      </c>
      <c r="X10" s="859">
        <f t="shared" si="3"/>
        <v>40</v>
      </c>
      <c r="Y10" s="859">
        <f t="shared" si="7"/>
        <v>81</v>
      </c>
      <c r="Z10" s="858">
        <f t="shared" ca="1" si="8"/>
        <v>67</v>
      </c>
      <c r="AA10" s="858">
        <f t="shared" si="9"/>
        <v>81</v>
      </c>
      <c r="AB10" s="838"/>
      <c r="AC10" s="857" t="str">
        <f>'Master Input'!$A$16</f>
        <v>TJSC</v>
      </c>
      <c r="AD10" s="858">
        <f ca="1">VLOOKUP(AC10,'Master Input'!$A$11:$L$27,6,FALSE)</f>
        <v>14</v>
      </c>
      <c r="AE10" s="857" t="s">
        <v>198</v>
      </c>
      <c r="AF10" s="832"/>
      <c r="AG10" s="859">
        <f t="shared" ref="AG10:AX10" ca="1" si="23">IF(E10="","",E10-IF($B10&gt;0,FLOOR($B10/18,1),0)-IF(AND(MOD($B10,18)&gt;=E$3,$B10&gt;0),1,0)+IF(E$3-18&gt;$B10,1,0))</f>
        <v>4</v>
      </c>
      <c r="AH10" s="859">
        <f t="shared" ca="1" si="23"/>
        <v>5</v>
      </c>
      <c r="AI10" s="859">
        <f t="shared" ca="1" si="23"/>
        <v>2</v>
      </c>
      <c r="AJ10" s="859">
        <f t="shared" ca="1" si="23"/>
        <v>4</v>
      </c>
      <c r="AK10" s="859">
        <f t="shared" ca="1" si="23"/>
        <v>4</v>
      </c>
      <c r="AL10" s="859">
        <f t="shared" ca="1" si="23"/>
        <v>4</v>
      </c>
      <c r="AM10" s="859">
        <f t="shared" ca="1" si="23"/>
        <v>3</v>
      </c>
      <c r="AN10" s="859">
        <f t="shared" ca="1" si="23"/>
        <v>3</v>
      </c>
      <c r="AO10" s="859">
        <f t="shared" ca="1" si="23"/>
        <v>5</v>
      </c>
      <c r="AP10" s="852">
        <f t="shared" ca="1" si="23"/>
        <v>4</v>
      </c>
      <c r="AQ10" s="852">
        <f t="shared" ca="1" si="23"/>
        <v>3</v>
      </c>
      <c r="AR10" s="852">
        <f t="shared" ca="1" si="23"/>
        <v>4</v>
      </c>
      <c r="AS10" s="852">
        <f t="shared" ca="1" si="23"/>
        <v>2</v>
      </c>
      <c r="AT10" s="852">
        <f t="shared" ca="1" si="23"/>
        <v>6</v>
      </c>
      <c r="AU10" s="852">
        <f t="shared" ca="1" si="23"/>
        <v>4</v>
      </c>
      <c r="AV10" s="852">
        <f t="shared" ca="1" si="23"/>
        <v>4</v>
      </c>
      <c r="AW10" s="852">
        <f t="shared" ca="1" si="23"/>
        <v>3</v>
      </c>
      <c r="AX10" s="852">
        <f t="shared" ca="1" si="23"/>
        <v>3</v>
      </c>
      <c r="AY10" s="859">
        <f t="shared" ca="1" si="5"/>
        <v>34</v>
      </c>
      <c r="AZ10" s="859">
        <f t="shared" ca="1" si="6"/>
        <v>33</v>
      </c>
      <c r="BA10" s="859">
        <f t="shared" ca="1" si="11"/>
        <v>67</v>
      </c>
      <c r="BB10" s="857" t="str">
        <f ca="1">IF(COUNTIF('R1_G1'!$A$8:$A$17,$A10)=1, IF(AND(BA10=Z10,BA10=VLOOKUP($A10,'R1_G1'!$A$8:$AB$17, 28,FALSE)),"yes","no"),
IF(COUNTIF('R1_G2'!$A$8:$A$17,$A10)=1, IF(AND(BA10=Z10,BA10=VLOOKUP($A10,'R1_G2'!$A$8:$AB$17, 28,FALSE)),"yes","no"),
IF(COUNTIF('R1_G3'!$A$8:$A$17,$A10)=1, IF(AND(BA10=Z10,BA10=VLOOKUP($A10,'R1_G3'!$A$8:$AB$17, 28,FALSE)),"yes","no"),
IF(COUNTIF('R1_G4'!$A$8:$A$17,$A10)=1, IF(AND(BA10=Z10,BA10=VLOOKUP($A10,'R1_G4'!$A$8:$AB$17, 28,FALSE)),"yes","no"),
"?"))))</f>
        <v>yes</v>
      </c>
      <c r="BC10" s="838"/>
      <c r="BD10" s="860">
        <f t="shared" ca="1" si="12"/>
        <v>11.5</v>
      </c>
      <c r="BE10" s="861">
        <f t="shared" ca="1" si="13"/>
        <v>11.83333333333333</v>
      </c>
      <c r="BF10" s="861">
        <f t="shared" ca="1" si="15"/>
        <v>0</v>
      </c>
      <c r="BG10" s="861">
        <f t="shared" ca="1" si="16"/>
        <v>7</v>
      </c>
      <c r="BH10" s="861">
        <f t="shared" ca="1" si="17"/>
        <v>9</v>
      </c>
      <c r="BI10" s="861">
        <f t="shared" ca="1" si="18"/>
        <v>2</v>
      </c>
      <c r="BJ10" s="861">
        <f t="shared" ca="1" si="19"/>
        <v>0</v>
      </c>
    </row>
    <row r="11" spans="1:62" ht="14.25" customHeight="1">
      <c r="A11" s="849" t="str">
        <f>'Master Input'!$A$17</f>
        <v>DK</v>
      </c>
      <c r="B11" s="850">
        <f ca="1">VLOOKUP(A11,'Master Input'!$A$11:$L$27,6,FALSE)</f>
        <v>15</v>
      </c>
      <c r="C11" s="849">
        <f>VLOOKUP(A11,'Locked Bets Setup'!$A$5:$L$20,10,FALSE)</f>
        <v>0</v>
      </c>
      <c r="D11" s="851"/>
      <c r="E11" s="852">
        <f>IF(COUNTIF('R1_G1'!$A$8:$A$17,$A11)=1,VLOOKUP($A11,'R1_G1'!$A$8:$Y$17, E$2+4,FALSE),
IF(COUNTIF('R1_G2'!$A$8:$A$17,$A11)=1,VLOOKUP($A11,'R1_G2'!$A$8:$Y$17, E$2+4,FALSE),
IF(COUNTIF('R1_G3'!$A$8:$A$17,$A11)=1,VLOOKUP($A11,'R1_G3'!$A$8:$Y$17, E$2+4,FALSE),
IF(COUNTIF('R1_G4'!$A$8:$A$17,$A11)=1,VLOOKUP($A11,'R1_G4'!$A$8:$Y$17, E$2+4,FALSE),""))))</f>
        <v>4</v>
      </c>
      <c r="F11" s="852">
        <f>IF(COUNTIF('R1_G1'!$A$8:$A$17,$A11)=1,VLOOKUP($A11,'R1_G1'!$A$8:$Y$17, F$2+4,FALSE),
IF(COUNTIF('R1_G2'!$A$8:$A$17,$A11)=1,VLOOKUP($A11,'R1_G2'!$A$8:$Y$17, F$2+4,FALSE),
IF(COUNTIF('R1_G3'!$A$8:$A$17,$A11)=1,VLOOKUP($A11,'R1_G3'!$A$8:$Y$17, F$2+4,FALSE),
IF(COUNTIF('R1_G4'!$A$8:$A$17,$A11)=1,VLOOKUP($A11,'R1_G4'!$A$8:$Y$17, F$2+4,FALSE),""))))</f>
        <v>4</v>
      </c>
      <c r="G11" s="852">
        <f>IF(COUNTIF('R1_G1'!$A$8:$A$17,$A11)=1,VLOOKUP($A11,'R1_G1'!$A$8:$Y$17, G$2+4,FALSE),
IF(COUNTIF('R1_G2'!$A$8:$A$17,$A11)=1,VLOOKUP($A11,'R1_G2'!$A$8:$Y$17, G$2+4,FALSE),
IF(COUNTIF('R1_G3'!$A$8:$A$17,$A11)=1,VLOOKUP($A11,'R1_G3'!$A$8:$Y$17, G$2+4,FALSE),
IF(COUNTIF('R1_G4'!$A$8:$A$17,$A11)=1,VLOOKUP($A11,'R1_G4'!$A$8:$Y$17, G$2+4,FALSE),""))))</f>
        <v>3</v>
      </c>
      <c r="H11" s="852">
        <f>IF(COUNTIF('R1_G1'!$A$8:$A$17,$A11)=1,VLOOKUP($A11,'R1_G1'!$A$8:$Y$17, H$2+4,FALSE),
IF(COUNTIF('R1_G2'!$A$8:$A$17,$A11)=1,VLOOKUP($A11,'R1_G2'!$A$8:$Y$17, H$2+4,FALSE),
IF(COUNTIF('R1_G3'!$A$8:$A$17,$A11)=1,VLOOKUP($A11,'R1_G3'!$A$8:$Y$17, H$2+4,FALSE),
IF(COUNTIF('R1_G4'!$A$8:$A$17,$A11)=1,VLOOKUP($A11,'R1_G4'!$A$8:$Y$17, H$2+4,FALSE),""))))</f>
        <v>5</v>
      </c>
      <c r="I11" s="852">
        <f>IF(COUNTIF('R1_G1'!$A$8:$A$17,$A11)=1,VLOOKUP($A11,'R1_G1'!$A$8:$Y$17, I$2+4,FALSE),
IF(COUNTIF('R1_G2'!$A$8:$A$17,$A11)=1,VLOOKUP($A11,'R1_G2'!$A$8:$Y$17, I$2+4,FALSE),
IF(COUNTIF('R1_G3'!$A$8:$A$17,$A11)=1,VLOOKUP($A11,'R1_G3'!$A$8:$Y$17, I$2+4,FALSE),
IF(COUNTIF('R1_G4'!$A$8:$A$17,$A11)=1,VLOOKUP($A11,'R1_G4'!$A$8:$Y$17, I$2+4,FALSE),""))))</f>
        <v>4</v>
      </c>
      <c r="J11" s="852">
        <f>IF(COUNTIF('R1_G1'!$A$8:$A$17,$A11)=1,VLOOKUP($A11,'R1_G1'!$A$8:$Y$17, J$2+4,FALSE),
IF(COUNTIF('R1_G2'!$A$8:$A$17,$A11)=1,VLOOKUP($A11,'R1_G2'!$A$8:$Y$17, J$2+4,FALSE),
IF(COUNTIF('R1_G3'!$A$8:$A$17,$A11)=1,VLOOKUP($A11,'R1_G3'!$A$8:$Y$17, J$2+4,FALSE),
IF(COUNTIF('R1_G4'!$A$8:$A$17,$A11)=1,VLOOKUP($A11,'R1_G4'!$A$8:$Y$17, J$2+4,FALSE),""))))</f>
        <v>6</v>
      </c>
      <c r="K11" s="852">
        <f>IF(COUNTIF('R1_G1'!$A$8:$A$17,$A11)=1,VLOOKUP($A11,'R1_G1'!$A$8:$Y$17, K$2+4,FALSE),
IF(COUNTIF('R1_G2'!$A$8:$A$17,$A11)=1,VLOOKUP($A11,'R1_G2'!$A$8:$Y$17, K$2+4,FALSE),
IF(COUNTIF('R1_G3'!$A$8:$A$17,$A11)=1,VLOOKUP($A11,'R1_G3'!$A$8:$Y$17, K$2+4,FALSE),
IF(COUNTIF('R1_G4'!$A$8:$A$17,$A11)=1,VLOOKUP($A11,'R1_G4'!$A$8:$Y$17, K$2+4,FALSE),""))))</f>
        <v>4</v>
      </c>
      <c r="L11" s="852">
        <f>IF(COUNTIF('R1_G1'!$A$8:$A$17,$A11)=1,VLOOKUP($A11,'R1_G1'!$A$8:$Y$17, L$2+4,FALSE),
IF(COUNTIF('R1_G2'!$A$8:$A$17,$A11)=1,VLOOKUP($A11,'R1_G2'!$A$8:$Y$17, L$2+4,FALSE),
IF(COUNTIF('R1_G3'!$A$8:$A$17,$A11)=1,VLOOKUP($A11,'R1_G3'!$A$8:$Y$17, L$2+4,FALSE),
IF(COUNTIF('R1_G4'!$A$8:$A$17,$A11)=1,VLOOKUP($A11,'R1_G4'!$A$8:$Y$17, L$2+4,FALSE),""))))</f>
        <v>4</v>
      </c>
      <c r="M11" s="852">
        <f>IF(COUNTIF('R1_G1'!$A$8:$A$17,$A11)=1,VLOOKUP($A11,'R1_G1'!$A$8:$Y$17, M$2+4,FALSE),
IF(COUNTIF('R1_G2'!$A$8:$A$17,$A11)=1,VLOOKUP($A11,'R1_G2'!$A$8:$Y$17, M$2+4,FALSE),
IF(COUNTIF('R1_G3'!$A$8:$A$17,$A11)=1,VLOOKUP($A11,'R1_G3'!$A$8:$Y$17, M$2+4,FALSE),
IF(COUNTIF('R1_G4'!$A$8:$A$17,$A11)=1,VLOOKUP($A11,'R1_G4'!$A$8:$Y$17, M$2+4,FALSE),""))))</f>
        <v>5</v>
      </c>
      <c r="N11" s="853">
        <f>IF(COUNTIF('R1_G1'!$A$8:$A$17,$A11)=1,VLOOKUP($A11,'R1_G1'!$A$8:$Y$17, N$2+7,FALSE),
IF(COUNTIF('R1_G2'!$A$8:$A$17,$A11)=1,VLOOKUP($A11,'R1_G2'!$A$8:$Y$17, N$2+7,FALSE),
IF(COUNTIF('R1_G3'!$A$8:$A$17,$A11)=1,VLOOKUP($A11,'R1_G3'!$A$8:$Y$17, N$2+7,FALSE),
IF(COUNTIF('R1_G4'!$A$8:$A$17,$A11)=1,VLOOKUP($A11,'R1_G4'!$A$8:$Y$17, N$2+7,FALSE),""))))</f>
        <v>5</v>
      </c>
      <c r="O11" s="853">
        <f>IF(COUNTIF('R1_G1'!$A$8:$A$17,$A11)=1,VLOOKUP($A11,'R1_G1'!$A$8:$Y$17, O$2+7,FALSE),
IF(COUNTIF('R1_G2'!$A$8:$A$17,$A11)=1,VLOOKUP($A11,'R1_G2'!$A$8:$Y$17, O$2+7,FALSE),
IF(COUNTIF('R1_G3'!$A$8:$A$17,$A11)=1,VLOOKUP($A11,'R1_G3'!$A$8:$Y$17, O$2+7,FALSE),
IF(COUNTIF('R1_G4'!$A$8:$A$17,$A11)=1,VLOOKUP($A11,'R1_G4'!$A$8:$Y$17, O$2+7,FALSE),""))))</f>
        <v>5</v>
      </c>
      <c r="P11" s="853">
        <f>IF(COUNTIF('R1_G1'!$A$8:$A$17,$A11)=1,VLOOKUP($A11,'R1_G1'!$A$8:$Y$17, P$2+7,FALSE),
IF(COUNTIF('R1_G2'!$A$8:$A$17,$A11)=1,VLOOKUP($A11,'R1_G2'!$A$8:$Y$17, P$2+7,FALSE),
IF(COUNTIF('R1_G3'!$A$8:$A$17,$A11)=1,VLOOKUP($A11,'R1_G3'!$A$8:$Y$17, P$2+7,FALSE),
IF(COUNTIF('R1_G4'!$A$8:$A$17,$A11)=1,VLOOKUP($A11,'R1_G4'!$A$8:$Y$17, P$2+7,FALSE),""))))</f>
        <v>6</v>
      </c>
      <c r="Q11" s="853">
        <f>IF(COUNTIF('R1_G1'!$A$8:$A$17,$A11)=1,VLOOKUP($A11,'R1_G1'!$A$8:$Y$17, Q$2+7,FALSE),
IF(COUNTIF('R1_G2'!$A$8:$A$17,$A11)=1,VLOOKUP($A11,'R1_G2'!$A$8:$Y$17, Q$2+7,FALSE),
IF(COUNTIF('R1_G3'!$A$8:$A$17,$A11)=1,VLOOKUP($A11,'R1_G3'!$A$8:$Y$17, Q$2+7,FALSE),
IF(COUNTIF('R1_G4'!$A$8:$A$17,$A11)=1,VLOOKUP($A11,'R1_G4'!$A$8:$Y$17, Q$2+7,FALSE),""))))</f>
        <v>5</v>
      </c>
      <c r="R11" s="853">
        <f>IF(COUNTIF('R1_G1'!$A$8:$A$17,$A11)=1,VLOOKUP($A11,'R1_G1'!$A$8:$Y$17, R$2+7,FALSE),
IF(COUNTIF('R1_G2'!$A$8:$A$17,$A11)=1,VLOOKUP($A11,'R1_G2'!$A$8:$Y$17, R$2+7,FALSE),
IF(COUNTIF('R1_G3'!$A$8:$A$17,$A11)=1,VLOOKUP($A11,'R1_G3'!$A$8:$Y$17, R$2+7,FALSE),
IF(COUNTIF('R1_G4'!$A$8:$A$17,$A11)=1,VLOOKUP($A11,'R1_G4'!$A$8:$Y$17, R$2+7,FALSE),""))))</f>
        <v>6</v>
      </c>
      <c r="S11" s="853">
        <f>IF(COUNTIF('R1_G1'!$A$8:$A$17,$A11)=1,VLOOKUP($A11,'R1_G1'!$A$8:$Y$17, S$2+7,FALSE),
IF(COUNTIF('R1_G2'!$A$8:$A$17,$A11)=1,VLOOKUP($A11,'R1_G2'!$A$8:$Y$17, S$2+7,FALSE),
IF(COUNTIF('R1_G3'!$A$8:$A$17,$A11)=1,VLOOKUP($A11,'R1_G3'!$A$8:$Y$17, S$2+7,FALSE),
IF(COUNTIF('R1_G4'!$A$8:$A$17,$A11)=1,VLOOKUP($A11,'R1_G4'!$A$8:$Y$17, S$2+7,FALSE),""))))</f>
        <v>7</v>
      </c>
      <c r="T11" s="853">
        <f>IF(COUNTIF('R1_G1'!$A$8:$A$17,$A11)=1,VLOOKUP($A11,'R1_G1'!$A$8:$Y$17, T$2+7,FALSE),
IF(COUNTIF('R1_G2'!$A$8:$A$17,$A11)=1,VLOOKUP($A11,'R1_G2'!$A$8:$Y$17, T$2+7,FALSE),
IF(COUNTIF('R1_G3'!$A$8:$A$17,$A11)=1,VLOOKUP($A11,'R1_G3'!$A$8:$Y$17, T$2+7,FALSE),
IF(COUNTIF('R1_G4'!$A$8:$A$17,$A11)=1,VLOOKUP($A11,'R1_G4'!$A$8:$Y$17, T$2+7,FALSE),""))))</f>
        <v>7</v>
      </c>
      <c r="U11" s="853">
        <f>IF(COUNTIF('R1_G1'!$A$8:$A$17,$A11)=1,VLOOKUP($A11,'R1_G1'!$A$8:$Y$17, U$2+7,FALSE),
IF(COUNTIF('R1_G2'!$A$8:$A$17,$A11)=1,VLOOKUP($A11,'R1_G2'!$A$8:$Y$17, U$2+7,FALSE),
IF(COUNTIF('R1_G3'!$A$8:$A$17,$A11)=1,VLOOKUP($A11,'R1_G3'!$A$8:$Y$17, U$2+7,FALSE),
IF(COUNTIF('R1_G4'!$A$8:$A$17,$A11)=1,VLOOKUP($A11,'R1_G4'!$A$8:$Y$17, U$2+7,FALSE),""))))</f>
        <v>4</v>
      </c>
      <c r="V11" s="853">
        <f>IF(COUNTIF('R1_G1'!$A$8:$A$17,$A11)=1,VLOOKUP($A11,'R1_G1'!$A$8:$Y$17, V$2+7,FALSE),
IF(COUNTIF('R1_G2'!$A$8:$A$17,$A11)=1,VLOOKUP($A11,'R1_G2'!$A$8:$Y$17, V$2+7,FALSE),
IF(COUNTIF('R1_G3'!$A$8:$A$17,$A11)=1,VLOOKUP($A11,'R1_G3'!$A$8:$Y$17, V$2+7,FALSE),
IF(COUNTIF('R1_G4'!$A$8:$A$17,$A11)=1,VLOOKUP($A11,'R1_G4'!$A$8:$Y$17, V$2+7,FALSE),""))))</f>
        <v>7</v>
      </c>
      <c r="W11" s="852">
        <f t="shared" si="2"/>
        <v>39</v>
      </c>
      <c r="X11" s="852">
        <f t="shared" si="3"/>
        <v>52</v>
      </c>
      <c r="Y11" s="852">
        <f t="shared" si="7"/>
        <v>91</v>
      </c>
      <c r="Z11" s="850">
        <f t="shared" ca="1" si="8"/>
        <v>76</v>
      </c>
      <c r="AA11" s="850">
        <f t="shared" si="9"/>
        <v>91</v>
      </c>
      <c r="AB11" s="838"/>
      <c r="AC11" s="849" t="str">
        <f>'Master Input'!$A$17</f>
        <v>DK</v>
      </c>
      <c r="AD11" s="850">
        <f ca="1">VLOOKUP(AC11,'Master Input'!$A$11:$L$27,6,FALSE)</f>
        <v>15</v>
      </c>
      <c r="AE11" s="849" t="s">
        <v>198</v>
      </c>
      <c r="AF11" s="832"/>
      <c r="AG11" s="852">
        <f t="shared" ref="AG11:AX11" ca="1" si="24">IF(E11="","",E11-IF($B11&gt;0,FLOOR($B11/18,1),0)-IF(AND(MOD($B11,18)&gt;=E$3,$B11&gt;0),1,0)+IF(E$3-18&gt;$B11,1,0))</f>
        <v>3</v>
      </c>
      <c r="AH11" s="852">
        <f t="shared" ca="1" si="24"/>
        <v>4</v>
      </c>
      <c r="AI11" s="852">
        <f t="shared" ca="1" si="24"/>
        <v>2</v>
      </c>
      <c r="AJ11" s="852">
        <f t="shared" ca="1" si="24"/>
        <v>4</v>
      </c>
      <c r="AK11" s="852">
        <f t="shared" ca="1" si="24"/>
        <v>3</v>
      </c>
      <c r="AL11" s="852">
        <f t="shared" ca="1" si="24"/>
        <v>5</v>
      </c>
      <c r="AM11" s="852">
        <f t="shared" ca="1" si="24"/>
        <v>4</v>
      </c>
      <c r="AN11" s="852">
        <f t="shared" ca="1" si="24"/>
        <v>3</v>
      </c>
      <c r="AO11" s="852">
        <f t="shared" ca="1" si="24"/>
        <v>4</v>
      </c>
      <c r="AP11" s="853">
        <f t="shared" ca="1" si="24"/>
        <v>4</v>
      </c>
      <c r="AQ11" s="853">
        <f t="shared" ca="1" si="24"/>
        <v>4</v>
      </c>
      <c r="AR11" s="853">
        <f t="shared" ca="1" si="24"/>
        <v>5</v>
      </c>
      <c r="AS11" s="853">
        <f t="shared" ca="1" si="24"/>
        <v>5</v>
      </c>
      <c r="AT11" s="853">
        <f t="shared" ca="1" si="24"/>
        <v>5</v>
      </c>
      <c r="AU11" s="853">
        <f t="shared" ca="1" si="24"/>
        <v>6</v>
      </c>
      <c r="AV11" s="853">
        <f t="shared" ca="1" si="24"/>
        <v>6</v>
      </c>
      <c r="AW11" s="853">
        <f t="shared" ca="1" si="24"/>
        <v>3</v>
      </c>
      <c r="AX11" s="853">
        <f t="shared" ca="1" si="24"/>
        <v>6</v>
      </c>
      <c r="AY11" s="852">
        <f t="shared" ca="1" si="5"/>
        <v>32</v>
      </c>
      <c r="AZ11" s="852">
        <f t="shared" ca="1" si="6"/>
        <v>44</v>
      </c>
      <c r="BA11" s="852">
        <f t="shared" ca="1" si="11"/>
        <v>76</v>
      </c>
      <c r="BB11" s="849" t="str">
        <f ca="1">IF(COUNTIF('R1_G1'!$A$8:$A$17,$A11)=1, IF(AND(BA11=Z11,BA11=VLOOKUP($A11,'R1_G1'!$A$8:$AB$17, 28,FALSE)),"yes","no"),
IF(COUNTIF('R1_G2'!$A$8:$A$17,$A11)=1, IF(AND(BA11=Z11,BA11=VLOOKUP($A11,'R1_G2'!$A$8:$AB$17, 28,FALSE)),"yes","no"),
IF(COUNTIF('R1_G3'!$A$8:$A$17,$A11)=1, IF(AND(BA11=Z11,BA11=VLOOKUP($A11,'R1_G3'!$A$8:$AB$17, 28,FALSE)),"yes","no"),
IF(COUNTIF('R1_G4'!$A$8:$A$17,$A11)=1, IF(AND(BA11=Z11,BA11=VLOOKUP($A11,'R1_G4'!$A$8:$AB$17, 28,FALSE)),"yes","no"),
"?"))))</f>
        <v>yes</v>
      </c>
      <c r="BC11" s="838"/>
      <c r="BD11" s="862">
        <f t="shared" ca="1" si="12"/>
        <v>8.5</v>
      </c>
      <c r="BE11" s="855">
        <f t="shared" ca="1" si="13"/>
        <v>9.3333333333333321</v>
      </c>
      <c r="BF11" s="855">
        <f t="shared" ca="1" si="15"/>
        <v>0</v>
      </c>
      <c r="BG11" s="855">
        <f t="shared" ca="1" si="16"/>
        <v>4</v>
      </c>
      <c r="BH11" s="855">
        <f t="shared" ca="1" si="17"/>
        <v>9</v>
      </c>
      <c r="BI11" s="855">
        <f t="shared" ca="1" si="18"/>
        <v>2</v>
      </c>
      <c r="BJ11" s="855">
        <f t="shared" ca="1" si="19"/>
        <v>3</v>
      </c>
    </row>
    <row r="12" spans="1:62" ht="14.25" customHeight="1">
      <c r="A12" s="857" t="str">
        <f>'Master Input'!$A$18</f>
        <v>Saugy</v>
      </c>
      <c r="B12" s="858">
        <f ca="1">VLOOKUP(A12,'Master Input'!$A$11:$L$27,6,FALSE)</f>
        <v>33</v>
      </c>
      <c r="C12" s="849">
        <f>VLOOKUP(A12,'Locked Bets Setup'!$A$5:$L$20,10,FALSE)</f>
        <v>0</v>
      </c>
      <c r="D12" s="851"/>
      <c r="E12" s="859">
        <f>IF(COUNTIF('R1_G1'!$A$8:$A$17,$A12)=1,VLOOKUP($A12,'R1_G1'!$A$8:$Y$17, E$2+4,FALSE),
IF(COUNTIF('R1_G2'!$A$8:$A$17,$A12)=1,VLOOKUP($A12,'R1_G2'!$A$8:$Y$17, E$2+4,FALSE),
IF(COUNTIF('R1_G3'!$A$8:$A$17,$A12)=1,VLOOKUP($A12,'R1_G3'!$A$8:$Y$17, E$2+4,FALSE),
IF(COUNTIF('R1_G4'!$A$8:$A$17,$A12)=1,VLOOKUP($A12,'R1_G4'!$A$8:$Y$17, E$2+4,FALSE),""))))</f>
        <v>5</v>
      </c>
      <c r="F12" s="859">
        <f>IF(COUNTIF('R1_G1'!$A$8:$A$17,$A12)=1,VLOOKUP($A12,'R1_G1'!$A$8:$Y$17, F$2+4,FALSE),
IF(COUNTIF('R1_G2'!$A$8:$A$17,$A12)=1,VLOOKUP($A12,'R1_G2'!$A$8:$Y$17, F$2+4,FALSE),
IF(COUNTIF('R1_G3'!$A$8:$A$17,$A12)=1,VLOOKUP($A12,'R1_G3'!$A$8:$Y$17, F$2+4,FALSE),
IF(COUNTIF('R1_G4'!$A$8:$A$17,$A12)=1,VLOOKUP($A12,'R1_G4'!$A$8:$Y$17, F$2+4,FALSE),""))))</f>
        <v>9</v>
      </c>
      <c r="G12" s="859">
        <f>IF(COUNTIF('R1_G1'!$A$8:$A$17,$A12)=1,VLOOKUP($A12,'R1_G1'!$A$8:$Y$17, G$2+4,FALSE),
IF(COUNTIF('R1_G2'!$A$8:$A$17,$A12)=1,VLOOKUP($A12,'R1_G2'!$A$8:$Y$17, G$2+4,FALSE),
IF(COUNTIF('R1_G3'!$A$8:$A$17,$A12)=1,VLOOKUP($A12,'R1_G3'!$A$8:$Y$17, G$2+4,FALSE),
IF(COUNTIF('R1_G4'!$A$8:$A$17,$A12)=1,VLOOKUP($A12,'R1_G4'!$A$8:$Y$17, G$2+4,FALSE),""))))</f>
        <v>5</v>
      </c>
      <c r="H12" s="859">
        <f>IF(COUNTIF('R1_G1'!$A$8:$A$17,$A12)=1,VLOOKUP($A12,'R1_G1'!$A$8:$Y$17, H$2+4,FALSE),
IF(COUNTIF('R1_G2'!$A$8:$A$17,$A12)=1,VLOOKUP($A12,'R1_G2'!$A$8:$Y$17, H$2+4,FALSE),
IF(COUNTIF('R1_G3'!$A$8:$A$17,$A12)=1,VLOOKUP($A12,'R1_G3'!$A$8:$Y$17, H$2+4,FALSE),
IF(COUNTIF('R1_G4'!$A$8:$A$17,$A12)=1,VLOOKUP($A12,'R1_G4'!$A$8:$Y$17, H$2+4,FALSE),""))))</f>
        <v>5</v>
      </c>
      <c r="I12" s="859">
        <f>IF(COUNTIF('R1_G1'!$A$8:$A$17,$A12)=1,VLOOKUP($A12,'R1_G1'!$A$8:$Y$17, I$2+4,FALSE),
IF(COUNTIF('R1_G2'!$A$8:$A$17,$A12)=1,VLOOKUP($A12,'R1_G2'!$A$8:$Y$17, I$2+4,FALSE),
IF(COUNTIF('R1_G3'!$A$8:$A$17,$A12)=1,VLOOKUP($A12,'R1_G3'!$A$8:$Y$17, I$2+4,FALSE),
IF(COUNTIF('R1_G4'!$A$8:$A$17,$A12)=1,VLOOKUP($A12,'R1_G4'!$A$8:$Y$17, I$2+4,FALSE),""))))</f>
        <v>7</v>
      </c>
      <c r="J12" s="859">
        <f>IF(COUNTIF('R1_G1'!$A$8:$A$17,$A12)=1,VLOOKUP($A12,'R1_G1'!$A$8:$Y$17, J$2+4,FALSE),
IF(COUNTIF('R1_G2'!$A$8:$A$17,$A12)=1,VLOOKUP($A12,'R1_G2'!$A$8:$Y$17, J$2+4,FALSE),
IF(COUNTIF('R1_G3'!$A$8:$A$17,$A12)=1,VLOOKUP($A12,'R1_G3'!$A$8:$Y$17, J$2+4,FALSE),
IF(COUNTIF('R1_G4'!$A$8:$A$17,$A12)=1,VLOOKUP($A12,'R1_G4'!$A$8:$Y$17, J$2+4,FALSE),""))))</f>
        <v>11</v>
      </c>
      <c r="K12" s="859">
        <f>IF(COUNTIF('R1_G1'!$A$8:$A$17,$A12)=1,VLOOKUP($A12,'R1_G1'!$A$8:$Y$17, K$2+4,FALSE),
IF(COUNTIF('R1_G2'!$A$8:$A$17,$A12)=1,VLOOKUP($A12,'R1_G2'!$A$8:$Y$17, K$2+4,FALSE),
IF(COUNTIF('R1_G3'!$A$8:$A$17,$A12)=1,VLOOKUP($A12,'R1_G3'!$A$8:$Y$17, K$2+4,FALSE),
IF(COUNTIF('R1_G4'!$A$8:$A$17,$A12)=1,VLOOKUP($A12,'R1_G4'!$A$8:$Y$17, K$2+4,FALSE),""))))</f>
        <v>5</v>
      </c>
      <c r="L12" s="859">
        <f>IF(COUNTIF('R1_G1'!$A$8:$A$17,$A12)=1,VLOOKUP($A12,'R1_G1'!$A$8:$Y$17, L$2+4,FALSE),
IF(COUNTIF('R1_G2'!$A$8:$A$17,$A12)=1,VLOOKUP($A12,'R1_G2'!$A$8:$Y$17, L$2+4,FALSE),
IF(COUNTIF('R1_G3'!$A$8:$A$17,$A12)=1,VLOOKUP($A12,'R1_G3'!$A$8:$Y$17, L$2+4,FALSE),
IF(COUNTIF('R1_G4'!$A$8:$A$17,$A12)=1,VLOOKUP($A12,'R1_G4'!$A$8:$Y$17, L$2+4,FALSE),""))))</f>
        <v>5</v>
      </c>
      <c r="M12" s="859">
        <f>IF(COUNTIF('R1_G1'!$A$8:$A$17,$A12)=1,VLOOKUP($A12,'R1_G1'!$A$8:$Y$17, M$2+4,FALSE),
IF(COUNTIF('R1_G2'!$A$8:$A$17,$A12)=1,VLOOKUP($A12,'R1_G2'!$A$8:$Y$17, M$2+4,FALSE),
IF(COUNTIF('R1_G3'!$A$8:$A$17,$A12)=1,VLOOKUP($A12,'R1_G3'!$A$8:$Y$17, M$2+4,FALSE),
IF(COUNTIF('R1_G4'!$A$8:$A$17,$A12)=1,VLOOKUP($A12,'R1_G4'!$A$8:$Y$17, M$2+4,FALSE),""))))</f>
        <v>6</v>
      </c>
      <c r="N12" s="852">
        <f>IF(COUNTIF('R1_G1'!$A$8:$A$17,$A12)=1,VLOOKUP($A12,'R1_G1'!$A$8:$Y$17, N$2+7,FALSE),
IF(COUNTIF('R1_G2'!$A$8:$A$17,$A12)=1,VLOOKUP($A12,'R1_G2'!$A$8:$Y$17, N$2+7,FALSE),
IF(COUNTIF('R1_G3'!$A$8:$A$17,$A12)=1,VLOOKUP($A12,'R1_G3'!$A$8:$Y$17, N$2+7,FALSE),
IF(COUNTIF('R1_G4'!$A$8:$A$17,$A12)=1,VLOOKUP($A12,'R1_G4'!$A$8:$Y$17, N$2+7,FALSE),""))))</f>
        <v>6</v>
      </c>
      <c r="O12" s="852">
        <f>IF(COUNTIF('R1_G1'!$A$8:$A$17,$A12)=1,VLOOKUP($A12,'R1_G1'!$A$8:$Y$17, O$2+7,FALSE),
IF(COUNTIF('R1_G2'!$A$8:$A$17,$A12)=1,VLOOKUP($A12,'R1_G2'!$A$8:$Y$17, O$2+7,FALSE),
IF(COUNTIF('R1_G3'!$A$8:$A$17,$A12)=1,VLOOKUP($A12,'R1_G3'!$A$8:$Y$17, O$2+7,FALSE),
IF(COUNTIF('R1_G4'!$A$8:$A$17,$A12)=1,VLOOKUP($A12,'R1_G4'!$A$8:$Y$17, O$2+7,FALSE),""))))</f>
        <v>5</v>
      </c>
      <c r="P12" s="852">
        <f>IF(COUNTIF('R1_G1'!$A$8:$A$17,$A12)=1,VLOOKUP($A12,'R1_G1'!$A$8:$Y$17, P$2+7,FALSE),
IF(COUNTIF('R1_G2'!$A$8:$A$17,$A12)=1,VLOOKUP($A12,'R1_G2'!$A$8:$Y$17, P$2+7,FALSE),
IF(COUNTIF('R1_G3'!$A$8:$A$17,$A12)=1,VLOOKUP($A12,'R1_G3'!$A$8:$Y$17, P$2+7,FALSE),
IF(COUNTIF('R1_G4'!$A$8:$A$17,$A12)=1,VLOOKUP($A12,'R1_G4'!$A$8:$Y$17, P$2+7,FALSE),""))))</f>
        <v>5</v>
      </c>
      <c r="Q12" s="852">
        <f>IF(COUNTIF('R1_G1'!$A$8:$A$17,$A12)=1,VLOOKUP($A12,'R1_G1'!$A$8:$Y$17, Q$2+7,FALSE),
IF(COUNTIF('R1_G2'!$A$8:$A$17,$A12)=1,VLOOKUP($A12,'R1_G2'!$A$8:$Y$17, Q$2+7,FALSE),
IF(COUNTIF('R1_G3'!$A$8:$A$17,$A12)=1,VLOOKUP($A12,'R1_G3'!$A$8:$Y$17, Q$2+7,FALSE),
IF(COUNTIF('R1_G4'!$A$8:$A$17,$A12)=1,VLOOKUP($A12,'R1_G4'!$A$8:$Y$17, Q$2+7,FALSE),""))))</f>
        <v>3</v>
      </c>
      <c r="R12" s="852">
        <f>IF(COUNTIF('R1_G1'!$A$8:$A$17,$A12)=1,VLOOKUP($A12,'R1_G1'!$A$8:$Y$17, R$2+7,FALSE),
IF(COUNTIF('R1_G2'!$A$8:$A$17,$A12)=1,VLOOKUP($A12,'R1_G2'!$A$8:$Y$17, R$2+7,FALSE),
IF(COUNTIF('R1_G3'!$A$8:$A$17,$A12)=1,VLOOKUP($A12,'R1_G3'!$A$8:$Y$17, R$2+7,FALSE),
IF(COUNTIF('R1_G4'!$A$8:$A$17,$A12)=1,VLOOKUP($A12,'R1_G4'!$A$8:$Y$17, R$2+7,FALSE),""))))</f>
        <v>7</v>
      </c>
      <c r="S12" s="852">
        <f>IF(COUNTIF('R1_G1'!$A$8:$A$17,$A12)=1,VLOOKUP($A12,'R1_G1'!$A$8:$Y$17, S$2+7,FALSE),
IF(COUNTIF('R1_G2'!$A$8:$A$17,$A12)=1,VLOOKUP($A12,'R1_G2'!$A$8:$Y$17, S$2+7,FALSE),
IF(COUNTIF('R1_G3'!$A$8:$A$17,$A12)=1,VLOOKUP($A12,'R1_G3'!$A$8:$Y$17, S$2+7,FALSE),
IF(COUNTIF('R1_G4'!$A$8:$A$17,$A12)=1,VLOOKUP($A12,'R1_G4'!$A$8:$Y$17, S$2+7,FALSE),""))))</f>
        <v>7</v>
      </c>
      <c r="T12" s="852">
        <f>IF(COUNTIF('R1_G1'!$A$8:$A$17,$A12)=1,VLOOKUP($A12,'R1_G1'!$A$8:$Y$17, T$2+7,FALSE),
IF(COUNTIF('R1_G2'!$A$8:$A$17,$A12)=1,VLOOKUP($A12,'R1_G2'!$A$8:$Y$17, T$2+7,FALSE),
IF(COUNTIF('R1_G3'!$A$8:$A$17,$A12)=1,VLOOKUP($A12,'R1_G3'!$A$8:$Y$17, T$2+7,FALSE),
IF(COUNTIF('R1_G4'!$A$8:$A$17,$A12)=1,VLOOKUP($A12,'R1_G4'!$A$8:$Y$17, T$2+7,FALSE),""))))</f>
        <v>9</v>
      </c>
      <c r="U12" s="852">
        <f>IF(COUNTIF('R1_G1'!$A$8:$A$17,$A12)=1,VLOOKUP($A12,'R1_G1'!$A$8:$Y$17, U$2+7,FALSE),
IF(COUNTIF('R1_G2'!$A$8:$A$17,$A12)=1,VLOOKUP($A12,'R1_G2'!$A$8:$Y$17, U$2+7,FALSE),
IF(COUNTIF('R1_G3'!$A$8:$A$17,$A12)=1,VLOOKUP($A12,'R1_G3'!$A$8:$Y$17, U$2+7,FALSE),
IF(COUNTIF('R1_G4'!$A$8:$A$17,$A12)=1,VLOOKUP($A12,'R1_G4'!$A$8:$Y$17, U$2+7,FALSE),""))))</f>
        <v>6</v>
      </c>
      <c r="V12" s="852">
        <f>IF(COUNTIF('R1_G1'!$A$8:$A$17,$A12)=1,VLOOKUP($A12,'R1_G1'!$A$8:$Y$17, V$2+7,FALSE),
IF(COUNTIF('R1_G2'!$A$8:$A$17,$A12)=1,VLOOKUP($A12,'R1_G2'!$A$8:$Y$17, V$2+7,FALSE),
IF(COUNTIF('R1_G3'!$A$8:$A$17,$A12)=1,VLOOKUP($A12,'R1_G3'!$A$8:$Y$17, V$2+7,FALSE),
IF(COUNTIF('R1_G4'!$A$8:$A$17,$A12)=1,VLOOKUP($A12,'R1_G4'!$A$8:$Y$17, V$2+7,FALSE),""))))</f>
        <v>8</v>
      </c>
      <c r="W12" s="859">
        <f t="shared" si="2"/>
        <v>58</v>
      </c>
      <c r="X12" s="859">
        <f t="shared" si="3"/>
        <v>56</v>
      </c>
      <c r="Y12" s="859">
        <f t="shared" si="7"/>
        <v>114</v>
      </c>
      <c r="Z12" s="858">
        <f t="shared" ca="1" si="8"/>
        <v>81</v>
      </c>
      <c r="AA12" s="858">
        <f t="shared" si="9"/>
        <v>114</v>
      </c>
      <c r="AB12" s="838"/>
      <c r="AC12" s="857" t="str">
        <f>'Master Input'!$A$18</f>
        <v>Saugy</v>
      </c>
      <c r="AD12" s="858">
        <f ca="1">VLOOKUP(AC12,'Master Input'!$A$11:$L$27,6,FALSE)</f>
        <v>33</v>
      </c>
      <c r="AE12" s="857" t="s">
        <v>198</v>
      </c>
      <c r="AF12" s="832"/>
      <c r="AG12" s="859">
        <f t="shared" ref="AG12:AX12" ca="1" si="25">IF(E12="","",E12-IF($B12&gt;0,FLOOR($B12/18,1),0)-IF(AND(MOD($B12,18)&gt;=E$3,$B12&gt;0),1,0)+IF(E$3-18&gt;$B12,1,0))</f>
        <v>3</v>
      </c>
      <c r="AH12" s="859">
        <f t="shared" ca="1" si="25"/>
        <v>8</v>
      </c>
      <c r="AI12" s="859">
        <f t="shared" ca="1" si="25"/>
        <v>3</v>
      </c>
      <c r="AJ12" s="859">
        <f t="shared" ca="1" si="25"/>
        <v>3</v>
      </c>
      <c r="AK12" s="859">
        <f t="shared" ca="1" si="25"/>
        <v>5</v>
      </c>
      <c r="AL12" s="859">
        <f t="shared" ca="1" si="25"/>
        <v>9</v>
      </c>
      <c r="AM12" s="859">
        <f t="shared" ca="1" si="25"/>
        <v>4</v>
      </c>
      <c r="AN12" s="859">
        <f t="shared" ca="1" si="25"/>
        <v>3</v>
      </c>
      <c r="AO12" s="859">
        <f t="shared" ca="1" si="25"/>
        <v>4</v>
      </c>
      <c r="AP12" s="852">
        <f t="shared" ca="1" si="25"/>
        <v>4</v>
      </c>
      <c r="AQ12" s="852">
        <f t="shared" ca="1" si="25"/>
        <v>3</v>
      </c>
      <c r="AR12" s="852">
        <f t="shared" ca="1" si="25"/>
        <v>3</v>
      </c>
      <c r="AS12" s="852">
        <f t="shared" ca="1" si="25"/>
        <v>2</v>
      </c>
      <c r="AT12" s="852">
        <f t="shared" ca="1" si="25"/>
        <v>5</v>
      </c>
      <c r="AU12" s="852">
        <f t="shared" ca="1" si="25"/>
        <v>5</v>
      </c>
      <c r="AV12" s="852">
        <f t="shared" ca="1" si="25"/>
        <v>7</v>
      </c>
      <c r="AW12" s="852">
        <f t="shared" ca="1" si="25"/>
        <v>4</v>
      </c>
      <c r="AX12" s="852">
        <f t="shared" ca="1" si="25"/>
        <v>6</v>
      </c>
      <c r="AY12" s="859">
        <f t="shared" ca="1" si="5"/>
        <v>42</v>
      </c>
      <c r="AZ12" s="859">
        <f t="shared" ca="1" si="6"/>
        <v>39</v>
      </c>
      <c r="BA12" s="859">
        <f t="shared" ca="1" si="11"/>
        <v>81</v>
      </c>
      <c r="BB12" s="857" t="str">
        <f ca="1">IF(COUNTIF('R1_G1'!$A$8:$A$17,$A12)=1, IF(AND(BA12=Z12,BA12=VLOOKUP($A12,'R1_G1'!$A$8:$AB$17, 28,FALSE)),"yes","no"),
IF(COUNTIF('R1_G2'!$A$8:$A$17,$A12)=1, IF(AND(BA12=Z12,BA12=VLOOKUP($A12,'R1_G2'!$A$8:$AB$17, 28,FALSE)),"yes","no"),
IF(COUNTIF('R1_G3'!$A$8:$A$17,$A12)=1, IF(AND(BA12=Z12,BA12=VLOOKUP($A12,'R1_G3'!$A$8:$AB$17, 28,FALSE)),"yes","no"),
IF(COUNTIF('R1_G4'!$A$8:$A$17,$A12)=1, IF(AND(BA12=Z12,BA12=VLOOKUP($A12,'R1_G4'!$A$8:$AB$17, 28,FALSE)),"yes","no"),
"?"))))</f>
        <v>yes</v>
      </c>
      <c r="BC12" s="838"/>
      <c r="BD12" s="860">
        <f t="shared" ca="1" si="12"/>
        <v>8.5</v>
      </c>
      <c r="BE12" s="861">
        <f t="shared" ca="1" si="13"/>
        <v>9.233333333333329</v>
      </c>
      <c r="BF12" s="861">
        <f t="shared" ca="1" si="15"/>
        <v>0</v>
      </c>
      <c r="BG12" s="861">
        <f t="shared" ca="1" si="16"/>
        <v>6</v>
      </c>
      <c r="BH12" s="861">
        <f t="shared" ca="1" si="17"/>
        <v>5</v>
      </c>
      <c r="BI12" s="861">
        <f t="shared" ca="1" si="18"/>
        <v>3</v>
      </c>
      <c r="BJ12" s="861">
        <f t="shared" ca="1" si="19"/>
        <v>4</v>
      </c>
    </row>
    <row r="13" spans="1:62" ht="14.25" customHeight="1">
      <c r="A13" s="849" t="str">
        <f>'Master Input'!$A$20</f>
        <v>Elger</v>
      </c>
      <c r="B13" s="850">
        <f ca="1">VLOOKUP(A13,'Master Input'!$A$11:$L$27,6,FALSE)</f>
        <v>5</v>
      </c>
      <c r="C13" s="849">
        <f>VLOOKUP(A13,'Locked Bets Setup'!$A$5:$L$20,10,FALSE)</f>
        <v>0</v>
      </c>
      <c r="D13" s="851"/>
      <c r="E13" s="852">
        <f>IF(COUNTIF('R1_G1'!$A$8:$A$17,$A13)=1,VLOOKUP($A13,'R1_G1'!$A$8:$Y$17, E$2+4,FALSE),
IF(COUNTIF('R1_G2'!$A$8:$A$17,$A13)=1,VLOOKUP($A13,'R1_G2'!$A$8:$Y$17, E$2+4,FALSE),
IF(COUNTIF('R1_G3'!$A$8:$A$17,$A13)=1,VLOOKUP($A13,'R1_G3'!$A$8:$Y$17, E$2+4,FALSE),
IF(COUNTIF('R1_G4'!$A$8:$A$17,$A13)=1,VLOOKUP($A13,'R1_G4'!$A$8:$Y$17, E$2+4,FALSE),""))))</f>
        <v>6</v>
      </c>
      <c r="F13" s="852">
        <f>IF(COUNTIF('R1_G1'!$A$8:$A$17,$A13)=1,VLOOKUP($A13,'R1_G1'!$A$8:$Y$17, F$2+4,FALSE),
IF(COUNTIF('R1_G2'!$A$8:$A$17,$A13)=1,VLOOKUP($A13,'R1_G2'!$A$8:$Y$17, F$2+4,FALSE),
IF(COUNTIF('R1_G3'!$A$8:$A$17,$A13)=1,VLOOKUP($A13,'R1_G3'!$A$8:$Y$17, F$2+4,FALSE),
IF(COUNTIF('R1_G4'!$A$8:$A$17,$A13)=1,VLOOKUP($A13,'R1_G4'!$A$8:$Y$17, F$2+4,FALSE),""))))</f>
        <v>5</v>
      </c>
      <c r="G13" s="852">
        <f>IF(COUNTIF('R1_G1'!$A$8:$A$17,$A13)=1,VLOOKUP($A13,'R1_G1'!$A$8:$Y$17, G$2+4,FALSE),
IF(COUNTIF('R1_G2'!$A$8:$A$17,$A13)=1,VLOOKUP($A13,'R1_G2'!$A$8:$Y$17, G$2+4,FALSE),
IF(COUNTIF('R1_G3'!$A$8:$A$17,$A13)=1,VLOOKUP($A13,'R1_G3'!$A$8:$Y$17, G$2+4,FALSE),
IF(COUNTIF('R1_G4'!$A$8:$A$17,$A13)=1,VLOOKUP($A13,'R1_G4'!$A$8:$Y$17, G$2+4,FALSE),""))))</f>
        <v>4</v>
      </c>
      <c r="H13" s="852">
        <f>IF(COUNTIF('R1_G1'!$A$8:$A$17,$A13)=1,VLOOKUP($A13,'R1_G1'!$A$8:$Y$17, H$2+4,FALSE),
IF(COUNTIF('R1_G2'!$A$8:$A$17,$A13)=1,VLOOKUP($A13,'R1_G2'!$A$8:$Y$17, H$2+4,FALSE),
IF(COUNTIF('R1_G3'!$A$8:$A$17,$A13)=1,VLOOKUP($A13,'R1_G3'!$A$8:$Y$17, H$2+4,FALSE),
IF(COUNTIF('R1_G4'!$A$8:$A$17,$A13)=1,VLOOKUP($A13,'R1_G4'!$A$8:$Y$17, H$2+4,FALSE),""))))</f>
        <v>4</v>
      </c>
      <c r="I13" s="852">
        <f>IF(COUNTIF('R1_G1'!$A$8:$A$17,$A13)=1,VLOOKUP($A13,'R1_G1'!$A$8:$Y$17, I$2+4,FALSE),
IF(COUNTIF('R1_G2'!$A$8:$A$17,$A13)=1,VLOOKUP($A13,'R1_G2'!$A$8:$Y$17, I$2+4,FALSE),
IF(COUNTIF('R1_G3'!$A$8:$A$17,$A13)=1,VLOOKUP($A13,'R1_G3'!$A$8:$Y$17, I$2+4,FALSE),
IF(COUNTIF('R1_G4'!$A$8:$A$17,$A13)=1,VLOOKUP($A13,'R1_G4'!$A$8:$Y$17, I$2+4,FALSE),""))))</f>
        <v>6</v>
      </c>
      <c r="J13" s="852">
        <f>IF(COUNTIF('R1_G1'!$A$8:$A$17,$A13)=1,VLOOKUP($A13,'R1_G1'!$A$8:$Y$17, J$2+4,FALSE),
IF(COUNTIF('R1_G2'!$A$8:$A$17,$A13)=1,VLOOKUP($A13,'R1_G2'!$A$8:$Y$17, J$2+4,FALSE),
IF(COUNTIF('R1_G3'!$A$8:$A$17,$A13)=1,VLOOKUP($A13,'R1_G3'!$A$8:$Y$17, J$2+4,FALSE),
IF(COUNTIF('R1_G4'!$A$8:$A$17,$A13)=1,VLOOKUP($A13,'R1_G4'!$A$8:$Y$17, J$2+4,FALSE),""))))</f>
        <v>4</v>
      </c>
      <c r="K13" s="852">
        <f>IF(COUNTIF('R1_G1'!$A$8:$A$17,$A13)=1,VLOOKUP($A13,'R1_G1'!$A$8:$Y$17, K$2+4,FALSE),
IF(COUNTIF('R1_G2'!$A$8:$A$17,$A13)=1,VLOOKUP($A13,'R1_G2'!$A$8:$Y$17, K$2+4,FALSE),
IF(COUNTIF('R1_G3'!$A$8:$A$17,$A13)=1,VLOOKUP($A13,'R1_G3'!$A$8:$Y$17, K$2+4,FALSE),
IF(COUNTIF('R1_G4'!$A$8:$A$17,$A13)=1,VLOOKUP($A13,'R1_G4'!$A$8:$Y$17, K$2+4,FALSE),""))))</f>
        <v>4</v>
      </c>
      <c r="L13" s="852">
        <f>IF(COUNTIF('R1_G1'!$A$8:$A$17,$A13)=1,VLOOKUP($A13,'R1_G1'!$A$8:$Y$17, L$2+4,FALSE),
IF(COUNTIF('R1_G2'!$A$8:$A$17,$A13)=1,VLOOKUP($A13,'R1_G2'!$A$8:$Y$17, L$2+4,FALSE),
IF(COUNTIF('R1_G3'!$A$8:$A$17,$A13)=1,VLOOKUP($A13,'R1_G3'!$A$8:$Y$17, L$2+4,FALSE),
IF(COUNTIF('R1_G4'!$A$8:$A$17,$A13)=1,VLOOKUP($A13,'R1_G4'!$A$8:$Y$17, L$2+4,FALSE),""))))</f>
        <v>3</v>
      </c>
      <c r="M13" s="852">
        <f>IF(COUNTIF('R1_G1'!$A$8:$A$17,$A13)=1,VLOOKUP($A13,'R1_G1'!$A$8:$Y$17, M$2+4,FALSE),
IF(COUNTIF('R1_G2'!$A$8:$A$17,$A13)=1,VLOOKUP($A13,'R1_G2'!$A$8:$Y$17, M$2+4,FALSE),
IF(COUNTIF('R1_G3'!$A$8:$A$17,$A13)=1,VLOOKUP($A13,'R1_G3'!$A$8:$Y$17, M$2+4,FALSE),
IF(COUNTIF('R1_G4'!$A$8:$A$17,$A13)=1,VLOOKUP($A13,'R1_G4'!$A$8:$Y$17, M$2+4,FALSE),""))))</f>
        <v>5</v>
      </c>
      <c r="N13" s="853">
        <f>IF(COUNTIF('R1_G1'!$A$8:$A$17,$A13)=1,VLOOKUP($A13,'R1_G1'!$A$8:$Y$17, N$2+7,FALSE),
IF(COUNTIF('R1_G2'!$A$8:$A$17,$A13)=1,VLOOKUP($A13,'R1_G2'!$A$8:$Y$17, N$2+7,FALSE),
IF(COUNTIF('R1_G3'!$A$8:$A$17,$A13)=1,VLOOKUP($A13,'R1_G3'!$A$8:$Y$17, N$2+7,FALSE),
IF(COUNTIF('R1_G4'!$A$8:$A$17,$A13)=1,VLOOKUP($A13,'R1_G4'!$A$8:$Y$17, N$2+7,FALSE),""))))</f>
        <v>5</v>
      </c>
      <c r="O13" s="853">
        <f>IF(COUNTIF('R1_G1'!$A$8:$A$17,$A13)=1,VLOOKUP($A13,'R1_G1'!$A$8:$Y$17, O$2+7,FALSE),
IF(COUNTIF('R1_G2'!$A$8:$A$17,$A13)=1,VLOOKUP($A13,'R1_G2'!$A$8:$Y$17, O$2+7,FALSE),
IF(COUNTIF('R1_G3'!$A$8:$A$17,$A13)=1,VLOOKUP($A13,'R1_G3'!$A$8:$Y$17, O$2+7,FALSE),
IF(COUNTIF('R1_G4'!$A$8:$A$17,$A13)=1,VLOOKUP($A13,'R1_G4'!$A$8:$Y$17, O$2+7,FALSE),""))))</f>
        <v>4</v>
      </c>
      <c r="P13" s="853">
        <f>IF(COUNTIF('R1_G1'!$A$8:$A$17,$A13)=1,VLOOKUP($A13,'R1_G1'!$A$8:$Y$17, P$2+7,FALSE),
IF(COUNTIF('R1_G2'!$A$8:$A$17,$A13)=1,VLOOKUP($A13,'R1_G2'!$A$8:$Y$17, P$2+7,FALSE),
IF(COUNTIF('R1_G3'!$A$8:$A$17,$A13)=1,VLOOKUP($A13,'R1_G3'!$A$8:$Y$17, P$2+7,FALSE),
IF(COUNTIF('R1_G4'!$A$8:$A$17,$A13)=1,VLOOKUP($A13,'R1_G4'!$A$8:$Y$17, P$2+7,FALSE),""))))</f>
        <v>6</v>
      </c>
      <c r="Q13" s="853">
        <f>IF(COUNTIF('R1_G1'!$A$8:$A$17,$A13)=1,VLOOKUP($A13,'R1_G1'!$A$8:$Y$17, Q$2+7,FALSE),
IF(COUNTIF('R1_G2'!$A$8:$A$17,$A13)=1,VLOOKUP($A13,'R1_G2'!$A$8:$Y$17, Q$2+7,FALSE),
IF(COUNTIF('R1_G3'!$A$8:$A$17,$A13)=1,VLOOKUP($A13,'R1_G3'!$A$8:$Y$17, Q$2+7,FALSE),
IF(COUNTIF('R1_G4'!$A$8:$A$17,$A13)=1,VLOOKUP($A13,'R1_G4'!$A$8:$Y$17, Q$2+7,FALSE),""))))</f>
        <v>3</v>
      </c>
      <c r="R13" s="853">
        <f>IF(COUNTIF('R1_G1'!$A$8:$A$17,$A13)=1,VLOOKUP($A13,'R1_G1'!$A$8:$Y$17, R$2+7,FALSE),
IF(COUNTIF('R1_G2'!$A$8:$A$17,$A13)=1,VLOOKUP($A13,'R1_G2'!$A$8:$Y$17, R$2+7,FALSE),
IF(COUNTIF('R1_G3'!$A$8:$A$17,$A13)=1,VLOOKUP($A13,'R1_G3'!$A$8:$Y$17, R$2+7,FALSE),
IF(COUNTIF('R1_G4'!$A$8:$A$17,$A13)=1,VLOOKUP($A13,'R1_G4'!$A$8:$Y$17, R$2+7,FALSE),""))))</f>
        <v>6</v>
      </c>
      <c r="S13" s="853">
        <f>IF(COUNTIF('R1_G1'!$A$8:$A$17,$A13)=1,VLOOKUP($A13,'R1_G1'!$A$8:$Y$17, S$2+7,FALSE),
IF(COUNTIF('R1_G2'!$A$8:$A$17,$A13)=1,VLOOKUP($A13,'R1_G2'!$A$8:$Y$17, S$2+7,FALSE),
IF(COUNTIF('R1_G3'!$A$8:$A$17,$A13)=1,VLOOKUP($A13,'R1_G3'!$A$8:$Y$17, S$2+7,FALSE),
IF(COUNTIF('R1_G4'!$A$8:$A$17,$A13)=1,VLOOKUP($A13,'R1_G4'!$A$8:$Y$17, S$2+7,FALSE),""))))</f>
        <v>5</v>
      </c>
      <c r="T13" s="853">
        <f>IF(COUNTIF('R1_G1'!$A$8:$A$17,$A13)=1,VLOOKUP($A13,'R1_G1'!$A$8:$Y$17, T$2+7,FALSE),
IF(COUNTIF('R1_G2'!$A$8:$A$17,$A13)=1,VLOOKUP($A13,'R1_G2'!$A$8:$Y$17, T$2+7,FALSE),
IF(COUNTIF('R1_G3'!$A$8:$A$17,$A13)=1,VLOOKUP($A13,'R1_G3'!$A$8:$Y$17, T$2+7,FALSE),
IF(COUNTIF('R1_G4'!$A$8:$A$17,$A13)=1,VLOOKUP($A13,'R1_G4'!$A$8:$Y$17, T$2+7,FALSE),""))))</f>
        <v>5</v>
      </c>
      <c r="U13" s="853">
        <f>IF(COUNTIF('R1_G1'!$A$8:$A$17,$A13)=1,VLOOKUP($A13,'R1_G1'!$A$8:$Y$17, U$2+7,FALSE),
IF(COUNTIF('R1_G2'!$A$8:$A$17,$A13)=1,VLOOKUP($A13,'R1_G2'!$A$8:$Y$17, U$2+7,FALSE),
IF(COUNTIF('R1_G3'!$A$8:$A$17,$A13)=1,VLOOKUP($A13,'R1_G3'!$A$8:$Y$17, U$2+7,FALSE),
IF(COUNTIF('R1_G4'!$A$8:$A$17,$A13)=1,VLOOKUP($A13,'R1_G4'!$A$8:$Y$17, U$2+7,FALSE),""))))</f>
        <v>4</v>
      </c>
      <c r="V13" s="853">
        <f>IF(COUNTIF('R1_G1'!$A$8:$A$17,$A13)=1,VLOOKUP($A13,'R1_G1'!$A$8:$Y$17, V$2+7,FALSE),
IF(COUNTIF('R1_G2'!$A$8:$A$17,$A13)=1,VLOOKUP($A13,'R1_G2'!$A$8:$Y$17, V$2+7,FALSE),
IF(COUNTIF('R1_G3'!$A$8:$A$17,$A13)=1,VLOOKUP($A13,'R1_G3'!$A$8:$Y$17, V$2+7,FALSE),
IF(COUNTIF('R1_G4'!$A$8:$A$17,$A13)=1,VLOOKUP($A13,'R1_G4'!$A$8:$Y$17, V$2+7,FALSE),""))))</f>
        <v>9</v>
      </c>
      <c r="W13" s="852">
        <f t="shared" si="2"/>
        <v>41</v>
      </c>
      <c r="X13" s="852">
        <f t="shared" si="3"/>
        <v>47</v>
      </c>
      <c r="Y13" s="852">
        <f t="shared" si="7"/>
        <v>88</v>
      </c>
      <c r="Z13" s="850">
        <f t="shared" ca="1" si="8"/>
        <v>83</v>
      </c>
      <c r="AA13" s="850">
        <f t="shared" si="9"/>
        <v>88</v>
      </c>
      <c r="AB13" s="838"/>
      <c r="AC13" s="849" t="str">
        <f>'Master Input'!$A$20</f>
        <v>Elger</v>
      </c>
      <c r="AD13" s="850">
        <f ca="1">VLOOKUP(AC13,'Master Input'!$A$11:$L$27,6,FALSE)</f>
        <v>5</v>
      </c>
      <c r="AE13" s="849" t="s">
        <v>198</v>
      </c>
      <c r="AF13" s="832"/>
      <c r="AG13" s="852">
        <f t="shared" ref="AG13:AX13" ca="1" si="26">IF(E13="","",E13-IF($B13&gt;0,FLOOR($B13/18,1),0)-IF(AND(MOD($B13,18)&gt;=E$3,$B13&gt;0),1,0)+IF(E$3-18&gt;$B13,1,0))</f>
        <v>6</v>
      </c>
      <c r="AH13" s="852">
        <f t="shared" ca="1" si="26"/>
        <v>5</v>
      </c>
      <c r="AI13" s="852">
        <f t="shared" ca="1" si="26"/>
        <v>4</v>
      </c>
      <c r="AJ13" s="852">
        <f t="shared" ca="1" si="26"/>
        <v>4</v>
      </c>
      <c r="AK13" s="852">
        <f t="shared" ca="1" si="26"/>
        <v>6</v>
      </c>
      <c r="AL13" s="852">
        <f t="shared" ca="1" si="26"/>
        <v>4</v>
      </c>
      <c r="AM13" s="852">
        <f t="shared" ca="1" si="26"/>
        <v>4</v>
      </c>
      <c r="AN13" s="852">
        <f t="shared" ca="1" si="26"/>
        <v>2</v>
      </c>
      <c r="AO13" s="852">
        <f t="shared" ca="1" si="26"/>
        <v>4</v>
      </c>
      <c r="AP13" s="853">
        <f t="shared" ca="1" si="26"/>
        <v>5</v>
      </c>
      <c r="AQ13" s="853">
        <f t="shared" ca="1" si="26"/>
        <v>4</v>
      </c>
      <c r="AR13" s="853">
        <f t="shared" ca="1" si="26"/>
        <v>5</v>
      </c>
      <c r="AS13" s="853">
        <f t="shared" ca="1" si="26"/>
        <v>3</v>
      </c>
      <c r="AT13" s="853">
        <f t="shared" ca="1" si="26"/>
        <v>6</v>
      </c>
      <c r="AU13" s="853">
        <f t="shared" ca="1" si="26"/>
        <v>4</v>
      </c>
      <c r="AV13" s="853">
        <f t="shared" ca="1" si="26"/>
        <v>5</v>
      </c>
      <c r="AW13" s="853">
        <f t="shared" ca="1" si="26"/>
        <v>4</v>
      </c>
      <c r="AX13" s="853">
        <f t="shared" ca="1" si="26"/>
        <v>8</v>
      </c>
      <c r="AY13" s="852">
        <f t="shared" ca="1" si="5"/>
        <v>39</v>
      </c>
      <c r="AZ13" s="852">
        <f t="shared" ca="1" si="6"/>
        <v>44</v>
      </c>
      <c r="BA13" s="852">
        <f t="shared" ca="1" si="11"/>
        <v>83</v>
      </c>
      <c r="BB13" s="849" t="str">
        <f ca="1">IF(COUNTIF('R1_G1'!$A$8:$A$17,$A13)=1, IF(AND(BA13=Z13,BA13=VLOOKUP($A13,'R1_G1'!$A$8:$AB$17, 28,FALSE)),"yes","no"),
IF(COUNTIF('R1_G2'!$A$8:$A$17,$A13)=1, IF(AND(BA13=Z13,BA13=VLOOKUP($A13,'R1_G2'!$A$8:$AB$17, 28,FALSE)),"yes","no"),
IF(COUNTIF('R1_G3'!$A$8:$A$17,$A13)=1, IF(AND(BA13=Z13,BA13=VLOOKUP($A13,'R1_G3'!$A$8:$AB$17, 28,FALSE)),"yes","no"),
IF(COUNTIF('R1_G4'!$A$8:$A$17,$A13)=1, IF(AND(BA13=Z13,BA13=VLOOKUP($A13,'R1_G4'!$A$8:$AB$17, 28,FALSE)),"yes","no"),
"?"))))</f>
        <v>yes</v>
      </c>
      <c r="BC13" s="838"/>
      <c r="BD13" s="862">
        <f t="shared" ca="1" si="12"/>
        <v>6</v>
      </c>
      <c r="BE13" s="855">
        <f t="shared" ca="1" si="13"/>
        <v>7.366666666666668</v>
      </c>
      <c r="BF13" s="855">
        <f t="shared" ca="1" si="15"/>
        <v>0</v>
      </c>
      <c r="BG13" s="855">
        <f t="shared" ca="1" si="16"/>
        <v>3</v>
      </c>
      <c r="BH13" s="855">
        <f t="shared" ca="1" si="17"/>
        <v>6</v>
      </c>
      <c r="BI13" s="855">
        <f t="shared" ca="1" si="18"/>
        <v>6</v>
      </c>
      <c r="BJ13" s="855">
        <f t="shared" ca="1" si="19"/>
        <v>3</v>
      </c>
    </row>
    <row r="14" spans="1:62" ht="14.25" customHeight="1">
      <c r="A14" s="857" t="str">
        <f>'Master Input'!$A$21</f>
        <v>Andy</v>
      </c>
      <c r="B14" s="858">
        <f ca="1">VLOOKUP(A14,'Master Input'!$A$11:$L$27,6,FALSE)</f>
        <v>6</v>
      </c>
      <c r="C14" s="849">
        <f>VLOOKUP(A14,'Locked Bets Setup'!$A$5:$L$20,10,FALSE)</f>
        <v>0</v>
      </c>
      <c r="D14" s="851"/>
      <c r="E14" s="859">
        <f>IF(COUNTIF('R1_G1'!$A$8:$A$17,$A14)=1,VLOOKUP($A14,'R1_G1'!$A$8:$Y$17, E$2+4,FALSE),
IF(COUNTIF('R1_G2'!$A$8:$A$17,$A14)=1,VLOOKUP($A14,'R1_G2'!$A$8:$Y$17, E$2+4,FALSE),
IF(COUNTIF('R1_G3'!$A$8:$A$17,$A14)=1,VLOOKUP($A14,'R1_G3'!$A$8:$Y$17, E$2+4,FALSE),
IF(COUNTIF('R1_G4'!$A$8:$A$17,$A14)=1,VLOOKUP($A14,'R1_G4'!$A$8:$Y$17, E$2+4,FALSE),""))))</f>
        <v>6</v>
      </c>
      <c r="F14" s="859">
        <f>IF(COUNTIF('R1_G1'!$A$8:$A$17,$A14)=1,VLOOKUP($A14,'R1_G1'!$A$8:$Y$17, F$2+4,FALSE),
IF(COUNTIF('R1_G2'!$A$8:$A$17,$A14)=1,VLOOKUP($A14,'R1_G2'!$A$8:$Y$17, F$2+4,FALSE),
IF(COUNTIF('R1_G3'!$A$8:$A$17,$A14)=1,VLOOKUP($A14,'R1_G3'!$A$8:$Y$17, F$2+4,FALSE),
IF(COUNTIF('R1_G4'!$A$8:$A$17,$A14)=1,VLOOKUP($A14,'R1_G4'!$A$8:$Y$17, F$2+4,FALSE),""))))</f>
        <v>5</v>
      </c>
      <c r="G14" s="859">
        <f>IF(COUNTIF('R1_G1'!$A$8:$A$17,$A14)=1,VLOOKUP($A14,'R1_G1'!$A$8:$Y$17, G$2+4,FALSE),
IF(COUNTIF('R1_G2'!$A$8:$A$17,$A14)=1,VLOOKUP($A14,'R1_G2'!$A$8:$Y$17, G$2+4,FALSE),
IF(COUNTIF('R1_G3'!$A$8:$A$17,$A14)=1,VLOOKUP($A14,'R1_G3'!$A$8:$Y$17, G$2+4,FALSE),
IF(COUNTIF('R1_G4'!$A$8:$A$17,$A14)=1,VLOOKUP($A14,'R1_G4'!$A$8:$Y$17, G$2+4,FALSE),""))))</f>
        <v>5</v>
      </c>
      <c r="H14" s="859">
        <f>IF(COUNTIF('R1_G1'!$A$8:$A$17,$A14)=1,VLOOKUP($A14,'R1_G1'!$A$8:$Y$17, H$2+4,FALSE),
IF(COUNTIF('R1_G2'!$A$8:$A$17,$A14)=1,VLOOKUP($A14,'R1_G2'!$A$8:$Y$17, H$2+4,FALSE),
IF(COUNTIF('R1_G3'!$A$8:$A$17,$A14)=1,VLOOKUP($A14,'R1_G3'!$A$8:$Y$17, H$2+4,FALSE),
IF(COUNTIF('R1_G4'!$A$8:$A$17,$A14)=1,VLOOKUP($A14,'R1_G4'!$A$8:$Y$17, H$2+4,FALSE),""))))</f>
        <v>5</v>
      </c>
      <c r="I14" s="859">
        <f>IF(COUNTIF('R1_G1'!$A$8:$A$17,$A14)=1,VLOOKUP($A14,'R1_G1'!$A$8:$Y$17, I$2+4,FALSE),
IF(COUNTIF('R1_G2'!$A$8:$A$17,$A14)=1,VLOOKUP($A14,'R1_G2'!$A$8:$Y$17, I$2+4,FALSE),
IF(COUNTIF('R1_G3'!$A$8:$A$17,$A14)=1,VLOOKUP($A14,'R1_G3'!$A$8:$Y$17, I$2+4,FALSE),
IF(COUNTIF('R1_G4'!$A$8:$A$17,$A14)=1,VLOOKUP($A14,'R1_G4'!$A$8:$Y$17, I$2+4,FALSE),""))))</f>
        <v>6</v>
      </c>
      <c r="J14" s="859">
        <f>IF(COUNTIF('R1_G1'!$A$8:$A$17,$A14)=1,VLOOKUP($A14,'R1_G1'!$A$8:$Y$17, J$2+4,FALSE),
IF(COUNTIF('R1_G2'!$A$8:$A$17,$A14)=1,VLOOKUP($A14,'R1_G2'!$A$8:$Y$17, J$2+4,FALSE),
IF(COUNTIF('R1_G3'!$A$8:$A$17,$A14)=1,VLOOKUP($A14,'R1_G3'!$A$8:$Y$17, J$2+4,FALSE),
IF(COUNTIF('R1_G4'!$A$8:$A$17,$A14)=1,VLOOKUP($A14,'R1_G4'!$A$8:$Y$17, J$2+4,FALSE),""))))</f>
        <v>5</v>
      </c>
      <c r="K14" s="859">
        <f>IF(COUNTIF('R1_G1'!$A$8:$A$17,$A14)=1,VLOOKUP($A14,'R1_G1'!$A$8:$Y$17, K$2+4,FALSE),
IF(COUNTIF('R1_G2'!$A$8:$A$17,$A14)=1,VLOOKUP($A14,'R1_G2'!$A$8:$Y$17, K$2+4,FALSE),
IF(COUNTIF('R1_G3'!$A$8:$A$17,$A14)=1,VLOOKUP($A14,'R1_G3'!$A$8:$Y$17, K$2+4,FALSE),
IF(COUNTIF('R1_G4'!$A$8:$A$17,$A14)=1,VLOOKUP($A14,'R1_G4'!$A$8:$Y$17, K$2+4,FALSE),""))))</f>
        <v>5</v>
      </c>
      <c r="L14" s="859">
        <f>IF(COUNTIF('R1_G1'!$A$8:$A$17,$A14)=1,VLOOKUP($A14,'R1_G1'!$A$8:$Y$17, L$2+4,FALSE),
IF(COUNTIF('R1_G2'!$A$8:$A$17,$A14)=1,VLOOKUP($A14,'R1_G2'!$A$8:$Y$17, L$2+4,FALSE),
IF(COUNTIF('R1_G3'!$A$8:$A$17,$A14)=1,VLOOKUP($A14,'R1_G3'!$A$8:$Y$17, L$2+4,FALSE),
IF(COUNTIF('R1_G4'!$A$8:$A$17,$A14)=1,VLOOKUP($A14,'R1_G4'!$A$8:$Y$17, L$2+4,FALSE),""))))</f>
        <v>2</v>
      </c>
      <c r="M14" s="859">
        <f>IF(COUNTIF('R1_G1'!$A$8:$A$17,$A14)=1,VLOOKUP($A14,'R1_G1'!$A$8:$Y$17, M$2+4,FALSE),
IF(COUNTIF('R1_G2'!$A$8:$A$17,$A14)=1,VLOOKUP($A14,'R1_G2'!$A$8:$Y$17, M$2+4,FALSE),
IF(COUNTIF('R1_G3'!$A$8:$A$17,$A14)=1,VLOOKUP($A14,'R1_G3'!$A$8:$Y$17, M$2+4,FALSE),
IF(COUNTIF('R1_G4'!$A$8:$A$17,$A14)=1,VLOOKUP($A14,'R1_G4'!$A$8:$Y$17, M$2+4,FALSE),""))))</f>
        <v>7</v>
      </c>
      <c r="N14" s="852">
        <f>IF(COUNTIF('R1_G1'!$A$8:$A$17,$A14)=1,VLOOKUP($A14,'R1_G1'!$A$8:$Y$17, N$2+7,FALSE),
IF(COUNTIF('R1_G2'!$A$8:$A$17,$A14)=1,VLOOKUP($A14,'R1_G2'!$A$8:$Y$17, N$2+7,FALSE),
IF(COUNTIF('R1_G3'!$A$8:$A$17,$A14)=1,VLOOKUP($A14,'R1_G3'!$A$8:$Y$17, N$2+7,FALSE),
IF(COUNTIF('R1_G4'!$A$8:$A$17,$A14)=1,VLOOKUP($A14,'R1_G4'!$A$8:$Y$17, N$2+7,FALSE),""))))</f>
        <v>4</v>
      </c>
      <c r="O14" s="852">
        <f>IF(COUNTIF('R1_G1'!$A$8:$A$17,$A14)=1,VLOOKUP($A14,'R1_G1'!$A$8:$Y$17, O$2+7,FALSE),
IF(COUNTIF('R1_G2'!$A$8:$A$17,$A14)=1,VLOOKUP($A14,'R1_G2'!$A$8:$Y$17, O$2+7,FALSE),
IF(COUNTIF('R1_G3'!$A$8:$A$17,$A14)=1,VLOOKUP($A14,'R1_G3'!$A$8:$Y$17, O$2+7,FALSE),
IF(COUNTIF('R1_G4'!$A$8:$A$17,$A14)=1,VLOOKUP($A14,'R1_G4'!$A$8:$Y$17, O$2+7,FALSE),""))))</f>
        <v>5</v>
      </c>
      <c r="P14" s="852">
        <f>IF(COUNTIF('R1_G1'!$A$8:$A$17,$A14)=1,VLOOKUP($A14,'R1_G1'!$A$8:$Y$17, P$2+7,FALSE),
IF(COUNTIF('R1_G2'!$A$8:$A$17,$A14)=1,VLOOKUP($A14,'R1_G2'!$A$8:$Y$17, P$2+7,FALSE),
IF(COUNTIF('R1_G3'!$A$8:$A$17,$A14)=1,VLOOKUP($A14,'R1_G3'!$A$8:$Y$17, P$2+7,FALSE),
IF(COUNTIF('R1_G4'!$A$8:$A$17,$A14)=1,VLOOKUP($A14,'R1_G4'!$A$8:$Y$17, P$2+7,FALSE),""))))</f>
        <v>4</v>
      </c>
      <c r="Q14" s="852">
        <f>IF(COUNTIF('R1_G1'!$A$8:$A$17,$A14)=1,VLOOKUP($A14,'R1_G1'!$A$8:$Y$17, Q$2+7,FALSE),
IF(COUNTIF('R1_G2'!$A$8:$A$17,$A14)=1,VLOOKUP($A14,'R1_G2'!$A$8:$Y$17, Q$2+7,FALSE),
IF(COUNTIF('R1_G3'!$A$8:$A$17,$A14)=1,VLOOKUP($A14,'R1_G3'!$A$8:$Y$17, Q$2+7,FALSE),
IF(COUNTIF('R1_G4'!$A$8:$A$17,$A14)=1,VLOOKUP($A14,'R1_G4'!$A$8:$Y$17, Q$2+7,FALSE),""))))</f>
        <v>4</v>
      </c>
      <c r="R14" s="852">
        <f>IF(COUNTIF('R1_G1'!$A$8:$A$17,$A14)=1,VLOOKUP($A14,'R1_G1'!$A$8:$Y$17, R$2+7,FALSE),
IF(COUNTIF('R1_G2'!$A$8:$A$17,$A14)=1,VLOOKUP($A14,'R1_G2'!$A$8:$Y$17, R$2+7,FALSE),
IF(COUNTIF('R1_G3'!$A$8:$A$17,$A14)=1,VLOOKUP($A14,'R1_G3'!$A$8:$Y$17, R$2+7,FALSE),
IF(COUNTIF('R1_G4'!$A$8:$A$17,$A14)=1,VLOOKUP($A14,'R1_G4'!$A$8:$Y$17, R$2+7,FALSE),""))))</f>
        <v>5</v>
      </c>
      <c r="S14" s="852">
        <f>IF(COUNTIF('R1_G1'!$A$8:$A$17,$A14)=1,VLOOKUP($A14,'R1_G1'!$A$8:$Y$17, S$2+7,FALSE),
IF(COUNTIF('R1_G2'!$A$8:$A$17,$A14)=1,VLOOKUP($A14,'R1_G2'!$A$8:$Y$17, S$2+7,FALSE),
IF(COUNTIF('R1_G3'!$A$8:$A$17,$A14)=1,VLOOKUP($A14,'R1_G3'!$A$8:$Y$17, S$2+7,FALSE),
IF(COUNTIF('R1_G4'!$A$8:$A$17,$A14)=1,VLOOKUP($A14,'R1_G4'!$A$8:$Y$17, S$2+7,FALSE),""))))</f>
        <v>6</v>
      </c>
      <c r="T14" s="852">
        <f>IF(COUNTIF('R1_G1'!$A$8:$A$17,$A14)=1,VLOOKUP($A14,'R1_G1'!$A$8:$Y$17, T$2+7,FALSE),
IF(COUNTIF('R1_G2'!$A$8:$A$17,$A14)=1,VLOOKUP($A14,'R1_G2'!$A$8:$Y$17, T$2+7,FALSE),
IF(COUNTIF('R1_G3'!$A$8:$A$17,$A14)=1,VLOOKUP($A14,'R1_G3'!$A$8:$Y$17, T$2+7,FALSE),
IF(COUNTIF('R1_G4'!$A$8:$A$17,$A14)=1,VLOOKUP($A14,'R1_G4'!$A$8:$Y$17, T$2+7,FALSE),""))))</f>
        <v>5</v>
      </c>
      <c r="U14" s="852">
        <f>IF(COUNTIF('R1_G1'!$A$8:$A$17,$A14)=1,VLOOKUP($A14,'R1_G1'!$A$8:$Y$17, U$2+7,FALSE),
IF(COUNTIF('R1_G2'!$A$8:$A$17,$A14)=1,VLOOKUP($A14,'R1_G2'!$A$8:$Y$17, U$2+7,FALSE),
IF(COUNTIF('R1_G3'!$A$8:$A$17,$A14)=1,VLOOKUP($A14,'R1_G3'!$A$8:$Y$17, U$2+7,FALSE),
IF(COUNTIF('R1_G4'!$A$8:$A$17,$A14)=1,VLOOKUP($A14,'R1_G4'!$A$8:$Y$17, U$2+7,FALSE),""))))</f>
        <v>3</v>
      </c>
      <c r="V14" s="852">
        <f>IF(COUNTIF('R1_G1'!$A$8:$A$17,$A14)=1,VLOOKUP($A14,'R1_G1'!$A$8:$Y$17, V$2+7,FALSE),
IF(COUNTIF('R1_G2'!$A$8:$A$17,$A14)=1,VLOOKUP($A14,'R1_G2'!$A$8:$Y$17, V$2+7,FALSE),
IF(COUNTIF('R1_G3'!$A$8:$A$17,$A14)=1,VLOOKUP($A14,'R1_G3'!$A$8:$Y$17, V$2+7,FALSE),
IF(COUNTIF('R1_G4'!$A$8:$A$17,$A14)=1,VLOOKUP($A14,'R1_G4'!$A$8:$Y$17, V$2+7,FALSE),""))))</f>
        <v>5</v>
      </c>
      <c r="W14" s="859">
        <f t="shared" si="2"/>
        <v>46</v>
      </c>
      <c r="X14" s="859">
        <f t="shared" si="3"/>
        <v>41</v>
      </c>
      <c r="Y14" s="859">
        <f t="shared" si="7"/>
        <v>87</v>
      </c>
      <c r="Z14" s="858">
        <f t="shared" ca="1" si="8"/>
        <v>81</v>
      </c>
      <c r="AA14" s="858">
        <f t="shared" si="9"/>
        <v>87</v>
      </c>
      <c r="AB14" s="838"/>
      <c r="AC14" s="857" t="str">
        <f>'Master Input'!$A$21</f>
        <v>Andy</v>
      </c>
      <c r="AD14" s="858">
        <f ca="1">VLOOKUP(AC14,'Master Input'!$A$11:$L$27,6,FALSE)</f>
        <v>6</v>
      </c>
      <c r="AE14" s="857" t="s">
        <v>198</v>
      </c>
      <c r="AF14" s="832"/>
      <c r="AG14" s="859">
        <f t="shared" ref="AG14:AX14" ca="1" si="27">IF(E14="","",E14-IF($B14&gt;0,FLOOR($B14/18,1),0)-IF(AND(MOD($B14,18)&gt;=E$3,$B14&gt;0),1,0)+IF(E$3-18&gt;$B14,1,0))</f>
        <v>6</v>
      </c>
      <c r="AH14" s="859">
        <f t="shared" ca="1" si="27"/>
        <v>5</v>
      </c>
      <c r="AI14" s="859">
        <f t="shared" ca="1" si="27"/>
        <v>5</v>
      </c>
      <c r="AJ14" s="859">
        <f t="shared" ca="1" si="27"/>
        <v>5</v>
      </c>
      <c r="AK14" s="859">
        <f t="shared" ca="1" si="27"/>
        <v>5</v>
      </c>
      <c r="AL14" s="859">
        <f t="shared" ca="1" si="27"/>
        <v>5</v>
      </c>
      <c r="AM14" s="859">
        <f t="shared" ca="1" si="27"/>
        <v>5</v>
      </c>
      <c r="AN14" s="859">
        <f t="shared" ca="1" si="27"/>
        <v>1</v>
      </c>
      <c r="AO14" s="859">
        <f t="shared" ca="1" si="27"/>
        <v>6</v>
      </c>
      <c r="AP14" s="852">
        <f t="shared" ca="1" si="27"/>
        <v>4</v>
      </c>
      <c r="AQ14" s="852">
        <f t="shared" ca="1" si="27"/>
        <v>5</v>
      </c>
      <c r="AR14" s="852">
        <f t="shared" ca="1" si="27"/>
        <v>3</v>
      </c>
      <c r="AS14" s="852">
        <f t="shared" ca="1" si="27"/>
        <v>4</v>
      </c>
      <c r="AT14" s="852">
        <f t="shared" ca="1" si="27"/>
        <v>5</v>
      </c>
      <c r="AU14" s="852">
        <f t="shared" ca="1" si="27"/>
        <v>5</v>
      </c>
      <c r="AV14" s="852">
        <f t="shared" ca="1" si="27"/>
        <v>5</v>
      </c>
      <c r="AW14" s="852">
        <f t="shared" ca="1" si="27"/>
        <v>3</v>
      </c>
      <c r="AX14" s="852">
        <f t="shared" ca="1" si="27"/>
        <v>4</v>
      </c>
      <c r="AY14" s="859">
        <f t="shared" ca="1" si="5"/>
        <v>43</v>
      </c>
      <c r="AZ14" s="859">
        <f t="shared" ca="1" si="6"/>
        <v>38</v>
      </c>
      <c r="BA14" s="859">
        <f t="shared" ca="1" si="11"/>
        <v>81</v>
      </c>
      <c r="BB14" s="857" t="str">
        <f ca="1">IF(COUNTIF('R1_G1'!$A$8:$A$17,$A14)=1, IF(AND(BA14=Z14,BA14=VLOOKUP($A14,'R1_G1'!$A$8:$AB$17, 28,FALSE)),"yes","no"),
IF(COUNTIF('R1_G2'!$A$8:$A$17,$A14)=1, IF(AND(BA14=Z14,BA14=VLOOKUP($A14,'R1_G2'!$A$8:$AB$17, 28,FALSE)),"yes","no"),
IF(COUNTIF('R1_G3'!$A$8:$A$17,$A14)=1, IF(AND(BA14=Z14,BA14=VLOOKUP($A14,'R1_G3'!$A$8:$AB$17, 28,FALSE)),"yes","no"),
IF(COUNTIF('R1_G4'!$A$8:$A$17,$A14)=1, IF(AND(BA14=Z14,BA14=VLOOKUP($A14,'R1_G4'!$A$8:$AB$17, 28,FALSE)),"yes","no"),
"?"))))</f>
        <v>yes</v>
      </c>
      <c r="BC14" s="838"/>
      <c r="BD14" s="860">
        <f t="shared" ca="1" si="12"/>
        <v>5</v>
      </c>
      <c r="BE14" s="861">
        <f t="shared" ca="1" si="13"/>
        <v>7.200000000000002</v>
      </c>
      <c r="BF14" s="861">
        <f t="shared" ca="1" si="15"/>
        <v>1</v>
      </c>
      <c r="BG14" s="861">
        <f t="shared" ca="1" si="16"/>
        <v>1</v>
      </c>
      <c r="BH14" s="861">
        <f t="shared" ca="1" si="17"/>
        <v>6</v>
      </c>
      <c r="BI14" s="861">
        <f t="shared" ca="1" si="18"/>
        <v>8</v>
      </c>
      <c r="BJ14" s="861">
        <f t="shared" ca="1" si="19"/>
        <v>2</v>
      </c>
    </row>
    <row r="15" spans="1:62" ht="14.25" customHeight="1">
      <c r="A15" s="849" t="str">
        <f>'Master Input'!$A$22</f>
        <v>Jensen</v>
      </c>
      <c r="B15" s="850">
        <f ca="1">VLOOKUP(A15,'Master Input'!$A$11:$L$27,6,FALSE)</f>
        <v>7</v>
      </c>
      <c r="C15" s="849">
        <f>VLOOKUP(A15,'Locked Bets Setup'!$A$5:$L$20,10,FALSE)</f>
        <v>0</v>
      </c>
      <c r="D15" s="851"/>
      <c r="E15" s="852">
        <f>IF(COUNTIF('R1_G1'!$A$8:$A$17,$A15)=1,VLOOKUP($A15,'R1_G1'!$A$8:$Y$17, E$2+4,FALSE),
IF(COUNTIF('R1_G2'!$A$8:$A$17,$A15)=1,VLOOKUP($A15,'R1_G2'!$A$8:$Y$17, E$2+4,FALSE),
IF(COUNTIF('R1_G3'!$A$8:$A$17,$A15)=1,VLOOKUP($A15,'R1_G3'!$A$8:$Y$17, E$2+4,FALSE),
IF(COUNTIF('R1_G4'!$A$8:$A$17,$A15)=1,VLOOKUP($A15,'R1_G4'!$A$8:$Y$17, E$2+4,FALSE),""))))</f>
        <v>5</v>
      </c>
      <c r="F15" s="852">
        <f>IF(COUNTIF('R1_G1'!$A$8:$A$17,$A15)=1,VLOOKUP($A15,'R1_G1'!$A$8:$Y$17, F$2+4,FALSE),
IF(COUNTIF('R1_G2'!$A$8:$A$17,$A15)=1,VLOOKUP($A15,'R1_G2'!$A$8:$Y$17, F$2+4,FALSE),
IF(COUNTIF('R1_G3'!$A$8:$A$17,$A15)=1,VLOOKUP($A15,'R1_G3'!$A$8:$Y$17, F$2+4,FALSE),
IF(COUNTIF('R1_G4'!$A$8:$A$17,$A15)=1,VLOOKUP($A15,'R1_G4'!$A$8:$Y$17, F$2+4,FALSE),""))))</f>
        <v>3</v>
      </c>
      <c r="G15" s="852">
        <f>IF(COUNTIF('R1_G1'!$A$8:$A$17,$A15)=1,VLOOKUP($A15,'R1_G1'!$A$8:$Y$17, G$2+4,FALSE),
IF(COUNTIF('R1_G2'!$A$8:$A$17,$A15)=1,VLOOKUP($A15,'R1_G2'!$A$8:$Y$17, G$2+4,FALSE),
IF(COUNTIF('R1_G3'!$A$8:$A$17,$A15)=1,VLOOKUP($A15,'R1_G3'!$A$8:$Y$17, G$2+4,FALSE),
IF(COUNTIF('R1_G4'!$A$8:$A$17,$A15)=1,VLOOKUP($A15,'R1_G4'!$A$8:$Y$17, G$2+4,FALSE),""))))</f>
        <v>5</v>
      </c>
      <c r="H15" s="852">
        <f>IF(COUNTIF('R1_G1'!$A$8:$A$17,$A15)=1,VLOOKUP($A15,'R1_G1'!$A$8:$Y$17, H$2+4,FALSE),
IF(COUNTIF('R1_G2'!$A$8:$A$17,$A15)=1,VLOOKUP($A15,'R1_G2'!$A$8:$Y$17, H$2+4,FALSE),
IF(COUNTIF('R1_G3'!$A$8:$A$17,$A15)=1,VLOOKUP($A15,'R1_G3'!$A$8:$Y$17, H$2+4,FALSE),
IF(COUNTIF('R1_G4'!$A$8:$A$17,$A15)=1,VLOOKUP($A15,'R1_G4'!$A$8:$Y$17, H$2+4,FALSE),""))))</f>
        <v>4</v>
      </c>
      <c r="I15" s="852">
        <f>IF(COUNTIF('R1_G1'!$A$8:$A$17,$A15)=1,VLOOKUP($A15,'R1_G1'!$A$8:$Y$17, I$2+4,FALSE),
IF(COUNTIF('R1_G2'!$A$8:$A$17,$A15)=1,VLOOKUP($A15,'R1_G2'!$A$8:$Y$17, I$2+4,FALSE),
IF(COUNTIF('R1_G3'!$A$8:$A$17,$A15)=1,VLOOKUP($A15,'R1_G3'!$A$8:$Y$17, I$2+4,FALSE),
IF(COUNTIF('R1_G4'!$A$8:$A$17,$A15)=1,VLOOKUP($A15,'R1_G4'!$A$8:$Y$17, I$2+4,FALSE),""))))</f>
        <v>4</v>
      </c>
      <c r="J15" s="852">
        <f>IF(COUNTIF('R1_G1'!$A$8:$A$17,$A15)=1,VLOOKUP($A15,'R1_G1'!$A$8:$Y$17, J$2+4,FALSE),
IF(COUNTIF('R1_G2'!$A$8:$A$17,$A15)=1,VLOOKUP($A15,'R1_G2'!$A$8:$Y$17, J$2+4,FALSE),
IF(COUNTIF('R1_G3'!$A$8:$A$17,$A15)=1,VLOOKUP($A15,'R1_G3'!$A$8:$Y$17, J$2+4,FALSE),
IF(COUNTIF('R1_G4'!$A$8:$A$17,$A15)=1,VLOOKUP($A15,'R1_G4'!$A$8:$Y$17, J$2+4,FALSE),""))))</f>
        <v>4</v>
      </c>
      <c r="K15" s="852">
        <f>IF(COUNTIF('R1_G1'!$A$8:$A$17,$A15)=1,VLOOKUP($A15,'R1_G1'!$A$8:$Y$17, K$2+4,FALSE),
IF(COUNTIF('R1_G2'!$A$8:$A$17,$A15)=1,VLOOKUP($A15,'R1_G2'!$A$8:$Y$17, K$2+4,FALSE),
IF(COUNTIF('R1_G3'!$A$8:$A$17,$A15)=1,VLOOKUP($A15,'R1_G3'!$A$8:$Y$17, K$2+4,FALSE),
IF(COUNTIF('R1_G4'!$A$8:$A$17,$A15)=1,VLOOKUP($A15,'R1_G4'!$A$8:$Y$17, K$2+4,FALSE),""))))</f>
        <v>5</v>
      </c>
      <c r="L15" s="852">
        <f>IF(COUNTIF('R1_G1'!$A$8:$A$17,$A15)=1,VLOOKUP($A15,'R1_G1'!$A$8:$Y$17, L$2+4,FALSE),
IF(COUNTIF('R1_G2'!$A$8:$A$17,$A15)=1,VLOOKUP($A15,'R1_G2'!$A$8:$Y$17, L$2+4,FALSE),
IF(COUNTIF('R1_G3'!$A$8:$A$17,$A15)=1,VLOOKUP($A15,'R1_G3'!$A$8:$Y$17, L$2+4,FALSE),
IF(COUNTIF('R1_G4'!$A$8:$A$17,$A15)=1,VLOOKUP($A15,'R1_G4'!$A$8:$Y$17, L$2+4,FALSE),""))))</f>
        <v>3</v>
      </c>
      <c r="M15" s="852">
        <f>IF(COUNTIF('R1_G1'!$A$8:$A$17,$A15)=1,VLOOKUP($A15,'R1_G1'!$A$8:$Y$17, M$2+4,FALSE),
IF(COUNTIF('R1_G2'!$A$8:$A$17,$A15)=1,VLOOKUP($A15,'R1_G2'!$A$8:$Y$17, M$2+4,FALSE),
IF(COUNTIF('R1_G3'!$A$8:$A$17,$A15)=1,VLOOKUP($A15,'R1_G3'!$A$8:$Y$17, M$2+4,FALSE),
IF(COUNTIF('R1_G4'!$A$8:$A$17,$A15)=1,VLOOKUP($A15,'R1_G4'!$A$8:$Y$17, M$2+4,FALSE),""))))</f>
        <v>5</v>
      </c>
      <c r="N15" s="853">
        <f>IF(COUNTIF('R1_G1'!$A$8:$A$17,$A15)=1,VLOOKUP($A15,'R1_G1'!$A$8:$Y$17, N$2+7,FALSE),
IF(COUNTIF('R1_G2'!$A$8:$A$17,$A15)=1,VLOOKUP($A15,'R1_G2'!$A$8:$Y$17, N$2+7,FALSE),
IF(COUNTIF('R1_G3'!$A$8:$A$17,$A15)=1,VLOOKUP($A15,'R1_G3'!$A$8:$Y$17, N$2+7,FALSE),
IF(COUNTIF('R1_G4'!$A$8:$A$17,$A15)=1,VLOOKUP($A15,'R1_G4'!$A$8:$Y$17, N$2+7,FALSE),""))))</f>
        <v>4</v>
      </c>
      <c r="O15" s="853">
        <f>IF(COUNTIF('R1_G1'!$A$8:$A$17,$A15)=1,VLOOKUP($A15,'R1_G1'!$A$8:$Y$17, O$2+7,FALSE),
IF(COUNTIF('R1_G2'!$A$8:$A$17,$A15)=1,VLOOKUP($A15,'R1_G2'!$A$8:$Y$17, O$2+7,FALSE),
IF(COUNTIF('R1_G3'!$A$8:$A$17,$A15)=1,VLOOKUP($A15,'R1_G3'!$A$8:$Y$17, O$2+7,FALSE),
IF(COUNTIF('R1_G4'!$A$8:$A$17,$A15)=1,VLOOKUP($A15,'R1_G4'!$A$8:$Y$17, O$2+7,FALSE),""))))</f>
        <v>4</v>
      </c>
      <c r="P15" s="853">
        <f>IF(COUNTIF('R1_G1'!$A$8:$A$17,$A15)=1,VLOOKUP($A15,'R1_G1'!$A$8:$Y$17, P$2+7,FALSE),
IF(COUNTIF('R1_G2'!$A$8:$A$17,$A15)=1,VLOOKUP($A15,'R1_G2'!$A$8:$Y$17, P$2+7,FALSE),
IF(COUNTIF('R1_G3'!$A$8:$A$17,$A15)=1,VLOOKUP($A15,'R1_G3'!$A$8:$Y$17, P$2+7,FALSE),
IF(COUNTIF('R1_G4'!$A$8:$A$17,$A15)=1,VLOOKUP($A15,'R1_G4'!$A$8:$Y$17, P$2+7,FALSE),""))))</f>
        <v>8</v>
      </c>
      <c r="Q15" s="853">
        <f>IF(COUNTIF('R1_G1'!$A$8:$A$17,$A15)=1,VLOOKUP($A15,'R1_G1'!$A$8:$Y$17, Q$2+7,FALSE),
IF(COUNTIF('R1_G2'!$A$8:$A$17,$A15)=1,VLOOKUP($A15,'R1_G2'!$A$8:$Y$17, Q$2+7,FALSE),
IF(COUNTIF('R1_G3'!$A$8:$A$17,$A15)=1,VLOOKUP($A15,'R1_G3'!$A$8:$Y$17, Q$2+7,FALSE),
IF(COUNTIF('R1_G4'!$A$8:$A$17,$A15)=1,VLOOKUP($A15,'R1_G4'!$A$8:$Y$17, Q$2+7,FALSE),""))))</f>
        <v>4</v>
      </c>
      <c r="R15" s="853">
        <f>IF(COUNTIF('R1_G1'!$A$8:$A$17,$A15)=1,VLOOKUP($A15,'R1_G1'!$A$8:$Y$17, R$2+7,FALSE),
IF(COUNTIF('R1_G2'!$A$8:$A$17,$A15)=1,VLOOKUP($A15,'R1_G2'!$A$8:$Y$17, R$2+7,FALSE),
IF(COUNTIF('R1_G3'!$A$8:$A$17,$A15)=1,VLOOKUP($A15,'R1_G3'!$A$8:$Y$17, R$2+7,FALSE),
IF(COUNTIF('R1_G4'!$A$8:$A$17,$A15)=1,VLOOKUP($A15,'R1_G4'!$A$8:$Y$17, R$2+7,FALSE),""))))</f>
        <v>6</v>
      </c>
      <c r="S15" s="853">
        <f>IF(COUNTIF('R1_G1'!$A$8:$A$17,$A15)=1,VLOOKUP($A15,'R1_G1'!$A$8:$Y$17, S$2+7,FALSE),
IF(COUNTIF('R1_G2'!$A$8:$A$17,$A15)=1,VLOOKUP($A15,'R1_G2'!$A$8:$Y$17, S$2+7,FALSE),
IF(COUNTIF('R1_G3'!$A$8:$A$17,$A15)=1,VLOOKUP($A15,'R1_G3'!$A$8:$Y$17, S$2+7,FALSE),
IF(COUNTIF('R1_G4'!$A$8:$A$17,$A15)=1,VLOOKUP($A15,'R1_G4'!$A$8:$Y$17, S$2+7,FALSE),""))))</f>
        <v>5</v>
      </c>
      <c r="T15" s="853">
        <f>IF(COUNTIF('R1_G1'!$A$8:$A$17,$A15)=1,VLOOKUP($A15,'R1_G1'!$A$8:$Y$17, T$2+7,FALSE),
IF(COUNTIF('R1_G2'!$A$8:$A$17,$A15)=1,VLOOKUP($A15,'R1_G2'!$A$8:$Y$17, T$2+7,FALSE),
IF(COUNTIF('R1_G3'!$A$8:$A$17,$A15)=1,VLOOKUP($A15,'R1_G3'!$A$8:$Y$17, T$2+7,FALSE),
IF(COUNTIF('R1_G4'!$A$8:$A$17,$A15)=1,VLOOKUP($A15,'R1_G4'!$A$8:$Y$17, T$2+7,FALSE),""))))</f>
        <v>5</v>
      </c>
      <c r="U15" s="853">
        <f>IF(COUNTIF('R1_G1'!$A$8:$A$17,$A15)=1,VLOOKUP($A15,'R1_G1'!$A$8:$Y$17, U$2+7,FALSE),
IF(COUNTIF('R1_G2'!$A$8:$A$17,$A15)=1,VLOOKUP($A15,'R1_G2'!$A$8:$Y$17, U$2+7,FALSE),
IF(COUNTIF('R1_G3'!$A$8:$A$17,$A15)=1,VLOOKUP($A15,'R1_G3'!$A$8:$Y$17, U$2+7,FALSE),
IF(COUNTIF('R1_G4'!$A$8:$A$17,$A15)=1,VLOOKUP($A15,'R1_G4'!$A$8:$Y$17, U$2+7,FALSE),""))))</f>
        <v>4</v>
      </c>
      <c r="V15" s="853">
        <f>IF(COUNTIF('R1_G1'!$A$8:$A$17,$A15)=1,VLOOKUP($A15,'R1_G1'!$A$8:$Y$17, V$2+7,FALSE),
IF(COUNTIF('R1_G2'!$A$8:$A$17,$A15)=1,VLOOKUP($A15,'R1_G2'!$A$8:$Y$17, V$2+7,FALSE),
IF(COUNTIF('R1_G3'!$A$8:$A$17,$A15)=1,VLOOKUP($A15,'R1_G3'!$A$8:$Y$17, V$2+7,FALSE),
IF(COUNTIF('R1_G4'!$A$8:$A$17,$A15)=1,VLOOKUP($A15,'R1_G4'!$A$8:$Y$17, V$2+7,FALSE),""))))</f>
        <v>7</v>
      </c>
      <c r="W15" s="852">
        <f t="shared" si="2"/>
        <v>38</v>
      </c>
      <c r="X15" s="852">
        <f t="shared" si="3"/>
        <v>47</v>
      </c>
      <c r="Y15" s="852">
        <f t="shared" si="7"/>
        <v>85</v>
      </c>
      <c r="Z15" s="850">
        <f t="shared" ca="1" si="8"/>
        <v>78</v>
      </c>
      <c r="AA15" s="850">
        <f t="shared" si="9"/>
        <v>85</v>
      </c>
      <c r="AB15" s="838"/>
      <c r="AC15" s="849" t="str">
        <f>'Master Input'!$A$22</f>
        <v>Jensen</v>
      </c>
      <c r="AD15" s="850">
        <f ca="1">VLOOKUP(AC15,'Master Input'!$A$11:$L$27,6,FALSE)</f>
        <v>7</v>
      </c>
      <c r="AE15" s="849" t="s">
        <v>198</v>
      </c>
      <c r="AF15" s="832"/>
      <c r="AG15" s="852">
        <f t="shared" ref="AG15:AX15" ca="1" si="28">IF(E15="","",E15-IF($B15&gt;0,FLOOR($B15/18,1),0)-IF(AND(MOD($B15,18)&gt;=E$3,$B15&gt;0),1,0)+IF(E$3-18&gt;$B15,1,0))</f>
        <v>5</v>
      </c>
      <c r="AH15" s="852">
        <f t="shared" ca="1" si="28"/>
        <v>3</v>
      </c>
      <c r="AI15" s="852">
        <f t="shared" ca="1" si="28"/>
        <v>5</v>
      </c>
      <c r="AJ15" s="852">
        <f t="shared" ca="1" si="28"/>
        <v>4</v>
      </c>
      <c r="AK15" s="852">
        <f t="shared" ca="1" si="28"/>
        <v>3</v>
      </c>
      <c r="AL15" s="852">
        <f t="shared" ca="1" si="28"/>
        <v>4</v>
      </c>
      <c r="AM15" s="852">
        <f t="shared" ca="1" si="28"/>
        <v>5</v>
      </c>
      <c r="AN15" s="852">
        <f t="shared" ca="1" si="28"/>
        <v>2</v>
      </c>
      <c r="AO15" s="852">
        <f t="shared" ca="1" si="28"/>
        <v>4</v>
      </c>
      <c r="AP15" s="853">
        <f t="shared" ca="1" si="28"/>
        <v>4</v>
      </c>
      <c r="AQ15" s="853">
        <f t="shared" ca="1" si="28"/>
        <v>4</v>
      </c>
      <c r="AR15" s="853">
        <f t="shared" ca="1" si="28"/>
        <v>7</v>
      </c>
      <c r="AS15" s="853">
        <f t="shared" ca="1" si="28"/>
        <v>4</v>
      </c>
      <c r="AT15" s="853">
        <f t="shared" ca="1" si="28"/>
        <v>5</v>
      </c>
      <c r="AU15" s="853">
        <f t="shared" ca="1" si="28"/>
        <v>4</v>
      </c>
      <c r="AV15" s="853">
        <f t="shared" ca="1" si="28"/>
        <v>5</v>
      </c>
      <c r="AW15" s="853">
        <f t="shared" ca="1" si="28"/>
        <v>4</v>
      </c>
      <c r="AX15" s="853">
        <f t="shared" ca="1" si="28"/>
        <v>6</v>
      </c>
      <c r="AY15" s="852">
        <f t="shared" ca="1" si="5"/>
        <v>35</v>
      </c>
      <c r="AZ15" s="852">
        <f t="shared" ca="1" si="6"/>
        <v>43</v>
      </c>
      <c r="BA15" s="852">
        <f t="shared" ca="1" si="11"/>
        <v>78</v>
      </c>
      <c r="BB15" s="849" t="str">
        <f ca="1">IF(COUNTIF('R1_G1'!$A$8:$A$17,$A15)=1, IF(AND(BA15=Z15,BA15=VLOOKUP($A15,'R1_G1'!$A$8:$AB$17, 28,FALSE)),"yes","no"),
IF(COUNTIF('R1_G2'!$A$8:$A$17,$A15)=1, IF(AND(BA15=Z15,BA15=VLOOKUP($A15,'R1_G2'!$A$8:$AB$17, 28,FALSE)),"yes","no"),
IF(COUNTIF('R1_G3'!$A$8:$A$17,$A15)=1, IF(AND(BA15=Z15,BA15=VLOOKUP($A15,'R1_G3'!$A$8:$AB$17, 28,FALSE)),"yes","no"),
IF(COUNTIF('R1_G4'!$A$8:$A$17,$A15)=1, IF(AND(BA15=Z15,BA15=VLOOKUP($A15,'R1_G4'!$A$8:$AB$17, 28,FALSE)),"yes","no"),
"?"))))</f>
        <v>yes</v>
      </c>
      <c r="BC15" s="838"/>
      <c r="BD15" s="862">
        <f t="shared" ca="1" si="12"/>
        <v>8</v>
      </c>
      <c r="BE15" s="855">
        <f t="shared" ca="1" si="13"/>
        <v>8.8666666666666671</v>
      </c>
      <c r="BF15" s="855">
        <f t="shared" ca="1" si="15"/>
        <v>0</v>
      </c>
      <c r="BG15" s="855">
        <f t="shared" ca="1" si="16"/>
        <v>5</v>
      </c>
      <c r="BH15" s="855">
        <f t="shared" ca="1" si="17"/>
        <v>6</v>
      </c>
      <c r="BI15" s="855">
        <f t="shared" ca="1" si="18"/>
        <v>4</v>
      </c>
      <c r="BJ15" s="855">
        <f t="shared" ca="1" si="19"/>
        <v>3</v>
      </c>
    </row>
    <row r="16" spans="1:62" ht="14.25" customHeight="1">
      <c r="A16" s="857" t="str">
        <f>'Master Input'!$A$23</f>
        <v>Pace</v>
      </c>
      <c r="B16" s="858">
        <f ca="1">VLOOKUP(A16,'Master Input'!$A$11:$L$27,6,FALSE)</f>
        <v>10</v>
      </c>
      <c r="C16" s="849">
        <f>VLOOKUP(A16,'Locked Bets Setup'!$A$5:$L$20,10,FALSE)</f>
        <v>0</v>
      </c>
      <c r="D16" s="851"/>
      <c r="E16" s="859">
        <f>IF(COUNTIF('R1_G1'!$A$8:$A$17,$A16)=1,VLOOKUP($A16,'R1_G1'!$A$8:$Y$17, E$2+4,FALSE),
IF(COUNTIF('R1_G2'!$A$8:$A$17,$A16)=1,VLOOKUP($A16,'R1_G2'!$A$8:$Y$17, E$2+4,FALSE),
IF(COUNTIF('R1_G3'!$A$8:$A$17,$A16)=1,VLOOKUP($A16,'R1_G3'!$A$8:$Y$17, E$2+4,FALSE),
IF(COUNTIF('R1_G4'!$A$8:$A$17,$A16)=1,VLOOKUP($A16,'R1_G4'!$A$8:$Y$17, E$2+4,FALSE),""))))</f>
        <v>5</v>
      </c>
      <c r="F16" s="859">
        <f>IF(COUNTIF('R1_G1'!$A$8:$A$17,$A16)=1,VLOOKUP($A16,'R1_G1'!$A$8:$Y$17, F$2+4,FALSE),
IF(COUNTIF('R1_G2'!$A$8:$A$17,$A16)=1,VLOOKUP($A16,'R1_G2'!$A$8:$Y$17, F$2+4,FALSE),
IF(COUNTIF('R1_G3'!$A$8:$A$17,$A16)=1,VLOOKUP($A16,'R1_G3'!$A$8:$Y$17, F$2+4,FALSE),
IF(COUNTIF('R1_G4'!$A$8:$A$17,$A16)=1,VLOOKUP($A16,'R1_G4'!$A$8:$Y$17, F$2+4,FALSE),""))))</f>
        <v>6</v>
      </c>
      <c r="G16" s="859">
        <f>IF(COUNTIF('R1_G1'!$A$8:$A$17,$A16)=1,VLOOKUP($A16,'R1_G1'!$A$8:$Y$17, G$2+4,FALSE),
IF(COUNTIF('R1_G2'!$A$8:$A$17,$A16)=1,VLOOKUP($A16,'R1_G2'!$A$8:$Y$17, G$2+4,FALSE),
IF(COUNTIF('R1_G3'!$A$8:$A$17,$A16)=1,VLOOKUP($A16,'R1_G3'!$A$8:$Y$17, G$2+4,FALSE),
IF(COUNTIF('R1_G4'!$A$8:$A$17,$A16)=1,VLOOKUP($A16,'R1_G4'!$A$8:$Y$17, G$2+4,FALSE),""))))</f>
        <v>5</v>
      </c>
      <c r="H16" s="859">
        <f>IF(COUNTIF('R1_G1'!$A$8:$A$17,$A16)=1,VLOOKUP($A16,'R1_G1'!$A$8:$Y$17, H$2+4,FALSE),
IF(COUNTIF('R1_G2'!$A$8:$A$17,$A16)=1,VLOOKUP($A16,'R1_G2'!$A$8:$Y$17, H$2+4,FALSE),
IF(COUNTIF('R1_G3'!$A$8:$A$17,$A16)=1,VLOOKUP($A16,'R1_G3'!$A$8:$Y$17, H$2+4,FALSE),
IF(COUNTIF('R1_G4'!$A$8:$A$17,$A16)=1,VLOOKUP($A16,'R1_G4'!$A$8:$Y$17, H$2+4,FALSE),""))))</f>
        <v>5</v>
      </c>
      <c r="I16" s="859">
        <f>IF(COUNTIF('R1_G1'!$A$8:$A$17,$A16)=1,VLOOKUP($A16,'R1_G1'!$A$8:$Y$17, I$2+4,FALSE),
IF(COUNTIF('R1_G2'!$A$8:$A$17,$A16)=1,VLOOKUP($A16,'R1_G2'!$A$8:$Y$17, I$2+4,FALSE),
IF(COUNTIF('R1_G3'!$A$8:$A$17,$A16)=1,VLOOKUP($A16,'R1_G3'!$A$8:$Y$17, I$2+4,FALSE),
IF(COUNTIF('R1_G4'!$A$8:$A$17,$A16)=1,VLOOKUP($A16,'R1_G4'!$A$8:$Y$17, I$2+4,FALSE),""))))</f>
        <v>4</v>
      </c>
      <c r="J16" s="859">
        <f>IF(COUNTIF('R1_G1'!$A$8:$A$17,$A16)=1,VLOOKUP($A16,'R1_G1'!$A$8:$Y$17, J$2+4,FALSE),
IF(COUNTIF('R1_G2'!$A$8:$A$17,$A16)=1,VLOOKUP($A16,'R1_G2'!$A$8:$Y$17, J$2+4,FALSE),
IF(COUNTIF('R1_G3'!$A$8:$A$17,$A16)=1,VLOOKUP($A16,'R1_G3'!$A$8:$Y$17, J$2+4,FALSE),
IF(COUNTIF('R1_G4'!$A$8:$A$17,$A16)=1,VLOOKUP($A16,'R1_G4'!$A$8:$Y$17, J$2+4,FALSE),""))))</f>
        <v>7</v>
      </c>
      <c r="K16" s="859">
        <f>IF(COUNTIF('R1_G1'!$A$8:$A$17,$A16)=1,VLOOKUP($A16,'R1_G1'!$A$8:$Y$17, K$2+4,FALSE),
IF(COUNTIF('R1_G2'!$A$8:$A$17,$A16)=1,VLOOKUP($A16,'R1_G2'!$A$8:$Y$17, K$2+4,FALSE),
IF(COUNTIF('R1_G3'!$A$8:$A$17,$A16)=1,VLOOKUP($A16,'R1_G3'!$A$8:$Y$17, K$2+4,FALSE),
IF(COUNTIF('R1_G4'!$A$8:$A$17,$A16)=1,VLOOKUP($A16,'R1_G4'!$A$8:$Y$17, K$2+4,FALSE),""))))</f>
        <v>4</v>
      </c>
      <c r="L16" s="859">
        <f>IF(COUNTIF('R1_G1'!$A$8:$A$17,$A16)=1,VLOOKUP($A16,'R1_G1'!$A$8:$Y$17, L$2+4,FALSE),
IF(COUNTIF('R1_G2'!$A$8:$A$17,$A16)=1,VLOOKUP($A16,'R1_G2'!$A$8:$Y$17, L$2+4,FALSE),
IF(COUNTIF('R1_G3'!$A$8:$A$17,$A16)=1,VLOOKUP($A16,'R1_G3'!$A$8:$Y$17, L$2+4,FALSE),
IF(COUNTIF('R1_G4'!$A$8:$A$17,$A16)=1,VLOOKUP($A16,'R1_G4'!$A$8:$Y$17, L$2+4,FALSE),""))))</f>
        <v>5</v>
      </c>
      <c r="M16" s="859">
        <f>IF(COUNTIF('R1_G1'!$A$8:$A$17,$A16)=1,VLOOKUP($A16,'R1_G1'!$A$8:$Y$17, M$2+4,FALSE),
IF(COUNTIF('R1_G2'!$A$8:$A$17,$A16)=1,VLOOKUP($A16,'R1_G2'!$A$8:$Y$17, M$2+4,FALSE),
IF(COUNTIF('R1_G3'!$A$8:$A$17,$A16)=1,VLOOKUP($A16,'R1_G3'!$A$8:$Y$17, M$2+4,FALSE),
IF(COUNTIF('R1_G4'!$A$8:$A$17,$A16)=1,VLOOKUP($A16,'R1_G4'!$A$8:$Y$17, M$2+4,FALSE),""))))</f>
        <v>6</v>
      </c>
      <c r="N16" s="852">
        <f>IF(COUNTIF('R1_G1'!$A$8:$A$17,$A16)=1,VLOOKUP($A16,'R1_G1'!$A$8:$Y$17, N$2+7,FALSE),
IF(COUNTIF('R1_G2'!$A$8:$A$17,$A16)=1,VLOOKUP($A16,'R1_G2'!$A$8:$Y$17, N$2+7,FALSE),
IF(COUNTIF('R1_G3'!$A$8:$A$17,$A16)=1,VLOOKUP($A16,'R1_G3'!$A$8:$Y$17, N$2+7,FALSE),
IF(COUNTIF('R1_G4'!$A$8:$A$17,$A16)=1,VLOOKUP($A16,'R1_G4'!$A$8:$Y$17, N$2+7,FALSE),""))))</f>
        <v>5</v>
      </c>
      <c r="O16" s="852">
        <f>IF(COUNTIF('R1_G1'!$A$8:$A$17,$A16)=1,VLOOKUP($A16,'R1_G1'!$A$8:$Y$17, O$2+7,FALSE),
IF(COUNTIF('R1_G2'!$A$8:$A$17,$A16)=1,VLOOKUP($A16,'R1_G2'!$A$8:$Y$17, O$2+7,FALSE),
IF(COUNTIF('R1_G3'!$A$8:$A$17,$A16)=1,VLOOKUP($A16,'R1_G3'!$A$8:$Y$17, O$2+7,FALSE),
IF(COUNTIF('R1_G4'!$A$8:$A$17,$A16)=1,VLOOKUP($A16,'R1_G4'!$A$8:$Y$17, O$2+7,FALSE),""))))</f>
        <v>4</v>
      </c>
      <c r="P16" s="852">
        <f>IF(COUNTIF('R1_G1'!$A$8:$A$17,$A16)=1,VLOOKUP($A16,'R1_G1'!$A$8:$Y$17, P$2+7,FALSE),
IF(COUNTIF('R1_G2'!$A$8:$A$17,$A16)=1,VLOOKUP($A16,'R1_G2'!$A$8:$Y$17, P$2+7,FALSE),
IF(COUNTIF('R1_G3'!$A$8:$A$17,$A16)=1,VLOOKUP($A16,'R1_G3'!$A$8:$Y$17, P$2+7,FALSE),
IF(COUNTIF('R1_G4'!$A$8:$A$17,$A16)=1,VLOOKUP($A16,'R1_G4'!$A$8:$Y$17, P$2+7,FALSE),""))))</f>
        <v>7</v>
      </c>
      <c r="Q16" s="852">
        <f>IF(COUNTIF('R1_G1'!$A$8:$A$17,$A16)=1,VLOOKUP($A16,'R1_G1'!$A$8:$Y$17, Q$2+7,FALSE),
IF(COUNTIF('R1_G2'!$A$8:$A$17,$A16)=1,VLOOKUP($A16,'R1_G2'!$A$8:$Y$17, Q$2+7,FALSE),
IF(COUNTIF('R1_G3'!$A$8:$A$17,$A16)=1,VLOOKUP($A16,'R1_G3'!$A$8:$Y$17, Q$2+7,FALSE),
IF(COUNTIF('R1_G4'!$A$8:$A$17,$A16)=1,VLOOKUP($A16,'R1_G4'!$A$8:$Y$17, Q$2+7,FALSE),""))))</f>
        <v>3</v>
      </c>
      <c r="R16" s="852">
        <f>IF(COUNTIF('R1_G1'!$A$8:$A$17,$A16)=1,VLOOKUP($A16,'R1_G1'!$A$8:$Y$17, R$2+7,FALSE),
IF(COUNTIF('R1_G2'!$A$8:$A$17,$A16)=1,VLOOKUP($A16,'R1_G2'!$A$8:$Y$17, R$2+7,FALSE),
IF(COUNTIF('R1_G3'!$A$8:$A$17,$A16)=1,VLOOKUP($A16,'R1_G3'!$A$8:$Y$17, R$2+7,FALSE),
IF(COUNTIF('R1_G4'!$A$8:$A$17,$A16)=1,VLOOKUP($A16,'R1_G4'!$A$8:$Y$17, R$2+7,FALSE),""))))</f>
        <v>4</v>
      </c>
      <c r="S16" s="852">
        <f>IF(COUNTIF('R1_G1'!$A$8:$A$17,$A16)=1,VLOOKUP($A16,'R1_G1'!$A$8:$Y$17, S$2+7,FALSE),
IF(COUNTIF('R1_G2'!$A$8:$A$17,$A16)=1,VLOOKUP($A16,'R1_G2'!$A$8:$Y$17, S$2+7,FALSE),
IF(COUNTIF('R1_G3'!$A$8:$A$17,$A16)=1,VLOOKUP($A16,'R1_G3'!$A$8:$Y$17, S$2+7,FALSE),
IF(COUNTIF('R1_G4'!$A$8:$A$17,$A16)=1,VLOOKUP($A16,'R1_G4'!$A$8:$Y$17, S$2+7,FALSE),""))))</f>
        <v>4</v>
      </c>
      <c r="T16" s="852">
        <f>IF(COUNTIF('R1_G1'!$A$8:$A$17,$A16)=1,VLOOKUP($A16,'R1_G1'!$A$8:$Y$17, T$2+7,FALSE),
IF(COUNTIF('R1_G2'!$A$8:$A$17,$A16)=1,VLOOKUP($A16,'R1_G2'!$A$8:$Y$17, T$2+7,FALSE),
IF(COUNTIF('R1_G3'!$A$8:$A$17,$A16)=1,VLOOKUP($A16,'R1_G3'!$A$8:$Y$17, T$2+7,FALSE),
IF(COUNTIF('R1_G4'!$A$8:$A$17,$A16)=1,VLOOKUP($A16,'R1_G4'!$A$8:$Y$17, T$2+7,FALSE),""))))</f>
        <v>5</v>
      </c>
      <c r="U16" s="852">
        <f>IF(COUNTIF('R1_G1'!$A$8:$A$17,$A16)=1,VLOOKUP($A16,'R1_G1'!$A$8:$Y$17, U$2+7,FALSE),
IF(COUNTIF('R1_G2'!$A$8:$A$17,$A16)=1,VLOOKUP($A16,'R1_G2'!$A$8:$Y$17, U$2+7,FALSE),
IF(COUNTIF('R1_G3'!$A$8:$A$17,$A16)=1,VLOOKUP($A16,'R1_G3'!$A$8:$Y$17, U$2+7,FALSE),
IF(COUNTIF('R1_G4'!$A$8:$A$17,$A16)=1,VLOOKUP($A16,'R1_G4'!$A$8:$Y$17, U$2+7,FALSE),""))))</f>
        <v>3</v>
      </c>
      <c r="V16" s="852">
        <f>IF(COUNTIF('R1_G1'!$A$8:$A$17,$A16)=1,VLOOKUP($A16,'R1_G1'!$A$8:$Y$17, V$2+7,FALSE),
IF(COUNTIF('R1_G2'!$A$8:$A$17,$A16)=1,VLOOKUP($A16,'R1_G2'!$A$8:$Y$17, V$2+7,FALSE),
IF(COUNTIF('R1_G3'!$A$8:$A$17,$A16)=1,VLOOKUP($A16,'R1_G3'!$A$8:$Y$17, V$2+7,FALSE),
IF(COUNTIF('R1_G4'!$A$8:$A$17,$A16)=1,VLOOKUP($A16,'R1_G4'!$A$8:$Y$17, V$2+7,FALSE),""))))</f>
        <v>7</v>
      </c>
      <c r="W16" s="859">
        <f t="shared" si="2"/>
        <v>47</v>
      </c>
      <c r="X16" s="859">
        <f t="shared" si="3"/>
        <v>42</v>
      </c>
      <c r="Y16" s="859">
        <f t="shared" si="7"/>
        <v>89</v>
      </c>
      <c r="Z16" s="858">
        <f t="shared" ca="1" si="8"/>
        <v>79</v>
      </c>
      <c r="AA16" s="858">
        <f t="shared" si="9"/>
        <v>89</v>
      </c>
      <c r="AB16" s="838"/>
      <c r="AC16" s="857" t="str">
        <f>'Master Input'!$A$23</f>
        <v>Pace</v>
      </c>
      <c r="AD16" s="858">
        <f ca="1">VLOOKUP(AC16,'Master Input'!$A$11:$L$27,6,FALSE)</f>
        <v>10</v>
      </c>
      <c r="AE16" s="857" t="s">
        <v>198</v>
      </c>
      <c r="AF16" s="832"/>
      <c r="AG16" s="859">
        <f t="shared" ref="AG16:AX16" ca="1" si="29">IF(E16="","",E16-IF($B16&gt;0,FLOOR($B16/18,1),0)-IF(AND(MOD($B16,18)&gt;=E$3,$B16&gt;0),1,0)+IF(E$3-18&gt;$B16,1,0))</f>
        <v>5</v>
      </c>
      <c r="AH16" s="859">
        <f t="shared" ca="1" si="29"/>
        <v>6</v>
      </c>
      <c r="AI16" s="859">
        <f t="shared" ca="1" si="29"/>
        <v>5</v>
      </c>
      <c r="AJ16" s="859">
        <f t="shared" ca="1" si="29"/>
        <v>5</v>
      </c>
      <c r="AK16" s="859">
        <f t="shared" ca="1" si="29"/>
        <v>3</v>
      </c>
      <c r="AL16" s="859">
        <f t="shared" ca="1" si="29"/>
        <v>6</v>
      </c>
      <c r="AM16" s="859">
        <f t="shared" ca="1" si="29"/>
        <v>4</v>
      </c>
      <c r="AN16" s="859">
        <f t="shared" ca="1" si="29"/>
        <v>4</v>
      </c>
      <c r="AO16" s="859">
        <f t="shared" ca="1" si="29"/>
        <v>5</v>
      </c>
      <c r="AP16" s="852">
        <f t="shared" ca="1" si="29"/>
        <v>4</v>
      </c>
      <c r="AQ16" s="852">
        <f t="shared" ca="1" si="29"/>
        <v>4</v>
      </c>
      <c r="AR16" s="852">
        <f t="shared" ca="1" si="29"/>
        <v>6</v>
      </c>
      <c r="AS16" s="852">
        <f t="shared" ca="1" si="29"/>
        <v>3</v>
      </c>
      <c r="AT16" s="852">
        <f t="shared" ca="1" si="29"/>
        <v>3</v>
      </c>
      <c r="AU16" s="852">
        <f t="shared" ca="1" si="29"/>
        <v>3</v>
      </c>
      <c r="AV16" s="852">
        <f t="shared" ca="1" si="29"/>
        <v>4</v>
      </c>
      <c r="AW16" s="852">
        <f t="shared" ca="1" si="29"/>
        <v>3</v>
      </c>
      <c r="AX16" s="852">
        <f t="shared" ca="1" si="29"/>
        <v>6</v>
      </c>
      <c r="AY16" s="859">
        <f t="shared" ca="1" si="5"/>
        <v>43</v>
      </c>
      <c r="AZ16" s="859">
        <f t="shared" ca="1" si="6"/>
        <v>36</v>
      </c>
      <c r="BA16" s="859">
        <f t="shared" ca="1" si="11"/>
        <v>79</v>
      </c>
      <c r="BB16" s="857" t="str">
        <f ca="1">IF(COUNTIF('R1_G1'!$A$8:$A$17,$A16)=1, IF(AND(BA16=Z16,BA16=VLOOKUP($A16,'R1_G1'!$A$8:$AB$17, 28,FALSE)),"yes","no"),
IF(COUNTIF('R1_G2'!$A$8:$A$17,$A16)=1, IF(AND(BA16=Z16,BA16=VLOOKUP($A16,'R1_G2'!$A$8:$AB$17, 28,FALSE)),"yes","no"),
IF(COUNTIF('R1_G3'!$A$8:$A$17,$A16)=1, IF(AND(BA16=Z16,BA16=VLOOKUP($A16,'R1_G3'!$A$8:$AB$17, 28,FALSE)),"yes","no"),
IF(COUNTIF('R1_G4'!$A$8:$A$17,$A16)=1, IF(AND(BA16=Z16,BA16=VLOOKUP($A16,'R1_G4'!$A$8:$AB$17, 28,FALSE)),"yes","no"),
"?"))))</f>
        <v>yes</v>
      </c>
      <c r="BC16" s="838"/>
      <c r="BD16" s="860">
        <f t="shared" ca="1" si="12"/>
        <v>7</v>
      </c>
      <c r="BE16" s="861">
        <f t="shared" ca="1" si="13"/>
        <v>8.4</v>
      </c>
      <c r="BF16" s="861">
        <f t="shared" ca="1" si="15"/>
        <v>1</v>
      </c>
      <c r="BG16" s="861">
        <f t="shared" ca="1" si="16"/>
        <v>3</v>
      </c>
      <c r="BH16" s="861">
        <f t="shared" ca="1" si="17"/>
        <v>6</v>
      </c>
      <c r="BI16" s="861">
        <f t="shared" ca="1" si="18"/>
        <v>4</v>
      </c>
      <c r="BJ16" s="861">
        <f t="shared" ca="1" si="19"/>
        <v>4</v>
      </c>
    </row>
    <row r="17" spans="1:62" ht="14.25" customHeight="1">
      <c r="A17" s="849" t="str">
        <f>'Master Input'!$A$24</f>
        <v>T-Mo</v>
      </c>
      <c r="B17" s="850">
        <f ca="1">VLOOKUP(A17,'Master Input'!$A$11:$L$27,6,FALSE)</f>
        <v>11</v>
      </c>
      <c r="C17" s="849">
        <f>VLOOKUP(A17,'Locked Bets Setup'!$A$5:$L$20,10,FALSE)</f>
        <v>0</v>
      </c>
      <c r="D17" s="851"/>
      <c r="E17" s="852">
        <f>IF(COUNTIF('R1_G1'!$A$8:$A$17,$A17)=1,VLOOKUP($A17,'R1_G1'!$A$8:$Y$17, E$2+4,FALSE),
IF(COUNTIF('R1_G2'!$A$8:$A$17,$A17)=1,VLOOKUP($A17,'R1_G2'!$A$8:$Y$17, E$2+4,FALSE),
IF(COUNTIF('R1_G3'!$A$8:$A$17,$A17)=1,VLOOKUP($A17,'R1_G3'!$A$8:$Y$17, E$2+4,FALSE),
IF(COUNTIF('R1_G4'!$A$8:$A$17,$A17)=1,VLOOKUP($A17,'R1_G4'!$A$8:$Y$17, E$2+4,FALSE),""))))</f>
        <v>4</v>
      </c>
      <c r="F17" s="852">
        <f>IF(COUNTIF('R1_G1'!$A$8:$A$17,$A17)=1,VLOOKUP($A17,'R1_G1'!$A$8:$Y$17, F$2+4,FALSE),
IF(COUNTIF('R1_G2'!$A$8:$A$17,$A17)=1,VLOOKUP($A17,'R1_G2'!$A$8:$Y$17, F$2+4,FALSE),
IF(COUNTIF('R1_G3'!$A$8:$A$17,$A17)=1,VLOOKUP($A17,'R1_G3'!$A$8:$Y$17, F$2+4,FALSE),
IF(COUNTIF('R1_G4'!$A$8:$A$17,$A17)=1,VLOOKUP($A17,'R1_G4'!$A$8:$Y$17, F$2+4,FALSE),""))))</f>
        <v>3</v>
      </c>
      <c r="G17" s="852">
        <f>IF(COUNTIF('R1_G1'!$A$8:$A$17,$A17)=1,VLOOKUP($A17,'R1_G1'!$A$8:$Y$17, G$2+4,FALSE),
IF(COUNTIF('R1_G2'!$A$8:$A$17,$A17)=1,VLOOKUP($A17,'R1_G2'!$A$8:$Y$17, G$2+4,FALSE),
IF(COUNTIF('R1_G3'!$A$8:$A$17,$A17)=1,VLOOKUP($A17,'R1_G3'!$A$8:$Y$17, G$2+4,FALSE),
IF(COUNTIF('R1_G4'!$A$8:$A$17,$A17)=1,VLOOKUP($A17,'R1_G4'!$A$8:$Y$17, G$2+4,FALSE),""))))</f>
        <v>4</v>
      </c>
      <c r="H17" s="852">
        <f>IF(COUNTIF('R1_G1'!$A$8:$A$17,$A17)=1,VLOOKUP($A17,'R1_G1'!$A$8:$Y$17, H$2+4,FALSE),
IF(COUNTIF('R1_G2'!$A$8:$A$17,$A17)=1,VLOOKUP($A17,'R1_G2'!$A$8:$Y$17, H$2+4,FALSE),
IF(COUNTIF('R1_G3'!$A$8:$A$17,$A17)=1,VLOOKUP($A17,'R1_G3'!$A$8:$Y$17, H$2+4,FALSE),
IF(COUNTIF('R1_G4'!$A$8:$A$17,$A17)=1,VLOOKUP($A17,'R1_G4'!$A$8:$Y$17, H$2+4,FALSE),""))))</f>
        <v>5</v>
      </c>
      <c r="I17" s="852">
        <f>IF(COUNTIF('R1_G1'!$A$8:$A$17,$A17)=1,VLOOKUP($A17,'R1_G1'!$A$8:$Y$17, I$2+4,FALSE),
IF(COUNTIF('R1_G2'!$A$8:$A$17,$A17)=1,VLOOKUP($A17,'R1_G2'!$A$8:$Y$17, I$2+4,FALSE),
IF(COUNTIF('R1_G3'!$A$8:$A$17,$A17)=1,VLOOKUP($A17,'R1_G3'!$A$8:$Y$17, I$2+4,FALSE),
IF(COUNTIF('R1_G4'!$A$8:$A$17,$A17)=1,VLOOKUP($A17,'R1_G4'!$A$8:$Y$17, I$2+4,FALSE),""))))</f>
        <v>4</v>
      </c>
      <c r="J17" s="852">
        <f>IF(COUNTIF('R1_G1'!$A$8:$A$17,$A17)=1,VLOOKUP($A17,'R1_G1'!$A$8:$Y$17, J$2+4,FALSE),
IF(COUNTIF('R1_G2'!$A$8:$A$17,$A17)=1,VLOOKUP($A17,'R1_G2'!$A$8:$Y$17, J$2+4,FALSE),
IF(COUNTIF('R1_G3'!$A$8:$A$17,$A17)=1,VLOOKUP($A17,'R1_G3'!$A$8:$Y$17, J$2+4,FALSE),
IF(COUNTIF('R1_G4'!$A$8:$A$17,$A17)=1,VLOOKUP($A17,'R1_G4'!$A$8:$Y$17, J$2+4,FALSE),""))))</f>
        <v>4</v>
      </c>
      <c r="K17" s="852">
        <f>IF(COUNTIF('R1_G1'!$A$8:$A$17,$A17)=1,VLOOKUP($A17,'R1_G1'!$A$8:$Y$17, K$2+4,FALSE),
IF(COUNTIF('R1_G2'!$A$8:$A$17,$A17)=1,VLOOKUP($A17,'R1_G2'!$A$8:$Y$17, K$2+4,FALSE),
IF(COUNTIF('R1_G3'!$A$8:$A$17,$A17)=1,VLOOKUP($A17,'R1_G3'!$A$8:$Y$17, K$2+4,FALSE),
IF(COUNTIF('R1_G4'!$A$8:$A$17,$A17)=1,VLOOKUP($A17,'R1_G4'!$A$8:$Y$17, K$2+4,FALSE),""))))</f>
        <v>6</v>
      </c>
      <c r="L17" s="852">
        <f>IF(COUNTIF('R1_G1'!$A$8:$A$17,$A17)=1,VLOOKUP($A17,'R1_G1'!$A$8:$Y$17, L$2+4,FALSE),
IF(COUNTIF('R1_G2'!$A$8:$A$17,$A17)=1,VLOOKUP($A17,'R1_G2'!$A$8:$Y$17, L$2+4,FALSE),
IF(COUNTIF('R1_G3'!$A$8:$A$17,$A17)=1,VLOOKUP($A17,'R1_G3'!$A$8:$Y$17, L$2+4,FALSE),
IF(COUNTIF('R1_G4'!$A$8:$A$17,$A17)=1,VLOOKUP($A17,'R1_G4'!$A$8:$Y$17, L$2+4,FALSE),""))))</f>
        <v>5</v>
      </c>
      <c r="M17" s="852">
        <f>IF(COUNTIF('R1_G1'!$A$8:$A$17,$A17)=1,VLOOKUP($A17,'R1_G1'!$A$8:$Y$17, M$2+4,FALSE),
IF(COUNTIF('R1_G2'!$A$8:$A$17,$A17)=1,VLOOKUP($A17,'R1_G2'!$A$8:$Y$17, M$2+4,FALSE),
IF(COUNTIF('R1_G3'!$A$8:$A$17,$A17)=1,VLOOKUP($A17,'R1_G3'!$A$8:$Y$17, M$2+4,FALSE),
IF(COUNTIF('R1_G4'!$A$8:$A$17,$A17)=1,VLOOKUP($A17,'R1_G4'!$A$8:$Y$17, M$2+4,FALSE),""))))</f>
        <v>6</v>
      </c>
      <c r="N17" s="853">
        <f>IF(COUNTIF('R1_G1'!$A$8:$A$17,$A17)=1,VLOOKUP($A17,'R1_G1'!$A$8:$Y$17, N$2+7,FALSE),
IF(COUNTIF('R1_G2'!$A$8:$A$17,$A17)=1,VLOOKUP($A17,'R1_G2'!$A$8:$Y$17, N$2+7,FALSE),
IF(COUNTIF('R1_G3'!$A$8:$A$17,$A17)=1,VLOOKUP($A17,'R1_G3'!$A$8:$Y$17, N$2+7,FALSE),
IF(COUNTIF('R1_G4'!$A$8:$A$17,$A17)=1,VLOOKUP($A17,'R1_G4'!$A$8:$Y$17, N$2+7,FALSE),""))))</f>
        <v>4</v>
      </c>
      <c r="O17" s="853">
        <f>IF(COUNTIF('R1_G1'!$A$8:$A$17,$A17)=1,VLOOKUP($A17,'R1_G1'!$A$8:$Y$17, O$2+7,FALSE),
IF(COUNTIF('R1_G2'!$A$8:$A$17,$A17)=1,VLOOKUP($A17,'R1_G2'!$A$8:$Y$17, O$2+7,FALSE),
IF(COUNTIF('R1_G3'!$A$8:$A$17,$A17)=1,VLOOKUP($A17,'R1_G3'!$A$8:$Y$17, O$2+7,FALSE),
IF(COUNTIF('R1_G4'!$A$8:$A$17,$A17)=1,VLOOKUP($A17,'R1_G4'!$A$8:$Y$17, O$2+7,FALSE),""))))</f>
        <v>5</v>
      </c>
      <c r="P17" s="853">
        <f>IF(COUNTIF('R1_G1'!$A$8:$A$17,$A17)=1,VLOOKUP($A17,'R1_G1'!$A$8:$Y$17, P$2+7,FALSE),
IF(COUNTIF('R1_G2'!$A$8:$A$17,$A17)=1,VLOOKUP($A17,'R1_G2'!$A$8:$Y$17, P$2+7,FALSE),
IF(COUNTIF('R1_G3'!$A$8:$A$17,$A17)=1,VLOOKUP($A17,'R1_G3'!$A$8:$Y$17, P$2+7,FALSE),
IF(COUNTIF('R1_G4'!$A$8:$A$17,$A17)=1,VLOOKUP($A17,'R1_G4'!$A$8:$Y$17, P$2+7,FALSE),""))))</f>
        <v>8</v>
      </c>
      <c r="Q17" s="853">
        <f>IF(COUNTIF('R1_G1'!$A$8:$A$17,$A17)=1,VLOOKUP($A17,'R1_G1'!$A$8:$Y$17, Q$2+7,FALSE),
IF(COUNTIF('R1_G2'!$A$8:$A$17,$A17)=1,VLOOKUP($A17,'R1_G2'!$A$8:$Y$17, Q$2+7,FALSE),
IF(COUNTIF('R1_G3'!$A$8:$A$17,$A17)=1,VLOOKUP($A17,'R1_G3'!$A$8:$Y$17, Q$2+7,FALSE),
IF(COUNTIF('R1_G4'!$A$8:$A$17,$A17)=1,VLOOKUP($A17,'R1_G4'!$A$8:$Y$17, Q$2+7,FALSE),""))))</f>
        <v>5</v>
      </c>
      <c r="R17" s="853">
        <f>IF(COUNTIF('R1_G1'!$A$8:$A$17,$A17)=1,VLOOKUP($A17,'R1_G1'!$A$8:$Y$17, R$2+7,FALSE),
IF(COUNTIF('R1_G2'!$A$8:$A$17,$A17)=1,VLOOKUP($A17,'R1_G2'!$A$8:$Y$17, R$2+7,FALSE),
IF(COUNTIF('R1_G3'!$A$8:$A$17,$A17)=1,VLOOKUP($A17,'R1_G3'!$A$8:$Y$17, R$2+7,FALSE),
IF(COUNTIF('R1_G4'!$A$8:$A$17,$A17)=1,VLOOKUP($A17,'R1_G4'!$A$8:$Y$17, R$2+7,FALSE),""))))</f>
        <v>3</v>
      </c>
      <c r="S17" s="853">
        <f>IF(COUNTIF('R1_G1'!$A$8:$A$17,$A17)=1,VLOOKUP($A17,'R1_G1'!$A$8:$Y$17, S$2+7,FALSE),
IF(COUNTIF('R1_G2'!$A$8:$A$17,$A17)=1,VLOOKUP($A17,'R1_G2'!$A$8:$Y$17, S$2+7,FALSE),
IF(COUNTIF('R1_G3'!$A$8:$A$17,$A17)=1,VLOOKUP($A17,'R1_G3'!$A$8:$Y$17, S$2+7,FALSE),
IF(COUNTIF('R1_G4'!$A$8:$A$17,$A17)=1,VLOOKUP($A17,'R1_G4'!$A$8:$Y$17, S$2+7,FALSE),""))))</f>
        <v>8</v>
      </c>
      <c r="T17" s="853">
        <f>IF(COUNTIF('R1_G1'!$A$8:$A$17,$A17)=1,VLOOKUP($A17,'R1_G1'!$A$8:$Y$17, T$2+7,FALSE),
IF(COUNTIF('R1_G2'!$A$8:$A$17,$A17)=1,VLOOKUP($A17,'R1_G2'!$A$8:$Y$17, T$2+7,FALSE),
IF(COUNTIF('R1_G3'!$A$8:$A$17,$A17)=1,VLOOKUP($A17,'R1_G3'!$A$8:$Y$17, T$2+7,FALSE),
IF(COUNTIF('R1_G4'!$A$8:$A$17,$A17)=1,VLOOKUP($A17,'R1_G4'!$A$8:$Y$17, T$2+7,FALSE),""))))</f>
        <v>5</v>
      </c>
      <c r="U17" s="853">
        <f>IF(COUNTIF('R1_G1'!$A$8:$A$17,$A17)=1,VLOOKUP($A17,'R1_G1'!$A$8:$Y$17, U$2+7,FALSE),
IF(COUNTIF('R1_G2'!$A$8:$A$17,$A17)=1,VLOOKUP($A17,'R1_G2'!$A$8:$Y$17, U$2+7,FALSE),
IF(COUNTIF('R1_G3'!$A$8:$A$17,$A17)=1,VLOOKUP($A17,'R1_G3'!$A$8:$Y$17, U$2+7,FALSE),
IF(COUNTIF('R1_G4'!$A$8:$A$17,$A17)=1,VLOOKUP($A17,'R1_G4'!$A$8:$Y$17, U$2+7,FALSE),""))))</f>
        <v>4</v>
      </c>
      <c r="V17" s="853">
        <f>IF(COUNTIF('R1_G1'!$A$8:$A$17,$A17)=1,VLOOKUP($A17,'R1_G1'!$A$8:$Y$17, V$2+7,FALSE),
IF(COUNTIF('R1_G2'!$A$8:$A$17,$A17)=1,VLOOKUP($A17,'R1_G2'!$A$8:$Y$17, V$2+7,FALSE),
IF(COUNTIF('R1_G3'!$A$8:$A$17,$A17)=1,VLOOKUP($A17,'R1_G3'!$A$8:$Y$17, V$2+7,FALSE),
IF(COUNTIF('R1_G4'!$A$8:$A$17,$A17)=1,VLOOKUP($A17,'R1_G4'!$A$8:$Y$17, V$2+7,FALSE),""))))</f>
        <v>4</v>
      </c>
      <c r="W17" s="852">
        <f t="shared" si="2"/>
        <v>41</v>
      </c>
      <c r="X17" s="852">
        <f t="shared" si="3"/>
        <v>46</v>
      </c>
      <c r="Y17" s="852">
        <f t="shared" si="7"/>
        <v>87</v>
      </c>
      <c r="Z17" s="850">
        <f t="shared" ca="1" si="8"/>
        <v>76</v>
      </c>
      <c r="AA17" s="850">
        <f t="shared" si="9"/>
        <v>87</v>
      </c>
      <c r="AB17" s="838"/>
      <c r="AC17" s="849" t="str">
        <f>'Master Input'!$A$24</f>
        <v>T-Mo</v>
      </c>
      <c r="AD17" s="850">
        <f ca="1">VLOOKUP(AC17,'Master Input'!$A$11:$L$27,6,FALSE)</f>
        <v>11</v>
      </c>
      <c r="AE17" s="849" t="s">
        <v>198</v>
      </c>
      <c r="AF17" s="832"/>
      <c r="AG17" s="852">
        <f t="shared" ref="AG17:AX17" ca="1" si="30">IF(E17="","",E17-IF($B17&gt;0,FLOOR($B17/18,1),0)-IF(AND(MOD($B17,18)&gt;=E$3,$B17&gt;0),1,0)+IF(E$3-18&gt;$B17,1,0))</f>
        <v>4</v>
      </c>
      <c r="AH17" s="852">
        <f t="shared" ca="1" si="30"/>
        <v>3</v>
      </c>
      <c r="AI17" s="852">
        <f t="shared" ca="1" si="30"/>
        <v>3</v>
      </c>
      <c r="AJ17" s="852">
        <f t="shared" ca="1" si="30"/>
        <v>5</v>
      </c>
      <c r="AK17" s="852">
        <f t="shared" ca="1" si="30"/>
        <v>3</v>
      </c>
      <c r="AL17" s="852">
        <f t="shared" ca="1" si="30"/>
        <v>3</v>
      </c>
      <c r="AM17" s="852">
        <f t="shared" ca="1" si="30"/>
        <v>6</v>
      </c>
      <c r="AN17" s="852">
        <f t="shared" ca="1" si="30"/>
        <v>4</v>
      </c>
      <c r="AO17" s="852">
        <f t="shared" ca="1" si="30"/>
        <v>5</v>
      </c>
      <c r="AP17" s="853">
        <f t="shared" ca="1" si="30"/>
        <v>3</v>
      </c>
      <c r="AQ17" s="853">
        <f t="shared" ca="1" si="30"/>
        <v>5</v>
      </c>
      <c r="AR17" s="853">
        <f t="shared" ca="1" si="30"/>
        <v>7</v>
      </c>
      <c r="AS17" s="853">
        <f t="shared" ca="1" si="30"/>
        <v>5</v>
      </c>
      <c r="AT17" s="853">
        <f t="shared" ca="1" si="30"/>
        <v>2</v>
      </c>
      <c r="AU17" s="853">
        <f t="shared" ca="1" si="30"/>
        <v>7</v>
      </c>
      <c r="AV17" s="853">
        <f t="shared" ca="1" si="30"/>
        <v>4</v>
      </c>
      <c r="AW17" s="853">
        <f t="shared" ca="1" si="30"/>
        <v>4</v>
      </c>
      <c r="AX17" s="853">
        <f t="shared" ca="1" si="30"/>
        <v>3</v>
      </c>
      <c r="AY17" s="852">
        <f t="shared" ca="1" si="5"/>
        <v>36</v>
      </c>
      <c r="AZ17" s="852">
        <f t="shared" ca="1" si="6"/>
        <v>40</v>
      </c>
      <c r="BA17" s="852">
        <f t="shared" ca="1" si="11"/>
        <v>76</v>
      </c>
      <c r="BB17" s="849" t="str">
        <f ca="1">IF(COUNTIF('R1_G1'!$A$8:$A$17,$A17)=1, IF(AND(BA17=Z17,BA17=VLOOKUP($A17,'R1_G1'!$A$8:$AB$17, 28,FALSE)),"yes","no"),
IF(COUNTIF('R1_G2'!$A$8:$A$17,$A17)=1, IF(AND(BA17=Z17,BA17=VLOOKUP($A17,'R1_G2'!$A$8:$AB$17, 28,FALSE)),"yes","no"),
IF(COUNTIF('R1_G3'!$A$8:$A$17,$A17)=1, IF(AND(BA17=Z17,BA17=VLOOKUP($A17,'R1_G3'!$A$8:$AB$17, 28,FALSE)),"yes","no"),
IF(COUNTIF('R1_G4'!$A$8:$A$17,$A17)=1, IF(AND(BA17=Z17,BA17=VLOOKUP($A17,'R1_G4'!$A$8:$AB$17, 28,FALSE)),"yes","no"),
"?"))))</f>
        <v>yes</v>
      </c>
      <c r="BC17" s="838"/>
      <c r="BD17" s="862">
        <f t="shared" ca="1" si="12"/>
        <v>8.5</v>
      </c>
      <c r="BE17" s="855">
        <f t="shared" ca="1" si="13"/>
        <v>8.966666666666665</v>
      </c>
      <c r="BF17" s="855">
        <f t="shared" ca="1" si="15"/>
        <v>2</v>
      </c>
      <c r="BG17" s="855">
        <f t="shared" ca="1" si="16"/>
        <v>5</v>
      </c>
      <c r="BH17" s="855">
        <f t="shared" ca="1" si="17"/>
        <v>3</v>
      </c>
      <c r="BI17" s="855">
        <f t="shared" ca="1" si="18"/>
        <v>4</v>
      </c>
      <c r="BJ17" s="855">
        <f t="shared" ca="1" si="19"/>
        <v>4</v>
      </c>
    </row>
    <row r="18" spans="1:62" ht="14.25" customHeight="1">
      <c r="A18" s="857" t="str">
        <f>'Master Input'!$A$25</f>
        <v>Joe O</v>
      </c>
      <c r="B18" s="858">
        <f ca="1">VLOOKUP(A18,'Master Input'!$A$11:$L$27,6,FALSE)</f>
        <v>14</v>
      </c>
      <c r="C18" s="849">
        <f>VLOOKUP(A18,'Locked Bets Setup'!$A$5:$L$20,10,FALSE)</f>
        <v>0</v>
      </c>
      <c r="D18" s="851"/>
      <c r="E18" s="859">
        <f>IF(COUNTIF('R1_G1'!$A$8:$A$17,$A18)=1,VLOOKUP($A18,'R1_G1'!$A$8:$Y$17, E$2+4,FALSE),
IF(COUNTIF('R1_G2'!$A$8:$A$17,$A18)=1,VLOOKUP($A18,'R1_G2'!$A$8:$Y$17, E$2+4,FALSE),
IF(COUNTIF('R1_G3'!$A$8:$A$17,$A18)=1,VLOOKUP($A18,'R1_G3'!$A$8:$Y$17, E$2+4,FALSE),
IF(COUNTIF('R1_G4'!$A$8:$A$17,$A18)=1,VLOOKUP($A18,'R1_G4'!$A$8:$Y$17, E$2+4,FALSE),""))))</f>
        <v>5</v>
      </c>
      <c r="F18" s="859">
        <f>IF(COUNTIF('R1_G1'!$A$8:$A$17,$A18)=1,VLOOKUP($A18,'R1_G1'!$A$8:$Y$17, F$2+4,FALSE),
IF(COUNTIF('R1_G2'!$A$8:$A$17,$A18)=1,VLOOKUP($A18,'R1_G2'!$A$8:$Y$17, F$2+4,FALSE),
IF(COUNTIF('R1_G3'!$A$8:$A$17,$A18)=1,VLOOKUP($A18,'R1_G3'!$A$8:$Y$17, F$2+4,FALSE),
IF(COUNTIF('R1_G4'!$A$8:$A$17,$A18)=1,VLOOKUP($A18,'R1_G4'!$A$8:$Y$17, F$2+4,FALSE),""))))</f>
        <v>4</v>
      </c>
      <c r="G18" s="859">
        <f>IF(COUNTIF('R1_G1'!$A$8:$A$17,$A18)=1,VLOOKUP($A18,'R1_G1'!$A$8:$Y$17, G$2+4,FALSE),
IF(COUNTIF('R1_G2'!$A$8:$A$17,$A18)=1,VLOOKUP($A18,'R1_G2'!$A$8:$Y$17, G$2+4,FALSE),
IF(COUNTIF('R1_G3'!$A$8:$A$17,$A18)=1,VLOOKUP($A18,'R1_G3'!$A$8:$Y$17, G$2+4,FALSE),
IF(COUNTIF('R1_G4'!$A$8:$A$17,$A18)=1,VLOOKUP($A18,'R1_G4'!$A$8:$Y$17, G$2+4,FALSE),""))))</f>
        <v>3</v>
      </c>
      <c r="H18" s="859">
        <f>IF(COUNTIF('R1_G1'!$A$8:$A$17,$A18)=1,VLOOKUP($A18,'R1_G1'!$A$8:$Y$17, H$2+4,FALSE),
IF(COUNTIF('R1_G2'!$A$8:$A$17,$A18)=1,VLOOKUP($A18,'R1_G2'!$A$8:$Y$17, H$2+4,FALSE),
IF(COUNTIF('R1_G3'!$A$8:$A$17,$A18)=1,VLOOKUP($A18,'R1_G3'!$A$8:$Y$17, H$2+4,FALSE),
IF(COUNTIF('R1_G4'!$A$8:$A$17,$A18)=1,VLOOKUP($A18,'R1_G4'!$A$8:$Y$17, H$2+4,FALSE),""))))</f>
        <v>4</v>
      </c>
      <c r="I18" s="859">
        <f>IF(COUNTIF('R1_G1'!$A$8:$A$17,$A18)=1,VLOOKUP($A18,'R1_G1'!$A$8:$Y$17, I$2+4,FALSE),
IF(COUNTIF('R1_G2'!$A$8:$A$17,$A18)=1,VLOOKUP($A18,'R1_G2'!$A$8:$Y$17, I$2+4,FALSE),
IF(COUNTIF('R1_G3'!$A$8:$A$17,$A18)=1,VLOOKUP($A18,'R1_G3'!$A$8:$Y$17, I$2+4,FALSE),
IF(COUNTIF('R1_G4'!$A$8:$A$17,$A18)=1,VLOOKUP($A18,'R1_G4'!$A$8:$Y$17, I$2+4,FALSE),""))))</f>
        <v>5</v>
      </c>
      <c r="J18" s="859">
        <f>IF(COUNTIF('R1_G1'!$A$8:$A$17,$A18)=1,VLOOKUP($A18,'R1_G1'!$A$8:$Y$17, J$2+4,FALSE),
IF(COUNTIF('R1_G2'!$A$8:$A$17,$A18)=1,VLOOKUP($A18,'R1_G2'!$A$8:$Y$17, J$2+4,FALSE),
IF(COUNTIF('R1_G3'!$A$8:$A$17,$A18)=1,VLOOKUP($A18,'R1_G3'!$A$8:$Y$17, J$2+4,FALSE),
IF(COUNTIF('R1_G4'!$A$8:$A$17,$A18)=1,VLOOKUP($A18,'R1_G4'!$A$8:$Y$17, J$2+4,FALSE),""))))</f>
        <v>7</v>
      </c>
      <c r="K18" s="859">
        <f>IF(COUNTIF('R1_G1'!$A$8:$A$17,$A18)=1,VLOOKUP($A18,'R1_G1'!$A$8:$Y$17, K$2+4,FALSE),
IF(COUNTIF('R1_G2'!$A$8:$A$17,$A18)=1,VLOOKUP($A18,'R1_G2'!$A$8:$Y$17, K$2+4,FALSE),
IF(COUNTIF('R1_G3'!$A$8:$A$17,$A18)=1,VLOOKUP($A18,'R1_G3'!$A$8:$Y$17, K$2+4,FALSE),
IF(COUNTIF('R1_G4'!$A$8:$A$17,$A18)=1,VLOOKUP($A18,'R1_G4'!$A$8:$Y$17, K$2+4,FALSE),""))))</f>
        <v>6</v>
      </c>
      <c r="L18" s="859">
        <f>IF(COUNTIF('R1_G1'!$A$8:$A$17,$A18)=1,VLOOKUP($A18,'R1_G1'!$A$8:$Y$17, L$2+4,FALSE),
IF(COUNTIF('R1_G2'!$A$8:$A$17,$A18)=1,VLOOKUP($A18,'R1_G2'!$A$8:$Y$17, L$2+4,FALSE),
IF(COUNTIF('R1_G3'!$A$8:$A$17,$A18)=1,VLOOKUP($A18,'R1_G3'!$A$8:$Y$17, L$2+4,FALSE),
IF(COUNTIF('R1_G4'!$A$8:$A$17,$A18)=1,VLOOKUP($A18,'R1_G4'!$A$8:$Y$17, L$2+4,FALSE),""))))</f>
        <v>4</v>
      </c>
      <c r="M18" s="859">
        <f>IF(COUNTIF('R1_G1'!$A$8:$A$17,$A18)=1,VLOOKUP($A18,'R1_G1'!$A$8:$Y$17, M$2+4,FALSE),
IF(COUNTIF('R1_G2'!$A$8:$A$17,$A18)=1,VLOOKUP($A18,'R1_G2'!$A$8:$Y$17, M$2+4,FALSE),
IF(COUNTIF('R1_G3'!$A$8:$A$17,$A18)=1,VLOOKUP($A18,'R1_G3'!$A$8:$Y$17, M$2+4,FALSE),
IF(COUNTIF('R1_G4'!$A$8:$A$17,$A18)=1,VLOOKUP($A18,'R1_G4'!$A$8:$Y$17, M$2+4,FALSE),""))))</f>
        <v>8</v>
      </c>
      <c r="N18" s="852">
        <f>IF(COUNTIF('R1_G1'!$A$8:$A$17,$A18)=1,VLOOKUP($A18,'R1_G1'!$A$8:$Y$17, N$2+7,FALSE),
IF(COUNTIF('R1_G2'!$A$8:$A$17,$A18)=1,VLOOKUP($A18,'R1_G2'!$A$8:$Y$17, N$2+7,FALSE),
IF(COUNTIF('R1_G3'!$A$8:$A$17,$A18)=1,VLOOKUP($A18,'R1_G3'!$A$8:$Y$17, N$2+7,FALSE),
IF(COUNTIF('R1_G4'!$A$8:$A$17,$A18)=1,VLOOKUP($A18,'R1_G4'!$A$8:$Y$17, N$2+7,FALSE),""))))</f>
        <v>4</v>
      </c>
      <c r="O18" s="852">
        <f>IF(COUNTIF('R1_G1'!$A$8:$A$17,$A18)=1,VLOOKUP($A18,'R1_G1'!$A$8:$Y$17, O$2+7,FALSE),
IF(COUNTIF('R1_G2'!$A$8:$A$17,$A18)=1,VLOOKUP($A18,'R1_G2'!$A$8:$Y$17, O$2+7,FALSE),
IF(COUNTIF('R1_G3'!$A$8:$A$17,$A18)=1,VLOOKUP($A18,'R1_G3'!$A$8:$Y$17, O$2+7,FALSE),
IF(COUNTIF('R1_G4'!$A$8:$A$17,$A18)=1,VLOOKUP($A18,'R1_G4'!$A$8:$Y$17, O$2+7,FALSE),""))))</f>
        <v>4</v>
      </c>
      <c r="P18" s="852">
        <f>IF(COUNTIF('R1_G1'!$A$8:$A$17,$A18)=1,VLOOKUP($A18,'R1_G1'!$A$8:$Y$17, P$2+7,FALSE),
IF(COUNTIF('R1_G2'!$A$8:$A$17,$A18)=1,VLOOKUP($A18,'R1_G2'!$A$8:$Y$17, P$2+7,FALSE),
IF(COUNTIF('R1_G3'!$A$8:$A$17,$A18)=1,VLOOKUP($A18,'R1_G3'!$A$8:$Y$17, P$2+7,FALSE),
IF(COUNTIF('R1_G4'!$A$8:$A$17,$A18)=1,VLOOKUP($A18,'R1_G4'!$A$8:$Y$17, P$2+7,FALSE),""))))</f>
        <v>6</v>
      </c>
      <c r="Q18" s="852">
        <f>IF(COUNTIF('R1_G1'!$A$8:$A$17,$A18)=1,VLOOKUP($A18,'R1_G1'!$A$8:$Y$17, Q$2+7,FALSE),
IF(COUNTIF('R1_G2'!$A$8:$A$17,$A18)=1,VLOOKUP($A18,'R1_G2'!$A$8:$Y$17, Q$2+7,FALSE),
IF(COUNTIF('R1_G3'!$A$8:$A$17,$A18)=1,VLOOKUP($A18,'R1_G3'!$A$8:$Y$17, Q$2+7,FALSE),
IF(COUNTIF('R1_G4'!$A$8:$A$17,$A18)=1,VLOOKUP($A18,'R1_G4'!$A$8:$Y$17, Q$2+7,FALSE),""))))</f>
        <v>2</v>
      </c>
      <c r="R18" s="852">
        <f>IF(COUNTIF('R1_G1'!$A$8:$A$17,$A18)=1,VLOOKUP($A18,'R1_G1'!$A$8:$Y$17, R$2+7,FALSE),
IF(COUNTIF('R1_G2'!$A$8:$A$17,$A18)=1,VLOOKUP($A18,'R1_G2'!$A$8:$Y$17, R$2+7,FALSE),
IF(COUNTIF('R1_G3'!$A$8:$A$17,$A18)=1,VLOOKUP($A18,'R1_G3'!$A$8:$Y$17, R$2+7,FALSE),
IF(COUNTIF('R1_G4'!$A$8:$A$17,$A18)=1,VLOOKUP($A18,'R1_G4'!$A$8:$Y$17, R$2+7,FALSE),""))))</f>
        <v>7</v>
      </c>
      <c r="S18" s="852">
        <f>IF(COUNTIF('R1_G1'!$A$8:$A$17,$A18)=1,VLOOKUP($A18,'R1_G1'!$A$8:$Y$17, S$2+7,FALSE),
IF(COUNTIF('R1_G2'!$A$8:$A$17,$A18)=1,VLOOKUP($A18,'R1_G2'!$A$8:$Y$17, S$2+7,FALSE),
IF(COUNTIF('R1_G3'!$A$8:$A$17,$A18)=1,VLOOKUP($A18,'R1_G3'!$A$8:$Y$17, S$2+7,FALSE),
IF(COUNTIF('R1_G4'!$A$8:$A$17,$A18)=1,VLOOKUP($A18,'R1_G4'!$A$8:$Y$17, S$2+7,FALSE),""))))</f>
        <v>6</v>
      </c>
      <c r="T18" s="852">
        <f>IF(COUNTIF('R1_G1'!$A$8:$A$17,$A18)=1,VLOOKUP($A18,'R1_G1'!$A$8:$Y$17, T$2+7,FALSE),
IF(COUNTIF('R1_G2'!$A$8:$A$17,$A18)=1,VLOOKUP($A18,'R1_G2'!$A$8:$Y$17, T$2+7,FALSE),
IF(COUNTIF('R1_G3'!$A$8:$A$17,$A18)=1,VLOOKUP($A18,'R1_G3'!$A$8:$Y$17, T$2+7,FALSE),
IF(COUNTIF('R1_G4'!$A$8:$A$17,$A18)=1,VLOOKUP($A18,'R1_G4'!$A$8:$Y$17, T$2+7,FALSE),""))))</f>
        <v>7</v>
      </c>
      <c r="U18" s="852">
        <f>IF(COUNTIF('R1_G1'!$A$8:$A$17,$A18)=1,VLOOKUP($A18,'R1_G1'!$A$8:$Y$17, U$2+7,FALSE),
IF(COUNTIF('R1_G2'!$A$8:$A$17,$A18)=1,VLOOKUP($A18,'R1_G2'!$A$8:$Y$17, U$2+7,FALSE),
IF(COUNTIF('R1_G3'!$A$8:$A$17,$A18)=1,VLOOKUP($A18,'R1_G3'!$A$8:$Y$17, U$2+7,FALSE),
IF(COUNTIF('R1_G4'!$A$8:$A$17,$A18)=1,VLOOKUP($A18,'R1_G4'!$A$8:$Y$17, U$2+7,FALSE),""))))</f>
        <v>2</v>
      </c>
      <c r="V18" s="852">
        <f>IF(COUNTIF('R1_G1'!$A$8:$A$17,$A18)=1,VLOOKUP($A18,'R1_G1'!$A$8:$Y$17, V$2+7,FALSE),
IF(COUNTIF('R1_G2'!$A$8:$A$17,$A18)=1,VLOOKUP($A18,'R1_G2'!$A$8:$Y$17, V$2+7,FALSE),
IF(COUNTIF('R1_G3'!$A$8:$A$17,$A18)=1,VLOOKUP($A18,'R1_G3'!$A$8:$Y$17, V$2+7,FALSE),
IF(COUNTIF('R1_G4'!$A$8:$A$17,$A18)=1,VLOOKUP($A18,'R1_G4'!$A$8:$Y$17, V$2+7,FALSE),""))))</f>
        <v>7</v>
      </c>
      <c r="W18" s="859">
        <f t="shared" si="2"/>
        <v>46</v>
      </c>
      <c r="X18" s="859">
        <f t="shared" si="3"/>
        <v>45</v>
      </c>
      <c r="Y18" s="859">
        <f t="shared" si="7"/>
        <v>91</v>
      </c>
      <c r="Z18" s="858">
        <f t="shared" ca="1" si="8"/>
        <v>77</v>
      </c>
      <c r="AA18" s="858">
        <f t="shared" si="9"/>
        <v>91</v>
      </c>
      <c r="AB18" s="838"/>
      <c r="AC18" s="857" t="str">
        <f>'Master Input'!$A$25</f>
        <v>Joe O</v>
      </c>
      <c r="AD18" s="858">
        <f ca="1">VLOOKUP(AC18,'Master Input'!$A$11:$L$27,6,FALSE)</f>
        <v>14</v>
      </c>
      <c r="AE18" s="857" t="s">
        <v>198</v>
      </c>
      <c r="AF18" s="832"/>
      <c r="AG18" s="859">
        <f t="shared" ref="AG18:AX18" ca="1" si="31">IF(E18="","",E18-IF($B18&gt;0,FLOOR($B18/18,1),0)-IF(AND(MOD($B18,18)&gt;=E$3,$B18&gt;0),1,0)+IF(E$3-18&gt;$B18,1,0))</f>
        <v>4</v>
      </c>
      <c r="AH18" s="859">
        <f t="shared" ca="1" si="31"/>
        <v>4</v>
      </c>
      <c r="AI18" s="859">
        <f t="shared" ca="1" si="31"/>
        <v>2</v>
      </c>
      <c r="AJ18" s="859">
        <f t="shared" ca="1" si="31"/>
        <v>3</v>
      </c>
      <c r="AK18" s="859">
        <f t="shared" ca="1" si="31"/>
        <v>4</v>
      </c>
      <c r="AL18" s="859">
        <f t="shared" ca="1" si="31"/>
        <v>6</v>
      </c>
      <c r="AM18" s="859">
        <f t="shared" ca="1" si="31"/>
        <v>6</v>
      </c>
      <c r="AN18" s="859">
        <f t="shared" ca="1" si="31"/>
        <v>3</v>
      </c>
      <c r="AO18" s="859">
        <f t="shared" ca="1" si="31"/>
        <v>7</v>
      </c>
      <c r="AP18" s="852">
        <f t="shared" ca="1" si="31"/>
        <v>3</v>
      </c>
      <c r="AQ18" s="852">
        <f t="shared" ca="1" si="31"/>
        <v>3</v>
      </c>
      <c r="AR18" s="852">
        <f t="shared" ca="1" si="31"/>
        <v>5</v>
      </c>
      <c r="AS18" s="852">
        <f t="shared" ca="1" si="31"/>
        <v>2</v>
      </c>
      <c r="AT18" s="852">
        <f t="shared" ca="1" si="31"/>
        <v>6</v>
      </c>
      <c r="AU18" s="852">
        <f t="shared" ca="1" si="31"/>
        <v>5</v>
      </c>
      <c r="AV18" s="852">
        <f t="shared" ca="1" si="31"/>
        <v>6</v>
      </c>
      <c r="AW18" s="852">
        <f t="shared" ca="1" si="31"/>
        <v>2</v>
      </c>
      <c r="AX18" s="852">
        <f t="shared" ca="1" si="31"/>
        <v>6</v>
      </c>
      <c r="AY18" s="859">
        <f t="shared" ca="1" si="5"/>
        <v>39</v>
      </c>
      <c r="AZ18" s="859">
        <f t="shared" ca="1" si="6"/>
        <v>38</v>
      </c>
      <c r="BA18" s="859">
        <f t="shared" ca="1" si="11"/>
        <v>77</v>
      </c>
      <c r="BB18" s="857" t="str">
        <f ca="1">IF(COUNTIF('R1_G1'!$A$8:$A$17,$A18)=1, IF(AND(BA18=Z18,BA18=VLOOKUP($A18,'R1_G1'!$A$8:$AB$17, 28,FALSE)),"yes","no"),
IF(COUNTIF('R1_G2'!$A$8:$A$17,$A18)=1, IF(AND(BA18=Z18,BA18=VLOOKUP($A18,'R1_G2'!$A$8:$AB$17, 28,FALSE)),"yes","no"),
IF(COUNTIF('R1_G3'!$A$8:$A$17,$A18)=1, IF(AND(BA18=Z18,BA18=VLOOKUP($A18,'R1_G3'!$A$8:$AB$17, 28,FALSE)),"yes","no"),
IF(COUNTIF('R1_G4'!$A$8:$A$17,$A18)=1, IF(AND(BA18=Z18,BA18=VLOOKUP($A18,'R1_G4'!$A$8:$AB$17, 28,FALSE)),"yes","no"),
"?"))))</f>
        <v>yes</v>
      </c>
      <c r="BC18" s="838"/>
      <c r="BD18" s="860">
        <f t="shared" ca="1" si="12"/>
        <v>8</v>
      </c>
      <c r="BE18" s="861">
        <f t="shared" ca="1" si="13"/>
        <v>9.4</v>
      </c>
      <c r="BF18" s="861">
        <f t="shared" ca="1" si="15"/>
        <v>0</v>
      </c>
      <c r="BG18" s="861">
        <f t="shared" ca="1" si="16"/>
        <v>6</v>
      </c>
      <c r="BH18" s="861">
        <f t="shared" ca="1" si="17"/>
        <v>4</v>
      </c>
      <c r="BI18" s="861">
        <f t="shared" ca="1" si="18"/>
        <v>5</v>
      </c>
      <c r="BJ18" s="861">
        <f t="shared" ca="1" si="19"/>
        <v>3</v>
      </c>
    </row>
    <row r="19" spans="1:62" ht="14.25" customHeight="1">
      <c r="A19" s="849" t="str">
        <f>'Master Input'!$A$26</f>
        <v>Hile</v>
      </c>
      <c r="B19" s="850">
        <f ca="1">VLOOKUP(A19,'Master Input'!$A$11:$L$27,6,FALSE)</f>
        <v>17</v>
      </c>
      <c r="C19" s="849">
        <f>VLOOKUP(A19,'Locked Bets Setup'!$A$5:$L$20,10,FALSE)</f>
        <v>0</v>
      </c>
      <c r="D19" s="851"/>
      <c r="E19" s="852">
        <f>IF(COUNTIF('R1_G1'!$A$8:$A$17,$A19)=1,VLOOKUP($A19,'R1_G1'!$A$8:$Y$17, E$2+4,FALSE),
IF(COUNTIF('R1_G2'!$A$8:$A$17,$A19)=1,VLOOKUP($A19,'R1_G2'!$A$8:$Y$17, E$2+4,FALSE),
IF(COUNTIF('R1_G3'!$A$8:$A$17,$A19)=1,VLOOKUP($A19,'R1_G3'!$A$8:$Y$17, E$2+4,FALSE),
IF(COUNTIF('R1_G4'!$A$8:$A$17,$A19)=1,VLOOKUP($A19,'R1_G4'!$A$8:$Y$17, E$2+4,FALSE),""))))</f>
        <v>10</v>
      </c>
      <c r="F19" s="852">
        <f>IF(COUNTIF('R1_G1'!$A$8:$A$17,$A19)=1,VLOOKUP($A19,'R1_G1'!$A$8:$Y$17, F$2+4,FALSE),
IF(COUNTIF('R1_G2'!$A$8:$A$17,$A19)=1,VLOOKUP($A19,'R1_G2'!$A$8:$Y$17, F$2+4,FALSE),
IF(COUNTIF('R1_G3'!$A$8:$A$17,$A19)=1,VLOOKUP($A19,'R1_G3'!$A$8:$Y$17, F$2+4,FALSE),
IF(COUNTIF('R1_G4'!$A$8:$A$17,$A19)=1,VLOOKUP($A19,'R1_G4'!$A$8:$Y$17, F$2+4,FALSE),""))))</f>
        <v>5</v>
      </c>
      <c r="G19" s="852">
        <f>IF(COUNTIF('R1_G1'!$A$8:$A$17,$A19)=1,VLOOKUP($A19,'R1_G1'!$A$8:$Y$17, G$2+4,FALSE),
IF(COUNTIF('R1_G2'!$A$8:$A$17,$A19)=1,VLOOKUP($A19,'R1_G2'!$A$8:$Y$17, G$2+4,FALSE),
IF(COUNTIF('R1_G3'!$A$8:$A$17,$A19)=1,VLOOKUP($A19,'R1_G3'!$A$8:$Y$17, G$2+4,FALSE),
IF(COUNTIF('R1_G4'!$A$8:$A$17,$A19)=1,VLOOKUP($A19,'R1_G4'!$A$8:$Y$17, G$2+4,FALSE),""))))</f>
        <v>4</v>
      </c>
      <c r="H19" s="852">
        <f>IF(COUNTIF('R1_G1'!$A$8:$A$17,$A19)=1,VLOOKUP($A19,'R1_G1'!$A$8:$Y$17, H$2+4,FALSE),
IF(COUNTIF('R1_G2'!$A$8:$A$17,$A19)=1,VLOOKUP($A19,'R1_G2'!$A$8:$Y$17, H$2+4,FALSE),
IF(COUNTIF('R1_G3'!$A$8:$A$17,$A19)=1,VLOOKUP($A19,'R1_G3'!$A$8:$Y$17, H$2+4,FALSE),
IF(COUNTIF('R1_G4'!$A$8:$A$17,$A19)=1,VLOOKUP($A19,'R1_G4'!$A$8:$Y$17, H$2+4,FALSE),""))))</f>
        <v>5</v>
      </c>
      <c r="I19" s="852">
        <f>IF(COUNTIF('R1_G1'!$A$8:$A$17,$A19)=1,VLOOKUP($A19,'R1_G1'!$A$8:$Y$17, I$2+4,FALSE),
IF(COUNTIF('R1_G2'!$A$8:$A$17,$A19)=1,VLOOKUP($A19,'R1_G2'!$A$8:$Y$17, I$2+4,FALSE),
IF(COUNTIF('R1_G3'!$A$8:$A$17,$A19)=1,VLOOKUP($A19,'R1_G3'!$A$8:$Y$17, I$2+4,FALSE),
IF(COUNTIF('R1_G4'!$A$8:$A$17,$A19)=1,VLOOKUP($A19,'R1_G4'!$A$8:$Y$17, I$2+4,FALSE),""))))</f>
        <v>4</v>
      </c>
      <c r="J19" s="852">
        <f>IF(COUNTIF('R1_G1'!$A$8:$A$17,$A19)=1,VLOOKUP($A19,'R1_G1'!$A$8:$Y$17, J$2+4,FALSE),
IF(COUNTIF('R1_G2'!$A$8:$A$17,$A19)=1,VLOOKUP($A19,'R1_G2'!$A$8:$Y$17, J$2+4,FALSE),
IF(COUNTIF('R1_G3'!$A$8:$A$17,$A19)=1,VLOOKUP($A19,'R1_G3'!$A$8:$Y$17, J$2+4,FALSE),
IF(COUNTIF('R1_G4'!$A$8:$A$17,$A19)=1,VLOOKUP($A19,'R1_G4'!$A$8:$Y$17, J$2+4,FALSE),""))))</f>
        <v>6</v>
      </c>
      <c r="K19" s="852">
        <f>IF(COUNTIF('R1_G1'!$A$8:$A$17,$A19)=1,VLOOKUP($A19,'R1_G1'!$A$8:$Y$17, K$2+4,FALSE),
IF(COUNTIF('R1_G2'!$A$8:$A$17,$A19)=1,VLOOKUP($A19,'R1_G2'!$A$8:$Y$17, K$2+4,FALSE),
IF(COUNTIF('R1_G3'!$A$8:$A$17,$A19)=1,VLOOKUP($A19,'R1_G3'!$A$8:$Y$17, K$2+4,FALSE),
IF(COUNTIF('R1_G4'!$A$8:$A$17,$A19)=1,VLOOKUP($A19,'R1_G4'!$A$8:$Y$17, K$2+4,FALSE),""))))</f>
        <v>6</v>
      </c>
      <c r="L19" s="852">
        <f>IF(COUNTIF('R1_G1'!$A$8:$A$17,$A19)=1,VLOOKUP($A19,'R1_G1'!$A$8:$Y$17, L$2+4,FALSE),
IF(COUNTIF('R1_G2'!$A$8:$A$17,$A19)=1,VLOOKUP($A19,'R1_G2'!$A$8:$Y$17, L$2+4,FALSE),
IF(COUNTIF('R1_G3'!$A$8:$A$17,$A19)=1,VLOOKUP($A19,'R1_G3'!$A$8:$Y$17, L$2+4,FALSE),
IF(COUNTIF('R1_G4'!$A$8:$A$17,$A19)=1,VLOOKUP($A19,'R1_G4'!$A$8:$Y$17, L$2+4,FALSE),""))))</f>
        <v>5</v>
      </c>
      <c r="M19" s="852">
        <f>IF(COUNTIF('R1_G1'!$A$8:$A$17,$A19)=1,VLOOKUP($A19,'R1_G1'!$A$8:$Y$17, M$2+4,FALSE),
IF(COUNTIF('R1_G2'!$A$8:$A$17,$A19)=1,VLOOKUP($A19,'R1_G2'!$A$8:$Y$17, M$2+4,FALSE),
IF(COUNTIF('R1_G3'!$A$8:$A$17,$A19)=1,VLOOKUP($A19,'R1_G3'!$A$8:$Y$17, M$2+4,FALSE),
IF(COUNTIF('R1_G4'!$A$8:$A$17,$A19)=1,VLOOKUP($A19,'R1_G4'!$A$8:$Y$17, M$2+4,FALSE),""))))</f>
        <v>5</v>
      </c>
      <c r="N19" s="853">
        <f>IF(COUNTIF('R1_G1'!$A$8:$A$17,$A19)=1,VLOOKUP($A19,'R1_G1'!$A$8:$Y$17, N$2+7,FALSE),
IF(COUNTIF('R1_G2'!$A$8:$A$17,$A19)=1,VLOOKUP($A19,'R1_G2'!$A$8:$Y$17, N$2+7,FALSE),
IF(COUNTIF('R1_G3'!$A$8:$A$17,$A19)=1,VLOOKUP($A19,'R1_G3'!$A$8:$Y$17, N$2+7,FALSE),
IF(COUNTIF('R1_G4'!$A$8:$A$17,$A19)=1,VLOOKUP($A19,'R1_G4'!$A$8:$Y$17, N$2+7,FALSE),""))))</f>
        <v>5</v>
      </c>
      <c r="O19" s="853">
        <f>IF(COUNTIF('R1_G1'!$A$8:$A$17,$A19)=1,VLOOKUP($A19,'R1_G1'!$A$8:$Y$17, O$2+7,FALSE),
IF(COUNTIF('R1_G2'!$A$8:$A$17,$A19)=1,VLOOKUP($A19,'R1_G2'!$A$8:$Y$17, O$2+7,FALSE),
IF(COUNTIF('R1_G3'!$A$8:$A$17,$A19)=1,VLOOKUP($A19,'R1_G3'!$A$8:$Y$17, O$2+7,FALSE),
IF(COUNTIF('R1_G4'!$A$8:$A$17,$A19)=1,VLOOKUP($A19,'R1_G4'!$A$8:$Y$17, O$2+7,FALSE),""))))</f>
        <v>5</v>
      </c>
      <c r="P19" s="853">
        <f>IF(COUNTIF('R1_G1'!$A$8:$A$17,$A19)=1,VLOOKUP($A19,'R1_G1'!$A$8:$Y$17, P$2+7,FALSE),
IF(COUNTIF('R1_G2'!$A$8:$A$17,$A19)=1,VLOOKUP($A19,'R1_G2'!$A$8:$Y$17, P$2+7,FALSE),
IF(COUNTIF('R1_G3'!$A$8:$A$17,$A19)=1,VLOOKUP($A19,'R1_G3'!$A$8:$Y$17, P$2+7,FALSE),
IF(COUNTIF('R1_G4'!$A$8:$A$17,$A19)=1,VLOOKUP($A19,'R1_G4'!$A$8:$Y$17, P$2+7,FALSE),""))))</f>
        <v>6</v>
      </c>
      <c r="Q19" s="853">
        <f>IF(COUNTIF('R1_G1'!$A$8:$A$17,$A19)=1,VLOOKUP($A19,'R1_G1'!$A$8:$Y$17, Q$2+7,FALSE),
IF(COUNTIF('R1_G2'!$A$8:$A$17,$A19)=1,VLOOKUP($A19,'R1_G2'!$A$8:$Y$17, Q$2+7,FALSE),
IF(COUNTIF('R1_G3'!$A$8:$A$17,$A19)=1,VLOOKUP($A19,'R1_G3'!$A$8:$Y$17, Q$2+7,FALSE),
IF(COUNTIF('R1_G4'!$A$8:$A$17,$A19)=1,VLOOKUP($A19,'R1_G4'!$A$8:$Y$17, Q$2+7,FALSE),""))))</f>
        <v>3</v>
      </c>
      <c r="R19" s="853">
        <f>IF(COUNTIF('R1_G1'!$A$8:$A$17,$A19)=1,VLOOKUP($A19,'R1_G1'!$A$8:$Y$17, R$2+7,FALSE),
IF(COUNTIF('R1_G2'!$A$8:$A$17,$A19)=1,VLOOKUP($A19,'R1_G2'!$A$8:$Y$17, R$2+7,FALSE),
IF(COUNTIF('R1_G3'!$A$8:$A$17,$A19)=1,VLOOKUP($A19,'R1_G3'!$A$8:$Y$17, R$2+7,FALSE),
IF(COUNTIF('R1_G4'!$A$8:$A$17,$A19)=1,VLOOKUP($A19,'R1_G4'!$A$8:$Y$17, R$2+7,FALSE),""))))</f>
        <v>5</v>
      </c>
      <c r="S19" s="853">
        <f>IF(COUNTIF('R1_G1'!$A$8:$A$17,$A19)=1,VLOOKUP($A19,'R1_G1'!$A$8:$Y$17, S$2+7,FALSE),
IF(COUNTIF('R1_G2'!$A$8:$A$17,$A19)=1,VLOOKUP($A19,'R1_G2'!$A$8:$Y$17, S$2+7,FALSE),
IF(COUNTIF('R1_G3'!$A$8:$A$17,$A19)=1,VLOOKUP($A19,'R1_G3'!$A$8:$Y$17, S$2+7,FALSE),
IF(COUNTIF('R1_G4'!$A$8:$A$17,$A19)=1,VLOOKUP($A19,'R1_G4'!$A$8:$Y$17, S$2+7,FALSE),""))))</f>
        <v>6</v>
      </c>
      <c r="T19" s="853">
        <f>IF(COUNTIF('R1_G1'!$A$8:$A$17,$A19)=1,VLOOKUP($A19,'R1_G1'!$A$8:$Y$17, T$2+7,FALSE),
IF(COUNTIF('R1_G2'!$A$8:$A$17,$A19)=1,VLOOKUP($A19,'R1_G2'!$A$8:$Y$17, T$2+7,FALSE),
IF(COUNTIF('R1_G3'!$A$8:$A$17,$A19)=1,VLOOKUP($A19,'R1_G3'!$A$8:$Y$17, T$2+7,FALSE),
IF(COUNTIF('R1_G4'!$A$8:$A$17,$A19)=1,VLOOKUP($A19,'R1_G4'!$A$8:$Y$17, T$2+7,FALSE),""))))</f>
        <v>6</v>
      </c>
      <c r="U19" s="853">
        <f>IF(COUNTIF('R1_G1'!$A$8:$A$17,$A19)=1,VLOOKUP($A19,'R1_G1'!$A$8:$Y$17, U$2+7,FALSE),
IF(COUNTIF('R1_G2'!$A$8:$A$17,$A19)=1,VLOOKUP($A19,'R1_G2'!$A$8:$Y$17, U$2+7,FALSE),
IF(COUNTIF('R1_G3'!$A$8:$A$17,$A19)=1,VLOOKUP($A19,'R1_G3'!$A$8:$Y$17, U$2+7,FALSE),
IF(COUNTIF('R1_G4'!$A$8:$A$17,$A19)=1,VLOOKUP($A19,'R1_G4'!$A$8:$Y$17, U$2+7,FALSE),""))))</f>
        <v>4</v>
      </c>
      <c r="V19" s="853">
        <f>IF(COUNTIF('R1_G1'!$A$8:$A$17,$A19)=1,VLOOKUP($A19,'R1_G1'!$A$8:$Y$17, V$2+7,FALSE),
IF(COUNTIF('R1_G2'!$A$8:$A$17,$A19)=1,VLOOKUP($A19,'R1_G2'!$A$8:$Y$17, V$2+7,FALSE),
IF(COUNTIF('R1_G3'!$A$8:$A$17,$A19)=1,VLOOKUP($A19,'R1_G3'!$A$8:$Y$17, V$2+7,FALSE),
IF(COUNTIF('R1_G4'!$A$8:$A$17,$A19)=1,VLOOKUP($A19,'R1_G4'!$A$8:$Y$17, V$2+7,FALSE),""))))</f>
        <v>7</v>
      </c>
      <c r="W19" s="852">
        <f t="shared" si="2"/>
        <v>50</v>
      </c>
      <c r="X19" s="852">
        <f t="shared" si="3"/>
        <v>47</v>
      </c>
      <c r="Y19" s="852">
        <f t="shared" si="7"/>
        <v>97</v>
      </c>
      <c r="Z19" s="850">
        <f t="shared" ca="1" si="8"/>
        <v>80</v>
      </c>
      <c r="AA19" s="850">
        <f t="shared" si="9"/>
        <v>97</v>
      </c>
      <c r="AB19" s="838"/>
      <c r="AC19" s="849" t="str">
        <f>'Master Input'!$A$26</f>
        <v>Hile</v>
      </c>
      <c r="AD19" s="850">
        <f ca="1">VLOOKUP(AC19,'Master Input'!$A$11:$L$27,6,FALSE)</f>
        <v>17</v>
      </c>
      <c r="AE19" s="849" t="s">
        <v>198</v>
      </c>
      <c r="AF19" s="832"/>
      <c r="AG19" s="852">
        <f t="shared" ref="AG19:AX19" ca="1" si="32">IF(E19="","",E19-IF($B19&gt;0,FLOOR($B19/18,1),0)-IF(AND(MOD($B19,18)&gt;=E$3,$B19&gt;0),1,0)+IF(E$3-18&gt;$B19,1,0))</f>
        <v>9</v>
      </c>
      <c r="AH19" s="852">
        <f t="shared" ca="1" si="32"/>
        <v>4</v>
      </c>
      <c r="AI19" s="852">
        <f t="shared" ca="1" si="32"/>
        <v>3</v>
      </c>
      <c r="AJ19" s="852">
        <f t="shared" ca="1" si="32"/>
        <v>4</v>
      </c>
      <c r="AK19" s="852">
        <f t="shared" ca="1" si="32"/>
        <v>3</v>
      </c>
      <c r="AL19" s="852">
        <f t="shared" ca="1" si="32"/>
        <v>5</v>
      </c>
      <c r="AM19" s="852">
        <f t="shared" ca="1" si="32"/>
        <v>5</v>
      </c>
      <c r="AN19" s="852">
        <f t="shared" ca="1" si="32"/>
        <v>4</v>
      </c>
      <c r="AO19" s="852">
        <f t="shared" ca="1" si="32"/>
        <v>4</v>
      </c>
      <c r="AP19" s="853">
        <f t="shared" ca="1" si="32"/>
        <v>4</v>
      </c>
      <c r="AQ19" s="853">
        <f t="shared" ca="1" si="32"/>
        <v>4</v>
      </c>
      <c r="AR19" s="853">
        <f t="shared" ca="1" si="32"/>
        <v>5</v>
      </c>
      <c r="AS19" s="853">
        <f t="shared" ca="1" si="32"/>
        <v>3</v>
      </c>
      <c r="AT19" s="853">
        <f t="shared" ca="1" si="32"/>
        <v>4</v>
      </c>
      <c r="AU19" s="853">
        <f t="shared" ca="1" si="32"/>
        <v>5</v>
      </c>
      <c r="AV19" s="853">
        <f t="shared" ca="1" si="32"/>
        <v>5</v>
      </c>
      <c r="AW19" s="853">
        <f t="shared" ca="1" si="32"/>
        <v>3</v>
      </c>
      <c r="AX19" s="853">
        <f t="shared" ca="1" si="32"/>
        <v>6</v>
      </c>
      <c r="AY19" s="852">
        <f t="shared" ca="1" si="5"/>
        <v>41</v>
      </c>
      <c r="AZ19" s="852">
        <f t="shared" ca="1" si="6"/>
        <v>39</v>
      </c>
      <c r="BA19" s="852">
        <f t="shared" ca="1" si="11"/>
        <v>80</v>
      </c>
      <c r="BB19" s="849" t="str">
        <f ca="1">IF(COUNTIF('R1_G1'!$A$8:$A$17,$A19)=1, IF(AND(BA19=Z19,BA19=VLOOKUP($A19,'R1_G1'!$A$8:$AB$17, 28,FALSE)),"yes","no"),
IF(COUNTIF('R1_G2'!$A$8:$A$17,$A19)=1, IF(AND(BA19=Z19,BA19=VLOOKUP($A19,'R1_G2'!$A$8:$AB$17, 28,FALSE)),"yes","no"),
IF(COUNTIF('R1_G3'!$A$8:$A$17,$A19)=1, IF(AND(BA19=Z19,BA19=VLOOKUP($A19,'R1_G3'!$A$8:$AB$17, 28,FALSE)),"yes","no"),
IF(COUNTIF('R1_G4'!$A$8:$A$17,$A19)=1, IF(AND(BA19=Z19,BA19=VLOOKUP($A19,'R1_G4'!$A$8:$AB$17, 28,FALSE)),"yes","no"),
"?"))))</f>
        <v>yes</v>
      </c>
      <c r="BC19" s="838"/>
      <c r="BD19" s="862">
        <f t="shared" ca="1" si="12"/>
        <v>7.5</v>
      </c>
      <c r="BE19" s="855">
        <f t="shared" ca="1" si="13"/>
        <v>8.7000000000000011</v>
      </c>
      <c r="BF19" s="855">
        <f t="shared" ca="1" si="15"/>
        <v>0</v>
      </c>
      <c r="BG19" s="855">
        <f t="shared" ca="1" si="16"/>
        <v>3</v>
      </c>
      <c r="BH19" s="855">
        <f t="shared" ca="1" si="17"/>
        <v>9</v>
      </c>
      <c r="BI19" s="855">
        <f t="shared" ca="1" si="18"/>
        <v>4</v>
      </c>
      <c r="BJ19" s="855">
        <f t="shared" ca="1" si="19"/>
        <v>2</v>
      </c>
    </row>
    <row r="20" spans="1:62" ht="14.25" customHeight="1">
      <c r="A20" s="857" t="str">
        <f>'Master Input'!$A$27</f>
        <v>Weezy</v>
      </c>
      <c r="B20" s="858">
        <f ca="1">VLOOKUP(A20,'Master Input'!$A$11:$L$27,6,FALSE)</f>
        <v>17</v>
      </c>
      <c r="C20" s="849">
        <f>VLOOKUP(A20,'Locked Bets Setup'!$A$5:$L$20,10,FALSE)</f>
        <v>0</v>
      </c>
      <c r="D20" s="832"/>
      <c r="E20" s="859">
        <f>IF(COUNTIF('R1_G1'!$A$8:$A$17,$A20)=1,VLOOKUP($A20,'R1_G1'!$A$8:$Y$17, E$2+4,FALSE),
IF(COUNTIF('R1_G2'!$A$8:$A$17,$A20)=1,VLOOKUP($A20,'R1_G2'!$A$8:$Y$17, E$2+4,FALSE),
IF(COUNTIF('R1_G3'!$A$8:$A$17,$A20)=1,VLOOKUP($A20,'R1_G3'!$A$8:$Y$17, E$2+4,FALSE),
IF(COUNTIF('R1_G4'!$A$8:$A$17,$A20)=1,VLOOKUP($A20,'R1_G4'!$A$8:$Y$17, E$2+4,FALSE),""))))</f>
        <v>5</v>
      </c>
      <c r="F20" s="859">
        <f>IF(COUNTIF('R1_G1'!$A$8:$A$17,$A20)=1,VLOOKUP($A20,'R1_G1'!$A$8:$Y$17, F$2+4,FALSE),
IF(COUNTIF('R1_G2'!$A$8:$A$17,$A20)=1,VLOOKUP($A20,'R1_G2'!$A$8:$Y$17, F$2+4,FALSE),
IF(COUNTIF('R1_G3'!$A$8:$A$17,$A20)=1,VLOOKUP($A20,'R1_G3'!$A$8:$Y$17, F$2+4,FALSE),
IF(COUNTIF('R1_G4'!$A$8:$A$17,$A20)=1,VLOOKUP($A20,'R1_G4'!$A$8:$Y$17, F$2+4,FALSE),""))))</f>
        <v>5</v>
      </c>
      <c r="G20" s="859">
        <f>IF(COUNTIF('R1_G1'!$A$8:$A$17,$A20)=1,VLOOKUP($A20,'R1_G1'!$A$8:$Y$17, G$2+4,FALSE),
IF(COUNTIF('R1_G2'!$A$8:$A$17,$A20)=1,VLOOKUP($A20,'R1_G2'!$A$8:$Y$17, G$2+4,FALSE),
IF(COUNTIF('R1_G3'!$A$8:$A$17,$A20)=1,VLOOKUP($A20,'R1_G3'!$A$8:$Y$17, G$2+4,FALSE),
IF(COUNTIF('R1_G4'!$A$8:$A$17,$A20)=1,VLOOKUP($A20,'R1_G4'!$A$8:$Y$17, G$2+4,FALSE),""))))</f>
        <v>3</v>
      </c>
      <c r="H20" s="859">
        <f>IF(COUNTIF('R1_G1'!$A$8:$A$17,$A20)=1,VLOOKUP($A20,'R1_G1'!$A$8:$Y$17, H$2+4,FALSE),
IF(COUNTIF('R1_G2'!$A$8:$A$17,$A20)=1,VLOOKUP($A20,'R1_G2'!$A$8:$Y$17, H$2+4,FALSE),
IF(COUNTIF('R1_G3'!$A$8:$A$17,$A20)=1,VLOOKUP($A20,'R1_G3'!$A$8:$Y$17, H$2+4,FALSE),
IF(COUNTIF('R1_G4'!$A$8:$A$17,$A20)=1,VLOOKUP($A20,'R1_G4'!$A$8:$Y$17, H$2+4,FALSE),""))))</f>
        <v>4</v>
      </c>
      <c r="I20" s="859">
        <f>IF(COUNTIF('R1_G1'!$A$8:$A$17,$A20)=1,VLOOKUP($A20,'R1_G1'!$A$8:$Y$17, I$2+4,FALSE),
IF(COUNTIF('R1_G2'!$A$8:$A$17,$A20)=1,VLOOKUP($A20,'R1_G2'!$A$8:$Y$17, I$2+4,FALSE),
IF(COUNTIF('R1_G3'!$A$8:$A$17,$A20)=1,VLOOKUP($A20,'R1_G3'!$A$8:$Y$17, I$2+4,FALSE),
IF(COUNTIF('R1_G4'!$A$8:$A$17,$A20)=1,VLOOKUP($A20,'R1_G4'!$A$8:$Y$17, I$2+4,FALSE),""))))</f>
        <v>6</v>
      </c>
      <c r="J20" s="859">
        <f>IF(COUNTIF('R1_G1'!$A$8:$A$17,$A20)=1,VLOOKUP($A20,'R1_G1'!$A$8:$Y$17, J$2+4,FALSE),
IF(COUNTIF('R1_G2'!$A$8:$A$17,$A20)=1,VLOOKUP($A20,'R1_G2'!$A$8:$Y$17, J$2+4,FALSE),
IF(COUNTIF('R1_G3'!$A$8:$A$17,$A20)=1,VLOOKUP($A20,'R1_G3'!$A$8:$Y$17, J$2+4,FALSE),
IF(COUNTIF('R1_G4'!$A$8:$A$17,$A20)=1,VLOOKUP($A20,'R1_G4'!$A$8:$Y$17, J$2+4,FALSE),""))))</f>
        <v>7</v>
      </c>
      <c r="K20" s="859">
        <f>IF(COUNTIF('R1_G1'!$A$8:$A$17,$A20)=1,VLOOKUP($A20,'R1_G1'!$A$8:$Y$17, K$2+4,FALSE),
IF(COUNTIF('R1_G2'!$A$8:$A$17,$A20)=1,VLOOKUP($A20,'R1_G2'!$A$8:$Y$17, K$2+4,FALSE),
IF(COUNTIF('R1_G3'!$A$8:$A$17,$A20)=1,VLOOKUP($A20,'R1_G3'!$A$8:$Y$17, K$2+4,FALSE),
IF(COUNTIF('R1_G4'!$A$8:$A$17,$A20)=1,VLOOKUP($A20,'R1_G4'!$A$8:$Y$17, K$2+4,FALSE),""))))</f>
        <v>3</v>
      </c>
      <c r="L20" s="859">
        <f>IF(COUNTIF('R1_G1'!$A$8:$A$17,$A20)=1,VLOOKUP($A20,'R1_G1'!$A$8:$Y$17, L$2+4,FALSE),
IF(COUNTIF('R1_G2'!$A$8:$A$17,$A20)=1,VLOOKUP($A20,'R1_G2'!$A$8:$Y$17, L$2+4,FALSE),
IF(COUNTIF('R1_G3'!$A$8:$A$17,$A20)=1,VLOOKUP($A20,'R1_G3'!$A$8:$Y$17, L$2+4,FALSE),
IF(COUNTIF('R1_G4'!$A$8:$A$17,$A20)=1,VLOOKUP($A20,'R1_G4'!$A$8:$Y$17, L$2+4,FALSE),""))))</f>
        <v>5</v>
      </c>
      <c r="M20" s="859">
        <f>IF(COUNTIF('R1_G1'!$A$8:$A$17,$A20)=1,VLOOKUP($A20,'R1_G1'!$A$8:$Y$17, M$2+4,FALSE),
IF(COUNTIF('R1_G2'!$A$8:$A$17,$A20)=1,VLOOKUP($A20,'R1_G2'!$A$8:$Y$17, M$2+4,FALSE),
IF(COUNTIF('R1_G3'!$A$8:$A$17,$A20)=1,VLOOKUP($A20,'R1_G3'!$A$8:$Y$17, M$2+4,FALSE),
IF(COUNTIF('R1_G4'!$A$8:$A$17,$A20)=1,VLOOKUP($A20,'R1_G4'!$A$8:$Y$17, M$2+4,FALSE),""))))</f>
        <v>9</v>
      </c>
      <c r="N20" s="852">
        <f>IF(COUNTIF('R1_G1'!$A$8:$A$17,$A20)=1,VLOOKUP($A20,'R1_G1'!$A$8:$Y$17, N$2+7,FALSE),
IF(COUNTIF('R1_G2'!$A$8:$A$17,$A20)=1,VLOOKUP($A20,'R1_G2'!$A$8:$Y$17, N$2+7,FALSE),
IF(COUNTIF('R1_G3'!$A$8:$A$17,$A20)=1,VLOOKUP($A20,'R1_G3'!$A$8:$Y$17, N$2+7,FALSE),
IF(COUNTIF('R1_G4'!$A$8:$A$17,$A20)=1,VLOOKUP($A20,'R1_G4'!$A$8:$Y$17, N$2+7,FALSE),""))))</f>
        <v>6</v>
      </c>
      <c r="O20" s="852">
        <f>IF(COUNTIF('R1_G1'!$A$8:$A$17,$A20)=1,VLOOKUP($A20,'R1_G1'!$A$8:$Y$17, O$2+7,FALSE),
IF(COUNTIF('R1_G2'!$A$8:$A$17,$A20)=1,VLOOKUP($A20,'R1_G2'!$A$8:$Y$17, O$2+7,FALSE),
IF(COUNTIF('R1_G3'!$A$8:$A$17,$A20)=1,VLOOKUP($A20,'R1_G3'!$A$8:$Y$17, O$2+7,FALSE),
IF(COUNTIF('R1_G4'!$A$8:$A$17,$A20)=1,VLOOKUP($A20,'R1_G4'!$A$8:$Y$17, O$2+7,FALSE),""))))</f>
        <v>4</v>
      </c>
      <c r="P20" s="852">
        <f>IF(COUNTIF('R1_G1'!$A$8:$A$17,$A20)=1,VLOOKUP($A20,'R1_G1'!$A$8:$Y$17, P$2+7,FALSE),
IF(COUNTIF('R1_G2'!$A$8:$A$17,$A20)=1,VLOOKUP($A20,'R1_G2'!$A$8:$Y$17, P$2+7,FALSE),
IF(COUNTIF('R1_G3'!$A$8:$A$17,$A20)=1,VLOOKUP($A20,'R1_G3'!$A$8:$Y$17, P$2+7,FALSE),
IF(COUNTIF('R1_G4'!$A$8:$A$17,$A20)=1,VLOOKUP($A20,'R1_G4'!$A$8:$Y$17, P$2+7,FALSE),""))))</f>
        <v>5</v>
      </c>
      <c r="Q20" s="852">
        <f>IF(COUNTIF('R1_G1'!$A$8:$A$17,$A20)=1,VLOOKUP($A20,'R1_G1'!$A$8:$Y$17, Q$2+7,FALSE),
IF(COUNTIF('R1_G2'!$A$8:$A$17,$A20)=1,VLOOKUP($A20,'R1_G2'!$A$8:$Y$17, Q$2+7,FALSE),
IF(COUNTIF('R1_G3'!$A$8:$A$17,$A20)=1,VLOOKUP($A20,'R1_G3'!$A$8:$Y$17, Q$2+7,FALSE),
IF(COUNTIF('R1_G4'!$A$8:$A$17,$A20)=1,VLOOKUP($A20,'R1_G4'!$A$8:$Y$17, Q$2+7,FALSE),""))))</f>
        <v>3</v>
      </c>
      <c r="R20" s="852">
        <f>IF(COUNTIF('R1_G1'!$A$8:$A$17,$A20)=1,VLOOKUP($A20,'R1_G1'!$A$8:$Y$17, R$2+7,FALSE),
IF(COUNTIF('R1_G2'!$A$8:$A$17,$A20)=1,VLOOKUP($A20,'R1_G2'!$A$8:$Y$17, R$2+7,FALSE),
IF(COUNTIF('R1_G3'!$A$8:$A$17,$A20)=1,VLOOKUP($A20,'R1_G3'!$A$8:$Y$17, R$2+7,FALSE),
IF(COUNTIF('R1_G4'!$A$8:$A$17,$A20)=1,VLOOKUP($A20,'R1_G4'!$A$8:$Y$17, R$2+7,FALSE),""))))</f>
        <v>5</v>
      </c>
      <c r="S20" s="852">
        <f>IF(COUNTIF('R1_G1'!$A$8:$A$17,$A20)=1,VLOOKUP($A20,'R1_G1'!$A$8:$Y$17, S$2+7,FALSE),
IF(COUNTIF('R1_G2'!$A$8:$A$17,$A20)=1,VLOOKUP($A20,'R1_G2'!$A$8:$Y$17, S$2+7,FALSE),
IF(COUNTIF('R1_G3'!$A$8:$A$17,$A20)=1,VLOOKUP($A20,'R1_G3'!$A$8:$Y$17, S$2+7,FALSE),
IF(COUNTIF('R1_G4'!$A$8:$A$17,$A20)=1,VLOOKUP($A20,'R1_G4'!$A$8:$Y$17, S$2+7,FALSE),""))))</f>
        <v>4</v>
      </c>
      <c r="T20" s="852">
        <f>IF(COUNTIF('R1_G1'!$A$8:$A$17,$A20)=1,VLOOKUP($A20,'R1_G1'!$A$8:$Y$17, T$2+7,FALSE),
IF(COUNTIF('R1_G2'!$A$8:$A$17,$A20)=1,VLOOKUP($A20,'R1_G2'!$A$8:$Y$17, T$2+7,FALSE),
IF(COUNTIF('R1_G3'!$A$8:$A$17,$A20)=1,VLOOKUP($A20,'R1_G3'!$A$8:$Y$17, T$2+7,FALSE),
IF(COUNTIF('R1_G4'!$A$8:$A$17,$A20)=1,VLOOKUP($A20,'R1_G4'!$A$8:$Y$17, T$2+7,FALSE),""))))</f>
        <v>9</v>
      </c>
      <c r="U20" s="852">
        <f>IF(COUNTIF('R1_G1'!$A$8:$A$17,$A20)=1,VLOOKUP($A20,'R1_G1'!$A$8:$Y$17, U$2+7,FALSE),
IF(COUNTIF('R1_G2'!$A$8:$A$17,$A20)=1,VLOOKUP($A20,'R1_G2'!$A$8:$Y$17, U$2+7,FALSE),
IF(COUNTIF('R1_G3'!$A$8:$A$17,$A20)=1,VLOOKUP($A20,'R1_G3'!$A$8:$Y$17, U$2+7,FALSE),
IF(COUNTIF('R1_G4'!$A$8:$A$17,$A20)=1,VLOOKUP($A20,'R1_G4'!$A$8:$Y$17, U$2+7,FALSE),""))))</f>
        <v>5</v>
      </c>
      <c r="V20" s="852">
        <f>IF(COUNTIF('R1_G1'!$A$8:$A$17,$A20)=1,VLOOKUP($A20,'R1_G1'!$A$8:$Y$17, V$2+7,FALSE),
IF(COUNTIF('R1_G2'!$A$8:$A$17,$A20)=1,VLOOKUP($A20,'R1_G2'!$A$8:$Y$17, V$2+7,FALSE),
IF(COUNTIF('R1_G3'!$A$8:$A$17,$A20)=1,VLOOKUP($A20,'R1_G3'!$A$8:$Y$17, V$2+7,FALSE),
IF(COUNTIF('R1_G4'!$A$8:$A$17,$A20)=1,VLOOKUP($A20,'R1_G4'!$A$8:$Y$17, V$2+7,FALSE),""))))</f>
        <v>5</v>
      </c>
      <c r="W20" s="859">
        <f t="shared" si="2"/>
        <v>47</v>
      </c>
      <c r="X20" s="859">
        <f t="shared" si="3"/>
        <v>46</v>
      </c>
      <c r="Y20" s="859">
        <f t="shared" si="7"/>
        <v>93</v>
      </c>
      <c r="Z20" s="858">
        <f t="shared" ca="1" si="8"/>
        <v>76</v>
      </c>
      <c r="AA20" s="858">
        <f t="shared" si="9"/>
        <v>93</v>
      </c>
      <c r="AB20" s="838"/>
      <c r="AC20" s="857" t="str">
        <f>'Master Input'!$A$27</f>
        <v>Weezy</v>
      </c>
      <c r="AD20" s="858">
        <f ca="1">VLOOKUP(AC20,'Master Input'!$A$11:$L$27,6,FALSE)</f>
        <v>17</v>
      </c>
      <c r="AE20" s="857" t="s">
        <v>198</v>
      </c>
      <c r="AF20" s="832"/>
      <c r="AG20" s="859">
        <f t="shared" ref="AG20:AX20" ca="1" si="33">IF(E20="","",E20-IF($B20&gt;0,FLOOR($B20/18,1),0)-IF(AND(MOD($B20,18)&gt;=E$3,$B20&gt;0),1,0)+IF(E$3-18&gt;$B20,1,0))</f>
        <v>4</v>
      </c>
      <c r="AH20" s="859">
        <f t="shared" ca="1" si="33"/>
        <v>4</v>
      </c>
      <c r="AI20" s="859">
        <f t="shared" ca="1" si="33"/>
        <v>2</v>
      </c>
      <c r="AJ20" s="859">
        <f t="shared" ca="1" si="33"/>
        <v>3</v>
      </c>
      <c r="AK20" s="859">
        <f t="shared" ca="1" si="33"/>
        <v>5</v>
      </c>
      <c r="AL20" s="859">
        <f t="shared" ca="1" si="33"/>
        <v>6</v>
      </c>
      <c r="AM20" s="859">
        <f t="shared" ca="1" si="33"/>
        <v>2</v>
      </c>
      <c r="AN20" s="859">
        <f t="shared" ca="1" si="33"/>
        <v>4</v>
      </c>
      <c r="AO20" s="859">
        <f t="shared" ca="1" si="33"/>
        <v>8</v>
      </c>
      <c r="AP20" s="852">
        <f t="shared" ca="1" si="33"/>
        <v>5</v>
      </c>
      <c r="AQ20" s="852">
        <f t="shared" ca="1" si="33"/>
        <v>3</v>
      </c>
      <c r="AR20" s="852">
        <f t="shared" ca="1" si="33"/>
        <v>4</v>
      </c>
      <c r="AS20" s="852">
        <f t="shared" ca="1" si="33"/>
        <v>3</v>
      </c>
      <c r="AT20" s="852">
        <f t="shared" ca="1" si="33"/>
        <v>4</v>
      </c>
      <c r="AU20" s="852">
        <f t="shared" ca="1" si="33"/>
        <v>3</v>
      </c>
      <c r="AV20" s="852">
        <f t="shared" ca="1" si="33"/>
        <v>8</v>
      </c>
      <c r="AW20" s="852">
        <f t="shared" ca="1" si="33"/>
        <v>4</v>
      </c>
      <c r="AX20" s="852">
        <f t="shared" ca="1" si="33"/>
        <v>4</v>
      </c>
      <c r="AY20" s="859">
        <f t="shared" ca="1" si="5"/>
        <v>38</v>
      </c>
      <c r="AZ20" s="859">
        <f t="shared" ca="1" si="6"/>
        <v>38</v>
      </c>
      <c r="BA20" s="859">
        <f t="shared" ca="1" si="11"/>
        <v>76</v>
      </c>
      <c r="BB20" s="857" t="str">
        <f ca="1">IF(COUNTIF('R1_G1'!$A$8:$A$17,$A20)=1, IF(AND(BA20=Z20,BA20=VLOOKUP($A20,'R1_G1'!$A$8:$AB$17, 28,FALSE)),"yes","no"),
IF(COUNTIF('R1_G2'!$A$8:$A$17,$A20)=1, IF(AND(BA20=Z20,BA20=VLOOKUP($A20,'R1_G2'!$A$8:$AB$17, 28,FALSE)),"yes","no"),
IF(COUNTIF('R1_G3'!$A$8:$A$17,$A20)=1, IF(AND(BA20=Z20,BA20=VLOOKUP($A20,'R1_G3'!$A$8:$AB$17, 28,FALSE)),"yes","no"),
IF(COUNTIF('R1_G4'!$A$8:$A$17,$A20)=1, IF(AND(BA20=Z20,BA20=VLOOKUP($A20,'R1_G4'!$A$8:$AB$17, 28,FALSE)),"yes","no"),
"?"))))</f>
        <v>yes</v>
      </c>
      <c r="BC20" s="838"/>
      <c r="BD20" s="860">
        <f t="shared" ca="1" si="12"/>
        <v>8.5</v>
      </c>
      <c r="BE20" s="861">
        <f t="shared" ca="1" si="13"/>
        <v>9.4999999999999982</v>
      </c>
      <c r="BF20" s="861">
        <f t="shared" ca="1" si="15"/>
        <v>1</v>
      </c>
      <c r="BG20" s="861">
        <f t="shared" ca="1" si="16"/>
        <v>5</v>
      </c>
      <c r="BH20" s="861">
        <f t="shared" ca="1" si="17"/>
        <v>5</v>
      </c>
      <c r="BI20" s="861">
        <f t="shared" ca="1" si="18"/>
        <v>5</v>
      </c>
      <c r="BJ20" s="861">
        <f t="shared" ca="1" si="19"/>
        <v>2</v>
      </c>
    </row>
    <row r="21" spans="1:62" ht="14.25" customHeight="1">
      <c r="A21" s="837"/>
      <c r="B21" s="830"/>
      <c r="C21" s="863">
        <f>COUNTIF(C5:C20, "Y")*C3</f>
        <v>0</v>
      </c>
      <c r="D21" s="864" t="s">
        <v>199</v>
      </c>
      <c r="E21" s="865" t="str">
        <f t="array" aca="1" ref="E21" ca="1">IF(OR(SUM(IF(IF('Locked Bets Setup'!$H$4:$H$19="Y", E5:E20, 10)=MIN(IF('Locked Bets Setup'!$H$4:$H$19="Y", E5:E20, 10)), 1, 0)) &gt; 1, MIN(IF('Locked Bets Setup'!$H$4:$H$19="Y", E5:E20, 10)) &gt; E4), "", INDEX('Locked Bets Setup'!$A$5:$A$20,MATCH(MIN(IF('Locked Bets Setup'!$H$4:$H$19="Y",E5:E20,10)),IF('Locked Bets Setup'!$H$4:$H$19="Y",E5:E20,10),0)))</f>
        <v/>
      </c>
      <c r="F21" s="865" t="str">
        <f t="array" aca="1" ref="F21" ca="1">IF(OR(SUM(IF(IF('Locked Bets Setup'!$H$4:$H$19="Y", F5:F20, 10)=MIN(IF('Locked Bets Setup'!$H$4:$H$19="Y", F5:F20, 10)), 1, 0)) &gt; 1, MIN(IF('Locked Bets Setup'!$H$4:$H$19="Y", F5:F20, 10)) &gt; F4), "", INDEX('Locked Bets Setup'!$A$5:$A$20,MATCH(MIN(IF('Locked Bets Setup'!$H$4:$H$19="Y",F5:F20,10)),IF('Locked Bets Setup'!$H$4:$H$19="Y",F5:F20,10),0)))</f>
        <v/>
      </c>
      <c r="G21" s="865" t="str">
        <f t="array" aca="1" ref="G21" ca="1">IF(OR(SUM(IF(IF('Locked Bets Setup'!$H$4:$H$19="Y", G5:G20, 10)=MIN(IF('Locked Bets Setup'!$H$4:$H$19="Y", G5:G20, 10)), 1, 0)) &gt; 1, MIN(IF('Locked Bets Setup'!$H$4:$H$19="Y", G5:G20, 10)) &gt; G4), "", INDEX('Locked Bets Setup'!$A$5:$A$20,MATCH(MIN(IF('Locked Bets Setup'!$H$4:$H$19="Y",G5:G20,10)),IF('Locked Bets Setup'!$H$4:$H$19="Y",G5:G20,10),0)))</f>
        <v/>
      </c>
      <c r="H21" s="865" t="str">
        <f t="array" aca="1" ref="H21" ca="1">IF(OR(SUM(IF(IF('Locked Bets Setup'!$H$4:$H$19="Y", H5:H20, 10)=MIN(IF('Locked Bets Setup'!$H$4:$H$19="Y", H5:H20, 10)), 1, 0)) &gt; 1, MIN(IF('Locked Bets Setup'!$H$4:$H$19="Y", H5:H20, 10)) &gt; H4), "", INDEX('Locked Bets Setup'!$A$5:$A$20,MATCH(MIN(IF('Locked Bets Setup'!$H$4:$H$19="Y",H5:H20,10)),IF('Locked Bets Setup'!$H$4:$H$19="Y",H5:H20,10),0)))</f>
        <v/>
      </c>
      <c r="I21" s="865" t="str">
        <f t="array" aca="1" ref="I21" ca="1">IF(OR(SUM(IF(IF('Locked Bets Setup'!$H$4:$H$19="Y", I5:I20, 10)=MIN(IF('Locked Bets Setup'!$H$4:$H$19="Y", I5:I20, 10)), 1, 0)) &gt; 1, MIN(IF('Locked Bets Setup'!$H$4:$H$19="Y", I5:I20, 10)) &gt; I4), "", INDEX('Locked Bets Setup'!$A$5:$A$20,MATCH(MIN(IF('Locked Bets Setup'!$H$4:$H$19="Y",I5:I20,10)),IF('Locked Bets Setup'!$H$4:$H$19="Y",I5:I20,10),0)))</f>
        <v/>
      </c>
      <c r="J21" s="865" t="str">
        <f t="array" aca="1" ref="J21" ca="1">IF(OR(SUM(IF(IF('Locked Bets Setup'!$H$4:$H$19="Y", J5:J20, 10)=MIN(IF('Locked Bets Setup'!$H$4:$H$19="Y", J5:J20, 10)), 1, 0)) &gt; 1, MIN(IF('Locked Bets Setup'!$H$4:$H$19="Y", J5:J20, 10)) &gt; J4), "", INDEX('Locked Bets Setup'!$A$5:$A$20,MATCH(MIN(IF('Locked Bets Setup'!$H$4:$H$19="Y",J5:J20,10)),IF('Locked Bets Setup'!$H$4:$H$19="Y",J5:J20,10),0)))</f>
        <v/>
      </c>
      <c r="K21" s="865" t="str">
        <f t="array" aca="1" ref="K21" ca="1">IF(OR(SUM(IF(IF('Locked Bets Setup'!$H$4:$H$19="Y", K5:K20, 10)=MIN(IF('Locked Bets Setup'!$H$4:$H$19="Y", K5:K20, 10)), 1, 0)) &gt; 1, MIN(IF('Locked Bets Setup'!$H$4:$H$19="Y", K5:K20, 10)) &gt; K4), "", INDEX('Locked Bets Setup'!$A$5:$A$20,MATCH(MIN(IF('Locked Bets Setup'!$H$4:$H$19="Y",K5:K20,10)),IF('Locked Bets Setup'!$H$4:$H$19="Y",K5:K20,10),0)))</f>
        <v/>
      </c>
      <c r="L21" s="865" t="str">
        <f t="array" aca="1" ref="L21" ca="1">IF(OR(SUM(IF(IF('Locked Bets Setup'!$H$4:$H$19="Y", L5:L20, 10)=MIN(IF('Locked Bets Setup'!$H$4:$H$19="Y", L5:L20, 10)), 1, 0)) &gt; 1, MIN(IF('Locked Bets Setup'!$H$4:$H$19="Y", L5:L20, 10)) &gt; L4), "", INDEX('Locked Bets Setup'!$A$5:$A$20,MATCH(MIN(IF('Locked Bets Setup'!$H$4:$H$19="Y",L5:L20,10)),IF('Locked Bets Setup'!$H$4:$H$19="Y",L5:L20,10),0)))</f>
        <v/>
      </c>
      <c r="M21" s="865" t="str">
        <f t="array" aca="1" ref="M21" ca="1">IF(OR(SUM(IF(IF('Locked Bets Setup'!$H$4:$H$19="Y", M5:M20, 10)=MIN(IF('Locked Bets Setup'!$H$4:$H$19="Y", M5:M20, 10)), 1, 0)) &gt; 1, MIN(IF('Locked Bets Setup'!$H$4:$H$19="Y", M5:M20, 10)) &gt; M4), "", INDEX('Locked Bets Setup'!$A$5:$A$20,MATCH(MIN(IF('Locked Bets Setup'!$H$4:$H$19="Y",M5:M20,10)),IF('Locked Bets Setup'!$H$4:$H$19="Y",M5:M20,10),0)))</f>
        <v/>
      </c>
      <c r="N21" s="865" t="str">
        <f t="array" aca="1" ref="N21" ca="1">IF(OR(SUM(IF(IF('Locked Bets Setup'!$H$4:$H$19="Y", N5:N20, 10)=MIN(IF('Locked Bets Setup'!$H$4:$H$19="Y", N5:N20, 10)), 1, 0)) &gt; 1, MIN(IF('Locked Bets Setup'!$H$4:$H$19="Y", N5:N20, 10)) &gt; N4), "", INDEX('Locked Bets Setup'!$A$5:$A$20,MATCH(MIN(IF('Locked Bets Setup'!$H$4:$H$19="Y",N5:N20,10)),IF('Locked Bets Setup'!$H$4:$H$19="Y",N5:N20,10),0)))</f>
        <v/>
      </c>
      <c r="O21" s="865" t="str">
        <f t="array" aca="1" ref="O21" ca="1">IF(OR(SUM(IF(IF('Locked Bets Setup'!$H$4:$H$19="Y", O5:O20, 10)=MIN(IF('Locked Bets Setup'!$H$4:$H$19="Y", O5:O20, 10)), 1, 0)) &gt; 1, MIN(IF('Locked Bets Setup'!$H$4:$H$19="Y", O5:O20, 10)) &gt; O4), "", INDEX('Locked Bets Setup'!$A$5:$A$20,MATCH(MIN(IF('Locked Bets Setup'!$H$4:$H$19="Y",O5:O20,10)),IF('Locked Bets Setup'!$H$4:$H$19="Y",O5:O20,10),0)))</f>
        <v/>
      </c>
      <c r="P21" s="865" t="str">
        <f t="array" aca="1" ref="P21" ca="1">IF(OR(SUM(IF(IF('Locked Bets Setup'!$H$4:$H$19="Y", P5:P20, 10)=MIN(IF('Locked Bets Setup'!$H$4:$H$19="Y", P5:P20, 10)), 1, 0)) &gt; 1, MIN(IF('Locked Bets Setup'!$H$4:$H$19="Y", P5:P20, 10)) &gt; P4), "", INDEX('Locked Bets Setup'!$A$5:$A$20,MATCH(MIN(IF('Locked Bets Setup'!$H$4:$H$19="Y",P5:P20,10)),IF('Locked Bets Setup'!$H$4:$H$19="Y",P5:P20,10),0)))</f>
        <v/>
      </c>
      <c r="Q21" s="865" t="str">
        <f t="array" aca="1" ref="Q21" ca="1">IF(OR(SUM(IF(IF('Locked Bets Setup'!$H$4:$H$19="Y", Q5:Q20, 10)=MIN(IF('Locked Bets Setup'!$H$4:$H$19="Y", Q5:Q20, 10)), 1, 0)) &gt; 1, MIN(IF('Locked Bets Setup'!$H$4:$H$19="Y", Q5:Q20, 10)) &gt; Q4), "", INDEX('Locked Bets Setup'!$A$5:$A$20,MATCH(MIN(IF('Locked Bets Setup'!$H$4:$H$19="Y",Q5:Q20,10)),IF('Locked Bets Setup'!$H$4:$H$19="Y",Q5:Q20,10),0)))</f>
        <v/>
      </c>
      <c r="R21" s="865" t="str">
        <f t="array" aca="1" ref="R21" ca="1">IF(OR(SUM(IF(IF('Locked Bets Setup'!$H$4:$H$19="Y", R5:R20, 10)=MIN(IF('Locked Bets Setup'!$H$4:$H$19="Y", R5:R20, 10)), 1, 0)) &gt; 1, MIN(IF('Locked Bets Setup'!$H$4:$H$19="Y", R5:R20, 10)) &gt; R4), "", INDEX('Locked Bets Setup'!$A$5:$A$20,MATCH(MIN(IF('Locked Bets Setup'!$H$4:$H$19="Y",R5:R20,10)),IF('Locked Bets Setup'!$H$4:$H$19="Y",R5:R20,10),0)))</f>
        <v/>
      </c>
      <c r="S21" s="865" t="str">
        <f t="array" aca="1" ref="S21" ca="1">IF(OR(SUM(IF(IF('Locked Bets Setup'!$H$4:$H$19="Y", S5:S20, 10)=MIN(IF('Locked Bets Setup'!$H$4:$H$19="Y", S5:S20, 10)), 1, 0)) &gt; 1, MIN(IF('Locked Bets Setup'!$H$4:$H$19="Y", S5:S20, 10)) &gt; S4), "", INDEX('Locked Bets Setup'!$A$5:$A$20,MATCH(MIN(IF('Locked Bets Setup'!$H$4:$H$19="Y",S5:S20,10)),IF('Locked Bets Setup'!$H$4:$H$19="Y",S5:S20,10),0)))</f>
        <v/>
      </c>
      <c r="T21" s="865" t="str">
        <f t="array" aca="1" ref="T21" ca="1">IF(OR(SUM(IF(IF('Locked Bets Setup'!$H$4:$H$19="Y", T5:T20, 10)=MIN(IF('Locked Bets Setup'!$H$4:$H$19="Y", T5:T20, 10)), 1, 0)) &gt; 1, MIN(IF('Locked Bets Setup'!$H$4:$H$19="Y", T5:T20, 10)) &gt; T4), "", INDEX('Locked Bets Setup'!$A$5:$A$20,MATCH(MIN(IF('Locked Bets Setup'!$H$4:$H$19="Y",T5:T20,10)),IF('Locked Bets Setup'!$H$4:$H$19="Y",T5:T20,10),0)))</f>
        <v/>
      </c>
      <c r="U21" s="865" t="str">
        <f t="array" aca="1" ref="U21" ca="1">IF(OR(SUM(IF(IF('Locked Bets Setup'!$H$4:$H$19="Y", U5:U20, 10)=MIN(IF('Locked Bets Setup'!$H$4:$H$19="Y", U5:U20, 10)), 1, 0)) &gt; 1, MIN(IF('Locked Bets Setup'!$H$4:$H$19="Y", U5:U20, 10)) &gt; U4), "", INDEX('Locked Bets Setup'!$A$5:$A$20,MATCH(MIN(IF('Locked Bets Setup'!$H$4:$H$19="Y",U5:U20,10)),IF('Locked Bets Setup'!$H$4:$H$19="Y",U5:U20,10),0)))</f>
        <v/>
      </c>
      <c r="V21" s="866" t="str">
        <f t="array" aca="1" ref="V21" ca="1">IF(OR(SUM(IF(IF('Locked Bets Setup'!$H$4:$H$19="Y", V5:V20, 10)=MIN(IF('Locked Bets Setup'!$H$4:$H$19="Y", V5:V20, 10)), 1, 0)) &gt; 1, MIN(IF('Locked Bets Setup'!$H$4:$H$19="Y", V5:V20, 10)) &gt; V4), "", INDEX('Locked Bets Setup'!$A$5:$A$20,MATCH(MIN(IF('Locked Bets Setup'!$H$4:$H$19="Y",V5:V20,10)),IF('Locked Bets Setup'!$H$4:$H$19="Y",V5:V20,10),0)))</f>
        <v/>
      </c>
      <c r="W21" s="865"/>
      <c r="X21" s="865"/>
      <c r="Y21" s="867">
        <f t="shared" ref="Y21:Y22" ca="1" si="34">18-COUNTBLANK(E21:V21)</f>
        <v>0</v>
      </c>
      <c r="Z21" s="824"/>
      <c r="AA21" s="868"/>
      <c r="AB21" s="869"/>
      <c r="AC21" s="837"/>
      <c r="AD21" s="830"/>
      <c r="AE21" s="863">
        <f>COUNTIF(AE5:AE20, "Y")*AE3</f>
        <v>80</v>
      </c>
      <c r="AF21" s="870" t="s">
        <v>199</v>
      </c>
      <c r="AG21" s="871" t="str">
        <f t="array" aca="1" ref="AG21" ca="1">IF(OR(SUM(IF(IF('Locked Bets Setup'!$I$5:$I$20="Y", AG5:AG20, 10)=MIN(IF('Locked Bets Setup'!$I$5:$I$20="Y", AG5:AG20, 10)), 1, 0)) &gt; 1, MIN(IF('Locked Bets Setup'!$I$5:$I$20="Y", AG5:AG20, 10)) &gt; AG4), "", INDEX('Locked Bets Setup'!$A$5:$A$20,MATCH(MIN(IF('Locked Bets Setup'!$I$5:$I$20="Y",AG5:AG20,10)),IF('Locked Bets Setup'!$I$5:$I$20="Y",AG5:AG20,10),0)))</f>
        <v/>
      </c>
      <c r="AH21" s="871" t="str">
        <f t="array" aca="1" ref="AH21" ca="1">IF(OR(SUM(IF(IF('Locked Bets Setup'!$I$5:$I$20="Y", AH5:AH20, 10)=MIN(IF('Locked Bets Setup'!$I$5:$I$20="Y", AH5:AH20, 10)), 1, 0)) &gt; 1, MIN(IF('Locked Bets Setup'!$I$5:$I$20="Y", AH5:AH20, 10)) &gt; AH4), "", INDEX('Locked Bets Setup'!$A$5:$A$20,MATCH(MIN(IF('Locked Bets Setup'!$I$5:$I$20="Y",AH5:AH20,10)),IF('Locked Bets Setup'!$I$5:$I$20="Y",AH5:AH20,10),0)))</f>
        <v/>
      </c>
      <c r="AI21" s="871" t="str">
        <f t="array" aca="1" ref="AI21" ca="1">IF(OR(SUM(IF(IF('Locked Bets Setup'!$I$5:$I$20="Y", AI5:AI20, 10)=MIN(IF('Locked Bets Setup'!$I$5:$I$20="Y", AI5:AI20, 10)), 1, 0)) &gt; 1, MIN(IF('Locked Bets Setup'!$I$5:$I$20="Y", AI5:AI20, 10)) &gt; AI4), "", INDEX('Locked Bets Setup'!$A$5:$A$20,MATCH(MIN(IF('Locked Bets Setup'!$I$5:$I$20="Y",AI5:AI20,10)),IF('Locked Bets Setup'!$I$5:$I$20="Y",AI5:AI20,10),0)))</f>
        <v/>
      </c>
      <c r="AJ21" s="871" t="str">
        <f t="array" aca="1" ref="AJ21" ca="1">IF(OR(SUM(IF(IF('Locked Bets Setup'!$I$5:$I$20="Y", AJ5:AJ20, 10)=MIN(IF('Locked Bets Setup'!$I$5:$I$20="Y", AJ5:AJ20, 10)), 1, 0)) &gt; 1, MIN(IF('Locked Bets Setup'!$I$5:$I$20="Y", AJ5:AJ20, 10)) &gt; AJ4), "", INDEX('Locked Bets Setup'!$A$5:$A$20,MATCH(MIN(IF('Locked Bets Setup'!$I$5:$I$20="Y",AJ5:AJ20,10)),IF('Locked Bets Setup'!$I$5:$I$20="Y",AJ5:AJ20,10),0)))</f>
        <v/>
      </c>
      <c r="AK21" s="871" t="str">
        <f t="array" aca="1" ref="AK21" ca="1">IF(OR(SUM(IF(IF('Locked Bets Setup'!$I$5:$I$20="Y", AK5:AK20, 10)=MIN(IF('Locked Bets Setup'!$I$5:$I$20="Y", AK5:AK20, 10)), 1, 0)) &gt; 1, MIN(IF('Locked Bets Setup'!$I$5:$I$20="Y", AK5:AK20, 10)) &gt; AK4), "", INDEX('Locked Bets Setup'!$A$5:$A$20,MATCH(MIN(IF('Locked Bets Setup'!$I$5:$I$20="Y",AK5:AK20,10)),IF('Locked Bets Setup'!$I$5:$I$20="Y",AK5:AK20,10),0)))</f>
        <v/>
      </c>
      <c r="AL21" s="871" t="str">
        <f t="array" aca="1" ref="AL21" ca="1">IF(OR(SUM(IF(IF('Locked Bets Setup'!$I$5:$I$20="Y", AL5:AL20, 10)=MIN(IF('Locked Bets Setup'!$I$5:$I$20="Y", AL5:AL20, 10)), 1, 0)) &gt; 1, MIN(IF('Locked Bets Setup'!$I$5:$I$20="Y", AL5:AL20, 10)) &gt; AL4), "", INDEX('Locked Bets Setup'!$A$5:$A$20,MATCH(MIN(IF('Locked Bets Setup'!$I$5:$I$20="Y",AL5:AL20,10)),IF('Locked Bets Setup'!$I$5:$I$20="Y",AL5:AL20,10),0)))</f>
        <v/>
      </c>
      <c r="AM21" s="871" t="str">
        <f t="array" aca="1" ref="AM21" ca="1">IF(OR(SUM(IF(IF('Locked Bets Setup'!$I$5:$I$20="Y", AM5:AM20, 10)=MIN(IF('Locked Bets Setup'!$I$5:$I$20="Y", AM5:AM20, 10)), 1, 0)) &gt; 1, MIN(IF('Locked Bets Setup'!$I$5:$I$20="Y", AM5:AM20, 10)) &gt; AM4), "", INDEX('Locked Bets Setup'!$A$5:$A$20,MATCH(MIN(IF('Locked Bets Setup'!$I$5:$I$20="Y",AM5:AM20,10)),IF('Locked Bets Setup'!$I$5:$I$20="Y",AM5:AM20,10),0)))</f>
        <v>Weezy</v>
      </c>
      <c r="AN21" s="871" t="str">
        <f t="array" aca="1" ref="AN21" ca="1">IF(OR(SUM(IF(IF('Locked Bets Setup'!$I$5:$I$20="Y", AN5:AN20, 10)=MIN(IF('Locked Bets Setup'!$I$5:$I$20="Y", AN5:AN20, 10)), 1, 0)) &gt; 1, MIN(IF('Locked Bets Setup'!$I$5:$I$20="Y", AN5:AN20, 10)) &gt; AN4), "", INDEX('Locked Bets Setup'!$A$5:$A$20,MATCH(MIN(IF('Locked Bets Setup'!$I$5:$I$20="Y",AN5:AN20,10)),IF('Locked Bets Setup'!$I$5:$I$20="Y",AN5:AN20,10),0)))</f>
        <v>Andy</v>
      </c>
      <c r="AO21" s="871" t="str">
        <f t="array" aca="1" ref="AO21" ca="1">IF(OR(SUM(IF(IF('Locked Bets Setup'!$I$5:$I$20="Y", AO5:AO20, 10)=MIN(IF('Locked Bets Setup'!$I$5:$I$20="Y", AO5:AO20, 10)), 1, 0)) &gt; 1, MIN(IF('Locked Bets Setup'!$I$5:$I$20="Y", AO5:AO20, 10)) &gt; AO4), "", INDEX('Locked Bets Setup'!$A$5:$A$20,MATCH(MIN(IF('Locked Bets Setup'!$I$5:$I$20="Y",AO5:AO20,10)),IF('Locked Bets Setup'!$I$5:$I$20="Y",AO5:AO20,10),0)))</f>
        <v/>
      </c>
      <c r="AP21" s="871" t="str">
        <f t="array" aca="1" ref="AP21" ca="1">IF(OR(SUM(IF(IF('Locked Bets Setup'!$I$5:$I$20="Y", AP5:AP20, 10)=MIN(IF('Locked Bets Setup'!$I$5:$I$20="Y", AP5:AP20, 10)), 1, 0)) &gt; 1, MIN(IF('Locked Bets Setup'!$I$5:$I$20="Y", AP5:AP20, 10)) &gt; AP4), "", INDEX('Locked Bets Setup'!$A$5:$A$20,MATCH(MIN(IF('Locked Bets Setup'!$I$5:$I$20="Y",AP5:AP20,10)),IF('Locked Bets Setup'!$I$5:$I$20="Y",AP5:AP20,10),0)))</f>
        <v/>
      </c>
      <c r="AQ21" s="871" t="str">
        <f t="array" aca="1" ref="AQ21" ca="1">IF(OR(SUM(IF(IF('Locked Bets Setup'!$I$5:$I$20="Y", AQ5:AQ20, 10)=MIN(IF('Locked Bets Setup'!$I$5:$I$20="Y", AQ5:AQ20, 10)), 1, 0)) &gt; 1, MIN(IF('Locked Bets Setup'!$I$5:$I$20="Y", AQ5:AQ20, 10)) &gt; AQ4), "", INDEX('Locked Bets Setup'!$A$5:$A$20,MATCH(MIN(IF('Locked Bets Setup'!$I$5:$I$20="Y",AQ5:AQ20,10)),IF('Locked Bets Setup'!$I$5:$I$20="Y",AQ5:AQ20,10),0)))</f>
        <v/>
      </c>
      <c r="AR21" s="871" t="str">
        <f t="array" aca="1" ref="AR21" ca="1">IF(OR(SUM(IF(IF('Locked Bets Setup'!$I$5:$I$20="Y", AR5:AR20, 10)=MIN(IF('Locked Bets Setup'!$I$5:$I$20="Y", AR5:AR20, 10)), 1, 0)) &gt; 1, MIN(IF('Locked Bets Setup'!$I$5:$I$20="Y", AR5:AR20, 10)) &gt; AR4), "", INDEX('Locked Bets Setup'!$A$5:$A$20,MATCH(MIN(IF('Locked Bets Setup'!$I$5:$I$20="Y",AR5:AR20,10)),IF('Locked Bets Setup'!$I$5:$I$20="Y",AR5:AR20,10),0)))</f>
        <v>House</v>
      </c>
      <c r="AS21" s="871" t="str">
        <f t="array" aca="1" ref="AS21" ca="1">IF(OR(SUM(IF(IF('Locked Bets Setup'!$I$5:$I$20="Y", AS5:AS20, 10)=MIN(IF('Locked Bets Setup'!$I$5:$I$20="Y", AS5:AS20, 10)), 1, 0)) &gt; 1, MIN(IF('Locked Bets Setup'!$I$5:$I$20="Y", AS5:AS20, 10)) &gt; AS4), "", INDEX('Locked Bets Setup'!$A$5:$A$20,MATCH(MIN(IF('Locked Bets Setup'!$I$5:$I$20="Y",AS5:AS20,10)),IF('Locked Bets Setup'!$I$5:$I$20="Y",AS5:AS20,10),0)))</f>
        <v/>
      </c>
      <c r="AT21" s="871" t="str">
        <f t="array" aca="1" ref="AT21" ca="1">IF(OR(SUM(IF(IF('Locked Bets Setup'!$I$5:$I$20="Y", AT5:AT20, 10)=MIN(IF('Locked Bets Setup'!$I$5:$I$20="Y", AT5:AT20, 10)), 1, 0)) &gt; 1, MIN(IF('Locked Bets Setup'!$I$5:$I$20="Y", AT5:AT20, 10)) &gt; AT4), "", INDEX('Locked Bets Setup'!$A$5:$A$20,MATCH(MIN(IF('Locked Bets Setup'!$I$5:$I$20="Y",AT5:AT20,10)),IF('Locked Bets Setup'!$I$5:$I$20="Y",AT5:AT20,10),0)))</f>
        <v>T-Mo</v>
      </c>
      <c r="AU21" s="871" t="str">
        <f t="array" aca="1" ref="AU21" ca="1">IF(OR(SUM(IF(IF('Locked Bets Setup'!$I$5:$I$20="Y", AU5:AU20, 10)=MIN(IF('Locked Bets Setup'!$I$5:$I$20="Y", AU5:AU20, 10)), 1, 0)) &gt; 1, MIN(IF('Locked Bets Setup'!$I$5:$I$20="Y", AU5:AU20, 10)) &gt; AU4), "", INDEX('Locked Bets Setup'!$A$5:$A$20,MATCH(MIN(IF('Locked Bets Setup'!$I$5:$I$20="Y",AU5:AU20,10)),IF('Locked Bets Setup'!$I$5:$I$20="Y",AU5:AU20,10),0)))</f>
        <v>House</v>
      </c>
      <c r="AV21" s="871" t="str">
        <f t="array" aca="1" ref="AV21" ca="1">IF(OR(SUM(IF(IF('Locked Bets Setup'!$I$5:$I$20="Y", AV5:AV20, 10)=MIN(IF('Locked Bets Setup'!$I$5:$I$20="Y", AV5:AV20, 10)), 1, 0)) &gt; 1, MIN(IF('Locked Bets Setup'!$I$5:$I$20="Y", AV5:AV20, 10)) &gt; AV4), "", INDEX('Locked Bets Setup'!$A$5:$A$20,MATCH(MIN(IF('Locked Bets Setup'!$I$5:$I$20="Y",AV5:AV20,10)),IF('Locked Bets Setup'!$I$5:$I$20="Y",AV5:AV20,10),0)))</f>
        <v/>
      </c>
      <c r="AW21" s="871" t="str">
        <f t="array" aca="1" ref="AW21" ca="1">IF(OR(SUM(IF(IF('Locked Bets Setup'!$I$5:$I$20="Y", AW5:AW20, 10)=MIN(IF('Locked Bets Setup'!$I$5:$I$20="Y", AW5:AW20, 10)), 1, 0)) &gt; 1, MIN(IF('Locked Bets Setup'!$I$5:$I$20="Y", AW5:AW20, 10)) &gt; AW4), "", INDEX('Locked Bets Setup'!$A$5:$A$20,MATCH(MIN(IF('Locked Bets Setup'!$I$5:$I$20="Y",AW5:AW20,10)),IF('Locked Bets Setup'!$I$5:$I$20="Y",AW5:AW20,10),0)))</f>
        <v/>
      </c>
      <c r="AX21" s="871" t="str">
        <f t="array" aca="1" ref="AX21" ca="1">IF(OR(SUM(IF(IF('Locked Bets Setup'!$I$5:$I$20="Y", AX5:AX20, 10)=MIN(IF('Locked Bets Setup'!$I$5:$I$20="Y", AX5:AX20, 10)), 1, 0)) &gt; 1, MIN(IF('Locked Bets Setup'!$I$5:$I$20="Y", AX5:AX20, 10)) &gt; AX4), "", INDEX('Locked Bets Setup'!$A$5:$A$20,MATCH(MIN(IF('Locked Bets Setup'!$I$5:$I$20="Y",AX5:AX20,10)),IF('Locked Bets Setup'!$I$5:$I$20="Y",AX5:AX20,10),0)))</f>
        <v/>
      </c>
      <c r="AY21" s="871"/>
      <c r="AZ21" s="871"/>
      <c r="BA21" s="871">
        <f ca="1">18-COUNTBLANK(AG21:AX21)</f>
        <v>5</v>
      </c>
      <c r="BB21" s="868"/>
      <c r="BC21" s="869"/>
      <c r="BD21" s="872"/>
      <c r="BE21" s="873">
        <f ca="1">SUM(BE5:BE20)</f>
        <v>144</v>
      </c>
      <c r="BF21" s="874">
        <f ca="1">SUM(BF5:BJ20)</f>
        <v>288</v>
      </c>
      <c r="BG21" s="873"/>
      <c r="BH21" s="873"/>
      <c r="BI21" s="873"/>
      <c r="BJ21" s="873"/>
    </row>
    <row r="22" spans="1:62" ht="14.25" customHeight="1">
      <c r="A22" s="839"/>
      <c r="B22" s="829"/>
      <c r="C22" s="830"/>
      <c r="D22" s="864" t="s">
        <v>200</v>
      </c>
      <c r="E22" s="865" t="str">
        <f t="array" ref="E22">IF(OR(SUM(IF(IF('Locked Bets Setup'!$J$4:$J$19="Y", E5:E20, 10)=MIN(IF('Locked Bets Setup'!$J$4:$J$19="Y", E5:E20, 10)), 1, 0)) &gt; 1, MIN(IF('Locked Bets Setup'!$J$4:$J$19="Y", E5:E20, 10)) &gt; E5), "", INDEX('Locked Bets Setup'!$A$5:$A$20,MATCH(MIN(IF('Locked Bets Setup'!$J$4:$J$19="Y",E5:E20,10)),IF('Locked Bets Setup'!$J$4:$J$19="Y",E5:E20,10),0)))</f>
        <v/>
      </c>
      <c r="F22" s="865" t="str">
        <f t="array" ref="F22">IF(OR(SUM(IF(IF('Locked Bets Setup'!$J$4:$J$19="Y", F5:F20, 10)=MIN(IF('Locked Bets Setup'!$J$4:$J$19="Y", F5:F20, 10)), 1, 0)) &gt; 1, MIN(IF('Locked Bets Setup'!$J$4:$J$19="Y", F5:F20, 10)) &gt; F5), "", INDEX('Locked Bets Setup'!$A$5:$A$20,MATCH(MIN(IF('Locked Bets Setup'!$J$4:$J$19="Y",F5:F20,10)),IF('Locked Bets Setup'!$J$4:$J$19="Y",F5:F20,10),0)))</f>
        <v/>
      </c>
      <c r="G22" s="865" t="str">
        <f t="array" ref="G22">IF(OR(SUM(IF(IF('Locked Bets Setup'!$J$4:$J$19="Y", G5:G20, 10)=MIN(IF('Locked Bets Setup'!$J$4:$J$19="Y", G5:G20, 10)), 1, 0)) &gt; 1, MIN(IF('Locked Bets Setup'!$J$4:$J$19="Y", G5:G20, 10)) &gt; G5), "", INDEX('Locked Bets Setup'!$A$5:$A$20,MATCH(MIN(IF('Locked Bets Setup'!$J$4:$J$19="Y",G5:G20,10)),IF('Locked Bets Setup'!$J$4:$J$19="Y",G5:G20,10),0)))</f>
        <v/>
      </c>
      <c r="H22" s="865" t="str">
        <f t="array" ref="H22">IF(OR(SUM(IF(IF('Locked Bets Setup'!$J$4:$J$19="Y", H5:H20, 10)=MIN(IF('Locked Bets Setup'!$J$4:$J$19="Y", H5:H20, 10)), 1, 0)) &gt; 1, MIN(IF('Locked Bets Setup'!$J$4:$J$19="Y", H5:H20, 10)) &gt; H5), "", INDEX('Locked Bets Setup'!$A$5:$A$20,MATCH(MIN(IF('Locked Bets Setup'!$J$4:$J$19="Y",H5:H20,10)),IF('Locked Bets Setup'!$J$4:$J$19="Y",H5:H20,10),0)))</f>
        <v/>
      </c>
      <c r="I22" s="865" t="str">
        <f t="array" ref="I22">IF(OR(SUM(IF(IF('Locked Bets Setup'!$J$4:$J$19="Y", I5:I20, 10)=MIN(IF('Locked Bets Setup'!$J$4:$J$19="Y", I5:I20, 10)), 1, 0)) &gt; 1, MIN(IF('Locked Bets Setup'!$J$4:$J$19="Y", I5:I20, 10)) &gt; I5), "", INDEX('Locked Bets Setup'!$A$5:$A$20,MATCH(MIN(IF('Locked Bets Setup'!$J$4:$J$19="Y",I5:I20,10)),IF('Locked Bets Setup'!$J$4:$J$19="Y",I5:I20,10),0)))</f>
        <v/>
      </c>
      <c r="J22" s="865" t="str">
        <f t="array" ref="J22">IF(OR(SUM(IF(IF('Locked Bets Setup'!$J$4:$J$19="Y", J5:J20, 10)=MIN(IF('Locked Bets Setup'!$J$4:$J$19="Y", J5:J20, 10)), 1, 0)) &gt; 1, MIN(IF('Locked Bets Setup'!$J$4:$J$19="Y", J5:J20, 10)) &gt; J5), "", INDEX('Locked Bets Setup'!$A$5:$A$20,MATCH(MIN(IF('Locked Bets Setup'!$J$4:$J$19="Y",J5:J20,10)),IF('Locked Bets Setup'!$J$4:$J$19="Y",J5:J20,10),0)))</f>
        <v/>
      </c>
      <c r="K22" s="865" t="str">
        <f t="array" ref="K22">IF(OR(SUM(IF(IF('Locked Bets Setup'!$J$4:$J$19="Y", K5:K20, 10)=MIN(IF('Locked Bets Setup'!$J$4:$J$19="Y", K5:K20, 10)), 1, 0)) &gt; 1, MIN(IF('Locked Bets Setup'!$J$4:$J$19="Y", K5:K20, 10)) &gt; K5), "", INDEX('Locked Bets Setup'!$A$5:$A$20,MATCH(MIN(IF('Locked Bets Setup'!$J$4:$J$19="Y",K5:K20,10)),IF('Locked Bets Setup'!$J$4:$J$19="Y",K5:K20,10),0)))</f>
        <v/>
      </c>
      <c r="L22" s="865" t="str">
        <f t="array" ref="L22">IF(OR(SUM(IF(IF('Locked Bets Setup'!$J$4:$J$19="Y", L5:L20, 10)=MIN(IF('Locked Bets Setup'!$J$4:$J$19="Y", L5:L20, 10)), 1, 0)) &gt; 1, MIN(IF('Locked Bets Setup'!$J$4:$J$19="Y", L5:L20, 10)) &gt; L5), "", INDEX('Locked Bets Setup'!$A$5:$A$20,MATCH(MIN(IF('Locked Bets Setup'!$J$4:$J$19="Y",L5:L20,10)),IF('Locked Bets Setup'!$J$4:$J$19="Y",L5:L20,10),0)))</f>
        <v/>
      </c>
      <c r="M22" s="865" t="str">
        <f t="array" ref="M22">IF(OR(SUM(IF(IF('Locked Bets Setup'!$J$4:$J$19="Y", M5:M20, 10)=MIN(IF('Locked Bets Setup'!$J$4:$J$19="Y", M5:M20, 10)), 1, 0)) &gt; 1, MIN(IF('Locked Bets Setup'!$J$4:$J$19="Y", M5:M20, 10)) &gt; M5), "", INDEX('Locked Bets Setup'!$A$5:$A$20,MATCH(MIN(IF('Locked Bets Setup'!$J$4:$J$19="Y",M5:M20,10)),IF('Locked Bets Setup'!$J$4:$J$19="Y",M5:M20,10),0)))</f>
        <v/>
      </c>
      <c r="N22" s="865" t="str">
        <f t="array" ref="N22">IF(OR(SUM(IF(IF('Locked Bets Setup'!$J$4:$J$19="Y", N5:N20, 10)=MIN(IF('Locked Bets Setup'!$J$4:$J$19="Y", N5:N20, 10)), 1, 0)) &gt; 1, MIN(IF('Locked Bets Setup'!$J$4:$J$19="Y", N5:N20, 10)) &gt; N5), "", INDEX('Locked Bets Setup'!$A$5:$A$20,MATCH(MIN(IF('Locked Bets Setup'!$J$4:$J$19="Y",N5:N20,10)),IF('Locked Bets Setup'!$J$4:$J$19="Y",N5:N20,10),0)))</f>
        <v/>
      </c>
      <c r="O22" s="865" t="str">
        <f t="array" ref="O22">IF(OR(SUM(IF(IF('Locked Bets Setup'!$J$4:$J$19="Y", O5:O20, 10)=MIN(IF('Locked Bets Setup'!$J$4:$J$19="Y", O5:O20, 10)), 1, 0)) &gt; 1, MIN(IF('Locked Bets Setup'!$J$4:$J$19="Y", O5:O20, 10)) &gt; O5), "", INDEX('Locked Bets Setup'!$A$5:$A$20,MATCH(MIN(IF('Locked Bets Setup'!$J$4:$J$19="Y",O5:O20,10)),IF('Locked Bets Setup'!$J$4:$J$19="Y",O5:O20,10),0)))</f>
        <v/>
      </c>
      <c r="P22" s="865" t="str">
        <f t="array" ref="P22">IF(OR(SUM(IF(IF('Locked Bets Setup'!$J$4:$J$19="Y", P5:P20, 10)=MIN(IF('Locked Bets Setup'!$J$4:$J$19="Y", P5:P20, 10)), 1, 0)) &gt; 1, MIN(IF('Locked Bets Setup'!$J$4:$J$19="Y", P5:P20, 10)) &gt; P5), "", INDEX('Locked Bets Setup'!$A$5:$A$20,MATCH(MIN(IF('Locked Bets Setup'!$J$4:$J$19="Y",P5:P20,10)),IF('Locked Bets Setup'!$J$4:$J$19="Y",P5:P20,10),0)))</f>
        <v/>
      </c>
      <c r="Q22" s="865" t="str">
        <f t="array" ref="Q22">IF(OR(SUM(IF(IF('Locked Bets Setup'!$J$4:$J$19="Y", Q5:Q20, 10)=MIN(IF('Locked Bets Setup'!$J$4:$J$19="Y", Q5:Q20, 10)), 1, 0)) &gt; 1, MIN(IF('Locked Bets Setup'!$J$4:$J$19="Y", Q5:Q20, 10)) &gt; Q5), "", INDEX('Locked Bets Setup'!$A$5:$A$20,MATCH(MIN(IF('Locked Bets Setup'!$J$4:$J$19="Y",Q5:Q20,10)),IF('Locked Bets Setup'!$J$4:$J$19="Y",Q5:Q20,10),0)))</f>
        <v/>
      </c>
      <c r="R22" s="865" t="str">
        <f t="array" ref="R22">IF(OR(SUM(IF(IF('Locked Bets Setup'!$J$4:$J$19="Y", R5:R20, 10)=MIN(IF('Locked Bets Setup'!$J$4:$J$19="Y", R5:R20, 10)), 1, 0)) &gt; 1, MIN(IF('Locked Bets Setup'!$J$4:$J$19="Y", R5:R20, 10)) &gt; R5), "", INDEX('Locked Bets Setup'!$A$5:$A$20,MATCH(MIN(IF('Locked Bets Setup'!$J$4:$J$19="Y",R5:R20,10)),IF('Locked Bets Setup'!$J$4:$J$19="Y",R5:R20,10),0)))</f>
        <v/>
      </c>
      <c r="S22" s="865" t="str">
        <f t="array" ref="S22">IF(OR(SUM(IF(IF('Locked Bets Setup'!$J$4:$J$19="Y", S5:S20, 10)=MIN(IF('Locked Bets Setup'!$J$4:$J$19="Y", S5:S20, 10)), 1, 0)) &gt; 1, MIN(IF('Locked Bets Setup'!$J$4:$J$19="Y", S5:S20, 10)) &gt; S5), "", INDEX('Locked Bets Setup'!$A$5:$A$20,MATCH(MIN(IF('Locked Bets Setup'!$J$4:$J$19="Y",S5:S20,10)),IF('Locked Bets Setup'!$J$4:$J$19="Y",S5:S20,10),0)))</f>
        <v/>
      </c>
      <c r="T22" s="865" t="str">
        <f t="array" ref="T22">IF(OR(SUM(IF(IF('Locked Bets Setup'!$J$4:$J$19="Y", T5:T20, 10)=MIN(IF('Locked Bets Setup'!$J$4:$J$19="Y", T5:T20, 10)), 1, 0)) &gt; 1, MIN(IF('Locked Bets Setup'!$J$4:$J$19="Y", T5:T20, 10)) &gt; T5), "", INDEX('Locked Bets Setup'!$A$5:$A$20,MATCH(MIN(IF('Locked Bets Setup'!$J$4:$J$19="Y",T5:T20,10)),IF('Locked Bets Setup'!$J$4:$J$19="Y",T5:T20,10),0)))</f>
        <v/>
      </c>
      <c r="U22" s="865" t="str">
        <f t="array" ref="U22">IF(OR(SUM(IF(IF('Locked Bets Setup'!$J$4:$J$19="Y", U5:U20, 10)=MIN(IF('Locked Bets Setup'!$J$4:$J$19="Y", U5:U20, 10)), 1, 0)) &gt; 1, MIN(IF('Locked Bets Setup'!$J$4:$J$19="Y", U5:U20, 10)) &gt; U5), "", INDEX('Locked Bets Setup'!$A$5:$A$20,MATCH(MIN(IF('Locked Bets Setup'!$J$4:$J$19="Y",U5:U20,10)),IF('Locked Bets Setup'!$J$4:$J$19="Y",U5:U20,10),0)))</f>
        <v/>
      </c>
      <c r="V22" s="866" t="str">
        <f t="array" ref="V22">IF(OR(SUM(IF(IF('Locked Bets Setup'!$J$4:$J$19="Y", V5:V20, 10)=MIN(IF('Locked Bets Setup'!$J$4:$J$19="Y", V5:V20, 10)), 1, 0)) &gt; 1, MIN(IF('Locked Bets Setup'!$J$4:$J$19="Y", V5:V20, 10)) &gt; V5), "", INDEX('Locked Bets Setup'!$A$5:$A$20,MATCH(MIN(IF('Locked Bets Setup'!$J$4:$J$19="Y",V5:V20,10)),IF('Locked Bets Setup'!$J$4:$J$19="Y",V5:V20,10),0)))</f>
        <v/>
      </c>
      <c r="W22" s="865"/>
      <c r="X22" s="865"/>
      <c r="Y22" s="867">
        <f t="shared" si="34"/>
        <v>0</v>
      </c>
      <c r="Z22" s="839"/>
      <c r="AA22" s="838"/>
      <c r="AB22" s="869"/>
      <c r="AC22" s="839"/>
      <c r="AD22" s="829"/>
      <c r="AE22" s="875"/>
      <c r="AF22" s="875"/>
      <c r="AG22" s="875"/>
      <c r="AH22" s="875"/>
      <c r="AI22" s="875"/>
      <c r="AJ22" s="875"/>
      <c r="AK22" s="875"/>
      <c r="AL22" s="875"/>
      <c r="AM22" s="875"/>
      <c r="AN22" s="875"/>
      <c r="AO22" s="875"/>
      <c r="AP22" s="875"/>
      <c r="AQ22" s="875"/>
      <c r="AR22" s="875"/>
      <c r="AS22" s="875"/>
      <c r="AT22" s="875"/>
      <c r="AU22" s="875"/>
      <c r="AV22" s="875"/>
      <c r="AW22" s="875"/>
      <c r="AX22" s="875"/>
      <c r="AY22" s="875"/>
      <c r="AZ22" s="875"/>
      <c r="BA22" s="875"/>
      <c r="BB22" s="838"/>
      <c r="BC22" s="869"/>
      <c r="BD22" s="872"/>
      <c r="BE22" s="876"/>
      <c r="BF22" s="876"/>
      <c r="BG22" s="876"/>
      <c r="BH22" s="876"/>
      <c r="BI22" s="876"/>
      <c r="BJ22" s="876"/>
    </row>
    <row r="23" spans="1:62" ht="14.25" customHeight="1">
      <c r="A23" s="839"/>
      <c r="B23" s="829"/>
      <c r="C23" s="829"/>
      <c r="D23" s="877" t="s">
        <v>201</v>
      </c>
      <c r="E23" s="878"/>
      <c r="F23" s="878"/>
      <c r="G23" s="878"/>
      <c r="H23" s="878"/>
      <c r="I23" s="878"/>
      <c r="J23" s="878"/>
      <c r="K23" s="878"/>
      <c r="L23" s="878"/>
      <c r="M23" s="878"/>
      <c r="N23" s="878"/>
      <c r="O23" s="878"/>
      <c r="P23" s="878"/>
      <c r="Q23" s="878"/>
      <c r="R23" s="878"/>
      <c r="S23" s="878"/>
      <c r="T23" s="878"/>
      <c r="U23" s="878"/>
      <c r="V23" s="879"/>
      <c r="W23" s="865"/>
      <c r="X23" s="865"/>
      <c r="Y23" s="880">
        <f>COUNTA(E23:V23)</f>
        <v>0</v>
      </c>
      <c r="Z23" s="881"/>
      <c r="AA23" s="882"/>
      <c r="AB23" s="869"/>
      <c r="AC23" s="839"/>
      <c r="AD23" s="829"/>
      <c r="AE23" s="883"/>
      <c r="AF23" s="883"/>
      <c r="AG23" s="883"/>
      <c r="AH23" s="883"/>
      <c r="AI23" s="883"/>
      <c r="AJ23" s="883"/>
      <c r="AK23" s="883"/>
      <c r="AL23" s="883"/>
      <c r="AM23" s="883"/>
      <c r="AN23" s="883"/>
      <c r="AO23" s="883"/>
      <c r="AP23" s="883"/>
      <c r="AQ23" s="883"/>
      <c r="AR23" s="883"/>
      <c r="AS23" s="883"/>
      <c r="AT23" s="883"/>
      <c r="AU23" s="883"/>
      <c r="AV23" s="883"/>
      <c r="AW23" s="883"/>
      <c r="AX23" s="883"/>
      <c r="AY23" s="883"/>
      <c r="AZ23" s="883"/>
      <c r="BA23" s="883"/>
      <c r="BB23" s="882"/>
      <c r="BC23" s="869"/>
      <c r="BD23" s="872"/>
      <c r="BE23" s="876"/>
      <c r="BF23" s="876"/>
      <c r="BG23" s="876"/>
      <c r="BH23" s="876"/>
      <c r="BI23" s="876"/>
      <c r="BJ23" s="876"/>
    </row>
    <row r="24" spans="1:62" ht="14.25" customHeight="1">
      <c r="A24" s="884"/>
      <c r="B24" s="885"/>
      <c r="C24" s="885"/>
      <c r="D24" s="886"/>
      <c r="E24" s="887"/>
      <c r="F24" s="887"/>
      <c r="G24" s="887"/>
      <c r="H24" s="887"/>
      <c r="I24" s="887"/>
      <c r="J24" s="887"/>
      <c r="K24" s="887"/>
      <c r="L24" s="887"/>
      <c r="M24" s="887"/>
      <c r="N24" s="887"/>
      <c r="O24" s="887"/>
      <c r="P24" s="887"/>
      <c r="Q24" s="887"/>
      <c r="R24" s="887"/>
      <c r="S24" s="887"/>
      <c r="T24" s="887"/>
      <c r="U24" s="887"/>
      <c r="V24" s="887"/>
      <c r="W24" s="888"/>
      <c r="X24" s="888"/>
      <c r="Y24" s="885"/>
      <c r="Z24" s="889"/>
      <c r="AA24" s="888"/>
      <c r="AB24" s="890"/>
      <c r="AC24" s="885"/>
      <c r="AD24" s="885"/>
      <c r="AE24" s="885"/>
      <c r="AF24" s="885"/>
      <c r="AG24" s="887"/>
      <c r="AH24" s="887"/>
      <c r="AI24" s="887"/>
      <c r="AJ24" s="887"/>
      <c r="AK24" s="887"/>
      <c r="AL24" s="887"/>
      <c r="AM24" s="887"/>
      <c r="AN24" s="887"/>
      <c r="AO24" s="887"/>
      <c r="AP24" s="887"/>
      <c r="AQ24" s="887"/>
      <c r="AR24" s="887"/>
      <c r="AS24" s="887"/>
      <c r="AT24" s="887"/>
      <c r="AU24" s="887"/>
      <c r="AV24" s="887"/>
      <c r="AW24" s="887"/>
      <c r="AX24" s="887"/>
      <c r="AY24" s="885"/>
      <c r="AZ24" s="885"/>
      <c r="BA24" s="885"/>
      <c r="BB24" s="890"/>
      <c r="BC24" s="890"/>
      <c r="BD24" s="891"/>
      <c r="BE24" s="891"/>
      <c r="BF24" s="891"/>
      <c r="BG24" s="891"/>
      <c r="BH24" s="891"/>
      <c r="BI24" s="891"/>
      <c r="BJ24" s="891"/>
    </row>
    <row r="25" spans="1:62" ht="14.25" customHeight="1">
      <c r="A25" s="892" t="s">
        <v>78</v>
      </c>
      <c r="B25" s="893"/>
      <c r="C25" s="893"/>
      <c r="D25" s="1217" t="str">
        <f>'Master Input'!$G$6</f>
        <v>The Wolverine - White</v>
      </c>
      <c r="E25" s="1129"/>
      <c r="F25" s="1129"/>
      <c r="G25" s="1129"/>
      <c r="H25" s="1129"/>
      <c r="I25" s="1129"/>
      <c r="J25" s="1129"/>
      <c r="K25" s="1129"/>
      <c r="L25" s="1129"/>
      <c r="M25" s="1129"/>
      <c r="N25" s="1129"/>
      <c r="O25" s="1129"/>
      <c r="P25" s="1129"/>
      <c r="Q25" s="1129"/>
      <c r="R25" s="1129"/>
      <c r="S25" s="1129"/>
      <c r="T25" s="1129"/>
      <c r="U25" s="1129"/>
      <c r="V25" s="1129"/>
      <c r="W25" s="1129"/>
      <c r="X25" s="1218"/>
      <c r="Y25" s="894">
        <f ca="1">VLOOKUP($D25, 'Course List'!$A$3:$C$14,2, FALSE)</f>
        <v>68.7</v>
      </c>
      <c r="Z25" s="895">
        <f ca="1">VLOOKUP($D25, 'Course List'!$A$3:$C$14,3, FALSE)</f>
        <v>134</v>
      </c>
      <c r="AA25" s="895"/>
      <c r="AB25" s="896"/>
      <c r="AC25" s="892" t="s">
        <v>78</v>
      </c>
      <c r="AD25" s="893"/>
      <c r="AE25" s="893"/>
      <c r="AF25" s="1219" t="str">
        <f>D25</f>
        <v>The Wolverine - White</v>
      </c>
      <c r="AG25" s="1129"/>
      <c r="AH25" s="1129"/>
      <c r="AI25" s="1129"/>
      <c r="AJ25" s="1129"/>
      <c r="AK25" s="1129"/>
      <c r="AL25" s="1129"/>
      <c r="AM25" s="1129"/>
      <c r="AN25" s="1129"/>
      <c r="AO25" s="1129"/>
      <c r="AP25" s="1129"/>
      <c r="AQ25" s="1129"/>
      <c r="AR25" s="1129"/>
      <c r="AS25" s="1129"/>
      <c r="AT25" s="1129"/>
      <c r="AU25" s="1129"/>
      <c r="AV25" s="1129"/>
      <c r="AW25" s="1129"/>
      <c r="AX25" s="1129"/>
      <c r="AY25" s="1129"/>
      <c r="AZ25" s="1218"/>
      <c r="BA25" s="894">
        <f t="shared" ref="BA25:BB25" ca="1" si="35">Y25</f>
        <v>68.7</v>
      </c>
      <c r="BB25" s="895">
        <f t="shared" ca="1" si="35"/>
        <v>134</v>
      </c>
      <c r="BC25" s="896"/>
      <c r="BD25" s="897"/>
      <c r="BE25" s="898"/>
      <c r="BF25" s="898"/>
      <c r="BG25" s="898"/>
      <c r="BH25" s="898"/>
      <c r="BI25" s="898"/>
      <c r="BJ25" s="898"/>
    </row>
    <row r="26" spans="1:62" ht="14.25" customHeight="1">
      <c r="A26" s="892" t="s">
        <v>184</v>
      </c>
      <c r="B26" s="893"/>
      <c r="C26" s="893"/>
      <c r="D26" s="832" t="s">
        <v>32</v>
      </c>
      <c r="E26" s="833">
        <v>1</v>
      </c>
      <c r="F26" s="834">
        <v>2</v>
      </c>
      <c r="G26" s="834">
        <v>3</v>
      </c>
      <c r="H26" s="834">
        <v>4</v>
      </c>
      <c r="I26" s="834">
        <v>5</v>
      </c>
      <c r="J26" s="834">
        <v>6</v>
      </c>
      <c r="K26" s="834">
        <v>7</v>
      </c>
      <c r="L26" s="834">
        <v>8</v>
      </c>
      <c r="M26" s="834">
        <v>9</v>
      </c>
      <c r="N26" s="835">
        <v>10</v>
      </c>
      <c r="O26" s="835">
        <v>11</v>
      </c>
      <c r="P26" s="835">
        <v>12</v>
      </c>
      <c r="Q26" s="835">
        <v>13</v>
      </c>
      <c r="R26" s="835">
        <v>14</v>
      </c>
      <c r="S26" s="835">
        <v>15</v>
      </c>
      <c r="T26" s="835">
        <v>16</v>
      </c>
      <c r="U26" s="835">
        <v>17</v>
      </c>
      <c r="V26" s="835">
        <v>18</v>
      </c>
      <c r="W26" s="836" t="s">
        <v>17</v>
      </c>
      <c r="X26" s="836" t="s">
        <v>18</v>
      </c>
      <c r="Y26" s="899" t="s">
        <v>14</v>
      </c>
      <c r="Z26" s="836" t="s">
        <v>19</v>
      </c>
      <c r="AA26" s="836" t="s">
        <v>185</v>
      </c>
      <c r="AB26" s="896"/>
      <c r="AC26" s="892" t="s">
        <v>19</v>
      </c>
      <c r="AD26" s="893"/>
      <c r="AE26" s="893"/>
      <c r="AF26" s="832" t="s">
        <v>32</v>
      </c>
      <c r="AG26" s="833">
        <v>1</v>
      </c>
      <c r="AH26" s="834">
        <v>2</v>
      </c>
      <c r="AI26" s="834">
        <v>3</v>
      </c>
      <c r="AJ26" s="834">
        <v>4</v>
      </c>
      <c r="AK26" s="834">
        <v>5</v>
      </c>
      <c r="AL26" s="834">
        <v>6</v>
      </c>
      <c r="AM26" s="834">
        <v>7</v>
      </c>
      <c r="AN26" s="834">
        <v>8</v>
      </c>
      <c r="AO26" s="834">
        <v>9</v>
      </c>
      <c r="AP26" s="835">
        <v>10</v>
      </c>
      <c r="AQ26" s="835">
        <v>11</v>
      </c>
      <c r="AR26" s="835">
        <v>12</v>
      </c>
      <c r="AS26" s="835">
        <v>13</v>
      </c>
      <c r="AT26" s="835">
        <v>14</v>
      </c>
      <c r="AU26" s="835">
        <v>15</v>
      </c>
      <c r="AV26" s="835">
        <v>16</v>
      </c>
      <c r="AW26" s="835">
        <v>17</v>
      </c>
      <c r="AX26" s="835">
        <v>18</v>
      </c>
      <c r="AY26" s="836" t="s">
        <v>17</v>
      </c>
      <c r="AZ26" s="836" t="s">
        <v>18</v>
      </c>
      <c r="BA26" s="899" t="s">
        <v>14</v>
      </c>
      <c r="BB26" s="836" t="s">
        <v>186</v>
      </c>
      <c r="BC26" s="896"/>
      <c r="BD26" s="897"/>
      <c r="BE26" s="898"/>
      <c r="BF26" s="898"/>
      <c r="BG26" s="898"/>
      <c r="BH26" s="898"/>
      <c r="BI26" s="898"/>
      <c r="BJ26" s="898"/>
    </row>
    <row r="27" spans="1:62" ht="14.25" customHeight="1">
      <c r="A27" s="892"/>
      <c r="B27" s="893"/>
      <c r="C27" s="840">
        <v>5</v>
      </c>
      <c r="D27" s="832" t="s">
        <v>105</v>
      </c>
      <c r="E27" s="841">
        <f ca="1">VLOOKUP($D25, 'Course List'!$A$3:$AS$14,5+E26, FALSE)</f>
        <v>11</v>
      </c>
      <c r="F27" s="841">
        <f ca="1">VLOOKUP($D25, 'Course List'!$A$3:$AS$14,5+F26, FALSE)</f>
        <v>5</v>
      </c>
      <c r="G27" s="841">
        <f ca="1">VLOOKUP($D25, 'Course List'!$A$3:$AS$14,5+G26, FALSE)</f>
        <v>1</v>
      </c>
      <c r="H27" s="841">
        <f ca="1">VLOOKUP($D25, 'Course List'!$A$3:$AS$14,5+H26, FALSE)</f>
        <v>13</v>
      </c>
      <c r="I27" s="841">
        <f ca="1">VLOOKUP($D25, 'Course List'!$A$3:$AS$14,5+I26, FALSE)</f>
        <v>15</v>
      </c>
      <c r="J27" s="841">
        <f ca="1">VLOOKUP($D25, 'Course List'!$A$3:$AS$14,5+J26, FALSE)</f>
        <v>3</v>
      </c>
      <c r="K27" s="841">
        <f ca="1">VLOOKUP($D25, 'Course List'!$A$3:$AS$14,5+K26, FALSE)</f>
        <v>9</v>
      </c>
      <c r="L27" s="841">
        <f ca="1">VLOOKUP($D25, 'Course List'!$A$3:$AS$14,5+L26, FALSE)</f>
        <v>7</v>
      </c>
      <c r="M27" s="841">
        <f ca="1">VLOOKUP($D25, 'Course List'!$A$3:$AS$14,5+M26, FALSE)</f>
        <v>17</v>
      </c>
      <c r="N27" s="842">
        <f ca="1">VLOOKUP($D25, 'Course List'!$A$3:$AS$14,5+N26, FALSE)</f>
        <v>4</v>
      </c>
      <c r="O27" s="842">
        <f ca="1">VLOOKUP($D25, 'Course List'!$A$3:$AS$14,5+O26, FALSE)</f>
        <v>2</v>
      </c>
      <c r="P27" s="842">
        <f ca="1">VLOOKUP($D25, 'Course List'!$A$3:$AS$14,5+P26, FALSE)</f>
        <v>14</v>
      </c>
      <c r="Q27" s="842">
        <f ca="1">VLOOKUP($D25, 'Course List'!$A$3:$AS$14,5+Q26, FALSE)</f>
        <v>10</v>
      </c>
      <c r="R27" s="842">
        <f ca="1">VLOOKUP($D25, 'Course List'!$A$3:$AS$14,5+R26, FALSE)</f>
        <v>18</v>
      </c>
      <c r="S27" s="842">
        <f ca="1">VLOOKUP($D25, 'Course List'!$A$3:$AS$14,5+S26, FALSE)</f>
        <v>16</v>
      </c>
      <c r="T27" s="842">
        <f ca="1">VLOOKUP($D25, 'Course List'!$A$3:$AS$14,5+T26, FALSE)</f>
        <v>8</v>
      </c>
      <c r="U27" s="842">
        <f ca="1">VLOOKUP($D25, 'Course List'!$A$3:$AS$14,5+U26, FALSE)</f>
        <v>12</v>
      </c>
      <c r="V27" s="842">
        <f ca="1">VLOOKUP($D25, 'Course List'!$A$3:$AS$14,5+V26, FALSE)</f>
        <v>6</v>
      </c>
      <c r="W27" s="900"/>
      <c r="X27" s="900"/>
      <c r="Y27" s="900"/>
      <c r="Z27" s="900"/>
      <c r="AA27" s="900"/>
      <c r="AB27" s="901"/>
      <c r="AC27" s="892"/>
      <c r="AD27" s="893"/>
      <c r="AE27" s="840">
        <v>5</v>
      </c>
      <c r="AF27" s="832" t="s">
        <v>105</v>
      </c>
      <c r="AG27" s="841">
        <f t="shared" ref="AG27:AX27" ca="1" si="36">E27</f>
        <v>11</v>
      </c>
      <c r="AH27" s="841">
        <f t="shared" ca="1" si="36"/>
        <v>5</v>
      </c>
      <c r="AI27" s="841">
        <f t="shared" ca="1" si="36"/>
        <v>1</v>
      </c>
      <c r="AJ27" s="841">
        <f t="shared" ca="1" si="36"/>
        <v>13</v>
      </c>
      <c r="AK27" s="841">
        <f t="shared" ca="1" si="36"/>
        <v>15</v>
      </c>
      <c r="AL27" s="841">
        <f t="shared" ca="1" si="36"/>
        <v>3</v>
      </c>
      <c r="AM27" s="841">
        <f t="shared" ca="1" si="36"/>
        <v>9</v>
      </c>
      <c r="AN27" s="841">
        <f t="shared" ca="1" si="36"/>
        <v>7</v>
      </c>
      <c r="AO27" s="841">
        <f t="shared" ca="1" si="36"/>
        <v>17</v>
      </c>
      <c r="AP27" s="842">
        <f t="shared" ca="1" si="36"/>
        <v>4</v>
      </c>
      <c r="AQ27" s="842">
        <f t="shared" ca="1" si="36"/>
        <v>2</v>
      </c>
      <c r="AR27" s="842">
        <f t="shared" ca="1" si="36"/>
        <v>14</v>
      </c>
      <c r="AS27" s="842">
        <f t="shared" ca="1" si="36"/>
        <v>10</v>
      </c>
      <c r="AT27" s="842">
        <f t="shared" ca="1" si="36"/>
        <v>18</v>
      </c>
      <c r="AU27" s="842">
        <f t="shared" ca="1" si="36"/>
        <v>16</v>
      </c>
      <c r="AV27" s="842">
        <f t="shared" ca="1" si="36"/>
        <v>8</v>
      </c>
      <c r="AW27" s="842">
        <f t="shared" ca="1" si="36"/>
        <v>12</v>
      </c>
      <c r="AX27" s="842">
        <f t="shared" ca="1" si="36"/>
        <v>6</v>
      </c>
      <c r="AY27" s="900"/>
      <c r="AZ27" s="900"/>
      <c r="BA27" s="900"/>
      <c r="BB27" s="900"/>
      <c r="BC27" s="901"/>
      <c r="BD27" s="902" t="s">
        <v>187</v>
      </c>
      <c r="BE27" s="903" t="s">
        <v>35</v>
      </c>
      <c r="BF27" s="903"/>
      <c r="BG27" s="903"/>
      <c r="BH27" s="903"/>
      <c r="BI27" s="903"/>
      <c r="BJ27" s="903"/>
    </row>
    <row r="28" spans="1:62" ht="14.25" customHeight="1">
      <c r="A28" s="847" t="s">
        <v>23</v>
      </c>
      <c r="B28" s="847" t="s">
        <v>188</v>
      </c>
      <c r="C28" s="848" t="s">
        <v>189</v>
      </c>
      <c r="D28" s="832" t="s">
        <v>183</v>
      </c>
      <c r="E28" s="841">
        <f ca="1">VLOOKUP($D25, 'Course List'!$A$3:$AS$14,27+E26, FALSE)</f>
        <v>4</v>
      </c>
      <c r="F28" s="841">
        <f ca="1">VLOOKUP($D25, 'Course List'!$A$3:$AS$14,27+F26, FALSE)</f>
        <v>4</v>
      </c>
      <c r="G28" s="841">
        <f ca="1">VLOOKUP($D25, 'Course List'!$A$3:$AS$14,27+G26, FALSE)</f>
        <v>5</v>
      </c>
      <c r="H28" s="841">
        <f ca="1">VLOOKUP($D25, 'Course List'!$A$3:$AS$14,27+H26, FALSE)</f>
        <v>4</v>
      </c>
      <c r="I28" s="841">
        <f ca="1">VLOOKUP($D25, 'Course List'!$A$3:$AS$14,27+I26, FALSE)</f>
        <v>3</v>
      </c>
      <c r="J28" s="841">
        <f ca="1">VLOOKUP($D25, 'Course List'!$A$3:$AS$14,27+J26, FALSE)</f>
        <v>4</v>
      </c>
      <c r="K28" s="841">
        <f ca="1">VLOOKUP($D25, 'Course List'!$A$3:$AS$14,27+K26, FALSE)</f>
        <v>4</v>
      </c>
      <c r="L28" s="841">
        <f ca="1">VLOOKUP($D25, 'Course List'!$A$3:$AS$14,27+L26, FALSE)</f>
        <v>5</v>
      </c>
      <c r="M28" s="841">
        <f ca="1">VLOOKUP($D25, 'Course List'!$A$3:$AS$14,27+M26, FALSE)</f>
        <v>3</v>
      </c>
      <c r="N28" s="842">
        <f ca="1">VLOOKUP($D25, 'Course List'!$A$3:$AS$14,27+N26, FALSE)</f>
        <v>4</v>
      </c>
      <c r="O28" s="842">
        <f ca="1">VLOOKUP($D25, 'Course List'!$A$3:$AS$14,27+O26, FALSE)</f>
        <v>5</v>
      </c>
      <c r="P28" s="842">
        <f ca="1">VLOOKUP($D25, 'Course List'!$A$3:$AS$14,27+P26, FALSE)</f>
        <v>3</v>
      </c>
      <c r="Q28" s="842">
        <f ca="1">VLOOKUP($D25, 'Course List'!$A$3:$AS$14,27+Q26, FALSE)</f>
        <v>4</v>
      </c>
      <c r="R28" s="842">
        <f ca="1">VLOOKUP($D25, 'Course List'!$A$3:$AS$14,27+R26, FALSE)</f>
        <v>3</v>
      </c>
      <c r="S28" s="842">
        <f ca="1">VLOOKUP($D25, 'Course List'!$A$3:$AS$14,27+S26, FALSE)</f>
        <v>4</v>
      </c>
      <c r="T28" s="842">
        <f ca="1">VLOOKUP($D25, 'Course List'!$A$3:$AS$14,27+T26, FALSE)</f>
        <v>4</v>
      </c>
      <c r="U28" s="842">
        <f ca="1">VLOOKUP($D25, 'Course List'!$A$3:$AS$14,27+U26, FALSE)</f>
        <v>4</v>
      </c>
      <c r="V28" s="842">
        <f ca="1">VLOOKUP($D25, 'Course List'!$A$3:$AS$14,27+V26, FALSE)</f>
        <v>5</v>
      </c>
      <c r="W28" s="836">
        <f t="shared" ref="W28:W44" ca="1" si="37">SUM(E28:M28)</f>
        <v>36</v>
      </c>
      <c r="X28" s="836">
        <f t="shared" ref="X28:X44" ca="1" si="38">SUM(N28:V28)</f>
        <v>36</v>
      </c>
      <c r="Y28" s="836">
        <f ca="1">W28+X28</f>
        <v>72</v>
      </c>
      <c r="Z28" s="836"/>
      <c r="AA28" s="836"/>
      <c r="AB28" s="896"/>
      <c r="AC28" s="847" t="s">
        <v>23</v>
      </c>
      <c r="AD28" s="847" t="s">
        <v>188</v>
      </c>
      <c r="AE28" s="848" t="s">
        <v>190</v>
      </c>
      <c r="AF28" s="832" t="s">
        <v>183</v>
      </c>
      <c r="AG28" s="841">
        <f t="shared" ref="AG28:AX28" ca="1" si="39">E28</f>
        <v>4</v>
      </c>
      <c r="AH28" s="841">
        <f t="shared" ca="1" si="39"/>
        <v>4</v>
      </c>
      <c r="AI28" s="841">
        <f t="shared" ca="1" si="39"/>
        <v>5</v>
      </c>
      <c r="AJ28" s="841">
        <f t="shared" ca="1" si="39"/>
        <v>4</v>
      </c>
      <c r="AK28" s="841">
        <f t="shared" ca="1" si="39"/>
        <v>3</v>
      </c>
      <c r="AL28" s="841">
        <f t="shared" ca="1" si="39"/>
        <v>4</v>
      </c>
      <c r="AM28" s="841">
        <f t="shared" ca="1" si="39"/>
        <v>4</v>
      </c>
      <c r="AN28" s="841">
        <f t="shared" ca="1" si="39"/>
        <v>5</v>
      </c>
      <c r="AO28" s="841">
        <f t="shared" ca="1" si="39"/>
        <v>3</v>
      </c>
      <c r="AP28" s="842">
        <f t="shared" ca="1" si="39"/>
        <v>4</v>
      </c>
      <c r="AQ28" s="842">
        <f t="shared" ca="1" si="39"/>
        <v>5</v>
      </c>
      <c r="AR28" s="842">
        <f t="shared" ca="1" si="39"/>
        <v>3</v>
      </c>
      <c r="AS28" s="842">
        <f t="shared" ca="1" si="39"/>
        <v>4</v>
      </c>
      <c r="AT28" s="842">
        <f t="shared" ca="1" si="39"/>
        <v>3</v>
      </c>
      <c r="AU28" s="842">
        <f t="shared" ca="1" si="39"/>
        <v>4</v>
      </c>
      <c r="AV28" s="842">
        <f t="shared" ca="1" si="39"/>
        <v>4</v>
      </c>
      <c r="AW28" s="842">
        <f t="shared" ca="1" si="39"/>
        <v>4</v>
      </c>
      <c r="AX28" s="842">
        <f t="shared" ca="1" si="39"/>
        <v>5</v>
      </c>
      <c r="AY28" s="836">
        <f t="shared" ref="AY28:AY44" ca="1" si="40">SUM(AG28:AO28)</f>
        <v>36</v>
      </c>
      <c r="AZ28" s="836">
        <f t="shared" ref="AZ28:AZ44" ca="1" si="41">SUM(AP28:AX28)</f>
        <v>36</v>
      </c>
      <c r="BA28" s="836">
        <f ca="1">AY28+AZ28</f>
        <v>72</v>
      </c>
      <c r="BB28" s="836"/>
      <c r="BC28" s="896"/>
      <c r="BD28" s="904" t="s">
        <v>191</v>
      </c>
      <c r="BE28" s="904" t="s">
        <v>192</v>
      </c>
      <c r="BF28" s="904" t="s">
        <v>193</v>
      </c>
      <c r="BG28" s="904" t="s">
        <v>194</v>
      </c>
      <c r="BH28" s="904" t="s">
        <v>195</v>
      </c>
      <c r="BI28" s="904" t="s">
        <v>196</v>
      </c>
      <c r="BJ28" s="904" t="s">
        <v>197</v>
      </c>
    </row>
    <row r="29" spans="1:62" ht="14.25" customHeight="1">
      <c r="A29" s="849" t="str">
        <f t="shared" ref="A29:A44" si="42">A5</f>
        <v>Telly</v>
      </c>
      <c r="B29" s="850">
        <f ca="1">VLOOKUP(A29,'Master Input'!$A$11:$L$27,8,FALSE)</f>
        <v>6</v>
      </c>
      <c r="C29" s="849"/>
      <c r="D29" s="851"/>
      <c r="E29" s="852">
        <f>IF(COUNTIF('R2_G1'!$A$8:$A$17,$A29)=1,VLOOKUP($A29,'R2_G1'!$A$8:$Y$17, E$2+4,FALSE),
IF(COUNTIF('R2_G2'!$A$8:$A$17,$A29)=1,VLOOKUP($A29,'R2_G2'!$A$8:$Y$17, E$2+4,FALSE),
IF(COUNTIF('R2_G3'!$A$8:$A$17,$A29)=1,VLOOKUP($A29,'R2_G3'!$A$8:$Y$17, E$2+4,FALSE),
IF(COUNTIF('R2_G4'!$A$8:$A$17,$A29)=1,VLOOKUP($A29,'R2_G4'!$A$8:$Y$17, E$2+4,FALSE),""))))</f>
        <v>4</v>
      </c>
      <c r="F29" s="852">
        <f>IF(COUNTIF('R2_G1'!$A$8:$A$17,$A29)=1,VLOOKUP($A29,'R2_G1'!$A$8:$Y$17, F$2+4,FALSE),IF(COUNTIF('R2_G2'!$A$8:$A$17,$A29)=1,VLOOKUP($A29,'R2_G2'!$A$8:$Y$17, F$2+4,FALSE),IF(COUNTIF('R2_G3'!$A$8:$A$17,$A29)=1,VLOOKUP($A29,'R2_G3'!$A$8:$Y$17, F$2+4,FALSE),IF(COUNTIF('R2_G4'!$A$8:$A$17,$A29)=1,VLOOKUP($A29,'R2_G4'!$A$8:$Y$17, F$2+4,FALSE),""))))</f>
        <v>5</v>
      </c>
      <c r="G29" s="852">
        <f>IF(COUNTIF('R2_G1'!$A$8:$A$17,$A29)=1,VLOOKUP($A29,'R2_G1'!$A$8:$Y$17, G$2+4,FALSE),IF(COUNTIF('R2_G2'!$A$8:$A$17,$A29)=1,VLOOKUP($A29,'R2_G2'!$A$8:$Y$17, G$2+4,FALSE),IF(COUNTIF('R2_G3'!$A$8:$A$17,$A29)=1,VLOOKUP($A29,'R2_G3'!$A$8:$Y$17, G$2+4,FALSE),IF(COUNTIF('R2_G4'!$A$8:$A$17,$A29)=1,VLOOKUP($A29,'R2_G4'!$A$8:$Y$17, G$2+4,FALSE),""))))</f>
        <v>5</v>
      </c>
      <c r="H29" s="852">
        <f>IF(COUNTIF('R2_G1'!$A$8:$A$17,$A29)=1,VLOOKUP($A29,'R2_G1'!$A$8:$Y$17, H$2+4,FALSE),IF(COUNTIF('R2_G2'!$A$8:$A$17,$A29)=1,VLOOKUP($A29,'R2_G2'!$A$8:$Y$17, H$2+4,FALSE),IF(COUNTIF('R2_G3'!$A$8:$A$17,$A29)=1,VLOOKUP($A29,'R2_G3'!$A$8:$Y$17, H$2+4,FALSE),IF(COUNTIF('R2_G4'!$A$8:$A$17,$A29)=1,VLOOKUP($A29,'R2_G4'!$A$8:$Y$17, H$2+4,FALSE),""))))</f>
        <v>4</v>
      </c>
      <c r="I29" s="852">
        <f>IF(COUNTIF('R2_G1'!$A$8:$A$17,$A29)=1,VLOOKUP($A29,'R2_G1'!$A$8:$Y$17, I$2+4,FALSE),IF(COUNTIF('R2_G2'!$A$8:$A$17,$A29)=1,VLOOKUP($A29,'R2_G2'!$A$8:$Y$17, I$2+4,FALSE),IF(COUNTIF('R2_G3'!$A$8:$A$17,$A29)=1,VLOOKUP($A29,'R2_G3'!$A$8:$Y$17, I$2+4,FALSE),IF(COUNTIF('R2_G4'!$A$8:$A$17,$A29)=1,VLOOKUP($A29,'R2_G4'!$A$8:$Y$17, I$2+4,FALSE),""))))</f>
        <v>3</v>
      </c>
      <c r="J29" s="852">
        <f>IF(COUNTIF('R2_G1'!$A$8:$A$17,$A29)=1,VLOOKUP($A29,'R2_G1'!$A$8:$Y$17, J$2+4,FALSE),IF(COUNTIF('R2_G2'!$A$8:$A$17,$A29)=1,VLOOKUP($A29,'R2_G2'!$A$8:$Y$17, J$2+4,FALSE),IF(COUNTIF('R2_G3'!$A$8:$A$17,$A29)=1,VLOOKUP($A29,'R2_G3'!$A$8:$Y$17, J$2+4,FALSE),IF(COUNTIF('R2_G4'!$A$8:$A$17,$A29)=1,VLOOKUP($A29,'R2_G4'!$A$8:$Y$17, J$2+4,FALSE),""))))</f>
        <v>4</v>
      </c>
      <c r="K29" s="852">
        <f>IF(COUNTIF('R2_G1'!$A$8:$A$17,$A29)=1,VLOOKUP($A29,'R2_G1'!$A$8:$Y$17, K$2+4,FALSE),IF(COUNTIF('R2_G2'!$A$8:$A$17,$A29)=1,VLOOKUP($A29,'R2_G2'!$A$8:$Y$17, K$2+4,FALSE),IF(COUNTIF('R2_G3'!$A$8:$A$17,$A29)=1,VLOOKUP($A29,'R2_G3'!$A$8:$Y$17, K$2+4,FALSE),IF(COUNTIF('R2_G4'!$A$8:$A$17,$A29)=1,VLOOKUP($A29,'R2_G4'!$A$8:$Y$17, K$2+4,FALSE),""))))</f>
        <v>3</v>
      </c>
      <c r="L29" s="852">
        <f>IF(COUNTIF('R2_G1'!$A$8:$A$17,$A29)=1,VLOOKUP($A29,'R2_G1'!$A$8:$Y$17, L$2+4,FALSE),IF(COUNTIF('R2_G2'!$A$8:$A$17,$A29)=1,VLOOKUP($A29,'R2_G2'!$A$8:$Y$17, L$2+4,FALSE),IF(COUNTIF('R2_G3'!$A$8:$A$17,$A29)=1,VLOOKUP($A29,'R2_G3'!$A$8:$Y$17, L$2+4,FALSE),IF(COUNTIF('R2_G4'!$A$8:$A$17,$A29)=1,VLOOKUP($A29,'R2_G4'!$A$8:$Y$17, L$2+4,FALSE),""))))</f>
        <v>5</v>
      </c>
      <c r="M29" s="852">
        <f>IF(COUNTIF('R2_G1'!$A$8:$A$17,$A29)=1,VLOOKUP($A29,'R2_G1'!$A$8:$Y$17, M$2+4,FALSE),IF(COUNTIF('R2_G2'!$A$8:$A$17,$A29)=1,VLOOKUP($A29,'R2_G2'!$A$8:$Y$17, M$2+4,FALSE),IF(COUNTIF('R2_G3'!$A$8:$A$17,$A29)=1,VLOOKUP($A29,'R2_G3'!$A$8:$Y$17, M$2+4,FALSE),IF(COUNTIF('R2_G4'!$A$8:$A$17,$A29)=1,VLOOKUP($A29,'R2_G4'!$A$8:$Y$17, M$2+4,FALSE),""))))</f>
        <v>3</v>
      </c>
      <c r="N29" s="853">
        <f>IF(COUNTIF('R2_G1'!$A$8:$A$17,$A29)=1,VLOOKUP($A29,'R2_G1'!$A$8:$Y$17, N$2+7,FALSE),IF(COUNTIF('R2_G2'!$A$8:$A$17,$A29)=1,VLOOKUP($A29,'R2_G2'!$A$8:$Y$17, N$2+7,FALSE),IF(COUNTIF('R2_G3'!$A$8:$A$17,$A29)=1,VLOOKUP($A29,'R2_G3'!$A$8:$Y$17, N$2+7,FALSE),IF(COUNTIF('R2_G4'!$A$8:$A$17,$A29)=1,VLOOKUP($A29,'R2_G4'!$A$8:$Y$17, N$2+7,FALSE),""))))</f>
        <v>5</v>
      </c>
      <c r="O29" s="853">
        <f>IF(COUNTIF('R2_G1'!$A$8:$A$17,$A29)=1,VLOOKUP($A29,'R2_G1'!$A$8:$Y$17, O$2+7,FALSE),IF(COUNTIF('R2_G2'!$A$8:$A$17,$A29)=1,VLOOKUP($A29,'R2_G2'!$A$8:$Y$17, O$2+7,FALSE),IF(COUNTIF('R2_G3'!$A$8:$A$17,$A29)=1,VLOOKUP($A29,'R2_G3'!$A$8:$Y$17, O$2+7,FALSE),IF(COUNTIF('R2_G4'!$A$8:$A$17,$A29)=1,VLOOKUP($A29,'R2_G4'!$A$8:$Y$17, O$2+7,FALSE),""))))</f>
        <v>6</v>
      </c>
      <c r="P29" s="853">
        <f>IF(COUNTIF('R2_G1'!$A$8:$A$17,$A29)=1,VLOOKUP($A29,'R2_G1'!$A$8:$Y$17, P$2+7,FALSE),IF(COUNTIF('R2_G2'!$A$8:$A$17,$A29)=1,VLOOKUP($A29,'R2_G2'!$A$8:$Y$17, P$2+7,FALSE),IF(COUNTIF('R2_G3'!$A$8:$A$17,$A29)=1,VLOOKUP($A29,'R2_G3'!$A$8:$Y$17, P$2+7,FALSE),IF(COUNTIF('R2_G4'!$A$8:$A$17,$A29)=1,VLOOKUP($A29,'R2_G4'!$A$8:$Y$17, P$2+7,FALSE),""))))</f>
        <v>4</v>
      </c>
      <c r="Q29" s="853">
        <f>IF(COUNTIF('R2_G1'!$A$8:$A$17,$A29)=1,VLOOKUP($A29,'R2_G1'!$A$8:$Y$17, Q$2+7,FALSE),IF(COUNTIF('R2_G2'!$A$8:$A$17,$A29)=1,VLOOKUP($A29,'R2_G2'!$A$8:$Y$17, Q$2+7,FALSE),IF(COUNTIF('R2_G3'!$A$8:$A$17,$A29)=1,VLOOKUP($A29,'R2_G3'!$A$8:$Y$17, Q$2+7,FALSE),IF(COUNTIF('R2_G4'!$A$8:$A$17,$A29)=1,VLOOKUP($A29,'R2_G4'!$A$8:$Y$17, Q$2+7,FALSE),""))))</f>
        <v>4</v>
      </c>
      <c r="R29" s="853">
        <f>IF(COUNTIF('R2_G1'!$A$8:$A$17,$A29)=1,VLOOKUP($A29,'R2_G1'!$A$8:$Y$17, R$2+7,FALSE),IF(COUNTIF('R2_G2'!$A$8:$A$17,$A29)=1,VLOOKUP($A29,'R2_G2'!$A$8:$Y$17, R$2+7,FALSE),IF(COUNTIF('R2_G3'!$A$8:$A$17,$A29)=1,VLOOKUP($A29,'R2_G3'!$A$8:$Y$17, R$2+7,FALSE),IF(COUNTIF('R2_G4'!$A$8:$A$17,$A29)=1,VLOOKUP($A29,'R2_G4'!$A$8:$Y$17, R$2+7,FALSE),""))))</f>
        <v>3</v>
      </c>
      <c r="S29" s="853">
        <f>IF(COUNTIF('R2_G1'!$A$8:$A$17,$A29)=1,VLOOKUP($A29,'R2_G1'!$A$8:$Y$17, S$2+7,FALSE),IF(COUNTIF('R2_G2'!$A$8:$A$17,$A29)=1,VLOOKUP($A29,'R2_G2'!$A$8:$Y$17, S$2+7,FALSE),IF(COUNTIF('R2_G3'!$A$8:$A$17,$A29)=1,VLOOKUP($A29,'R2_G3'!$A$8:$Y$17, S$2+7,FALSE),IF(COUNTIF('R2_G4'!$A$8:$A$17,$A29)=1,VLOOKUP($A29,'R2_G4'!$A$8:$Y$17, S$2+7,FALSE),""))))</f>
        <v>5</v>
      </c>
      <c r="T29" s="853">
        <f>IF(COUNTIF('R2_G1'!$A$8:$A$17,$A29)=1,VLOOKUP($A29,'R2_G1'!$A$8:$Y$17, T$2+7,FALSE),IF(COUNTIF('R2_G2'!$A$8:$A$17,$A29)=1,VLOOKUP($A29,'R2_G2'!$A$8:$Y$17, T$2+7,FALSE),IF(COUNTIF('R2_G3'!$A$8:$A$17,$A29)=1,VLOOKUP($A29,'R2_G3'!$A$8:$Y$17, T$2+7,FALSE),IF(COUNTIF('R2_G4'!$A$8:$A$17,$A29)=1,VLOOKUP($A29,'R2_G4'!$A$8:$Y$17, T$2+7,FALSE),""))))</f>
        <v>4</v>
      </c>
      <c r="U29" s="853">
        <f>IF(COUNTIF('R2_G1'!$A$8:$A$17,$A29)=1,VLOOKUP($A29,'R2_G1'!$A$8:$Y$17, U$2+7,FALSE),IF(COUNTIF('R2_G2'!$A$8:$A$17,$A29)=1,VLOOKUP($A29,'R2_G2'!$A$8:$Y$17, U$2+7,FALSE),IF(COUNTIF('R2_G3'!$A$8:$A$17,$A29)=1,VLOOKUP($A29,'R2_G3'!$A$8:$Y$17, U$2+7,FALSE),IF(COUNTIF('R2_G4'!$A$8:$A$17,$A29)=1,VLOOKUP($A29,'R2_G4'!$A$8:$Y$17, U$2+7,FALSE),""))))</f>
        <v>4</v>
      </c>
      <c r="V29" s="853">
        <f>IF(COUNTIF('R2_G1'!$A$8:$A$17,$A29)=1,VLOOKUP($A29,'R2_G1'!$A$8:$Y$17, V$2+7,FALSE),IF(COUNTIF('R2_G2'!$A$8:$A$17,$A29)=1,VLOOKUP($A29,'R2_G2'!$A$8:$Y$17, V$2+7,FALSE),IF(COUNTIF('R2_G3'!$A$8:$A$17,$A29)=1,VLOOKUP($A29,'R2_G3'!$A$8:$Y$17, V$2+7,FALSE),IF(COUNTIF('R2_G4'!$A$8:$A$17,$A29)=1,VLOOKUP($A29,'R2_G4'!$A$8:$Y$17, V$2+7,FALSE),""))))</f>
        <v>4</v>
      </c>
      <c r="W29" s="852">
        <f t="shared" si="37"/>
        <v>36</v>
      </c>
      <c r="X29" s="852">
        <f t="shared" si="38"/>
        <v>39</v>
      </c>
      <c r="Y29" s="852">
        <f t="shared" ref="Y29:Y44" si="43">IF(COUNT(E29:V29)=18,W29+X29,"")</f>
        <v>75</v>
      </c>
      <c r="Z29" s="852">
        <f t="shared" ref="Z29:Z44" ca="1" si="44">IF(Y29="","",IF(V29="","",Y29-B29))</f>
        <v>69</v>
      </c>
      <c r="AA29" s="852">
        <f t="shared" ref="AA29:AA44" si="45">Y29</f>
        <v>75</v>
      </c>
      <c r="AB29" s="896"/>
      <c r="AC29" s="849" t="str">
        <f t="shared" ref="AC29:AC44" si="46">A29</f>
        <v>Telly</v>
      </c>
      <c r="AD29" s="850">
        <f ca="1">VLOOKUP(AC29,'Master Input'!$A$11:$L$27,8,FALSE)</f>
        <v>6</v>
      </c>
      <c r="AE29" s="849" t="s">
        <v>198</v>
      </c>
      <c r="AF29" s="851"/>
      <c r="AG29" s="852">
        <f t="shared" ref="AG29:AX29" ca="1" si="47">IF(E29="","",E29-IF($B29&gt;0,FLOOR($B29/18,1),0)-IF(AND(MOD($B29,18)&gt;=E$27,$B29&gt;0),1,0)+IF(E$27-18&gt;$B29,1,0))</f>
        <v>4</v>
      </c>
      <c r="AH29" s="852">
        <f t="shared" ca="1" si="47"/>
        <v>4</v>
      </c>
      <c r="AI29" s="852">
        <f t="shared" ca="1" si="47"/>
        <v>4</v>
      </c>
      <c r="AJ29" s="852">
        <f t="shared" ca="1" si="47"/>
        <v>4</v>
      </c>
      <c r="AK29" s="852">
        <f t="shared" ca="1" si="47"/>
        <v>3</v>
      </c>
      <c r="AL29" s="852">
        <f t="shared" ca="1" si="47"/>
        <v>3</v>
      </c>
      <c r="AM29" s="852">
        <f t="shared" ca="1" si="47"/>
        <v>3</v>
      </c>
      <c r="AN29" s="852">
        <f t="shared" ca="1" si="47"/>
        <v>5</v>
      </c>
      <c r="AO29" s="852">
        <f t="shared" ca="1" si="47"/>
        <v>3</v>
      </c>
      <c r="AP29" s="853">
        <f t="shared" ca="1" si="47"/>
        <v>4</v>
      </c>
      <c r="AQ29" s="853">
        <f t="shared" ca="1" si="47"/>
        <v>5</v>
      </c>
      <c r="AR29" s="853">
        <f t="shared" ca="1" si="47"/>
        <v>4</v>
      </c>
      <c r="AS29" s="853">
        <f t="shared" ca="1" si="47"/>
        <v>4</v>
      </c>
      <c r="AT29" s="853">
        <f t="shared" ca="1" si="47"/>
        <v>3</v>
      </c>
      <c r="AU29" s="853">
        <f t="shared" ca="1" si="47"/>
        <v>5</v>
      </c>
      <c r="AV29" s="853">
        <f t="shared" ca="1" si="47"/>
        <v>4</v>
      </c>
      <c r="AW29" s="853">
        <f t="shared" ca="1" si="47"/>
        <v>4</v>
      </c>
      <c r="AX29" s="853">
        <f t="shared" ca="1" si="47"/>
        <v>3</v>
      </c>
      <c r="AY29" s="852">
        <f t="shared" ca="1" si="40"/>
        <v>33</v>
      </c>
      <c r="AZ29" s="852">
        <f t="shared" ca="1" si="41"/>
        <v>36</v>
      </c>
      <c r="BA29" s="852">
        <f t="shared" ref="BA29:BA44" ca="1" si="48">IF(COUNT(AG29:AX29)=18,AY29+AZ29,"")</f>
        <v>69</v>
      </c>
      <c r="BB29" s="849" t="str">
        <f ca="1">IF(COUNTIF('R2_G1'!$A$8:$A$17,$A29)=1, IF(AND(BA29=Z29,BA29=VLOOKUP($A29,'R2_G1'!$A$8:$AB$17, 28,FALSE)),"yes","no"),
IF(COUNTIF('R2_G2'!$A$8:$A$17,$A29)=1, IF(AND(BA29=Z29,BA29=VLOOKUP($A29,'R2_G2'!$A$8:$AB$17, 28,FALSE)),"yes","no"),
IF(COUNTIF('R2_G3'!$A$8:$A$17,$A29)=1, IF(AND(BA29=Z29,BA29=VLOOKUP($A29,'R2_G3'!$A$8:$AB$17, 28,FALSE)),"yes","no"),
IF(COUNTIF('R2_G4'!$A$8:$A$17,$A29)=1, IF(AND(BA29=Z29,BA29=VLOOKUP($A29,'R2_G4'!$A$8:$AB$17, 28,FALSE)),"yes","no"),
"?"))))</f>
        <v>yes</v>
      </c>
      <c r="BC29" s="896"/>
      <c r="BD29" s="862">
        <f t="shared" ref="BD29:BD44" ca="1" si="49">IF(AG29&lt;AG$28,1,IF(AG29=AG$28,0.5,0))+
IF(AH29&lt;AH$28,1,IF(AH29=AH$28,0.5,0))+
IF(AI29&lt;AI$28,1,IF(AI29=AI$28,0.5,0))+
IF(AJ29&lt;AJ$28,1,IF(AJ29=AJ$28,0.5,0))+
IF(AK29&lt;AK$28,1,IF(AK29=AK$28,0.5,0))+
IF(AL29&lt;AL$28,1,IF(AL29=AL$28,0.5,0))+
IF(AM29&lt;AM$28,1,IF(AM29=AM$28,0.5,0))+
IF(AN29&lt;AN$28,1,IF(AN29=AN$28,0.5,0))+
IF(AO29&lt;AO$28,1,IF(AO29=AO$28,0.5,0))+
IF(AP29&lt;AP$28,1,IF(AP29=AP$28,0.5,0))+
IF(AQ29&lt;AQ$28,1,IF(AQ29=AQ$28,0.5,0))+
IF(AR29&lt;AR$28,1,IF(AR29=AR$28,0.5,0))+
IF(AS29&lt;AS$28,1,IF(AS29=AS$28,0.5,0))+
IF(AT29&lt;AT$28,1,IF(AT29=AT$28,0.5,0))+
IF(AU29&lt;AU$28,1,IF(AU29=AU$28,0.5,0))+
IF(AV29&lt;AV$28,1,IF(AV29=AV$28,0.5,0))+
IF(AW29&lt;AW$28,1,IF(AW29=AW$28,0.5,0))+
IF(AX29&lt;AX$28,1,IF(AX29=AX$28,0.5,0))</f>
        <v>10</v>
      </c>
      <c r="BE29" s="855">
        <f t="shared" ref="BE29:BE44" ca="1" si="50">(RANK(AG29,$AG$29:$AG$44,0)-1)/15+(COUNTIF($AG$29:$AG$44,AG29)-1)/30+
(RANK(AH29,$AH$29:$AH$44,0)-1)/15+(COUNTIF($AH$29:$AH$44,AH29)-1)/30+
(RANK(AI29,$AI$29:$AI$44,0)-1)/15+(COUNTIF($AI$29:$AI$44,AI29)-1)/30+
(RANK(AJ29,$AJ$29:$AJ$44,0)-1)/15+(COUNTIF($AJ$29:$AJ$44,AJ29)-1)/30+
(RANK(AK29,$AK$29:$AK$44,0)-1)/15+(COUNTIF($AK$29:$AK$44,AK29)-1)/30+
(RANK(AL29,$AL$29:$AL$44,0)-1)/15+(COUNTIF($AL$29:$AL$44,AL29)-1)/30+
(RANK(AM29,$AM$29:$AM$44,0)-1)/15+(COUNTIF($AM$29:$AM$44,AM29)-1)/30+
(RANK(AN29,$AN$29:$AN$44,0)-1)/15+(COUNTIF($AN$29:$AN$44,AN29)-1)/30+
(RANK(AO29,$AO$29:$AO$44,0)-1)/15+(COUNTIF($AO$29:$AO$44,AO29)-1)/30+
(RANK(AP29,$AP$29:$AP$44,0)-1)/15+(COUNTIF($AP$29:$AP$44,AP29)-1)/30+
(RANK(AQ29,$AQ$29:$AQ$44,0)-1)/15+(COUNTIF($AQ$29:$AQ$44,AQ29)-1)/30+
(RANK(AR29,$AR$29:$AR$44,0)-1)/15+(COUNTIF($AR$29:$AR$44,AR29)-1)/30+
(RANK(AS29,$AS$29:$AS$44,0)-1)/15+(COUNTIF($AS$29:$AS$44,AS29)-1)/30+
(RANK(AT29,$AT$29:$AT$44,0)-1)/15+(COUNTIF($AT$29:$AT$44,AT29)-1)/30+
(RANK(AU29,$AU$29:$AU$44,0)-1)/15+(COUNTIF($AU$29:$AU$44,AU29)-1)/30+
(RANK(AV29,$AV$29:$AV$44,0)-1)/15+(COUNTIF($AV$29:$AV$44,AV29)-1)/30+
(RANK(AW29,$AW$29:$AW$44,0)-1)/15+(COUNTIF($AW$29:$AW$44,AW29)-1)/30+
(RANK(AX29,$AX$29:$AX$44,0)-1)/15+(COUNTIF($AX$29:$AX$44,AX29)-1)/30</f>
        <v>11.233333333333333</v>
      </c>
      <c r="BF29" s="855">
        <f t="shared" ref="BF29:BF44" ca="1" si="51">COUNTIFS($AG$28:$AX$28,3,$AG29:$AX29,"&lt;=1")
+COUNTIFS($AG$28:$AX$28,4,$AG29:$AX29,"&lt;=2")
+COUNTIFS($AG$28:$AX$28,5,$AG29:$AX29,"&lt;=3")</f>
        <v>1</v>
      </c>
      <c r="BG29" s="855">
        <f t="shared" ref="BG29:BG44" ca="1" si="52">COUNTIFS($AG$28:$AX$28,3,$AG29:$AX29,2)
+COUNTIFS($AG$28:$AX$28,4,$AG29:$AX29,3)
+COUNTIFS($AG$28:$AX$28,5,$AG29:$AX29,4)</f>
        <v>3</v>
      </c>
      <c r="BH29" s="855">
        <f t="shared" ref="BH29:BH44" ca="1" si="53">COUNTIFS($AG$28:$AX$28,3,$AG29:$AX29,3)
+COUNTIFS($AG$28:$AX$28,4,$AG29:$AX29,4)
+COUNTIFS($AG$28:$AX$28,5,$AG29:$AX29,5)</f>
        <v>12</v>
      </c>
      <c r="BI29" s="855">
        <f t="shared" ref="BI29:BI44" ca="1" si="54">COUNTIFS($AG$28:$AX$28,3,$AG29:$AX29,4)
+COUNTIFS($AG$28:$AX$28,4,$AG29:$AX29,5)
+COUNTIFS($AG$28:$AX$28,5,$AG29:$AX29,6)</f>
        <v>2</v>
      </c>
      <c r="BJ29" s="855">
        <f t="shared" ref="BJ29:BJ44" ca="1" si="55">COUNTIFS($AG$28:$AX$28,3,$AG29:$AX29,"&gt;=5")
+COUNTIFS($AG$28:$AX$28,4,$AG29:$AX29,"&gt;=6")
+COUNTIFS($AG$28:$AX$28,5,$AG29:$AX29,"&gt;=7")</f>
        <v>0</v>
      </c>
    </row>
    <row r="30" spans="1:62" ht="14.25" customHeight="1">
      <c r="A30" s="857" t="str">
        <f t="shared" si="42"/>
        <v>KJ</v>
      </c>
      <c r="B30" s="858">
        <f ca="1">VLOOKUP(A30,'Master Input'!$A$11:$L$27,8,FALSE)</f>
        <v>6</v>
      </c>
      <c r="C30" s="857"/>
      <c r="D30" s="851"/>
      <c r="E30" s="859">
        <f>IF(COUNTIF('R2_G1'!$A$8:$A$17,$A30)=1,VLOOKUP($A30,'R2_G1'!$A$8:$Y$17, E$2+4,FALSE),IF(COUNTIF('R2_G2'!$A$8:$A$17,$A30)=1,VLOOKUP($A30,'R2_G2'!$A$8:$Y$17, E$2+4,FALSE),IF(COUNTIF('R2_G3'!$A$8:$A$17,$A30)=1,VLOOKUP($A30,'R2_G3'!$A$8:$Y$17, E$2+4,FALSE),IF(COUNTIF('R2_G4'!$A$8:$A$17,$A30)=1,VLOOKUP($A30,'R2_G4'!$A$8:$Y$17, E$2+4,FALSE),""))))</f>
        <v>5</v>
      </c>
      <c r="F30" s="859">
        <f>IF(COUNTIF('R2_G1'!$A$8:$A$17,$A30)=1,VLOOKUP($A30,'R2_G1'!$A$8:$Y$17, F$2+4,FALSE),IF(COUNTIF('R2_G2'!$A$8:$A$17,$A30)=1,VLOOKUP($A30,'R2_G2'!$A$8:$Y$17, F$2+4,FALSE),IF(COUNTIF('R2_G3'!$A$8:$A$17,$A30)=1,VLOOKUP($A30,'R2_G3'!$A$8:$Y$17, F$2+4,FALSE),IF(COUNTIF('R2_G4'!$A$8:$A$17,$A30)=1,VLOOKUP($A30,'R2_G4'!$A$8:$Y$17, F$2+4,FALSE),""))))</f>
        <v>4</v>
      </c>
      <c r="G30" s="859">
        <f>IF(COUNTIF('R2_G1'!$A$8:$A$17,$A30)=1,VLOOKUP($A30,'R2_G1'!$A$8:$Y$17, G$2+4,FALSE),IF(COUNTIF('R2_G2'!$A$8:$A$17,$A30)=1,VLOOKUP($A30,'R2_G2'!$A$8:$Y$17, G$2+4,FALSE),IF(COUNTIF('R2_G3'!$A$8:$A$17,$A30)=1,VLOOKUP($A30,'R2_G3'!$A$8:$Y$17, G$2+4,FALSE),IF(COUNTIF('R2_G4'!$A$8:$A$17,$A30)=1,VLOOKUP($A30,'R2_G4'!$A$8:$Y$17, G$2+4,FALSE),""))))</f>
        <v>4</v>
      </c>
      <c r="H30" s="859">
        <f>IF(COUNTIF('R2_G1'!$A$8:$A$17,$A30)=1,VLOOKUP($A30,'R2_G1'!$A$8:$Y$17, H$2+4,FALSE),IF(COUNTIF('R2_G2'!$A$8:$A$17,$A30)=1,VLOOKUP($A30,'R2_G2'!$A$8:$Y$17, H$2+4,FALSE),IF(COUNTIF('R2_G3'!$A$8:$A$17,$A30)=1,VLOOKUP($A30,'R2_G3'!$A$8:$Y$17, H$2+4,FALSE),IF(COUNTIF('R2_G4'!$A$8:$A$17,$A30)=1,VLOOKUP($A30,'R2_G4'!$A$8:$Y$17, H$2+4,FALSE),""))))</f>
        <v>6</v>
      </c>
      <c r="I30" s="859">
        <f>IF(COUNTIF('R2_G1'!$A$8:$A$17,$A30)=1,VLOOKUP($A30,'R2_G1'!$A$8:$Y$17, I$2+4,FALSE),IF(COUNTIF('R2_G2'!$A$8:$A$17,$A30)=1,VLOOKUP($A30,'R2_G2'!$A$8:$Y$17, I$2+4,FALSE),IF(COUNTIF('R2_G3'!$A$8:$A$17,$A30)=1,VLOOKUP($A30,'R2_G3'!$A$8:$Y$17, I$2+4,FALSE),IF(COUNTIF('R2_G4'!$A$8:$A$17,$A30)=1,VLOOKUP($A30,'R2_G4'!$A$8:$Y$17, I$2+4,FALSE),""))))</f>
        <v>3</v>
      </c>
      <c r="J30" s="859">
        <f>IF(COUNTIF('R2_G1'!$A$8:$A$17,$A30)=1,VLOOKUP($A30,'R2_G1'!$A$8:$Y$17, J$2+4,FALSE),IF(COUNTIF('R2_G2'!$A$8:$A$17,$A30)=1,VLOOKUP($A30,'R2_G2'!$A$8:$Y$17, J$2+4,FALSE),IF(COUNTIF('R2_G3'!$A$8:$A$17,$A30)=1,VLOOKUP($A30,'R2_G3'!$A$8:$Y$17, J$2+4,FALSE),IF(COUNTIF('R2_G4'!$A$8:$A$17,$A30)=1,VLOOKUP($A30,'R2_G4'!$A$8:$Y$17, J$2+4,FALSE),""))))</f>
        <v>4</v>
      </c>
      <c r="K30" s="859">
        <f>IF(COUNTIF('R2_G1'!$A$8:$A$17,$A30)=1,VLOOKUP($A30,'R2_G1'!$A$8:$Y$17, K$2+4,FALSE),IF(COUNTIF('R2_G2'!$A$8:$A$17,$A30)=1,VLOOKUP($A30,'R2_G2'!$A$8:$Y$17, K$2+4,FALSE),IF(COUNTIF('R2_G3'!$A$8:$A$17,$A30)=1,VLOOKUP($A30,'R2_G3'!$A$8:$Y$17, K$2+4,FALSE),IF(COUNTIF('R2_G4'!$A$8:$A$17,$A30)=1,VLOOKUP($A30,'R2_G4'!$A$8:$Y$17, K$2+4,FALSE),""))))</f>
        <v>6</v>
      </c>
      <c r="L30" s="859">
        <f>IF(COUNTIF('R2_G1'!$A$8:$A$17,$A30)=1,VLOOKUP($A30,'R2_G1'!$A$8:$Y$17, L$2+4,FALSE),IF(COUNTIF('R2_G2'!$A$8:$A$17,$A30)=1,VLOOKUP($A30,'R2_G2'!$A$8:$Y$17, L$2+4,FALSE),IF(COUNTIF('R2_G3'!$A$8:$A$17,$A30)=1,VLOOKUP($A30,'R2_G3'!$A$8:$Y$17, L$2+4,FALSE),IF(COUNTIF('R2_G4'!$A$8:$A$17,$A30)=1,VLOOKUP($A30,'R2_G4'!$A$8:$Y$17, L$2+4,FALSE),""))))</f>
        <v>5</v>
      </c>
      <c r="M30" s="859">
        <f>IF(COUNTIF('R2_G1'!$A$8:$A$17,$A30)=1,VLOOKUP($A30,'R2_G1'!$A$8:$Y$17, M$2+4,FALSE),IF(COUNTIF('R2_G2'!$A$8:$A$17,$A30)=1,VLOOKUP($A30,'R2_G2'!$A$8:$Y$17, M$2+4,FALSE),IF(COUNTIF('R2_G3'!$A$8:$A$17,$A30)=1,VLOOKUP($A30,'R2_G3'!$A$8:$Y$17, M$2+4,FALSE),IF(COUNTIF('R2_G4'!$A$8:$A$17,$A30)=1,VLOOKUP($A30,'R2_G4'!$A$8:$Y$17, M$2+4,FALSE),""))))</f>
        <v>4</v>
      </c>
      <c r="N30" s="852">
        <f>IF(COUNTIF('R2_G1'!$A$8:$A$17,$A30)=1,VLOOKUP($A30,'R2_G1'!$A$8:$Y$17, N$2+7,FALSE),IF(COUNTIF('R2_G2'!$A$8:$A$17,$A30)=1,VLOOKUP($A30,'R2_G2'!$A$8:$Y$17, N$2+7,FALSE),IF(COUNTIF('R2_G3'!$A$8:$A$17,$A30)=1,VLOOKUP($A30,'R2_G3'!$A$8:$Y$17, N$2+7,FALSE),IF(COUNTIF('R2_G4'!$A$8:$A$17,$A30)=1,VLOOKUP($A30,'R2_G4'!$A$8:$Y$17, N$2+7,FALSE),""))))</f>
        <v>4</v>
      </c>
      <c r="O30" s="852">
        <f>IF(COUNTIF('R2_G1'!$A$8:$A$17,$A30)=1,VLOOKUP($A30,'R2_G1'!$A$8:$Y$17, O$2+7,FALSE),IF(COUNTIF('R2_G2'!$A$8:$A$17,$A30)=1,VLOOKUP($A30,'R2_G2'!$A$8:$Y$17, O$2+7,FALSE),IF(COUNTIF('R2_G3'!$A$8:$A$17,$A30)=1,VLOOKUP($A30,'R2_G3'!$A$8:$Y$17, O$2+7,FALSE),IF(COUNTIF('R2_G4'!$A$8:$A$17,$A30)=1,VLOOKUP($A30,'R2_G4'!$A$8:$Y$17, O$2+7,FALSE),""))))</f>
        <v>5</v>
      </c>
      <c r="P30" s="852">
        <f>IF(COUNTIF('R2_G1'!$A$8:$A$17,$A30)=1,VLOOKUP($A30,'R2_G1'!$A$8:$Y$17, P$2+7,FALSE),IF(COUNTIF('R2_G2'!$A$8:$A$17,$A30)=1,VLOOKUP($A30,'R2_G2'!$A$8:$Y$17, P$2+7,FALSE),IF(COUNTIF('R2_G3'!$A$8:$A$17,$A30)=1,VLOOKUP($A30,'R2_G3'!$A$8:$Y$17, P$2+7,FALSE),IF(COUNTIF('R2_G4'!$A$8:$A$17,$A30)=1,VLOOKUP($A30,'R2_G4'!$A$8:$Y$17, P$2+7,FALSE),""))))</f>
        <v>4</v>
      </c>
      <c r="Q30" s="852">
        <f>IF(COUNTIF('R2_G1'!$A$8:$A$17,$A30)=1,VLOOKUP($A30,'R2_G1'!$A$8:$Y$17, Q$2+7,FALSE),IF(COUNTIF('R2_G2'!$A$8:$A$17,$A30)=1,VLOOKUP($A30,'R2_G2'!$A$8:$Y$17, Q$2+7,FALSE),IF(COUNTIF('R2_G3'!$A$8:$A$17,$A30)=1,VLOOKUP($A30,'R2_G3'!$A$8:$Y$17, Q$2+7,FALSE),IF(COUNTIF('R2_G4'!$A$8:$A$17,$A30)=1,VLOOKUP($A30,'R2_G4'!$A$8:$Y$17, Q$2+7,FALSE),""))))</f>
        <v>4</v>
      </c>
      <c r="R30" s="852">
        <f>IF(COUNTIF('R2_G1'!$A$8:$A$17,$A30)=1,VLOOKUP($A30,'R2_G1'!$A$8:$Y$17, R$2+7,FALSE),IF(COUNTIF('R2_G2'!$A$8:$A$17,$A30)=1,VLOOKUP($A30,'R2_G2'!$A$8:$Y$17, R$2+7,FALSE),IF(COUNTIF('R2_G3'!$A$8:$A$17,$A30)=1,VLOOKUP($A30,'R2_G3'!$A$8:$Y$17, R$2+7,FALSE),IF(COUNTIF('R2_G4'!$A$8:$A$17,$A30)=1,VLOOKUP($A30,'R2_G4'!$A$8:$Y$17, R$2+7,FALSE),""))))</f>
        <v>4</v>
      </c>
      <c r="S30" s="852">
        <f>IF(COUNTIF('R2_G1'!$A$8:$A$17,$A30)=1,VLOOKUP($A30,'R2_G1'!$A$8:$Y$17, S$2+7,FALSE),IF(COUNTIF('R2_G2'!$A$8:$A$17,$A30)=1,VLOOKUP($A30,'R2_G2'!$A$8:$Y$17, S$2+7,FALSE),IF(COUNTIF('R2_G3'!$A$8:$A$17,$A30)=1,VLOOKUP($A30,'R2_G3'!$A$8:$Y$17, S$2+7,FALSE),IF(COUNTIF('R2_G4'!$A$8:$A$17,$A30)=1,VLOOKUP($A30,'R2_G4'!$A$8:$Y$17, S$2+7,FALSE),""))))</f>
        <v>4</v>
      </c>
      <c r="T30" s="852">
        <f>IF(COUNTIF('R2_G1'!$A$8:$A$17,$A30)=1,VLOOKUP($A30,'R2_G1'!$A$8:$Y$17, T$2+7,FALSE),IF(COUNTIF('R2_G2'!$A$8:$A$17,$A30)=1,VLOOKUP($A30,'R2_G2'!$A$8:$Y$17, T$2+7,FALSE),IF(COUNTIF('R2_G3'!$A$8:$A$17,$A30)=1,VLOOKUP($A30,'R2_G3'!$A$8:$Y$17, T$2+7,FALSE),IF(COUNTIF('R2_G4'!$A$8:$A$17,$A30)=1,VLOOKUP($A30,'R2_G4'!$A$8:$Y$17, T$2+7,FALSE),""))))</f>
        <v>6</v>
      </c>
      <c r="U30" s="852">
        <f>IF(COUNTIF('R2_G1'!$A$8:$A$17,$A30)=1,VLOOKUP($A30,'R2_G1'!$A$8:$Y$17, U$2+7,FALSE),IF(COUNTIF('R2_G2'!$A$8:$A$17,$A30)=1,VLOOKUP($A30,'R2_G2'!$A$8:$Y$17, U$2+7,FALSE),IF(COUNTIF('R2_G3'!$A$8:$A$17,$A30)=1,VLOOKUP($A30,'R2_G3'!$A$8:$Y$17, U$2+7,FALSE),IF(COUNTIF('R2_G4'!$A$8:$A$17,$A30)=1,VLOOKUP($A30,'R2_G4'!$A$8:$Y$17, U$2+7,FALSE),""))))</f>
        <v>4</v>
      </c>
      <c r="V30" s="852">
        <f>IF(COUNTIF('R2_G1'!$A$8:$A$17,$A30)=1,VLOOKUP($A30,'R2_G1'!$A$8:$Y$17, V$2+7,FALSE),IF(COUNTIF('R2_G2'!$A$8:$A$17,$A30)=1,VLOOKUP($A30,'R2_G2'!$A$8:$Y$17, V$2+7,FALSE),IF(COUNTIF('R2_G3'!$A$8:$A$17,$A30)=1,VLOOKUP($A30,'R2_G3'!$A$8:$Y$17, V$2+7,FALSE),IF(COUNTIF('R2_G4'!$A$8:$A$17,$A30)=1,VLOOKUP($A30,'R2_G4'!$A$8:$Y$17, V$2+7,FALSE),""))))</f>
        <v>4</v>
      </c>
      <c r="W30" s="859">
        <f t="shared" si="37"/>
        <v>41</v>
      </c>
      <c r="X30" s="859">
        <f t="shared" si="38"/>
        <v>39</v>
      </c>
      <c r="Y30" s="859">
        <f t="shared" si="43"/>
        <v>80</v>
      </c>
      <c r="Z30" s="859">
        <f t="shared" ca="1" si="44"/>
        <v>74</v>
      </c>
      <c r="AA30" s="859">
        <f t="shared" si="45"/>
        <v>80</v>
      </c>
      <c r="AB30" s="896"/>
      <c r="AC30" s="849" t="str">
        <f t="shared" si="46"/>
        <v>KJ</v>
      </c>
      <c r="AD30" s="858">
        <f ca="1">VLOOKUP(AC30,'Master Input'!$A$11:$L$27,8,FALSE)</f>
        <v>6</v>
      </c>
      <c r="AE30" s="857" t="s">
        <v>198</v>
      </c>
      <c r="AF30" s="832"/>
      <c r="AG30" s="859">
        <f t="shared" ref="AG30:AX30" ca="1" si="56">IF(E30="","",E30-IF($B30&gt;0,FLOOR($B30/18,1),0)-IF(AND(MOD($B30,18)&gt;=E$27,$B30&gt;0),1,0)+IF(E$27-18&gt;$B30,1,0))</f>
        <v>5</v>
      </c>
      <c r="AH30" s="859">
        <f t="shared" ca="1" si="56"/>
        <v>3</v>
      </c>
      <c r="AI30" s="859">
        <f t="shared" ca="1" si="56"/>
        <v>3</v>
      </c>
      <c r="AJ30" s="859">
        <f t="shared" ca="1" si="56"/>
        <v>6</v>
      </c>
      <c r="AK30" s="859">
        <f t="shared" ca="1" si="56"/>
        <v>3</v>
      </c>
      <c r="AL30" s="859">
        <f t="shared" ca="1" si="56"/>
        <v>3</v>
      </c>
      <c r="AM30" s="859">
        <f t="shared" ca="1" si="56"/>
        <v>6</v>
      </c>
      <c r="AN30" s="859">
        <f t="shared" ca="1" si="56"/>
        <v>5</v>
      </c>
      <c r="AO30" s="859">
        <f t="shared" ca="1" si="56"/>
        <v>4</v>
      </c>
      <c r="AP30" s="852">
        <f t="shared" ca="1" si="56"/>
        <v>3</v>
      </c>
      <c r="AQ30" s="852">
        <f t="shared" ca="1" si="56"/>
        <v>4</v>
      </c>
      <c r="AR30" s="852">
        <f t="shared" ca="1" si="56"/>
        <v>4</v>
      </c>
      <c r="AS30" s="852">
        <f t="shared" ca="1" si="56"/>
        <v>4</v>
      </c>
      <c r="AT30" s="852">
        <f t="shared" ca="1" si="56"/>
        <v>4</v>
      </c>
      <c r="AU30" s="852">
        <f t="shared" ca="1" si="56"/>
        <v>4</v>
      </c>
      <c r="AV30" s="852">
        <f t="shared" ca="1" si="56"/>
        <v>6</v>
      </c>
      <c r="AW30" s="852">
        <f t="shared" ca="1" si="56"/>
        <v>4</v>
      </c>
      <c r="AX30" s="852">
        <f t="shared" ca="1" si="56"/>
        <v>3</v>
      </c>
      <c r="AY30" s="859">
        <f t="shared" ca="1" si="40"/>
        <v>38</v>
      </c>
      <c r="AZ30" s="859">
        <f t="shared" ca="1" si="41"/>
        <v>36</v>
      </c>
      <c r="BA30" s="859">
        <f t="shared" ca="1" si="48"/>
        <v>74</v>
      </c>
      <c r="BB30" s="857" t="str">
        <f ca="1">IF(COUNTIF('R2_G1'!$A$8:$A$17,$A30)=1, IF(AND(BA30=Z30,BA30=VLOOKUP($A30,'R2_G1'!$A$8:$AB$17, 28,FALSE)),"yes","no"),
IF(COUNTIF('R2_G2'!$A$8:$A$17,$A30)=1, IF(AND(BA30=Z30,BA30=VLOOKUP($A30,'R2_G2'!$A$8:$AB$17, 28,FALSE)),"yes","no"),
IF(COUNTIF('R2_G3'!$A$8:$A$17,$A30)=1, IF(AND(BA30=Z30,BA30=VLOOKUP($A30,'R2_G3'!$A$8:$AB$17, 28,FALSE)),"yes","no"),
IF(COUNTIF('R2_G4'!$A$8:$A$17,$A30)=1, IF(AND(BA30=Z30,BA30=VLOOKUP($A30,'R2_G4'!$A$8:$AB$17, 28,FALSE)),"yes","no"),
"?"))))</f>
        <v>yes</v>
      </c>
      <c r="BC30" s="896"/>
      <c r="BD30" s="860">
        <f t="shared" ca="1" si="49"/>
        <v>8.5</v>
      </c>
      <c r="BE30" s="861">
        <f t="shared" ca="1" si="50"/>
        <v>10.033333333333333</v>
      </c>
      <c r="BF30" s="861">
        <f t="shared" ca="1" si="51"/>
        <v>2</v>
      </c>
      <c r="BG30" s="861">
        <f t="shared" ca="1" si="52"/>
        <v>4</v>
      </c>
      <c r="BH30" s="861">
        <f t="shared" ca="1" si="53"/>
        <v>5</v>
      </c>
      <c r="BI30" s="861">
        <f t="shared" ca="1" si="54"/>
        <v>4</v>
      </c>
      <c r="BJ30" s="861">
        <f t="shared" ca="1" si="55"/>
        <v>3</v>
      </c>
    </row>
    <row r="31" spans="1:62" ht="14.25" customHeight="1">
      <c r="A31" s="849" t="str">
        <f t="shared" si="42"/>
        <v>CuzNick</v>
      </c>
      <c r="B31" s="850">
        <f ca="1">VLOOKUP(A31,'Master Input'!$A$11:$L$27,8,FALSE)</f>
        <v>7</v>
      </c>
      <c r="C31" s="849"/>
      <c r="D31" s="851"/>
      <c r="E31" s="852">
        <f>IF(COUNTIF('R2_G1'!$A$8:$A$17,$A31)=1,VLOOKUP($A31,'R2_G1'!$A$8:$Y$17, E$2+4,FALSE),IF(COUNTIF('R2_G2'!$A$8:$A$17,$A31)=1,VLOOKUP($A31,'R2_G2'!$A$8:$Y$17, E$2+4,FALSE),IF(COUNTIF('R2_G3'!$A$8:$A$17,$A31)=1,VLOOKUP($A31,'R2_G3'!$A$8:$Y$17, E$2+4,FALSE),IF(COUNTIF('R2_G4'!$A$8:$A$17,$A31)=1,VLOOKUP($A31,'R2_G4'!$A$8:$Y$17, E$2+4,FALSE),""))))</f>
        <v>4</v>
      </c>
      <c r="F31" s="852">
        <f>IF(COUNTIF('R2_G1'!$A$8:$A$17,$A31)=1,VLOOKUP($A31,'R2_G1'!$A$8:$Y$17, F$2+4,FALSE),IF(COUNTIF('R2_G2'!$A$8:$A$17,$A31)=1,VLOOKUP($A31,'R2_G2'!$A$8:$Y$17, F$2+4,FALSE),IF(COUNTIF('R2_G3'!$A$8:$A$17,$A31)=1,VLOOKUP($A31,'R2_G3'!$A$8:$Y$17, F$2+4,FALSE),IF(COUNTIF('R2_G4'!$A$8:$A$17,$A31)=1,VLOOKUP($A31,'R2_G4'!$A$8:$Y$17, F$2+4,FALSE),""))))</f>
        <v>4</v>
      </c>
      <c r="G31" s="852">
        <f>IF(COUNTIF('R2_G1'!$A$8:$A$17,$A31)=1,VLOOKUP($A31,'R2_G1'!$A$8:$Y$17, G$2+4,FALSE),IF(COUNTIF('R2_G2'!$A$8:$A$17,$A31)=1,VLOOKUP($A31,'R2_G2'!$A$8:$Y$17, G$2+4,FALSE),IF(COUNTIF('R2_G3'!$A$8:$A$17,$A31)=1,VLOOKUP($A31,'R2_G3'!$A$8:$Y$17, G$2+4,FALSE),IF(COUNTIF('R2_G4'!$A$8:$A$17,$A31)=1,VLOOKUP($A31,'R2_G4'!$A$8:$Y$17, G$2+4,FALSE),""))))</f>
        <v>7</v>
      </c>
      <c r="H31" s="852">
        <f>IF(COUNTIF('R2_G1'!$A$8:$A$17,$A31)=1,VLOOKUP($A31,'R2_G1'!$A$8:$Y$17, H$2+4,FALSE),IF(COUNTIF('R2_G2'!$A$8:$A$17,$A31)=1,VLOOKUP($A31,'R2_G2'!$A$8:$Y$17, H$2+4,FALSE),IF(COUNTIF('R2_G3'!$A$8:$A$17,$A31)=1,VLOOKUP($A31,'R2_G3'!$A$8:$Y$17, H$2+4,FALSE),IF(COUNTIF('R2_G4'!$A$8:$A$17,$A31)=1,VLOOKUP($A31,'R2_G4'!$A$8:$Y$17, H$2+4,FALSE),""))))</f>
        <v>5</v>
      </c>
      <c r="I31" s="852">
        <f>IF(COUNTIF('R2_G1'!$A$8:$A$17,$A31)=1,VLOOKUP($A31,'R2_G1'!$A$8:$Y$17, I$2+4,FALSE),IF(COUNTIF('R2_G2'!$A$8:$A$17,$A31)=1,VLOOKUP($A31,'R2_G2'!$A$8:$Y$17, I$2+4,FALSE),IF(COUNTIF('R2_G3'!$A$8:$A$17,$A31)=1,VLOOKUP($A31,'R2_G3'!$A$8:$Y$17, I$2+4,FALSE),IF(COUNTIF('R2_G4'!$A$8:$A$17,$A31)=1,VLOOKUP($A31,'R2_G4'!$A$8:$Y$17, I$2+4,FALSE),""))))</f>
        <v>3</v>
      </c>
      <c r="J31" s="852">
        <f>IF(COUNTIF('R2_G1'!$A$8:$A$17,$A31)=1,VLOOKUP($A31,'R2_G1'!$A$8:$Y$17, J$2+4,FALSE),IF(COUNTIF('R2_G2'!$A$8:$A$17,$A31)=1,VLOOKUP($A31,'R2_G2'!$A$8:$Y$17, J$2+4,FALSE),IF(COUNTIF('R2_G3'!$A$8:$A$17,$A31)=1,VLOOKUP($A31,'R2_G3'!$A$8:$Y$17, J$2+4,FALSE),IF(COUNTIF('R2_G4'!$A$8:$A$17,$A31)=1,VLOOKUP($A31,'R2_G4'!$A$8:$Y$17, J$2+4,FALSE),""))))</f>
        <v>6</v>
      </c>
      <c r="K31" s="852">
        <f>IF(COUNTIF('R2_G1'!$A$8:$A$17,$A31)=1,VLOOKUP($A31,'R2_G1'!$A$8:$Y$17, K$2+4,FALSE),IF(COUNTIF('R2_G2'!$A$8:$A$17,$A31)=1,VLOOKUP($A31,'R2_G2'!$A$8:$Y$17, K$2+4,FALSE),IF(COUNTIF('R2_G3'!$A$8:$A$17,$A31)=1,VLOOKUP($A31,'R2_G3'!$A$8:$Y$17, K$2+4,FALSE),IF(COUNTIF('R2_G4'!$A$8:$A$17,$A31)=1,VLOOKUP($A31,'R2_G4'!$A$8:$Y$17, K$2+4,FALSE),""))))</f>
        <v>4</v>
      </c>
      <c r="L31" s="852">
        <f>IF(COUNTIF('R2_G1'!$A$8:$A$17,$A31)=1,VLOOKUP($A31,'R2_G1'!$A$8:$Y$17, L$2+4,FALSE),IF(COUNTIF('R2_G2'!$A$8:$A$17,$A31)=1,VLOOKUP($A31,'R2_G2'!$A$8:$Y$17, L$2+4,FALSE),IF(COUNTIF('R2_G3'!$A$8:$A$17,$A31)=1,VLOOKUP($A31,'R2_G3'!$A$8:$Y$17, L$2+4,FALSE),IF(COUNTIF('R2_G4'!$A$8:$A$17,$A31)=1,VLOOKUP($A31,'R2_G4'!$A$8:$Y$17, L$2+4,FALSE),""))))</f>
        <v>5</v>
      </c>
      <c r="M31" s="852">
        <f>IF(COUNTIF('R2_G1'!$A$8:$A$17,$A31)=1,VLOOKUP($A31,'R2_G1'!$A$8:$Y$17, M$2+4,FALSE),IF(COUNTIF('R2_G2'!$A$8:$A$17,$A31)=1,VLOOKUP($A31,'R2_G2'!$A$8:$Y$17, M$2+4,FALSE),IF(COUNTIF('R2_G3'!$A$8:$A$17,$A31)=1,VLOOKUP($A31,'R2_G3'!$A$8:$Y$17, M$2+4,FALSE),IF(COUNTIF('R2_G4'!$A$8:$A$17,$A31)=1,VLOOKUP($A31,'R2_G4'!$A$8:$Y$17, M$2+4,FALSE),""))))</f>
        <v>3</v>
      </c>
      <c r="N31" s="853">
        <f>IF(COUNTIF('R2_G1'!$A$8:$A$17,$A31)=1,VLOOKUP($A31,'R2_G1'!$A$8:$Y$17, N$2+7,FALSE),IF(COUNTIF('R2_G2'!$A$8:$A$17,$A31)=1,VLOOKUP($A31,'R2_G2'!$A$8:$Y$17, N$2+7,FALSE),IF(COUNTIF('R2_G3'!$A$8:$A$17,$A31)=1,VLOOKUP($A31,'R2_G3'!$A$8:$Y$17, N$2+7,FALSE),IF(COUNTIF('R2_G4'!$A$8:$A$17,$A31)=1,VLOOKUP($A31,'R2_G4'!$A$8:$Y$17, N$2+7,FALSE),""))))</f>
        <v>6</v>
      </c>
      <c r="O31" s="853">
        <f>IF(COUNTIF('R2_G1'!$A$8:$A$17,$A31)=1,VLOOKUP($A31,'R2_G1'!$A$8:$Y$17, O$2+7,FALSE),IF(COUNTIF('R2_G2'!$A$8:$A$17,$A31)=1,VLOOKUP($A31,'R2_G2'!$A$8:$Y$17, O$2+7,FALSE),IF(COUNTIF('R2_G3'!$A$8:$A$17,$A31)=1,VLOOKUP($A31,'R2_G3'!$A$8:$Y$17, O$2+7,FALSE),IF(COUNTIF('R2_G4'!$A$8:$A$17,$A31)=1,VLOOKUP($A31,'R2_G4'!$A$8:$Y$17, O$2+7,FALSE),""))))</f>
        <v>6</v>
      </c>
      <c r="P31" s="853">
        <f>IF(COUNTIF('R2_G1'!$A$8:$A$17,$A31)=1,VLOOKUP($A31,'R2_G1'!$A$8:$Y$17, P$2+7,FALSE),IF(COUNTIF('R2_G2'!$A$8:$A$17,$A31)=1,VLOOKUP($A31,'R2_G2'!$A$8:$Y$17, P$2+7,FALSE),IF(COUNTIF('R2_G3'!$A$8:$A$17,$A31)=1,VLOOKUP($A31,'R2_G3'!$A$8:$Y$17, P$2+7,FALSE),IF(COUNTIF('R2_G4'!$A$8:$A$17,$A31)=1,VLOOKUP($A31,'R2_G4'!$A$8:$Y$17, P$2+7,FALSE),""))))</f>
        <v>3</v>
      </c>
      <c r="Q31" s="853">
        <f>IF(COUNTIF('R2_G1'!$A$8:$A$17,$A31)=1,VLOOKUP($A31,'R2_G1'!$A$8:$Y$17, Q$2+7,FALSE),IF(COUNTIF('R2_G2'!$A$8:$A$17,$A31)=1,VLOOKUP($A31,'R2_G2'!$A$8:$Y$17, Q$2+7,FALSE),IF(COUNTIF('R2_G3'!$A$8:$A$17,$A31)=1,VLOOKUP($A31,'R2_G3'!$A$8:$Y$17, Q$2+7,FALSE),IF(COUNTIF('R2_G4'!$A$8:$A$17,$A31)=1,VLOOKUP($A31,'R2_G4'!$A$8:$Y$17, Q$2+7,FALSE),""))))</f>
        <v>4</v>
      </c>
      <c r="R31" s="853">
        <f>IF(COUNTIF('R2_G1'!$A$8:$A$17,$A31)=1,VLOOKUP($A31,'R2_G1'!$A$8:$Y$17, R$2+7,FALSE),IF(COUNTIF('R2_G2'!$A$8:$A$17,$A31)=1,VLOOKUP($A31,'R2_G2'!$A$8:$Y$17, R$2+7,FALSE),IF(COUNTIF('R2_G3'!$A$8:$A$17,$A31)=1,VLOOKUP($A31,'R2_G3'!$A$8:$Y$17, R$2+7,FALSE),IF(COUNTIF('R2_G4'!$A$8:$A$17,$A31)=1,VLOOKUP($A31,'R2_G4'!$A$8:$Y$17, R$2+7,FALSE),""))))</f>
        <v>4</v>
      </c>
      <c r="S31" s="853">
        <f>IF(COUNTIF('R2_G1'!$A$8:$A$17,$A31)=1,VLOOKUP($A31,'R2_G1'!$A$8:$Y$17, S$2+7,FALSE),IF(COUNTIF('R2_G2'!$A$8:$A$17,$A31)=1,VLOOKUP($A31,'R2_G2'!$A$8:$Y$17, S$2+7,FALSE),IF(COUNTIF('R2_G3'!$A$8:$A$17,$A31)=1,VLOOKUP($A31,'R2_G3'!$A$8:$Y$17, S$2+7,FALSE),IF(COUNTIF('R2_G4'!$A$8:$A$17,$A31)=1,VLOOKUP($A31,'R2_G4'!$A$8:$Y$17, S$2+7,FALSE),""))))</f>
        <v>5</v>
      </c>
      <c r="T31" s="853">
        <f>IF(COUNTIF('R2_G1'!$A$8:$A$17,$A31)=1,VLOOKUP($A31,'R2_G1'!$A$8:$Y$17, T$2+7,FALSE),IF(COUNTIF('R2_G2'!$A$8:$A$17,$A31)=1,VLOOKUP($A31,'R2_G2'!$A$8:$Y$17, T$2+7,FALSE),IF(COUNTIF('R2_G3'!$A$8:$A$17,$A31)=1,VLOOKUP($A31,'R2_G3'!$A$8:$Y$17, T$2+7,FALSE),IF(COUNTIF('R2_G4'!$A$8:$A$17,$A31)=1,VLOOKUP($A31,'R2_G4'!$A$8:$Y$17, T$2+7,FALSE),""))))</f>
        <v>8</v>
      </c>
      <c r="U31" s="853">
        <f>IF(COUNTIF('R2_G1'!$A$8:$A$17,$A31)=1,VLOOKUP($A31,'R2_G1'!$A$8:$Y$17, U$2+7,FALSE),IF(COUNTIF('R2_G2'!$A$8:$A$17,$A31)=1,VLOOKUP($A31,'R2_G2'!$A$8:$Y$17, U$2+7,FALSE),IF(COUNTIF('R2_G3'!$A$8:$A$17,$A31)=1,VLOOKUP($A31,'R2_G3'!$A$8:$Y$17, U$2+7,FALSE),IF(COUNTIF('R2_G4'!$A$8:$A$17,$A31)=1,VLOOKUP($A31,'R2_G4'!$A$8:$Y$17, U$2+7,FALSE),""))))</f>
        <v>4</v>
      </c>
      <c r="V31" s="853">
        <f>IF(COUNTIF('R2_G1'!$A$8:$A$17,$A31)=1,VLOOKUP($A31,'R2_G1'!$A$8:$Y$17, V$2+7,FALSE),IF(COUNTIF('R2_G2'!$A$8:$A$17,$A31)=1,VLOOKUP($A31,'R2_G2'!$A$8:$Y$17, V$2+7,FALSE),IF(COUNTIF('R2_G3'!$A$8:$A$17,$A31)=1,VLOOKUP($A31,'R2_G3'!$A$8:$Y$17, V$2+7,FALSE),IF(COUNTIF('R2_G4'!$A$8:$A$17,$A31)=1,VLOOKUP($A31,'R2_G4'!$A$8:$Y$17, V$2+7,FALSE),""))))</f>
        <v>6</v>
      </c>
      <c r="W31" s="852">
        <f t="shared" si="37"/>
        <v>41</v>
      </c>
      <c r="X31" s="852">
        <f t="shared" si="38"/>
        <v>46</v>
      </c>
      <c r="Y31" s="852">
        <f t="shared" si="43"/>
        <v>87</v>
      </c>
      <c r="Z31" s="852">
        <f t="shared" ca="1" si="44"/>
        <v>80</v>
      </c>
      <c r="AA31" s="852">
        <f t="shared" si="45"/>
        <v>87</v>
      </c>
      <c r="AB31" s="896"/>
      <c r="AC31" s="849" t="str">
        <f t="shared" si="46"/>
        <v>CuzNick</v>
      </c>
      <c r="AD31" s="850">
        <f ca="1">VLOOKUP(AC31,'Master Input'!$A$11:$L$27,8,FALSE)</f>
        <v>7</v>
      </c>
      <c r="AE31" s="849" t="s">
        <v>198</v>
      </c>
      <c r="AF31" s="832"/>
      <c r="AG31" s="852">
        <f t="shared" ref="AG31:AX31" ca="1" si="57">IF(E31="","",E31-IF($B31&gt;0,FLOOR($B31/18,1),0)-IF(AND(MOD($B31,18)&gt;=E$27,$B31&gt;0),1,0)+IF(E$27-18&gt;$B31,1,0))</f>
        <v>4</v>
      </c>
      <c r="AH31" s="852">
        <f t="shared" ca="1" si="57"/>
        <v>3</v>
      </c>
      <c r="AI31" s="852">
        <f t="shared" ca="1" si="57"/>
        <v>6</v>
      </c>
      <c r="AJ31" s="852">
        <f t="shared" ca="1" si="57"/>
        <v>5</v>
      </c>
      <c r="AK31" s="852">
        <f t="shared" ca="1" si="57"/>
        <v>3</v>
      </c>
      <c r="AL31" s="852">
        <f t="shared" ca="1" si="57"/>
        <v>5</v>
      </c>
      <c r="AM31" s="852">
        <f t="shared" ca="1" si="57"/>
        <v>4</v>
      </c>
      <c r="AN31" s="852">
        <f t="shared" ca="1" si="57"/>
        <v>4</v>
      </c>
      <c r="AO31" s="852">
        <f t="shared" ca="1" si="57"/>
        <v>3</v>
      </c>
      <c r="AP31" s="853">
        <f t="shared" ca="1" si="57"/>
        <v>5</v>
      </c>
      <c r="AQ31" s="853">
        <f t="shared" ca="1" si="57"/>
        <v>5</v>
      </c>
      <c r="AR31" s="853">
        <f t="shared" ca="1" si="57"/>
        <v>3</v>
      </c>
      <c r="AS31" s="853">
        <f t="shared" ca="1" si="57"/>
        <v>4</v>
      </c>
      <c r="AT31" s="853">
        <f t="shared" ca="1" si="57"/>
        <v>4</v>
      </c>
      <c r="AU31" s="853">
        <f t="shared" ca="1" si="57"/>
        <v>5</v>
      </c>
      <c r="AV31" s="853">
        <f t="shared" ca="1" si="57"/>
        <v>8</v>
      </c>
      <c r="AW31" s="853">
        <f t="shared" ca="1" si="57"/>
        <v>4</v>
      </c>
      <c r="AX31" s="853">
        <f t="shared" ca="1" si="57"/>
        <v>5</v>
      </c>
      <c r="AY31" s="852">
        <f t="shared" ca="1" si="40"/>
        <v>37</v>
      </c>
      <c r="AZ31" s="852">
        <f t="shared" ca="1" si="41"/>
        <v>43</v>
      </c>
      <c r="BA31" s="852">
        <f t="shared" ca="1" si="48"/>
        <v>80</v>
      </c>
      <c r="BB31" s="849" t="str">
        <f ca="1">IF(COUNTIF('R2_G1'!$A$8:$A$17,$A31)=1, IF(AND(BA31=Z31,BA31=VLOOKUP($A31,'R2_G1'!$A$8:$AB$17, 28,FALSE)),"yes","no"),
IF(COUNTIF('R2_G2'!$A$8:$A$17,$A31)=1, IF(AND(BA31=Z31,BA31=VLOOKUP($A31,'R2_G2'!$A$8:$AB$17, 28,FALSE)),"yes","no"),
IF(COUNTIF('R2_G3'!$A$8:$A$17,$A31)=1, IF(AND(BA31=Z31,BA31=VLOOKUP($A31,'R2_G3'!$A$8:$AB$17, 28,FALSE)),"yes","no"),
IF(COUNTIF('R2_G4'!$A$8:$A$17,$A31)=1, IF(AND(BA31=Z31,BA31=VLOOKUP($A31,'R2_G4'!$A$8:$AB$17, 28,FALSE)),"yes","no"),
"?"))))</f>
        <v>yes</v>
      </c>
      <c r="BC31" s="896"/>
      <c r="BD31" s="862">
        <f t="shared" ca="1" si="49"/>
        <v>6.5</v>
      </c>
      <c r="BE31" s="855">
        <f t="shared" ca="1" si="50"/>
        <v>8.0666666666666682</v>
      </c>
      <c r="BF31" s="855">
        <f t="shared" ca="1" si="51"/>
        <v>0</v>
      </c>
      <c r="BG31" s="855">
        <f t="shared" ca="1" si="52"/>
        <v>2</v>
      </c>
      <c r="BH31" s="855">
        <f t="shared" ca="1" si="53"/>
        <v>9</v>
      </c>
      <c r="BI31" s="855">
        <f t="shared" ca="1" si="54"/>
        <v>6</v>
      </c>
      <c r="BJ31" s="855">
        <f t="shared" ca="1" si="55"/>
        <v>1</v>
      </c>
    </row>
    <row r="32" spans="1:62" ht="14.25" customHeight="1">
      <c r="A32" s="857" t="str">
        <f t="shared" si="42"/>
        <v>R-Mac</v>
      </c>
      <c r="B32" s="858">
        <f ca="1">VLOOKUP(A32,'Master Input'!$A$11:$L$27,8,FALSE)</f>
        <v>7</v>
      </c>
      <c r="C32" s="857"/>
      <c r="D32" s="851"/>
      <c r="E32" s="859">
        <f>IF(COUNTIF('R2_G1'!$A$8:$A$17,$A32)=1,VLOOKUP($A32,'R2_G1'!$A$8:$Y$17, E$2+4,FALSE),IF(COUNTIF('R2_G2'!$A$8:$A$17,$A32)=1,VLOOKUP($A32,'R2_G2'!$A$8:$Y$17, E$2+4,FALSE),IF(COUNTIF('R2_G3'!$A$8:$A$17,$A32)=1,VLOOKUP($A32,'R2_G3'!$A$8:$Y$17, E$2+4,FALSE),IF(COUNTIF('R2_G4'!$A$8:$A$17,$A32)=1,VLOOKUP($A32,'R2_G4'!$A$8:$Y$17, E$2+4,FALSE),""))))</f>
        <v>3</v>
      </c>
      <c r="F32" s="859">
        <f>IF(COUNTIF('R2_G1'!$A$8:$A$17,$A32)=1,VLOOKUP($A32,'R2_G1'!$A$8:$Y$17, F$2+4,FALSE),IF(COUNTIF('R2_G2'!$A$8:$A$17,$A32)=1,VLOOKUP($A32,'R2_G2'!$A$8:$Y$17, F$2+4,FALSE),IF(COUNTIF('R2_G3'!$A$8:$A$17,$A32)=1,VLOOKUP($A32,'R2_G3'!$A$8:$Y$17, F$2+4,FALSE),IF(COUNTIF('R2_G4'!$A$8:$A$17,$A32)=1,VLOOKUP($A32,'R2_G4'!$A$8:$Y$17, F$2+4,FALSE),""))))</f>
        <v>4</v>
      </c>
      <c r="G32" s="859">
        <f>IF(COUNTIF('R2_G1'!$A$8:$A$17,$A32)=1,VLOOKUP($A32,'R2_G1'!$A$8:$Y$17, G$2+4,FALSE),IF(COUNTIF('R2_G2'!$A$8:$A$17,$A32)=1,VLOOKUP($A32,'R2_G2'!$A$8:$Y$17, G$2+4,FALSE),IF(COUNTIF('R2_G3'!$A$8:$A$17,$A32)=1,VLOOKUP($A32,'R2_G3'!$A$8:$Y$17, G$2+4,FALSE),IF(COUNTIF('R2_G4'!$A$8:$A$17,$A32)=1,VLOOKUP($A32,'R2_G4'!$A$8:$Y$17, G$2+4,FALSE),""))))</f>
        <v>6</v>
      </c>
      <c r="H32" s="859">
        <f>IF(COUNTIF('R2_G1'!$A$8:$A$17,$A32)=1,VLOOKUP($A32,'R2_G1'!$A$8:$Y$17, H$2+4,FALSE),IF(COUNTIF('R2_G2'!$A$8:$A$17,$A32)=1,VLOOKUP($A32,'R2_G2'!$A$8:$Y$17, H$2+4,FALSE),IF(COUNTIF('R2_G3'!$A$8:$A$17,$A32)=1,VLOOKUP($A32,'R2_G3'!$A$8:$Y$17, H$2+4,FALSE),IF(COUNTIF('R2_G4'!$A$8:$A$17,$A32)=1,VLOOKUP($A32,'R2_G4'!$A$8:$Y$17, H$2+4,FALSE),""))))</f>
        <v>4</v>
      </c>
      <c r="I32" s="859">
        <f>IF(COUNTIF('R2_G1'!$A$8:$A$17,$A32)=1,VLOOKUP($A32,'R2_G1'!$A$8:$Y$17, I$2+4,FALSE),IF(COUNTIF('R2_G2'!$A$8:$A$17,$A32)=1,VLOOKUP($A32,'R2_G2'!$A$8:$Y$17, I$2+4,FALSE),IF(COUNTIF('R2_G3'!$A$8:$A$17,$A32)=1,VLOOKUP($A32,'R2_G3'!$A$8:$Y$17, I$2+4,FALSE),IF(COUNTIF('R2_G4'!$A$8:$A$17,$A32)=1,VLOOKUP($A32,'R2_G4'!$A$8:$Y$17, I$2+4,FALSE),""))))</f>
        <v>3</v>
      </c>
      <c r="J32" s="859">
        <f>IF(COUNTIF('R2_G1'!$A$8:$A$17,$A32)=1,VLOOKUP($A32,'R2_G1'!$A$8:$Y$17, J$2+4,FALSE),IF(COUNTIF('R2_G2'!$A$8:$A$17,$A32)=1,VLOOKUP($A32,'R2_G2'!$A$8:$Y$17, J$2+4,FALSE),IF(COUNTIF('R2_G3'!$A$8:$A$17,$A32)=1,VLOOKUP($A32,'R2_G3'!$A$8:$Y$17, J$2+4,FALSE),IF(COUNTIF('R2_G4'!$A$8:$A$17,$A32)=1,VLOOKUP($A32,'R2_G4'!$A$8:$Y$17, J$2+4,FALSE),""))))</f>
        <v>5</v>
      </c>
      <c r="K32" s="859">
        <f>IF(COUNTIF('R2_G1'!$A$8:$A$17,$A32)=1,VLOOKUP($A32,'R2_G1'!$A$8:$Y$17, K$2+4,FALSE),IF(COUNTIF('R2_G2'!$A$8:$A$17,$A32)=1,VLOOKUP($A32,'R2_G2'!$A$8:$Y$17, K$2+4,FALSE),IF(COUNTIF('R2_G3'!$A$8:$A$17,$A32)=1,VLOOKUP($A32,'R2_G3'!$A$8:$Y$17, K$2+4,FALSE),IF(COUNTIF('R2_G4'!$A$8:$A$17,$A32)=1,VLOOKUP($A32,'R2_G4'!$A$8:$Y$17, K$2+4,FALSE),""))))</f>
        <v>4</v>
      </c>
      <c r="L32" s="859">
        <f>IF(COUNTIF('R2_G1'!$A$8:$A$17,$A32)=1,VLOOKUP($A32,'R2_G1'!$A$8:$Y$17, L$2+4,FALSE),IF(COUNTIF('R2_G2'!$A$8:$A$17,$A32)=1,VLOOKUP($A32,'R2_G2'!$A$8:$Y$17, L$2+4,FALSE),IF(COUNTIF('R2_G3'!$A$8:$A$17,$A32)=1,VLOOKUP($A32,'R2_G3'!$A$8:$Y$17, L$2+4,FALSE),IF(COUNTIF('R2_G4'!$A$8:$A$17,$A32)=1,VLOOKUP($A32,'R2_G4'!$A$8:$Y$17, L$2+4,FALSE),""))))</f>
        <v>6</v>
      </c>
      <c r="M32" s="859">
        <f>IF(COUNTIF('R2_G1'!$A$8:$A$17,$A32)=1,VLOOKUP($A32,'R2_G1'!$A$8:$Y$17, M$2+4,FALSE),IF(COUNTIF('R2_G2'!$A$8:$A$17,$A32)=1,VLOOKUP($A32,'R2_G2'!$A$8:$Y$17, M$2+4,FALSE),IF(COUNTIF('R2_G3'!$A$8:$A$17,$A32)=1,VLOOKUP($A32,'R2_G3'!$A$8:$Y$17, M$2+4,FALSE),IF(COUNTIF('R2_G4'!$A$8:$A$17,$A32)=1,VLOOKUP($A32,'R2_G4'!$A$8:$Y$17, M$2+4,FALSE),""))))</f>
        <v>3</v>
      </c>
      <c r="N32" s="852">
        <f>IF(COUNTIF('R2_G1'!$A$8:$A$17,$A32)=1,VLOOKUP($A32,'R2_G1'!$A$8:$Y$17, N$2+7,FALSE),IF(COUNTIF('R2_G2'!$A$8:$A$17,$A32)=1,VLOOKUP($A32,'R2_G2'!$A$8:$Y$17, N$2+7,FALSE),IF(COUNTIF('R2_G3'!$A$8:$A$17,$A32)=1,VLOOKUP($A32,'R2_G3'!$A$8:$Y$17, N$2+7,FALSE),IF(COUNTIF('R2_G4'!$A$8:$A$17,$A32)=1,VLOOKUP($A32,'R2_G4'!$A$8:$Y$17, N$2+7,FALSE),""))))</f>
        <v>4</v>
      </c>
      <c r="O32" s="852">
        <f>IF(COUNTIF('R2_G1'!$A$8:$A$17,$A32)=1,VLOOKUP($A32,'R2_G1'!$A$8:$Y$17, O$2+7,FALSE),IF(COUNTIF('R2_G2'!$A$8:$A$17,$A32)=1,VLOOKUP($A32,'R2_G2'!$A$8:$Y$17, O$2+7,FALSE),IF(COUNTIF('R2_G3'!$A$8:$A$17,$A32)=1,VLOOKUP($A32,'R2_G3'!$A$8:$Y$17, O$2+7,FALSE),IF(COUNTIF('R2_G4'!$A$8:$A$17,$A32)=1,VLOOKUP($A32,'R2_G4'!$A$8:$Y$17, O$2+7,FALSE),""))))</f>
        <v>5</v>
      </c>
      <c r="P32" s="852">
        <f>IF(COUNTIF('R2_G1'!$A$8:$A$17,$A32)=1,VLOOKUP($A32,'R2_G1'!$A$8:$Y$17, P$2+7,FALSE),IF(COUNTIF('R2_G2'!$A$8:$A$17,$A32)=1,VLOOKUP($A32,'R2_G2'!$A$8:$Y$17, P$2+7,FALSE),IF(COUNTIF('R2_G3'!$A$8:$A$17,$A32)=1,VLOOKUP($A32,'R2_G3'!$A$8:$Y$17, P$2+7,FALSE),IF(COUNTIF('R2_G4'!$A$8:$A$17,$A32)=1,VLOOKUP($A32,'R2_G4'!$A$8:$Y$17, P$2+7,FALSE),""))))</f>
        <v>4</v>
      </c>
      <c r="Q32" s="852">
        <f>IF(COUNTIF('R2_G1'!$A$8:$A$17,$A32)=1,VLOOKUP($A32,'R2_G1'!$A$8:$Y$17, Q$2+7,FALSE),IF(COUNTIF('R2_G2'!$A$8:$A$17,$A32)=1,VLOOKUP($A32,'R2_G2'!$A$8:$Y$17, Q$2+7,FALSE),IF(COUNTIF('R2_G3'!$A$8:$A$17,$A32)=1,VLOOKUP($A32,'R2_G3'!$A$8:$Y$17, Q$2+7,FALSE),IF(COUNTIF('R2_G4'!$A$8:$A$17,$A32)=1,VLOOKUP($A32,'R2_G4'!$A$8:$Y$17, Q$2+7,FALSE),""))))</f>
        <v>5</v>
      </c>
      <c r="R32" s="852">
        <f>IF(COUNTIF('R2_G1'!$A$8:$A$17,$A32)=1,VLOOKUP($A32,'R2_G1'!$A$8:$Y$17, R$2+7,FALSE),IF(COUNTIF('R2_G2'!$A$8:$A$17,$A32)=1,VLOOKUP($A32,'R2_G2'!$A$8:$Y$17, R$2+7,FALSE),IF(COUNTIF('R2_G3'!$A$8:$A$17,$A32)=1,VLOOKUP($A32,'R2_G3'!$A$8:$Y$17, R$2+7,FALSE),IF(COUNTIF('R2_G4'!$A$8:$A$17,$A32)=1,VLOOKUP($A32,'R2_G4'!$A$8:$Y$17, R$2+7,FALSE),""))))</f>
        <v>3</v>
      </c>
      <c r="S32" s="852">
        <f>IF(COUNTIF('R2_G1'!$A$8:$A$17,$A32)=1,VLOOKUP($A32,'R2_G1'!$A$8:$Y$17, S$2+7,FALSE),IF(COUNTIF('R2_G2'!$A$8:$A$17,$A32)=1,VLOOKUP($A32,'R2_G2'!$A$8:$Y$17, S$2+7,FALSE),IF(COUNTIF('R2_G3'!$A$8:$A$17,$A32)=1,VLOOKUP($A32,'R2_G3'!$A$8:$Y$17, S$2+7,FALSE),IF(COUNTIF('R2_G4'!$A$8:$A$17,$A32)=1,VLOOKUP($A32,'R2_G4'!$A$8:$Y$17, S$2+7,FALSE),""))))</f>
        <v>4</v>
      </c>
      <c r="T32" s="852">
        <f>IF(COUNTIF('R2_G1'!$A$8:$A$17,$A32)=1,VLOOKUP($A32,'R2_G1'!$A$8:$Y$17, T$2+7,FALSE),IF(COUNTIF('R2_G2'!$A$8:$A$17,$A32)=1,VLOOKUP($A32,'R2_G2'!$A$8:$Y$17, T$2+7,FALSE),IF(COUNTIF('R2_G3'!$A$8:$A$17,$A32)=1,VLOOKUP($A32,'R2_G3'!$A$8:$Y$17, T$2+7,FALSE),IF(COUNTIF('R2_G4'!$A$8:$A$17,$A32)=1,VLOOKUP($A32,'R2_G4'!$A$8:$Y$17, T$2+7,FALSE),""))))</f>
        <v>6</v>
      </c>
      <c r="U32" s="852">
        <f>IF(COUNTIF('R2_G1'!$A$8:$A$17,$A32)=1,VLOOKUP($A32,'R2_G1'!$A$8:$Y$17, U$2+7,FALSE),IF(COUNTIF('R2_G2'!$A$8:$A$17,$A32)=1,VLOOKUP($A32,'R2_G2'!$A$8:$Y$17, U$2+7,FALSE),IF(COUNTIF('R2_G3'!$A$8:$A$17,$A32)=1,VLOOKUP($A32,'R2_G3'!$A$8:$Y$17, U$2+7,FALSE),IF(COUNTIF('R2_G4'!$A$8:$A$17,$A32)=1,VLOOKUP($A32,'R2_G4'!$A$8:$Y$17, U$2+7,FALSE),""))))</f>
        <v>4</v>
      </c>
      <c r="V32" s="852">
        <f>IF(COUNTIF('R2_G1'!$A$8:$A$17,$A32)=1,VLOOKUP($A32,'R2_G1'!$A$8:$Y$17, V$2+7,FALSE),IF(COUNTIF('R2_G2'!$A$8:$A$17,$A32)=1,VLOOKUP($A32,'R2_G2'!$A$8:$Y$17, V$2+7,FALSE),IF(COUNTIF('R2_G3'!$A$8:$A$17,$A32)=1,VLOOKUP($A32,'R2_G3'!$A$8:$Y$17, V$2+7,FALSE),IF(COUNTIF('R2_G4'!$A$8:$A$17,$A32)=1,VLOOKUP($A32,'R2_G4'!$A$8:$Y$17, V$2+7,FALSE),""))))</f>
        <v>4</v>
      </c>
      <c r="W32" s="859">
        <f t="shared" si="37"/>
        <v>38</v>
      </c>
      <c r="X32" s="859">
        <f t="shared" si="38"/>
        <v>39</v>
      </c>
      <c r="Y32" s="859">
        <f t="shared" si="43"/>
        <v>77</v>
      </c>
      <c r="Z32" s="859">
        <f t="shared" ca="1" si="44"/>
        <v>70</v>
      </c>
      <c r="AA32" s="859">
        <f t="shared" si="45"/>
        <v>77</v>
      </c>
      <c r="AB32" s="896"/>
      <c r="AC32" s="849" t="str">
        <f t="shared" si="46"/>
        <v>R-Mac</v>
      </c>
      <c r="AD32" s="858">
        <f ca="1">VLOOKUP(AC32,'Master Input'!$A$11:$L$27,8,FALSE)</f>
        <v>7</v>
      </c>
      <c r="AE32" s="857" t="s">
        <v>198</v>
      </c>
      <c r="AF32" s="832"/>
      <c r="AG32" s="859">
        <f t="shared" ref="AG32:AX32" ca="1" si="58">IF(E32="","",E32-IF($B32&gt;0,FLOOR($B32/18,1),0)-IF(AND(MOD($B32,18)&gt;=E$27,$B32&gt;0),1,0)+IF(E$27-18&gt;$B32,1,0))</f>
        <v>3</v>
      </c>
      <c r="AH32" s="859">
        <f t="shared" ca="1" si="58"/>
        <v>3</v>
      </c>
      <c r="AI32" s="859">
        <f t="shared" ca="1" si="58"/>
        <v>5</v>
      </c>
      <c r="AJ32" s="859">
        <f t="shared" ca="1" si="58"/>
        <v>4</v>
      </c>
      <c r="AK32" s="859">
        <f t="shared" ca="1" si="58"/>
        <v>3</v>
      </c>
      <c r="AL32" s="859">
        <f t="shared" ca="1" si="58"/>
        <v>4</v>
      </c>
      <c r="AM32" s="859">
        <f t="shared" ca="1" si="58"/>
        <v>4</v>
      </c>
      <c r="AN32" s="859">
        <f t="shared" ca="1" si="58"/>
        <v>5</v>
      </c>
      <c r="AO32" s="859">
        <f t="shared" ca="1" si="58"/>
        <v>3</v>
      </c>
      <c r="AP32" s="852">
        <f t="shared" ca="1" si="58"/>
        <v>3</v>
      </c>
      <c r="AQ32" s="852">
        <f t="shared" ca="1" si="58"/>
        <v>4</v>
      </c>
      <c r="AR32" s="852">
        <f t="shared" ca="1" si="58"/>
        <v>4</v>
      </c>
      <c r="AS32" s="852">
        <f t="shared" ca="1" si="58"/>
        <v>5</v>
      </c>
      <c r="AT32" s="852">
        <f t="shared" ca="1" si="58"/>
        <v>3</v>
      </c>
      <c r="AU32" s="852">
        <f t="shared" ca="1" si="58"/>
        <v>4</v>
      </c>
      <c r="AV32" s="852">
        <f t="shared" ca="1" si="58"/>
        <v>6</v>
      </c>
      <c r="AW32" s="852">
        <f t="shared" ca="1" si="58"/>
        <v>4</v>
      </c>
      <c r="AX32" s="852">
        <f t="shared" ca="1" si="58"/>
        <v>3</v>
      </c>
      <c r="AY32" s="859">
        <f t="shared" ca="1" si="40"/>
        <v>34</v>
      </c>
      <c r="AZ32" s="859">
        <f t="shared" ca="1" si="41"/>
        <v>36</v>
      </c>
      <c r="BA32" s="859">
        <f t="shared" ca="1" si="48"/>
        <v>70</v>
      </c>
      <c r="BB32" s="857" t="str">
        <f ca="1">IF(COUNTIF('R2_G1'!$A$8:$A$17,$A32)=1, IF(AND(BA32=Z32,BA32=VLOOKUP($A32,'R2_G1'!$A$8:$AB$17, 28,FALSE)),"yes","no"),
IF(COUNTIF('R2_G2'!$A$8:$A$17,$A32)=1, IF(AND(BA32=Z32,BA32=VLOOKUP($A32,'R2_G2'!$A$8:$AB$17, 28,FALSE)),"yes","no"),
IF(COUNTIF('R2_G3'!$A$8:$A$17,$A32)=1, IF(AND(BA32=Z32,BA32=VLOOKUP($A32,'R2_G3'!$A$8:$AB$17, 28,FALSE)),"yes","no"),
IF(COUNTIF('R2_G4'!$A$8:$A$17,$A32)=1, IF(AND(BA32=Z32,BA32=VLOOKUP($A32,'R2_G4'!$A$8:$AB$17, 28,FALSE)),"yes","no"),
"?"))))</f>
        <v>yes</v>
      </c>
      <c r="BC32" s="896"/>
      <c r="BD32" s="860">
        <f t="shared" ca="1" si="49"/>
        <v>10</v>
      </c>
      <c r="BE32" s="861">
        <f t="shared" ca="1" si="50"/>
        <v>11.033333333333331</v>
      </c>
      <c r="BF32" s="861">
        <f t="shared" ca="1" si="51"/>
        <v>1</v>
      </c>
      <c r="BG32" s="861">
        <f t="shared" ca="1" si="52"/>
        <v>4</v>
      </c>
      <c r="BH32" s="861">
        <f t="shared" ca="1" si="53"/>
        <v>10</v>
      </c>
      <c r="BI32" s="861">
        <f t="shared" ca="1" si="54"/>
        <v>2</v>
      </c>
      <c r="BJ32" s="861">
        <f t="shared" ca="1" si="55"/>
        <v>1</v>
      </c>
    </row>
    <row r="33" spans="1:62" ht="14.25" customHeight="1">
      <c r="A33" s="849" t="str">
        <f t="shared" si="42"/>
        <v>House</v>
      </c>
      <c r="B33" s="850">
        <f ca="1">VLOOKUP(A33,'Master Input'!$A$11:$L$27,8,FALSE)</f>
        <v>7</v>
      </c>
      <c r="C33" s="849"/>
      <c r="D33" s="851"/>
      <c r="E33" s="852">
        <f>IF(COUNTIF('R2_G1'!$A$8:$A$17,$A33)=1,VLOOKUP($A33,'R2_G1'!$A$8:$Y$17, E$2+4,FALSE),IF(COUNTIF('R2_G2'!$A$8:$A$17,$A33)=1,VLOOKUP($A33,'R2_G2'!$A$8:$Y$17, E$2+4,FALSE),IF(COUNTIF('R2_G3'!$A$8:$A$17,$A33)=1,VLOOKUP($A33,'R2_G3'!$A$8:$Y$17, E$2+4,FALSE),IF(COUNTIF('R2_G4'!$A$8:$A$17,$A33)=1,VLOOKUP($A33,'R2_G4'!$A$8:$Y$17, E$2+4,FALSE),""))))</f>
        <v>5</v>
      </c>
      <c r="F33" s="852">
        <f>IF(COUNTIF('R2_G1'!$A$8:$A$17,$A33)=1,VLOOKUP($A33,'R2_G1'!$A$8:$Y$17, F$2+4,FALSE),IF(COUNTIF('R2_G2'!$A$8:$A$17,$A33)=1,VLOOKUP($A33,'R2_G2'!$A$8:$Y$17, F$2+4,FALSE),IF(COUNTIF('R2_G3'!$A$8:$A$17,$A33)=1,VLOOKUP($A33,'R2_G3'!$A$8:$Y$17, F$2+4,FALSE),IF(COUNTIF('R2_G4'!$A$8:$A$17,$A33)=1,VLOOKUP($A33,'R2_G4'!$A$8:$Y$17, F$2+4,FALSE),""))))</f>
        <v>5</v>
      </c>
      <c r="G33" s="852">
        <f>IF(COUNTIF('R2_G1'!$A$8:$A$17,$A33)=1,VLOOKUP($A33,'R2_G1'!$A$8:$Y$17, G$2+4,FALSE),IF(COUNTIF('R2_G2'!$A$8:$A$17,$A33)=1,VLOOKUP($A33,'R2_G2'!$A$8:$Y$17, G$2+4,FALSE),IF(COUNTIF('R2_G3'!$A$8:$A$17,$A33)=1,VLOOKUP($A33,'R2_G3'!$A$8:$Y$17, G$2+4,FALSE),IF(COUNTIF('R2_G4'!$A$8:$A$17,$A33)=1,VLOOKUP($A33,'R2_G4'!$A$8:$Y$17, G$2+4,FALSE),""))))</f>
        <v>5</v>
      </c>
      <c r="H33" s="852">
        <f>IF(COUNTIF('R2_G1'!$A$8:$A$17,$A33)=1,VLOOKUP($A33,'R2_G1'!$A$8:$Y$17, H$2+4,FALSE),IF(COUNTIF('R2_G2'!$A$8:$A$17,$A33)=1,VLOOKUP($A33,'R2_G2'!$A$8:$Y$17, H$2+4,FALSE),IF(COUNTIF('R2_G3'!$A$8:$A$17,$A33)=1,VLOOKUP($A33,'R2_G3'!$A$8:$Y$17, H$2+4,FALSE),IF(COUNTIF('R2_G4'!$A$8:$A$17,$A33)=1,VLOOKUP($A33,'R2_G4'!$A$8:$Y$17, H$2+4,FALSE),""))))</f>
        <v>4</v>
      </c>
      <c r="I33" s="852">
        <f>IF(COUNTIF('R2_G1'!$A$8:$A$17,$A33)=1,VLOOKUP($A33,'R2_G1'!$A$8:$Y$17, I$2+4,FALSE),IF(COUNTIF('R2_G2'!$A$8:$A$17,$A33)=1,VLOOKUP($A33,'R2_G2'!$A$8:$Y$17, I$2+4,FALSE),IF(COUNTIF('R2_G3'!$A$8:$A$17,$A33)=1,VLOOKUP($A33,'R2_G3'!$A$8:$Y$17, I$2+4,FALSE),IF(COUNTIF('R2_G4'!$A$8:$A$17,$A33)=1,VLOOKUP($A33,'R2_G4'!$A$8:$Y$17, I$2+4,FALSE),""))))</f>
        <v>3</v>
      </c>
      <c r="J33" s="852">
        <f>IF(COUNTIF('R2_G1'!$A$8:$A$17,$A33)=1,VLOOKUP($A33,'R2_G1'!$A$8:$Y$17, J$2+4,FALSE),IF(COUNTIF('R2_G2'!$A$8:$A$17,$A33)=1,VLOOKUP($A33,'R2_G2'!$A$8:$Y$17, J$2+4,FALSE),IF(COUNTIF('R2_G3'!$A$8:$A$17,$A33)=1,VLOOKUP($A33,'R2_G3'!$A$8:$Y$17, J$2+4,FALSE),IF(COUNTIF('R2_G4'!$A$8:$A$17,$A33)=1,VLOOKUP($A33,'R2_G4'!$A$8:$Y$17, J$2+4,FALSE),""))))</f>
        <v>4</v>
      </c>
      <c r="K33" s="852">
        <f>IF(COUNTIF('R2_G1'!$A$8:$A$17,$A33)=1,VLOOKUP($A33,'R2_G1'!$A$8:$Y$17, K$2+4,FALSE),IF(COUNTIF('R2_G2'!$A$8:$A$17,$A33)=1,VLOOKUP($A33,'R2_G2'!$A$8:$Y$17, K$2+4,FALSE),IF(COUNTIF('R2_G3'!$A$8:$A$17,$A33)=1,VLOOKUP($A33,'R2_G3'!$A$8:$Y$17, K$2+4,FALSE),IF(COUNTIF('R2_G4'!$A$8:$A$17,$A33)=1,VLOOKUP($A33,'R2_G4'!$A$8:$Y$17, K$2+4,FALSE),""))))</f>
        <v>9</v>
      </c>
      <c r="L33" s="852">
        <f>IF(COUNTIF('R2_G1'!$A$8:$A$17,$A33)=1,VLOOKUP($A33,'R2_G1'!$A$8:$Y$17, L$2+4,FALSE),IF(COUNTIF('R2_G2'!$A$8:$A$17,$A33)=1,VLOOKUP($A33,'R2_G2'!$A$8:$Y$17, L$2+4,FALSE),IF(COUNTIF('R2_G3'!$A$8:$A$17,$A33)=1,VLOOKUP($A33,'R2_G3'!$A$8:$Y$17, L$2+4,FALSE),IF(COUNTIF('R2_G4'!$A$8:$A$17,$A33)=1,VLOOKUP($A33,'R2_G4'!$A$8:$Y$17, L$2+4,FALSE),""))))</f>
        <v>5</v>
      </c>
      <c r="M33" s="852">
        <f>IF(COUNTIF('R2_G1'!$A$8:$A$17,$A33)=1,VLOOKUP($A33,'R2_G1'!$A$8:$Y$17, M$2+4,FALSE),IF(COUNTIF('R2_G2'!$A$8:$A$17,$A33)=1,VLOOKUP($A33,'R2_G2'!$A$8:$Y$17, M$2+4,FALSE),IF(COUNTIF('R2_G3'!$A$8:$A$17,$A33)=1,VLOOKUP($A33,'R2_G3'!$A$8:$Y$17, M$2+4,FALSE),IF(COUNTIF('R2_G4'!$A$8:$A$17,$A33)=1,VLOOKUP($A33,'R2_G4'!$A$8:$Y$17, M$2+4,FALSE),""))))</f>
        <v>3</v>
      </c>
      <c r="N33" s="853">
        <f>IF(COUNTIF('R2_G1'!$A$8:$A$17,$A33)=1,VLOOKUP($A33,'R2_G1'!$A$8:$Y$17, N$2+7,FALSE),IF(COUNTIF('R2_G2'!$A$8:$A$17,$A33)=1,VLOOKUP($A33,'R2_G2'!$A$8:$Y$17, N$2+7,FALSE),IF(COUNTIF('R2_G3'!$A$8:$A$17,$A33)=1,VLOOKUP($A33,'R2_G3'!$A$8:$Y$17, N$2+7,FALSE),IF(COUNTIF('R2_G4'!$A$8:$A$17,$A33)=1,VLOOKUP($A33,'R2_G4'!$A$8:$Y$17, N$2+7,FALSE),""))))</f>
        <v>4</v>
      </c>
      <c r="O33" s="853">
        <f>IF(COUNTIF('R2_G1'!$A$8:$A$17,$A33)=1,VLOOKUP($A33,'R2_G1'!$A$8:$Y$17, O$2+7,FALSE),IF(COUNTIF('R2_G2'!$A$8:$A$17,$A33)=1,VLOOKUP($A33,'R2_G2'!$A$8:$Y$17, O$2+7,FALSE),IF(COUNTIF('R2_G3'!$A$8:$A$17,$A33)=1,VLOOKUP($A33,'R2_G3'!$A$8:$Y$17, O$2+7,FALSE),IF(COUNTIF('R2_G4'!$A$8:$A$17,$A33)=1,VLOOKUP($A33,'R2_G4'!$A$8:$Y$17, O$2+7,FALSE),""))))</f>
        <v>5</v>
      </c>
      <c r="P33" s="853">
        <f>IF(COUNTIF('R2_G1'!$A$8:$A$17,$A33)=1,VLOOKUP($A33,'R2_G1'!$A$8:$Y$17, P$2+7,FALSE),IF(COUNTIF('R2_G2'!$A$8:$A$17,$A33)=1,VLOOKUP($A33,'R2_G2'!$A$8:$Y$17, P$2+7,FALSE),IF(COUNTIF('R2_G3'!$A$8:$A$17,$A33)=1,VLOOKUP($A33,'R2_G3'!$A$8:$Y$17, P$2+7,FALSE),IF(COUNTIF('R2_G4'!$A$8:$A$17,$A33)=1,VLOOKUP($A33,'R2_G4'!$A$8:$Y$17, P$2+7,FALSE),""))))</f>
        <v>3</v>
      </c>
      <c r="Q33" s="853">
        <f>IF(COUNTIF('R2_G1'!$A$8:$A$17,$A33)=1,VLOOKUP($A33,'R2_G1'!$A$8:$Y$17, Q$2+7,FALSE),IF(COUNTIF('R2_G2'!$A$8:$A$17,$A33)=1,VLOOKUP($A33,'R2_G2'!$A$8:$Y$17, Q$2+7,FALSE),IF(COUNTIF('R2_G3'!$A$8:$A$17,$A33)=1,VLOOKUP($A33,'R2_G3'!$A$8:$Y$17, Q$2+7,FALSE),IF(COUNTIF('R2_G4'!$A$8:$A$17,$A33)=1,VLOOKUP($A33,'R2_G4'!$A$8:$Y$17, Q$2+7,FALSE),""))))</f>
        <v>4</v>
      </c>
      <c r="R33" s="853">
        <f>IF(COUNTIF('R2_G1'!$A$8:$A$17,$A33)=1,VLOOKUP($A33,'R2_G1'!$A$8:$Y$17, R$2+7,FALSE),IF(COUNTIF('R2_G2'!$A$8:$A$17,$A33)=1,VLOOKUP($A33,'R2_G2'!$A$8:$Y$17, R$2+7,FALSE),IF(COUNTIF('R2_G3'!$A$8:$A$17,$A33)=1,VLOOKUP($A33,'R2_G3'!$A$8:$Y$17, R$2+7,FALSE),IF(COUNTIF('R2_G4'!$A$8:$A$17,$A33)=1,VLOOKUP($A33,'R2_G4'!$A$8:$Y$17, R$2+7,FALSE),""))))</f>
        <v>6</v>
      </c>
      <c r="S33" s="853">
        <f>IF(COUNTIF('R2_G1'!$A$8:$A$17,$A33)=1,VLOOKUP($A33,'R2_G1'!$A$8:$Y$17, S$2+7,FALSE),IF(COUNTIF('R2_G2'!$A$8:$A$17,$A33)=1,VLOOKUP($A33,'R2_G2'!$A$8:$Y$17, S$2+7,FALSE),IF(COUNTIF('R2_G3'!$A$8:$A$17,$A33)=1,VLOOKUP($A33,'R2_G3'!$A$8:$Y$17, S$2+7,FALSE),IF(COUNTIF('R2_G4'!$A$8:$A$17,$A33)=1,VLOOKUP($A33,'R2_G4'!$A$8:$Y$17, S$2+7,FALSE),""))))</f>
        <v>5</v>
      </c>
      <c r="T33" s="853">
        <f>IF(COUNTIF('R2_G1'!$A$8:$A$17,$A33)=1,VLOOKUP($A33,'R2_G1'!$A$8:$Y$17, T$2+7,FALSE),IF(COUNTIF('R2_G2'!$A$8:$A$17,$A33)=1,VLOOKUP($A33,'R2_G2'!$A$8:$Y$17, T$2+7,FALSE),IF(COUNTIF('R2_G3'!$A$8:$A$17,$A33)=1,VLOOKUP($A33,'R2_G3'!$A$8:$Y$17, T$2+7,FALSE),IF(COUNTIF('R2_G4'!$A$8:$A$17,$A33)=1,VLOOKUP($A33,'R2_G4'!$A$8:$Y$17, T$2+7,FALSE),""))))</f>
        <v>5</v>
      </c>
      <c r="U33" s="853">
        <f>IF(COUNTIF('R2_G1'!$A$8:$A$17,$A33)=1,VLOOKUP($A33,'R2_G1'!$A$8:$Y$17, U$2+7,FALSE),IF(COUNTIF('R2_G2'!$A$8:$A$17,$A33)=1,VLOOKUP($A33,'R2_G2'!$A$8:$Y$17, U$2+7,FALSE),IF(COUNTIF('R2_G3'!$A$8:$A$17,$A33)=1,VLOOKUP($A33,'R2_G3'!$A$8:$Y$17, U$2+7,FALSE),IF(COUNTIF('R2_G4'!$A$8:$A$17,$A33)=1,VLOOKUP($A33,'R2_G4'!$A$8:$Y$17, U$2+7,FALSE),""))))</f>
        <v>4</v>
      </c>
      <c r="V33" s="853">
        <f>IF(COUNTIF('R2_G1'!$A$8:$A$17,$A33)=1,VLOOKUP($A33,'R2_G1'!$A$8:$Y$17, V$2+7,FALSE),IF(COUNTIF('R2_G2'!$A$8:$A$17,$A33)=1,VLOOKUP($A33,'R2_G2'!$A$8:$Y$17, V$2+7,FALSE),IF(COUNTIF('R2_G3'!$A$8:$A$17,$A33)=1,VLOOKUP($A33,'R2_G3'!$A$8:$Y$17, V$2+7,FALSE),IF(COUNTIF('R2_G4'!$A$8:$A$17,$A33)=1,VLOOKUP($A33,'R2_G4'!$A$8:$Y$17, V$2+7,FALSE),""))))</f>
        <v>5</v>
      </c>
      <c r="W33" s="852">
        <f t="shared" si="37"/>
        <v>43</v>
      </c>
      <c r="X33" s="852">
        <f t="shared" si="38"/>
        <v>41</v>
      </c>
      <c r="Y33" s="852">
        <f t="shared" si="43"/>
        <v>84</v>
      </c>
      <c r="Z33" s="852">
        <f t="shared" ca="1" si="44"/>
        <v>77</v>
      </c>
      <c r="AA33" s="852">
        <f t="shared" si="45"/>
        <v>84</v>
      </c>
      <c r="AB33" s="896"/>
      <c r="AC33" s="849" t="str">
        <f t="shared" si="46"/>
        <v>House</v>
      </c>
      <c r="AD33" s="850">
        <f ca="1">VLOOKUP(AC33,'Master Input'!$A$11:$L$27,8,FALSE)</f>
        <v>7</v>
      </c>
      <c r="AE33" s="849" t="s">
        <v>198</v>
      </c>
      <c r="AF33" s="832"/>
      <c r="AG33" s="852">
        <f t="shared" ref="AG33:AX33" ca="1" si="59">IF(E33="","",E33-IF($B33&gt;0,FLOOR($B33/18,1),0)-IF(AND(MOD($B33,18)&gt;=E$27,$B33&gt;0),1,0)+IF(E$27-18&gt;$B33,1,0))</f>
        <v>5</v>
      </c>
      <c r="AH33" s="852">
        <f t="shared" ca="1" si="59"/>
        <v>4</v>
      </c>
      <c r="AI33" s="852">
        <f t="shared" ca="1" si="59"/>
        <v>4</v>
      </c>
      <c r="AJ33" s="852">
        <f t="shared" ca="1" si="59"/>
        <v>4</v>
      </c>
      <c r="AK33" s="852">
        <f t="shared" ca="1" si="59"/>
        <v>3</v>
      </c>
      <c r="AL33" s="852">
        <f t="shared" ca="1" si="59"/>
        <v>3</v>
      </c>
      <c r="AM33" s="852">
        <f t="shared" ca="1" si="59"/>
        <v>9</v>
      </c>
      <c r="AN33" s="852">
        <f t="shared" ca="1" si="59"/>
        <v>4</v>
      </c>
      <c r="AO33" s="852">
        <f t="shared" ca="1" si="59"/>
        <v>3</v>
      </c>
      <c r="AP33" s="853">
        <f t="shared" ca="1" si="59"/>
        <v>3</v>
      </c>
      <c r="AQ33" s="853">
        <f t="shared" ca="1" si="59"/>
        <v>4</v>
      </c>
      <c r="AR33" s="853">
        <f t="shared" ca="1" si="59"/>
        <v>3</v>
      </c>
      <c r="AS33" s="853">
        <f t="shared" ca="1" si="59"/>
        <v>4</v>
      </c>
      <c r="AT33" s="853">
        <f t="shared" ca="1" si="59"/>
        <v>6</v>
      </c>
      <c r="AU33" s="853">
        <f t="shared" ca="1" si="59"/>
        <v>5</v>
      </c>
      <c r="AV33" s="853">
        <f t="shared" ca="1" si="59"/>
        <v>5</v>
      </c>
      <c r="AW33" s="853">
        <f t="shared" ca="1" si="59"/>
        <v>4</v>
      </c>
      <c r="AX33" s="853">
        <f t="shared" ca="1" si="59"/>
        <v>4</v>
      </c>
      <c r="AY33" s="852">
        <f t="shared" ca="1" si="40"/>
        <v>39</v>
      </c>
      <c r="AZ33" s="852">
        <f t="shared" ca="1" si="41"/>
        <v>38</v>
      </c>
      <c r="BA33" s="852">
        <f t="shared" ca="1" si="48"/>
        <v>77</v>
      </c>
      <c r="BB33" s="849" t="str">
        <f ca="1">IF(COUNTIF('R2_G1'!$A$8:$A$17,$A33)=1, IF(AND(BA33=Z33,BA33=VLOOKUP($A33,'R2_G1'!$A$8:$AB$17, 28,FALSE)),"yes","no"),
IF(COUNTIF('R2_G2'!$A$8:$A$17,$A33)=1, IF(AND(BA33=Z33,BA33=VLOOKUP($A33,'R2_G2'!$A$8:$AB$17, 28,FALSE)),"yes","no"),
IF(COUNTIF('R2_G3'!$A$8:$A$17,$A33)=1, IF(AND(BA33=Z33,BA33=VLOOKUP($A33,'R2_G3'!$A$8:$AB$17, 28,FALSE)),"yes","no"),
IF(COUNTIF('R2_G4'!$A$8:$A$17,$A33)=1, IF(AND(BA33=Z33,BA33=VLOOKUP($A33,'R2_G4'!$A$8:$AB$17, 28,FALSE)),"yes","no"),
"?"))))</f>
        <v>yes</v>
      </c>
      <c r="BC33" s="896"/>
      <c r="BD33" s="862">
        <f t="shared" ca="1" si="49"/>
        <v>9.5</v>
      </c>
      <c r="BE33" s="855">
        <f t="shared" ca="1" si="50"/>
        <v>10.266666666666666</v>
      </c>
      <c r="BF33" s="855">
        <f t="shared" ca="1" si="51"/>
        <v>0</v>
      </c>
      <c r="BG33" s="855">
        <f t="shared" ca="1" si="52"/>
        <v>6</v>
      </c>
      <c r="BH33" s="855">
        <f t="shared" ca="1" si="53"/>
        <v>7</v>
      </c>
      <c r="BI33" s="855">
        <f t="shared" ca="1" si="54"/>
        <v>3</v>
      </c>
      <c r="BJ33" s="855">
        <f t="shared" ca="1" si="55"/>
        <v>2</v>
      </c>
    </row>
    <row r="34" spans="1:62" ht="14.25" customHeight="1">
      <c r="A34" s="857" t="str">
        <f t="shared" si="42"/>
        <v>TJSC</v>
      </c>
      <c r="B34" s="858">
        <f ca="1">VLOOKUP(A34,'Master Input'!$A$11:$L$27,8,FALSE)</f>
        <v>11</v>
      </c>
      <c r="C34" s="857"/>
      <c r="D34" s="851"/>
      <c r="E34" s="859">
        <f>IF(COUNTIF('R2_G1'!$A$8:$A$17,$A34)=1,VLOOKUP($A34,'R2_G1'!$A$8:$Y$17, E$2+4,FALSE),IF(COUNTIF('R2_G2'!$A$8:$A$17,$A34)=1,VLOOKUP($A34,'R2_G2'!$A$8:$Y$17, E$2+4,FALSE),IF(COUNTIF('R2_G3'!$A$8:$A$17,$A34)=1,VLOOKUP($A34,'R2_G3'!$A$8:$Y$17, E$2+4,FALSE),IF(COUNTIF('R2_G4'!$A$8:$A$17,$A34)=1,VLOOKUP($A34,'R2_G4'!$A$8:$Y$17, E$2+4,FALSE),""))))</f>
        <v>5</v>
      </c>
      <c r="F34" s="859">
        <f>IF(COUNTIF('R2_G1'!$A$8:$A$17,$A34)=1,VLOOKUP($A34,'R2_G1'!$A$8:$Y$17, F$2+4,FALSE),IF(COUNTIF('R2_G2'!$A$8:$A$17,$A34)=1,VLOOKUP($A34,'R2_G2'!$A$8:$Y$17, F$2+4,FALSE),IF(COUNTIF('R2_G3'!$A$8:$A$17,$A34)=1,VLOOKUP($A34,'R2_G3'!$A$8:$Y$17, F$2+4,FALSE),IF(COUNTIF('R2_G4'!$A$8:$A$17,$A34)=1,VLOOKUP($A34,'R2_G4'!$A$8:$Y$17, F$2+4,FALSE),""))))</f>
        <v>6</v>
      </c>
      <c r="G34" s="859">
        <f>IF(COUNTIF('R2_G1'!$A$8:$A$17,$A34)=1,VLOOKUP($A34,'R2_G1'!$A$8:$Y$17, G$2+4,FALSE),IF(COUNTIF('R2_G2'!$A$8:$A$17,$A34)=1,VLOOKUP($A34,'R2_G2'!$A$8:$Y$17, G$2+4,FALSE),IF(COUNTIF('R2_G3'!$A$8:$A$17,$A34)=1,VLOOKUP($A34,'R2_G3'!$A$8:$Y$17, G$2+4,FALSE),IF(COUNTIF('R2_G4'!$A$8:$A$17,$A34)=1,VLOOKUP($A34,'R2_G4'!$A$8:$Y$17, G$2+4,FALSE),""))))</f>
        <v>6</v>
      </c>
      <c r="H34" s="859">
        <f>IF(COUNTIF('R2_G1'!$A$8:$A$17,$A34)=1,VLOOKUP($A34,'R2_G1'!$A$8:$Y$17, H$2+4,FALSE),IF(COUNTIF('R2_G2'!$A$8:$A$17,$A34)=1,VLOOKUP($A34,'R2_G2'!$A$8:$Y$17, H$2+4,FALSE),IF(COUNTIF('R2_G3'!$A$8:$A$17,$A34)=1,VLOOKUP($A34,'R2_G3'!$A$8:$Y$17, H$2+4,FALSE),IF(COUNTIF('R2_G4'!$A$8:$A$17,$A34)=1,VLOOKUP($A34,'R2_G4'!$A$8:$Y$17, H$2+4,FALSE),""))))</f>
        <v>4</v>
      </c>
      <c r="I34" s="859">
        <f>IF(COUNTIF('R2_G1'!$A$8:$A$17,$A34)=1,VLOOKUP($A34,'R2_G1'!$A$8:$Y$17, I$2+4,FALSE),IF(COUNTIF('R2_G2'!$A$8:$A$17,$A34)=1,VLOOKUP($A34,'R2_G2'!$A$8:$Y$17, I$2+4,FALSE),IF(COUNTIF('R2_G3'!$A$8:$A$17,$A34)=1,VLOOKUP($A34,'R2_G3'!$A$8:$Y$17, I$2+4,FALSE),IF(COUNTIF('R2_G4'!$A$8:$A$17,$A34)=1,VLOOKUP($A34,'R2_G4'!$A$8:$Y$17, I$2+4,FALSE),""))))</f>
        <v>4</v>
      </c>
      <c r="J34" s="859">
        <f>IF(COUNTIF('R2_G1'!$A$8:$A$17,$A34)=1,VLOOKUP($A34,'R2_G1'!$A$8:$Y$17, J$2+4,FALSE),IF(COUNTIF('R2_G2'!$A$8:$A$17,$A34)=1,VLOOKUP($A34,'R2_G2'!$A$8:$Y$17, J$2+4,FALSE),IF(COUNTIF('R2_G3'!$A$8:$A$17,$A34)=1,VLOOKUP($A34,'R2_G3'!$A$8:$Y$17, J$2+4,FALSE),IF(COUNTIF('R2_G4'!$A$8:$A$17,$A34)=1,VLOOKUP($A34,'R2_G4'!$A$8:$Y$17, J$2+4,FALSE),""))))</f>
        <v>6</v>
      </c>
      <c r="K34" s="859">
        <f>IF(COUNTIF('R2_G1'!$A$8:$A$17,$A34)=1,VLOOKUP($A34,'R2_G1'!$A$8:$Y$17, K$2+4,FALSE),IF(COUNTIF('R2_G2'!$A$8:$A$17,$A34)=1,VLOOKUP($A34,'R2_G2'!$A$8:$Y$17, K$2+4,FALSE),IF(COUNTIF('R2_G3'!$A$8:$A$17,$A34)=1,VLOOKUP($A34,'R2_G3'!$A$8:$Y$17, K$2+4,FALSE),IF(COUNTIF('R2_G4'!$A$8:$A$17,$A34)=1,VLOOKUP($A34,'R2_G4'!$A$8:$Y$17, K$2+4,FALSE),""))))</f>
        <v>4</v>
      </c>
      <c r="L34" s="859">
        <f>IF(COUNTIF('R2_G1'!$A$8:$A$17,$A34)=1,VLOOKUP($A34,'R2_G1'!$A$8:$Y$17, L$2+4,FALSE),IF(COUNTIF('R2_G2'!$A$8:$A$17,$A34)=1,VLOOKUP($A34,'R2_G2'!$A$8:$Y$17, L$2+4,FALSE),IF(COUNTIF('R2_G3'!$A$8:$A$17,$A34)=1,VLOOKUP($A34,'R2_G3'!$A$8:$Y$17, L$2+4,FALSE),IF(COUNTIF('R2_G4'!$A$8:$A$17,$A34)=1,VLOOKUP($A34,'R2_G4'!$A$8:$Y$17, L$2+4,FALSE),""))))</f>
        <v>5</v>
      </c>
      <c r="M34" s="859">
        <f>IF(COUNTIF('R2_G1'!$A$8:$A$17,$A34)=1,VLOOKUP($A34,'R2_G1'!$A$8:$Y$17, M$2+4,FALSE),IF(COUNTIF('R2_G2'!$A$8:$A$17,$A34)=1,VLOOKUP($A34,'R2_G2'!$A$8:$Y$17, M$2+4,FALSE),IF(COUNTIF('R2_G3'!$A$8:$A$17,$A34)=1,VLOOKUP($A34,'R2_G3'!$A$8:$Y$17, M$2+4,FALSE),IF(COUNTIF('R2_G4'!$A$8:$A$17,$A34)=1,VLOOKUP($A34,'R2_G4'!$A$8:$Y$17, M$2+4,FALSE),""))))</f>
        <v>4</v>
      </c>
      <c r="N34" s="852">
        <f>IF(COUNTIF('R2_G1'!$A$8:$A$17,$A34)=1,VLOOKUP($A34,'R2_G1'!$A$8:$Y$17, N$2+7,FALSE),IF(COUNTIF('R2_G2'!$A$8:$A$17,$A34)=1,VLOOKUP($A34,'R2_G2'!$A$8:$Y$17, N$2+7,FALSE),IF(COUNTIF('R2_G3'!$A$8:$A$17,$A34)=1,VLOOKUP($A34,'R2_G3'!$A$8:$Y$17, N$2+7,FALSE),IF(COUNTIF('R2_G4'!$A$8:$A$17,$A34)=1,VLOOKUP($A34,'R2_G4'!$A$8:$Y$17, N$2+7,FALSE),""))))</f>
        <v>4</v>
      </c>
      <c r="O34" s="852">
        <f>IF(COUNTIF('R2_G1'!$A$8:$A$17,$A34)=1,VLOOKUP($A34,'R2_G1'!$A$8:$Y$17, O$2+7,FALSE),IF(COUNTIF('R2_G2'!$A$8:$A$17,$A34)=1,VLOOKUP($A34,'R2_G2'!$A$8:$Y$17, O$2+7,FALSE),IF(COUNTIF('R2_G3'!$A$8:$A$17,$A34)=1,VLOOKUP($A34,'R2_G3'!$A$8:$Y$17, O$2+7,FALSE),IF(COUNTIF('R2_G4'!$A$8:$A$17,$A34)=1,VLOOKUP($A34,'R2_G4'!$A$8:$Y$17, O$2+7,FALSE),""))))</f>
        <v>5</v>
      </c>
      <c r="P34" s="852">
        <f>IF(COUNTIF('R2_G1'!$A$8:$A$17,$A34)=1,VLOOKUP($A34,'R2_G1'!$A$8:$Y$17, P$2+7,FALSE),IF(COUNTIF('R2_G2'!$A$8:$A$17,$A34)=1,VLOOKUP($A34,'R2_G2'!$A$8:$Y$17, P$2+7,FALSE),IF(COUNTIF('R2_G3'!$A$8:$A$17,$A34)=1,VLOOKUP($A34,'R2_G3'!$A$8:$Y$17, P$2+7,FALSE),IF(COUNTIF('R2_G4'!$A$8:$A$17,$A34)=1,VLOOKUP($A34,'R2_G4'!$A$8:$Y$17, P$2+7,FALSE),""))))</f>
        <v>4</v>
      </c>
      <c r="Q34" s="852">
        <f>IF(COUNTIF('R2_G1'!$A$8:$A$17,$A34)=1,VLOOKUP($A34,'R2_G1'!$A$8:$Y$17, Q$2+7,FALSE),IF(COUNTIF('R2_G2'!$A$8:$A$17,$A34)=1,VLOOKUP($A34,'R2_G2'!$A$8:$Y$17, Q$2+7,FALSE),IF(COUNTIF('R2_G3'!$A$8:$A$17,$A34)=1,VLOOKUP($A34,'R2_G3'!$A$8:$Y$17, Q$2+7,FALSE),IF(COUNTIF('R2_G4'!$A$8:$A$17,$A34)=1,VLOOKUP($A34,'R2_G4'!$A$8:$Y$17, Q$2+7,FALSE),""))))</f>
        <v>5</v>
      </c>
      <c r="R34" s="852">
        <f>IF(COUNTIF('R2_G1'!$A$8:$A$17,$A34)=1,VLOOKUP($A34,'R2_G1'!$A$8:$Y$17, R$2+7,FALSE),IF(COUNTIF('R2_G2'!$A$8:$A$17,$A34)=1,VLOOKUP($A34,'R2_G2'!$A$8:$Y$17, R$2+7,FALSE),IF(COUNTIF('R2_G3'!$A$8:$A$17,$A34)=1,VLOOKUP($A34,'R2_G3'!$A$8:$Y$17, R$2+7,FALSE),IF(COUNTIF('R2_G4'!$A$8:$A$17,$A34)=1,VLOOKUP($A34,'R2_G4'!$A$8:$Y$17, R$2+7,FALSE),""))))</f>
        <v>4</v>
      </c>
      <c r="S34" s="852">
        <f>IF(COUNTIF('R2_G1'!$A$8:$A$17,$A34)=1,VLOOKUP($A34,'R2_G1'!$A$8:$Y$17, S$2+7,FALSE),IF(COUNTIF('R2_G2'!$A$8:$A$17,$A34)=1,VLOOKUP($A34,'R2_G2'!$A$8:$Y$17, S$2+7,FALSE),IF(COUNTIF('R2_G3'!$A$8:$A$17,$A34)=1,VLOOKUP($A34,'R2_G3'!$A$8:$Y$17, S$2+7,FALSE),IF(COUNTIF('R2_G4'!$A$8:$A$17,$A34)=1,VLOOKUP($A34,'R2_G4'!$A$8:$Y$17, S$2+7,FALSE),""))))</f>
        <v>5</v>
      </c>
      <c r="T34" s="852">
        <f>IF(COUNTIF('R2_G1'!$A$8:$A$17,$A34)=1,VLOOKUP($A34,'R2_G1'!$A$8:$Y$17, T$2+7,FALSE),IF(COUNTIF('R2_G2'!$A$8:$A$17,$A34)=1,VLOOKUP($A34,'R2_G2'!$A$8:$Y$17, T$2+7,FALSE),IF(COUNTIF('R2_G3'!$A$8:$A$17,$A34)=1,VLOOKUP($A34,'R2_G3'!$A$8:$Y$17, T$2+7,FALSE),IF(COUNTIF('R2_G4'!$A$8:$A$17,$A34)=1,VLOOKUP($A34,'R2_G4'!$A$8:$Y$17, T$2+7,FALSE),""))))</f>
        <v>7</v>
      </c>
      <c r="U34" s="852">
        <f>IF(COUNTIF('R2_G1'!$A$8:$A$17,$A34)=1,VLOOKUP($A34,'R2_G1'!$A$8:$Y$17, U$2+7,FALSE),IF(COUNTIF('R2_G2'!$A$8:$A$17,$A34)=1,VLOOKUP($A34,'R2_G2'!$A$8:$Y$17, U$2+7,FALSE),IF(COUNTIF('R2_G3'!$A$8:$A$17,$A34)=1,VLOOKUP($A34,'R2_G3'!$A$8:$Y$17, U$2+7,FALSE),IF(COUNTIF('R2_G4'!$A$8:$A$17,$A34)=1,VLOOKUP($A34,'R2_G4'!$A$8:$Y$17, U$2+7,FALSE),""))))</f>
        <v>7</v>
      </c>
      <c r="V34" s="852">
        <f>IF(COUNTIF('R2_G1'!$A$8:$A$17,$A34)=1,VLOOKUP($A34,'R2_G1'!$A$8:$Y$17, V$2+7,FALSE),IF(COUNTIF('R2_G2'!$A$8:$A$17,$A34)=1,VLOOKUP($A34,'R2_G2'!$A$8:$Y$17, V$2+7,FALSE),IF(COUNTIF('R2_G3'!$A$8:$A$17,$A34)=1,VLOOKUP($A34,'R2_G3'!$A$8:$Y$17, V$2+7,FALSE),IF(COUNTIF('R2_G4'!$A$8:$A$17,$A34)=1,VLOOKUP($A34,'R2_G4'!$A$8:$Y$17, V$2+7,FALSE),""))))</f>
        <v>6</v>
      </c>
      <c r="W34" s="859">
        <f t="shared" si="37"/>
        <v>44</v>
      </c>
      <c r="X34" s="859">
        <f t="shared" si="38"/>
        <v>47</v>
      </c>
      <c r="Y34" s="859">
        <f t="shared" si="43"/>
        <v>91</v>
      </c>
      <c r="Z34" s="859">
        <f t="shared" ca="1" si="44"/>
        <v>80</v>
      </c>
      <c r="AA34" s="859">
        <f t="shared" si="45"/>
        <v>91</v>
      </c>
      <c r="AB34" s="896"/>
      <c r="AC34" s="849" t="str">
        <f t="shared" si="46"/>
        <v>TJSC</v>
      </c>
      <c r="AD34" s="858">
        <f ca="1">VLOOKUP(AC34,'Master Input'!$A$11:$L$27,8,FALSE)</f>
        <v>11</v>
      </c>
      <c r="AE34" s="857" t="s">
        <v>198</v>
      </c>
      <c r="AF34" s="832"/>
      <c r="AG34" s="859">
        <f t="shared" ref="AG34:AX34" ca="1" si="60">IF(E34="","",E34-IF($B34&gt;0,FLOOR($B34/18,1),0)-IF(AND(MOD($B34,18)&gt;=E$27,$B34&gt;0),1,0)+IF(E$27-18&gt;$B34,1,0))</f>
        <v>4</v>
      </c>
      <c r="AH34" s="859">
        <f t="shared" ca="1" si="60"/>
        <v>5</v>
      </c>
      <c r="AI34" s="859">
        <f t="shared" ca="1" si="60"/>
        <v>5</v>
      </c>
      <c r="AJ34" s="859">
        <f t="shared" ca="1" si="60"/>
        <v>4</v>
      </c>
      <c r="AK34" s="859">
        <f t="shared" ca="1" si="60"/>
        <v>4</v>
      </c>
      <c r="AL34" s="859">
        <f t="shared" ca="1" si="60"/>
        <v>5</v>
      </c>
      <c r="AM34" s="859">
        <f t="shared" ca="1" si="60"/>
        <v>3</v>
      </c>
      <c r="AN34" s="859">
        <f t="shared" ca="1" si="60"/>
        <v>4</v>
      </c>
      <c r="AO34" s="859">
        <f t="shared" ca="1" si="60"/>
        <v>4</v>
      </c>
      <c r="AP34" s="852">
        <f t="shared" ca="1" si="60"/>
        <v>3</v>
      </c>
      <c r="AQ34" s="852">
        <f t="shared" ca="1" si="60"/>
        <v>4</v>
      </c>
      <c r="AR34" s="852">
        <f t="shared" ca="1" si="60"/>
        <v>4</v>
      </c>
      <c r="AS34" s="852">
        <f t="shared" ca="1" si="60"/>
        <v>4</v>
      </c>
      <c r="AT34" s="852">
        <f t="shared" ca="1" si="60"/>
        <v>4</v>
      </c>
      <c r="AU34" s="852">
        <f t="shared" ca="1" si="60"/>
        <v>5</v>
      </c>
      <c r="AV34" s="852">
        <f t="shared" ca="1" si="60"/>
        <v>6</v>
      </c>
      <c r="AW34" s="852">
        <f t="shared" ca="1" si="60"/>
        <v>7</v>
      </c>
      <c r="AX34" s="852">
        <f t="shared" ca="1" si="60"/>
        <v>5</v>
      </c>
      <c r="AY34" s="859">
        <f t="shared" ca="1" si="40"/>
        <v>38</v>
      </c>
      <c r="AZ34" s="859">
        <f t="shared" ca="1" si="41"/>
        <v>42</v>
      </c>
      <c r="BA34" s="859">
        <f t="shared" ca="1" si="48"/>
        <v>80</v>
      </c>
      <c r="BB34" s="857" t="str">
        <f ca="1">IF(COUNTIF('R2_G1'!$A$8:$A$17,$A34)=1, IF(AND(BA34=Z34,BA34=VLOOKUP($A34,'R2_G1'!$A$8:$AB$17, 28,FALSE)),"yes","no"),
IF(COUNTIF('R2_G2'!$A$8:$A$17,$A34)=1, IF(AND(BA34=Z34,BA34=VLOOKUP($A34,'R2_G2'!$A$8:$AB$17, 28,FALSE)),"yes","no"),
IF(COUNTIF('R2_G3'!$A$8:$A$17,$A34)=1, IF(AND(BA34=Z34,BA34=VLOOKUP($A34,'R2_G3'!$A$8:$AB$17, 28,FALSE)),"yes","no"),
IF(COUNTIF('R2_G4'!$A$8:$A$17,$A34)=1, IF(AND(BA34=Z34,BA34=VLOOKUP($A34,'R2_G4'!$A$8:$AB$17, 28,FALSE)),"yes","no"),
"?"))))</f>
        <v>yes</v>
      </c>
      <c r="BC34" s="896"/>
      <c r="BD34" s="860">
        <f t="shared" ca="1" si="49"/>
        <v>6.5</v>
      </c>
      <c r="BE34" s="861">
        <f t="shared" ca="1" si="50"/>
        <v>8.1</v>
      </c>
      <c r="BF34" s="861">
        <f t="shared" ca="1" si="51"/>
        <v>0</v>
      </c>
      <c r="BG34" s="861">
        <f t="shared" ca="1" si="52"/>
        <v>4</v>
      </c>
      <c r="BH34" s="861">
        <f t="shared" ca="1" si="53"/>
        <v>5</v>
      </c>
      <c r="BI34" s="861">
        <f t="shared" ca="1" si="54"/>
        <v>7</v>
      </c>
      <c r="BJ34" s="861">
        <f t="shared" ca="1" si="55"/>
        <v>2</v>
      </c>
    </row>
    <row r="35" spans="1:62" ht="14.25" customHeight="1">
      <c r="A35" s="849" t="str">
        <f t="shared" si="42"/>
        <v>DK</v>
      </c>
      <c r="B35" s="850">
        <f ca="1">VLOOKUP(A35,'Master Input'!$A$11:$L$27,8,FALSE)</f>
        <v>13</v>
      </c>
      <c r="C35" s="849"/>
      <c r="D35" s="851"/>
      <c r="E35" s="852">
        <f>IF(COUNTIF('R2_G1'!$A$8:$A$17,$A35)=1,VLOOKUP($A35,'R2_G1'!$A$8:$Y$17, E$2+4,FALSE),IF(COUNTIF('R2_G2'!$A$8:$A$17,$A35)=1,VLOOKUP($A35,'R2_G2'!$A$8:$Y$17, E$2+4,FALSE),IF(COUNTIF('R2_G3'!$A$8:$A$17,$A35)=1,VLOOKUP($A35,'R2_G3'!$A$8:$Y$17, E$2+4,FALSE),IF(COUNTIF('R2_G4'!$A$8:$A$17,$A35)=1,VLOOKUP($A35,'R2_G4'!$A$8:$Y$17, E$2+4,FALSE),""))))</f>
        <v>7</v>
      </c>
      <c r="F35" s="852">
        <f>IF(COUNTIF('R2_G1'!$A$8:$A$17,$A35)=1,VLOOKUP($A35,'R2_G1'!$A$8:$Y$17, F$2+4,FALSE),IF(COUNTIF('R2_G2'!$A$8:$A$17,$A35)=1,VLOOKUP($A35,'R2_G2'!$A$8:$Y$17, F$2+4,FALSE),IF(COUNTIF('R2_G3'!$A$8:$A$17,$A35)=1,VLOOKUP($A35,'R2_G3'!$A$8:$Y$17, F$2+4,FALSE),IF(COUNTIF('R2_G4'!$A$8:$A$17,$A35)=1,VLOOKUP($A35,'R2_G4'!$A$8:$Y$17, F$2+4,FALSE),""))))</f>
        <v>5</v>
      </c>
      <c r="G35" s="852">
        <f>IF(COUNTIF('R2_G1'!$A$8:$A$17,$A35)=1,VLOOKUP($A35,'R2_G1'!$A$8:$Y$17, G$2+4,FALSE),IF(COUNTIF('R2_G2'!$A$8:$A$17,$A35)=1,VLOOKUP($A35,'R2_G2'!$A$8:$Y$17, G$2+4,FALSE),IF(COUNTIF('R2_G3'!$A$8:$A$17,$A35)=1,VLOOKUP($A35,'R2_G3'!$A$8:$Y$17, G$2+4,FALSE),IF(COUNTIF('R2_G4'!$A$8:$A$17,$A35)=1,VLOOKUP($A35,'R2_G4'!$A$8:$Y$17, G$2+4,FALSE),""))))</f>
        <v>8</v>
      </c>
      <c r="H35" s="852">
        <f>IF(COUNTIF('R2_G1'!$A$8:$A$17,$A35)=1,VLOOKUP($A35,'R2_G1'!$A$8:$Y$17, H$2+4,FALSE),IF(COUNTIF('R2_G2'!$A$8:$A$17,$A35)=1,VLOOKUP($A35,'R2_G2'!$A$8:$Y$17, H$2+4,FALSE),IF(COUNTIF('R2_G3'!$A$8:$A$17,$A35)=1,VLOOKUP($A35,'R2_G3'!$A$8:$Y$17, H$2+4,FALSE),IF(COUNTIF('R2_G4'!$A$8:$A$17,$A35)=1,VLOOKUP($A35,'R2_G4'!$A$8:$Y$17, H$2+4,FALSE),""))))</f>
        <v>4</v>
      </c>
      <c r="I35" s="852">
        <f>IF(COUNTIF('R2_G1'!$A$8:$A$17,$A35)=1,VLOOKUP($A35,'R2_G1'!$A$8:$Y$17, I$2+4,FALSE),IF(COUNTIF('R2_G2'!$A$8:$A$17,$A35)=1,VLOOKUP($A35,'R2_G2'!$A$8:$Y$17, I$2+4,FALSE),IF(COUNTIF('R2_G3'!$A$8:$A$17,$A35)=1,VLOOKUP($A35,'R2_G3'!$A$8:$Y$17, I$2+4,FALSE),IF(COUNTIF('R2_G4'!$A$8:$A$17,$A35)=1,VLOOKUP($A35,'R2_G4'!$A$8:$Y$17, I$2+4,FALSE),""))))</f>
        <v>4</v>
      </c>
      <c r="J35" s="852">
        <f>IF(COUNTIF('R2_G1'!$A$8:$A$17,$A35)=1,VLOOKUP($A35,'R2_G1'!$A$8:$Y$17, J$2+4,FALSE),IF(COUNTIF('R2_G2'!$A$8:$A$17,$A35)=1,VLOOKUP($A35,'R2_G2'!$A$8:$Y$17, J$2+4,FALSE),IF(COUNTIF('R2_G3'!$A$8:$A$17,$A35)=1,VLOOKUP($A35,'R2_G3'!$A$8:$Y$17, J$2+4,FALSE),IF(COUNTIF('R2_G4'!$A$8:$A$17,$A35)=1,VLOOKUP($A35,'R2_G4'!$A$8:$Y$17, J$2+4,FALSE),""))))</f>
        <v>5</v>
      </c>
      <c r="K35" s="852">
        <f>IF(COUNTIF('R2_G1'!$A$8:$A$17,$A35)=1,VLOOKUP($A35,'R2_G1'!$A$8:$Y$17, K$2+4,FALSE),IF(COUNTIF('R2_G2'!$A$8:$A$17,$A35)=1,VLOOKUP($A35,'R2_G2'!$A$8:$Y$17, K$2+4,FALSE),IF(COUNTIF('R2_G3'!$A$8:$A$17,$A35)=1,VLOOKUP($A35,'R2_G3'!$A$8:$Y$17, K$2+4,FALSE),IF(COUNTIF('R2_G4'!$A$8:$A$17,$A35)=1,VLOOKUP($A35,'R2_G4'!$A$8:$Y$17, K$2+4,FALSE),""))))</f>
        <v>6</v>
      </c>
      <c r="L35" s="852">
        <f>IF(COUNTIF('R2_G1'!$A$8:$A$17,$A35)=1,VLOOKUP($A35,'R2_G1'!$A$8:$Y$17, L$2+4,FALSE),IF(COUNTIF('R2_G2'!$A$8:$A$17,$A35)=1,VLOOKUP($A35,'R2_G2'!$A$8:$Y$17, L$2+4,FALSE),IF(COUNTIF('R2_G3'!$A$8:$A$17,$A35)=1,VLOOKUP($A35,'R2_G3'!$A$8:$Y$17, L$2+4,FALSE),IF(COUNTIF('R2_G4'!$A$8:$A$17,$A35)=1,VLOOKUP($A35,'R2_G4'!$A$8:$Y$17, L$2+4,FALSE),""))))</f>
        <v>7</v>
      </c>
      <c r="M35" s="852">
        <f>IF(COUNTIF('R2_G1'!$A$8:$A$17,$A35)=1,VLOOKUP($A35,'R2_G1'!$A$8:$Y$17, M$2+4,FALSE),IF(COUNTIF('R2_G2'!$A$8:$A$17,$A35)=1,VLOOKUP($A35,'R2_G2'!$A$8:$Y$17, M$2+4,FALSE),IF(COUNTIF('R2_G3'!$A$8:$A$17,$A35)=1,VLOOKUP($A35,'R2_G3'!$A$8:$Y$17, M$2+4,FALSE),IF(COUNTIF('R2_G4'!$A$8:$A$17,$A35)=1,VLOOKUP($A35,'R2_G4'!$A$8:$Y$17, M$2+4,FALSE),""))))</f>
        <v>2</v>
      </c>
      <c r="N35" s="853">
        <f>IF(COUNTIF('R2_G1'!$A$8:$A$17,$A35)=1,VLOOKUP($A35,'R2_G1'!$A$8:$Y$17, N$2+7,FALSE),IF(COUNTIF('R2_G2'!$A$8:$A$17,$A35)=1,VLOOKUP($A35,'R2_G2'!$A$8:$Y$17, N$2+7,FALSE),IF(COUNTIF('R2_G3'!$A$8:$A$17,$A35)=1,VLOOKUP($A35,'R2_G3'!$A$8:$Y$17, N$2+7,FALSE),IF(COUNTIF('R2_G4'!$A$8:$A$17,$A35)=1,VLOOKUP($A35,'R2_G4'!$A$8:$Y$17, N$2+7,FALSE),""))))</f>
        <v>7</v>
      </c>
      <c r="O35" s="853">
        <f>IF(COUNTIF('R2_G1'!$A$8:$A$17,$A35)=1,VLOOKUP($A35,'R2_G1'!$A$8:$Y$17, O$2+7,FALSE),IF(COUNTIF('R2_G2'!$A$8:$A$17,$A35)=1,VLOOKUP($A35,'R2_G2'!$A$8:$Y$17, O$2+7,FALSE),IF(COUNTIF('R2_G3'!$A$8:$A$17,$A35)=1,VLOOKUP($A35,'R2_G3'!$A$8:$Y$17, O$2+7,FALSE),IF(COUNTIF('R2_G4'!$A$8:$A$17,$A35)=1,VLOOKUP($A35,'R2_G4'!$A$8:$Y$17, O$2+7,FALSE),""))))</f>
        <v>6</v>
      </c>
      <c r="P35" s="853">
        <f>IF(COUNTIF('R2_G1'!$A$8:$A$17,$A35)=1,VLOOKUP($A35,'R2_G1'!$A$8:$Y$17, P$2+7,FALSE),IF(COUNTIF('R2_G2'!$A$8:$A$17,$A35)=1,VLOOKUP($A35,'R2_G2'!$A$8:$Y$17, P$2+7,FALSE),IF(COUNTIF('R2_G3'!$A$8:$A$17,$A35)=1,VLOOKUP($A35,'R2_G3'!$A$8:$Y$17, P$2+7,FALSE),IF(COUNTIF('R2_G4'!$A$8:$A$17,$A35)=1,VLOOKUP($A35,'R2_G4'!$A$8:$Y$17, P$2+7,FALSE),""))))</f>
        <v>3</v>
      </c>
      <c r="Q35" s="853">
        <f>IF(COUNTIF('R2_G1'!$A$8:$A$17,$A35)=1,VLOOKUP($A35,'R2_G1'!$A$8:$Y$17, Q$2+7,FALSE),IF(COUNTIF('R2_G2'!$A$8:$A$17,$A35)=1,VLOOKUP($A35,'R2_G2'!$A$8:$Y$17, Q$2+7,FALSE),IF(COUNTIF('R2_G3'!$A$8:$A$17,$A35)=1,VLOOKUP($A35,'R2_G3'!$A$8:$Y$17, Q$2+7,FALSE),IF(COUNTIF('R2_G4'!$A$8:$A$17,$A35)=1,VLOOKUP($A35,'R2_G4'!$A$8:$Y$17, Q$2+7,FALSE),""))))</f>
        <v>5</v>
      </c>
      <c r="R35" s="853">
        <f>IF(COUNTIF('R2_G1'!$A$8:$A$17,$A35)=1,VLOOKUP($A35,'R2_G1'!$A$8:$Y$17, R$2+7,FALSE),IF(COUNTIF('R2_G2'!$A$8:$A$17,$A35)=1,VLOOKUP($A35,'R2_G2'!$A$8:$Y$17, R$2+7,FALSE),IF(COUNTIF('R2_G3'!$A$8:$A$17,$A35)=1,VLOOKUP($A35,'R2_G3'!$A$8:$Y$17, R$2+7,FALSE),IF(COUNTIF('R2_G4'!$A$8:$A$17,$A35)=1,VLOOKUP($A35,'R2_G4'!$A$8:$Y$17, R$2+7,FALSE),""))))</f>
        <v>4</v>
      </c>
      <c r="S35" s="853">
        <f>IF(COUNTIF('R2_G1'!$A$8:$A$17,$A35)=1,VLOOKUP($A35,'R2_G1'!$A$8:$Y$17, S$2+7,FALSE),IF(COUNTIF('R2_G2'!$A$8:$A$17,$A35)=1,VLOOKUP($A35,'R2_G2'!$A$8:$Y$17, S$2+7,FALSE),IF(COUNTIF('R2_G3'!$A$8:$A$17,$A35)=1,VLOOKUP($A35,'R2_G3'!$A$8:$Y$17, S$2+7,FALSE),IF(COUNTIF('R2_G4'!$A$8:$A$17,$A35)=1,VLOOKUP($A35,'R2_G4'!$A$8:$Y$17, S$2+7,FALSE),""))))</f>
        <v>5</v>
      </c>
      <c r="T35" s="853">
        <f>IF(COUNTIF('R2_G1'!$A$8:$A$17,$A35)=1,VLOOKUP($A35,'R2_G1'!$A$8:$Y$17, T$2+7,FALSE),IF(COUNTIF('R2_G2'!$A$8:$A$17,$A35)=1,VLOOKUP($A35,'R2_G2'!$A$8:$Y$17, T$2+7,FALSE),IF(COUNTIF('R2_G3'!$A$8:$A$17,$A35)=1,VLOOKUP($A35,'R2_G3'!$A$8:$Y$17, T$2+7,FALSE),IF(COUNTIF('R2_G4'!$A$8:$A$17,$A35)=1,VLOOKUP($A35,'R2_G4'!$A$8:$Y$17, T$2+7,FALSE),""))))</f>
        <v>5</v>
      </c>
      <c r="U35" s="853">
        <f>IF(COUNTIF('R2_G1'!$A$8:$A$17,$A35)=1,VLOOKUP($A35,'R2_G1'!$A$8:$Y$17, U$2+7,FALSE),IF(COUNTIF('R2_G2'!$A$8:$A$17,$A35)=1,VLOOKUP($A35,'R2_G2'!$A$8:$Y$17, U$2+7,FALSE),IF(COUNTIF('R2_G3'!$A$8:$A$17,$A35)=1,VLOOKUP($A35,'R2_G3'!$A$8:$Y$17, U$2+7,FALSE),IF(COUNTIF('R2_G4'!$A$8:$A$17,$A35)=1,VLOOKUP($A35,'R2_G4'!$A$8:$Y$17, U$2+7,FALSE),""))))</f>
        <v>4</v>
      </c>
      <c r="V35" s="853">
        <f>IF(COUNTIF('R2_G1'!$A$8:$A$17,$A35)=1,VLOOKUP($A35,'R2_G1'!$A$8:$Y$17, V$2+7,FALSE),IF(COUNTIF('R2_G2'!$A$8:$A$17,$A35)=1,VLOOKUP($A35,'R2_G2'!$A$8:$Y$17, V$2+7,FALSE),IF(COUNTIF('R2_G3'!$A$8:$A$17,$A35)=1,VLOOKUP($A35,'R2_G3'!$A$8:$Y$17, V$2+7,FALSE),IF(COUNTIF('R2_G4'!$A$8:$A$17,$A35)=1,VLOOKUP($A35,'R2_G4'!$A$8:$Y$17, V$2+7,FALSE),""))))</f>
        <v>4</v>
      </c>
      <c r="W35" s="852">
        <f t="shared" si="37"/>
        <v>48</v>
      </c>
      <c r="X35" s="852">
        <f t="shared" si="38"/>
        <v>43</v>
      </c>
      <c r="Y35" s="852">
        <f t="shared" si="43"/>
        <v>91</v>
      </c>
      <c r="Z35" s="852">
        <f t="shared" ca="1" si="44"/>
        <v>78</v>
      </c>
      <c r="AA35" s="852">
        <f t="shared" si="45"/>
        <v>91</v>
      </c>
      <c r="AB35" s="896"/>
      <c r="AC35" s="849" t="str">
        <f t="shared" si="46"/>
        <v>DK</v>
      </c>
      <c r="AD35" s="850">
        <f ca="1">VLOOKUP(AC35,'Master Input'!$A$11:$L$27,8,FALSE)</f>
        <v>13</v>
      </c>
      <c r="AE35" s="849" t="s">
        <v>198</v>
      </c>
      <c r="AF35" s="832"/>
      <c r="AG35" s="852">
        <f t="shared" ref="AG35:AX35" ca="1" si="61">IF(E35="","",E35-IF($B35&gt;0,FLOOR($B35/18,1),0)-IF(AND(MOD($B35,18)&gt;=E$27,$B35&gt;0),1,0)+IF(E$27-18&gt;$B35,1,0))</f>
        <v>6</v>
      </c>
      <c r="AH35" s="852">
        <f t="shared" ca="1" si="61"/>
        <v>4</v>
      </c>
      <c r="AI35" s="852">
        <f t="shared" ca="1" si="61"/>
        <v>7</v>
      </c>
      <c r="AJ35" s="852">
        <f t="shared" ca="1" si="61"/>
        <v>3</v>
      </c>
      <c r="AK35" s="852">
        <f t="shared" ca="1" si="61"/>
        <v>4</v>
      </c>
      <c r="AL35" s="852">
        <f t="shared" ca="1" si="61"/>
        <v>4</v>
      </c>
      <c r="AM35" s="852">
        <f t="shared" ca="1" si="61"/>
        <v>5</v>
      </c>
      <c r="AN35" s="852">
        <f t="shared" ca="1" si="61"/>
        <v>6</v>
      </c>
      <c r="AO35" s="852">
        <f t="shared" ca="1" si="61"/>
        <v>2</v>
      </c>
      <c r="AP35" s="853">
        <f t="shared" ca="1" si="61"/>
        <v>6</v>
      </c>
      <c r="AQ35" s="853">
        <f t="shared" ca="1" si="61"/>
        <v>5</v>
      </c>
      <c r="AR35" s="853">
        <f t="shared" ca="1" si="61"/>
        <v>3</v>
      </c>
      <c r="AS35" s="853">
        <f t="shared" ca="1" si="61"/>
        <v>4</v>
      </c>
      <c r="AT35" s="853">
        <f t="shared" ca="1" si="61"/>
        <v>4</v>
      </c>
      <c r="AU35" s="853">
        <f t="shared" ca="1" si="61"/>
        <v>5</v>
      </c>
      <c r="AV35" s="853">
        <f t="shared" ca="1" si="61"/>
        <v>4</v>
      </c>
      <c r="AW35" s="853">
        <f t="shared" ca="1" si="61"/>
        <v>3</v>
      </c>
      <c r="AX35" s="853">
        <f t="shared" ca="1" si="61"/>
        <v>3</v>
      </c>
      <c r="AY35" s="852">
        <f t="shared" ca="1" si="40"/>
        <v>41</v>
      </c>
      <c r="AZ35" s="852">
        <f t="shared" ca="1" si="41"/>
        <v>37</v>
      </c>
      <c r="BA35" s="852">
        <f t="shared" ca="1" si="48"/>
        <v>78</v>
      </c>
      <c r="BB35" s="849" t="str">
        <f ca="1">IF(COUNTIF('R2_G1'!$A$8:$A$17,$A35)=1, IF(AND(BA35=Z35,BA35=VLOOKUP($A35,'R2_G1'!$A$8:$AB$17, 28,FALSE)),"yes","no"),
IF(COUNTIF('R2_G2'!$A$8:$A$17,$A35)=1, IF(AND(BA35=Z35,BA35=VLOOKUP($A35,'R2_G2'!$A$8:$AB$17, 28,FALSE)),"yes","no"),
IF(COUNTIF('R2_G3'!$A$8:$A$17,$A35)=1, IF(AND(BA35=Z35,BA35=VLOOKUP($A35,'R2_G3'!$A$8:$AB$17, 28,FALSE)),"yes","no"),
IF(COUNTIF('R2_G4'!$A$8:$A$17,$A35)=1, IF(AND(BA35=Z35,BA35=VLOOKUP($A35,'R2_G4'!$A$8:$AB$17, 28,FALSE)),"yes","no"),
"?"))))</f>
        <v>yes</v>
      </c>
      <c r="BC35" s="896"/>
      <c r="BD35" s="862">
        <f t="shared" ca="1" si="49"/>
        <v>7</v>
      </c>
      <c r="BE35" s="855">
        <f t="shared" ca="1" si="50"/>
        <v>8.6333333333333329</v>
      </c>
      <c r="BF35" s="855">
        <f t="shared" ca="1" si="51"/>
        <v>1</v>
      </c>
      <c r="BG35" s="855">
        <f t="shared" ca="1" si="52"/>
        <v>3</v>
      </c>
      <c r="BH35" s="855">
        <f t="shared" ca="1" si="53"/>
        <v>6</v>
      </c>
      <c r="BI35" s="855">
        <f t="shared" ca="1" si="54"/>
        <v>5</v>
      </c>
      <c r="BJ35" s="855">
        <f t="shared" ca="1" si="55"/>
        <v>3</v>
      </c>
    </row>
    <row r="36" spans="1:62" ht="14.25" customHeight="1">
      <c r="A36" s="857" t="str">
        <f t="shared" si="42"/>
        <v>Saugy</v>
      </c>
      <c r="B36" s="858">
        <f ca="1">VLOOKUP(A36,'Master Input'!$A$11:$L$27,8,FALSE)</f>
        <v>31</v>
      </c>
      <c r="C36" s="857"/>
      <c r="D36" s="851"/>
      <c r="E36" s="859">
        <f>IF(COUNTIF('R2_G1'!$A$8:$A$17,$A36)=1,VLOOKUP($A36,'R2_G1'!$A$8:$Y$17, E$2+4,FALSE),IF(COUNTIF('R2_G2'!$A$8:$A$17,$A36)=1,VLOOKUP($A36,'R2_G2'!$A$8:$Y$17, E$2+4,FALSE),IF(COUNTIF('R2_G3'!$A$8:$A$17,$A36)=1,VLOOKUP($A36,'R2_G3'!$A$8:$Y$17, E$2+4,FALSE),IF(COUNTIF('R2_G4'!$A$8:$A$17,$A36)=1,VLOOKUP($A36,'R2_G4'!$A$8:$Y$17, E$2+4,FALSE),""))))</f>
        <v>4</v>
      </c>
      <c r="F36" s="859">
        <f>IF(COUNTIF('R2_G1'!$A$8:$A$17,$A36)=1,VLOOKUP($A36,'R2_G1'!$A$8:$Y$17, F$2+4,FALSE),IF(COUNTIF('R2_G2'!$A$8:$A$17,$A36)=1,VLOOKUP($A36,'R2_G2'!$A$8:$Y$17, F$2+4,FALSE),IF(COUNTIF('R2_G3'!$A$8:$A$17,$A36)=1,VLOOKUP($A36,'R2_G3'!$A$8:$Y$17, F$2+4,FALSE),IF(COUNTIF('R2_G4'!$A$8:$A$17,$A36)=1,VLOOKUP($A36,'R2_G4'!$A$8:$Y$17, F$2+4,FALSE),""))))</f>
        <v>7</v>
      </c>
      <c r="G36" s="859">
        <f>IF(COUNTIF('R2_G1'!$A$8:$A$17,$A36)=1,VLOOKUP($A36,'R2_G1'!$A$8:$Y$17, G$2+4,FALSE),IF(COUNTIF('R2_G2'!$A$8:$A$17,$A36)=1,VLOOKUP($A36,'R2_G2'!$A$8:$Y$17, G$2+4,FALSE),IF(COUNTIF('R2_G3'!$A$8:$A$17,$A36)=1,VLOOKUP($A36,'R2_G3'!$A$8:$Y$17, G$2+4,FALSE),IF(COUNTIF('R2_G4'!$A$8:$A$17,$A36)=1,VLOOKUP($A36,'R2_G4'!$A$8:$Y$17, G$2+4,FALSE),""))))</f>
        <v>6</v>
      </c>
      <c r="H36" s="859">
        <f>IF(COUNTIF('R2_G1'!$A$8:$A$17,$A36)=1,VLOOKUP($A36,'R2_G1'!$A$8:$Y$17, H$2+4,FALSE),IF(COUNTIF('R2_G2'!$A$8:$A$17,$A36)=1,VLOOKUP($A36,'R2_G2'!$A$8:$Y$17, H$2+4,FALSE),IF(COUNTIF('R2_G3'!$A$8:$A$17,$A36)=1,VLOOKUP($A36,'R2_G3'!$A$8:$Y$17, H$2+4,FALSE),IF(COUNTIF('R2_G4'!$A$8:$A$17,$A36)=1,VLOOKUP($A36,'R2_G4'!$A$8:$Y$17, H$2+4,FALSE),""))))</f>
        <v>4</v>
      </c>
      <c r="I36" s="859">
        <f>IF(COUNTIF('R2_G1'!$A$8:$A$17,$A36)=1,VLOOKUP($A36,'R2_G1'!$A$8:$Y$17, I$2+4,FALSE),IF(COUNTIF('R2_G2'!$A$8:$A$17,$A36)=1,VLOOKUP($A36,'R2_G2'!$A$8:$Y$17, I$2+4,FALSE),IF(COUNTIF('R2_G3'!$A$8:$A$17,$A36)=1,VLOOKUP($A36,'R2_G3'!$A$8:$Y$17, I$2+4,FALSE),IF(COUNTIF('R2_G4'!$A$8:$A$17,$A36)=1,VLOOKUP($A36,'R2_G4'!$A$8:$Y$17, I$2+4,FALSE),""))))</f>
        <v>6</v>
      </c>
      <c r="J36" s="859">
        <f>IF(COUNTIF('R2_G1'!$A$8:$A$17,$A36)=1,VLOOKUP($A36,'R2_G1'!$A$8:$Y$17, J$2+4,FALSE),IF(COUNTIF('R2_G2'!$A$8:$A$17,$A36)=1,VLOOKUP($A36,'R2_G2'!$A$8:$Y$17, J$2+4,FALSE),IF(COUNTIF('R2_G3'!$A$8:$A$17,$A36)=1,VLOOKUP($A36,'R2_G3'!$A$8:$Y$17, J$2+4,FALSE),IF(COUNTIF('R2_G4'!$A$8:$A$17,$A36)=1,VLOOKUP($A36,'R2_G4'!$A$8:$Y$17, J$2+4,FALSE),""))))</f>
        <v>6</v>
      </c>
      <c r="K36" s="859">
        <f>IF(COUNTIF('R2_G1'!$A$8:$A$17,$A36)=1,VLOOKUP($A36,'R2_G1'!$A$8:$Y$17, K$2+4,FALSE),IF(COUNTIF('R2_G2'!$A$8:$A$17,$A36)=1,VLOOKUP($A36,'R2_G2'!$A$8:$Y$17, K$2+4,FALSE),IF(COUNTIF('R2_G3'!$A$8:$A$17,$A36)=1,VLOOKUP($A36,'R2_G3'!$A$8:$Y$17, K$2+4,FALSE),IF(COUNTIF('R2_G4'!$A$8:$A$17,$A36)=1,VLOOKUP($A36,'R2_G4'!$A$8:$Y$17, K$2+4,FALSE),""))))</f>
        <v>6</v>
      </c>
      <c r="L36" s="859">
        <f>IF(COUNTIF('R2_G1'!$A$8:$A$17,$A36)=1,VLOOKUP($A36,'R2_G1'!$A$8:$Y$17, L$2+4,FALSE),IF(COUNTIF('R2_G2'!$A$8:$A$17,$A36)=1,VLOOKUP($A36,'R2_G2'!$A$8:$Y$17, L$2+4,FALSE),IF(COUNTIF('R2_G3'!$A$8:$A$17,$A36)=1,VLOOKUP($A36,'R2_G3'!$A$8:$Y$17, L$2+4,FALSE),IF(COUNTIF('R2_G4'!$A$8:$A$17,$A36)=1,VLOOKUP($A36,'R2_G4'!$A$8:$Y$17, L$2+4,FALSE),""))))</f>
        <v>10</v>
      </c>
      <c r="M36" s="859">
        <f>IF(COUNTIF('R2_G1'!$A$8:$A$17,$A36)=1,VLOOKUP($A36,'R2_G1'!$A$8:$Y$17, M$2+4,FALSE),IF(COUNTIF('R2_G2'!$A$8:$A$17,$A36)=1,VLOOKUP($A36,'R2_G2'!$A$8:$Y$17, M$2+4,FALSE),IF(COUNTIF('R2_G3'!$A$8:$A$17,$A36)=1,VLOOKUP($A36,'R2_G3'!$A$8:$Y$17, M$2+4,FALSE),IF(COUNTIF('R2_G4'!$A$8:$A$17,$A36)=1,VLOOKUP($A36,'R2_G4'!$A$8:$Y$17, M$2+4,FALSE),""))))</f>
        <v>6</v>
      </c>
      <c r="N36" s="852">
        <f>IF(COUNTIF('R2_G1'!$A$8:$A$17,$A36)=1,VLOOKUP($A36,'R2_G1'!$A$8:$Y$17, N$2+7,FALSE),IF(COUNTIF('R2_G2'!$A$8:$A$17,$A36)=1,VLOOKUP($A36,'R2_G2'!$A$8:$Y$17, N$2+7,FALSE),IF(COUNTIF('R2_G3'!$A$8:$A$17,$A36)=1,VLOOKUP($A36,'R2_G3'!$A$8:$Y$17, N$2+7,FALSE),IF(COUNTIF('R2_G4'!$A$8:$A$17,$A36)=1,VLOOKUP($A36,'R2_G4'!$A$8:$Y$17, N$2+7,FALSE),""))))</f>
        <v>6</v>
      </c>
      <c r="O36" s="852">
        <f>IF(COUNTIF('R2_G1'!$A$8:$A$17,$A36)=1,VLOOKUP($A36,'R2_G1'!$A$8:$Y$17, O$2+7,FALSE),IF(COUNTIF('R2_G2'!$A$8:$A$17,$A36)=1,VLOOKUP($A36,'R2_G2'!$A$8:$Y$17, O$2+7,FALSE),IF(COUNTIF('R2_G3'!$A$8:$A$17,$A36)=1,VLOOKUP($A36,'R2_G3'!$A$8:$Y$17, O$2+7,FALSE),IF(COUNTIF('R2_G4'!$A$8:$A$17,$A36)=1,VLOOKUP($A36,'R2_G4'!$A$8:$Y$17, O$2+7,FALSE),""))))</f>
        <v>7</v>
      </c>
      <c r="P36" s="852">
        <f>IF(COUNTIF('R2_G1'!$A$8:$A$17,$A36)=1,VLOOKUP($A36,'R2_G1'!$A$8:$Y$17, P$2+7,FALSE),IF(COUNTIF('R2_G2'!$A$8:$A$17,$A36)=1,VLOOKUP($A36,'R2_G2'!$A$8:$Y$17, P$2+7,FALSE),IF(COUNTIF('R2_G3'!$A$8:$A$17,$A36)=1,VLOOKUP($A36,'R2_G3'!$A$8:$Y$17, P$2+7,FALSE),IF(COUNTIF('R2_G4'!$A$8:$A$17,$A36)=1,VLOOKUP($A36,'R2_G4'!$A$8:$Y$17, P$2+7,FALSE),""))))</f>
        <v>2</v>
      </c>
      <c r="Q36" s="852">
        <f>IF(COUNTIF('R2_G1'!$A$8:$A$17,$A36)=1,VLOOKUP($A36,'R2_G1'!$A$8:$Y$17, Q$2+7,FALSE),IF(COUNTIF('R2_G2'!$A$8:$A$17,$A36)=1,VLOOKUP($A36,'R2_G2'!$A$8:$Y$17, Q$2+7,FALSE),IF(COUNTIF('R2_G3'!$A$8:$A$17,$A36)=1,VLOOKUP($A36,'R2_G3'!$A$8:$Y$17, Q$2+7,FALSE),IF(COUNTIF('R2_G4'!$A$8:$A$17,$A36)=1,VLOOKUP($A36,'R2_G4'!$A$8:$Y$17, Q$2+7,FALSE),""))))</f>
        <v>8</v>
      </c>
      <c r="R36" s="852">
        <f>IF(COUNTIF('R2_G1'!$A$8:$A$17,$A36)=1,VLOOKUP($A36,'R2_G1'!$A$8:$Y$17, R$2+7,FALSE),IF(COUNTIF('R2_G2'!$A$8:$A$17,$A36)=1,VLOOKUP($A36,'R2_G2'!$A$8:$Y$17, R$2+7,FALSE),IF(COUNTIF('R2_G3'!$A$8:$A$17,$A36)=1,VLOOKUP($A36,'R2_G3'!$A$8:$Y$17, R$2+7,FALSE),IF(COUNTIF('R2_G4'!$A$8:$A$17,$A36)=1,VLOOKUP($A36,'R2_G4'!$A$8:$Y$17, R$2+7,FALSE),""))))</f>
        <v>5</v>
      </c>
      <c r="S36" s="852">
        <f>IF(COUNTIF('R2_G1'!$A$8:$A$17,$A36)=1,VLOOKUP($A36,'R2_G1'!$A$8:$Y$17, S$2+7,FALSE),IF(COUNTIF('R2_G2'!$A$8:$A$17,$A36)=1,VLOOKUP($A36,'R2_G2'!$A$8:$Y$17, S$2+7,FALSE),IF(COUNTIF('R2_G3'!$A$8:$A$17,$A36)=1,VLOOKUP($A36,'R2_G3'!$A$8:$Y$17, S$2+7,FALSE),IF(COUNTIF('R2_G4'!$A$8:$A$17,$A36)=1,VLOOKUP($A36,'R2_G4'!$A$8:$Y$17, S$2+7,FALSE),""))))</f>
        <v>8</v>
      </c>
      <c r="T36" s="852">
        <f>IF(COUNTIF('R2_G1'!$A$8:$A$17,$A36)=1,VLOOKUP($A36,'R2_G1'!$A$8:$Y$17, T$2+7,FALSE),IF(COUNTIF('R2_G2'!$A$8:$A$17,$A36)=1,VLOOKUP($A36,'R2_G2'!$A$8:$Y$17, T$2+7,FALSE),IF(COUNTIF('R2_G3'!$A$8:$A$17,$A36)=1,VLOOKUP($A36,'R2_G3'!$A$8:$Y$17, T$2+7,FALSE),IF(COUNTIF('R2_G4'!$A$8:$A$17,$A36)=1,VLOOKUP($A36,'R2_G4'!$A$8:$Y$17, T$2+7,FALSE),""))))</f>
        <v>9</v>
      </c>
      <c r="U36" s="852">
        <f>IF(COUNTIF('R2_G1'!$A$8:$A$17,$A36)=1,VLOOKUP($A36,'R2_G1'!$A$8:$Y$17, U$2+7,FALSE),IF(COUNTIF('R2_G2'!$A$8:$A$17,$A36)=1,VLOOKUP($A36,'R2_G2'!$A$8:$Y$17, U$2+7,FALSE),IF(COUNTIF('R2_G3'!$A$8:$A$17,$A36)=1,VLOOKUP($A36,'R2_G3'!$A$8:$Y$17, U$2+7,FALSE),IF(COUNTIF('R2_G4'!$A$8:$A$17,$A36)=1,VLOOKUP($A36,'R2_G4'!$A$8:$Y$17, U$2+7,FALSE),""))))</f>
        <v>4</v>
      </c>
      <c r="V36" s="852">
        <f>IF(COUNTIF('R2_G1'!$A$8:$A$17,$A36)=1,VLOOKUP($A36,'R2_G1'!$A$8:$Y$17, V$2+7,FALSE),IF(COUNTIF('R2_G2'!$A$8:$A$17,$A36)=1,VLOOKUP($A36,'R2_G2'!$A$8:$Y$17, V$2+7,FALSE),IF(COUNTIF('R2_G3'!$A$8:$A$17,$A36)=1,VLOOKUP($A36,'R2_G3'!$A$8:$Y$17, V$2+7,FALSE),IF(COUNTIF('R2_G4'!$A$8:$A$17,$A36)=1,VLOOKUP($A36,'R2_G4'!$A$8:$Y$17, V$2+7,FALSE),""))))</f>
        <v>5</v>
      </c>
      <c r="W36" s="859">
        <f t="shared" si="37"/>
        <v>55</v>
      </c>
      <c r="X36" s="859">
        <f t="shared" si="38"/>
        <v>54</v>
      </c>
      <c r="Y36" s="859">
        <f t="shared" si="43"/>
        <v>109</v>
      </c>
      <c r="Z36" s="859">
        <f t="shared" ca="1" si="44"/>
        <v>78</v>
      </c>
      <c r="AA36" s="859">
        <f t="shared" si="45"/>
        <v>109</v>
      </c>
      <c r="AB36" s="896"/>
      <c r="AC36" s="849" t="str">
        <f t="shared" si="46"/>
        <v>Saugy</v>
      </c>
      <c r="AD36" s="858">
        <f ca="1">VLOOKUP(AC36,'Master Input'!$A$11:$L$27,8,FALSE)</f>
        <v>31</v>
      </c>
      <c r="AE36" s="857" t="s">
        <v>198</v>
      </c>
      <c r="AF36" s="832"/>
      <c r="AG36" s="859">
        <f t="shared" ref="AG36:AX36" ca="1" si="62">IF(E36="","",E36-IF($B36&gt;0,FLOOR($B36/18,1),0)-IF(AND(MOD($B36,18)&gt;=E$27,$B36&gt;0),1,0)+IF(E$27-18&gt;$B36,1,0))</f>
        <v>2</v>
      </c>
      <c r="AH36" s="859">
        <f t="shared" ca="1" si="62"/>
        <v>5</v>
      </c>
      <c r="AI36" s="859">
        <f t="shared" ca="1" si="62"/>
        <v>4</v>
      </c>
      <c r="AJ36" s="859">
        <f t="shared" ca="1" si="62"/>
        <v>2</v>
      </c>
      <c r="AK36" s="859">
        <f t="shared" ca="1" si="62"/>
        <v>5</v>
      </c>
      <c r="AL36" s="859">
        <f t="shared" ca="1" si="62"/>
        <v>4</v>
      </c>
      <c r="AM36" s="859">
        <f t="shared" ca="1" si="62"/>
        <v>4</v>
      </c>
      <c r="AN36" s="859">
        <f t="shared" ca="1" si="62"/>
        <v>8</v>
      </c>
      <c r="AO36" s="859">
        <f t="shared" ca="1" si="62"/>
        <v>5</v>
      </c>
      <c r="AP36" s="852">
        <f t="shared" ca="1" si="62"/>
        <v>4</v>
      </c>
      <c r="AQ36" s="852">
        <f t="shared" ca="1" si="62"/>
        <v>5</v>
      </c>
      <c r="AR36" s="852">
        <f t="shared" ca="1" si="62"/>
        <v>1</v>
      </c>
      <c r="AS36" s="852">
        <f t="shared" ca="1" si="62"/>
        <v>6</v>
      </c>
      <c r="AT36" s="852">
        <f t="shared" ca="1" si="62"/>
        <v>4</v>
      </c>
      <c r="AU36" s="852">
        <f t="shared" ca="1" si="62"/>
        <v>7</v>
      </c>
      <c r="AV36" s="852">
        <f t="shared" ca="1" si="62"/>
        <v>7</v>
      </c>
      <c r="AW36" s="852">
        <f t="shared" ca="1" si="62"/>
        <v>2</v>
      </c>
      <c r="AX36" s="852">
        <f t="shared" ca="1" si="62"/>
        <v>3</v>
      </c>
      <c r="AY36" s="859">
        <f t="shared" ca="1" si="40"/>
        <v>39</v>
      </c>
      <c r="AZ36" s="859">
        <f t="shared" ca="1" si="41"/>
        <v>39</v>
      </c>
      <c r="BA36" s="859">
        <f t="shared" ca="1" si="48"/>
        <v>78</v>
      </c>
      <c r="BB36" s="857" t="str">
        <f ca="1">IF(COUNTIF('R2_G1'!$A$8:$A$17,$A36)=1, IF(AND(BA36=Z36,BA36=VLOOKUP($A36,'R2_G1'!$A$8:$AB$17, 28,FALSE)),"yes","no"),
IF(COUNTIF('R2_G2'!$A$8:$A$17,$A36)=1, IF(AND(BA36=Z36,BA36=VLOOKUP($A36,'R2_G2'!$A$8:$AB$17, 28,FALSE)),"yes","no"),
IF(COUNTIF('R2_G3'!$A$8:$A$17,$A36)=1, IF(AND(BA36=Z36,BA36=VLOOKUP($A36,'R2_G3'!$A$8:$AB$17, 28,FALSE)),"yes","no"),
IF(COUNTIF('R2_G4'!$A$8:$A$17,$A36)=1, IF(AND(BA36=Z36,BA36=VLOOKUP($A36,'R2_G4'!$A$8:$AB$17, 28,FALSE)),"yes","no"),
"?"))))</f>
        <v>yes</v>
      </c>
      <c r="BC36" s="896"/>
      <c r="BD36" s="860">
        <f t="shared" ca="1" si="49"/>
        <v>8</v>
      </c>
      <c r="BE36" s="861">
        <f t="shared" ca="1" si="50"/>
        <v>8.2999999999999989</v>
      </c>
      <c r="BF36" s="861">
        <f t="shared" ca="1" si="51"/>
        <v>5</v>
      </c>
      <c r="BG36" s="861">
        <f t="shared" ca="1" si="52"/>
        <v>1</v>
      </c>
      <c r="BH36" s="861">
        <f t="shared" ca="1" si="53"/>
        <v>4</v>
      </c>
      <c r="BI36" s="861">
        <f t="shared" ca="1" si="54"/>
        <v>2</v>
      </c>
      <c r="BJ36" s="861">
        <f t="shared" ca="1" si="55"/>
        <v>6</v>
      </c>
    </row>
    <row r="37" spans="1:62" ht="14.25" customHeight="1">
      <c r="A37" s="849" t="str">
        <f t="shared" si="42"/>
        <v>Elger</v>
      </c>
      <c r="B37" s="850">
        <f ca="1">VLOOKUP(A37,'Master Input'!$A$11:$L$27,8,FALSE)</f>
        <v>3</v>
      </c>
      <c r="C37" s="849"/>
      <c r="D37" s="851"/>
      <c r="E37" s="852">
        <f>IF(COUNTIF('R2_G1'!$A$8:$A$17,$A37)=1,VLOOKUP($A37,'R2_G1'!$A$8:$Y$17, E$2+4,FALSE),IF(COUNTIF('R2_G2'!$A$8:$A$17,$A37)=1,VLOOKUP($A37,'R2_G2'!$A$8:$Y$17, E$2+4,FALSE),IF(COUNTIF('R2_G3'!$A$8:$A$17,$A37)=1,VLOOKUP($A37,'R2_G3'!$A$8:$Y$17, E$2+4,FALSE),IF(COUNTIF('R2_G4'!$A$8:$A$17,$A37)=1,VLOOKUP($A37,'R2_G4'!$A$8:$Y$17, E$2+4,FALSE),""))))</f>
        <v>5</v>
      </c>
      <c r="F37" s="852">
        <f>IF(COUNTIF('R2_G1'!$A$8:$A$17,$A37)=1,VLOOKUP($A37,'R2_G1'!$A$8:$Y$17, F$2+4,FALSE),IF(COUNTIF('R2_G2'!$A$8:$A$17,$A37)=1,VLOOKUP($A37,'R2_G2'!$A$8:$Y$17, F$2+4,FALSE),IF(COUNTIF('R2_G3'!$A$8:$A$17,$A37)=1,VLOOKUP($A37,'R2_G3'!$A$8:$Y$17, F$2+4,FALSE),IF(COUNTIF('R2_G4'!$A$8:$A$17,$A37)=1,VLOOKUP($A37,'R2_G4'!$A$8:$Y$17, F$2+4,FALSE),""))))</f>
        <v>6</v>
      </c>
      <c r="G37" s="852">
        <f>IF(COUNTIF('R2_G1'!$A$8:$A$17,$A37)=1,VLOOKUP($A37,'R2_G1'!$A$8:$Y$17, G$2+4,FALSE),IF(COUNTIF('R2_G2'!$A$8:$A$17,$A37)=1,VLOOKUP($A37,'R2_G2'!$A$8:$Y$17, G$2+4,FALSE),IF(COUNTIF('R2_G3'!$A$8:$A$17,$A37)=1,VLOOKUP($A37,'R2_G3'!$A$8:$Y$17, G$2+4,FALSE),IF(COUNTIF('R2_G4'!$A$8:$A$17,$A37)=1,VLOOKUP($A37,'R2_G4'!$A$8:$Y$17, G$2+4,FALSE),""))))</f>
        <v>6</v>
      </c>
      <c r="H37" s="852">
        <f>IF(COUNTIF('R2_G1'!$A$8:$A$17,$A37)=1,VLOOKUP($A37,'R2_G1'!$A$8:$Y$17, H$2+4,FALSE),IF(COUNTIF('R2_G2'!$A$8:$A$17,$A37)=1,VLOOKUP($A37,'R2_G2'!$A$8:$Y$17, H$2+4,FALSE),IF(COUNTIF('R2_G3'!$A$8:$A$17,$A37)=1,VLOOKUP($A37,'R2_G3'!$A$8:$Y$17, H$2+4,FALSE),IF(COUNTIF('R2_G4'!$A$8:$A$17,$A37)=1,VLOOKUP($A37,'R2_G4'!$A$8:$Y$17, H$2+4,FALSE),""))))</f>
        <v>4</v>
      </c>
      <c r="I37" s="852">
        <f>IF(COUNTIF('R2_G1'!$A$8:$A$17,$A37)=1,VLOOKUP($A37,'R2_G1'!$A$8:$Y$17, I$2+4,FALSE),IF(COUNTIF('R2_G2'!$A$8:$A$17,$A37)=1,VLOOKUP($A37,'R2_G2'!$A$8:$Y$17, I$2+4,FALSE),IF(COUNTIF('R2_G3'!$A$8:$A$17,$A37)=1,VLOOKUP($A37,'R2_G3'!$A$8:$Y$17, I$2+4,FALSE),IF(COUNTIF('R2_G4'!$A$8:$A$17,$A37)=1,VLOOKUP($A37,'R2_G4'!$A$8:$Y$17, I$2+4,FALSE),""))))</f>
        <v>3</v>
      </c>
      <c r="J37" s="852">
        <f>IF(COUNTIF('R2_G1'!$A$8:$A$17,$A37)=1,VLOOKUP($A37,'R2_G1'!$A$8:$Y$17, J$2+4,FALSE),IF(COUNTIF('R2_G2'!$A$8:$A$17,$A37)=1,VLOOKUP($A37,'R2_G2'!$A$8:$Y$17, J$2+4,FALSE),IF(COUNTIF('R2_G3'!$A$8:$A$17,$A37)=1,VLOOKUP($A37,'R2_G3'!$A$8:$Y$17, J$2+4,FALSE),IF(COUNTIF('R2_G4'!$A$8:$A$17,$A37)=1,VLOOKUP($A37,'R2_G4'!$A$8:$Y$17, J$2+4,FALSE),""))))</f>
        <v>4</v>
      </c>
      <c r="K37" s="852">
        <f>IF(COUNTIF('R2_G1'!$A$8:$A$17,$A37)=1,VLOOKUP($A37,'R2_G1'!$A$8:$Y$17, K$2+4,FALSE),IF(COUNTIF('R2_G2'!$A$8:$A$17,$A37)=1,VLOOKUP($A37,'R2_G2'!$A$8:$Y$17, K$2+4,FALSE),IF(COUNTIF('R2_G3'!$A$8:$A$17,$A37)=1,VLOOKUP($A37,'R2_G3'!$A$8:$Y$17, K$2+4,FALSE),IF(COUNTIF('R2_G4'!$A$8:$A$17,$A37)=1,VLOOKUP($A37,'R2_G4'!$A$8:$Y$17, K$2+4,FALSE),""))))</f>
        <v>4</v>
      </c>
      <c r="L37" s="852">
        <f>IF(COUNTIF('R2_G1'!$A$8:$A$17,$A37)=1,VLOOKUP($A37,'R2_G1'!$A$8:$Y$17, L$2+4,FALSE),IF(COUNTIF('R2_G2'!$A$8:$A$17,$A37)=1,VLOOKUP($A37,'R2_G2'!$A$8:$Y$17, L$2+4,FALSE),IF(COUNTIF('R2_G3'!$A$8:$A$17,$A37)=1,VLOOKUP($A37,'R2_G3'!$A$8:$Y$17, L$2+4,FALSE),IF(COUNTIF('R2_G4'!$A$8:$A$17,$A37)=1,VLOOKUP($A37,'R2_G4'!$A$8:$Y$17, L$2+4,FALSE),""))))</f>
        <v>5</v>
      </c>
      <c r="M37" s="852">
        <f>IF(COUNTIF('R2_G1'!$A$8:$A$17,$A37)=1,VLOOKUP($A37,'R2_G1'!$A$8:$Y$17, M$2+4,FALSE),IF(COUNTIF('R2_G2'!$A$8:$A$17,$A37)=1,VLOOKUP($A37,'R2_G2'!$A$8:$Y$17, M$2+4,FALSE),IF(COUNTIF('R2_G3'!$A$8:$A$17,$A37)=1,VLOOKUP($A37,'R2_G3'!$A$8:$Y$17, M$2+4,FALSE),IF(COUNTIF('R2_G4'!$A$8:$A$17,$A37)=1,VLOOKUP($A37,'R2_G4'!$A$8:$Y$17, M$2+4,FALSE),""))))</f>
        <v>5</v>
      </c>
      <c r="N37" s="853">
        <f>IF(COUNTIF('R2_G1'!$A$8:$A$17,$A37)=1,VLOOKUP($A37,'R2_G1'!$A$8:$Y$17, N$2+7,FALSE),IF(COUNTIF('R2_G2'!$A$8:$A$17,$A37)=1,VLOOKUP($A37,'R2_G2'!$A$8:$Y$17, N$2+7,FALSE),IF(COUNTIF('R2_G3'!$A$8:$A$17,$A37)=1,VLOOKUP($A37,'R2_G3'!$A$8:$Y$17, N$2+7,FALSE),IF(COUNTIF('R2_G4'!$A$8:$A$17,$A37)=1,VLOOKUP($A37,'R2_G4'!$A$8:$Y$17, N$2+7,FALSE),""))))</f>
        <v>5</v>
      </c>
      <c r="O37" s="853">
        <f>IF(COUNTIF('R2_G1'!$A$8:$A$17,$A37)=1,VLOOKUP($A37,'R2_G1'!$A$8:$Y$17, O$2+7,FALSE),IF(COUNTIF('R2_G2'!$A$8:$A$17,$A37)=1,VLOOKUP($A37,'R2_G2'!$A$8:$Y$17, O$2+7,FALSE),IF(COUNTIF('R2_G3'!$A$8:$A$17,$A37)=1,VLOOKUP($A37,'R2_G3'!$A$8:$Y$17, O$2+7,FALSE),IF(COUNTIF('R2_G4'!$A$8:$A$17,$A37)=1,VLOOKUP($A37,'R2_G4'!$A$8:$Y$17, O$2+7,FALSE),""))))</f>
        <v>5</v>
      </c>
      <c r="P37" s="853">
        <f>IF(COUNTIF('R2_G1'!$A$8:$A$17,$A37)=1,VLOOKUP($A37,'R2_G1'!$A$8:$Y$17, P$2+7,FALSE),IF(COUNTIF('R2_G2'!$A$8:$A$17,$A37)=1,VLOOKUP($A37,'R2_G2'!$A$8:$Y$17, P$2+7,FALSE),IF(COUNTIF('R2_G3'!$A$8:$A$17,$A37)=1,VLOOKUP($A37,'R2_G3'!$A$8:$Y$17, P$2+7,FALSE),IF(COUNTIF('R2_G4'!$A$8:$A$17,$A37)=1,VLOOKUP($A37,'R2_G4'!$A$8:$Y$17, P$2+7,FALSE),""))))</f>
        <v>3</v>
      </c>
      <c r="Q37" s="853">
        <f>IF(COUNTIF('R2_G1'!$A$8:$A$17,$A37)=1,VLOOKUP($A37,'R2_G1'!$A$8:$Y$17, Q$2+7,FALSE),IF(COUNTIF('R2_G2'!$A$8:$A$17,$A37)=1,VLOOKUP($A37,'R2_G2'!$A$8:$Y$17, Q$2+7,FALSE),IF(COUNTIF('R2_G3'!$A$8:$A$17,$A37)=1,VLOOKUP($A37,'R2_G3'!$A$8:$Y$17, Q$2+7,FALSE),IF(COUNTIF('R2_G4'!$A$8:$A$17,$A37)=1,VLOOKUP($A37,'R2_G4'!$A$8:$Y$17, Q$2+7,FALSE),""))))</f>
        <v>4</v>
      </c>
      <c r="R37" s="853">
        <f>IF(COUNTIF('R2_G1'!$A$8:$A$17,$A37)=1,VLOOKUP($A37,'R2_G1'!$A$8:$Y$17, R$2+7,FALSE),IF(COUNTIF('R2_G2'!$A$8:$A$17,$A37)=1,VLOOKUP($A37,'R2_G2'!$A$8:$Y$17, R$2+7,FALSE),IF(COUNTIF('R2_G3'!$A$8:$A$17,$A37)=1,VLOOKUP($A37,'R2_G3'!$A$8:$Y$17, R$2+7,FALSE),IF(COUNTIF('R2_G4'!$A$8:$A$17,$A37)=1,VLOOKUP($A37,'R2_G4'!$A$8:$Y$17, R$2+7,FALSE),""))))</f>
        <v>4</v>
      </c>
      <c r="S37" s="853">
        <f>IF(COUNTIF('R2_G1'!$A$8:$A$17,$A37)=1,VLOOKUP($A37,'R2_G1'!$A$8:$Y$17, S$2+7,FALSE),IF(COUNTIF('R2_G2'!$A$8:$A$17,$A37)=1,VLOOKUP($A37,'R2_G2'!$A$8:$Y$17, S$2+7,FALSE),IF(COUNTIF('R2_G3'!$A$8:$A$17,$A37)=1,VLOOKUP($A37,'R2_G3'!$A$8:$Y$17, S$2+7,FALSE),IF(COUNTIF('R2_G4'!$A$8:$A$17,$A37)=1,VLOOKUP($A37,'R2_G4'!$A$8:$Y$17, S$2+7,FALSE),""))))</f>
        <v>4</v>
      </c>
      <c r="T37" s="853">
        <f>IF(COUNTIF('R2_G1'!$A$8:$A$17,$A37)=1,VLOOKUP($A37,'R2_G1'!$A$8:$Y$17, T$2+7,FALSE),IF(COUNTIF('R2_G2'!$A$8:$A$17,$A37)=1,VLOOKUP($A37,'R2_G2'!$A$8:$Y$17, T$2+7,FALSE),IF(COUNTIF('R2_G3'!$A$8:$A$17,$A37)=1,VLOOKUP($A37,'R2_G3'!$A$8:$Y$17, T$2+7,FALSE),IF(COUNTIF('R2_G4'!$A$8:$A$17,$A37)=1,VLOOKUP($A37,'R2_G4'!$A$8:$Y$17, T$2+7,FALSE),""))))</f>
        <v>7</v>
      </c>
      <c r="U37" s="853">
        <f>IF(COUNTIF('R2_G1'!$A$8:$A$17,$A37)=1,VLOOKUP($A37,'R2_G1'!$A$8:$Y$17, U$2+7,FALSE),IF(COUNTIF('R2_G2'!$A$8:$A$17,$A37)=1,VLOOKUP($A37,'R2_G2'!$A$8:$Y$17, U$2+7,FALSE),IF(COUNTIF('R2_G3'!$A$8:$A$17,$A37)=1,VLOOKUP($A37,'R2_G3'!$A$8:$Y$17, U$2+7,FALSE),IF(COUNTIF('R2_G4'!$A$8:$A$17,$A37)=1,VLOOKUP($A37,'R2_G4'!$A$8:$Y$17, U$2+7,FALSE),""))))</f>
        <v>4</v>
      </c>
      <c r="V37" s="853">
        <f>IF(COUNTIF('R2_G1'!$A$8:$A$17,$A37)=1,VLOOKUP($A37,'R2_G1'!$A$8:$Y$17, V$2+7,FALSE),IF(COUNTIF('R2_G2'!$A$8:$A$17,$A37)=1,VLOOKUP($A37,'R2_G2'!$A$8:$Y$17, V$2+7,FALSE),IF(COUNTIF('R2_G3'!$A$8:$A$17,$A37)=1,VLOOKUP($A37,'R2_G3'!$A$8:$Y$17, V$2+7,FALSE),IF(COUNTIF('R2_G4'!$A$8:$A$17,$A37)=1,VLOOKUP($A37,'R2_G4'!$A$8:$Y$17, V$2+7,FALSE),""))))</f>
        <v>6</v>
      </c>
      <c r="W37" s="852">
        <f t="shared" si="37"/>
        <v>42</v>
      </c>
      <c r="X37" s="852">
        <f t="shared" si="38"/>
        <v>42</v>
      </c>
      <c r="Y37" s="852">
        <f t="shared" si="43"/>
        <v>84</v>
      </c>
      <c r="Z37" s="852">
        <f t="shared" ca="1" si="44"/>
        <v>81</v>
      </c>
      <c r="AA37" s="852">
        <f t="shared" si="45"/>
        <v>84</v>
      </c>
      <c r="AB37" s="896"/>
      <c r="AC37" s="849" t="str">
        <f t="shared" si="46"/>
        <v>Elger</v>
      </c>
      <c r="AD37" s="850">
        <f ca="1">VLOOKUP(AC37,'Master Input'!$A$11:$L$27,8,FALSE)</f>
        <v>3</v>
      </c>
      <c r="AE37" s="849" t="s">
        <v>198</v>
      </c>
      <c r="AF37" s="832"/>
      <c r="AG37" s="852">
        <f t="shared" ref="AG37:AX37" ca="1" si="63">IF(E37="","",E37-IF($B37&gt;0,FLOOR($B37/18,1),0)-IF(AND(MOD($B37,18)&gt;=E$27,$B37&gt;0),1,0)+IF(E$27-18&gt;$B37,1,0))</f>
        <v>5</v>
      </c>
      <c r="AH37" s="852">
        <f t="shared" ca="1" si="63"/>
        <v>6</v>
      </c>
      <c r="AI37" s="852">
        <f t="shared" ca="1" si="63"/>
        <v>5</v>
      </c>
      <c r="AJ37" s="852">
        <f t="shared" ca="1" si="63"/>
        <v>4</v>
      </c>
      <c r="AK37" s="852">
        <f t="shared" ca="1" si="63"/>
        <v>3</v>
      </c>
      <c r="AL37" s="852">
        <f t="shared" ca="1" si="63"/>
        <v>3</v>
      </c>
      <c r="AM37" s="852">
        <f t="shared" ca="1" si="63"/>
        <v>4</v>
      </c>
      <c r="AN37" s="852">
        <f t="shared" ca="1" si="63"/>
        <v>5</v>
      </c>
      <c r="AO37" s="852">
        <f t="shared" ca="1" si="63"/>
        <v>5</v>
      </c>
      <c r="AP37" s="853">
        <f t="shared" ca="1" si="63"/>
        <v>5</v>
      </c>
      <c r="AQ37" s="853">
        <f t="shared" ca="1" si="63"/>
        <v>4</v>
      </c>
      <c r="AR37" s="853">
        <f t="shared" ca="1" si="63"/>
        <v>3</v>
      </c>
      <c r="AS37" s="853">
        <f t="shared" ca="1" si="63"/>
        <v>4</v>
      </c>
      <c r="AT37" s="853">
        <f t="shared" ca="1" si="63"/>
        <v>4</v>
      </c>
      <c r="AU37" s="853">
        <f t="shared" ca="1" si="63"/>
        <v>4</v>
      </c>
      <c r="AV37" s="853">
        <f t="shared" ca="1" si="63"/>
        <v>7</v>
      </c>
      <c r="AW37" s="853">
        <f t="shared" ca="1" si="63"/>
        <v>4</v>
      </c>
      <c r="AX37" s="853">
        <f t="shared" ca="1" si="63"/>
        <v>6</v>
      </c>
      <c r="AY37" s="852">
        <f t="shared" ca="1" si="40"/>
        <v>40</v>
      </c>
      <c r="AZ37" s="852">
        <f t="shared" ca="1" si="41"/>
        <v>41</v>
      </c>
      <c r="BA37" s="852">
        <f t="shared" ca="1" si="48"/>
        <v>81</v>
      </c>
      <c r="BB37" s="849" t="str">
        <f ca="1">IF(COUNTIF('R2_G1'!$A$8:$A$17,$A37)=1, IF(AND(BA37=Z37,BA37=VLOOKUP($A37,'R2_G1'!$A$8:$AB$17, 28,FALSE)),"yes","no"),
IF(COUNTIF('R2_G2'!$A$8:$A$17,$A37)=1, IF(AND(BA37=Z37,BA37=VLOOKUP($A37,'R2_G2'!$A$8:$AB$17, 28,FALSE)),"yes","no"),
IF(COUNTIF('R2_G3'!$A$8:$A$17,$A37)=1, IF(AND(BA37=Z37,BA37=VLOOKUP($A37,'R2_G3'!$A$8:$AB$17, 28,FALSE)),"yes","no"),
IF(COUNTIF('R2_G4'!$A$8:$A$17,$A37)=1, IF(AND(BA37=Z37,BA37=VLOOKUP($A37,'R2_G4'!$A$8:$AB$17, 28,FALSE)),"yes","no"),
"?"))))</f>
        <v>yes</v>
      </c>
      <c r="BC37" s="896"/>
      <c r="BD37" s="862">
        <f t="shared" ca="1" si="49"/>
        <v>6.5</v>
      </c>
      <c r="BE37" s="855">
        <f t="shared" ca="1" si="50"/>
        <v>8.1333333333333329</v>
      </c>
      <c r="BF37" s="855">
        <f t="shared" ca="1" si="51"/>
        <v>0</v>
      </c>
      <c r="BG37" s="855">
        <f t="shared" ca="1" si="52"/>
        <v>2</v>
      </c>
      <c r="BH37" s="855">
        <f t="shared" ca="1" si="53"/>
        <v>9</v>
      </c>
      <c r="BI37" s="855">
        <f t="shared" ca="1" si="54"/>
        <v>4</v>
      </c>
      <c r="BJ37" s="855">
        <f t="shared" ca="1" si="55"/>
        <v>3</v>
      </c>
    </row>
    <row r="38" spans="1:62" ht="14.25" customHeight="1">
      <c r="A38" s="857" t="str">
        <f t="shared" si="42"/>
        <v>Andy</v>
      </c>
      <c r="B38" s="858">
        <f ca="1">VLOOKUP(A38,'Master Input'!$A$11:$L$27,8,FALSE)</f>
        <v>4</v>
      </c>
      <c r="C38" s="857"/>
      <c r="D38" s="851"/>
      <c r="E38" s="859">
        <f>IF(COUNTIF('R2_G1'!$A$8:$A$17,$A38)=1,VLOOKUP($A38,'R2_G1'!$A$8:$Y$17, E$2+4,FALSE),IF(COUNTIF('R2_G2'!$A$8:$A$17,$A38)=1,VLOOKUP($A38,'R2_G2'!$A$8:$Y$17, E$2+4,FALSE),IF(COUNTIF('R2_G3'!$A$8:$A$17,$A38)=1,VLOOKUP($A38,'R2_G3'!$A$8:$Y$17, E$2+4,FALSE),IF(COUNTIF('R2_G4'!$A$8:$A$17,$A38)=1,VLOOKUP($A38,'R2_G4'!$A$8:$Y$17, E$2+4,FALSE),""))))</f>
        <v>5</v>
      </c>
      <c r="F38" s="859">
        <f>IF(COUNTIF('R2_G1'!$A$8:$A$17,$A38)=1,VLOOKUP($A38,'R2_G1'!$A$8:$Y$17, F$2+4,FALSE),IF(COUNTIF('R2_G2'!$A$8:$A$17,$A38)=1,VLOOKUP($A38,'R2_G2'!$A$8:$Y$17, F$2+4,FALSE),IF(COUNTIF('R2_G3'!$A$8:$A$17,$A38)=1,VLOOKUP($A38,'R2_G3'!$A$8:$Y$17, F$2+4,FALSE),IF(COUNTIF('R2_G4'!$A$8:$A$17,$A38)=1,VLOOKUP($A38,'R2_G4'!$A$8:$Y$17, F$2+4,FALSE),""))))</f>
        <v>5</v>
      </c>
      <c r="G38" s="859">
        <f>IF(COUNTIF('R2_G1'!$A$8:$A$17,$A38)=1,VLOOKUP($A38,'R2_G1'!$A$8:$Y$17, G$2+4,FALSE),IF(COUNTIF('R2_G2'!$A$8:$A$17,$A38)=1,VLOOKUP($A38,'R2_G2'!$A$8:$Y$17, G$2+4,FALSE),IF(COUNTIF('R2_G3'!$A$8:$A$17,$A38)=1,VLOOKUP($A38,'R2_G3'!$A$8:$Y$17, G$2+4,FALSE),IF(COUNTIF('R2_G4'!$A$8:$A$17,$A38)=1,VLOOKUP($A38,'R2_G4'!$A$8:$Y$17, G$2+4,FALSE),""))))</f>
        <v>6</v>
      </c>
      <c r="H38" s="859">
        <f>IF(COUNTIF('R2_G1'!$A$8:$A$17,$A38)=1,VLOOKUP($A38,'R2_G1'!$A$8:$Y$17, H$2+4,FALSE),IF(COUNTIF('R2_G2'!$A$8:$A$17,$A38)=1,VLOOKUP($A38,'R2_G2'!$A$8:$Y$17, H$2+4,FALSE),IF(COUNTIF('R2_G3'!$A$8:$A$17,$A38)=1,VLOOKUP($A38,'R2_G3'!$A$8:$Y$17, H$2+4,FALSE),IF(COUNTIF('R2_G4'!$A$8:$A$17,$A38)=1,VLOOKUP($A38,'R2_G4'!$A$8:$Y$17, H$2+4,FALSE),""))))</f>
        <v>5</v>
      </c>
      <c r="I38" s="859">
        <f>IF(COUNTIF('R2_G1'!$A$8:$A$17,$A38)=1,VLOOKUP($A38,'R2_G1'!$A$8:$Y$17, I$2+4,FALSE),IF(COUNTIF('R2_G2'!$A$8:$A$17,$A38)=1,VLOOKUP($A38,'R2_G2'!$A$8:$Y$17, I$2+4,FALSE),IF(COUNTIF('R2_G3'!$A$8:$A$17,$A38)=1,VLOOKUP($A38,'R2_G3'!$A$8:$Y$17, I$2+4,FALSE),IF(COUNTIF('R2_G4'!$A$8:$A$17,$A38)=1,VLOOKUP($A38,'R2_G4'!$A$8:$Y$17, I$2+4,FALSE),""))))</f>
        <v>3</v>
      </c>
      <c r="J38" s="859">
        <f>IF(COUNTIF('R2_G1'!$A$8:$A$17,$A38)=1,VLOOKUP($A38,'R2_G1'!$A$8:$Y$17, J$2+4,FALSE),IF(COUNTIF('R2_G2'!$A$8:$A$17,$A38)=1,VLOOKUP($A38,'R2_G2'!$A$8:$Y$17, J$2+4,FALSE),IF(COUNTIF('R2_G3'!$A$8:$A$17,$A38)=1,VLOOKUP($A38,'R2_G3'!$A$8:$Y$17, J$2+4,FALSE),IF(COUNTIF('R2_G4'!$A$8:$A$17,$A38)=1,VLOOKUP($A38,'R2_G4'!$A$8:$Y$17, J$2+4,FALSE),""))))</f>
        <v>5</v>
      </c>
      <c r="K38" s="859">
        <f>IF(COUNTIF('R2_G1'!$A$8:$A$17,$A38)=1,VLOOKUP($A38,'R2_G1'!$A$8:$Y$17, K$2+4,FALSE),IF(COUNTIF('R2_G2'!$A$8:$A$17,$A38)=1,VLOOKUP($A38,'R2_G2'!$A$8:$Y$17, K$2+4,FALSE),IF(COUNTIF('R2_G3'!$A$8:$A$17,$A38)=1,VLOOKUP($A38,'R2_G3'!$A$8:$Y$17, K$2+4,FALSE),IF(COUNTIF('R2_G4'!$A$8:$A$17,$A38)=1,VLOOKUP($A38,'R2_G4'!$A$8:$Y$17, K$2+4,FALSE),""))))</f>
        <v>6</v>
      </c>
      <c r="L38" s="859">
        <f>IF(COUNTIF('R2_G1'!$A$8:$A$17,$A38)=1,VLOOKUP($A38,'R2_G1'!$A$8:$Y$17, L$2+4,FALSE),IF(COUNTIF('R2_G2'!$A$8:$A$17,$A38)=1,VLOOKUP($A38,'R2_G2'!$A$8:$Y$17, L$2+4,FALSE),IF(COUNTIF('R2_G3'!$A$8:$A$17,$A38)=1,VLOOKUP($A38,'R2_G3'!$A$8:$Y$17, L$2+4,FALSE),IF(COUNTIF('R2_G4'!$A$8:$A$17,$A38)=1,VLOOKUP($A38,'R2_G4'!$A$8:$Y$17, L$2+4,FALSE),""))))</f>
        <v>5</v>
      </c>
      <c r="M38" s="859">
        <f>IF(COUNTIF('R2_G1'!$A$8:$A$17,$A38)=1,VLOOKUP($A38,'R2_G1'!$A$8:$Y$17, M$2+4,FALSE),IF(COUNTIF('R2_G2'!$A$8:$A$17,$A38)=1,VLOOKUP($A38,'R2_G2'!$A$8:$Y$17, M$2+4,FALSE),IF(COUNTIF('R2_G3'!$A$8:$A$17,$A38)=1,VLOOKUP($A38,'R2_G3'!$A$8:$Y$17, M$2+4,FALSE),IF(COUNTIF('R2_G4'!$A$8:$A$17,$A38)=1,VLOOKUP($A38,'R2_G4'!$A$8:$Y$17, M$2+4,FALSE),""))))</f>
        <v>3</v>
      </c>
      <c r="N38" s="852">
        <f>IF(COUNTIF('R2_G1'!$A$8:$A$17,$A38)=1,VLOOKUP($A38,'R2_G1'!$A$8:$Y$17, N$2+7,FALSE),IF(COUNTIF('R2_G2'!$A$8:$A$17,$A38)=1,VLOOKUP($A38,'R2_G2'!$A$8:$Y$17, N$2+7,FALSE),IF(COUNTIF('R2_G3'!$A$8:$A$17,$A38)=1,VLOOKUP($A38,'R2_G3'!$A$8:$Y$17, N$2+7,FALSE),IF(COUNTIF('R2_G4'!$A$8:$A$17,$A38)=1,VLOOKUP($A38,'R2_G4'!$A$8:$Y$17, N$2+7,FALSE),""))))</f>
        <v>5</v>
      </c>
      <c r="O38" s="852">
        <f>IF(COUNTIF('R2_G1'!$A$8:$A$17,$A38)=1,VLOOKUP($A38,'R2_G1'!$A$8:$Y$17, O$2+7,FALSE),IF(COUNTIF('R2_G2'!$A$8:$A$17,$A38)=1,VLOOKUP($A38,'R2_G2'!$A$8:$Y$17, O$2+7,FALSE),IF(COUNTIF('R2_G3'!$A$8:$A$17,$A38)=1,VLOOKUP($A38,'R2_G3'!$A$8:$Y$17, O$2+7,FALSE),IF(COUNTIF('R2_G4'!$A$8:$A$17,$A38)=1,VLOOKUP($A38,'R2_G4'!$A$8:$Y$17, O$2+7,FALSE),""))))</f>
        <v>5</v>
      </c>
      <c r="P38" s="852">
        <f>IF(COUNTIF('R2_G1'!$A$8:$A$17,$A38)=1,VLOOKUP($A38,'R2_G1'!$A$8:$Y$17, P$2+7,FALSE),IF(COUNTIF('R2_G2'!$A$8:$A$17,$A38)=1,VLOOKUP($A38,'R2_G2'!$A$8:$Y$17, P$2+7,FALSE),IF(COUNTIF('R2_G3'!$A$8:$A$17,$A38)=1,VLOOKUP($A38,'R2_G3'!$A$8:$Y$17, P$2+7,FALSE),IF(COUNTIF('R2_G4'!$A$8:$A$17,$A38)=1,VLOOKUP($A38,'R2_G4'!$A$8:$Y$17, P$2+7,FALSE),""))))</f>
        <v>4</v>
      </c>
      <c r="Q38" s="852">
        <f>IF(COUNTIF('R2_G1'!$A$8:$A$17,$A38)=1,VLOOKUP($A38,'R2_G1'!$A$8:$Y$17, Q$2+7,FALSE),IF(COUNTIF('R2_G2'!$A$8:$A$17,$A38)=1,VLOOKUP($A38,'R2_G2'!$A$8:$Y$17, Q$2+7,FALSE),IF(COUNTIF('R2_G3'!$A$8:$A$17,$A38)=1,VLOOKUP($A38,'R2_G3'!$A$8:$Y$17, Q$2+7,FALSE),IF(COUNTIF('R2_G4'!$A$8:$A$17,$A38)=1,VLOOKUP($A38,'R2_G4'!$A$8:$Y$17, Q$2+7,FALSE),""))))</f>
        <v>4</v>
      </c>
      <c r="R38" s="852">
        <f>IF(COUNTIF('R2_G1'!$A$8:$A$17,$A38)=1,VLOOKUP($A38,'R2_G1'!$A$8:$Y$17, R$2+7,FALSE),IF(COUNTIF('R2_G2'!$A$8:$A$17,$A38)=1,VLOOKUP($A38,'R2_G2'!$A$8:$Y$17, R$2+7,FALSE),IF(COUNTIF('R2_G3'!$A$8:$A$17,$A38)=1,VLOOKUP($A38,'R2_G3'!$A$8:$Y$17, R$2+7,FALSE),IF(COUNTIF('R2_G4'!$A$8:$A$17,$A38)=1,VLOOKUP($A38,'R2_G4'!$A$8:$Y$17, R$2+7,FALSE),""))))</f>
        <v>4</v>
      </c>
      <c r="S38" s="852">
        <f>IF(COUNTIF('R2_G1'!$A$8:$A$17,$A38)=1,VLOOKUP($A38,'R2_G1'!$A$8:$Y$17, S$2+7,FALSE),IF(COUNTIF('R2_G2'!$A$8:$A$17,$A38)=1,VLOOKUP($A38,'R2_G2'!$A$8:$Y$17, S$2+7,FALSE),IF(COUNTIF('R2_G3'!$A$8:$A$17,$A38)=1,VLOOKUP($A38,'R2_G3'!$A$8:$Y$17, S$2+7,FALSE),IF(COUNTIF('R2_G4'!$A$8:$A$17,$A38)=1,VLOOKUP($A38,'R2_G4'!$A$8:$Y$17, S$2+7,FALSE),""))))</f>
        <v>5</v>
      </c>
      <c r="T38" s="852">
        <f>IF(COUNTIF('R2_G1'!$A$8:$A$17,$A38)=1,VLOOKUP($A38,'R2_G1'!$A$8:$Y$17, T$2+7,FALSE),IF(COUNTIF('R2_G2'!$A$8:$A$17,$A38)=1,VLOOKUP($A38,'R2_G2'!$A$8:$Y$17, T$2+7,FALSE),IF(COUNTIF('R2_G3'!$A$8:$A$17,$A38)=1,VLOOKUP($A38,'R2_G3'!$A$8:$Y$17, T$2+7,FALSE),IF(COUNTIF('R2_G4'!$A$8:$A$17,$A38)=1,VLOOKUP($A38,'R2_G4'!$A$8:$Y$17, T$2+7,FALSE),""))))</f>
        <v>7</v>
      </c>
      <c r="U38" s="852">
        <f>IF(COUNTIF('R2_G1'!$A$8:$A$17,$A38)=1,VLOOKUP($A38,'R2_G1'!$A$8:$Y$17, U$2+7,FALSE),IF(COUNTIF('R2_G2'!$A$8:$A$17,$A38)=1,VLOOKUP($A38,'R2_G2'!$A$8:$Y$17, U$2+7,FALSE),IF(COUNTIF('R2_G3'!$A$8:$A$17,$A38)=1,VLOOKUP($A38,'R2_G3'!$A$8:$Y$17, U$2+7,FALSE),IF(COUNTIF('R2_G4'!$A$8:$A$17,$A38)=1,VLOOKUP($A38,'R2_G4'!$A$8:$Y$17, U$2+7,FALSE),""))))</f>
        <v>5</v>
      </c>
      <c r="V38" s="852">
        <f>IF(COUNTIF('R2_G1'!$A$8:$A$17,$A38)=1,VLOOKUP($A38,'R2_G1'!$A$8:$Y$17, V$2+7,FALSE),IF(COUNTIF('R2_G2'!$A$8:$A$17,$A38)=1,VLOOKUP($A38,'R2_G2'!$A$8:$Y$17, V$2+7,FALSE),IF(COUNTIF('R2_G3'!$A$8:$A$17,$A38)=1,VLOOKUP($A38,'R2_G3'!$A$8:$Y$17, V$2+7,FALSE),IF(COUNTIF('R2_G4'!$A$8:$A$17,$A38)=1,VLOOKUP($A38,'R2_G4'!$A$8:$Y$17, V$2+7,FALSE),""))))</f>
        <v>7</v>
      </c>
      <c r="W38" s="859">
        <f t="shared" si="37"/>
        <v>43</v>
      </c>
      <c r="X38" s="859">
        <f t="shared" si="38"/>
        <v>46</v>
      </c>
      <c r="Y38" s="859">
        <f t="shared" si="43"/>
        <v>89</v>
      </c>
      <c r="Z38" s="859">
        <f t="shared" ca="1" si="44"/>
        <v>85</v>
      </c>
      <c r="AA38" s="859">
        <f t="shared" si="45"/>
        <v>89</v>
      </c>
      <c r="AB38" s="896"/>
      <c r="AC38" s="849" t="str">
        <f t="shared" si="46"/>
        <v>Andy</v>
      </c>
      <c r="AD38" s="858">
        <f ca="1">VLOOKUP(AC38,'Master Input'!$A$11:$L$27,8,FALSE)</f>
        <v>4</v>
      </c>
      <c r="AE38" s="857" t="s">
        <v>198</v>
      </c>
      <c r="AF38" s="832"/>
      <c r="AG38" s="859">
        <f t="shared" ref="AG38:AX38" ca="1" si="64">IF(E38="","",E38-IF($B38&gt;0,FLOOR($B38/18,1),0)-IF(AND(MOD($B38,18)&gt;=E$27,$B38&gt;0),1,0)+IF(E$27-18&gt;$B38,1,0))</f>
        <v>5</v>
      </c>
      <c r="AH38" s="859">
        <f t="shared" ca="1" si="64"/>
        <v>5</v>
      </c>
      <c r="AI38" s="859">
        <f t="shared" ca="1" si="64"/>
        <v>5</v>
      </c>
      <c r="AJ38" s="859">
        <f t="shared" ca="1" si="64"/>
        <v>5</v>
      </c>
      <c r="AK38" s="859">
        <f t="shared" ca="1" si="64"/>
        <v>3</v>
      </c>
      <c r="AL38" s="859">
        <f t="shared" ca="1" si="64"/>
        <v>4</v>
      </c>
      <c r="AM38" s="859">
        <f t="shared" ca="1" si="64"/>
        <v>6</v>
      </c>
      <c r="AN38" s="859">
        <f t="shared" ca="1" si="64"/>
        <v>5</v>
      </c>
      <c r="AO38" s="859">
        <f t="shared" ca="1" si="64"/>
        <v>3</v>
      </c>
      <c r="AP38" s="852">
        <f t="shared" ca="1" si="64"/>
        <v>4</v>
      </c>
      <c r="AQ38" s="852">
        <f t="shared" ca="1" si="64"/>
        <v>4</v>
      </c>
      <c r="AR38" s="852">
        <f t="shared" ca="1" si="64"/>
        <v>4</v>
      </c>
      <c r="AS38" s="852">
        <f t="shared" ca="1" si="64"/>
        <v>4</v>
      </c>
      <c r="AT38" s="852">
        <f t="shared" ca="1" si="64"/>
        <v>4</v>
      </c>
      <c r="AU38" s="852">
        <f t="shared" ca="1" si="64"/>
        <v>5</v>
      </c>
      <c r="AV38" s="852">
        <f t="shared" ca="1" si="64"/>
        <v>7</v>
      </c>
      <c r="AW38" s="852">
        <f t="shared" ca="1" si="64"/>
        <v>5</v>
      </c>
      <c r="AX38" s="852">
        <f t="shared" ca="1" si="64"/>
        <v>7</v>
      </c>
      <c r="AY38" s="859">
        <f t="shared" ca="1" si="40"/>
        <v>41</v>
      </c>
      <c r="AZ38" s="859">
        <f t="shared" ca="1" si="41"/>
        <v>44</v>
      </c>
      <c r="BA38" s="859">
        <f t="shared" ca="1" si="48"/>
        <v>85</v>
      </c>
      <c r="BB38" s="857" t="str">
        <f ca="1">IF(COUNTIF('R2_G1'!$A$8:$A$17,$A38)=1, IF(AND(BA38=Z38,BA38=VLOOKUP($A38,'R2_G1'!$A$8:$AB$17, 28,FALSE)),"yes","no"),
IF(COUNTIF('R2_G2'!$A$8:$A$17,$A38)=1, IF(AND(BA38=Z38,BA38=VLOOKUP($A38,'R2_G2'!$A$8:$AB$17, 28,FALSE)),"yes","no"),
IF(COUNTIF('R2_G3'!$A$8:$A$17,$A38)=1, IF(AND(BA38=Z38,BA38=VLOOKUP($A38,'R2_G3'!$A$8:$AB$17, 28,FALSE)),"yes","no"),
IF(COUNTIF('R2_G4'!$A$8:$A$17,$A38)=1, IF(AND(BA38=Z38,BA38=VLOOKUP($A38,'R2_G4'!$A$8:$AB$17, 28,FALSE)),"yes","no"),
"?"))))</f>
        <v>yes</v>
      </c>
      <c r="BC38" s="896"/>
      <c r="BD38" s="860">
        <f t="shared" ca="1" si="49"/>
        <v>4.5</v>
      </c>
      <c r="BE38" s="861">
        <f t="shared" ca="1" si="50"/>
        <v>6.5333333333333332</v>
      </c>
      <c r="BF38" s="861">
        <f t="shared" ca="1" si="51"/>
        <v>0</v>
      </c>
      <c r="BG38" s="861">
        <f t="shared" ca="1" si="52"/>
        <v>1</v>
      </c>
      <c r="BH38" s="861">
        <f t="shared" ca="1" si="53"/>
        <v>7</v>
      </c>
      <c r="BI38" s="861">
        <f t="shared" ca="1" si="54"/>
        <v>7</v>
      </c>
      <c r="BJ38" s="861">
        <f t="shared" ca="1" si="55"/>
        <v>3</v>
      </c>
    </row>
    <row r="39" spans="1:62" ht="14.25" customHeight="1">
      <c r="A39" s="849" t="str">
        <f t="shared" si="42"/>
        <v>Jensen</v>
      </c>
      <c r="B39" s="850">
        <f ca="1">VLOOKUP(A39,'Master Input'!$A$11:$L$27,8,FALSE)</f>
        <v>5</v>
      </c>
      <c r="C39" s="849"/>
      <c r="D39" s="851"/>
      <c r="E39" s="852">
        <f>IF(COUNTIF('R2_G1'!$A$8:$A$17,$A39)&gt;=1,VLOOKUP($A39,'R2_G1'!$A$8:$Y$17, E$2+4,FALSE),
IF(COUNTIF('R2_G2'!$A$8:$A$17,$A39)&gt;=1,VLOOKUP($A39,'R2_G2'!$A$8:$Y$17, E$2+4,FALSE),
IF(COUNTIF('R2_G3'!$A$8:$A$17,$A39)&gt;=1,VLOOKUP($A39,'R2_G3'!$A$8:$Y$17, E$2+4,FALSE),
IF(COUNTIF('R2_G4'!$A$8:$A$17,$A39)&gt;=1,VLOOKUP($A39,'R2_G4'!$A$8:$Y$17, E$2+4,FALSE),""))))</f>
        <v>5</v>
      </c>
      <c r="F39" s="852">
        <f>IF(COUNTIF('R2_G1'!$A$8:$A$17,$A39)&gt;=1,VLOOKUP($A39,'R2_G1'!$A$8:$Y$17, F$2+4,FALSE),
IF(COUNTIF('R2_G2'!$A$8:$A$17,$A39)&gt;=1,VLOOKUP($A39,'R2_G2'!$A$8:$Y$17, F$2+4,FALSE),
IF(COUNTIF('R2_G3'!$A$8:$A$17,$A39)&gt;=1,VLOOKUP($A39,'R2_G3'!$A$8:$Y$17, F$2+4,FALSE),
IF(COUNTIF('R2_G4'!$A$8:$A$17,$A39)&gt;=1,VLOOKUP($A39,'R2_G4'!$A$8:$Y$17, F$2+4,FALSE),""))))</f>
        <v>4</v>
      </c>
      <c r="G39" s="852">
        <f>IF(COUNTIF('R2_G1'!$A$8:$A$17,$A39)&gt;=1,VLOOKUP($A39,'R2_G1'!$A$8:$Y$17, G$2+4,FALSE),
IF(COUNTIF('R2_G2'!$A$8:$A$17,$A39)&gt;=1,VLOOKUP($A39,'R2_G2'!$A$8:$Y$17, G$2+4,FALSE),
IF(COUNTIF('R2_G3'!$A$8:$A$17,$A39)&gt;=1,VLOOKUP($A39,'R2_G3'!$A$8:$Y$17, G$2+4,FALSE),
IF(COUNTIF('R2_G4'!$A$8:$A$17,$A39)&gt;=1,VLOOKUP($A39,'R2_G4'!$A$8:$Y$17, G$2+4,FALSE),""))))</f>
        <v>4</v>
      </c>
      <c r="H39" s="852">
        <f>IF(COUNTIF('R2_G1'!$A$8:$A$17,$A39)&gt;=1,VLOOKUP($A39,'R2_G1'!$A$8:$Y$17, H$2+4,FALSE),
IF(COUNTIF('R2_G2'!$A$8:$A$17,$A39)&gt;=1,VLOOKUP($A39,'R2_G2'!$A$8:$Y$17, H$2+4,FALSE),
IF(COUNTIF('R2_G3'!$A$8:$A$17,$A39)&gt;=1,VLOOKUP($A39,'R2_G3'!$A$8:$Y$17, H$2+4,FALSE),
IF(COUNTIF('R2_G4'!$A$8:$A$17,$A39)&gt;=1,VLOOKUP($A39,'R2_G4'!$A$8:$Y$17, H$2+4,FALSE),""))))</f>
        <v>6</v>
      </c>
      <c r="I39" s="852">
        <f>IF(COUNTIF('R2_G1'!$A$8:$A$17,$A39)&gt;=1,VLOOKUP($A39,'R2_G1'!$A$8:$Y$17, I$2+4,FALSE),
IF(COUNTIF('R2_G2'!$A$8:$A$17,$A39)&gt;=1,VLOOKUP($A39,'R2_G2'!$A$8:$Y$17, I$2+4,FALSE),
IF(COUNTIF('R2_G3'!$A$8:$A$17,$A39)&gt;=1,VLOOKUP($A39,'R2_G3'!$A$8:$Y$17, I$2+4,FALSE),
IF(COUNTIF('R2_G4'!$A$8:$A$17,$A39)&gt;=1,VLOOKUP($A39,'R2_G4'!$A$8:$Y$17, I$2+4,FALSE),""))))</f>
        <v>3</v>
      </c>
      <c r="J39" s="852">
        <f>IF(COUNTIF('R2_G1'!$A$8:$A$17,$A39)&gt;=1,VLOOKUP($A39,'R2_G1'!$A$8:$Y$17, J$2+4,FALSE),
IF(COUNTIF('R2_G2'!$A$8:$A$17,$A39)&gt;=1,VLOOKUP($A39,'R2_G2'!$A$8:$Y$17, J$2+4,FALSE),
IF(COUNTIF('R2_G3'!$A$8:$A$17,$A39)&gt;=1,VLOOKUP($A39,'R2_G3'!$A$8:$Y$17, J$2+4,FALSE),
IF(COUNTIF('R2_G4'!$A$8:$A$17,$A39)&gt;=1,VLOOKUP($A39,'R2_G4'!$A$8:$Y$17, J$2+4,FALSE),""))))</f>
        <v>5</v>
      </c>
      <c r="K39" s="852">
        <f>IF(COUNTIF('R2_G1'!$A$8:$A$17,$A39)&gt;=1,VLOOKUP($A39,'R2_G1'!$A$8:$Y$17, K$2+4,FALSE),
IF(COUNTIF('R2_G2'!$A$8:$A$17,$A39)&gt;=1,VLOOKUP($A39,'R2_G2'!$A$8:$Y$17, K$2+4,FALSE),
IF(COUNTIF('R2_G3'!$A$8:$A$17,$A39)&gt;=1,VLOOKUP($A39,'R2_G3'!$A$8:$Y$17, K$2+4,FALSE),
IF(COUNTIF('R2_G4'!$A$8:$A$17,$A39)&gt;=1,VLOOKUP($A39,'R2_G4'!$A$8:$Y$17, K$2+4,FALSE),""))))</f>
        <v>4</v>
      </c>
      <c r="L39" s="852">
        <f>IF(COUNTIF('R2_G1'!$A$8:$A$17,$A39)&gt;=1,VLOOKUP($A39,'R2_G1'!$A$8:$Y$17, L$2+4,FALSE),
IF(COUNTIF('R2_G2'!$A$8:$A$17,$A39)&gt;=1,VLOOKUP($A39,'R2_G2'!$A$8:$Y$17, L$2+4,FALSE),
IF(COUNTIF('R2_G3'!$A$8:$A$17,$A39)&gt;=1,VLOOKUP($A39,'R2_G3'!$A$8:$Y$17, L$2+4,FALSE),
IF(COUNTIF('R2_G4'!$A$8:$A$17,$A39)&gt;=1,VLOOKUP($A39,'R2_G4'!$A$8:$Y$17, L$2+4,FALSE),""))))</f>
        <v>5</v>
      </c>
      <c r="M39" s="852">
        <f>IF(COUNTIF('R2_G1'!$A$8:$A$17,$A39)&gt;=1,VLOOKUP($A39,'R2_G1'!$A$8:$Y$17, M$2+4,FALSE),
IF(COUNTIF('R2_G2'!$A$8:$A$17,$A39)&gt;=1,VLOOKUP($A39,'R2_G2'!$A$8:$Y$17, M$2+4,FALSE),
IF(COUNTIF('R2_G3'!$A$8:$A$17,$A39)&gt;=1,VLOOKUP($A39,'R2_G3'!$A$8:$Y$17, M$2+4,FALSE),
IF(COUNTIF('R2_G4'!$A$8:$A$17,$A39)&gt;=1,VLOOKUP($A39,'R2_G4'!$A$8:$Y$17, M$2+4,FALSE),""))))</f>
        <v>3</v>
      </c>
      <c r="N39" s="853">
        <f>IF(COUNTIF('R2_G1'!$A$8:$A$17,$A39)&gt;=1,VLOOKUP($A39,'R2_G1'!$A$8:$Y$17, N$2+7,FALSE),
IF(COUNTIF('R2_G2'!$A$8:$A$17,$A39)&gt;=1,VLOOKUP($A39,'R2_G2'!$A$8:$Y$17, N$2+7,FALSE),
IF(COUNTIF('R2_G3'!$A$8:$A$17,$A39)&gt;=1,VLOOKUP($A39,'R2_G3'!$A$8:$Y$17, N$2+7,FALSE),
IF(COUNTIF('R2_G4'!$A$8:$A$17,$A39)&gt;=1,VLOOKUP($A39,'R2_G4'!$A$8:$Y$17, N$2+7,FALSE),""))))</f>
        <v>4</v>
      </c>
      <c r="O39" s="853">
        <f>IF(COUNTIF('R2_G1'!$A$8:$A$17,$A39)&gt;=1,VLOOKUP($A39,'R2_G1'!$A$8:$Y$17, O$2+7,FALSE),
IF(COUNTIF('R2_G2'!$A$8:$A$17,$A39)&gt;=1,VLOOKUP($A39,'R2_G2'!$A$8:$Y$17, O$2+7,FALSE),
IF(COUNTIF('R2_G3'!$A$8:$A$17,$A39)&gt;=1,VLOOKUP($A39,'R2_G3'!$A$8:$Y$17, O$2+7,FALSE),
IF(COUNTIF('R2_G4'!$A$8:$A$17,$A39)&gt;=1,VLOOKUP($A39,'R2_G4'!$A$8:$Y$17, O$2+7,FALSE),""))))</f>
        <v>6</v>
      </c>
      <c r="P39" s="853">
        <f>IF(COUNTIF('R2_G1'!$A$8:$A$17,$A39)&gt;=1,VLOOKUP($A39,'R2_G1'!$A$8:$Y$17, P$2+7,FALSE),
IF(COUNTIF('R2_G2'!$A$8:$A$17,$A39)&gt;=1,VLOOKUP($A39,'R2_G2'!$A$8:$Y$17, P$2+7,FALSE),
IF(COUNTIF('R2_G3'!$A$8:$A$17,$A39)&gt;=1,VLOOKUP($A39,'R2_G3'!$A$8:$Y$17, P$2+7,FALSE),
IF(COUNTIF('R2_G4'!$A$8:$A$17,$A39)&gt;=1,VLOOKUP($A39,'R2_G4'!$A$8:$Y$17, P$2+7,FALSE),""))))</f>
        <v>3</v>
      </c>
      <c r="Q39" s="853">
        <f>IF(COUNTIF('R2_G1'!$A$8:$A$17,$A39)&gt;=1,VLOOKUP($A39,'R2_G1'!$A$8:$Y$17, Q$2+7,FALSE),
IF(COUNTIF('R2_G2'!$A$8:$A$17,$A39)&gt;=1,VLOOKUP($A39,'R2_G2'!$A$8:$Y$17, Q$2+7,FALSE),
IF(COUNTIF('R2_G3'!$A$8:$A$17,$A39)&gt;=1,VLOOKUP($A39,'R2_G3'!$A$8:$Y$17, Q$2+7,FALSE),
IF(COUNTIF('R2_G4'!$A$8:$A$17,$A39)&gt;=1,VLOOKUP($A39,'R2_G4'!$A$8:$Y$17, Q$2+7,FALSE),""))))</f>
        <v>4</v>
      </c>
      <c r="R39" s="853">
        <f>IF(COUNTIF('R2_G1'!$A$8:$A$17,$A39)&gt;=1,VLOOKUP($A39,'R2_G1'!$A$8:$Y$17, R$2+7,FALSE),
IF(COUNTIF('R2_G2'!$A$8:$A$17,$A39)&gt;=1,VLOOKUP($A39,'R2_G2'!$A$8:$Y$17, R$2+7,FALSE),
IF(COUNTIF('R2_G3'!$A$8:$A$17,$A39)&gt;=1,VLOOKUP($A39,'R2_G3'!$A$8:$Y$17, R$2+7,FALSE),
IF(COUNTIF('R2_G4'!$A$8:$A$17,$A39)&gt;=1,VLOOKUP($A39,'R2_G4'!$A$8:$Y$17, R$2+7,FALSE),""))))</f>
        <v>4</v>
      </c>
      <c r="S39" s="853">
        <f>IF(COUNTIF('R2_G1'!$A$8:$A$17,$A39)&gt;=1,VLOOKUP($A39,'R2_G1'!$A$8:$Y$17, S$2+7,FALSE),
IF(COUNTIF('R2_G2'!$A$8:$A$17,$A39)&gt;=1,VLOOKUP($A39,'R2_G2'!$A$8:$Y$17, S$2+7,FALSE),
IF(COUNTIF('R2_G3'!$A$8:$A$17,$A39)&gt;=1,VLOOKUP($A39,'R2_G3'!$A$8:$Y$17, S$2+7,FALSE),
IF(COUNTIF('R2_G4'!$A$8:$A$17,$A39)&gt;=1,VLOOKUP($A39,'R2_G4'!$A$8:$Y$17, S$2+7,FALSE),""))))</f>
        <v>5</v>
      </c>
      <c r="T39" s="853">
        <f>IF(COUNTIF('R2_G1'!$A$8:$A$17,$A39)&gt;=1,VLOOKUP($A39,'R2_G1'!$A$8:$Y$17, T$2+7,FALSE),
IF(COUNTIF('R2_G2'!$A$8:$A$17,$A39)&gt;=1,VLOOKUP($A39,'R2_G2'!$A$8:$Y$17, T$2+7,FALSE),
IF(COUNTIF('R2_G3'!$A$8:$A$17,$A39)&gt;=1,VLOOKUP($A39,'R2_G3'!$A$8:$Y$17, T$2+7,FALSE),
IF(COUNTIF('R2_G4'!$A$8:$A$17,$A39)&gt;=1,VLOOKUP($A39,'R2_G4'!$A$8:$Y$17, T$2+7,FALSE),""))))</f>
        <v>4</v>
      </c>
      <c r="U39" s="853">
        <f>IF(COUNTIF('R2_G1'!$A$8:$A$17,$A39)&gt;=1,VLOOKUP($A39,'R2_G1'!$A$8:$Y$17, U$2+7,FALSE),
IF(COUNTIF('R2_G2'!$A$8:$A$17,$A39)&gt;=1,VLOOKUP($A39,'R2_G2'!$A$8:$Y$17, U$2+7,FALSE),
IF(COUNTIF('R2_G3'!$A$8:$A$17,$A39)&gt;=1,VLOOKUP($A39,'R2_G3'!$A$8:$Y$17, U$2+7,FALSE),
IF(COUNTIF('R2_G4'!$A$8:$A$17,$A39)&gt;=1,VLOOKUP($A39,'R2_G4'!$A$8:$Y$17, U$2+7,FALSE),""))))</f>
        <v>4</v>
      </c>
      <c r="V39" s="853">
        <f>IF(COUNTIF('R2_G1'!$A$8:$A$17,$A39)&gt;=1,VLOOKUP($A39,'R2_G1'!$A$8:$Y$17, V$2+7,FALSE),
IF(COUNTIF('R2_G2'!$A$8:$A$17,$A39)&gt;=1,VLOOKUP($A39,'R2_G2'!$A$8:$Y$17, V$2+7,FALSE),
IF(COUNTIF('R2_G3'!$A$8:$A$17,$A39)&gt;=1,VLOOKUP($A39,'R2_G3'!$A$8:$Y$17, V$2+7,FALSE),
IF(COUNTIF('R2_G4'!$A$8:$A$17,$A39)&gt;=1,VLOOKUP($A39,'R2_G4'!$A$8:$Y$17, V$2+7,FALSE),""))))</f>
        <v>6</v>
      </c>
      <c r="W39" s="852">
        <f t="shared" si="37"/>
        <v>39</v>
      </c>
      <c r="X39" s="852">
        <f t="shared" si="38"/>
        <v>40</v>
      </c>
      <c r="Y39" s="852">
        <f t="shared" si="43"/>
        <v>79</v>
      </c>
      <c r="Z39" s="852">
        <f t="shared" ca="1" si="44"/>
        <v>74</v>
      </c>
      <c r="AA39" s="852">
        <f t="shared" si="45"/>
        <v>79</v>
      </c>
      <c r="AB39" s="896"/>
      <c r="AC39" s="849" t="str">
        <f t="shared" si="46"/>
        <v>Jensen</v>
      </c>
      <c r="AD39" s="850">
        <f ca="1">VLOOKUP(AC39,'Master Input'!$A$11:$L$27,8,FALSE)</f>
        <v>5</v>
      </c>
      <c r="AE39" s="849" t="s">
        <v>198</v>
      </c>
      <c r="AF39" s="832"/>
      <c r="AG39" s="852">
        <f t="shared" ref="AG39:AX39" ca="1" si="65">IF(E39="","",E39-IF($B39&gt;0,FLOOR($B39/18,1),0)-IF(AND(MOD($B39,18)&gt;=E$27,$B39&gt;0),1,0)+IF(E$27-18&gt;$B39,1,0))</f>
        <v>5</v>
      </c>
      <c r="AH39" s="852">
        <f t="shared" ca="1" si="65"/>
        <v>3</v>
      </c>
      <c r="AI39" s="852">
        <f t="shared" ca="1" si="65"/>
        <v>3</v>
      </c>
      <c r="AJ39" s="852">
        <f t="shared" ca="1" si="65"/>
        <v>6</v>
      </c>
      <c r="AK39" s="852">
        <f t="shared" ca="1" si="65"/>
        <v>3</v>
      </c>
      <c r="AL39" s="852">
        <f t="shared" ca="1" si="65"/>
        <v>4</v>
      </c>
      <c r="AM39" s="852">
        <f t="shared" ca="1" si="65"/>
        <v>4</v>
      </c>
      <c r="AN39" s="852">
        <f t="shared" ca="1" si="65"/>
        <v>5</v>
      </c>
      <c r="AO39" s="852">
        <f t="shared" ca="1" si="65"/>
        <v>3</v>
      </c>
      <c r="AP39" s="853">
        <f t="shared" ca="1" si="65"/>
        <v>3</v>
      </c>
      <c r="AQ39" s="853">
        <f t="shared" ca="1" si="65"/>
        <v>5</v>
      </c>
      <c r="AR39" s="853">
        <f t="shared" ca="1" si="65"/>
        <v>3</v>
      </c>
      <c r="AS39" s="853">
        <f t="shared" ca="1" si="65"/>
        <v>4</v>
      </c>
      <c r="AT39" s="853">
        <f t="shared" ca="1" si="65"/>
        <v>4</v>
      </c>
      <c r="AU39" s="853">
        <f t="shared" ca="1" si="65"/>
        <v>5</v>
      </c>
      <c r="AV39" s="853">
        <f t="shared" ca="1" si="65"/>
        <v>4</v>
      </c>
      <c r="AW39" s="853">
        <f t="shared" ca="1" si="65"/>
        <v>4</v>
      </c>
      <c r="AX39" s="853">
        <f t="shared" ca="1" si="65"/>
        <v>6</v>
      </c>
      <c r="AY39" s="852">
        <f t="shared" ca="1" si="40"/>
        <v>36</v>
      </c>
      <c r="AZ39" s="852">
        <f t="shared" ca="1" si="41"/>
        <v>38</v>
      </c>
      <c r="BA39" s="852">
        <f t="shared" ca="1" si="48"/>
        <v>74</v>
      </c>
      <c r="BB39" s="849" t="str">
        <f ca="1">IF(COUNTIF('R2_G1'!$A$8:$A$17,$A39)=1, IF(AND(BA39=Z39,BA39=VLOOKUP($A39,'R2_G1'!$A$8:$AB$17, 28,FALSE)),"yes","no"),
IF(COUNTIF('R2_G2'!$A$8:$A$17,$A39)=1, IF(AND(BA39=Z39,BA39=VLOOKUP($A39,'R2_G2'!$A$8:$AB$17, 28,FALSE)),"yes","no"),
IF(COUNTIF('R2_G3'!$A$8:$A$17,$A39)=1, IF(AND(BA39=Z39,BA39=VLOOKUP($A39,'R2_G3'!$A$8:$AB$17, 28,FALSE)),"yes","no"),
IF(COUNTIF('R2_G4'!$A$8:$A$17,$A39)=1, IF(AND(BA39=Z39,BA39=VLOOKUP($A39,'R2_G4'!$A$8:$AB$17, 28,FALSE)),"yes","no"),
"?"))))</f>
        <v>yes</v>
      </c>
      <c r="BC39" s="896"/>
      <c r="BD39" s="862">
        <f t="shared" ca="1" si="49"/>
        <v>8</v>
      </c>
      <c r="BE39" s="855">
        <f t="shared" ca="1" si="50"/>
        <v>9.9000000000000021</v>
      </c>
      <c r="BF39" s="855">
        <f t="shared" ca="1" si="51"/>
        <v>1</v>
      </c>
      <c r="BG39" s="855">
        <f t="shared" ca="1" si="52"/>
        <v>2</v>
      </c>
      <c r="BH39" s="855">
        <f t="shared" ca="1" si="53"/>
        <v>10</v>
      </c>
      <c r="BI39" s="855">
        <f t="shared" ca="1" si="54"/>
        <v>4</v>
      </c>
      <c r="BJ39" s="855">
        <f t="shared" ca="1" si="55"/>
        <v>1</v>
      </c>
    </row>
    <row r="40" spans="1:62" ht="14.25" customHeight="1">
      <c r="A40" s="857" t="str">
        <f t="shared" si="42"/>
        <v>Pace</v>
      </c>
      <c r="B40" s="858">
        <f ca="1">VLOOKUP(A40,'Master Input'!$A$11:$L$27,8,FALSE)</f>
        <v>7</v>
      </c>
      <c r="C40" s="857"/>
      <c r="D40" s="851"/>
      <c r="E40" s="859">
        <f>IF(COUNTIF('R2_G1'!$A$8:$A$17,$A40)=1,VLOOKUP($A40,'R2_G1'!$A$8:$Y$17, E$2+4,FALSE),IF(COUNTIF('R2_G2'!$A$8:$A$17,$A40)=1,VLOOKUP($A40,'R2_G2'!$A$8:$Y$17, E$2+4,FALSE),IF(COUNTIF('R2_G3'!$A$8:$A$17,$A40)=1,VLOOKUP($A40,'R2_G3'!$A$8:$Y$17, E$2+4,FALSE),IF(COUNTIF('R2_G4'!$A$8:$A$17,$A40)=1,VLOOKUP($A40,'R2_G4'!$A$8:$Y$17, E$2+4,FALSE),""))))</f>
        <v>5</v>
      </c>
      <c r="F40" s="859">
        <f>IF(COUNTIF('R2_G1'!$A$8:$A$17,$A40)=1,VLOOKUP($A40,'R2_G1'!$A$8:$Y$17, F$2+4,FALSE),IF(COUNTIF('R2_G2'!$A$8:$A$17,$A40)=1,VLOOKUP($A40,'R2_G2'!$A$8:$Y$17, F$2+4,FALSE),IF(COUNTIF('R2_G3'!$A$8:$A$17,$A40)=1,VLOOKUP($A40,'R2_G3'!$A$8:$Y$17, F$2+4,FALSE),IF(COUNTIF('R2_G4'!$A$8:$A$17,$A40)=1,VLOOKUP($A40,'R2_G4'!$A$8:$Y$17, F$2+4,FALSE),""))))</f>
        <v>6</v>
      </c>
      <c r="G40" s="859">
        <f>IF(COUNTIF('R2_G1'!$A$8:$A$17,$A40)=1,VLOOKUP($A40,'R2_G1'!$A$8:$Y$17, G$2+4,FALSE),IF(COUNTIF('R2_G2'!$A$8:$A$17,$A40)=1,VLOOKUP($A40,'R2_G2'!$A$8:$Y$17, G$2+4,FALSE),IF(COUNTIF('R2_G3'!$A$8:$A$17,$A40)=1,VLOOKUP($A40,'R2_G3'!$A$8:$Y$17, G$2+4,FALSE),IF(COUNTIF('R2_G4'!$A$8:$A$17,$A40)=1,VLOOKUP($A40,'R2_G4'!$A$8:$Y$17, G$2+4,FALSE),""))))</f>
        <v>6</v>
      </c>
      <c r="H40" s="859">
        <f>IF(COUNTIF('R2_G1'!$A$8:$A$17,$A40)=1,VLOOKUP($A40,'R2_G1'!$A$8:$Y$17, H$2+4,FALSE),IF(COUNTIF('R2_G2'!$A$8:$A$17,$A40)=1,VLOOKUP($A40,'R2_G2'!$A$8:$Y$17, H$2+4,FALSE),IF(COUNTIF('R2_G3'!$A$8:$A$17,$A40)=1,VLOOKUP($A40,'R2_G3'!$A$8:$Y$17, H$2+4,FALSE),IF(COUNTIF('R2_G4'!$A$8:$A$17,$A40)=1,VLOOKUP($A40,'R2_G4'!$A$8:$Y$17, H$2+4,FALSE),""))))</f>
        <v>3</v>
      </c>
      <c r="I40" s="859">
        <f>IF(COUNTIF('R2_G1'!$A$8:$A$17,$A40)=1,VLOOKUP($A40,'R2_G1'!$A$8:$Y$17, I$2+4,FALSE),IF(COUNTIF('R2_G2'!$A$8:$A$17,$A40)=1,VLOOKUP($A40,'R2_G2'!$A$8:$Y$17, I$2+4,FALSE),IF(COUNTIF('R2_G3'!$A$8:$A$17,$A40)=1,VLOOKUP($A40,'R2_G3'!$A$8:$Y$17, I$2+4,FALSE),IF(COUNTIF('R2_G4'!$A$8:$A$17,$A40)=1,VLOOKUP($A40,'R2_G4'!$A$8:$Y$17, I$2+4,FALSE),""))))</f>
        <v>4</v>
      </c>
      <c r="J40" s="859">
        <f>IF(COUNTIF('R2_G1'!$A$8:$A$17,$A40)=1,VLOOKUP($A40,'R2_G1'!$A$8:$Y$17, J$2+4,FALSE),IF(COUNTIF('R2_G2'!$A$8:$A$17,$A40)=1,VLOOKUP($A40,'R2_G2'!$A$8:$Y$17, J$2+4,FALSE),IF(COUNTIF('R2_G3'!$A$8:$A$17,$A40)=1,VLOOKUP($A40,'R2_G3'!$A$8:$Y$17, J$2+4,FALSE),IF(COUNTIF('R2_G4'!$A$8:$A$17,$A40)=1,VLOOKUP($A40,'R2_G4'!$A$8:$Y$17, J$2+4,FALSE),""))))</f>
        <v>5</v>
      </c>
      <c r="K40" s="859">
        <f>IF(COUNTIF('R2_G1'!$A$8:$A$17,$A40)=1,VLOOKUP($A40,'R2_G1'!$A$8:$Y$17, K$2+4,FALSE),IF(COUNTIF('R2_G2'!$A$8:$A$17,$A40)=1,VLOOKUP($A40,'R2_G2'!$A$8:$Y$17, K$2+4,FALSE),IF(COUNTIF('R2_G3'!$A$8:$A$17,$A40)=1,VLOOKUP($A40,'R2_G3'!$A$8:$Y$17, K$2+4,FALSE),IF(COUNTIF('R2_G4'!$A$8:$A$17,$A40)=1,VLOOKUP($A40,'R2_G4'!$A$8:$Y$17, K$2+4,FALSE),""))))</f>
        <v>5</v>
      </c>
      <c r="L40" s="859">
        <f>IF(COUNTIF('R2_G1'!$A$8:$A$17,$A40)=1,VLOOKUP($A40,'R2_G1'!$A$8:$Y$17, L$2+4,FALSE),IF(COUNTIF('R2_G2'!$A$8:$A$17,$A40)=1,VLOOKUP($A40,'R2_G2'!$A$8:$Y$17, L$2+4,FALSE),IF(COUNTIF('R2_G3'!$A$8:$A$17,$A40)=1,VLOOKUP($A40,'R2_G3'!$A$8:$Y$17, L$2+4,FALSE),IF(COUNTIF('R2_G4'!$A$8:$A$17,$A40)=1,VLOOKUP($A40,'R2_G4'!$A$8:$Y$17, L$2+4,FALSE),""))))</f>
        <v>4</v>
      </c>
      <c r="M40" s="859">
        <f>IF(COUNTIF('R2_G1'!$A$8:$A$17,$A40)=1,VLOOKUP($A40,'R2_G1'!$A$8:$Y$17, M$2+4,FALSE),IF(COUNTIF('R2_G2'!$A$8:$A$17,$A40)=1,VLOOKUP($A40,'R2_G2'!$A$8:$Y$17, M$2+4,FALSE),IF(COUNTIF('R2_G3'!$A$8:$A$17,$A40)=1,VLOOKUP($A40,'R2_G3'!$A$8:$Y$17, M$2+4,FALSE),IF(COUNTIF('R2_G4'!$A$8:$A$17,$A40)=1,VLOOKUP($A40,'R2_G4'!$A$8:$Y$17, M$2+4,FALSE),""))))</f>
        <v>4</v>
      </c>
      <c r="N40" s="852">
        <f>IF(COUNTIF('R2_G1'!$A$8:$A$17,$A40)=1,VLOOKUP($A40,'R2_G1'!$A$8:$Y$17, N$2+7,FALSE),IF(COUNTIF('R2_G2'!$A$8:$A$17,$A40)=1,VLOOKUP($A40,'R2_G2'!$A$8:$Y$17, N$2+7,FALSE),IF(COUNTIF('R2_G3'!$A$8:$A$17,$A40)=1,VLOOKUP($A40,'R2_G3'!$A$8:$Y$17, N$2+7,FALSE),IF(COUNTIF('R2_G4'!$A$8:$A$17,$A40)=1,VLOOKUP($A40,'R2_G4'!$A$8:$Y$17, N$2+7,FALSE),""))))</f>
        <v>4</v>
      </c>
      <c r="O40" s="852">
        <f>IF(COUNTIF('R2_G1'!$A$8:$A$17,$A40)=1,VLOOKUP($A40,'R2_G1'!$A$8:$Y$17, O$2+7,FALSE),IF(COUNTIF('R2_G2'!$A$8:$A$17,$A40)=1,VLOOKUP($A40,'R2_G2'!$A$8:$Y$17, O$2+7,FALSE),IF(COUNTIF('R2_G3'!$A$8:$A$17,$A40)=1,VLOOKUP($A40,'R2_G3'!$A$8:$Y$17, O$2+7,FALSE),IF(COUNTIF('R2_G4'!$A$8:$A$17,$A40)=1,VLOOKUP($A40,'R2_G4'!$A$8:$Y$17, O$2+7,FALSE),""))))</f>
        <v>7</v>
      </c>
      <c r="P40" s="852">
        <f>IF(COUNTIF('R2_G1'!$A$8:$A$17,$A40)=1,VLOOKUP($A40,'R2_G1'!$A$8:$Y$17, P$2+7,FALSE),IF(COUNTIF('R2_G2'!$A$8:$A$17,$A40)=1,VLOOKUP($A40,'R2_G2'!$A$8:$Y$17, P$2+7,FALSE),IF(COUNTIF('R2_G3'!$A$8:$A$17,$A40)=1,VLOOKUP($A40,'R2_G3'!$A$8:$Y$17, P$2+7,FALSE),IF(COUNTIF('R2_G4'!$A$8:$A$17,$A40)=1,VLOOKUP($A40,'R2_G4'!$A$8:$Y$17, P$2+7,FALSE),""))))</f>
        <v>4</v>
      </c>
      <c r="Q40" s="852">
        <f>IF(COUNTIF('R2_G1'!$A$8:$A$17,$A40)=1,VLOOKUP($A40,'R2_G1'!$A$8:$Y$17, Q$2+7,FALSE),IF(COUNTIF('R2_G2'!$A$8:$A$17,$A40)=1,VLOOKUP($A40,'R2_G2'!$A$8:$Y$17, Q$2+7,FALSE),IF(COUNTIF('R2_G3'!$A$8:$A$17,$A40)=1,VLOOKUP($A40,'R2_G3'!$A$8:$Y$17, Q$2+7,FALSE),IF(COUNTIF('R2_G4'!$A$8:$A$17,$A40)=1,VLOOKUP($A40,'R2_G4'!$A$8:$Y$17, Q$2+7,FALSE),""))))</f>
        <v>4</v>
      </c>
      <c r="R40" s="852">
        <f>IF(COUNTIF('R2_G1'!$A$8:$A$17,$A40)=1,VLOOKUP($A40,'R2_G1'!$A$8:$Y$17, R$2+7,FALSE),IF(COUNTIF('R2_G2'!$A$8:$A$17,$A40)=1,VLOOKUP($A40,'R2_G2'!$A$8:$Y$17, R$2+7,FALSE),IF(COUNTIF('R2_G3'!$A$8:$A$17,$A40)=1,VLOOKUP($A40,'R2_G3'!$A$8:$Y$17, R$2+7,FALSE),IF(COUNTIF('R2_G4'!$A$8:$A$17,$A40)=1,VLOOKUP($A40,'R2_G4'!$A$8:$Y$17, R$2+7,FALSE),""))))</f>
        <v>3</v>
      </c>
      <c r="S40" s="852">
        <f>IF(COUNTIF('R2_G1'!$A$8:$A$17,$A40)=1,VLOOKUP($A40,'R2_G1'!$A$8:$Y$17, S$2+7,FALSE),IF(COUNTIF('R2_G2'!$A$8:$A$17,$A40)=1,VLOOKUP($A40,'R2_G2'!$A$8:$Y$17, S$2+7,FALSE),IF(COUNTIF('R2_G3'!$A$8:$A$17,$A40)=1,VLOOKUP($A40,'R2_G3'!$A$8:$Y$17, S$2+7,FALSE),IF(COUNTIF('R2_G4'!$A$8:$A$17,$A40)=1,VLOOKUP($A40,'R2_G4'!$A$8:$Y$17, S$2+7,FALSE),""))))</f>
        <v>5</v>
      </c>
      <c r="T40" s="852">
        <f>IF(COUNTIF('R2_G1'!$A$8:$A$17,$A40)=1,VLOOKUP($A40,'R2_G1'!$A$8:$Y$17, T$2+7,FALSE),IF(COUNTIF('R2_G2'!$A$8:$A$17,$A40)=1,VLOOKUP($A40,'R2_G2'!$A$8:$Y$17, T$2+7,FALSE),IF(COUNTIF('R2_G3'!$A$8:$A$17,$A40)=1,VLOOKUP($A40,'R2_G3'!$A$8:$Y$17, T$2+7,FALSE),IF(COUNTIF('R2_G4'!$A$8:$A$17,$A40)=1,VLOOKUP($A40,'R2_G4'!$A$8:$Y$17, T$2+7,FALSE),""))))</f>
        <v>6</v>
      </c>
      <c r="U40" s="852">
        <f>IF(COUNTIF('R2_G1'!$A$8:$A$17,$A40)=1,VLOOKUP($A40,'R2_G1'!$A$8:$Y$17, U$2+7,FALSE),IF(COUNTIF('R2_G2'!$A$8:$A$17,$A40)=1,VLOOKUP($A40,'R2_G2'!$A$8:$Y$17, U$2+7,FALSE),IF(COUNTIF('R2_G3'!$A$8:$A$17,$A40)=1,VLOOKUP($A40,'R2_G3'!$A$8:$Y$17, U$2+7,FALSE),IF(COUNTIF('R2_G4'!$A$8:$A$17,$A40)=1,VLOOKUP($A40,'R2_G4'!$A$8:$Y$17, U$2+7,FALSE),""))))</f>
        <v>4</v>
      </c>
      <c r="V40" s="852">
        <f>IF(COUNTIF('R2_G1'!$A$8:$A$17,$A40)=1,VLOOKUP($A40,'R2_G1'!$A$8:$Y$17, V$2+7,FALSE),IF(COUNTIF('R2_G2'!$A$8:$A$17,$A40)=1,VLOOKUP($A40,'R2_G2'!$A$8:$Y$17, V$2+7,FALSE),IF(COUNTIF('R2_G3'!$A$8:$A$17,$A40)=1,VLOOKUP($A40,'R2_G3'!$A$8:$Y$17, V$2+7,FALSE),IF(COUNTIF('R2_G4'!$A$8:$A$17,$A40)=1,VLOOKUP($A40,'R2_G4'!$A$8:$Y$17, V$2+7,FALSE),""))))</f>
        <v>5</v>
      </c>
      <c r="W40" s="859">
        <f t="shared" si="37"/>
        <v>42</v>
      </c>
      <c r="X40" s="859">
        <f t="shared" si="38"/>
        <v>42</v>
      </c>
      <c r="Y40" s="859">
        <f t="shared" si="43"/>
        <v>84</v>
      </c>
      <c r="Z40" s="859">
        <f t="shared" ca="1" si="44"/>
        <v>77</v>
      </c>
      <c r="AA40" s="859">
        <f t="shared" si="45"/>
        <v>84</v>
      </c>
      <c r="AB40" s="896"/>
      <c r="AC40" s="849" t="str">
        <f t="shared" si="46"/>
        <v>Pace</v>
      </c>
      <c r="AD40" s="858">
        <f ca="1">VLOOKUP(AC40,'Master Input'!$A$11:$L$27,8,FALSE)</f>
        <v>7</v>
      </c>
      <c r="AE40" s="857" t="s">
        <v>198</v>
      </c>
      <c r="AF40" s="832"/>
      <c r="AG40" s="859">
        <f t="shared" ref="AG40:AX40" ca="1" si="66">IF(E40="","",E40-IF($B40&gt;0,FLOOR($B40/18,1),0)-IF(AND(MOD($B40,18)&gt;=E$27,$B40&gt;0),1,0)+IF(E$27-18&gt;$B40,1,0))</f>
        <v>5</v>
      </c>
      <c r="AH40" s="859">
        <f t="shared" ca="1" si="66"/>
        <v>5</v>
      </c>
      <c r="AI40" s="859">
        <f t="shared" ca="1" si="66"/>
        <v>5</v>
      </c>
      <c r="AJ40" s="859">
        <f t="shared" ca="1" si="66"/>
        <v>3</v>
      </c>
      <c r="AK40" s="859">
        <f t="shared" ca="1" si="66"/>
        <v>4</v>
      </c>
      <c r="AL40" s="859">
        <f t="shared" ca="1" si="66"/>
        <v>4</v>
      </c>
      <c r="AM40" s="859">
        <f t="shared" ca="1" si="66"/>
        <v>5</v>
      </c>
      <c r="AN40" s="859">
        <f t="shared" ca="1" si="66"/>
        <v>3</v>
      </c>
      <c r="AO40" s="859">
        <f t="shared" ca="1" si="66"/>
        <v>4</v>
      </c>
      <c r="AP40" s="852">
        <f t="shared" ca="1" si="66"/>
        <v>3</v>
      </c>
      <c r="AQ40" s="852">
        <f t="shared" ca="1" si="66"/>
        <v>6</v>
      </c>
      <c r="AR40" s="852">
        <f t="shared" ca="1" si="66"/>
        <v>4</v>
      </c>
      <c r="AS40" s="852">
        <f t="shared" ca="1" si="66"/>
        <v>4</v>
      </c>
      <c r="AT40" s="852">
        <f t="shared" ca="1" si="66"/>
        <v>3</v>
      </c>
      <c r="AU40" s="852">
        <f t="shared" ca="1" si="66"/>
        <v>5</v>
      </c>
      <c r="AV40" s="852">
        <f t="shared" ca="1" si="66"/>
        <v>6</v>
      </c>
      <c r="AW40" s="852">
        <f t="shared" ca="1" si="66"/>
        <v>4</v>
      </c>
      <c r="AX40" s="852">
        <f t="shared" ca="1" si="66"/>
        <v>4</v>
      </c>
      <c r="AY40" s="859">
        <f t="shared" ca="1" si="40"/>
        <v>38</v>
      </c>
      <c r="AZ40" s="859">
        <f t="shared" ca="1" si="41"/>
        <v>39</v>
      </c>
      <c r="BA40" s="859">
        <f t="shared" ca="1" si="48"/>
        <v>77</v>
      </c>
      <c r="BB40" s="857" t="str">
        <f ca="1">IF(COUNTIF('R2_G1'!$A$8:$A$17,$A40)=1, IF(AND(BA40=Z40,BA40=VLOOKUP($A40,'R2_G1'!$A$8:$AB$17, 28,FALSE)),"yes","no"),
IF(COUNTIF('R2_G2'!$A$8:$A$17,$A40)=1, IF(AND(BA40=Z40,BA40=VLOOKUP($A40,'R2_G2'!$A$8:$AB$17, 28,FALSE)),"yes","no"),
IF(COUNTIF('R2_G3'!$A$8:$A$17,$A40)=1, IF(AND(BA40=Z40,BA40=VLOOKUP($A40,'R2_G3'!$A$8:$AB$17, 28,FALSE)),"yes","no"),
IF(COUNTIF('R2_G4'!$A$8:$A$17,$A40)=1, IF(AND(BA40=Z40,BA40=VLOOKUP($A40,'R2_G4'!$A$8:$AB$17, 28,FALSE)),"yes","no"),
"?"))))</f>
        <v>yes</v>
      </c>
      <c r="BC40" s="896"/>
      <c r="BD40" s="860">
        <f t="shared" ca="1" si="49"/>
        <v>6.5</v>
      </c>
      <c r="BE40" s="861">
        <f t="shared" ca="1" si="50"/>
        <v>8.4666666666666668</v>
      </c>
      <c r="BF40" s="861">
        <f t="shared" ca="1" si="51"/>
        <v>1</v>
      </c>
      <c r="BG40" s="861">
        <f t="shared" ca="1" si="52"/>
        <v>3</v>
      </c>
      <c r="BH40" s="861">
        <f t="shared" ca="1" si="53"/>
        <v>5</v>
      </c>
      <c r="BI40" s="861">
        <f t="shared" ca="1" si="54"/>
        <v>8</v>
      </c>
      <c r="BJ40" s="861">
        <f t="shared" ca="1" si="55"/>
        <v>1</v>
      </c>
    </row>
    <row r="41" spans="1:62" ht="14.25" customHeight="1">
      <c r="A41" s="849" t="str">
        <f t="shared" si="42"/>
        <v>T-Mo</v>
      </c>
      <c r="B41" s="850">
        <f ca="1">VLOOKUP(A41,'Master Input'!$A$11:$L$27,8,FALSE)</f>
        <v>8</v>
      </c>
      <c r="C41" s="849"/>
      <c r="D41" s="851"/>
      <c r="E41" s="852">
        <f>IF(COUNTIF('R2_G1'!$A$8:$A$17,$A41)=1,VLOOKUP($A41,'R2_G1'!$A$8:$Y$17, E$2+4,FALSE),IF(COUNTIF('R2_G2'!$A$8:$A$17,$A41)=1,VLOOKUP($A41,'R2_G2'!$A$8:$Y$17, E$2+4,FALSE),IF(COUNTIF('R2_G3'!$A$8:$A$17,$A41)=1,VLOOKUP($A41,'R2_G3'!$A$8:$Y$17, E$2+4,FALSE),IF(COUNTIF('R2_G4'!$A$8:$A$17,$A41)=1,VLOOKUP($A41,'R2_G4'!$A$8:$Y$17, E$2+4,FALSE),""))))</f>
        <v>6</v>
      </c>
      <c r="F41" s="852">
        <f>IF(COUNTIF('R2_G1'!$A$8:$A$17,$A41)=1,VLOOKUP($A41,'R2_G1'!$A$8:$Y$17, F$2+4,FALSE),IF(COUNTIF('R2_G2'!$A$8:$A$17,$A41)=1,VLOOKUP($A41,'R2_G2'!$A$8:$Y$17, F$2+4,FALSE),IF(COUNTIF('R2_G3'!$A$8:$A$17,$A41)=1,VLOOKUP($A41,'R2_G3'!$A$8:$Y$17, F$2+4,FALSE),IF(COUNTIF('R2_G4'!$A$8:$A$17,$A41)=1,VLOOKUP($A41,'R2_G4'!$A$8:$Y$17, F$2+4,FALSE),""))))</f>
        <v>4</v>
      </c>
      <c r="G41" s="852">
        <f>IF(COUNTIF('R2_G1'!$A$8:$A$17,$A41)=1,VLOOKUP($A41,'R2_G1'!$A$8:$Y$17, G$2+4,FALSE),IF(COUNTIF('R2_G2'!$A$8:$A$17,$A41)=1,VLOOKUP($A41,'R2_G2'!$A$8:$Y$17, G$2+4,FALSE),IF(COUNTIF('R2_G3'!$A$8:$A$17,$A41)=1,VLOOKUP($A41,'R2_G3'!$A$8:$Y$17, G$2+4,FALSE),IF(COUNTIF('R2_G4'!$A$8:$A$17,$A41)=1,VLOOKUP($A41,'R2_G4'!$A$8:$Y$17, G$2+4,FALSE),""))))</f>
        <v>6</v>
      </c>
      <c r="H41" s="852">
        <f>IF(COUNTIF('R2_G1'!$A$8:$A$17,$A41)=1,VLOOKUP($A41,'R2_G1'!$A$8:$Y$17, H$2+4,FALSE),IF(COUNTIF('R2_G2'!$A$8:$A$17,$A41)=1,VLOOKUP($A41,'R2_G2'!$A$8:$Y$17, H$2+4,FALSE),IF(COUNTIF('R2_G3'!$A$8:$A$17,$A41)=1,VLOOKUP($A41,'R2_G3'!$A$8:$Y$17, H$2+4,FALSE),IF(COUNTIF('R2_G4'!$A$8:$A$17,$A41)=1,VLOOKUP($A41,'R2_G4'!$A$8:$Y$17, H$2+4,FALSE),""))))</f>
        <v>4</v>
      </c>
      <c r="I41" s="852">
        <f>IF(COUNTIF('R2_G1'!$A$8:$A$17,$A41)=1,VLOOKUP($A41,'R2_G1'!$A$8:$Y$17, I$2+4,FALSE),IF(COUNTIF('R2_G2'!$A$8:$A$17,$A41)=1,VLOOKUP($A41,'R2_G2'!$A$8:$Y$17, I$2+4,FALSE),IF(COUNTIF('R2_G3'!$A$8:$A$17,$A41)=1,VLOOKUP($A41,'R2_G3'!$A$8:$Y$17, I$2+4,FALSE),IF(COUNTIF('R2_G4'!$A$8:$A$17,$A41)=1,VLOOKUP($A41,'R2_G4'!$A$8:$Y$17, I$2+4,FALSE),""))))</f>
        <v>4</v>
      </c>
      <c r="J41" s="852">
        <f>IF(COUNTIF('R2_G1'!$A$8:$A$17,$A41)=1,VLOOKUP($A41,'R2_G1'!$A$8:$Y$17, J$2+4,FALSE),IF(COUNTIF('R2_G2'!$A$8:$A$17,$A41)=1,VLOOKUP($A41,'R2_G2'!$A$8:$Y$17, J$2+4,FALSE),IF(COUNTIF('R2_G3'!$A$8:$A$17,$A41)=1,VLOOKUP($A41,'R2_G3'!$A$8:$Y$17, J$2+4,FALSE),IF(COUNTIF('R2_G4'!$A$8:$A$17,$A41)=1,VLOOKUP($A41,'R2_G4'!$A$8:$Y$17, J$2+4,FALSE),""))))</f>
        <v>5</v>
      </c>
      <c r="K41" s="852">
        <f>IF(COUNTIF('R2_G1'!$A$8:$A$17,$A41)=1,VLOOKUP($A41,'R2_G1'!$A$8:$Y$17, K$2+4,FALSE),IF(COUNTIF('R2_G2'!$A$8:$A$17,$A41)=1,VLOOKUP($A41,'R2_G2'!$A$8:$Y$17, K$2+4,FALSE),IF(COUNTIF('R2_G3'!$A$8:$A$17,$A41)=1,VLOOKUP($A41,'R2_G3'!$A$8:$Y$17, K$2+4,FALSE),IF(COUNTIF('R2_G4'!$A$8:$A$17,$A41)=1,VLOOKUP($A41,'R2_G4'!$A$8:$Y$17, K$2+4,FALSE),""))))</f>
        <v>4</v>
      </c>
      <c r="L41" s="852">
        <f>IF(COUNTIF('R2_G1'!$A$8:$A$17,$A41)=1,VLOOKUP($A41,'R2_G1'!$A$8:$Y$17, L$2+4,FALSE),IF(COUNTIF('R2_G2'!$A$8:$A$17,$A41)=1,VLOOKUP($A41,'R2_G2'!$A$8:$Y$17, L$2+4,FALSE),IF(COUNTIF('R2_G3'!$A$8:$A$17,$A41)=1,VLOOKUP($A41,'R2_G3'!$A$8:$Y$17, L$2+4,FALSE),IF(COUNTIF('R2_G4'!$A$8:$A$17,$A41)=1,VLOOKUP($A41,'R2_G4'!$A$8:$Y$17, L$2+4,FALSE),""))))</f>
        <v>6</v>
      </c>
      <c r="M41" s="852">
        <f>IF(COUNTIF('R2_G1'!$A$8:$A$17,$A41)=1,VLOOKUP($A41,'R2_G1'!$A$8:$Y$17, M$2+4,FALSE),IF(COUNTIF('R2_G2'!$A$8:$A$17,$A41)=1,VLOOKUP($A41,'R2_G2'!$A$8:$Y$17, M$2+4,FALSE),IF(COUNTIF('R2_G3'!$A$8:$A$17,$A41)=1,VLOOKUP($A41,'R2_G3'!$A$8:$Y$17, M$2+4,FALSE),IF(COUNTIF('R2_G4'!$A$8:$A$17,$A41)=1,VLOOKUP($A41,'R2_G4'!$A$8:$Y$17, M$2+4,FALSE),""))))</f>
        <v>3</v>
      </c>
      <c r="N41" s="853">
        <f>IF(COUNTIF('R2_G1'!$A$8:$A$17,$A41)=1,VLOOKUP($A41,'R2_G1'!$A$8:$Y$17, N$2+7,FALSE),IF(COUNTIF('R2_G2'!$A$8:$A$17,$A41)=1,VLOOKUP($A41,'R2_G2'!$A$8:$Y$17, N$2+7,FALSE),IF(COUNTIF('R2_G3'!$A$8:$A$17,$A41)=1,VLOOKUP($A41,'R2_G3'!$A$8:$Y$17, N$2+7,FALSE),IF(COUNTIF('R2_G4'!$A$8:$A$17,$A41)=1,VLOOKUP($A41,'R2_G4'!$A$8:$Y$17, N$2+7,FALSE),""))))</f>
        <v>4</v>
      </c>
      <c r="O41" s="853">
        <f>IF(COUNTIF('R2_G1'!$A$8:$A$17,$A41)=1,VLOOKUP($A41,'R2_G1'!$A$8:$Y$17, O$2+7,FALSE),IF(COUNTIF('R2_G2'!$A$8:$A$17,$A41)=1,VLOOKUP($A41,'R2_G2'!$A$8:$Y$17, O$2+7,FALSE),IF(COUNTIF('R2_G3'!$A$8:$A$17,$A41)=1,VLOOKUP($A41,'R2_G3'!$A$8:$Y$17, O$2+7,FALSE),IF(COUNTIF('R2_G4'!$A$8:$A$17,$A41)=1,VLOOKUP($A41,'R2_G4'!$A$8:$Y$17, O$2+7,FALSE),""))))</f>
        <v>7</v>
      </c>
      <c r="P41" s="853">
        <f>IF(COUNTIF('R2_G1'!$A$8:$A$17,$A41)=1,VLOOKUP($A41,'R2_G1'!$A$8:$Y$17, P$2+7,FALSE),IF(COUNTIF('R2_G2'!$A$8:$A$17,$A41)=1,VLOOKUP($A41,'R2_G2'!$A$8:$Y$17, P$2+7,FALSE),IF(COUNTIF('R2_G3'!$A$8:$A$17,$A41)=1,VLOOKUP($A41,'R2_G3'!$A$8:$Y$17, P$2+7,FALSE),IF(COUNTIF('R2_G4'!$A$8:$A$17,$A41)=1,VLOOKUP($A41,'R2_G4'!$A$8:$Y$17, P$2+7,FALSE),""))))</f>
        <v>4</v>
      </c>
      <c r="Q41" s="853">
        <f>IF(COUNTIF('R2_G1'!$A$8:$A$17,$A41)=1,VLOOKUP($A41,'R2_G1'!$A$8:$Y$17, Q$2+7,FALSE),IF(COUNTIF('R2_G2'!$A$8:$A$17,$A41)=1,VLOOKUP($A41,'R2_G2'!$A$8:$Y$17, Q$2+7,FALSE),IF(COUNTIF('R2_G3'!$A$8:$A$17,$A41)=1,VLOOKUP($A41,'R2_G3'!$A$8:$Y$17, Q$2+7,FALSE),IF(COUNTIF('R2_G4'!$A$8:$A$17,$A41)=1,VLOOKUP($A41,'R2_G4'!$A$8:$Y$17, Q$2+7,FALSE),""))))</f>
        <v>4</v>
      </c>
      <c r="R41" s="853">
        <f>IF(COUNTIF('R2_G1'!$A$8:$A$17,$A41)=1,VLOOKUP($A41,'R2_G1'!$A$8:$Y$17, R$2+7,FALSE),IF(COUNTIF('R2_G2'!$A$8:$A$17,$A41)=1,VLOOKUP($A41,'R2_G2'!$A$8:$Y$17, R$2+7,FALSE),IF(COUNTIF('R2_G3'!$A$8:$A$17,$A41)=1,VLOOKUP($A41,'R2_G3'!$A$8:$Y$17, R$2+7,FALSE),IF(COUNTIF('R2_G4'!$A$8:$A$17,$A41)=1,VLOOKUP($A41,'R2_G4'!$A$8:$Y$17, R$2+7,FALSE),""))))</f>
        <v>3</v>
      </c>
      <c r="S41" s="853">
        <f>IF(COUNTIF('R2_G1'!$A$8:$A$17,$A41)=1,VLOOKUP($A41,'R2_G1'!$A$8:$Y$17, S$2+7,FALSE),IF(COUNTIF('R2_G2'!$A$8:$A$17,$A41)=1,VLOOKUP($A41,'R2_G2'!$A$8:$Y$17, S$2+7,FALSE),IF(COUNTIF('R2_G3'!$A$8:$A$17,$A41)=1,VLOOKUP($A41,'R2_G3'!$A$8:$Y$17, S$2+7,FALSE),IF(COUNTIF('R2_G4'!$A$8:$A$17,$A41)=1,VLOOKUP($A41,'R2_G4'!$A$8:$Y$17, S$2+7,FALSE),""))))</f>
        <v>4</v>
      </c>
      <c r="T41" s="853">
        <f>IF(COUNTIF('R2_G1'!$A$8:$A$17,$A41)=1,VLOOKUP($A41,'R2_G1'!$A$8:$Y$17, T$2+7,FALSE),IF(COUNTIF('R2_G2'!$A$8:$A$17,$A41)=1,VLOOKUP($A41,'R2_G2'!$A$8:$Y$17, T$2+7,FALSE),IF(COUNTIF('R2_G3'!$A$8:$A$17,$A41)=1,VLOOKUP($A41,'R2_G3'!$A$8:$Y$17, T$2+7,FALSE),IF(COUNTIF('R2_G4'!$A$8:$A$17,$A41)=1,VLOOKUP($A41,'R2_G4'!$A$8:$Y$17, T$2+7,FALSE),""))))</f>
        <v>7</v>
      </c>
      <c r="U41" s="853">
        <f>IF(COUNTIF('R2_G1'!$A$8:$A$17,$A41)=1,VLOOKUP($A41,'R2_G1'!$A$8:$Y$17, U$2+7,FALSE),IF(COUNTIF('R2_G2'!$A$8:$A$17,$A41)=1,VLOOKUP($A41,'R2_G2'!$A$8:$Y$17, U$2+7,FALSE),IF(COUNTIF('R2_G3'!$A$8:$A$17,$A41)=1,VLOOKUP($A41,'R2_G3'!$A$8:$Y$17, U$2+7,FALSE),IF(COUNTIF('R2_G4'!$A$8:$A$17,$A41)=1,VLOOKUP($A41,'R2_G4'!$A$8:$Y$17, U$2+7,FALSE),""))))</f>
        <v>4</v>
      </c>
      <c r="V41" s="853">
        <f>IF(COUNTIF('R2_G1'!$A$8:$A$17,$A41)=1,VLOOKUP($A41,'R2_G1'!$A$8:$Y$17, V$2+7,FALSE),IF(COUNTIF('R2_G2'!$A$8:$A$17,$A41)=1,VLOOKUP($A41,'R2_G2'!$A$8:$Y$17, V$2+7,FALSE),IF(COUNTIF('R2_G3'!$A$8:$A$17,$A41)=1,VLOOKUP($A41,'R2_G3'!$A$8:$Y$17, V$2+7,FALSE),IF(COUNTIF('R2_G4'!$A$8:$A$17,$A41)=1,VLOOKUP($A41,'R2_G4'!$A$8:$Y$17, V$2+7,FALSE),""))))</f>
        <v>5</v>
      </c>
      <c r="W41" s="852">
        <f t="shared" si="37"/>
        <v>42</v>
      </c>
      <c r="X41" s="852">
        <f t="shared" si="38"/>
        <v>42</v>
      </c>
      <c r="Y41" s="852">
        <f t="shared" si="43"/>
        <v>84</v>
      </c>
      <c r="Z41" s="852">
        <f t="shared" ca="1" si="44"/>
        <v>76</v>
      </c>
      <c r="AA41" s="852">
        <f t="shared" si="45"/>
        <v>84</v>
      </c>
      <c r="AB41" s="896"/>
      <c r="AC41" s="849" t="str">
        <f t="shared" si="46"/>
        <v>T-Mo</v>
      </c>
      <c r="AD41" s="850">
        <f ca="1">VLOOKUP(AC41,'Master Input'!$A$11:$L$27,8,FALSE)</f>
        <v>8</v>
      </c>
      <c r="AE41" s="849" t="s">
        <v>198</v>
      </c>
      <c r="AF41" s="832"/>
      <c r="AG41" s="852">
        <f t="shared" ref="AG41:AX41" ca="1" si="67">IF(E41="","",E41-IF($B41&gt;0,FLOOR($B41/18,1),0)-IF(AND(MOD($B41,18)&gt;=E$27,$B41&gt;0),1,0)+IF(E$27-18&gt;$B41,1,0))</f>
        <v>6</v>
      </c>
      <c r="AH41" s="852">
        <f t="shared" ca="1" si="67"/>
        <v>3</v>
      </c>
      <c r="AI41" s="852">
        <f t="shared" ca="1" si="67"/>
        <v>5</v>
      </c>
      <c r="AJ41" s="852">
        <f t="shared" ca="1" si="67"/>
        <v>4</v>
      </c>
      <c r="AK41" s="852">
        <f t="shared" ca="1" si="67"/>
        <v>4</v>
      </c>
      <c r="AL41" s="852">
        <f t="shared" ca="1" si="67"/>
        <v>4</v>
      </c>
      <c r="AM41" s="852">
        <f t="shared" ca="1" si="67"/>
        <v>4</v>
      </c>
      <c r="AN41" s="852">
        <f t="shared" ca="1" si="67"/>
        <v>5</v>
      </c>
      <c r="AO41" s="852">
        <f t="shared" ca="1" si="67"/>
        <v>3</v>
      </c>
      <c r="AP41" s="853">
        <f t="shared" ca="1" si="67"/>
        <v>3</v>
      </c>
      <c r="AQ41" s="853">
        <f t="shared" ca="1" si="67"/>
        <v>6</v>
      </c>
      <c r="AR41" s="853">
        <f t="shared" ca="1" si="67"/>
        <v>4</v>
      </c>
      <c r="AS41" s="853">
        <f t="shared" ca="1" si="67"/>
        <v>4</v>
      </c>
      <c r="AT41" s="853">
        <f t="shared" ca="1" si="67"/>
        <v>3</v>
      </c>
      <c r="AU41" s="853">
        <f t="shared" ca="1" si="67"/>
        <v>4</v>
      </c>
      <c r="AV41" s="853">
        <f t="shared" ca="1" si="67"/>
        <v>6</v>
      </c>
      <c r="AW41" s="853">
        <f t="shared" ca="1" si="67"/>
        <v>4</v>
      </c>
      <c r="AX41" s="853">
        <f t="shared" ca="1" si="67"/>
        <v>4</v>
      </c>
      <c r="AY41" s="852">
        <f t="shared" ca="1" si="40"/>
        <v>38</v>
      </c>
      <c r="AZ41" s="852">
        <f t="shared" ca="1" si="41"/>
        <v>38</v>
      </c>
      <c r="BA41" s="852">
        <f t="shared" ca="1" si="48"/>
        <v>76</v>
      </c>
      <c r="BB41" s="849" t="str">
        <f ca="1">IF(COUNTIF('R2_G1'!$A$8:$A$17,$A41)=1, IF(AND(BA41=Z41,BA41=VLOOKUP($A41,'R2_G1'!$A$8:$AB$17, 28,FALSE)),"yes","no"),
IF(COUNTIF('R2_G2'!$A$8:$A$17,$A41)=1, IF(AND(BA41=Z41,BA41=VLOOKUP($A41,'R2_G2'!$A$8:$AB$17, 28,FALSE)),"yes","no"),
IF(COUNTIF('R2_G3'!$A$8:$A$17,$A41)=1, IF(AND(BA41=Z41,BA41=VLOOKUP($A41,'R2_G3'!$A$8:$AB$17, 28,FALSE)),"yes","no"),
IF(COUNTIF('R2_G4'!$A$8:$A$17,$A41)=1, IF(AND(BA41=Z41,BA41=VLOOKUP($A41,'R2_G4'!$A$8:$AB$17, 28,FALSE)),"yes","no"),
"?"))))</f>
        <v>yes</v>
      </c>
      <c r="BC41" s="896"/>
      <c r="BD41" s="862">
        <f t="shared" ca="1" si="49"/>
        <v>8</v>
      </c>
      <c r="BE41" s="855">
        <f t="shared" ca="1" si="50"/>
        <v>9.1333333333333329</v>
      </c>
      <c r="BF41" s="855">
        <f t="shared" ca="1" si="51"/>
        <v>0</v>
      </c>
      <c r="BG41" s="855">
        <f t="shared" ca="1" si="52"/>
        <v>3</v>
      </c>
      <c r="BH41" s="855">
        <f t="shared" ca="1" si="53"/>
        <v>10</v>
      </c>
      <c r="BI41" s="855">
        <f t="shared" ca="1" si="54"/>
        <v>3</v>
      </c>
      <c r="BJ41" s="855">
        <f t="shared" ca="1" si="55"/>
        <v>2</v>
      </c>
    </row>
    <row r="42" spans="1:62" ht="14.25" customHeight="1">
      <c r="A42" s="857" t="str">
        <f t="shared" si="42"/>
        <v>Joe O</v>
      </c>
      <c r="B42" s="858">
        <f ca="1">VLOOKUP(A42,'Master Input'!$A$11:$L$27,8,FALSE)</f>
        <v>12</v>
      </c>
      <c r="C42" s="857"/>
      <c r="D42" s="851"/>
      <c r="E42" s="859">
        <f>IF(COUNTIF('R2_G1'!$A$8:$A$17,$A42)=1,VLOOKUP($A42,'R2_G1'!$A$8:$Y$17, E$2+4,FALSE),IF(COUNTIF('R2_G2'!$A$8:$A$17,$A42)=1,VLOOKUP($A42,'R2_G2'!$A$8:$Y$17, E$2+4,FALSE),IF(COUNTIF('R2_G3'!$A$8:$A$17,$A42)=1,VLOOKUP($A42,'R2_G3'!$A$8:$Y$17, E$2+4,FALSE),IF(COUNTIF('R2_G4'!$A$8:$A$17,$A42)=1,VLOOKUP($A42,'R2_G4'!$A$8:$Y$17, E$2+4,FALSE),""))))</f>
        <v>4</v>
      </c>
      <c r="F42" s="859">
        <f>IF(COUNTIF('R2_G1'!$A$8:$A$17,$A42)=1,VLOOKUP($A42,'R2_G1'!$A$8:$Y$17, F$2+4,FALSE),IF(COUNTIF('R2_G2'!$A$8:$A$17,$A42)=1,VLOOKUP($A42,'R2_G2'!$A$8:$Y$17, F$2+4,FALSE),IF(COUNTIF('R2_G3'!$A$8:$A$17,$A42)=1,VLOOKUP($A42,'R2_G3'!$A$8:$Y$17, F$2+4,FALSE),IF(COUNTIF('R2_G4'!$A$8:$A$17,$A42)=1,VLOOKUP($A42,'R2_G4'!$A$8:$Y$17, F$2+4,FALSE),""))))</f>
        <v>5</v>
      </c>
      <c r="G42" s="859">
        <f>IF(COUNTIF('R2_G1'!$A$8:$A$17,$A42)=1,VLOOKUP($A42,'R2_G1'!$A$8:$Y$17, G$2+4,FALSE),IF(COUNTIF('R2_G2'!$A$8:$A$17,$A42)=1,VLOOKUP($A42,'R2_G2'!$A$8:$Y$17, G$2+4,FALSE),IF(COUNTIF('R2_G3'!$A$8:$A$17,$A42)=1,VLOOKUP($A42,'R2_G3'!$A$8:$Y$17, G$2+4,FALSE),IF(COUNTIF('R2_G4'!$A$8:$A$17,$A42)=1,VLOOKUP($A42,'R2_G4'!$A$8:$Y$17, G$2+4,FALSE),""))))</f>
        <v>5</v>
      </c>
      <c r="H42" s="859">
        <f>IF(COUNTIF('R2_G1'!$A$8:$A$17,$A42)=1,VLOOKUP($A42,'R2_G1'!$A$8:$Y$17, H$2+4,FALSE),IF(COUNTIF('R2_G2'!$A$8:$A$17,$A42)=1,VLOOKUP($A42,'R2_G2'!$A$8:$Y$17, H$2+4,FALSE),IF(COUNTIF('R2_G3'!$A$8:$A$17,$A42)=1,VLOOKUP($A42,'R2_G3'!$A$8:$Y$17, H$2+4,FALSE),IF(COUNTIF('R2_G4'!$A$8:$A$17,$A42)=1,VLOOKUP($A42,'R2_G4'!$A$8:$Y$17, H$2+4,FALSE),""))))</f>
        <v>4</v>
      </c>
      <c r="I42" s="859">
        <f>IF(COUNTIF('R2_G1'!$A$8:$A$17,$A42)=1,VLOOKUP($A42,'R2_G1'!$A$8:$Y$17, I$2+4,FALSE),IF(COUNTIF('R2_G2'!$A$8:$A$17,$A42)=1,VLOOKUP($A42,'R2_G2'!$A$8:$Y$17, I$2+4,FALSE),IF(COUNTIF('R2_G3'!$A$8:$A$17,$A42)=1,VLOOKUP($A42,'R2_G3'!$A$8:$Y$17, I$2+4,FALSE),IF(COUNTIF('R2_G4'!$A$8:$A$17,$A42)=1,VLOOKUP($A42,'R2_G4'!$A$8:$Y$17, I$2+4,FALSE),""))))</f>
        <v>5</v>
      </c>
      <c r="J42" s="859">
        <f>IF(COUNTIF('R2_G1'!$A$8:$A$17,$A42)=1,VLOOKUP($A42,'R2_G1'!$A$8:$Y$17, J$2+4,FALSE),IF(COUNTIF('R2_G2'!$A$8:$A$17,$A42)=1,VLOOKUP($A42,'R2_G2'!$A$8:$Y$17, J$2+4,FALSE),IF(COUNTIF('R2_G3'!$A$8:$A$17,$A42)=1,VLOOKUP($A42,'R2_G3'!$A$8:$Y$17, J$2+4,FALSE),IF(COUNTIF('R2_G4'!$A$8:$A$17,$A42)=1,VLOOKUP($A42,'R2_G4'!$A$8:$Y$17, J$2+4,FALSE),""))))</f>
        <v>6</v>
      </c>
      <c r="K42" s="859">
        <f>IF(COUNTIF('R2_G1'!$A$8:$A$17,$A42)=1,VLOOKUP($A42,'R2_G1'!$A$8:$Y$17, K$2+4,FALSE),IF(COUNTIF('R2_G2'!$A$8:$A$17,$A42)=1,VLOOKUP($A42,'R2_G2'!$A$8:$Y$17, K$2+4,FALSE),IF(COUNTIF('R2_G3'!$A$8:$A$17,$A42)=1,VLOOKUP($A42,'R2_G3'!$A$8:$Y$17, K$2+4,FALSE),IF(COUNTIF('R2_G4'!$A$8:$A$17,$A42)=1,VLOOKUP($A42,'R2_G4'!$A$8:$Y$17, K$2+4,FALSE),""))))</f>
        <v>6</v>
      </c>
      <c r="L42" s="859">
        <f>IF(COUNTIF('R2_G1'!$A$8:$A$17,$A42)=1,VLOOKUP($A42,'R2_G1'!$A$8:$Y$17, L$2+4,FALSE),IF(COUNTIF('R2_G2'!$A$8:$A$17,$A42)=1,VLOOKUP($A42,'R2_G2'!$A$8:$Y$17, L$2+4,FALSE),IF(COUNTIF('R2_G3'!$A$8:$A$17,$A42)=1,VLOOKUP($A42,'R2_G3'!$A$8:$Y$17, L$2+4,FALSE),IF(COUNTIF('R2_G4'!$A$8:$A$17,$A42)=1,VLOOKUP($A42,'R2_G4'!$A$8:$Y$17, L$2+4,FALSE),""))))</f>
        <v>6</v>
      </c>
      <c r="M42" s="859">
        <f>IF(COUNTIF('R2_G1'!$A$8:$A$17,$A42)=1,VLOOKUP($A42,'R2_G1'!$A$8:$Y$17, M$2+4,FALSE),IF(COUNTIF('R2_G2'!$A$8:$A$17,$A42)=1,VLOOKUP($A42,'R2_G2'!$A$8:$Y$17, M$2+4,FALSE),IF(COUNTIF('R2_G3'!$A$8:$A$17,$A42)=1,VLOOKUP($A42,'R2_G3'!$A$8:$Y$17, M$2+4,FALSE),IF(COUNTIF('R2_G4'!$A$8:$A$17,$A42)=1,VLOOKUP($A42,'R2_G4'!$A$8:$Y$17, M$2+4,FALSE),""))))</f>
        <v>4</v>
      </c>
      <c r="N42" s="852">
        <f>IF(COUNTIF('R2_G1'!$A$8:$A$17,$A42)=1,VLOOKUP($A42,'R2_G1'!$A$8:$Y$17, N$2+7,FALSE),IF(COUNTIF('R2_G2'!$A$8:$A$17,$A42)=1,VLOOKUP($A42,'R2_G2'!$A$8:$Y$17, N$2+7,FALSE),IF(COUNTIF('R2_G3'!$A$8:$A$17,$A42)=1,VLOOKUP($A42,'R2_G3'!$A$8:$Y$17, N$2+7,FALSE),IF(COUNTIF('R2_G4'!$A$8:$A$17,$A42)=1,VLOOKUP($A42,'R2_G4'!$A$8:$Y$17, N$2+7,FALSE),""))))</f>
        <v>5</v>
      </c>
      <c r="O42" s="852">
        <f>IF(COUNTIF('R2_G1'!$A$8:$A$17,$A42)=1,VLOOKUP($A42,'R2_G1'!$A$8:$Y$17, O$2+7,FALSE),IF(COUNTIF('R2_G2'!$A$8:$A$17,$A42)=1,VLOOKUP($A42,'R2_G2'!$A$8:$Y$17, O$2+7,FALSE),IF(COUNTIF('R2_G3'!$A$8:$A$17,$A42)=1,VLOOKUP($A42,'R2_G3'!$A$8:$Y$17, O$2+7,FALSE),IF(COUNTIF('R2_G4'!$A$8:$A$17,$A42)=1,VLOOKUP($A42,'R2_G4'!$A$8:$Y$17, O$2+7,FALSE),""))))</f>
        <v>7</v>
      </c>
      <c r="P42" s="852">
        <f>IF(COUNTIF('R2_G1'!$A$8:$A$17,$A42)=1,VLOOKUP($A42,'R2_G1'!$A$8:$Y$17, P$2+7,FALSE),IF(COUNTIF('R2_G2'!$A$8:$A$17,$A42)=1,VLOOKUP($A42,'R2_G2'!$A$8:$Y$17, P$2+7,FALSE),IF(COUNTIF('R2_G3'!$A$8:$A$17,$A42)=1,VLOOKUP($A42,'R2_G3'!$A$8:$Y$17, P$2+7,FALSE),IF(COUNTIF('R2_G4'!$A$8:$A$17,$A42)=1,VLOOKUP($A42,'R2_G4'!$A$8:$Y$17, P$2+7,FALSE),""))))</f>
        <v>4</v>
      </c>
      <c r="Q42" s="852">
        <f>IF(COUNTIF('R2_G1'!$A$8:$A$17,$A42)=1,VLOOKUP($A42,'R2_G1'!$A$8:$Y$17, Q$2+7,FALSE),IF(COUNTIF('R2_G2'!$A$8:$A$17,$A42)=1,VLOOKUP($A42,'R2_G2'!$A$8:$Y$17, Q$2+7,FALSE),IF(COUNTIF('R2_G3'!$A$8:$A$17,$A42)=1,VLOOKUP($A42,'R2_G3'!$A$8:$Y$17, Q$2+7,FALSE),IF(COUNTIF('R2_G4'!$A$8:$A$17,$A42)=1,VLOOKUP($A42,'R2_G4'!$A$8:$Y$17, Q$2+7,FALSE),""))))</f>
        <v>4</v>
      </c>
      <c r="R42" s="852">
        <f>IF(COUNTIF('R2_G1'!$A$8:$A$17,$A42)=1,VLOOKUP($A42,'R2_G1'!$A$8:$Y$17, R$2+7,FALSE),IF(COUNTIF('R2_G2'!$A$8:$A$17,$A42)=1,VLOOKUP($A42,'R2_G2'!$A$8:$Y$17, R$2+7,FALSE),IF(COUNTIF('R2_G3'!$A$8:$A$17,$A42)=1,VLOOKUP($A42,'R2_G3'!$A$8:$Y$17, R$2+7,FALSE),IF(COUNTIF('R2_G4'!$A$8:$A$17,$A42)=1,VLOOKUP($A42,'R2_G4'!$A$8:$Y$17, R$2+7,FALSE),""))))</f>
        <v>3</v>
      </c>
      <c r="S42" s="852">
        <f>IF(COUNTIF('R2_G1'!$A$8:$A$17,$A42)=1,VLOOKUP($A42,'R2_G1'!$A$8:$Y$17, S$2+7,FALSE),IF(COUNTIF('R2_G2'!$A$8:$A$17,$A42)=1,VLOOKUP($A42,'R2_G2'!$A$8:$Y$17, S$2+7,FALSE),IF(COUNTIF('R2_G3'!$A$8:$A$17,$A42)=1,VLOOKUP($A42,'R2_G3'!$A$8:$Y$17, S$2+7,FALSE),IF(COUNTIF('R2_G4'!$A$8:$A$17,$A42)=1,VLOOKUP($A42,'R2_G4'!$A$8:$Y$17, S$2+7,FALSE),""))))</f>
        <v>6</v>
      </c>
      <c r="T42" s="852">
        <f>IF(COUNTIF('R2_G1'!$A$8:$A$17,$A42)=1,VLOOKUP($A42,'R2_G1'!$A$8:$Y$17, T$2+7,FALSE),IF(COUNTIF('R2_G2'!$A$8:$A$17,$A42)=1,VLOOKUP($A42,'R2_G2'!$A$8:$Y$17, T$2+7,FALSE),IF(COUNTIF('R2_G3'!$A$8:$A$17,$A42)=1,VLOOKUP($A42,'R2_G3'!$A$8:$Y$17, T$2+7,FALSE),IF(COUNTIF('R2_G4'!$A$8:$A$17,$A42)=1,VLOOKUP($A42,'R2_G4'!$A$8:$Y$17, T$2+7,FALSE),""))))</f>
        <v>5</v>
      </c>
      <c r="U42" s="852">
        <f>IF(COUNTIF('R2_G1'!$A$8:$A$17,$A42)=1,VLOOKUP($A42,'R2_G1'!$A$8:$Y$17, U$2+7,FALSE),IF(COUNTIF('R2_G2'!$A$8:$A$17,$A42)=1,VLOOKUP($A42,'R2_G2'!$A$8:$Y$17, U$2+7,FALSE),IF(COUNTIF('R2_G3'!$A$8:$A$17,$A42)=1,VLOOKUP($A42,'R2_G3'!$A$8:$Y$17, U$2+7,FALSE),IF(COUNTIF('R2_G4'!$A$8:$A$17,$A42)=1,VLOOKUP($A42,'R2_G4'!$A$8:$Y$17, U$2+7,FALSE),""))))</f>
        <v>5</v>
      </c>
      <c r="V42" s="852">
        <f>IF(COUNTIF('R2_G1'!$A$8:$A$17,$A42)=1,VLOOKUP($A42,'R2_G1'!$A$8:$Y$17, V$2+7,FALSE),IF(COUNTIF('R2_G2'!$A$8:$A$17,$A42)=1,VLOOKUP($A42,'R2_G2'!$A$8:$Y$17, V$2+7,FALSE),IF(COUNTIF('R2_G3'!$A$8:$A$17,$A42)=1,VLOOKUP($A42,'R2_G3'!$A$8:$Y$17, V$2+7,FALSE),IF(COUNTIF('R2_G4'!$A$8:$A$17,$A42)=1,VLOOKUP($A42,'R2_G4'!$A$8:$Y$17, V$2+7,FALSE),""))))</f>
        <v>5</v>
      </c>
      <c r="W42" s="859">
        <f t="shared" si="37"/>
        <v>45</v>
      </c>
      <c r="X42" s="859">
        <f t="shared" si="38"/>
        <v>44</v>
      </c>
      <c r="Y42" s="859">
        <f t="shared" si="43"/>
        <v>89</v>
      </c>
      <c r="Z42" s="859">
        <f t="shared" ca="1" si="44"/>
        <v>77</v>
      </c>
      <c r="AA42" s="859">
        <f t="shared" si="45"/>
        <v>89</v>
      </c>
      <c r="AB42" s="896"/>
      <c r="AC42" s="849" t="str">
        <f t="shared" si="46"/>
        <v>Joe O</v>
      </c>
      <c r="AD42" s="858">
        <f ca="1">VLOOKUP(AC42,'Master Input'!$A$11:$L$27,8,FALSE)</f>
        <v>12</v>
      </c>
      <c r="AE42" s="857" t="s">
        <v>198</v>
      </c>
      <c r="AF42" s="832"/>
      <c r="AG42" s="859">
        <f t="shared" ref="AG42:AX42" ca="1" si="68">IF(E42="","",E42-IF($B42&gt;0,FLOOR($B42/18,1),0)-IF(AND(MOD($B42,18)&gt;=E$27,$B42&gt;0),1,0)+IF(E$27-18&gt;$B42,1,0))</f>
        <v>3</v>
      </c>
      <c r="AH42" s="859">
        <f t="shared" ca="1" si="68"/>
        <v>4</v>
      </c>
      <c r="AI42" s="859">
        <f t="shared" ca="1" si="68"/>
        <v>4</v>
      </c>
      <c r="AJ42" s="859">
        <f t="shared" ca="1" si="68"/>
        <v>4</v>
      </c>
      <c r="AK42" s="859">
        <f t="shared" ca="1" si="68"/>
        <v>5</v>
      </c>
      <c r="AL42" s="859">
        <f t="shared" ca="1" si="68"/>
        <v>5</v>
      </c>
      <c r="AM42" s="859">
        <f t="shared" ca="1" si="68"/>
        <v>5</v>
      </c>
      <c r="AN42" s="859">
        <f t="shared" ca="1" si="68"/>
        <v>5</v>
      </c>
      <c r="AO42" s="859">
        <f t="shared" ca="1" si="68"/>
        <v>4</v>
      </c>
      <c r="AP42" s="852">
        <f t="shared" ca="1" si="68"/>
        <v>4</v>
      </c>
      <c r="AQ42" s="852">
        <f t="shared" ca="1" si="68"/>
        <v>6</v>
      </c>
      <c r="AR42" s="852">
        <f t="shared" ca="1" si="68"/>
        <v>4</v>
      </c>
      <c r="AS42" s="852">
        <f t="shared" ca="1" si="68"/>
        <v>3</v>
      </c>
      <c r="AT42" s="852">
        <f t="shared" ca="1" si="68"/>
        <v>3</v>
      </c>
      <c r="AU42" s="852">
        <f t="shared" ca="1" si="68"/>
        <v>6</v>
      </c>
      <c r="AV42" s="852">
        <f t="shared" ca="1" si="68"/>
        <v>4</v>
      </c>
      <c r="AW42" s="852">
        <f t="shared" ca="1" si="68"/>
        <v>4</v>
      </c>
      <c r="AX42" s="852">
        <f t="shared" ca="1" si="68"/>
        <v>4</v>
      </c>
      <c r="AY42" s="859">
        <f t="shared" ca="1" si="40"/>
        <v>39</v>
      </c>
      <c r="AZ42" s="859">
        <f t="shared" ca="1" si="41"/>
        <v>38</v>
      </c>
      <c r="BA42" s="859">
        <f t="shared" ca="1" si="48"/>
        <v>77</v>
      </c>
      <c r="BB42" s="857" t="str">
        <f ca="1">IF(COUNTIF('R2_G1'!$A$8:$A$17,$A42)=1, IF(AND(BA42=Z42,BA42=VLOOKUP($A42,'R2_G1'!$A$8:$AB$17, 28,FALSE)),"yes","no"),
IF(COUNTIF('R2_G2'!$A$8:$A$17,$A42)=1, IF(AND(BA42=Z42,BA42=VLOOKUP($A42,'R2_G2'!$A$8:$AB$17, 28,FALSE)),"yes","no"),
IF(COUNTIF('R2_G3'!$A$8:$A$17,$A42)=1, IF(AND(BA42=Z42,BA42=VLOOKUP($A42,'R2_G3'!$A$8:$AB$17, 28,FALSE)),"yes","no"),
IF(COUNTIF('R2_G4'!$A$8:$A$17,$A42)=1, IF(AND(BA42=Z42,BA42=VLOOKUP($A42,'R2_G4'!$A$8:$AB$17, 28,FALSE)),"yes","no"),
"?"))))</f>
        <v>yes</v>
      </c>
      <c r="BC42" s="896"/>
      <c r="BD42" s="860">
        <f t="shared" ca="1" si="49"/>
        <v>7.5</v>
      </c>
      <c r="BE42" s="861">
        <f t="shared" ca="1" si="50"/>
        <v>8.3666666666666654</v>
      </c>
      <c r="BF42" s="861">
        <f t="shared" ca="1" si="51"/>
        <v>0</v>
      </c>
      <c r="BG42" s="861">
        <f t="shared" ca="1" si="52"/>
        <v>4</v>
      </c>
      <c r="BH42" s="861">
        <f t="shared" ca="1" si="53"/>
        <v>7</v>
      </c>
      <c r="BI42" s="861">
        <f t="shared" ca="1" si="54"/>
        <v>5</v>
      </c>
      <c r="BJ42" s="861">
        <f t="shared" ca="1" si="55"/>
        <v>2</v>
      </c>
    </row>
    <row r="43" spans="1:62" ht="14.25" customHeight="1">
      <c r="A43" s="849" t="str">
        <f t="shared" si="42"/>
        <v>Hile</v>
      </c>
      <c r="B43" s="850">
        <f ca="1">VLOOKUP(A43,'Master Input'!$A$11:$L$27,8,FALSE)</f>
        <v>14</v>
      </c>
      <c r="C43" s="849"/>
      <c r="D43" s="851"/>
      <c r="E43" s="852">
        <f>IF(COUNTIF('R2_G1'!$A$8:$A$17,$A43)=1,VLOOKUP($A43,'R2_G1'!$A$8:$Y$17, E$2+4,FALSE),IF(COUNTIF('R2_G2'!$A$8:$A$17,$A43)=1,VLOOKUP($A43,'R2_G2'!$A$8:$Y$17, E$2+4,FALSE),IF(COUNTIF('R2_G3'!$A$8:$A$17,$A43)=1,VLOOKUP($A43,'R2_G3'!$A$8:$Y$17, E$2+4,FALSE),IF(COUNTIF('R2_G4'!$A$8:$A$17,$A43)=1,VLOOKUP($A43,'R2_G4'!$A$8:$Y$17, E$2+4,FALSE),""))))</f>
        <v>6</v>
      </c>
      <c r="F43" s="852">
        <f>IF(COUNTIF('R2_G1'!$A$8:$A$17,$A43)=1,VLOOKUP($A43,'R2_G1'!$A$8:$Y$17, F$2+4,FALSE),IF(COUNTIF('R2_G2'!$A$8:$A$17,$A43)=1,VLOOKUP($A43,'R2_G2'!$A$8:$Y$17, F$2+4,FALSE),IF(COUNTIF('R2_G3'!$A$8:$A$17,$A43)=1,VLOOKUP($A43,'R2_G3'!$A$8:$Y$17, F$2+4,FALSE),IF(COUNTIF('R2_G4'!$A$8:$A$17,$A43)=1,VLOOKUP($A43,'R2_G4'!$A$8:$Y$17, F$2+4,FALSE),""))))</f>
        <v>6</v>
      </c>
      <c r="G43" s="852">
        <f>IF(COUNTIF('R2_G1'!$A$8:$A$17,$A43)=1,VLOOKUP($A43,'R2_G1'!$A$8:$Y$17, G$2+4,FALSE),IF(COUNTIF('R2_G2'!$A$8:$A$17,$A43)=1,VLOOKUP($A43,'R2_G2'!$A$8:$Y$17, G$2+4,FALSE),IF(COUNTIF('R2_G3'!$A$8:$A$17,$A43)=1,VLOOKUP($A43,'R2_G3'!$A$8:$Y$17, G$2+4,FALSE),IF(COUNTIF('R2_G4'!$A$8:$A$17,$A43)=1,VLOOKUP($A43,'R2_G4'!$A$8:$Y$17, G$2+4,FALSE),""))))</f>
        <v>6</v>
      </c>
      <c r="H43" s="852">
        <f>IF(COUNTIF('R2_G1'!$A$8:$A$17,$A43)=1,VLOOKUP($A43,'R2_G1'!$A$8:$Y$17, H$2+4,FALSE),IF(COUNTIF('R2_G2'!$A$8:$A$17,$A43)=1,VLOOKUP($A43,'R2_G2'!$A$8:$Y$17, H$2+4,FALSE),IF(COUNTIF('R2_G3'!$A$8:$A$17,$A43)=1,VLOOKUP($A43,'R2_G3'!$A$8:$Y$17, H$2+4,FALSE),IF(COUNTIF('R2_G4'!$A$8:$A$17,$A43)=1,VLOOKUP($A43,'R2_G4'!$A$8:$Y$17, H$2+4,FALSE),""))))</f>
        <v>5</v>
      </c>
      <c r="I43" s="852">
        <f>IF(COUNTIF('R2_G1'!$A$8:$A$17,$A43)=1,VLOOKUP($A43,'R2_G1'!$A$8:$Y$17, I$2+4,FALSE),IF(COUNTIF('R2_G2'!$A$8:$A$17,$A43)=1,VLOOKUP($A43,'R2_G2'!$A$8:$Y$17, I$2+4,FALSE),IF(COUNTIF('R2_G3'!$A$8:$A$17,$A43)=1,VLOOKUP($A43,'R2_G3'!$A$8:$Y$17, I$2+4,FALSE),IF(COUNTIF('R2_G4'!$A$8:$A$17,$A43)=1,VLOOKUP($A43,'R2_G4'!$A$8:$Y$17, I$2+4,FALSE),""))))</f>
        <v>3</v>
      </c>
      <c r="J43" s="852">
        <f>IF(COUNTIF('R2_G1'!$A$8:$A$17,$A43)=1,VLOOKUP($A43,'R2_G1'!$A$8:$Y$17, J$2+4,FALSE),IF(COUNTIF('R2_G2'!$A$8:$A$17,$A43)=1,VLOOKUP($A43,'R2_G2'!$A$8:$Y$17, J$2+4,FALSE),IF(COUNTIF('R2_G3'!$A$8:$A$17,$A43)=1,VLOOKUP($A43,'R2_G3'!$A$8:$Y$17, J$2+4,FALSE),IF(COUNTIF('R2_G4'!$A$8:$A$17,$A43)=1,VLOOKUP($A43,'R2_G4'!$A$8:$Y$17, J$2+4,FALSE),""))))</f>
        <v>5</v>
      </c>
      <c r="K43" s="852">
        <f>IF(COUNTIF('R2_G1'!$A$8:$A$17,$A43)=1,VLOOKUP($A43,'R2_G1'!$A$8:$Y$17, K$2+4,FALSE),IF(COUNTIF('R2_G2'!$A$8:$A$17,$A43)=1,VLOOKUP($A43,'R2_G2'!$A$8:$Y$17, K$2+4,FALSE),IF(COUNTIF('R2_G3'!$A$8:$A$17,$A43)=1,VLOOKUP($A43,'R2_G3'!$A$8:$Y$17, K$2+4,FALSE),IF(COUNTIF('R2_G4'!$A$8:$A$17,$A43)=1,VLOOKUP($A43,'R2_G4'!$A$8:$Y$17, K$2+4,FALSE),""))))</f>
        <v>5</v>
      </c>
      <c r="L43" s="852">
        <f>IF(COUNTIF('R2_G1'!$A$8:$A$17,$A43)=1,VLOOKUP($A43,'R2_G1'!$A$8:$Y$17, L$2+4,FALSE),IF(COUNTIF('R2_G2'!$A$8:$A$17,$A43)=1,VLOOKUP($A43,'R2_G2'!$A$8:$Y$17, L$2+4,FALSE),IF(COUNTIF('R2_G3'!$A$8:$A$17,$A43)=1,VLOOKUP($A43,'R2_G3'!$A$8:$Y$17, L$2+4,FALSE),IF(COUNTIF('R2_G4'!$A$8:$A$17,$A43)=1,VLOOKUP($A43,'R2_G4'!$A$8:$Y$17, L$2+4,FALSE),""))))</f>
        <v>7</v>
      </c>
      <c r="M43" s="852">
        <f>IF(COUNTIF('R2_G1'!$A$8:$A$17,$A43)=1,VLOOKUP($A43,'R2_G1'!$A$8:$Y$17, M$2+4,FALSE),IF(COUNTIF('R2_G2'!$A$8:$A$17,$A43)=1,VLOOKUP($A43,'R2_G2'!$A$8:$Y$17, M$2+4,FALSE),IF(COUNTIF('R2_G3'!$A$8:$A$17,$A43)=1,VLOOKUP($A43,'R2_G3'!$A$8:$Y$17, M$2+4,FALSE),IF(COUNTIF('R2_G4'!$A$8:$A$17,$A43)=1,VLOOKUP($A43,'R2_G4'!$A$8:$Y$17, M$2+4,FALSE),""))))</f>
        <v>5</v>
      </c>
      <c r="N43" s="853">
        <f>IF(COUNTIF('R2_G1'!$A$8:$A$17,$A43)=1,VLOOKUP($A43,'R2_G1'!$A$8:$Y$17, N$2+7,FALSE),IF(COUNTIF('R2_G2'!$A$8:$A$17,$A43)=1,VLOOKUP($A43,'R2_G2'!$A$8:$Y$17, N$2+7,FALSE),IF(COUNTIF('R2_G3'!$A$8:$A$17,$A43)=1,VLOOKUP($A43,'R2_G3'!$A$8:$Y$17, N$2+7,FALSE),IF(COUNTIF('R2_G4'!$A$8:$A$17,$A43)=1,VLOOKUP($A43,'R2_G4'!$A$8:$Y$17, N$2+7,FALSE),""))))</f>
        <v>5</v>
      </c>
      <c r="O43" s="853">
        <f>IF(COUNTIF('R2_G1'!$A$8:$A$17,$A43)=1,VLOOKUP($A43,'R2_G1'!$A$8:$Y$17, O$2+7,FALSE),IF(COUNTIF('R2_G2'!$A$8:$A$17,$A43)=1,VLOOKUP($A43,'R2_G2'!$A$8:$Y$17, O$2+7,FALSE),IF(COUNTIF('R2_G3'!$A$8:$A$17,$A43)=1,VLOOKUP($A43,'R2_G3'!$A$8:$Y$17, O$2+7,FALSE),IF(COUNTIF('R2_G4'!$A$8:$A$17,$A43)=1,VLOOKUP($A43,'R2_G4'!$A$8:$Y$17, O$2+7,FALSE),""))))</f>
        <v>6</v>
      </c>
      <c r="P43" s="853">
        <f>IF(COUNTIF('R2_G1'!$A$8:$A$17,$A43)=1,VLOOKUP($A43,'R2_G1'!$A$8:$Y$17, P$2+7,FALSE),IF(COUNTIF('R2_G2'!$A$8:$A$17,$A43)=1,VLOOKUP($A43,'R2_G2'!$A$8:$Y$17, P$2+7,FALSE),IF(COUNTIF('R2_G3'!$A$8:$A$17,$A43)=1,VLOOKUP($A43,'R2_G3'!$A$8:$Y$17, P$2+7,FALSE),IF(COUNTIF('R2_G4'!$A$8:$A$17,$A43)=1,VLOOKUP($A43,'R2_G4'!$A$8:$Y$17, P$2+7,FALSE),""))))</f>
        <v>4</v>
      </c>
      <c r="Q43" s="853">
        <f>IF(COUNTIF('R2_G1'!$A$8:$A$17,$A43)=1,VLOOKUP($A43,'R2_G1'!$A$8:$Y$17, Q$2+7,FALSE),IF(COUNTIF('R2_G2'!$A$8:$A$17,$A43)=1,VLOOKUP($A43,'R2_G2'!$A$8:$Y$17, Q$2+7,FALSE),IF(COUNTIF('R2_G3'!$A$8:$A$17,$A43)=1,VLOOKUP($A43,'R2_G3'!$A$8:$Y$17, Q$2+7,FALSE),IF(COUNTIF('R2_G4'!$A$8:$A$17,$A43)=1,VLOOKUP($A43,'R2_G4'!$A$8:$Y$17, Q$2+7,FALSE),""))))</f>
        <v>4</v>
      </c>
      <c r="R43" s="853">
        <f>IF(COUNTIF('R2_G1'!$A$8:$A$17,$A43)=1,VLOOKUP($A43,'R2_G1'!$A$8:$Y$17, R$2+7,FALSE),IF(COUNTIF('R2_G2'!$A$8:$A$17,$A43)=1,VLOOKUP($A43,'R2_G2'!$A$8:$Y$17, R$2+7,FALSE),IF(COUNTIF('R2_G3'!$A$8:$A$17,$A43)=1,VLOOKUP($A43,'R2_G3'!$A$8:$Y$17, R$2+7,FALSE),IF(COUNTIF('R2_G4'!$A$8:$A$17,$A43)=1,VLOOKUP($A43,'R2_G4'!$A$8:$Y$17, R$2+7,FALSE),""))))</f>
        <v>4</v>
      </c>
      <c r="S43" s="853">
        <f>IF(COUNTIF('R2_G1'!$A$8:$A$17,$A43)=1,VLOOKUP($A43,'R2_G1'!$A$8:$Y$17, S$2+7,FALSE),IF(COUNTIF('R2_G2'!$A$8:$A$17,$A43)=1,VLOOKUP($A43,'R2_G2'!$A$8:$Y$17, S$2+7,FALSE),IF(COUNTIF('R2_G3'!$A$8:$A$17,$A43)=1,VLOOKUP($A43,'R2_G3'!$A$8:$Y$17, S$2+7,FALSE),IF(COUNTIF('R2_G4'!$A$8:$A$17,$A43)=1,VLOOKUP($A43,'R2_G4'!$A$8:$Y$17, S$2+7,FALSE),""))))</f>
        <v>5</v>
      </c>
      <c r="T43" s="853">
        <f>IF(COUNTIF('R2_G1'!$A$8:$A$17,$A43)=1,VLOOKUP($A43,'R2_G1'!$A$8:$Y$17, T$2+7,FALSE),IF(COUNTIF('R2_G2'!$A$8:$A$17,$A43)=1,VLOOKUP($A43,'R2_G2'!$A$8:$Y$17, T$2+7,FALSE),IF(COUNTIF('R2_G3'!$A$8:$A$17,$A43)=1,VLOOKUP($A43,'R2_G3'!$A$8:$Y$17, T$2+7,FALSE),IF(COUNTIF('R2_G4'!$A$8:$A$17,$A43)=1,VLOOKUP($A43,'R2_G4'!$A$8:$Y$17, T$2+7,FALSE),""))))</f>
        <v>6</v>
      </c>
      <c r="U43" s="853">
        <f>IF(COUNTIF('R2_G1'!$A$8:$A$17,$A43)=1,VLOOKUP($A43,'R2_G1'!$A$8:$Y$17, U$2+7,FALSE),IF(COUNTIF('R2_G2'!$A$8:$A$17,$A43)=1,VLOOKUP($A43,'R2_G2'!$A$8:$Y$17, U$2+7,FALSE),IF(COUNTIF('R2_G3'!$A$8:$A$17,$A43)=1,VLOOKUP($A43,'R2_G3'!$A$8:$Y$17, U$2+7,FALSE),IF(COUNTIF('R2_G4'!$A$8:$A$17,$A43)=1,VLOOKUP($A43,'R2_G4'!$A$8:$Y$17, U$2+7,FALSE),""))))</f>
        <v>6</v>
      </c>
      <c r="V43" s="853">
        <f>IF(COUNTIF('R2_G1'!$A$8:$A$17,$A43)=1,VLOOKUP($A43,'R2_G1'!$A$8:$Y$17, V$2+7,FALSE),IF(COUNTIF('R2_G2'!$A$8:$A$17,$A43)=1,VLOOKUP($A43,'R2_G2'!$A$8:$Y$17, V$2+7,FALSE),IF(COUNTIF('R2_G3'!$A$8:$A$17,$A43)=1,VLOOKUP($A43,'R2_G3'!$A$8:$Y$17, V$2+7,FALSE),IF(COUNTIF('R2_G4'!$A$8:$A$17,$A43)=1,VLOOKUP($A43,'R2_G4'!$A$8:$Y$17, V$2+7,FALSE),""))))</f>
        <v>6</v>
      </c>
      <c r="W43" s="852">
        <f t="shared" si="37"/>
        <v>48</v>
      </c>
      <c r="X43" s="852">
        <f t="shared" si="38"/>
        <v>46</v>
      </c>
      <c r="Y43" s="852">
        <f t="shared" si="43"/>
        <v>94</v>
      </c>
      <c r="Z43" s="852">
        <f t="shared" ca="1" si="44"/>
        <v>80</v>
      </c>
      <c r="AA43" s="852">
        <f t="shared" si="45"/>
        <v>94</v>
      </c>
      <c r="AB43" s="896"/>
      <c r="AC43" s="849" t="str">
        <f t="shared" si="46"/>
        <v>Hile</v>
      </c>
      <c r="AD43" s="850">
        <f ca="1">VLOOKUP(AC43,'Master Input'!$A$11:$L$27,8,FALSE)</f>
        <v>14</v>
      </c>
      <c r="AE43" s="849" t="s">
        <v>198</v>
      </c>
      <c r="AF43" s="832"/>
      <c r="AG43" s="852">
        <f t="shared" ref="AG43:AX43" ca="1" si="69">IF(E43="","",E43-IF($B43&gt;0,FLOOR($B43/18,1),0)-IF(AND(MOD($B43,18)&gt;=E$27,$B43&gt;0),1,0)+IF(E$27-18&gt;$B43,1,0))</f>
        <v>5</v>
      </c>
      <c r="AH43" s="852">
        <f t="shared" ca="1" si="69"/>
        <v>5</v>
      </c>
      <c r="AI43" s="852">
        <f t="shared" ca="1" si="69"/>
        <v>5</v>
      </c>
      <c r="AJ43" s="852">
        <f t="shared" ca="1" si="69"/>
        <v>4</v>
      </c>
      <c r="AK43" s="852">
        <f t="shared" ca="1" si="69"/>
        <v>3</v>
      </c>
      <c r="AL43" s="852">
        <f t="shared" ca="1" si="69"/>
        <v>4</v>
      </c>
      <c r="AM43" s="852">
        <f t="shared" ca="1" si="69"/>
        <v>4</v>
      </c>
      <c r="AN43" s="852">
        <f t="shared" ca="1" si="69"/>
        <v>6</v>
      </c>
      <c r="AO43" s="852">
        <f t="shared" ca="1" si="69"/>
        <v>5</v>
      </c>
      <c r="AP43" s="853">
        <f t="shared" ca="1" si="69"/>
        <v>4</v>
      </c>
      <c r="AQ43" s="853">
        <f t="shared" ca="1" si="69"/>
        <v>5</v>
      </c>
      <c r="AR43" s="853">
        <f t="shared" ca="1" si="69"/>
        <v>3</v>
      </c>
      <c r="AS43" s="853">
        <f t="shared" ca="1" si="69"/>
        <v>3</v>
      </c>
      <c r="AT43" s="853">
        <f t="shared" ca="1" si="69"/>
        <v>4</v>
      </c>
      <c r="AU43" s="853">
        <f t="shared" ca="1" si="69"/>
        <v>5</v>
      </c>
      <c r="AV43" s="853">
        <f t="shared" ca="1" si="69"/>
        <v>5</v>
      </c>
      <c r="AW43" s="853">
        <f t="shared" ca="1" si="69"/>
        <v>5</v>
      </c>
      <c r="AX43" s="853">
        <f t="shared" ca="1" si="69"/>
        <v>5</v>
      </c>
      <c r="AY43" s="852">
        <f t="shared" ca="1" si="40"/>
        <v>41</v>
      </c>
      <c r="AZ43" s="852">
        <f t="shared" ca="1" si="41"/>
        <v>39</v>
      </c>
      <c r="BA43" s="852">
        <f t="shared" ca="1" si="48"/>
        <v>80</v>
      </c>
      <c r="BB43" s="849" t="str">
        <f ca="1">IF(COUNTIF('R2_G1'!$A$8:$A$17,$A43)=1, IF(AND(BA43=Z43,BA43=VLOOKUP($A43,'R2_G1'!$A$8:$AB$17, 28,FALSE)),"yes","no"),
IF(COUNTIF('R2_G2'!$A$8:$A$17,$A43)=1, IF(AND(BA43=Z43,BA43=VLOOKUP($A43,'R2_G2'!$A$8:$AB$17, 28,FALSE)),"yes","no"),
IF(COUNTIF('R2_G3'!$A$8:$A$17,$A43)=1, IF(AND(BA43=Z43,BA43=VLOOKUP($A43,'R2_G3'!$A$8:$AB$17, 28,FALSE)),"yes","no"),
IF(COUNTIF('R2_G4'!$A$8:$A$17,$A43)=1, IF(AND(BA43=Z43,BA43=VLOOKUP($A43,'R2_G4'!$A$8:$AB$17, 28,FALSE)),"yes","no"),
"?"))))</f>
        <v>yes</v>
      </c>
      <c r="BC43" s="896"/>
      <c r="BD43" s="862">
        <f t="shared" ca="1" si="49"/>
        <v>5.5</v>
      </c>
      <c r="BE43" s="855">
        <f t="shared" ca="1" si="50"/>
        <v>7.7666666666666666</v>
      </c>
      <c r="BF43" s="855">
        <f t="shared" ca="1" si="51"/>
        <v>0</v>
      </c>
      <c r="BG43" s="855">
        <f t="shared" ca="1" si="52"/>
        <v>1</v>
      </c>
      <c r="BH43" s="855">
        <f t="shared" ca="1" si="53"/>
        <v>9</v>
      </c>
      <c r="BI43" s="855">
        <f t="shared" ca="1" si="54"/>
        <v>7</v>
      </c>
      <c r="BJ43" s="855">
        <f t="shared" ca="1" si="55"/>
        <v>1</v>
      </c>
    </row>
    <row r="44" spans="1:62" ht="14.25" customHeight="1">
      <c r="A44" s="857" t="str">
        <f t="shared" si="42"/>
        <v>Weezy</v>
      </c>
      <c r="B44" s="858">
        <f ca="1">VLOOKUP(A44,'Master Input'!$A$11:$L$27,8,FALSE)</f>
        <v>15</v>
      </c>
      <c r="C44" s="857"/>
      <c r="D44" s="832"/>
      <c r="E44" s="859">
        <f>IF(COUNTIF('R2_G1'!$A$8:$A$17,$A44)=1,VLOOKUP($A44,'R2_G1'!$A$8:$Y$17, E$2+4,FALSE),IF(COUNTIF('R2_G2'!$A$8:$A$17,$A44)=1,VLOOKUP($A44,'R2_G2'!$A$8:$Y$17, E$2+4,FALSE),IF(COUNTIF('R2_G3'!$A$8:$A$17,$A44)=1,VLOOKUP($A44,'R2_G3'!$A$8:$Y$17, E$2+4,FALSE),IF(COUNTIF('R2_G4'!$A$8:$A$17,$A44)=1,VLOOKUP($A44,'R2_G4'!$A$8:$Y$17, E$2+4,FALSE),""))))</f>
        <v>4</v>
      </c>
      <c r="F44" s="859">
        <f>IF(COUNTIF('R2_G1'!$A$8:$A$17,$A44)=1,VLOOKUP($A44,'R2_G1'!$A$8:$Y$17, F$2+4,FALSE),IF(COUNTIF('R2_G2'!$A$8:$A$17,$A44)=1,VLOOKUP($A44,'R2_G2'!$A$8:$Y$17, F$2+4,FALSE),IF(COUNTIF('R2_G3'!$A$8:$A$17,$A44)=1,VLOOKUP($A44,'R2_G3'!$A$8:$Y$17, F$2+4,FALSE),IF(COUNTIF('R2_G4'!$A$8:$A$17,$A44)=1,VLOOKUP($A44,'R2_G4'!$A$8:$Y$17, F$2+4,FALSE),""))))</f>
        <v>4</v>
      </c>
      <c r="G44" s="859">
        <f>IF(COUNTIF('R2_G1'!$A$8:$A$17,$A44)=1,VLOOKUP($A44,'R2_G1'!$A$8:$Y$17, G$2+4,FALSE),IF(COUNTIF('R2_G2'!$A$8:$A$17,$A44)=1,VLOOKUP($A44,'R2_G2'!$A$8:$Y$17, G$2+4,FALSE),IF(COUNTIF('R2_G3'!$A$8:$A$17,$A44)=1,VLOOKUP($A44,'R2_G3'!$A$8:$Y$17, G$2+4,FALSE),IF(COUNTIF('R2_G4'!$A$8:$A$17,$A44)=1,VLOOKUP($A44,'R2_G4'!$A$8:$Y$17, G$2+4,FALSE),""))))</f>
        <v>7</v>
      </c>
      <c r="H44" s="859">
        <f>IF(COUNTIF('R2_G1'!$A$8:$A$17,$A44)=1,VLOOKUP($A44,'R2_G1'!$A$8:$Y$17, H$2+4,FALSE),IF(COUNTIF('R2_G2'!$A$8:$A$17,$A44)=1,VLOOKUP($A44,'R2_G2'!$A$8:$Y$17, H$2+4,FALSE),IF(COUNTIF('R2_G3'!$A$8:$A$17,$A44)=1,VLOOKUP($A44,'R2_G3'!$A$8:$Y$17, H$2+4,FALSE),IF(COUNTIF('R2_G4'!$A$8:$A$17,$A44)=1,VLOOKUP($A44,'R2_G4'!$A$8:$Y$17, H$2+4,FALSE),""))))</f>
        <v>4</v>
      </c>
      <c r="I44" s="859">
        <f>IF(COUNTIF('R2_G1'!$A$8:$A$17,$A44)=1,VLOOKUP($A44,'R2_G1'!$A$8:$Y$17, I$2+4,FALSE),IF(COUNTIF('R2_G2'!$A$8:$A$17,$A44)=1,VLOOKUP($A44,'R2_G2'!$A$8:$Y$17, I$2+4,FALSE),IF(COUNTIF('R2_G3'!$A$8:$A$17,$A44)=1,VLOOKUP($A44,'R2_G3'!$A$8:$Y$17, I$2+4,FALSE),IF(COUNTIF('R2_G4'!$A$8:$A$17,$A44)=1,VLOOKUP($A44,'R2_G4'!$A$8:$Y$17, I$2+4,FALSE),""))))</f>
        <v>3</v>
      </c>
      <c r="J44" s="859">
        <f>IF(COUNTIF('R2_G1'!$A$8:$A$17,$A44)=1,VLOOKUP($A44,'R2_G1'!$A$8:$Y$17, J$2+4,FALSE),IF(COUNTIF('R2_G2'!$A$8:$A$17,$A44)=1,VLOOKUP($A44,'R2_G2'!$A$8:$Y$17, J$2+4,FALSE),IF(COUNTIF('R2_G3'!$A$8:$A$17,$A44)=1,VLOOKUP($A44,'R2_G3'!$A$8:$Y$17, J$2+4,FALSE),IF(COUNTIF('R2_G4'!$A$8:$A$17,$A44)=1,VLOOKUP($A44,'R2_G4'!$A$8:$Y$17, J$2+4,FALSE),""))))</f>
        <v>5</v>
      </c>
      <c r="K44" s="859">
        <f>IF(COUNTIF('R2_G1'!$A$8:$A$17,$A44)=1,VLOOKUP($A44,'R2_G1'!$A$8:$Y$17, K$2+4,FALSE),IF(COUNTIF('R2_G2'!$A$8:$A$17,$A44)=1,VLOOKUP($A44,'R2_G2'!$A$8:$Y$17, K$2+4,FALSE),IF(COUNTIF('R2_G3'!$A$8:$A$17,$A44)=1,VLOOKUP($A44,'R2_G3'!$A$8:$Y$17, K$2+4,FALSE),IF(COUNTIF('R2_G4'!$A$8:$A$17,$A44)=1,VLOOKUP($A44,'R2_G4'!$A$8:$Y$17, K$2+4,FALSE),""))))</f>
        <v>5</v>
      </c>
      <c r="L44" s="859">
        <f>IF(COUNTIF('R2_G1'!$A$8:$A$17,$A44)=1,VLOOKUP($A44,'R2_G1'!$A$8:$Y$17, L$2+4,FALSE),IF(COUNTIF('R2_G2'!$A$8:$A$17,$A44)=1,VLOOKUP($A44,'R2_G2'!$A$8:$Y$17, L$2+4,FALSE),IF(COUNTIF('R2_G3'!$A$8:$A$17,$A44)=1,VLOOKUP($A44,'R2_G3'!$A$8:$Y$17, L$2+4,FALSE),IF(COUNTIF('R2_G4'!$A$8:$A$17,$A44)=1,VLOOKUP($A44,'R2_G4'!$A$8:$Y$17, L$2+4,FALSE),""))))</f>
        <v>8</v>
      </c>
      <c r="M44" s="859">
        <f>IF(COUNTIF('R2_G1'!$A$8:$A$17,$A44)=1,VLOOKUP($A44,'R2_G1'!$A$8:$Y$17, M$2+4,FALSE),IF(COUNTIF('R2_G2'!$A$8:$A$17,$A44)=1,VLOOKUP($A44,'R2_G2'!$A$8:$Y$17, M$2+4,FALSE),IF(COUNTIF('R2_G3'!$A$8:$A$17,$A44)=1,VLOOKUP($A44,'R2_G3'!$A$8:$Y$17, M$2+4,FALSE),IF(COUNTIF('R2_G4'!$A$8:$A$17,$A44)=1,VLOOKUP($A44,'R2_G4'!$A$8:$Y$17, M$2+4,FALSE),""))))</f>
        <v>4</v>
      </c>
      <c r="N44" s="852">
        <f>IF(COUNTIF('R2_G1'!$A$8:$A$17,$A44)=1,VLOOKUP($A44,'R2_G1'!$A$8:$Y$17, N$2+7,FALSE),IF(COUNTIF('R2_G2'!$A$8:$A$17,$A44)=1,VLOOKUP($A44,'R2_G2'!$A$8:$Y$17, N$2+7,FALSE),IF(COUNTIF('R2_G3'!$A$8:$A$17,$A44)=1,VLOOKUP($A44,'R2_G3'!$A$8:$Y$17, N$2+7,FALSE),IF(COUNTIF('R2_G4'!$A$8:$A$17,$A44)=1,VLOOKUP($A44,'R2_G4'!$A$8:$Y$17, N$2+7,FALSE),""))))</f>
        <v>5</v>
      </c>
      <c r="O44" s="852">
        <f>IF(COUNTIF('R2_G1'!$A$8:$A$17,$A44)=1,VLOOKUP($A44,'R2_G1'!$A$8:$Y$17, O$2+7,FALSE),IF(COUNTIF('R2_G2'!$A$8:$A$17,$A44)=1,VLOOKUP($A44,'R2_G2'!$A$8:$Y$17, O$2+7,FALSE),IF(COUNTIF('R2_G3'!$A$8:$A$17,$A44)=1,VLOOKUP($A44,'R2_G3'!$A$8:$Y$17, O$2+7,FALSE),IF(COUNTIF('R2_G4'!$A$8:$A$17,$A44)=1,VLOOKUP($A44,'R2_G4'!$A$8:$Y$17, O$2+7,FALSE),""))))</f>
        <v>5</v>
      </c>
      <c r="P44" s="852">
        <f>IF(COUNTIF('R2_G1'!$A$8:$A$17,$A44)=1,VLOOKUP($A44,'R2_G1'!$A$8:$Y$17, P$2+7,FALSE),IF(COUNTIF('R2_G2'!$A$8:$A$17,$A44)=1,VLOOKUP($A44,'R2_G2'!$A$8:$Y$17, P$2+7,FALSE),IF(COUNTIF('R2_G3'!$A$8:$A$17,$A44)=1,VLOOKUP($A44,'R2_G3'!$A$8:$Y$17, P$2+7,FALSE),IF(COUNTIF('R2_G4'!$A$8:$A$17,$A44)=1,VLOOKUP($A44,'R2_G4'!$A$8:$Y$17, P$2+7,FALSE),""))))</f>
        <v>4</v>
      </c>
      <c r="Q44" s="852">
        <f>IF(COUNTIF('R2_G1'!$A$8:$A$17,$A44)=1,VLOOKUP($A44,'R2_G1'!$A$8:$Y$17, Q$2+7,FALSE),IF(COUNTIF('R2_G2'!$A$8:$A$17,$A44)=1,VLOOKUP($A44,'R2_G2'!$A$8:$Y$17, Q$2+7,FALSE),IF(COUNTIF('R2_G3'!$A$8:$A$17,$A44)=1,VLOOKUP($A44,'R2_G3'!$A$8:$Y$17, Q$2+7,FALSE),IF(COUNTIF('R2_G4'!$A$8:$A$17,$A44)=1,VLOOKUP($A44,'R2_G4'!$A$8:$Y$17, Q$2+7,FALSE),""))))</f>
        <v>4</v>
      </c>
      <c r="R44" s="852">
        <f>IF(COUNTIF('R2_G1'!$A$8:$A$17,$A44)=1,VLOOKUP($A44,'R2_G1'!$A$8:$Y$17, R$2+7,FALSE),IF(COUNTIF('R2_G2'!$A$8:$A$17,$A44)=1,VLOOKUP($A44,'R2_G2'!$A$8:$Y$17, R$2+7,FALSE),IF(COUNTIF('R2_G3'!$A$8:$A$17,$A44)=1,VLOOKUP($A44,'R2_G3'!$A$8:$Y$17, R$2+7,FALSE),IF(COUNTIF('R2_G4'!$A$8:$A$17,$A44)=1,VLOOKUP($A44,'R2_G4'!$A$8:$Y$17, R$2+7,FALSE),""))))</f>
        <v>5</v>
      </c>
      <c r="S44" s="852">
        <f>IF(COUNTIF('R2_G1'!$A$8:$A$17,$A44)=1,VLOOKUP($A44,'R2_G1'!$A$8:$Y$17, S$2+7,FALSE),IF(COUNTIF('R2_G2'!$A$8:$A$17,$A44)=1,VLOOKUP($A44,'R2_G2'!$A$8:$Y$17, S$2+7,FALSE),IF(COUNTIF('R2_G3'!$A$8:$A$17,$A44)=1,VLOOKUP($A44,'R2_G3'!$A$8:$Y$17, S$2+7,FALSE),IF(COUNTIF('R2_G4'!$A$8:$A$17,$A44)=1,VLOOKUP($A44,'R2_G4'!$A$8:$Y$17, S$2+7,FALSE),""))))</f>
        <v>6</v>
      </c>
      <c r="T44" s="852">
        <f>IF(COUNTIF('R2_G1'!$A$8:$A$17,$A44)=1,VLOOKUP($A44,'R2_G1'!$A$8:$Y$17, T$2+7,FALSE),IF(COUNTIF('R2_G2'!$A$8:$A$17,$A44)=1,VLOOKUP($A44,'R2_G2'!$A$8:$Y$17, T$2+7,FALSE),IF(COUNTIF('R2_G3'!$A$8:$A$17,$A44)=1,VLOOKUP($A44,'R2_G3'!$A$8:$Y$17, T$2+7,FALSE),IF(COUNTIF('R2_G4'!$A$8:$A$17,$A44)=1,VLOOKUP($A44,'R2_G4'!$A$8:$Y$17, T$2+7,FALSE),""))))</f>
        <v>6</v>
      </c>
      <c r="U44" s="852">
        <f>IF(COUNTIF('R2_G1'!$A$8:$A$17,$A44)=1,VLOOKUP($A44,'R2_G1'!$A$8:$Y$17, U$2+7,FALSE),IF(COUNTIF('R2_G2'!$A$8:$A$17,$A44)=1,VLOOKUP($A44,'R2_G2'!$A$8:$Y$17, U$2+7,FALSE),IF(COUNTIF('R2_G3'!$A$8:$A$17,$A44)=1,VLOOKUP($A44,'R2_G3'!$A$8:$Y$17, U$2+7,FALSE),IF(COUNTIF('R2_G4'!$A$8:$A$17,$A44)=1,VLOOKUP($A44,'R2_G4'!$A$8:$Y$17, U$2+7,FALSE),""))))</f>
        <v>4</v>
      </c>
      <c r="V44" s="852">
        <f>IF(COUNTIF('R2_G1'!$A$8:$A$17,$A44)=1,VLOOKUP($A44,'R2_G1'!$A$8:$Y$17, V$2+7,FALSE),IF(COUNTIF('R2_G2'!$A$8:$A$17,$A44)=1,VLOOKUP($A44,'R2_G2'!$A$8:$Y$17, V$2+7,FALSE),IF(COUNTIF('R2_G3'!$A$8:$A$17,$A44)=1,VLOOKUP($A44,'R2_G3'!$A$8:$Y$17, V$2+7,FALSE),IF(COUNTIF('R2_G4'!$A$8:$A$17,$A44)=1,VLOOKUP($A44,'R2_G4'!$A$8:$Y$17, V$2+7,FALSE),""))))</f>
        <v>6</v>
      </c>
      <c r="W44" s="859">
        <f t="shared" si="37"/>
        <v>44</v>
      </c>
      <c r="X44" s="859">
        <f t="shared" si="38"/>
        <v>45</v>
      </c>
      <c r="Y44" s="859">
        <f t="shared" si="43"/>
        <v>89</v>
      </c>
      <c r="Z44" s="859">
        <f t="shared" ca="1" si="44"/>
        <v>74</v>
      </c>
      <c r="AA44" s="859">
        <f t="shared" si="45"/>
        <v>89</v>
      </c>
      <c r="AB44" s="896"/>
      <c r="AC44" s="849" t="str">
        <f t="shared" si="46"/>
        <v>Weezy</v>
      </c>
      <c r="AD44" s="858">
        <f ca="1">VLOOKUP(AC44,'Master Input'!$A$11:$L$27,8,FALSE)</f>
        <v>15</v>
      </c>
      <c r="AE44" s="857" t="s">
        <v>198</v>
      </c>
      <c r="AF44" s="832"/>
      <c r="AG44" s="859">
        <f t="shared" ref="AG44:AX44" ca="1" si="70">IF(E44="","",E44-IF($B44&gt;0,FLOOR($B44/18,1),0)-IF(AND(MOD($B44,18)&gt;=E$27,$B44&gt;0),1,0)+IF(E$27-18&gt;$B44,1,0))</f>
        <v>3</v>
      </c>
      <c r="AH44" s="859">
        <f t="shared" ca="1" si="70"/>
        <v>3</v>
      </c>
      <c r="AI44" s="859">
        <f t="shared" ca="1" si="70"/>
        <v>6</v>
      </c>
      <c r="AJ44" s="859">
        <f t="shared" ca="1" si="70"/>
        <v>3</v>
      </c>
      <c r="AK44" s="859">
        <f t="shared" ca="1" si="70"/>
        <v>2</v>
      </c>
      <c r="AL44" s="859">
        <f t="shared" ca="1" si="70"/>
        <v>4</v>
      </c>
      <c r="AM44" s="859">
        <f t="shared" ca="1" si="70"/>
        <v>4</v>
      </c>
      <c r="AN44" s="859">
        <f t="shared" ca="1" si="70"/>
        <v>7</v>
      </c>
      <c r="AO44" s="859">
        <f t="shared" ca="1" si="70"/>
        <v>4</v>
      </c>
      <c r="AP44" s="852">
        <f t="shared" ca="1" si="70"/>
        <v>4</v>
      </c>
      <c r="AQ44" s="852">
        <f t="shared" ca="1" si="70"/>
        <v>4</v>
      </c>
      <c r="AR44" s="852">
        <f t="shared" ca="1" si="70"/>
        <v>3</v>
      </c>
      <c r="AS44" s="852">
        <f t="shared" ca="1" si="70"/>
        <v>3</v>
      </c>
      <c r="AT44" s="852">
        <f t="shared" ca="1" si="70"/>
        <v>5</v>
      </c>
      <c r="AU44" s="852">
        <f t="shared" ca="1" si="70"/>
        <v>6</v>
      </c>
      <c r="AV44" s="852">
        <f t="shared" ca="1" si="70"/>
        <v>5</v>
      </c>
      <c r="AW44" s="852">
        <f t="shared" ca="1" si="70"/>
        <v>3</v>
      </c>
      <c r="AX44" s="852">
        <f t="shared" ca="1" si="70"/>
        <v>5</v>
      </c>
      <c r="AY44" s="859">
        <f t="shared" ca="1" si="40"/>
        <v>36</v>
      </c>
      <c r="AZ44" s="859">
        <f t="shared" ca="1" si="41"/>
        <v>38</v>
      </c>
      <c r="BA44" s="859">
        <f t="shared" ca="1" si="48"/>
        <v>74</v>
      </c>
      <c r="BB44" s="857" t="str">
        <f ca="1">IF(COUNTIF('R2_G1'!$A$8:$A$17,$A44)=1, IF(AND(BA44=Z44,BA44=VLOOKUP($A44,'R2_G1'!$A$8:$AB$17, 28,FALSE)),"yes","no"),
IF(COUNTIF('R2_G2'!$A$8:$A$17,$A44)=1, IF(AND(BA44=Z44,BA44=VLOOKUP($A44,'R2_G2'!$A$8:$AB$17, 28,FALSE)),"yes","no"),
IF(COUNTIF('R2_G3'!$A$8:$A$17,$A44)=1, IF(AND(BA44=Z44,BA44=VLOOKUP($A44,'R2_G3'!$A$8:$AB$17, 28,FALSE)),"yes","no"),
IF(COUNTIF('R2_G4'!$A$8:$A$17,$A44)=1, IF(AND(BA44=Z44,BA44=VLOOKUP($A44,'R2_G4'!$A$8:$AB$17, 28,FALSE)),"yes","no"),
"?"))))</f>
        <v>yes</v>
      </c>
      <c r="BC44" s="896"/>
      <c r="BD44" s="860">
        <f t="shared" ca="1" si="49"/>
        <v>9.5</v>
      </c>
      <c r="BE44" s="861">
        <f t="shared" ca="1" si="50"/>
        <v>10.033333333333333</v>
      </c>
      <c r="BF44" s="861">
        <f t="shared" ca="1" si="51"/>
        <v>0</v>
      </c>
      <c r="BG44" s="861">
        <f t="shared" ca="1" si="52"/>
        <v>7</v>
      </c>
      <c r="BH44" s="861">
        <f t="shared" ca="1" si="53"/>
        <v>5</v>
      </c>
      <c r="BI44" s="861">
        <f t="shared" ca="1" si="54"/>
        <v>3</v>
      </c>
      <c r="BJ44" s="861">
        <f t="shared" ca="1" si="55"/>
        <v>3</v>
      </c>
    </row>
    <row r="45" spans="1:62" ht="14.25" customHeight="1">
      <c r="A45" s="892"/>
      <c r="B45" s="893"/>
      <c r="C45" s="863">
        <f>COUNTIF(C29:C44, "Y")*C27</f>
        <v>0</v>
      </c>
      <c r="D45" s="864" t="s">
        <v>199</v>
      </c>
      <c r="E45" s="865" t="str">
        <f t="array" aca="1" ref="E45" ca="1">IF(OR(SUM(IF(IF('Locked Bets Setup'!$H$5:$H$20="Y", E29:E44, 10)=MIN(IF('Locked Bets Setup'!$H$5:$H$20="Y", E29:E44, 10)), 1, 0)) &gt; 1, MIN(IF('Locked Bets Setup'!$H$5:$H$20="Y", E29:E44, 10)) &gt; E28), "", INDEX('Locked Bets Setup'!$A$5:$A$20,MATCH(MIN(IF('Locked Bets Setup'!$H$5:$H$20="Y",E29:E44,10)),IF('Locked Bets Setup'!$H$5:$H$20="Y",E29:E44,10),0)))</f>
        <v/>
      </c>
      <c r="F45" s="865" t="str">
        <f t="array" aca="1" ref="F45" ca="1">IF(OR(SUM(IF(IF('Locked Bets Setup'!$H$5:$H$20="Y", F29:F44, 10)=MIN(IF('Locked Bets Setup'!$H$5:$H$20="Y", F29:F44, 10)), 1, 0)) &gt; 1, MIN(IF('Locked Bets Setup'!$H$5:$H$20="Y", F29:F44, 10)) &gt; F28), "", INDEX('Locked Bets Setup'!$A$5:$A$20,MATCH(MIN(IF('Locked Bets Setup'!$H$5:$H$20="Y",F29:F44,10)),IF('Locked Bets Setup'!$H$5:$H$20="Y",F29:F44,10),0)))</f>
        <v/>
      </c>
      <c r="G45" s="865" t="str">
        <f t="array" aca="1" ref="G45" ca="1">IF(OR(SUM(IF(IF('Locked Bets Setup'!$H$5:$H$20="Y", G29:G44, 10)=MIN(IF('Locked Bets Setup'!$H$5:$H$20="Y", G29:G44, 10)), 1, 0)) &gt; 1, MIN(IF('Locked Bets Setup'!$H$5:$H$20="Y", G29:G44, 10)) &gt; G28), "", INDEX('Locked Bets Setup'!$A$5:$A$20,MATCH(MIN(IF('Locked Bets Setup'!$H$5:$H$20="Y",G29:G44,10)),IF('Locked Bets Setup'!$H$5:$H$20="Y",G29:G44,10),0)))</f>
        <v/>
      </c>
      <c r="H45" s="865" t="str">
        <f t="array" aca="1" ref="H45" ca="1">IF(OR(SUM(IF(IF('Locked Bets Setup'!$H$5:$H$20="Y", H29:H44, 10)=MIN(IF('Locked Bets Setup'!$H$5:$H$20="Y", H29:H44, 10)), 1, 0)) &gt; 1, MIN(IF('Locked Bets Setup'!$H$5:$H$20="Y", H29:H44, 10)) &gt; H28), "", INDEX('Locked Bets Setup'!$A$5:$A$20,MATCH(MIN(IF('Locked Bets Setup'!$H$5:$H$20="Y",H29:H44,10)),IF('Locked Bets Setup'!$H$5:$H$20="Y",H29:H44,10),0)))</f>
        <v/>
      </c>
      <c r="I45" s="865" t="str">
        <f t="array" aca="1" ref="I45" ca="1">IF(OR(SUM(IF(IF('Locked Bets Setup'!$H$5:$H$20="Y", I29:I44, 10)=MIN(IF('Locked Bets Setup'!$H$5:$H$20="Y", I29:I44, 10)), 1, 0)) &gt; 1, MIN(IF('Locked Bets Setup'!$H$5:$H$20="Y", I29:I44, 10)) &gt; I28), "", INDEX('Locked Bets Setup'!$A$5:$A$20,MATCH(MIN(IF('Locked Bets Setup'!$H$5:$H$20="Y",I29:I44,10)),IF('Locked Bets Setup'!$H$5:$H$20="Y",I29:I44,10),0)))</f>
        <v/>
      </c>
      <c r="J45" s="865" t="str">
        <f t="array" aca="1" ref="J45" ca="1">IF(OR(SUM(IF(IF('Locked Bets Setup'!$H$5:$H$20="Y", J29:J44, 10)=MIN(IF('Locked Bets Setup'!$H$5:$H$20="Y", J29:J44, 10)), 1, 0)) &gt; 1, MIN(IF('Locked Bets Setup'!$H$5:$H$20="Y", J29:J44, 10)) &gt; J28), "", INDEX('Locked Bets Setup'!$A$5:$A$20,MATCH(MIN(IF('Locked Bets Setup'!$H$5:$H$20="Y",J29:J44,10)),IF('Locked Bets Setup'!$H$5:$H$20="Y",J29:J44,10),0)))</f>
        <v/>
      </c>
      <c r="K45" s="865" t="str">
        <f t="array" aca="1" ref="K45" ca="1">IF(OR(SUM(IF(IF('Locked Bets Setup'!$H$5:$H$20="Y", K29:K44, 10)=MIN(IF('Locked Bets Setup'!$H$5:$H$20="Y", K29:K44, 10)), 1, 0)) &gt; 1, MIN(IF('Locked Bets Setup'!$H$5:$H$20="Y", K29:K44, 10)) &gt; K28), "", INDEX('Locked Bets Setup'!$A$5:$A$20,MATCH(MIN(IF('Locked Bets Setup'!$H$5:$H$20="Y",K29:K44,10)),IF('Locked Bets Setup'!$H$5:$H$20="Y",K29:K44,10),0)))</f>
        <v/>
      </c>
      <c r="L45" s="865" t="str">
        <f t="array" aca="1" ref="L45" ca="1">IF(OR(SUM(IF(IF('Locked Bets Setup'!$H$5:$H$20="Y", L29:L44, 10)=MIN(IF('Locked Bets Setup'!$H$5:$H$20="Y", L29:L44, 10)), 1, 0)) &gt; 1, MIN(IF('Locked Bets Setup'!$H$5:$H$20="Y", L29:L44, 10)) &gt; L28), "", INDEX('Locked Bets Setup'!$A$5:$A$20,MATCH(MIN(IF('Locked Bets Setup'!$H$5:$H$20="Y",L29:L44,10)),IF('Locked Bets Setup'!$H$5:$H$20="Y",L29:L44,10),0)))</f>
        <v/>
      </c>
      <c r="M45" s="865" t="str">
        <f t="array" aca="1" ref="M45" ca="1">IF(OR(SUM(IF(IF('Locked Bets Setup'!$H$5:$H$20="Y", M29:M44, 10)=MIN(IF('Locked Bets Setup'!$H$5:$H$20="Y", M29:M44, 10)), 1, 0)) &gt; 1, MIN(IF('Locked Bets Setup'!$H$5:$H$20="Y", M29:M44, 10)) &gt; M28), "", INDEX('Locked Bets Setup'!$A$5:$A$20,MATCH(MIN(IF('Locked Bets Setup'!$H$5:$H$20="Y",M29:M44,10)),IF('Locked Bets Setup'!$H$5:$H$20="Y",M29:M44,10),0)))</f>
        <v/>
      </c>
      <c r="N45" s="865" t="str">
        <f t="array" aca="1" ref="N45" ca="1">IF(OR(SUM(IF(IF('Locked Bets Setup'!$H$5:$H$20="Y", N29:N44, 10)=MIN(IF('Locked Bets Setup'!$H$5:$H$20="Y", N29:N44, 10)), 1, 0)) &gt; 1, MIN(IF('Locked Bets Setup'!$H$5:$H$20="Y", N29:N44, 10)) &gt; N28), "", INDEX('Locked Bets Setup'!$A$5:$A$20,MATCH(MIN(IF('Locked Bets Setup'!$H$5:$H$20="Y",N29:N44,10)),IF('Locked Bets Setup'!$H$5:$H$20="Y",N29:N44,10),0)))</f>
        <v/>
      </c>
      <c r="O45" s="865" t="str">
        <f t="array" aca="1" ref="O45" ca="1">IF(OR(SUM(IF(IF('Locked Bets Setup'!$H$5:$H$20="Y", O29:O44, 10)=MIN(IF('Locked Bets Setup'!$H$5:$H$20="Y", O29:O44, 10)), 1, 0)) &gt; 1, MIN(IF('Locked Bets Setup'!$H$5:$H$20="Y", O29:O44, 10)) &gt; O28), "", INDEX('Locked Bets Setup'!$A$5:$A$20,MATCH(MIN(IF('Locked Bets Setup'!$H$5:$H$20="Y",O29:O44,10)),IF('Locked Bets Setup'!$H$5:$H$20="Y",O29:O44,10),0)))</f>
        <v/>
      </c>
      <c r="P45" s="865" t="str">
        <f t="array" aca="1" ref="P45" ca="1">IF(OR(SUM(IF(IF('Locked Bets Setup'!$H$5:$H$20="Y", P29:P44, 10)=MIN(IF('Locked Bets Setup'!$H$5:$H$20="Y", P29:P44, 10)), 1, 0)) &gt; 1, MIN(IF('Locked Bets Setup'!$H$5:$H$20="Y", P29:P44, 10)) &gt; P28), "", INDEX('Locked Bets Setup'!$A$5:$A$20,MATCH(MIN(IF('Locked Bets Setup'!$H$5:$H$20="Y",P29:P44,10)),IF('Locked Bets Setup'!$H$5:$H$20="Y",P29:P44,10),0)))</f>
        <v/>
      </c>
      <c r="Q45" s="865" t="str">
        <f t="array" aca="1" ref="Q45" ca="1">IF(OR(SUM(IF(IF('Locked Bets Setup'!$H$5:$H$20="Y", Q29:Q44, 10)=MIN(IF('Locked Bets Setup'!$H$5:$H$20="Y", Q29:Q44, 10)), 1, 0)) &gt; 1, MIN(IF('Locked Bets Setup'!$H$5:$H$20="Y", Q29:Q44, 10)) &gt; Q28), "", INDEX('Locked Bets Setup'!$A$5:$A$20,MATCH(MIN(IF('Locked Bets Setup'!$H$5:$H$20="Y",Q29:Q44,10)),IF('Locked Bets Setup'!$H$5:$H$20="Y",Q29:Q44,10),0)))</f>
        <v/>
      </c>
      <c r="R45" s="865" t="str">
        <f t="array" aca="1" ref="R45" ca="1">IF(OR(SUM(IF(IF('Locked Bets Setup'!$H$5:$H$20="Y", R29:R44, 10)=MIN(IF('Locked Bets Setup'!$H$5:$H$20="Y", R29:R44, 10)), 1, 0)) &gt; 1, MIN(IF('Locked Bets Setup'!$H$5:$H$20="Y", R29:R44, 10)) &gt; R28), "", INDEX('Locked Bets Setup'!$A$5:$A$20,MATCH(MIN(IF('Locked Bets Setup'!$H$5:$H$20="Y",R29:R44,10)),IF('Locked Bets Setup'!$H$5:$H$20="Y",R29:R44,10),0)))</f>
        <v/>
      </c>
      <c r="S45" s="865" t="str">
        <f t="array" aca="1" ref="S45" ca="1">IF(OR(SUM(IF(IF('Locked Bets Setup'!$H$5:$H$20="Y", S29:S44, 10)=MIN(IF('Locked Bets Setup'!$H$5:$H$20="Y", S29:S44, 10)), 1, 0)) &gt; 1, MIN(IF('Locked Bets Setup'!$H$5:$H$20="Y", S29:S44, 10)) &gt; S28), "", INDEX('Locked Bets Setup'!$A$5:$A$20,MATCH(MIN(IF('Locked Bets Setup'!$H$5:$H$20="Y",S29:S44,10)),IF('Locked Bets Setup'!$H$5:$H$20="Y",S29:S44,10),0)))</f>
        <v/>
      </c>
      <c r="T45" s="865" t="str">
        <f t="array" aca="1" ref="T45" ca="1">IF(OR(SUM(IF(IF('Locked Bets Setup'!$H$5:$H$20="Y", T29:T44, 10)=MIN(IF('Locked Bets Setup'!$H$5:$H$20="Y", T29:T44, 10)), 1, 0)) &gt; 1, MIN(IF('Locked Bets Setup'!$H$5:$H$20="Y", T29:T44, 10)) &gt; T28), "", INDEX('Locked Bets Setup'!$A$5:$A$20,MATCH(MIN(IF('Locked Bets Setup'!$H$5:$H$20="Y",T29:T44,10)),IF('Locked Bets Setup'!$H$5:$H$20="Y",T29:T44,10),0)))</f>
        <v/>
      </c>
      <c r="U45" s="865" t="str">
        <f t="array" aca="1" ref="U45" ca="1">IF(OR(SUM(IF(IF('Locked Bets Setup'!$H$5:$H$20="Y", U29:U44, 10)=MIN(IF('Locked Bets Setup'!$H$5:$H$20="Y", U29:U44, 10)), 1, 0)) &gt; 1, MIN(IF('Locked Bets Setup'!$H$5:$H$20="Y", U29:U44, 10)) &gt; U28), "", INDEX('Locked Bets Setup'!$A$5:$A$20,MATCH(MIN(IF('Locked Bets Setup'!$H$5:$H$20="Y",U29:U44,10)),IF('Locked Bets Setup'!$H$5:$H$20="Y",U29:U44,10),0)))</f>
        <v/>
      </c>
      <c r="V45" s="865" t="str">
        <f t="array" aca="1" ref="V45" ca="1">IF(OR(SUM(IF(IF('Locked Bets Setup'!$H$5:$H$20="Y", V29:V44, 10)=MIN(IF('Locked Bets Setup'!$H$5:$H$20="Y", V29:V44, 10)), 1, 0)) &gt; 1, MIN(IF('Locked Bets Setup'!$H$5:$H$20="Y", V29:V44, 10)) &gt; V28), "", INDEX('Locked Bets Setup'!$A$5:$A$20,MATCH(MIN(IF('Locked Bets Setup'!$H$5:$H$20="Y",V29:V44,10)),IF('Locked Bets Setup'!$H$5:$H$20="Y",V29:V44,10),0)))</f>
        <v/>
      </c>
      <c r="W45" s="848"/>
      <c r="X45" s="848"/>
      <c r="Y45" s="866">
        <f t="shared" ref="Y45:Y46" ca="1" si="71">18-COUNTBLANK(E45:V45)</f>
        <v>0</v>
      </c>
      <c r="Z45" s="905"/>
      <c r="AA45" s="906"/>
      <c r="AB45" s="907"/>
      <c r="AC45" s="892"/>
      <c r="AD45" s="893"/>
      <c r="AE45" s="863">
        <f>COUNTIF(AE29:AE44, "Y")*AE27</f>
        <v>80</v>
      </c>
      <c r="AF45" s="870" t="s">
        <v>199</v>
      </c>
      <c r="AG45" s="871" t="str">
        <f t="array" aca="1" ref="AG45" ca="1">IF(OR(SUM(IF(IF('Locked Bets Setup'!$I$5:$I$20="Y", AG29:AG44, 10)=MIN(IF('Locked Bets Setup'!$I$5:$I$20="Y", AG29:AG44, 10)), 1, 0)) &gt; 1, MIN(IF('Locked Bets Setup'!$I$5:$I$20="Y", AG29:AG44, 10)) &gt; AG28), "", INDEX('Locked Bets Setup'!$A$5:$A$20,MATCH(MIN(IF('Locked Bets Setup'!$I$5:$I$20="Y",AG29:AG44,10)),IF('Locked Bets Setup'!$I$5:$I$20="Y",AG29:AG44,10),0)))</f>
        <v>Saugy</v>
      </c>
      <c r="AH45" s="871" t="str">
        <f t="array" aca="1" ref="AH45" ca="1">IF(OR(SUM(IF(IF('Locked Bets Setup'!$I$5:$I$20="Y", AH29:AH44, 10)=MIN(IF('Locked Bets Setup'!$I$5:$I$20="Y", AH29:AH44, 10)), 1, 0)) &gt; 1, MIN(IF('Locked Bets Setup'!$I$5:$I$20="Y", AH29:AH44, 10)) &gt; AH28), "", INDEX('Locked Bets Setup'!$A$5:$A$20,MATCH(MIN(IF('Locked Bets Setup'!$I$5:$I$20="Y",AH29:AH44,10)),IF('Locked Bets Setup'!$I$5:$I$20="Y",AH29:AH44,10),0)))</f>
        <v/>
      </c>
      <c r="AI45" s="871" t="str">
        <f t="array" aca="1" ref="AI45" ca="1">IF(OR(SUM(IF(IF('Locked Bets Setup'!$I$5:$I$20="Y", AI29:AI44, 10)=MIN(IF('Locked Bets Setup'!$I$5:$I$20="Y", AI29:AI44, 10)), 1, 0)) &gt; 1, MIN(IF('Locked Bets Setup'!$I$5:$I$20="Y", AI29:AI44, 10)) &gt; AI28), "", INDEX('Locked Bets Setup'!$A$5:$A$20,MATCH(MIN(IF('Locked Bets Setup'!$I$5:$I$20="Y",AI29:AI44,10)),IF('Locked Bets Setup'!$I$5:$I$20="Y",AI29:AI44,10),0)))</f>
        <v/>
      </c>
      <c r="AJ45" s="871" t="str">
        <f t="array" aca="1" ref="AJ45" ca="1">IF(OR(SUM(IF(IF('Locked Bets Setup'!$I$5:$I$20="Y", AJ29:AJ44, 10)=MIN(IF('Locked Bets Setup'!$I$5:$I$20="Y", AJ29:AJ44, 10)), 1, 0)) &gt; 1, MIN(IF('Locked Bets Setup'!$I$5:$I$20="Y", AJ29:AJ44, 10)) &gt; AJ28), "", INDEX('Locked Bets Setup'!$A$5:$A$20,MATCH(MIN(IF('Locked Bets Setup'!$I$5:$I$20="Y",AJ29:AJ44,10)),IF('Locked Bets Setup'!$I$5:$I$20="Y",AJ29:AJ44,10),0)))</f>
        <v>Saugy</v>
      </c>
      <c r="AK45" s="871" t="str">
        <f t="array" aca="1" ref="AK45" ca="1">IF(OR(SUM(IF(IF('Locked Bets Setup'!$I$5:$I$20="Y", AK29:AK44, 10)=MIN(IF('Locked Bets Setup'!$I$5:$I$20="Y", AK29:AK44, 10)), 1, 0)) &gt; 1, MIN(IF('Locked Bets Setup'!$I$5:$I$20="Y", AK29:AK44, 10)) &gt; AK28), "", INDEX('Locked Bets Setup'!$A$5:$A$20,MATCH(MIN(IF('Locked Bets Setup'!$I$5:$I$20="Y",AK29:AK44,10)),IF('Locked Bets Setup'!$I$5:$I$20="Y",AK29:AK44,10),0)))</f>
        <v>Weezy</v>
      </c>
      <c r="AL45" s="871" t="str">
        <f t="array" aca="1" ref="AL45" ca="1">IF(OR(SUM(IF(IF('Locked Bets Setup'!$I$5:$I$20="Y", AL29:AL44, 10)=MIN(IF('Locked Bets Setup'!$I$5:$I$20="Y", AL29:AL44, 10)), 1, 0)) &gt; 1, MIN(IF('Locked Bets Setup'!$I$5:$I$20="Y", AL29:AL44, 10)) &gt; AL28), "", INDEX('Locked Bets Setup'!$A$5:$A$20,MATCH(MIN(IF('Locked Bets Setup'!$I$5:$I$20="Y",AL29:AL44,10)),IF('Locked Bets Setup'!$I$5:$I$20="Y",AL29:AL44,10),0)))</f>
        <v/>
      </c>
      <c r="AM45" s="871" t="str">
        <f t="array" aca="1" ref="AM45" ca="1">IF(OR(SUM(IF(IF('Locked Bets Setup'!$I$5:$I$20="Y", AM29:AM44, 10)=MIN(IF('Locked Bets Setup'!$I$5:$I$20="Y", AM29:AM44, 10)), 1, 0)) &gt; 1, MIN(IF('Locked Bets Setup'!$I$5:$I$20="Y", AM29:AM44, 10)) &gt; AM28), "", INDEX('Locked Bets Setup'!$A$5:$A$20,MATCH(MIN(IF('Locked Bets Setup'!$I$5:$I$20="Y",AM29:AM44,10)),IF('Locked Bets Setup'!$I$5:$I$20="Y",AM29:AM44,10),0)))</f>
        <v/>
      </c>
      <c r="AN45" s="871" t="str">
        <f t="array" aca="1" ref="AN45" ca="1">IF(OR(SUM(IF(IF('Locked Bets Setup'!$I$5:$I$20="Y", AN29:AN44, 10)=MIN(IF('Locked Bets Setup'!$I$5:$I$20="Y", AN29:AN44, 10)), 1, 0)) &gt; 1, MIN(IF('Locked Bets Setup'!$I$5:$I$20="Y", AN29:AN44, 10)) &gt; AN28), "", INDEX('Locked Bets Setup'!$A$5:$A$20,MATCH(MIN(IF('Locked Bets Setup'!$I$5:$I$20="Y",AN29:AN44,10)),IF('Locked Bets Setup'!$I$5:$I$20="Y",AN29:AN44,10),0)))</f>
        <v>Pace</v>
      </c>
      <c r="AO45" s="871" t="str">
        <f t="array" aca="1" ref="AO45" ca="1">IF(OR(SUM(IF(IF('Locked Bets Setup'!$I$5:$I$20="Y", AO29:AO44, 10)=MIN(IF('Locked Bets Setup'!$I$5:$I$20="Y", AO29:AO44, 10)), 1, 0)) &gt; 1, MIN(IF('Locked Bets Setup'!$I$5:$I$20="Y", AO29:AO44, 10)) &gt; AO28), "", INDEX('Locked Bets Setup'!$A$5:$A$20,MATCH(MIN(IF('Locked Bets Setup'!$I$5:$I$20="Y",AO29:AO44,10)),IF('Locked Bets Setup'!$I$5:$I$20="Y",AO29:AO44,10),0)))</f>
        <v>DK</v>
      </c>
      <c r="AP45" s="871" t="str">
        <f t="array" aca="1" ref="AP45" ca="1">IF(OR(SUM(IF(IF('Locked Bets Setup'!$I$5:$I$20="Y", AP29:AP44, 10)=MIN(IF('Locked Bets Setup'!$I$5:$I$20="Y", AP29:AP44, 10)), 1, 0)) &gt; 1, MIN(IF('Locked Bets Setup'!$I$5:$I$20="Y", AP29:AP44, 10)) &gt; AP28), "", INDEX('Locked Bets Setup'!$A$5:$A$20,MATCH(MIN(IF('Locked Bets Setup'!$I$5:$I$20="Y",AP29:AP44,10)),IF('Locked Bets Setup'!$I$5:$I$20="Y",AP29:AP44,10),0)))</f>
        <v/>
      </c>
      <c r="AQ45" s="871" t="str">
        <f t="array" aca="1" ref="AQ45" ca="1">IF(OR(SUM(IF(IF('Locked Bets Setup'!$I$5:$I$20="Y", AQ29:AQ44, 10)=MIN(IF('Locked Bets Setup'!$I$5:$I$20="Y", AQ29:AQ44, 10)), 1, 0)) &gt; 1, MIN(IF('Locked Bets Setup'!$I$5:$I$20="Y", AQ29:AQ44, 10)) &gt; AQ28), "", INDEX('Locked Bets Setup'!$A$5:$A$20,MATCH(MIN(IF('Locked Bets Setup'!$I$5:$I$20="Y",AQ29:AQ44,10)),IF('Locked Bets Setup'!$I$5:$I$20="Y",AQ29:AQ44,10),0)))</f>
        <v/>
      </c>
      <c r="AR45" s="871" t="str">
        <f t="array" aca="1" ref="AR45" ca="1">IF(OR(SUM(IF(IF('Locked Bets Setup'!$I$5:$I$20="Y", AR29:AR44, 10)=MIN(IF('Locked Bets Setup'!$I$5:$I$20="Y", AR29:AR44, 10)), 1, 0)) &gt; 1, MIN(IF('Locked Bets Setup'!$I$5:$I$20="Y", AR29:AR44, 10)) &gt; AR28), "", INDEX('Locked Bets Setup'!$A$5:$A$20,MATCH(MIN(IF('Locked Bets Setup'!$I$5:$I$20="Y",AR29:AR44,10)),IF('Locked Bets Setup'!$I$5:$I$20="Y",AR29:AR44,10),0)))</f>
        <v>Saugy</v>
      </c>
      <c r="AS45" s="871" t="str">
        <f t="array" aca="1" ref="AS45" ca="1">IF(OR(SUM(IF(IF('Locked Bets Setup'!$I$5:$I$20="Y", AS29:AS44, 10)=MIN(IF('Locked Bets Setup'!$I$5:$I$20="Y", AS29:AS44, 10)), 1, 0)) &gt; 1, MIN(IF('Locked Bets Setup'!$I$5:$I$20="Y", AS29:AS44, 10)) &gt; AS28), "", INDEX('Locked Bets Setup'!$A$5:$A$20,MATCH(MIN(IF('Locked Bets Setup'!$I$5:$I$20="Y",AS29:AS44,10)),IF('Locked Bets Setup'!$I$5:$I$20="Y",AS29:AS44,10),0)))</f>
        <v/>
      </c>
      <c r="AT45" s="871" t="str">
        <f t="array" aca="1" ref="AT45" ca="1">IF(OR(SUM(IF(IF('Locked Bets Setup'!$I$5:$I$20="Y", AT29:AT44, 10)=MIN(IF('Locked Bets Setup'!$I$5:$I$20="Y", AT29:AT44, 10)), 1, 0)) &gt; 1, MIN(IF('Locked Bets Setup'!$I$5:$I$20="Y", AT29:AT44, 10)) &gt; AT28), "", INDEX('Locked Bets Setup'!$A$5:$A$20,MATCH(MIN(IF('Locked Bets Setup'!$I$5:$I$20="Y",AT29:AT44,10)),IF('Locked Bets Setup'!$I$5:$I$20="Y",AT29:AT44,10),0)))</f>
        <v/>
      </c>
      <c r="AU45" s="871" t="str">
        <f t="array" aca="1" ref="AU45" ca="1">IF(OR(SUM(IF(IF('Locked Bets Setup'!$I$5:$I$20="Y", AU29:AU44, 10)=MIN(IF('Locked Bets Setup'!$I$5:$I$20="Y", AU29:AU44, 10)), 1, 0)) &gt; 1, MIN(IF('Locked Bets Setup'!$I$5:$I$20="Y", AU29:AU44, 10)) &gt; AU28), "", INDEX('Locked Bets Setup'!$A$5:$A$20,MATCH(MIN(IF('Locked Bets Setup'!$I$5:$I$20="Y",AU29:AU44,10)),IF('Locked Bets Setup'!$I$5:$I$20="Y",AU29:AU44,10),0)))</f>
        <v/>
      </c>
      <c r="AV45" s="871" t="str">
        <f t="array" aca="1" ref="AV45" ca="1">IF(OR(SUM(IF(IF('Locked Bets Setup'!$I$5:$I$20="Y", AV29:AV44, 10)=MIN(IF('Locked Bets Setup'!$I$5:$I$20="Y", AV29:AV44, 10)), 1, 0)) &gt; 1, MIN(IF('Locked Bets Setup'!$I$5:$I$20="Y", AV29:AV44, 10)) &gt; AV28), "", INDEX('Locked Bets Setup'!$A$5:$A$20,MATCH(MIN(IF('Locked Bets Setup'!$I$5:$I$20="Y",AV29:AV44,10)),IF('Locked Bets Setup'!$I$5:$I$20="Y",AV29:AV44,10),0)))</f>
        <v/>
      </c>
      <c r="AW45" s="871" t="str">
        <f t="array" aca="1" ref="AW45" ca="1">IF(OR(SUM(IF(IF('Locked Bets Setup'!$I$5:$I$20="Y", AW29:AW44, 10)=MIN(IF('Locked Bets Setup'!$I$5:$I$20="Y", AW29:AW44, 10)), 1, 0)) &gt; 1, MIN(IF('Locked Bets Setup'!$I$5:$I$20="Y", AW29:AW44, 10)) &gt; AW28), "", INDEX('Locked Bets Setup'!$A$5:$A$20,MATCH(MIN(IF('Locked Bets Setup'!$I$5:$I$20="Y",AW29:AW44,10)),IF('Locked Bets Setup'!$I$5:$I$20="Y",AW29:AW44,10),0)))</f>
        <v>Saugy</v>
      </c>
      <c r="AX45" s="871" t="str">
        <f t="array" aca="1" ref="AX45" ca="1">IF(OR(SUM(IF(IF('Locked Bets Setup'!$I$5:$I$20="Y", AX29:AX44, 10)=MIN(IF('Locked Bets Setup'!$I$5:$I$20="Y", AX29:AX44, 10)), 1, 0)) &gt; 1, MIN(IF('Locked Bets Setup'!$I$5:$I$20="Y", AX29:AX44, 10)) &gt; AX28), "", INDEX('Locked Bets Setup'!$A$5:$A$20,MATCH(MIN(IF('Locked Bets Setup'!$I$5:$I$20="Y",AX29:AX44,10)),IF('Locked Bets Setup'!$I$5:$I$20="Y",AX29:AX44,10),0)))</f>
        <v/>
      </c>
      <c r="AY45" s="871"/>
      <c r="AZ45" s="871"/>
      <c r="BA45" s="871">
        <f ca="1">18-COUNTBLANK(AG45:AX45)</f>
        <v>7</v>
      </c>
      <c r="BB45" s="906"/>
      <c r="BC45" s="907"/>
      <c r="BD45" s="908"/>
      <c r="BE45" s="909"/>
      <c r="BF45" s="910">
        <f ca="1">SUM(BF29:BJ44)</f>
        <v>288</v>
      </c>
      <c r="BG45" s="909"/>
      <c r="BH45" s="909"/>
      <c r="BI45" s="909"/>
      <c r="BJ45" s="909"/>
    </row>
    <row r="46" spans="1:62" ht="14.25" customHeight="1">
      <c r="A46" s="892"/>
      <c r="B46" s="893"/>
      <c r="C46" s="893"/>
      <c r="D46" s="864" t="s">
        <v>200</v>
      </c>
      <c r="E46" s="865" t="str">
        <f t="array" ref="E46">IF(OR(SUM(IF(IF('Locked Bets Setup'!$J$5:$J$20="Y", E29:E44, 10)=MIN(IF('Locked Bets Setup'!$J$5:$J$20="Y", E29:E44, 10)), 1, 0)) &gt; 1, MIN(IF('Locked Bets Setup'!$J$5:$J$20="Y", E29:E44, 10)) &gt; E29), "", INDEX('Locked Bets Setup'!$A$5:$A$20,MATCH(MIN(IF('Locked Bets Setup'!$J$5:$J$20="Y",E29:E44,10)),IF('Locked Bets Setup'!$J$5:$J$20="Y",E29:E44,10),0)))</f>
        <v/>
      </c>
      <c r="F46" s="865" t="str">
        <f t="array" ref="F46">IF(OR(SUM(IF(IF('Locked Bets Setup'!$J$5:$J$20="Y", F29:F44, 10)=MIN(IF('Locked Bets Setup'!$J$5:$J$20="Y", F29:F44, 10)), 1, 0)) &gt; 1, MIN(IF('Locked Bets Setup'!$J$5:$J$20="Y", F29:F44, 10)) &gt; F29), "", INDEX('Locked Bets Setup'!$A$5:$A$20,MATCH(MIN(IF('Locked Bets Setup'!$J$5:$J$20="Y",F29:F44,10)),IF('Locked Bets Setup'!$J$5:$J$20="Y",F29:F44,10),0)))</f>
        <v/>
      </c>
      <c r="G46" s="865" t="str">
        <f t="array" ref="G46">IF(OR(SUM(IF(IF('Locked Bets Setup'!$J$5:$J$20="Y", G29:G44, 10)=MIN(IF('Locked Bets Setup'!$J$5:$J$20="Y", G29:G44, 10)), 1, 0)) &gt; 1, MIN(IF('Locked Bets Setup'!$J$5:$J$20="Y", G29:G44, 10)) &gt; G29), "", INDEX('Locked Bets Setup'!$A$5:$A$20,MATCH(MIN(IF('Locked Bets Setup'!$J$5:$J$20="Y",G29:G44,10)),IF('Locked Bets Setup'!$J$5:$J$20="Y",G29:G44,10),0)))</f>
        <v/>
      </c>
      <c r="H46" s="865" t="str">
        <f t="array" ref="H46">IF(OR(SUM(IF(IF('Locked Bets Setup'!$J$5:$J$20="Y", H29:H44, 10)=MIN(IF('Locked Bets Setup'!$J$5:$J$20="Y", H29:H44, 10)), 1, 0)) &gt; 1, MIN(IF('Locked Bets Setup'!$J$5:$J$20="Y", H29:H44, 10)) &gt; H29), "", INDEX('Locked Bets Setup'!$A$5:$A$20,MATCH(MIN(IF('Locked Bets Setup'!$J$5:$J$20="Y",H29:H44,10)),IF('Locked Bets Setup'!$J$5:$J$20="Y",H29:H44,10),0)))</f>
        <v/>
      </c>
      <c r="I46" s="865" t="str">
        <f t="array" ref="I46">IF(OR(SUM(IF(IF('Locked Bets Setup'!$J$5:$J$20="Y", I29:I44, 10)=MIN(IF('Locked Bets Setup'!$J$5:$J$20="Y", I29:I44, 10)), 1, 0)) &gt; 1, MIN(IF('Locked Bets Setup'!$J$5:$J$20="Y", I29:I44, 10)) &gt; I29), "", INDEX('Locked Bets Setup'!$A$5:$A$20,MATCH(MIN(IF('Locked Bets Setup'!$J$5:$J$20="Y",I29:I44,10)),IF('Locked Bets Setup'!$J$5:$J$20="Y",I29:I44,10),0)))</f>
        <v/>
      </c>
      <c r="J46" s="865" t="str">
        <f t="array" ref="J46">IF(OR(SUM(IF(IF('Locked Bets Setup'!$J$5:$J$20="Y", J29:J44, 10)=MIN(IF('Locked Bets Setup'!$J$5:$J$20="Y", J29:J44, 10)), 1, 0)) &gt; 1, MIN(IF('Locked Bets Setup'!$J$5:$J$20="Y", J29:J44, 10)) &gt; J29), "", INDEX('Locked Bets Setup'!$A$5:$A$20,MATCH(MIN(IF('Locked Bets Setup'!$J$5:$J$20="Y",J29:J44,10)),IF('Locked Bets Setup'!$J$5:$J$20="Y",J29:J44,10),0)))</f>
        <v/>
      </c>
      <c r="K46" s="865" t="str">
        <f t="array" ref="K46">IF(OR(SUM(IF(IF('Locked Bets Setup'!$J$5:$J$20="Y", K29:K44, 10)=MIN(IF('Locked Bets Setup'!$J$5:$J$20="Y", K29:K44, 10)), 1, 0)) &gt; 1, MIN(IF('Locked Bets Setup'!$J$5:$J$20="Y", K29:K44, 10)) &gt; K29), "", INDEX('Locked Bets Setup'!$A$5:$A$20,MATCH(MIN(IF('Locked Bets Setup'!$J$5:$J$20="Y",K29:K44,10)),IF('Locked Bets Setup'!$J$5:$J$20="Y",K29:K44,10),0)))</f>
        <v/>
      </c>
      <c r="L46" s="865" t="str">
        <f t="array" ref="L46">IF(OR(SUM(IF(IF('Locked Bets Setup'!$J$5:$J$20="Y", L29:L44, 10)=MIN(IF('Locked Bets Setup'!$J$5:$J$20="Y", L29:L44, 10)), 1, 0)) &gt; 1, MIN(IF('Locked Bets Setup'!$J$5:$J$20="Y", L29:L44, 10)) &gt; L29), "", INDEX('Locked Bets Setup'!$A$5:$A$20,MATCH(MIN(IF('Locked Bets Setup'!$J$5:$J$20="Y",L29:L44,10)),IF('Locked Bets Setup'!$J$5:$J$20="Y",L29:L44,10),0)))</f>
        <v/>
      </c>
      <c r="M46" s="865" t="str">
        <f t="array" ref="M46">IF(OR(SUM(IF(IF('Locked Bets Setup'!$J$5:$J$20="Y", M29:M44, 10)=MIN(IF('Locked Bets Setup'!$J$5:$J$20="Y", M29:M44, 10)), 1, 0)) &gt; 1, MIN(IF('Locked Bets Setup'!$J$5:$J$20="Y", M29:M44, 10)) &gt; M29), "", INDEX('Locked Bets Setup'!$A$5:$A$20,MATCH(MIN(IF('Locked Bets Setup'!$J$5:$J$20="Y",M29:M44,10)),IF('Locked Bets Setup'!$J$5:$J$20="Y",M29:M44,10),0)))</f>
        <v/>
      </c>
      <c r="N46" s="865" t="str">
        <f t="array" ref="N46">IF(OR(SUM(IF(IF('Locked Bets Setup'!$J$5:$J$20="Y", N29:N44, 10)=MIN(IF('Locked Bets Setup'!$J$5:$J$20="Y", N29:N44, 10)), 1, 0)) &gt; 1, MIN(IF('Locked Bets Setup'!$J$5:$J$20="Y", N29:N44, 10)) &gt; N29), "", INDEX('Locked Bets Setup'!$A$5:$A$20,MATCH(MIN(IF('Locked Bets Setup'!$J$5:$J$20="Y",N29:N44,10)),IF('Locked Bets Setup'!$J$5:$J$20="Y",N29:N44,10),0)))</f>
        <v/>
      </c>
      <c r="O46" s="865" t="str">
        <f t="array" ref="O46">IF(OR(SUM(IF(IF('Locked Bets Setup'!$J$5:$J$20="Y", O29:O44, 10)=MIN(IF('Locked Bets Setup'!$J$5:$J$20="Y", O29:O44, 10)), 1, 0)) &gt; 1, MIN(IF('Locked Bets Setup'!$J$5:$J$20="Y", O29:O44, 10)) &gt; O29), "", INDEX('Locked Bets Setup'!$A$5:$A$20,MATCH(MIN(IF('Locked Bets Setup'!$J$5:$J$20="Y",O29:O44,10)),IF('Locked Bets Setup'!$J$5:$J$20="Y",O29:O44,10),0)))</f>
        <v/>
      </c>
      <c r="P46" s="865" t="str">
        <f t="array" ref="P46">IF(OR(SUM(IF(IF('Locked Bets Setup'!$J$5:$J$20="Y", P29:P44, 10)=MIN(IF('Locked Bets Setup'!$J$5:$J$20="Y", P29:P44, 10)), 1, 0)) &gt; 1, MIN(IF('Locked Bets Setup'!$J$5:$J$20="Y", P29:P44, 10)) &gt; P29), "", INDEX('Locked Bets Setup'!$A$5:$A$20,MATCH(MIN(IF('Locked Bets Setup'!$J$5:$J$20="Y",P29:P44,10)),IF('Locked Bets Setup'!$J$5:$J$20="Y",P29:P44,10),0)))</f>
        <v/>
      </c>
      <c r="Q46" s="865" t="str">
        <f t="array" ref="Q46">IF(OR(SUM(IF(IF('Locked Bets Setup'!$J$5:$J$20="Y", Q29:Q44, 10)=MIN(IF('Locked Bets Setup'!$J$5:$J$20="Y", Q29:Q44, 10)), 1, 0)) &gt; 1, MIN(IF('Locked Bets Setup'!$J$5:$J$20="Y", Q29:Q44, 10)) &gt; Q29), "", INDEX('Locked Bets Setup'!$A$5:$A$20,MATCH(MIN(IF('Locked Bets Setup'!$J$5:$J$20="Y",Q29:Q44,10)),IF('Locked Bets Setup'!$J$5:$J$20="Y",Q29:Q44,10),0)))</f>
        <v/>
      </c>
      <c r="R46" s="865" t="str">
        <f t="array" ref="R46">IF(OR(SUM(IF(IF('Locked Bets Setup'!$J$5:$J$20="Y", R29:R44, 10)=MIN(IF('Locked Bets Setup'!$J$5:$J$20="Y", R29:R44, 10)), 1, 0)) &gt; 1, MIN(IF('Locked Bets Setup'!$J$5:$J$20="Y", R29:R44, 10)) &gt; R29), "", INDEX('Locked Bets Setup'!$A$5:$A$20,MATCH(MIN(IF('Locked Bets Setup'!$J$5:$J$20="Y",R29:R44,10)),IF('Locked Bets Setup'!$J$5:$J$20="Y",R29:R44,10),0)))</f>
        <v/>
      </c>
      <c r="S46" s="865" t="str">
        <f t="array" ref="S46">IF(OR(SUM(IF(IF('Locked Bets Setup'!$J$5:$J$20="Y", S29:S44, 10)=MIN(IF('Locked Bets Setup'!$J$5:$J$20="Y", S29:S44, 10)), 1, 0)) &gt; 1, MIN(IF('Locked Bets Setup'!$J$5:$J$20="Y", S29:S44, 10)) &gt; S29), "", INDEX('Locked Bets Setup'!$A$5:$A$20,MATCH(MIN(IF('Locked Bets Setup'!$J$5:$J$20="Y",S29:S44,10)),IF('Locked Bets Setup'!$J$5:$J$20="Y",S29:S44,10),0)))</f>
        <v/>
      </c>
      <c r="T46" s="865" t="str">
        <f t="array" ref="T46">IF(OR(SUM(IF(IF('Locked Bets Setup'!$J$5:$J$20="Y", T29:T44, 10)=MIN(IF('Locked Bets Setup'!$J$5:$J$20="Y", T29:T44, 10)), 1, 0)) &gt; 1, MIN(IF('Locked Bets Setup'!$J$5:$J$20="Y", T29:T44, 10)) &gt; T29), "", INDEX('Locked Bets Setup'!$A$5:$A$20,MATCH(MIN(IF('Locked Bets Setup'!$J$5:$J$20="Y",T29:T44,10)),IF('Locked Bets Setup'!$J$5:$J$20="Y",T29:T44,10),0)))</f>
        <v/>
      </c>
      <c r="U46" s="865" t="str">
        <f t="array" ref="U46">IF(OR(SUM(IF(IF('Locked Bets Setup'!$J$5:$J$20="Y", U29:U44, 10)=MIN(IF('Locked Bets Setup'!$J$5:$J$20="Y", U29:U44, 10)), 1, 0)) &gt; 1, MIN(IF('Locked Bets Setup'!$J$5:$J$20="Y", U29:U44, 10)) &gt; U29), "", INDEX('Locked Bets Setup'!$A$5:$A$20,MATCH(MIN(IF('Locked Bets Setup'!$J$5:$J$20="Y",U29:U44,10)),IF('Locked Bets Setup'!$J$5:$J$20="Y",U29:U44,10),0)))</f>
        <v/>
      </c>
      <c r="V46" s="865" t="str">
        <f t="array" ref="V46">IF(OR(SUM(IF(IF('Locked Bets Setup'!$J$5:$J$20="Y", V29:V44, 10)=MIN(IF('Locked Bets Setup'!$J$5:$J$20="Y", V29:V44, 10)), 1, 0)) &gt; 1, MIN(IF('Locked Bets Setup'!$J$5:$J$20="Y", V29:V44, 10)) &gt; V29), "", INDEX('Locked Bets Setup'!$A$5:$A$20,MATCH(MIN(IF('Locked Bets Setup'!$J$5:$J$20="Y",V29:V44,10)),IF('Locked Bets Setup'!$J$5:$J$20="Y",V29:V44,10),0)))</f>
        <v/>
      </c>
      <c r="W46" s="865"/>
      <c r="X46" s="865"/>
      <c r="Y46" s="866">
        <f t="shared" si="71"/>
        <v>0</v>
      </c>
      <c r="Z46" s="911"/>
      <c r="AA46" s="896"/>
      <c r="AB46" s="907"/>
      <c r="AC46" s="892"/>
      <c r="AD46" s="893"/>
      <c r="AE46" s="898"/>
      <c r="AF46" s="898"/>
      <c r="AG46" s="898"/>
      <c r="AH46" s="898"/>
      <c r="AI46" s="898"/>
      <c r="AJ46" s="898"/>
      <c r="AK46" s="898"/>
      <c r="AL46" s="898"/>
      <c r="AM46" s="898"/>
      <c r="AN46" s="898"/>
      <c r="AO46" s="898"/>
      <c r="AP46" s="898"/>
      <c r="AQ46" s="898"/>
      <c r="AR46" s="898"/>
      <c r="AS46" s="898"/>
      <c r="AT46" s="898"/>
      <c r="AU46" s="898"/>
      <c r="AV46" s="898"/>
      <c r="AW46" s="898"/>
      <c r="AX46" s="898"/>
      <c r="AY46" s="898"/>
      <c r="AZ46" s="898"/>
      <c r="BA46" s="898"/>
      <c r="BB46" s="896"/>
      <c r="BC46" s="907"/>
      <c r="BD46" s="908"/>
      <c r="BE46" s="909"/>
      <c r="BF46" s="909"/>
      <c r="BG46" s="909"/>
      <c r="BH46" s="909"/>
      <c r="BI46" s="909"/>
      <c r="BJ46" s="909"/>
    </row>
    <row r="47" spans="1:62" ht="14.25" customHeight="1">
      <c r="A47" s="911"/>
      <c r="B47" s="912"/>
      <c r="C47" s="912"/>
      <c r="D47" s="877" t="s">
        <v>201</v>
      </c>
      <c r="E47" s="878"/>
      <c r="F47" s="878"/>
      <c r="G47" s="878"/>
      <c r="H47" s="878"/>
      <c r="I47" s="878"/>
      <c r="J47" s="878"/>
      <c r="K47" s="878"/>
      <c r="L47" s="878"/>
      <c r="M47" s="878"/>
      <c r="N47" s="878"/>
      <c r="O47" s="878"/>
      <c r="P47" s="878"/>
      <c r="Q47" s="878"/>
      <c r="R47" s="878"/>
      <c r="S47" s="878"/>
      <c r="T47" s="878"/>
      <c r="U47" s="878"/>
      <c r="V47" s="879"/>
      <c r="W47" s="834"/>
      <c r="X47" s="834"/>
      <c r="Y47" s="879">
        <f>COUNTA(E47:V47)</f>
        <v>0</v>
      </c>
      <c r="Z47" s="911"/>
      <c r="AA47" s="896"/>
      <c r="AB47" s="907"/>
      <c r="AC47" s="911"/>
      <c r="AD47" s="912"/>
      <c r="AE47" s="913"/>
      <c r="AF47" s="913"/>
      <c r="AG47" s="913"/>
      <c r="AH47" s="913"/>
      <c r="AI47" s="913"/>
      <c r="AJ47" s="913"/>
      <c r="AK47" s="913"/>
      <c r="AL47" s="913"/>
      <c r="AM47" s="913"/>
      <c r="AN47" s="913"/>
      <c r="AO47" s="913"/>
      <c r="AP47" s="913"/>
      <c r="AQ47" s="913"/>
      <c r="AR47" s="913"/>
      <c r="AS47" s="913"/>
      <c r="AT47" s="913"/>
      <c r="AU47" s="913"/>
      <c r="AV47" s="913"/>
      <c r="AW47" s="913"/>
      <c r="AX47" s="913"/>
      <c r="AY47" s="913"/>
      <c r="AZ47" s="913"/>
      <c r="BA47" s="913"/>
      <c r="BB47" s="896"/>
      <c r="BC47" s="907"/>
      <c r="BD47" s="908"/>
      <c r="BE47" s="909"/>
      <c r="BF47" s="909"/>
      <c r="BG47" s="909"/>
      <c r="BH47" s="909"/>
      <c r="BI47" s="909"/>
      <c r="BJ47" s="909"/>
    </row>
    <row r="48" spans="1:62" ht="14.25" customHeight="1">
      <c r="A48" s="914"/>
      <c r="B48" s="915"/>
      <c r="C48" s="916"/>
      <c r="D48" s="886"/>
      <c r="E48" s="885"/>
      <c r="F48" s="885"/>
      <c r="G48" s="885"/>
      <c r="H48" s="885"/>
      <c r="I48" s="885"/>
      <c r="J48" s="885"/>
      <c r="K48" s="885"/>
      <c r="L48" s="885"/>
      <c r="M48" s="885"/>
      <c r="N48" s="885"/>
      <c r="O48" s="885"/>
      <c r="P48" s="885"/>
      <c r="Q48" s="885"/>
      <c r="R48" s="885"/>
      <c r="S48" s="885"/>
      <c r="T48" s="885"/>
      <c r="U48" s="885"/>
      <c r="V48" s="885"/>
      <c r="W48" s="885"/>
      <c r="X48" s="885"/>
      <c r="Y48" s="885"/>
      <c r="Z48" s="890"/>
      <c r="AA48" s="885"/>
      <c r="AB48" s="890"/>
      <c r="AC48" s="915"/>
      <c r="AD48" s="915"/>
      <c r="AE48" s="916"/>
      <c r="AF48" s="885"/>
      <c r="AG48" s="885"/>
      <c r="AH48" s="885"/>
      <c r="AI48" s="885"/>
      <c r="AJ48" s="885"/>
      <c r="AK48" s="885"/>
      <c r="AL48" s="885"/>
      <c r="AM48" s="885"/>
      <c r="AN48" s="885"/>
      <c r="AO48" s="885"/>
      <c r="AP48" s="885"/>
      <c r="AQ48" s="885"/>
      <c r="AR48" s="885"/>
      <c r="AS48" s="885"/>
      <c r="AT48" s="885"/>
      <c r="AU48" s="885"/>
      <c r="AV48" s="885"/>
      <c r="AW48" s="885"/>
      <c r="AX48" s="885"/>
      <c r="AY48" s="885"/>
      <c r="AZ48" s="885"/>
      <c r="BA48" s="885"/>
      <c r="BB48" s="890"/>
      <c r="BC48" s="890"/>
      <c r="BD48" s="891"/>
      <c r="BE48" s="891"/>
      <c r="BF48" s="891"/>
      <c r="BG48" s="891"/>
      <c r="BH48" s="891"/>
      <c r="BI48" s="891"/>
      <c r="BJ48" s="891"/>
    </row>
    <row r="49" spans="1:62" ht="14.25" customHeight="1">
      <c r="A49" s="917" t="s">
        <v>79</v>
      </c>
      <c r="B49" s="918"/>
      <c r="C49" s="918"/>
      <c r="D49" s="1220" t="str">
        <f>'Master Input'!$I$6</f>
        <v>The Wolverine - Blue</v>
      </c>
      <c r="E49" s="1129"/>
      <c r="F49" s="1129"/>
      <c r="G49" s="1129"/>
      <c r="H49" s="1129"/>
      <c r="I49" s="1129"/>
      <c r="J49" s="1129"/>
      <c r="K49" s="1129"/>
      <c r="L49" s="1129"/>
      <c r="M49" s="1129"/>
      <c r="N49" s="1129"/>
      <c r="O49" s="1129"/>
      <c r="P49" s="1129"/>
      <c r="Q49" s="1129"/>
      <c r="R49" s="1129"/>
      <c r="S49" s="1129"/>
      <c r="T49" s="1129"/>
      <c r="U49" s="1129"/>
      <c r="V49" s="1129"/>
      <c r="W49" s="1129"/>
      <c r="X49" s="1218"/>
      <c r="Y49" s="919">
        <f ca="1">VLOOKUP($D49, 'Course List'!$A$3:$C$14,2, FALSE)</f>
        <v>71.8</v>
      </c>
      <c r="Z49" s="920">
        <f ca="1">VLOOKUP($D49, 'Course List'!$A$3:$C$14,3, FALSE)</f>
        <v>138</v>
      </c>
      <c r="AA49" s="920"/>
      <c r="AB49" s="921"/>
      <c r="AC49" s="917" t="s">
        <v>79</v>
      </c>
      <c r="AD49" s="918"/>
      <c r="AE49" s="918"/>
      <c r="AF49" s="1221" t="str">
        <f>D49</f>
        <v>The Wolverine - Blue</v>
      </c>
      <c r="AG49" s="1129"/>
      <c r="AH49" s="1129"/>
      <c r="AI49" s="1129"/>
      <c r="AJ49" s="1129"/>
      <c r="AK49" s="1129"/>
      <c r="AL49" s="1129"/>
      <c r="AM49" s="1129"/>
      <c r="AN49" s="1129"/>
      <c r="AO49" s="1129"/>
      <c r="AP49" s="1129"/>
      <c r="AQ49" s="1129"/>
      <c r="AR49" s="1129"/>
      <c r="AS49" s="1129"/>
      <c r="AT49" s="1129"/>
      <c r="AU49" s="1129"/>
      <c r="AV49" s="1129"/>
      <c r="AW49" s="1129"/>
      <c r="AX49" s="1129"/>
      <c r="AY49" s="1129"/>
      <c r="AZ49" s="1218"/>
      <c r="BA49" s="919">
        <f t="shared" ref="BA49:BB49" ca="1" si="72">Y49</f>
        <v>71.8</v>
      </c>
      <c r="BB49" s="920">
        <f t="shared" ca="1" si="72"/>
        <v>138</v>
      </c>
      <c r="BC49" s="921"/>
      <c r="BD49" s="922"/>
      <c r="BE49" s="923"/>
      <c r="BF49" s="923"/>
      <c r="BG49" s="923"/>
      <c r="BH49" s="923"/>
      <c r="BI49" s="923"/>
      <c r="BJ49" s="923"/>
    </row>
    <row r="50" spans="1:62" ht="14.25" customHeight="1">
      <c r="A50" s="917" t="s">
        <v>184</v>
      </c>
      <c r="B50" s="918"/>
      <c r="C50" s="918"/>
      <c r="D50" s="832" t="s">
        <v>32</v>
      </c>
      <c r="E50" s="833">
        <v>1</v>
      </c>
      <c r="F50" s="834">
        <v>2</v>
      </c>
      <c r="G50" s="834">
        <v>3</v>
      </c>
      <c r="H50" s="834">
        <v>4</v>
      </c>
      <c r="I50" s="834">
        <v>5</v>
      </c>
      <c r="J50" s="834">
        <v>6</v>
      </c>
      <c r="K50" s="834">
        <v>7</v>
      </c>
      <c r="L50" s="834">
        <v>8</v>
      </c>
      <c r="M50" s="834">
        <v>9</v>
      </c>
      <c r="N50" s="835">
        <v>10</v>
      </c>
      <c r="O50" s="835">
        <v>11</v>
      </c>
      <c r="P50" s="835">
        <v>12</v>
      </c>
      <c r="Q50" s="835">
        <v>13</v>
      </c>
      <c r="R50" s="835">
        <v>14</v>
      </c>
      <c r="S50" s="835">
        <v>15</v>
      </c>
      <c r="T50" s="835">
        <v>16</v>
      </c>
      <c r="U50" s="835">
        <v>17</v>
      </c>
      <c r="V50" s="835">
        <v>18</v>
      </c>
      <c r="W50" s="836" t="s">
        <v>17</v>
      </c>
      <c r="X50" s="836" t="s">
        <v>18</v>
      </c>
      <c r="Y50" s="836" t="s">
        <v>14</v>
      </c>
      <c r="Z50" s="836" t="s">
        <v>19</v>
      </c>
      <c r="AA50" s="836" t="s">
        <v>185</v>
      </c>
      <c r="AB50" s="921"/>
      <c r="AC50" s="917" t="s">
        <v>19</v>
      </c>
      <c r="AD50" s="918"/>
      <c r="AE50" s="918"/>
      <c r="AF50" s="832" t="s">
        <v>32</v>
      </c>
      <c r="AG50" s="833">
        <v>1</v>
      </c>
      <c r="AH50" s="834">
        <v>2</v>
      </c>
      <c r="AI50" s="834">
        <v>3</v>
      </c>
      <c r="AJ50" s="834">
        <v>4</v>
      </c>
      <c r="AK50" s="834">
        <v>5</v>
      </c>
      <c r="AL50" s="834">
        <v>6</v>
      </c>
      <c r="AM50" s="834">
        <v>7</v>
      </c>
      <c r="AN50" s="834">
        <v>8</v>
      </c>
      <c r="AO50" s="834">
        <v>9</v>
      </c>
      <c r="AP50" s="835">
        <v>10</v>
      </c>
      <c r="AQ50" s="835">
        <v>11</v>
      </c>
      <c r="AR50" s="835">
        <v>12</v>
      </c>
      <c r="AS50" s="835">
        <v>13</v>
      </c>
      <c r="AT50" s="835">
        <v>14</v>
      </c>
      <c r="AU50" s="835">
        <v>15</v>
      </c>
      <c r="AV50" s="835">
        <v>16</v>
      </c>
      <c r="AW50" s="835">
        <v>17</v>
      </c>
      <c r="AX50" s="835">
        <v>18</v>
      </c>
      <c r="AY50" s="836" t="s">
        <v>17</v>
      </c>
      <c r="AZ50" s="836" t="s">
        <v>18</v>
      </c>
      <c r="BA50" s="836" t="s">
        <v>14</v>
      </c>
      <c r="BB50" s="836" t="s">
        <v>186</v>
      </c>
      <c r="BC50" s="921"/>
      <c r="BD50" s="922"/>
      <c r="BE50" s="923"/>
      <c r="BF50" s="923"/>
      <c r="BG50" s="923"/>
      <c r="BH50" s="923"/>
      <c r="BI50" s="923"/>
      <c r="BJ50" s="923"/>
    </row>
    <row r="51" spans="1:62" ht="14.25" customHeight="1">
      <c r="A51" s="917"/>
      <c r="B51" s="918"/>
      <c r="C51" s="840">
        <v>5</v>
      </c>
      <c r="D51" s="832" t="s">
        <v>105</v>
      </c>
      <c r="E51" s="841">
        <f ca="1">VLOOKUP($D49, 'Course List'!$A$3:$AS$14,5+E50, FALSE)</f>
        <v>11</v>
      </c>
      <c r="F51" s="841">
        <f ca="1">VLOOKUP($D49, 'Course List'!$A$3:$AS$14,5+F50, FALSE)</f>
        <v>5</v>
      </c>
      <c r="G51" s="841">
        <f ca="1">VLOOKUP($D49, 'Course List'!$A$3:$AS$14,5+G50, FALSE)</f>
        <v>1</v>
      </c>
      <c r="H51" s="841">
        <f ca="1">VLOOKUP($D49, 'Course List'!$A$3:$AS$14,5+H50, FALSE)</f>
        <v>13</v>
      </c>
      <c r="I51" s="841">
        <f ca="1">VLOOKUP($D49, 'Course List'!$A$3:$AS$14,5+I50, FALSE)</f>
        <v>15</v>
      </c>
      <c r="J51" s="841">
        <f ca="1">VLOOKUP($D49, 'Course List'!$A$3:$AS$14,5+J50, FALSE)</f>
        <v>3</v>
      </c>
      <c r="K51" s="841">
        <f ca="1">VLOOKUP($D49, 'Course List'!$A$3:$AS$14,5+K50, FALSE)</f>
        <v>9</v>
      </c>
      <c r="L51" s="841">
        <f ca="1">VLOOKUP($D49, 'Course List'!$A$3:$AS$14,5+L50, FALSE)</f>
        <v>7</v>
      </c>
      <c r="M51" s="841">
        <f ca="1">VLOOKUP($D49, 'Course List'!$A$3:$AS$14,5+M50, FALSE)</f>
        <v>17</v>
      </c>
      <c r="N51" s="842">
        <f ca="1">VLOOKUP($D49, 'Course List'!$A$3:$AS$14,5+N50, FALSE)</f>
        <v>4</v>
      </c>
      <c r="O51" s="842">
        <f ca="1">VLOOKUP($D49, 'Course List'!$A$3:$AS$14,5+O50, FALSE)</f>
        <v>2</v>
      </c>
      <c r="P51" s="842">
        <f ca="1">VLOOKUP($D49, 'Course List'!$A$3:$AS$14,5+P50, FALSE)</f>
        <v>14</v>
      </c>
      <c r="Q51" s="842">
        <f ca="1">VLOOKUP($D49, 'Course List'!$A$3:$AS$14,5+Q50, FALSE)</f>
        <v>10</v>
      </c>
      <c r="R51" s="842">
        <f ca="1">VLOOKUP($D49, 'Course List'!$A$3:$AS$14,5+R50, FALSE)</f>
        <v>18</v>
      </c>
      <c r="S51" s="842">
        <f ca="1">VLOOKUP($D49, 'Course List'!$A$3:$AS$14,5+S50, FALSE)</f>
        <v>16</v>
      </c>
      <c r="T51" s="842">
        <f ca="1">VLOOKUP($D49, 'Course List'!$A$3:$AS$14,5+T50, FALSE)</f>
        <v>8</v>
      </c>
      <c r="U51" s="842">
        <f ca="1">VLOOKUP($D49, 'Course List'!$A$3:$AS$14,5+U50, FALSE)</f>
        <v>12</v>
      </c>
      <c r="V51" s="842">
        <f ca="1">VLOOKUP($D49, 'Course List'!$A$3:$AS$14,5+V50, FALSE)</f>
        <v>6</v>
      </c>
      <c r="W51" s="924"/>
      <c r="X51" s="924"/>
      <c r="Y51" s="924"/>
      <c r="Z51" s="924"/>
      <c r="AA51" s="924"/>
      <c r="AB51" s="925"/>
      <c r="AC51" s="917"/>
      <c r="AD51" s="918"/>
      <c r="AE51" s="840">
        <v>5</v>
      </c>
      <c r="AF51" s="832" t="s">
        <v>105</v>
      </c>
      <c r="AG51" s="841">
        <f t="shared" ref="AG51:AX51" ca="1" si="73">E51</f>
        <v>11</v>
      </c>
      <c r="AH51" s="841">
        <f t="shared" ca="1" si="73"/>
        <v>5</v>
      </c>
      <c r="AI51" s="841">
        <f t="shared" ca="1" si="73"/>
        <v>1</v>
      </c>
      <c r="AJ51" s="841">
        <f t="shared" ca="1" si="73"/>
        <v>13</v>
      </c>
      <c r="AK51" s="841">
        <f t="shared" ca="1" si="73"/>
        <v>15</v>
      </c>
      <c r="AL51" s="841">
        <f t="shared" ca="1" si="73"/>
        <v>3</v>
      </c>
      <c r="AM51" s="841">
        <f t="shared" ca="1" si="73"/>
        <v>9</v>
      </c>
      <c r="AN51" s="841">
        <f t="shared" ca="1" si="73"/>
        <v>7</v>
      </c>
      <c r="AO51" s="841">
        <f t="shared" ca="1" si="73"/>
        <v>17</v>
      </c>
      <c r="AP51" s="842">
        <f t="shared" ca="1" si="73"/>
        <v>4</v>
      </c>
      <c r="AQ51" s="842">
        <f t="shared" ca="1" si="73"/>
        <v>2</v>
      </c>
      <c r="AR51" s="842">
        <f t="shared" ca="1" si="73"/>
        <v>14</v>
      </c>
      <c r="AS51" s="842">
        <f t="shared" ca="1" si="73"/>
        <v>10</v>
      </c>
      <c r="AT51" s="842">
        <f t="shared" ca="1" si="73"/>
        <v>18</v>
      </c>
      <c r="AU51" s="842">
        <f t="shared" ca="1" si="73"/>
        <v>16</v>
      </c>
      <c r="AV51" s="842">
        <f t="shared" ca="1" si="73"/>
        <v>8</v>
      </c>
      <c r="AW51" s="842">
        <f t="shared" ca="1" si="73"/>
        <v>12</v>
      </c>
      <c r="AX51" s="842">
        <f t="shared" ca="1" si="73"/>
        <v>6</v>
      </c>
      <c r="AY51" s="924"/>
      <c r="AZ51" s="924"/>
      <c r="BA51" s="924"/>
      <c r="BB51" s="924"/>
      <c r="BC51" s="925"/>
      <c r="BD51" s="926" t="s">
        <v>187</v>
      </c>
      <c r="BE51" s="927" t="s">
        <v>35</v>
      </c>
      <c r="BF51" s="927"/>
      <c r="BG51" s="927"/>
      <c r="BH51" s="927"/>
      <c r="BI51" s="927"/>
      <c r="BJ51" s="927"/>
    </row>
    <row r="52" spans="1:62" ht="14.25" customHeight="1">
      <c r="A52" s="847" t="s">
        <v>23</v>
      </c>
      <c r="B52" s="847" t="s">
        <v>188</v>
      </c>
      <c r="C52" s="848" t="s">
        <v>189</v>
      </c>
      <c r="D52" s="832" t="s">
        <v>183</v>
      </c>
      <c r="E52" s="841">
        <f ca="1">VLOOKUP($D49, 'Course List'!$A$3:$AS$14,27+E50, FALSE)</f>
        <v>4</v>
      </c>
      <c r="F52" s="841">
        <f ca="1">VLOOKUP($D49, 'Course List'!$A$3:$AS$14,27+F50, FALSE)</f>
        <v>4</v>
      </c>
      <c r="G52" s="841">
        <f ca="1">VLOOKUP($D49, 'Course List'!$A$3:$AS$14,27+G50, FALSE)</f>
        <v>5</v>
      </c>
      <c r="H52" s="841">
        <f ca="1">VLOOKUP($D49, 'Course List'!$A$3:$AS$14,27+H50, FALSE)</f>
        <v>4</v>
      </c>
      <c r="I52" s="841">
        <f ca="1">VLOOKUP($D49, 'Course List'!$A$3:$AS$14,27+I50, FALSE)</f>
        <v>3</v>
      </c>
      <c r="J52" s="841">
        <f ca="1">VLOOKUP($D49, 'Course List'!$A$3:$AS$14,27+J50, FALSE)</f>
        <v>4</v>
      </c>
      <c r="K52" s="841">
        <f ca="1">VLOOKUP($D49, 'Course List'!$A$3:$AS$14,27+K50, FALSE)</f>
        <v>4</v>
      </c>
      <c r="L52" s="841">
        <f ca="1">VLOOKUP($D49, 'Course List'!$A$3:$AS$14,27+L50, FALSE)</f>
        <v>5</v>
      </c>
      <c r="M52" s="841">
        <f ca="1">VLOOKUP($D49, 'Course List'!$A$3:$AS$14,27+M50, FALSE)</f>
        <v>3</v>
      </c>
      <c r="N52" s="842">
        <f ca="1">VLOOKUP($D49, 'Course List'!$A$3:$AS$14,27+N50, FALSE)</f>
        <v>4</v>
      </c>
      <c r="O52" s="842">
        <f ca="1">VLOOKUP($D49, 'Course List'!$A$3:$AS$14,27+O50, FALSE)</f>
        <v>5</v>
      </c>
      <c r="P52" s="842">
        <f ca="1">VLOOKUP($D49, 'Course List'!$A$3:$AS$14,27+P50, FALSE)</f>
        <v>3</v>
      </c>
      <c r="Q52" s="842">
        <f ca="1">VLOOKUP($D49, 'Course List'!$A$3:$AS$14,27+Q50, FALSE)</f>
        <v>4</v>
      </c>
      <c r="R52" s="842">
        <f ca="1">VLOOKUP($D49, 'Course List'!$A$3:$AS$14,27+R50, FALSE)</f>
        <v>3</v>
      </c>
      <c r="S52" s="842">
        <f ca="1">VLOOKUP($D49, 'Course List'!$A$3:$AS$14,27+S50, FALSE)</f>
        <v>4</v>
      </c>
      <c r="T52" s="842">
        <f ca="1">VLOOKUP($D49, 'Course List'!$A$3:$AS$14,27+T50, FALSE)</f>
        <v>4</v>
      </c>
      <c r="U52" s="842">
        <f ca="1">VLOOKUP($D49, 'Course List'!$A$3:$AS$14,27+U50, FALSE)</f>
        <v>4</v>
      </c>
      <c r="V52" s="842">
        <f ca="1">VLOOKUP($D49, 'Course List'!$A$3:$AS$14,27+V50, FALSE)</f>
        <v>5</v>
      </c>
      <c r="W52" s="836">
        <f t="shared" ref="W52:W68" ca="1" si="74">SUM(E52:M52)</f>
        <v>36</v>
      </c>
      <c r="X52" s="836">
        <f t="shared" ref="X52:X68" ca="1" si="75">SUM(N52:V52)</f>
        <v>36</v>
      </c>
      <c r="Y52" s="836">
        <f ca="1">W52+X52</f>
        <v>72</v>
      </c>
      <c r="Z52" s="836"/>
      <c r="AA52" s="836"/>
      <c r="AB52" s="921"/>
      <c r="AC52" s="847" t="s">
        <v>23</v>
      </c>
      <c r="AD52" s="847" t="s">
        <v>188</v>
      </c>
      <c r="AE52" s="848" t="s">
        <v>190</v>
      </c>
      <c r="AF52" s="832" t="s">
        <v>183</v>
      </c>
      <c r="AG52" s="841">
        <f t="shared" ref="AG52:AX52" ca="1" si="76">E52</f>
        <v>4</v>
      </c>
      <c r="AH52" s="841">
        <f t="shared" ca="1" si="76"/>
        <v>4</v>
      </c>
      <c r="AI52" s="841">
        <f t="shared" ca="1" si="76"/>
        <v>5</v>
      </c>
      <c r="AJ52" s="841">
        <f t="shared" ca="1" si="76"/>
        <v>4</v>
      </c>
      <c r="AK52" s="841">
        <f t="shared" ca="1" si="76"/>
        <v>3</v>
      </c>
      <c r="AL52" s="841">
        <f t="shared" ca="1" si="76"/>
        <v>4</v>
      </c>
      <c r="AM52" s="841">
        <f t="shared" ca="1" si="76"/>
        <v>4</v>
      </c>
      <c r="AN52" s="841">
        <f t="shared" ca="1" si="76"/>
        <v>5</v>
      </c>
      <c r="AO52" s="841">
        <f t="shared" ca="1" si="76"/>
        <v>3</v>
      </c>
      <c r="AP52" s="842">
        <f t="shared" ca="1" si="76"/>
        <v>4</v>
      </c>
      <c r="AQ52" s="842">
        <f t="shared" ca="1" si="76"/>
        <v>5</v>
      </c>
      <c r="AR52" s="842">
        <f t="shared" ca="1" si="76"/>
        <v>3</v>
      </c>
      <c r="AS52" s="842">
        <f t="shared" ca="1" si="76"/>
        <v>4</v>
      </c>
      <c r="AT52" s="842">
        <f t="shared" ca="1" si="76"/>
        <v>3</v>
      </c>
      <c r="AU52" s="842">
        <f t="shared" ca="1" si="76"/>
        <v>4</v>
      </c>
      <c r="AV52" s="842">
        <f t="shared" ca="1" si="76"/>
        <v>4</v>
      </c>
      <c r="AW52" s="842">
        <f t="shared" ca="1" si="76"/>
        <v>4</v>
      </c>
      <c r="AX52" s="842">
        <f t="shared" ca="1" si="76"/>
        <v>5</v>
      </c>
      <c r="AY52" s="836">
        <f t="shared" ref="AY52:AY68" ca="1" si="77">SUM(AG52:AO52)</f>
        <v>36</v>
      </c>
      <c r="AZ52" s="836">
        <f t="shared" ref="AZ52:AZ68" ca="1" si="78">SUM(AP52:AX52)</f>
        <v>36</v>
      </c>
      <c r="BA52" s="836">
        <f ca="1">AY52+AZ52</f>
        <v>72</v>
      </c>
      <c r="BB52" s="836"/>
      <c r="BC52" s="921"/>
      <c r="BD52" s="928" t="s">
        <v>191</v>
      </c>
      <c r="BE52" s="928" t="s">
        <v>192</v>
      </c>
      <c r="BF52" s="928" t="s">
        <v>193</v>
      </c>
      <c r="BG52" s="928" t="s">
        <v>194</v>
      </c>
      <c r="BH52" s="928" t="s">
        <v>195</v>
      </c>
      <c r="BI52" s="928" t="s">
        <v>196</v>
      </c>
      <c r="BJ52" s="928" t="s">
        <v>197</v>
      </c>
    </row>
    <row r="53" spans="1:62" ht="14.25" customHeight="1">
      <c r="A53" s="849" t="str">
        <f t="shared" ref="A53:A68" si="79">A29</f>
        <v>Telly</v>
      </c>
      <c r="B53" s="929" t="e">
        <f ca="1">_xludf.ifna(VLOOKUP(A53,'R3_G1'!$A$8:$C$17,3,FALSE),_xludf.ifna(VLOOKUP(A53,'R3_G2'!$A$8:$C$17,3,FALSE),_xludf.ifna(VLOOKUP(A53,'R3_G3'!$A$8:$C$17,3,FALSE),VLOOKUP(A53,'R3_G4'!$A$8:$C$17,3,FALSE))))</f>
        <v>#NAME?</v>
      </c>
      <c r="C53" s="849"/>
      <c r="D53" s="851"/>
      <c r="E53" s="852">
        <f>IF(COUNTIF('R3_G1'!$A$8:$A$17,$A53)=1,VLOOKUP($A53,'R3_G1'!$A$8:$Y$17, E$2+4,FALSE),IF(COUNTIF('R3_G2'!$A$8:$A$17,$A53)=1,VLOOKUP($A53,'R3_G2'!$A$8:$Y$17, E$2+4,FALSE),IF(COUNTIF('R3_G3'!$A$8:$A$17,$A53)=1,VLOOKUP($A53,'R3_G3'!$A$8:$Y$17, E$2+4,FALSE),IF(COUNTIF('R3_G4'!$A$8:$A$17,$A53)=1,VLOOKUP($A53,'R3_G4'!$A$8:$Y$17, E$2+4,FALSE),""))))</f>
        <v>4</v>
      </c>
      <c r="F53" s="852">
        <f>IF(COUNTIF('R3_G1'!$A$8:$A$17,$A53)=1,VLOOKUP($A53,'R3_G1'!$A$8:$Y$17, F$2+4,FALSE),IF(COUNTIF('R3_G2'!$A$8:$A$17,$A53)=1,VLOOKUP($A53,'R3_G2'!$A$8:$Y$17, F$2+4,FALSE),IF(COUNTIF('R3_G3'!$A$8:$A$17,$A53)=1,VLOOKUP($A53,'R3_G3'!$A$8:$Y$17, F$2+4,FALSE),IF(COUNTIF('R3_G4'!$A$8:$A$17,$A53)=1,VLOOKUP($A53,'R3_G4'!$A$8:$Y$17, F$2+4,FALSE),""))))</f>
        <v>4</v>
      </c>
      <c r="G53" s="852">
        <f>IF(COUNTIF('R3_G1'!$A$8:$A$17,$A53)=1,VLOOKUP($A53,'R3_G1'!$A$8:$Y$17, G$2+4,FALSE),IF(COUNTIF('R3_G2'!$A$8:$A$17,$A53)=1,VLOOKUP($A53,'R3_G2'!$A$8:$Y$17, G$2+4,FALSE),IF(COUNTIF('R3_G3'!$A$8:$A$17,$A53)=1,VLOOKUP($A53,'R3_G3'!$A$8:$Y$17, G$2+4,FALSE),IF(COUNTIF('R3_G4'!$A$8:$A$17,$A53)=1,VLOOKUP($A53,'R3_G4'!$A$8:$Y$17, G$2+4,FALSE),""))))</f>
        <v>5</v>
      </c>
      <c r="H53" s="852">
        <f>IF(COUNTIF('R3_G1'!$A$8:$A$17,$A53)=1,VLOOKUP($A53,'R3_G1'!$A$8:$Y$17, H$2+4,FALSE),IF(COUNTIF('R3_G2'!$A$8:$A$17,$A53)=1,VLOOKUP($A53,'R3_G2'!$A$8:$Y$17, H$2+4,FALSE),IF(COUNTIF('R3_G3'!$A$8:$A$17,$A53)=1,VLOOKUP($A53,'R3_G3'!$A$8:$Y$17, H$2+4,FALSE),IF(COUNTIF('R3_G4'!$A$8:$A$17,$A53)=1,VLOOKUP($A53,'R3_G4'!$A$8:$Y$17, H$2+4,FALSE),""))))</f>
        <v>3</v>
      </c>
      <c r="I53" s="852">
        <f>IF(COUNTIF('R3_G1'!$A$8:$A$17,$A53)=1,VLOOKUP($A53,'R3_G1'!$A$8:$Y$17, I$2+4,FALSE),IF(COUNTIF('R3_G2'!$A$8:$A$17,$A53)=1,VLOOKUP($A53,'R3_G2'!$A$8:$Y$17, I$2+4,FALSE),IF(COUNTIF('R3_G3'!$A$8:$A$17,$A53)=1,VLOOKUP($A53,'R3_G3'!$A$8:$Y$17, I$2+4,FALSE),IF(COUNTIF('R3_G4'!$A$8:$A$17,$A53)=1,VLOOKUP($A53,'R3_G4'!$A$8:$Y$17, I$2+4,FALSE),""))))</f>
        <v>2</v>
      </c>
      <c r="J53" s="852">
        <f>IF(COUNTIF('R3_G1'!$A$8:$A$17,$A53)=1,VLOOKUP($A53,'R3_G1'!$A$8:$Y$17, J$2+4,FALSE),IF(COUNTIF('R3_G2'!$A$8:$A$17,$A53)=1,VLOOKUP($A53,'R3_G2'!$A$8:$Y$17, J$2+4,FALSE),IF(COUNTIF('R3_G3'!$A$8:$A$17,$A53)=1,VLOOKUP($A53,'R3_G3'!$A$8:$Y$17, J$2+4,FALSE),IF(COUNTIF('R3_G4'!$A$8:$A$17,$A53)=1,VLOOKUP($A53,'R3_G4'!$A$8:$Y$17, J$2+4,FALSE),""))))</f>
        <v>4</v>
      </c>
      <c r="K53" s="852">
        <f>IF(COUNTIF('R3_G1'!$A$8:$A$17,$A53)=1,VLOOKUP($A53,'R3_G1'!$A$8:$Y$17, K$2+4,FALSE),IF(COUNTIF('R3_G2'!$A$8:$A$17,$A53)=1,VLOOKUP($A53,'R3_G2'!$A$8:$Y$17, K$2+4,FALSE),IF(COUNTIF('R3_G3'!$A$8:$A$17,$A53)=1,VLOOKUP($A53,'R3_G3'!$A$8:$Y$17, K$2+4,FALSE),IF(COUNTIF('R3_G4'!$A$8:$A$17,$A53)=1,VLOOKUP($A53,'R3_G4'!$A$8:$Y$17, K$2+4,FALSE),""))))</f>
        <v>4</v>
      </c>
      <c r="L53" s="852">
        <f>IF(COUNTIF('R3_G1'!$A$8:$A$17,$A53)=1,VLOOKUP($A53,'R3_G1'!$A$8:$Y$17, L$2+4,FALSE),IF(COUNTIF('R3_G2'!$A$8:$A$17,$A53)=1,VLOOKUP($A53,'R3_G2'!$A$8:$Y$17, L$2+4,FALSE),IF(COUNTIF('R3_G3'!$A$8:$A$17,$A53)=1,VLOOKUP($A53,'R3_G3'!$A$8:$Y$17, L$2+4,FALSE),IF(COUNTIF('R3_G4'!$A$8:$A$17,$A53)=1,VLOOKUP($A53,'R3_G4'!$A$8:$Y$17, L$2+4,FALSE),""))))</f>
        <v>4</v>
      </c>
      <c r="M53" s="852">
        <f>IF(COUNTIF('R3_G1'!$A$8:$A$17,$A53)=1,VLOOKUP($A53,'R3_G1'!$A$8:$Y$17, M$2+4,FALSE),IF(COUNTIF('R3_G2'!$A$8:$A$17,$A53)=1,VLOOKUP($A53,'R3_G2'!$A$8:$Y$17, M$2+4,FALSE),IF(COUNTIF('R3_G3'!$A$8:$A$17,$A53)=1,VLOOKUP($A53,'R3_G3'!$A$8:$Y$17, M$2+4,FALSE),IF(COUNTIF('R3_G4'!$A$8:$A$17,$A53)=1,VLOOKUP($A53,'R3_G4'!$A$8:$Y$17, M$2+4,FALSE),""))))</f>
        <v>2</v>
      </c>
      <c r="N53" s="853">
        <f>IF(COUNTIF('R3_G1'!$A$8:$A$17,$A53)=1,VLOOKUP($A53,'R3_G1'!$A$8:$Y$17, N$2+7,FALSE),IF(COUNTIF('R3_G2'!$A$8:$A$17,$A53)=1,VLOOKUP($A53,'R3_G2'!$A$8:$Y$17, N$2+7,FALSE),IF(COUNTIF('R3_G3'!$A$8:$A$17,$A53)=1,VLOOKUP($A53,'R3_G3'!$A$8:$Y$17, N$2+7,FALSE),IF(COUNTIF('R3_G4'!$A$8:$A$17,$A53)=1,VLOOKUP($A53,'R3_G4'!$A$8:$Y$17, N$2+7,FALSE),""))))</f>
        <v>6</v>
      </c>
      <c r="O53" s="853">
        <f>IF(COUNTIF('R3_G1'!$A$8:$A$17,$A53)=1,VLOOKUP($A53,'R3_G1'!$A$8:$Y$17, O$2+7,FALSE),IF(COUNTIF('R3_G2'!$A$8:$A$17,$A53)=1,VLOOKUP($A53,'R3_G2'!$A$8:$Y$17, O$2+7,FALSE),IF(COUNTIF('R3_G3'!$A$8:$A$17,$A53)=1,VLOOKUP($A53,'R3_G3'!$A$8:$Y$17, O$2+7,FALSE),IF(COUNTIF('R3_G4'!$A$8:$A$17,$A53)=1,VLOOKUP($A53,'R3_G4'!$A$8:$Y$17, O$2+7,FALSE),""))))</f>
        <v>6</v>
      </c>
      <c r="P53" s="853">
        <f>IF(COUNTIF('R3_G1'!$A$8:$A$17,$A53)=1,VLOOKUP($A53,'R3_G1'!$A$8:$Y$17, P$2+7,FALSE),IF(COUNTIF('R3_G2'!$A$8:$A$17,$A53)=1,VLOOKUP($A53,'R3_G2'!$A$8:$Y$17, P$2+7,FALSE),IF(COUNTIF('R3_G3'!$A$8:$A$17,$A53)=1,VLOOKUP($A53,'R3_G3'!$A$8:$Y$17, P$2+7,FALSE),IF(COUNTIF('R3_G4'!$A$8:$A$17,$A53)=1,VLOOKUP($A53,'R3_G4'!$A$8:$Y$17, P$2+7,FALSE),""))))</f>
        <v>3</v>
      </c>
      <c r="Q53" s="853">
        <f>IF(COUNTIF('R3_G1'!$A$8:$A$17,$A53)=1,VLOOKUP($A53,'R3_G1'!$A$8:$Y$17, Q$2+7,FALSE),IF(COUNTIF('R3_G2'!$A$8:$A$17,$A53)=1,VLOOKUP($A53,'R3_G2'!$A$8:$Y$17, Q$2+7,FALSE),IF(COUNTIF('R3_G3'!$A$8:$A$17,$A53)=1,VLOOKUP($A53,'R3_G3'!$A$8:$Y$17, Q$2+7,FALSE),IF(COUNTIF('R3_G4'!$A$8:$A$17,$A53)=1,VLOOKUP($A53,'R3_G4'!$A$8:$Y$17, Q$2+7,FALSE),""))))</f>
        <v>5</v>
      </c>
      <c r="R53" s="853">
        <f>IF(COUNTIF('R3_G1'!$A$8:$A$17,$A53)=1,VLOOKUP($A53,'R3_G1'!$A$8:$Y$17, R$2+7,FALSE),IF(COUNTIF('R3_G2'!$A$8:$A$17,$A53)=1,VLOOKUP($A53,'R3_G2'!$A$8:$Y$17, R$2+7,FALSE),IF(COUNTIF('R3_G3'!$A$8:$A$17,$A53)=1,VLOOKUP($A53,'R3_G3'!$A$8:$Y$17, R$2+7,FALSE),IF(COUNTIF('R3_G4'!$A$8:$A$17,$A53)=1,VLOOKUP($A53,'R3_G4'!$A$8:$Y$17, R$2+7,FALSE),""))))</f>
        <v>4</v>
      </c>
      <c r="S53" s="853">
        <f>IF(COUNTIF('R3_G1'!$A$8:$A$17,$A53)=1,VLOOKUP($A53,'R3_G1'!$A$8:$Y$17, S$2+7,FALSE),IF(COUNTIF('R3_G2'!$A$8:$A$17,$A53)=1,VLOOKUP($A53,'R3_G2'!$A$8:$Y$17, S$2+7,FALSE),IF(COUNTIF('R3_G3'!$A$8:$A$17,$A53)=1,VLOOKUP($A53,'R3_G3'!$A$8:$Y$17, S$2+7,FALSE),IF(COUNTIF('R3_G4'!$A$8:$A$17,$A53)=1,VLOOKUP($A53,'R3_G4'!$A$8:$Y$17, S$2+7,FALSE),""))))</f>
        <v>4</v>
      </c>
      <c r="T53" s="853">
        <f>IF(COUNTIF('R3_G1'!$A$8:$A$17,$A53)=1,VLOOKUP($A53,'R3_G1'!$A$8:$Y$17, T$2+7,FALSE),IF(COUNTIF('R3_G2'!$A$8:$A$17,$A53)=1,VLOOKUP($A53,'R3_G2'!$A$8:$Y$17, T$2+7,FALSE),IF(COUNTIF('R3_G3'!$A$8:$A$17,$A53)=1,VLOOKUP($A53,'R3_G3'!$A$8:$Y$17, T$2+7,FALSE),IF(COUNTIF('R3_G4'!$A$8:$A$17,$A53)=1,VLOOKUP($A53,'R3_G4'!$A$8:$Y$17, T$2+7,FALSE),""))))</f>
        <v>4</v>
      </c>
      <c r="U53" s="853">
        <f>IF(COUNTIF('R3_G1'!$A$8:$A$17,$A53)=1,VLOOKUP($A53,'R3_G1'!$A$8:$Y$17, U$2+7,FALSE),IF(COUNTIF('R3_G2'!$A$8:$A$17,$A53)=1,VLOOKUP($A53,'R3_G2'!$A$8:$Y$17, U$2+7,FALSE),IF(COUNTIF('R3_G3'!$A$8:$A$17,$A53)=1,VLOOKUP($A53,'R3_G3'!$A$8:$Y$17, U$2+7,FALSE),IF(COUNTIF('R3_G4'!$A$8:$A$17,$A53)=1,VLOOKUP($A53,'R3_G4'!$A$8:$Y$17, U$2+7,FALSE),""))))</f>
        <v>4</v>
      </c>
      <c r="V53" s="853">
        <f>IF(COUNTIF('R3_G1'!$A$8:$A$17,$A53)=1,VLOOKUP($A53,'R3_G1'!$A$8:$Y$17, V$2+7,FALSE),IF(COUNTIF('R3_G2'!$A$8:$A$17,$A53)=1,VLOOKUP($A53,'R3_G2'!$A$8:$Y$17, V$2+7,FALSE),IF(COUNTIF('R3_G3'!$A$8:$A$17,$A53)=1,VLOOKUP($A53,'R3_G3'!$A$8:$Y$17, V$2+7,FALSE),IF(COUNTIF('R3_G4'!$A$8:$A$17,$A53)=1,VLOOKUP($A53,'R3_G4'!$A$8:$Y$17, V$2+7,FALSE),""))))</f>
        <v>4</v>
      </c>
      <c r="W53" s="852">
        <f t="shared" si="74"/>
        <v>32</v>
      </c>
      <c r="X53" s="852">
        <f t="shared" si="75"/>
        <v>40</v>
      </c>
      <c r="Y53" s="852">
        <f t="shared" ref="Y53:Y68" si="80">IF(COUNT(E53:V53)=18,W53+X53,"")</f>
        <v>72</v>
      </c>
      <c r="Z53" s="930" t="e">
        <f t="shared" ref="Z53:Z68" ca="1" si="81">IF(Y53="","",IF(V53="","",Y53-B53))</f>
        <v>#NAME?</v>
      </c>
      <c r="AA53" s="852">
        <f t="shared" ref="AA53:AA68" si="82">Y53</f>
        <v>72</v>
      </c>
      <c r="AB53" s="921"/>
      <c r="AC53" s="849" t="str">
        <f t="shared" ref="AC53:AC68" si="83">A53</f>
        <v>Telly</v>
      </c>
      <c r="AD53" s="929" t="e">
        <f ca="1">_xludf.ifna(VLOOKUP(AC53,'R3_G1'!$A$8:$C$17,3,FALSE),_xludf.ifna(VLOOKUP(AC53,'R3_G2'!$A$8:$C$17,3,FALSE),_xludf.ifna(VLOOKUP(AC53,'R3_G3'!$A$8:$C$17,3,FALSE),VLOOKUP(AC53,'R3_G4'!$A$8:$C$17,3,FALSE))))</f>
        <v>#NAME?</v>
      </c>
      <c r="AE53" s="849"/>
      <c r="AF53" s="851"/>
      <c r="AG53" s="852" t="e">
        <f t="shared" ref="AG53:AX53" ca="1" si="84">IF(E53="","",E53-IF($B53&gt;0,FLOOR($B53/18,1),0)-IF(AND(MOD($B53,18)&gt;=E$51,$B53&gt;0),1,0)+IF(E$51-18&gt;$B53,1,0))</f>
        <v>#NAME?</v>
      </c>
      <c r="AH53" s="852" t="e">
        <f t="shared" ca="1" si="84"/>
        <v>#NAME?</v>
      </c>
      <c r="AI53" s="852" t="e">
        <f t="shared" ca="1" si="84"/>
        <v>#NAME?</v>
      </c>
      <c r="AJ53" s="852" t="e">
        <f t="shared" ca="1" si="84"/>
        <v>#NAME?</v>
      </c>
      <c r="AK53" s="852" t="e">
        <f t="shared" ca="1" si="84"/>
        <v>#NAME?</v>
      </c>
      <c r="AL53" s="852" t="e">
        <f t="shared" ca="1" si="84"/>
        <v>#NAME?</v>
      </c>
      <c r="AM53" s="852" t="e">
        <f t="shared" ca="1" si="84"/>
        <v>#NAME?</v>
      </c>
      <c r="AN53" s="852" t="e">
        <f t="shared" ca="1" si="84"/>
        <v>#NAME?</v>
      </c>
      <c r="AO53" s="852" t="e">
        <f t="shared" ca="1" si="84"/>
        <v>#NAME?</v>
      </c>
      <c r="AP53" s="853" t="e">
        <f t="shared" ca="1" si="84"/>
        <v>#NAME?</v>
      </c>
      <c r="AQ53" s="853" t="e">
        <f t="shared" ca="1" si="84"/>
        <v>#NAME?</v>
      </c>
      <c r="AR53" s="853" t="e">
        <f t="shared" ca="1" si="84"/>
        <v>#NAME?</v>
      </c>
      <c r="AS53" s="853" t="e">
        <f t="shared" ca="1" si="84"/>
        <v>#NAME?</v>
      </c>
      <c r="AT53" s="853" t="e">
        <f t="shared" ca="1" si="84"/>
        <v>#NAME?</v>
      </c>
      <c r="AU53" s="853" t="e">
        <f t="shared" ca="1" si="84"/>
        <v>#NAME?</v>
      </c>
      <c r="AV53" s="853" t="e">
        <f t="shared" ca="1" si="84"/>
        <v>#NAME?</v>
      </c>
      <c r="AW53" s="853" t="e">
        <f t="shared" ca="1" si="84"/>
        <v>#NAME?</v>
      </c>
      <c r="AX53" s="853" t="e">
        <f t="shared" ca="1" si="84"/>
        <v>#NAME?</v>
      </c>
      <c r="AY53" s="852" t="e">
        <f t="shared" ca="1" si="77"/>
        <v>#NAME?</v>
      </c>
      <c r="AZ53" s="852" t="e">
        <f t="shared" ca="1" si="78"/>
        <v>#NAME?</v>
      </c>
      <c r="BA53" s="852" t="str">
        <f t="shared" ref="BA53:BA68" ca="1" si="85">IF(COUNT(AG53:AX53)=18,AY53+AZ53,"")</f>
        <v/>
      </c>
      <c r="BB53" s="849" t="e">
        <f ca="1">IF(COUNTIF('R3_G1'!$A$8:$A$17,$A53)=1, IF(AND(BA53=Z53,BA53=VLOOKUP($A53,'R3_G1'!$A$8:$AB$17, 28,FALSE)),"yes","no"),
IF(COUNTIF('R3_G2'!$A$8:$A$17,$A53)=1, IF(AND(BA53=Z53,BA53=VLOOKUP($A53,'R3_G2'!$A$8:$AB$17, 28,FALSE)),"yes","no"),
IF(COUNTIF('R3_G3'!$A$8:$A$17,$A53)=1, IF(AND(BA53=Z53,BA53=VLOOKUP($A53,'R3_G3'!$A$8:$AB$17, 28,FALSE)),"yes","no"),
IF(COUNTIF('R3_G4'!$A$8:$A$17,$A53)=1, IF(AND(BA53=Z53,BA53=VLOOKUP($A53,'R3_G4'!$A$8:$AB$17, 28,FALSE)),"yes","no"),
"?"))))</f>
        <v>#NAME?</v>
      </c>
      <c r="BC53" s="921"/>
      <c r="BD53" s="862" t="e">
        <f t="shared" ref="BD53:BD68" ca="1" si="86">IF(AG53&lt;AG$52,1,IF(AG53=AG$52,0.5,0))+
IF(AH53&lt;AH$52,1,IF(AH53=AH$52,0.5,0))+
IF(AI53&lt;AI$52,1,IF(AI53=AI$52,0.5,0))+
IF(AJ53&lt;AJ$52,1,IF(AJ53=AJ$52,0.5,0))+
IF(AK53&lt;AK$52,1,IF(AK53=AK$52,0.5,0))+
IF(AL53&lt;AL$52,1,IF(AL53=AL$52,0.5,0))+
IF(AM53&lt;AM$52,1,IF(AM53=AM$52,0.5,0))+
IF(AN53&lt;AN$52,1,IF(AN53=AN$52,0.5,0))+
IF(AO53&lt;AO$52,1,IF(AO53=AO$52,0.5,0))+
IF(AP53&lt;AP$52,1,IF(AP53=AP$52,0.5,0))+
IF(AQ53&lt;AQ$52,1,IF(AQ53=AQ$52,0.5,0))+
IF(AR53&lt;AR$52,1,IF(AR53=AR$52,0.5,0))+
IF(AS53&lt;AS$52,1,IF(AS53=AS$52,0.5,0))+
IF(AT53&lt;AT$52,1,IF(AT53=AT$52,0.5,0))+
IF(AU53&lt;AU$52,1,IF(AU53=AU$52,0.5,0))+
IF(AV53&lt;AV$52,1,IF(AV53=AV$52,0.5,0))+
IF(AW53&lt;AW$52,1,IF(AW53=AW$52,0.5,0))+
IF(AX53&lt;AX$52,1,IF(AX53=AX$52,0.5,0))</f>
        <v>#NAME?</v>
      </c>
      <c r="BE53" s="855" t="e">
        <f t="shared" ref="BE53:BE68" ca="1" si="87">(RANK(AG53,$AG$53:$AG$68,0)-1)/15+(COUNTIF($AG$53:$AG$68,AG53)-1)/30+
(RANK(AH53,$AH$53:$AH$68,0)-1)/15+(COUNTIF($AH$53:$AH$68,AH53)-1)/30+
(RANK(AI53,$AI$53:$AI$68,0)-1)/15+(COUNTIF($AI$53:$AI$68,AI53)-1)/30+
(RANK(AJ53,$AJ$53:$AJ$68,0)-1)/15+(COUNTIF($AJ$53:$AJ$68,AJ53)-1)/30+
(RANK(AK53,$AK$53:$AK$68,0)-1)/15+(COUNTIF($AK$53:$AK$68,AK53)-1)/30+
(RANK(AL53,$AL$53:$AL$68,0)-1)/15+(COUNTIF($AL$53:$AL$68,AL53)-1)/30+
(RANK(AM53,$AM$53:$AM$68,0)-1)/15+(COUNTIF($AM$53:$AM$68,AM53)-1)/30+
(RANK(AN53,$AN$53:$AN$68,0)-1)/15+(COUNTIF($AN$53:$AN$68,AN53)-1)/30+
(RANK(AO53,$AO$53:$AO$68,0)-1)/15+(COUNTIF($AO$53:$AO$68,AO53)-1)/30+
(RANK(AP53,$AP$53:$AP$68,0)-1)/15+(COUNTIF($AP$53:$AP$68,AP53)-1)/30+
(RANK(AQ53,$AQ$53:$AQ$68,0)-1)/15+(COUNTIF($AQ$53:$AQ$68,AQ53)-1)/30+
(RANK(AR53,$AR$53:$AR$68,0)-1)/15+(COUNTIF($AR$53:$AR$68,AR53)-1)/30+
(RANK(AS53,$AS$53:$AS$68,0)-1)/15+(COUNTIF($AS$53:$AS$68,AS53)-1)/30+
(RANK(AT53,$AT$53:$AT$68,0)-1)/15+(COUNTIF($AT$53:$AT$68,AT53)-1)/30+
(RANK(AU53,$AU$53:$AU$68,0)-1)/15+(COUNTIF($AU$53:$AU$68,AU53)-1)/30+
(RANK(AV53,$AV$53:$AV$68,0)-1)/15+(COUNTIF($AV$53:$AV$68,AV53)-1)/30+
(RANK(AW53,$AW$53:$AW$68,0)-1)/15+(COUNTIF($AW$53:$AW$68,AW53)-1)/30+
(RANK(AX53,$AX$53:$AX$68,0)-1)/15+(COUNTIF($AX$53:$AX$68,AX53)-1)/30</f>
        <v>#NAME?</v>
      </c>
      <c r="BF53" s="855">
        <f t="shared" ref="BF53:BF68" ca="1" si="88">COUNTIFS($AG$52:$AX$52,3,$AG53:$AX53,"&lt;=1")
+COUNTIFS($AG$52:$AX$52,4,$AG53:$AX53,"&lt;=2")
+COUNTIFS($AG$52:$AX$52,5,$AG53:$AX53,"&lt;=3")</f>
        <v>0</v>
      </c>
      <c r="BG53" s="855">
        <f t="shared" ref="BG53:BG68" ca="1" si="89">COUNTIFS($AG$52:$AX$52,3,$AG53:$AX53,2)
+COUNTIFS($AG$52:$AX$52,4,$AG53:$AX53,3)
+COUNTIFS($AG$52:$AX$52,5,$AG53:$AX53,4)</f>
        <v>0</v>
      </c>
      <c r="BH53" s="855">
        <f t="shared" ref="BH53:BH68" ca="1" si="90">COUNTIFS($AG$52:$AX$52,3,$AG53:$AX53,3)
+COUNTIFS($AG$52:$AX$52,4,$AG53:$AX53,4)
+COUNTIFS($AG$52:$AX$52,5,$AG53:$AX53,5)</f>
        <v>0</v>
      </c>
      <c r="BI53" s="855">
        <f t="shared" ref="BI53:BI68" ca="1" si="91">COUNTIFS($AG$52:$AX$52,3,$AG53:$AX53,4)
+COUNTIFS($AG$52:$AX$52,4,$AG53:$AX53,5)
+COUNTIFS($AG$52:$AX$52,5,$AG53:$AX53,6)</f>
        <v>0</v>
      </c>
      <c r="BJ53" s="855">
        <f t="shared" ref="BJ53:BJ68" ca="1" si="92">COUNTIFS($AG$52:$AX$52,3,$AG53:$AX53,"&gt;=5")
+COUNTIFS($AG$52:$AX$52,4,$AG53:$AX53,"&gt;=6")
+COUNTIFS($AG$52:$AX$52,5,$AG53:$AX53,"&gt;=7")</f>
        <v>0</v>
      </c>
    </row>
    <row r="54" spans="1:62" ht="14.25" customHeight="1">
      <c r="A54" s="857" t="str">
        <f t="shared" si="79"/>
        <v>KJ</v>
      </c>
      <c r="B54" s="929" t="e">
        <f ca="1">_xludf.ifna(VLOOKUP(A54,'R3_G1'!$A$8:$C$17,3,FALSE),_xludf.ifna(VLOOKUP(A54,'R3_G2'!$A$8:$C$17,3,FALSE),_xludf.ifna(VLOOKUP(A54,'R3_G3'!$A$8:$C$17,3,FALSE),VLOOKUP(A54,'R3_G4'!$A$8:$C$17,3,FALSE))))</f>
        <v>#NAME?</v>
      </c>
      <c r="C54" s="857"/>
      <c r="D54" s="851"/>
      <c r="E54" s="859">
        <f>IF(COUNTIF('R3_G1'!$A$8:$A$17,$A54)=1,VLOOKUP($A54,'R3_G1'!$A$8:$Y$17, E$2+4,FALSE),IF(COUNTIF('R3_G2'!$A$8:$A$17,$A54)=1,VLOOKUP($A54,'R3_G2'!$A$8:$Y$17, E$2+4,FALSE),IF(COUNTIF('R3_G3'!$A$8:$A$17,$A54)=1,VLOOKUP($A54,'R3_G3'!$A$8:$Y$17, E$2+4,FALSE),IF(COUNTIF('R3_G4'!$A$8:$A$17,$A54)=1,VLOOKUP($A54,'R3_G4'!$A$8:$Y$17, E$2+4,FALSE),""))))</f>
        <v>4</v>
      </c>
      <c r="F54" s="859">
        <f>IF(COUNTIF('R3_G1'!$A$8:$A$17,$A54)=1,VLOOKUP($A54,'R3_G1'!$A$8:$Y$17, F$2+4,FALSE),IF(COUNTIF('R3_G2'!$A$8:$A$17,$A54)=1,VLOOKUP($A54,'R3_G2'!$A$8:$Y$17, F$2+4,FALSE),IF(COUNTIF('R3_G3'!$A$8:$A$17,$A54)=1,VLOOKUP($A54,'R3_G3'!$A$8:$Y$17, F$2+4,FALSE),IF(COUNTIF('R3_G4'!$A$8:$A$17,$A54)=1,VLOOKUP($A54,'R3_G4'!$A$8:$Y$17, F$2+4,FALSE),""))))</f>
        <v>4</v>
      </c>
      <c r="G54" s="859">
        <f>IF(COUNTIF('R3_G1'!$A$8:$A$17,$A54)=1,VLOOKUP($A54,'R3_G1'!$A$8:$Y$17, G$2+4,FALSE),IF(COUNTIF('R3_G2'!$A$8:$A$17,$A54)=1,VLOOKUP($A54,'R3_G2'!$A$8:$Y$17, G$2+4,FALSE),IF(COUNTIF('R3_G3'!$A$8:$A$17,$A54)=1,VLOOKUP($A54,'R3_G3'!$A$8:$Y$17, G$2+4,FALSE),IF(COUNTIF('R3_G4'!$A$8:$A$17,$A54)=1,VLOOKUP($A54,'R3_G4'!$A$8:$Y$17, G$2+4,FALSE),""))))</f>
        <v>5</v>
      </c>
      <c r="H54" s="859">
        <f>IF(COUNTIF('R3_G1'!$A$8:$A$17,$A54)=1,VLOOKUP($A54,'R3_G1'!$A$8:$Y$17, H$2+4,FALSE),IF(COUNTIF('R3_G2'!$A$8:$A$17,$A54)=1,VLOOKUP($A54,'R3_G2'!$A$8:$Y$17, H$2+4,FALSE),IF(COUNTIF('R3_G3'!$A$8:$A$17,$A54)=1,VLOOKUP($A54,'R3_G3'!$A$8:$Y$17, H$2+4,FALSE),IF(COUNTIF('R3_G4'!$A$8:$A$17,$A54)=1,VLOOKUP($A54,'R3_G4'!$A$8:$Y$17, H$2+4,FALSE),""))))</f>
        <v>3</v>
      </c>
      <c r="I54" s="859">
        <f>IF(COUNTIF('R3_G1'!$A$8:$A$17,$A54)=1,VLOOKUP($A54,'R3_G1'!$A$8:$Y$17, I$2+4,FALSE),IF(COUNTIF('R3_G2'!$A$8:$A$17,$A54)=1,VLOOKUP($A54,'R3_G2'!$A$8:$Y$17, I$2+4,FALSE),IF(COUNTIF('R3_G3'!$A$8:$A$17,$A54)=1,VLOOKUP($A54,'R3_G3'!$A$8:$Y$17, I$2+4,FALSE),IF(COUNTIF('R3_G4'!$A$8:$A$17,$A54)=1,VLOOKUP($A54,'R3_G4'!$A$8:$Y$17, I$2+4,FALSE),""))))</f>
        <v>2</v>
      </c>
      <c r="J54" s="859">
        <f>IF(COUNTIF('R3_G1'!$A$8:$A$17,$A54)=1,VLOOKUP($A54,'R3_G1'!$A$8:$Y$17, J$2+4,FALSE),IF(COUNTIF('R3_G2'!$A$8:$A$17,$A54)=1,VLOOKUP($A54,'R3_G2'!$A$8:$Y$17, J$2+4,FALSE),IF(COUNTIF('R3_G3'!$A$8:$A$17,$A54)=1,VLOOKUP($A54,'R3_G3'!$A$8:$Y$17, J$2+4,FALSE),IF(COUNTIF('R3_G4'!$A$8:$A$17,$A54)=1,VLOOKUP($A54,'R3_G4'!$A$8:$Y$17, J$2+4,FALSE),""))))</f>
        <v>4</v>
      </c>
      <c r="K54" s="859">
        <f>IF(COUNTIF('R3_G1'!$A$8:$A$17,$A54)=1,VLOOKUP($A54,'R3_G1'!$A$8:$Y$17, K$2+4,FALSE),IF(COUNTIF('R3_G2'!$A$8:$A$17,$A54)=1,VLOOKUP($A54,'R3_G2'!$A$8:$Y$17, K$2+4,FALSE),IF(COUNTIF('R3_G3'!$A$8:$A$17,$A54)=1,VLOOKUP($A54,'R3_G3'!$A$8:$Y$17, K$2+4,FALSE),IF(COUNTIF('R3_G4'!$A$8:$A$17,$A54)=1,VLOOKUP($A54,'R3_G4'!$A$8:$Y$17, K$2+4,FALSE),""))))</f>
        <v>4</v>
      </c>
      <c r="L54" s="859">
        <f>IF(COUNTIF('R3_G1'!$A$8:$A$17,$A54)=1,VLOOKUP($A54,'R3_G1'!$A$8:$Y$17, L$2+4,FALSE),IF(COUNTIF('R3_G2'!$A$8:$A$17,$A54)=1,VLOOKUP($A54,'R3_G2'!$A$8:$Y$17, L$2+4,FALSE),IF(COUNTIF('R3_G3'!$A$8:$A$17,$A54)=1,VLOOKUP($A54,'R3_G3'!$A$8:$Y$17, L$2+4,FALSE),IF(COUNTIF('R3_G4'!$A$8:$A$17,$A54)=1,VLOOKUP($A54,'R3_G4'!$A$8:$Y$17, L$2+4,FALSE),""))))</f>
        <v>4</v>
      </c>
      <c r="M54" s="859">
        <f>IF(COUNTIF('R3_G1'!$A$8:$A$17,$A54)=1,VLOOKUP($A54,'R3_G1'!$A$8:$Y$17, M$2+4,FALSE),IF(COUNTIF('R3_G2'!$A$8:$A$17,$A54)=1,VLOOKUP($A54,'R3_G2'!$A$8:$Y$17, M$2+4,FALSE),IF(COUNTIF('R3_G3'!$A$8:$A$17,$A54)=1,VLOOKUP($A54,'R3_G3'!$A$8:$Y$17, M$2+4,FALSE),IF(COUNTIF('R3_G4'!$A$8:$A$17,$A54)=1,VLOOKUP($A54,'R3_G4'!$A$8:$Y$17, M$2+4,FALSE),""))))</f>
        <v>2</v>
      </c>
      <c r="N54" s="852">
        <f>IF(COUNTIF('R3_G1'!$A$8:$A$17,$A54)=1,VLOOKUP($A54,'R3_G1'!$A$8:$Y$17, N$2+7,FALSE),IF(COUNTIF('R3_G2'!$A$8:$A$17,$A54)=1,VLOOKUP($A54,'R3_G2'!$A$8:$Y$17, N$2+7,FALSE),IF(COUNTIF('R3_G3'!$A$8:$A$17,$A54)=1,VLOOKUP($A54,'R3_G3'!$A$8:$Y$17, N$2+7,FALSE),IF(COUNTIF('R3_G4'!$A$8:$A$17,$A54)=1,VLOOKUP($A54,'R3_G4'!$A$8:$Y$17, N$2+7,FALSE),""))))</f>
        <v>6</v>
      </c>
      <c r="O54" s="852">
        <f>IF(COUNTIF('R3_G1'!$A$8:$A$17,$A54)=1,VLOOKUP($A54,'R3_G1'!$A$8:$Y$17, O$2+7,FALSE),IF(COUNTIF('R3_G2'!$A$8:$A$17,$A54)=1,VLOOKUP($A54,'R3_G2'!$A$8:$Y$17, O$2+7,FALSE),IF(COUNTIF('R3_G3'!$A$8:$A$17,$A54)=1,VLOOKUP($A54,'R3_G3'!$A$8:$Y$17, O$2+7,FALSE),IF(COUNTIF('R3_G4'!$A$8:$A$17,$A54)=1,VLOOKUP($A54,'R3_G4'!$A$8:$Y$17, O$2+7,FALSE),""))))</f>
        <v>6</v>
      </c>
      <c r="P54" s="852">
        <f>IF(COUNTIF('R3_G1'!$A$8:$A$17,$A54)=1,VLOOKUP($A54,'R3_G1'!$A$8:$Y$17, P$2+7,FALSE),IF(COUNTIF('R3_G2'!$A$8:$A$17,$A54)=1,VLOOKUP($A54,'R3_G2'!$A$8:$Y$17, P$2+7,FALSE),IF(COUNTIF('R3_G3'!$A$8:$A$17,$A54)=1,VLOOKUP($A54,'R3_G3'!$A$8:$Y$17, P$2+7,FALSE),IF(COUNTIF('R3_G4'!$A$8:$A$17,$A54)=1,VLOOKUP($A54,'R3_G4'!$A$8:$Y$17, P$2+7,FALSE),""))))</f>
        <v>3</v>
      </c>
      <c r="Q54" s="852">
        <f>IF(COUNTIF('R3_G1'!$A$8:$A$17,$A54)=1,VLOOKUP($A54,'R3_G1'!$A$8:$Y$17, Q$2+7,FALSE),IF(COUNTIF('R3_G2'!$A$8:$A$17,$A54)=1,VLOOKUP($A54,'R3_G2'!$A$8:$Y$17, Q$2+7,FALSE),IF(COUNTIF('R3_G3'!$A$8:$A$17,$A54)=1,VLOOKUP($A54,'R3_G3'!$A$8:$Y$17, Q$2+7,FALSE),IF(COUNTIF('R3_G4'!$A$8:$A$17,$A54)=1,VLOOKUP($A54,'R3_G4'!$A$8:$Y$17, Q$2+7,FALSE),""))))</f>
        <v>5</v>
      </c>
      <c r="R54" s="852">
        <f>IF(COUNTIF('R3_G1'!$A$8:$A$17,$A54)=1,VLOOKUP($A54,'R3_G1'!$A$8:$Y$17, R$2+7,FALSE),IF(COUNTIF('R3_G2'!$A$8:$A$17,$A54)=1,VLOOKUP($A54,'R3_G2'!$A$8:$Y$17, R$2+7,FALSE),IF(COUNTIF('R3_G3'!$A$8:$A$17,$A54)=1,VLOOKUP($A54,'R3_G3'!$A$8:$Y$17, R$2+7,FALSE),IF(COUNTIF('R3_G4'!$A$8:$A$17,$A54)=1,VLOOKUP($A54,'R3_G4'!$A$8:$Y$17, R$2+7,FALSE),""))))</f>
        <v>4</v>
      </c>
      <c r="S54" s="852">
        <f>IF(COUNTIF('R3_G1'!$A$8:$A$17,$A54)=1,VLOOKUP($A54,'R3_G1'!$A$8:$Y$17, S$2+7,FALSE),IF(COUNTIF('R3_G2'!$A$8:$A$17,$A54)=1,VLOOKUP($A54,'R3_G2'!$A$8:$Y$17, S$2+7,FALSE),IF(COUNTIF('R3_G3'!$A$8:$A$17,$A54)=1,VLOOKUP($A54,'R3_G3'!$A$8:$Y$17, S$2+7,FALSE),IF(COUNTIF('R3_G4'!$A$8:$A$17,$A54)=1,VLOOKUP($A54,'R3_G4'!$A$8:$Y$17, S$2+7,FALSE),""))))</f>
        <v>4</v>
      </c>
      <c r="T54" s="852">
        <f>IF(COUNTIF('R3_G1'!$A$8:$A$17,$A54)=1,VLOOKUP($A54,'R3_G1'!$A$8:$Y$17, T$2+7,FALSE),IF(COUNTIF('R3_G2'!$A$8:$A$17,$A54)=1,VLOOKUP($A54,'R3_G2'!$A$8:$Y$17, T$2+7,FALSE),IF(COUNTIF('R3_G3'!$A$8:$A$17,$A54)=1,VLOOKUP($A54,'R3_G3'!$A$8:$Y$17, T$2+7,FALSE),IF(COUNTIF('R3_G4'!$A$8:$A$17,$A54)=1,VLOOKUP($A54,'R3_G4'!$A$8:$Y$17, T$2+7,FALSE),""))))</f>
        <v>4</v>
      </c>
      <c r="U54" s="852">
        <f>IF(COUNTIF('R3_G1'!$A$8:$A$17,$A54)=1,VLOOKUP($A54,'R3_G1'!$A$8:$Y$17, U$2+7,FALSE),IF(COUNTIF('R3_G2'!$A$8:$A$17,$A54)=1,VLOOKUP($A54,'R3_G2'!$A$8:$Y$17, U$2+7,FALSE),IF(COUNTIF('R3_G3'!$A$8:$A$17,$A54)=1,VLOOKUP($A54,'R3_G3'!$A$8:$Y$17, U$2+7,FALSE),IF(COUNTIF('R3_G4'!$A$8:$A$17,$A54)=1,VLOOKUP($A54,'R3_G4'!$A$8:$Y$17, U$2+7,FALSE),""))))</f>
        <v>4</v>
      </c>
      <c r="V54" s="852">
        <f>IF(COUNTIF('R3_G1'!$A$8:$A$17,$A54)=1,VLOOKUP($A54,'R3_G1'!$A$8:$Y$17, V$2+7,FALSE),IF(COUNTIF('R3_G2'!$A$8:$A$17,$A54)=1,VLOOKUP($A54,'R3_G2'!$A$8:$Y$17, V$2+7,FALSE),IF(COUNTIF('R3_G3'!$A$8:$A$17,$A54)=1,VLOOKUP($A54,'R3_G3'!$A$8:$Y$17, V$2+7,FALSE),IF(COUNTIF('R3_G4'!$A$8:$A$17,$A54)=1,VLOOKUP($A54,'R3_G4'!$A$8:$Y$17, V$2+7,FALSE),""))))</f>
        <v>4</v>
      </c>
      <c r="W54" s="859">
        <f t="shared" si="74"/>
        <v>32</v>
      </c>
      <c r="X54" s="859">
        <f t="shared" si="75"/>
        <v>40</v>
      </c>
      <c r="Y54" s="859">
        <f t="shared" si="80"/>
        <v>72</v>
      </c>
      <c r="Z54" s="931" t="e">
        <f t="shared" ca="1" si="81"/>
        <v>#NAME?</v>
      </c>
      <c r="AA54" s="859">
        <f t="shared" si="82"/>
        <v>72</v>
      </c>
      <c r="AB54" s="921"/>
      <c r="AC54" s="849" t="str">
        <f t="shared" si="83"/>
        <v>KJ</v>
      </c>
      <c r="AD54" s="929" t="e">
        <f ca="1">_xludf.ifna(VLOOKUP(AC54,'R3_G1'!$A$8:$C$17,3,FALSE),_xludf.ifna(VLOOKUP(AC54,'R3_G2'!$A$8:$C$17,3,FALSE),_xludf.ifna(VLOOKUP(AC54,'R3_G3'!$A$8:$C$17,3,FALSE),VLOOKUP(AC54,'R3_G4'!$A$8:$C$17,3,FALSE))))</f>
        <v>#NAME?</v>
      </c>
      <c r="AE54" s="857"/>
      <c r="AF54" s="832"/>
      <c r="AG54" s="859" t="e">
        <f t="shared" ref="AG54:AX54" ca="1" si="93">IF(E54="","",E54-IF($B54&gt;0,FLOOR($B54/18,1),0)-IF(AND(MOD($B54,18)&gt;=E$51,$B54&gt;0),1,0)+IF(E$51-18&gt;$B54,1,0))</f>
        <v>#NAME?</v>
      </c>
      <c r="AH54" s="859" t="e">
        <f t="shared" ca="1" si="93"/>
        <v>#NAME?</v>
      </c>
      <c r="AI54" s="859" t="e">
        <f t="shared" ca="1" si="93"/>
        <v>#NAME?</v>
      </c>
      <c r="AJ54" s="859" t="e">
        <f t="shared" ca="1" si="93"/>
        <v>#NAME?</v>
      </c>
      <c r="AK54" s="859" t="e">
        <f t="shared" ca="1" si="93"/>
        <v>#NAME?</v>
      </c>
      <c r="AL54" s="859" t="e">
        <f t="shared" ca="1" si="93"/>
        <v>#NAME?</v>
      </c>
      <c r="AM54" s="859" t="e">
        <f t="shared" ca="1" si="93"/>
        <v>#NAME?</v>
      </c>
      <c r="AN54" s="859" t="e">
        <f t="shared" ca="1" si="93"/>
        <v>#NAME?</v>
      </c>
      <c r="AO54" s="859" t="e">
        <f t="shared" ca="1" si="93"/>
        <v>#NAME?</v>
      </c>
      <c r="AP54" s="852" t="e">
        <f t="shared" ca="1" si="93"/>
        <v>#NAME?</v>
      </c>
      <c r="AQ54" s="852" t="e">
        <f t="shared" ca="1" si="93"/>
        <v>#NAME?</v>
      </c>
      <c r="AR54" s="852" t="e">
        <f t="shared" ca="1" si="93"/>
        <v>#NAME?</v>
      </c>
      <c r="AS54" s="852" t="e">
        <f t="shared" ca="1" si="93"/>
        <v>#NAME?</v>
      </c>
      <c r="AT54" s="852" t="e">
        <f t="shared" ca="1" si="93"/>
        <v>#NAME?</v>
      </c>
      <c r="AU54" s="852" t="e">
        <f t="shared" ca="1" si="93"/>
        <v>#NAME?</v>
      </c>
      <c r="AV54" s="852" t="e">
        <f t="shared" ca="1" si="93"/>
        <v>#NAME?</v>
      </c>
      <c r="AW54" s="852" t="e">
        <f t="shared" ca="1" si="93"/>
        <v>#NAME?</v>
      </c>
      <c r="AX54" s="852" t="e">
        <f t="shared" ca="1" si="93"/>
        <v>#NAME?</v>
      </c>
      <c r="AY54" s="859" t="e">
        <f t="shared" ca="1" si="77"/>
        <v>#NAME?</v>
      </c>
      <c r="AZ54" s="859" t="e">
        <f t="shared" ca="1" si="78"/>
        <v>#NAME?</v>
      </c>
      <c r="BA54" s="859" t="str">
        <f t="shared" ca="1" si="85"/>
        <v/>
      </c>
      <c r="BB54" s="857" t="e">
        <f ca="1">IF(COUNTIF('R3_G1'!$A$8:$A$17,$A54)=1, IF(AND(BA54=Z54,BA54=VLOOKUP($A54,'R3_G1'!$A$8:$AB$17, 28,FALSE)),"yes","no"),
IF(COUNTIF('R3_G2'!$A$8:$A$17,$A54)=1, IF(AND(BA54=Z54,BA54=VLOOKUP($A54,'R3_G2'!$A$8:$AB$17, 28,FALSE)),"yes","no"),
IF(COUNTIF('R3_G3'!$A$8:$A$17,$A54)=1, IF(AND(BA54=Z54,BA54=VLOOKUP($A54,'R3_G3'!$A$8:$AB$17, 28,FALSE)),"yes","no"),
IF(COUNTIF('R3_G4'!$A$8:$A$17,$A54)=1, IF(AND(BA54=Z54,BA54=VLOOKUP($A54,'R3_G4'!$A$8:$AB$17, 28,FALSE)),"yes","no"),
"?"))))</f>
        <v>#NAME?</v>
      </c>
      <c r="BC54" s="921"/>
      <c r="BD54" s="860" t="e">
        <f t="shared" ca="1" si="86"/>
        <v>#NAME?</v>
      </c>
      <c r="BE54" s="861" t="e">
        <f t="shared" ca="1" si="87"/>
        <v>#NAME?</v>
      </c>
      <c r="BF54" s="861">
        <f t="shared" ca="1" si="88"/>
        <v>0</v>
      </c>
      <c r="BG54" s="861">
        <f t="shared" ca="1" si="89"/>
        <v>0</v>
      </c>
      <c r="BH54" s="861">
        <f t="shared" ca="1" si="90"/>
        <v>0</v>
      </c>
      <c r="BI54" s="861">
        <f t="shared" ca="1" si="91"/>
        <v>0</v>
      </c>
      <c r="BJ54" s="861">
        <f t="shared" ca="1" si="92"/>
        <v>0</v>
      </c>
    </row>
    <row r="55" spans="1:62" ht="14.25" customHeight="1">
      <c r="A55" s="849" t="str">
        <f t="shared" si="79"/>
        <v>CuzNick</v>
      </c>
      <c r="B55" s="929" t="e">
        <f ca="1">_xludf.ifna(VLOOKUP(A55,'R3_G1'!$A$8:$C$17,3,FALSE),_xludf.ifna(VLOOKUP(A55,'R3_G2'!$A$8:$C$17,3,FALSE),_xludf.ifna(VLOOKUP(A55,'R3_G3'!$A$8:$C$17,3,FALSE),VLOOKUP(A55,'R3_G4'!$A$8:$C$17,3,FALSE))))</f>
        <v>#NAME?</v>
      </c>
      <c r="C55" s="849"/>
      <c r="D55" s="851"/>
      <c r="E55" s="852">
        <f>IF(COUNTIF('R3_G1'!$A$8:$A$17,$A55)=1,VLOOKUP($A55,'R3_G1'!$A$8:$Y$17, E$2+4,FALSE),IF(COUNTIF('R3_G2'!$A$8:$A$17,$A55)=1,VLOOKUP($A55,'R3_G2'!$A$8:$Y$17, E$2+4,FALSE),IF(COUNTIF('R3_G3'!$A$8:$A$17,$A55)=1,VLOOKUP($A55,'R3_G3'!$A$8:$Y$17, E$2+4,FALSE),IF(COUNTIF('R3_G4'!$A$8:$A$17,$A55)=1,VLOOKUP($A55,'R3_G4'!$A$8:$Y$17, E$2+4,FALSE),""))))</f>
        <v>4</v>
      </c>
      <c r="F55" s="852">
        <f>IF(COUNTIF('R3_G1'!$A$8:$A$17,$A55)=1,VLOOKUP($A55,'R3_G1'!$A$8:$Y$17, F$2+4,FALSE),IF(COUNTIF('R3_G2'!$A$8:$A$17,$A55)=1,VLOOKUP($A55,'R3_G2'!$A$8:$Y$17, F$2+4,FALSE),IF(COUNTIF('R3_G3'!$A$8:$A$17,$A55)=1,VLOOKUP($A55,'R3_G3'!$A$8:$Y$17, F$2+4,FALSE),IF(COUNTIF('R3_G4'!$A$8:$A$17,$A55)=1,VLOOKUP($A55,'R3_G4'!$A$8:$Y$17, F$2+4,FALSE),""))))</f>
        <v>5</v>
      </c>
      <c r="G55" s="852">
        <f>IF(COUNTIF('R3_G1'!$A$8:$A$17,$A55)=1,VLOOKUP($A55,'R3_G1'!$A$8:$Y$17, G$2+4,FALSE),IF(COUNTIF('R3_G2'!$A$8:$A$17,$A55)=1,VLOOKUP($A55,'R3_G2'!$A$8:$Y$17, G$2+4,FALSE),IF(COUNTIF('R3_G3'!$A$8:$A$17,$A55)=1,VLOOKUP($A55,'R3_G3'!$A$8:$Y$17, G$2+4,FALSE),IF(COUNTIF('R3_G4'!$A$8:$A$17,$A55)=1,VLOOKUP($A55,'R3_G4'!$A$8:$Y$17, G$2+4,FALSE),""))))</f>
        <v>4</v>
      </c>
      <c r="H55" s="852">
        <f>IF(COUNTIF('R3_G1'!$A$8:$A$17,$A55)=1,VLOOKUP($A55,'R3_G1'!$A$8:$Y$17, H$2+4,FALSE),IF(COUNTIF('R3_G2'!$A$8:$A$17,$A55)=1,VLOOKUP($A55,'R3_G2'!$A$8:$Y$17, H$2+4,FALSE),IF(COUNTIF('R3_G3'!$A$8:$A$17,$A55)=1,VLOOKUP($A55,'R3_G3'!$A$8:$Y$17, H$2+4,FALSE),IF(COUNTIF('R3_G4'!$A$8:$A$17,$A55)=1,VLOOKUP($A55,'R3_G4'!$A$8:$Y$17, H$2+4,FALSE),""))))</f>
        <v>4</v>
      </c>
      <c r="I55" s="852">
        <f>IF(COUNTIF('R3_G1'!$A$8:$A$17,$A55)=1,VLOOKUP($A55,'R3_G1'!$A$8:$Y$17, I$2+4,FALSE),IF(COUNTIF('R3_G2'!$A$8:$A$17,$A55)=1,VLOOKUP($A55,'R3_G2'!$A$8:$Y$17, I$2+4,FALSE),IF(COUNTIF('R3_G3'!$A$8:$A$17,$A55)=1,VLOOKUP($A55,'R3_G3'!$A$8:$Y$17, I$2+4,FALSE),IF(COUNTIF('R3_G4'!$A$8:$A$17,$A55)=1,VLOOKUP($A55,'R3_G4'!$A$8:$Y$17, I$2+4,FALSE),""))))</f>
        <v>4</v>
      </c>
      <c r="J55" s="852">
        <f>IF(COUNTIF('R3_G1'!$A$8:$A$17,$A55)=1,VLOOKUP($A55,'R3_G1'!$A$8:$Y$17, J$2+4,FALSE),IF(COUNTIF('R3_G2'!$A$8:$A$17,$A55)=1,VLOOKUP($A55,'R3_G2'!$A$8:$Y$17, J$2+4,FALSE),IF(COUNTIF('R3_G3'!$A$8:$A$17,$A55)=1,VLOOKUP($A55,'R3_G3'!$A$8:$Y$17, J$2+4,FALSE),IF(COUNTIF('R3_G4'!$A$8:$A$17,$A55)=1,VLOOKUP($A55,'R3_G4'!$A$8:$Y$17, J$2+4,FALSE),""))))</f>
        <v>4</v>
      </c>
      <c r="K55" s="852">
        <f>IF(COUNTIF('R3_G1'!$A$8:$A$17,$A55)=1,VLOOKUP($A55,'R3_G1'!$A$8:$Y$17, K$2+4,FALSE),IF(COUNTIF('R3_G2'!$A$8:$A$17,$A55)=1,VLOOKUP($A55,'R3_G2'!$A$8:$Y$17, K$2+4,FALSE),IF(COUNTIF('R3_G3'!$A$8:$A$17,$A55)=1,VLOOKUP($A55,'R3_G3'!$A$8:$Y$17, K$2+4,FALSE),IF(COUNTIF('R3_G4'!$A$8:$A$17,$A55)=1,VLOOKUP($A55,'R3_G4'!$A$8:$Y$17, K$2+4,FALSE),""))))</f>
        <v>4</v>
      </c>
      <c r="L55" s="852">
        <f>IF(COUNTIF('R3_G1'!$A$8:$A$17,$A55)=1,VLOOKUP($A55,'R3_G1'!$A$8:$Y$17, L$2+4,FALSE),IF(COUNTIF('R3_G2'!$A$8:$A$17,$A55)=1,VLOOKUP($A55,'R3_G2'!$A$8:$Y$17, L$2+4,FALSE),IF(COUNTIF('R3_G3'!$A$8:$A$17,$A55)=1,VLOOKUP($A55,'R3_G3'!$A$8:$Y$17, L$2+4,FALSE),IF(COUNTIF('R3_G4'!$A$8:$A$17,$A55)=1,VLOOKUP($A55,'R3_G4'!$A$8:$Y$17, L$2+4,FALSE),""))))</f>
        <v>5</v>
      </c>
      <c r="M55" s="852">
        <f>IF(COUNTIF('R3_G1'!$A$8:$A$17,$A55)=1,VLOOKUP($A55,'R3_G1'!$A$8:$Y$17, M$2+4,FALSE),IF(COUNTIF('R3_G2'!$A$8:$A$17,$A55)=1,VLOOKUP($A55,'R3_G2'!$A$8:$Y$17, M$2+4,FALSE),IF(COUNTIF('R3_G3'!$A$8:$A$17,$A55)=1,VLOOKUP($A55,'R3_G3'!$A$8:$Y$17, M$2+4,FALSE),IF(COUNTIF('R3_G4'!$A$8:$A$17,$A55)=1,VLOOKUP($A55,'R3_G4'!$A$8:$Y$17, M$2+4,FALSE),""))))</f>
        <v>2</v>
      </c>
      <c r="N55" s="853">
        <f>IF(COUNTIF('R3_G1'!$A$8:$A$17,$A55)=1,VLOOKUP($A55,'R3_G1'!$A$8:$Y$17, N$2+7,FALSE),IF(COUNTIF('R3_G2'!$A$8:$A$17,$A55)=1,VLOOKUP($A55,'R3_G2'!$A$8:$Y$17, N$2+7,FALSE),IF(COUNTIF('R3_G3'!$A$8:$A$17,$A55)=1,VLOOKUP($A55,'R3_G3'!$A$8:$Y$17, N$2+7,FALSE),IF(COUNTIF('R3_G4'!$A$8:$A$17,$A55)=1,VLOOKUP($A55,'R3_G4'!$A$8:$Y$17, N$2+7,FALSE),""))))</f>
        <v>3</v>
      </c>
      <c r="O55" s="853">
        <f>IF(COUNTIF('R3_G1'!$A$8:$A$17,$A55)=1,VLOOKUP($A55,'R3_G1'!$A$8:$Y$17, O$2+7,FALSE),IF(COUNTIF('R3_G2'!$A$8:$A$17,$A55)=1,VLOOKUP($A55,'R3_G2'!$A$8:$Y$17, O$2+7,FALSE),IF(COUNTIF('R3_G3'!$A$8:$A$17,$A55)=1,VLOOKUP($A55,'R3_G3'!$A$8:$Y$17, O$2+7,FALSE),IF(COUNTIF('R3_G4'!$A$8:$A$17,$A55)=1,VLOOKUP($A55,'R3_G4'!$A$8:$Y$17, O$2+7,FALSE),""))))</f>
        <v>6</v>
      </c>
      <c r="P55" s="853">
        <f>IF(COUNTIF('R3_G1'!$A$8:$A$17,$A55)=1,VLOOKUP($A55,'R3_G1'!$A$8:$Y$17, P$2+7,FALSE),IF(COUNTIF('R3_G2'!$A$8:$A$17,$A55)=1,VLOOKUP($A55,'R3_G2'!$A$8:$Y$17, P$2+7,FALSE),IF(COUNTIF('R3_G3'!$A$8:$A$17,$A55)=1,VLOOKUP($A55,'R3_G3'!$A$8:$Y$17, P$2+7,FALSE),IF(COUNTIF('R3_G4'!$A$8:$A$17,$A55)=1,VLOOKUP($A55,'R3_G4'!$A$8:$Y$17, P$2+7,FALSE),""))))</f>
        <v>4</v>
      </c>
      <c r="Q55" s="853">
        <f>IF(COUNTIF('R3_G1'!$A$8:$A$17,$A55)=1,VLOOKUP($A55,'R3_G1'!$A$8:$Y$17, Q$2+7,FALSE),IF(COUNTIF('R3_G2'!$A$8:$A$17,$A55)=1,VLOOKUP($A55,'R3_G2'!$A$8:$Y$17, Q$2+7,FALSE),IF(COUNTIF('R3_G3'!$A$8:$A$17,$A55)=1,VLOOKUP($A55,'R3_G3'!$A$8:$Y$17, Q$2+7,FALSE),IF(COUNTIF('R3_G4'!$A$8:$A$17,$A55)=1,VLOOKUP($A55,'R3_G4'!$A$8:$Y$17, Q$2+7,FALSE),""))))</f>
        <v>4</v>
      </c>
      <c r="R55" s="853">
        <f>IF(COUNTIF('R3_G1'!$A$8:$A$17,$A55)=1,VLOOKUP($A55,'R3_G1'!$A$8:$Y$17, R$2+7,FALSE),IF(COUNTIF('R3_G2'!$A$8:$A$17,$A55)=1,VLOOKUP($A55,'R3_G2'!$A$8:$Y$17, R$2+7,FALSE),IF(COUNTIF('R3_G3'!$A$8:$A$17,$A55)=1,VLOOKUP($A55,'R3_G3'!$A$8:$Y$17, R$2+7,FALSE),IF(COUNTIF('R3_G4'!$A$8:$A$17,$A55)=1,VLOOKUP($A55,'R3_G4'!$A$8:$Y$17, R$2+7,FALSE),""))))</f>
        <v>4</v>
      </c>
      <c r="S55" s="853">
        <f>IF(COUNTIF('R3_G1'!$A$8:$A$17,$A55)=1,VLOOKUP($A55,'R3_G1'!$A$8:$Y$17, S$2+7,FALSE),IF(COUNTIF('R3_G2'!$A$8:$A$17,$A55)=1,VLOOKUP($A55,'R3_G2'!$A$8:$Y$17, S$2+7,FALSE),IF(COUNTIF('R3_G3'!$A$8:$A$17,$A55)=1,VLOOKUP($A55,'R3_G3'!$A$8:$Y$17, S$2+7,FALSE),IF(COUNTIF('R3_G4'!$A$8:$A$17,$A55)=1,VLOOKUP($A55,'R3_G4'!$A$8:$Y$17, S$2+7,FALSE),""))))</f>
        <v>4</v>
      </c>
      <c r="T55" s="853">
        <f>IF(COUNTIF('R3_G1'!$A$8:$A$17,$A55)=1,VLOOKUP($A55,'R3_G1'!$A$8:$Y$17, T$2+7,FALSE),IF(COUNTIF('R3_G2'!$A$8:$A$17,$A55)=1,VLOOKUP($A55,'R3_G2'!$A$8:$Y$17, T$2+7,FALSE),IF(COUNTIF('R3_G3'!$A$8:$A$17,$A55)=1,VLOOKUP($A55,'R3_G3'!$A$8:$Y$17, T$2+7,FALSE),IF(COUNTIF('R3_G4'!$A$8:$A$17,$A55)=1,VLOOKUP($A55,'R3_G4'!$A$8:$Y$17, T$2+7,FALSE),""))))</f>
        <v>5</v>
      </c>
      <c r="U55" s="853">
        <f>IF(COUNTIF('R3_G1'!$A$8:$A$17,$A55)=1,VLOOKUP($A55,'R3_G1'!$A$8:$Y$17, U$2+7,FALSE),IF(COUNTIF('R3_G2'!$A$8:$A$17,$A55)=1,VLOOKUP($A55,'R3_G2'!$A$8:$Y$17, U$2+7,FALSE),IF(COUNTIF('R3_G3'!$A$8:$A$17,$A55)=1,VLOOKUP($A55,'R3_G3'!$A$8:$Y$17, U$2+7,FALSE),IF(COUNTIF('R3_G4'!$A$8:$A$17,$A55)=1,VLOOKUP($A55,'R3_G4'!$A$8:$Y$17, U$2+7,FALSE),""))))</f>
        <v>5</v>
      </c>
      <c r="V55" s="853">
        <f>IF(COUNTIF('R3_G1'!$A$8:$A$17,$A55)=1,VLOOKUP($A55,'R3_G1'!$A$8:$Y$17, V$2+7,FALSE),IF(COUNTIF('R3_G2'!$A$8:$A$17,$A55)=1,VLOOKUP($A55,'R3_G2'!$A$8:$Y$17, V$2+7,FALSE),IF(COUNTIF('R3_G3'!$A$8:$A$17,$A55)=1,VLOOKUP($A55,'R3_G3'!$A$8:$Y$17, V$2+7,FALSE),IF(COUNTIF('R3_G4'!$A$8:$A$17,$A55)=1,VLOOKUP($A55,'R3_G4'!$A$8:$Y$17, V$2+7,FALSE),""))))</f>
        <v>5</v>
      </c>
      <c r="W55" s="852">
        <f t="shared" si="74"/>
        <v>36</v>
      </c>
      <c r="X55" s="852">
        <f t="shared" si="75"/>
        <v>40</v>
      </c>
      <c r="Y55" s="852">
        <f t="shared" si="80"/>
        <v>76</v>
      </c>
      <c r="Z55" s="930" t="e">
        <f t="shared" ca="1" si="81"/>
        <v>#NAME?</v>
      </c>
      <c r="AA55" s="852">
        <f t="shared" si="82"/>
        <v>76</v>
      </c>
      <c r="AB55" s="921"/>
      <c r="AC55" s="849" t="str">
        <f t="shared" si="83"/>
        <v>CuzNick</v>
      </c>
      <c r="AD55" s="929" t="e">
        <f ca="1">_xludf.ifna(VLOOKUP(AC55,'R3_G1'!$A$8:$C$17,3,FALSE),_xludf.ifna(VLOOKUP(AC55,'R3_G2'!$A$8:$C$17,3,FALSE),_xludf.ifna(VLOOKUP(AC55,'R3_G3'!$A$8:$C$17,3,FALSE),VLOOKUP(AC55,'R3_G4'!$A$8:$C$17,3,FALSE))))</f>
        <v>#NAME?</v>
      </c>
      <c r="AE55" s="849"/>
      <c r="AF55" s="832"/>
      <c r="AG55" s="852" t="e">
        <f t="shared" ref="AG55:AX55" ca="1" si="94">IF(E55="","",E55-IF($B55&gt;0,FLOOR($B55/18,1),0)-IF(AND(MOD($B55,18)&gt;=E$51,$B55&gt;0),1,0)+IF(E$51-18&gt;$B55,1,0))</f>
        <v>#NAME?</v>
      </c>
      <c r="AH55" s="852" t="e">
        <f t="shared" ca="1" si="94"/>
        <v>#NAME?</v>
      </c>
      <c r="AI55" s="852" t="e">
        <f t="shared" ca="1" si="94"/>
        <v>#NAME?</v>
      </c>
      <c r="AJ55" s="852" t="e">
        <f t="shared" ca="1" si="94"/>
        <v>#NAME?</v>
      </c>
      <c r="AK55" s="852" t="e">
        <f t="shared" ca="1" si="94"/>
        <v>#NAME?</v>
      </c>
      <c r="AL55" s="852" t="e">
        <f t="shared" ca="1" si="94"/>
        <v>#NAME?</v>
      </c>
      <c r="AM55" s="852" t="e">
        <f t="shared" ca="1" si="94"/>
        <v>#NAME?</v>
      </c>
      <c r="AN55" s="852" t="e">
        <f t="shared" ca="1" si="94"/>
        <v>#NAME?</v>
      </c>
      <c r="AO55" s="852" t="e">
        <f t="shared" ca="1" si="94"/>
        <v>#NAME?</v>
      </c>
      <c r="AP55" s="853" t="e">
        <f t="shared" ca="1" si="94"/>
        <v>#NAME?</v>
      </c>
      <c r="AQ55" s="853" t="e">
        <f t="shared" ca="1" si="94"/>
        <v>#NAME?</v>
      </c>
      <c r="AR55" s="853" t="e">
        <f t="shared" ca="1" si="94"/>
        <v>#NAME?</v>
      </c>
      <c r="AS55" s="853" t="e">
        <f t="shared" ca="1" si="94"/>
        <v>#NAME?</v>
      </c>
      <c r="AT55" s="853" t="e">
        <f t="shared" ca="1" si="94"/>
        <v>#NAME?</v>
      </c>
      <c r="AU55" s="853" t="e">
        <f t="shared" ca="1" si="94"/>
        <v>#NAME?</v>
      </c>
      <c r="AV55" s="853" t="e">
        <f t="shared" ca="1" si="94"/>
        <v>#NAME?</v>
      </c>
      <c r="AW55" s="853" t="e">
        <f t="shared" ca="1" si="94"/>
        <v>#NAME?</v>
      </c>
      <c r="AX55" s="853" t="e">
        <f t="shared" ca="1" si="94"/>
        <v>#NAME?</v>
      </c>
      <c r="AY55" s="852" t="e">
        <f t="shared" ca="1" si="77"/>
        <v>#NAME?</v>
      </c>
      <c r="AZ55" s="852" t="e">
        <f t="shared" ca="1" si="78"/>
        <v>#NAME?</v>
      </c>
      <c r="BA55" s="852" t="str">
        <f t="shared" ca="1" si="85"/>
        <v/>
      </c>
      <c r="BB55" s="849" t="e">
        <f ca="1">IF(COUNTIF('R3_G1'!$A$8:$A$17,$A55)=1, IF(AND(BA55=Z55,BA55=VLOOKUP($A55,'R3_G1'!$A$8:$AB$17, 28,FALSE)),"yes","no"),
IF(COUNTIF('R3_G2'!$A$8:$A$17,$A55)=1, IF(AND(BA55=Z55,BA55=VLOOKUP($A55,'R3_G2'!$A$8:$AB$17, 28,FALSE)),"yes","no"),
IF(COUNTIF('R3_G3'!$A$8:$A$17,$A55)=1, IF(AND(BA55=Z55,BA55=VLOOKUP($A55,'R3_G3'!$A$8:$AB$17, 28,FALSE)),"yes","no"),
IF(COUNTIF('R3_G4'!$A$8:$A$17,$A55)=1, IF(AND(BA55=Z55,BA55=VLOOKUP($A55,'R3_G4'!$A$8:$AB$17, 28,FALSE)),"yes","no"),
"?"))))</f>
        <v>#NAME?</v>
      </c>
      <c r="BC55" s="921"/>
      <c r="BD55" s="862" t="e">
        <f t="shared" ca="1" si="86"/>
        <v>#NAME?</v>
      </c>
      <c r="BE55" s="855" t="e">
        <f t="shared" ca="1" si="87"/>
        <v>#NAME?</v>
      </c>
      <c r="BF55" s="855">
        <f t="shared" ca="1" si="88"/>
        <v>0</v>
      </c>
      <c r="BG55" s="855">
        <f t="shared" ca="1" si="89"/>
        <v>0</v>
      </c>
      <c r="BH55" s="855">
        <f t="shared" ca="1" si="90"/>
        <v>0</v>
      </c>
      <c r="BI55" s="855">
        <f t="shared" ca="1" si="91"/>
        <v>0</v>
      </c>
      <c r="BJ55" s="855">
        <f t="shared" ca="1" si="92"/>
        <v>0</v>
      </c>
    </row>
    <row r="56" spans="1:62" ht="14.25" customHeight="1">
      <c r="A56" s="857" t="str">
        <f t="shared" si="79"/>
        <v>R-Mac</v>
      </c>
      <c r="B56" s="929" t="e">
        <f ca="1">_xludf.ifna(VLOOKUP(A56,'R3_G1'!$A$8:$C$17,3,FALSE),_xludf.ifna(VLOOKUP(A56,'R3_G2'!$A$8:$C$17,3,FALSE),_xludf.ifna(VLOOKUP(A56,'R3_G3'!$A$8:$C$17,3,FALSE),VLOOKUP(A56,'R3_G4'!$A$8:$C$17,3,FALSE))))</f>
        <v>#NAME?</v>
      </c>
      <c r="C56" s="857"/>
      <c r="D56" s="851"/>
      <c r="E56" s="859">
        <f>IF(COUNTIF('R3_G1'!$A$8:$A$17,$A56)=1,VLOOKUP($A56,'R3_G1'!$A$8:$Y$17, E$2+4,FALSE),IF(COUNTIF('R3_G2'!$A$8:$A$17,$A56)=1,VLOOKUP($A56,'R3_G2'!$A$8:$Y$17, E$2+4,FALSE),IF(COUNTIF('R3_G3'!$A$8:$A$17,$A56)=1,VLOOKUP($A56,'R3_G3'!$A$8:$Y$17, E$2+4,FALSE),IF(COUNTIF('R3_G4'!$A$8:$A$17,$A56)=1,VLOOKUP($A56,'R3_G4'!$A$8:$Y$17, E$2+4,FALSE),""))))</f>
        <v>4</v>
      </c>
      <c r="F56" s="859">
        <f>IF(COUNTIF('R3_G1'!$A$8:$A$17,$A56)=1,VLOOKUP($A56,'R3_G1'!$A$8:$Y$17, F$2+4,FALSE),IF(COUNTIF('R3_G2'!$A$8:$A$17,$A56)=1,VLOOKUP($A56,'R3_G2'!$A$8:$Y$17, F$2+4,FALSE),IF(COUNTIF('R3_G3'!$A$8:$A$17,$A56)=1,VLOOKUP($A56,'R3_G3'!$A$8:$Y$17, F$2+4,FALSE),IF(COUNTIF('R3_G4'!$A$8:$A$17,$A56)=1,VLOOKUP($A56,'R3_G4'!$A$8:$Y$17, F$2+4,FALSE),""))))</f>
        <v>5</v>
      </c>
      <c r="G56" s="859">
        <f>IF(COUNTIF('R3_G1'!$A$8:$A$17,$A56)=1,VLOOKUP($A56,'R3_G1'!$A$8:$Y$17, G$2+4,FALSE),IF(COUNTIF('R3_G2'!$A$8:$A$17,$A56)=1,VLOOKUP($A56,'R3_G2'!$A$8:$Y$17, G$2+4,FALSE),IF(COUNTIF('R3_G3'!$A$8:$A$17,$A56)=1,VLOOKUP($A56,'R3_G3'!$A$8:$Y$17, G$2+4,FALSE),IF(COUNTIF('R3_G4'!$A$8:$A$17,$A56)=1,VLOOKUP($A56,'R3_G4'!$A$8:$Y$17, G$2+4,FALSE),""))))</f>
        <v>4</v>
      </c>
      <c r="H56" s="859">
        <f>IF(COUNTIF('R3_G1'!$A$8:$A$17,$A56)=1,VLOOKUP($A56,'R3_G1'!$A$8:$Y$17, H$2+4,FALSE),IF(COUNTIF('R3_G2'!$A$8:$A$17,$A56)=1,VLOOKUP($A56,'R3_G2'!$A$8:$Y$17, H$2+4,FALSE),IF(COUNTIF('R3_G3'!$A$8:$A$17,$A56)=1,VLOOKUP($A56,'R3_G3'!$A$8:$Y$17, H$2+4,FALSE),IF(COUNTIF('R3_G4'!$A$8:$A$17,$A56)=1,VLOOKUP($A56,'R3_G4'!$A$8:$Y$17, H$2+4,FALSE),""))))</f>
        <v>4</v>
      </c>
      <c r="I56" s="859">
        <f>IF(COUNTIF('R3_G1'!$A$8:$A$17,$A56)=1,VLOOKUP($A56,'R3_G1'!$A$8:$Y$17, I$2+4,FALSE),IF(COUNTIF('R3_G2'!$A$8:$A$17,$A56)=1,VLOOKUP($A56,'R3_G2'!$A$8:$Y$17, I$2+4,FALSE),IF(COUNTIF('R3_G3'!$A$8:$A$17,$A56)=1,VLOOKUP($A56,'R3_G3'!$A$8:$Y$17, I$2+4,FALSE),IF(COUNTIF('R3_G4'!$A$8:$A$17,$A56)=1,VLOOKUP($A56,'R3_G4'!$A$8:$Y$17, I$2+4,FALSE),""))))</f>
        <v>4</v>
      </c>
      <c r="J56" s="859">
        <f>IF(COUNTIF('R3_G1'!$A$8:$A$17,$A56)=1,VLOOKUP($A56,'R3_G1'!$A$8:$Y$17, J$2+4,FALSE),IF(COUNTIF('R3_G2'!$A$8:$A$17,$A56)=1,VLOOKUP($A56,'R3_G2'!$A$8:$Y$17, J$2+4,FALSE),IF(COUNTIF('R3_G3'!$A$8:$A$17,$A56)=1,VLOOKUP($A56,'R3_G3'!$A$8:$Y$17, J$2+4,FALSE),IF(COUNTIF('R3_G4'!$A$8:$A$17,$A56)=1,VLOOKUP($A56,'R3_G4'!$A$8:$Y$17, J$2+4,FALSE),""))))</f>
        <v>4</v>
      </c>
      <c r="K56" s="859">
        <f>IF(COUNTIF('R3_G1'!$A$8:$A$17,$A56)=1,VLOOKUP($A56,'R3_G1'!$A$8:$Y$17, K$2+4,FALSE),IF(COUNTIF('R3_G2'!$A$8:$A$17,$A56)=1,VLOOKUP($A56,'R3_G2'!$A$8:$Y$17, K$2+4,FALSE),IF(COUNTIF('R3_G3'!$A$8:$A$17,$A56)=1,VLOOKUP($A56,'R3_G3'!$A$8:$Y$17, K$2+4,FALSE),IF(COUNTIF('R3_G4'!$A$8:$A$17,$A56)=1,VLOOKUP($A56,'R3_G4'!$A$8:$Y$17, K$2+4,FALSE),""))))</f>
        <v>4</v>
      </c>
      <c r="L56" s="859">
        <f>IF(COUNTIF('R3_G1'!$A$8:$A$17,$A56)=1,VLOOKUP($A56,'R3_G1'!$A$8:$Y$17, L$2+4,FALSE),IF(COUNTIF('R3_G2'!$A$8:$A$17,$A56)=1,VLOOKUP($A56,'R3_G2'!$A$8:$Y$17, L$2+4,FALSE),IF(COUNTIF('R3_G3'!$A$8:$A$17,$A56)=1,VLOOKUP($A56,'R3_G3'!$A$8:$Y$17, L$2+4,FALSE),IF(COUNTIF('R3_G4'!$A$8:$A$17,$A56)=1,VLOOKUP($A56,'R3_G4'!$A$8:$Y$17, L$2+4,FALSE),""))))</f>
        <v>5</v>
      </c>
      <c r="M56" s="859">
        <f>IF(COUNTIF('R3_G1'!$A$8:$A$17,$A56)=1,VLOOKUP($A56,'R3_G1'!$A$8:$Y$17, M$2+4,FALSE),IF(COUNTIF('R3_G2'!$A$8:$A$17,$A56)=1,VLOOKUP($A56,'R3_G2'!$A$8:$Y$17, M$2+4,FALSE),IF(COUNTIF('R3_G3'!$A$8:$A$17,$A56)=1,VLOOKUP($A56,'R3_G3'!$A$8:$Y$17, M$2+4,FALSE),IF(COUNTIF('R3_G4'!$A$8:$A$17,$A56)=1,VLOOKUP($A56,'R3_G4'!$A$8:$Y$17, M$2+4,FALSE),""))))</f>
        <v>2</v>
      </c>
      <c r="N56" s="852">
        <f>IF(COUNTIF('R3_G1'!$A$8:$A$17,$A56)=1,VLOOKUP($A56,'R3_G1'!$A$8:$Y$17, N$2+7,FALSE),IF(COUNTIF('R3_G2'!$A$8:$A$17,$A56)=1,VLOOKUP($A56,'R3_G2'!$A$8:$Y$17, N$2+7,FALSE),IF(COUNTIF('R3_G3'!$A$8:$A$17,$A56)=1,VLOOKUP($A56,'R3_G3'!$A$8:$Y$17, N$2+7,FALSE),IF(COUNTIF('R3_G4'!$A$8:$A$17,$A56)=1,VLOOKUP($A56,'R3_G4'!$A$8:$Y$17, N$2+7,FALSE),""))))</f>
        <v>3</v>
      </c>
      <c r="O56" s="852">
        <f>IF(COUNTIF('R3_G1'!$A$8:$A$17,$A56)=1,VLOOKUP($A56,'R3_G1'!$A$8:$Y$17, O$2+7,FALSE),IF(COUNTIF('R3_G2'!$A$8:$A$17,$A56)=1,VLOOKUP($A56,'R3_G2'!$A$8:$Y$17, O$2+7,FALSE),IF(COUNTIF('R3_G3'!$A$8:$A$17,$A56)=1,VLOOKUP($A56,'R3_G3'!$A$8:$Y$17, O$2+7,FALSE),IF(COUNTIF('R3_G4'!$A$8:$A$17,$A56)=1,VLOOKUP($A56,'R3_G4'!$A$8:$Y$17, O$2+7,FALSE),""))))</f>
        <v>6</v>
      </c>
      <c r="P56" s="852">
        <f>IF(COUNTIF('R3_G1'!$A$8:$A$17,$A56)=1,VLOOKUP($A56,'R3_G1'!$A$8:$Y$17, P$2+7,FALSE),IF(COUNTIF('R3_G2'!$A$8:$A$17,$A56)=1,VLOOKUP($A56,'R3_G2'!$A$8:$Y$17, P$2+7,FALSE),IF(COUNTIF('R3_G3'!$A$8:$A$17,$A56)=1,VLOOKUP($A56,'R3_G3'!$A$8:$Y$17, P$2+7,FALSE),IF(COUNTIF('R3_G4'!$A$8:$A$17,$A56)=1,VLOOKUP($A56,'R3_G4'!$A$8:$Y$17, P$2+7,FALSE),""))))</f>
        <v>4</v>
      </c>
      <c r="Q56" s="852">
        <f>IF(COUNTIF('R3_G1'!$A$8:$A$17,$A56)=1,VLOOKUP($A56,'R3_G1'!$A$8:$Y$17, Q$2+7,FALSE),IF(COUNTIF('R3_G2'!$A$8:$A$17,$A56)=1,VLOOKUP($A56,'R3_G2'!$A$8:$Y$17, Q$2+7,FALSE),IF(COUNTIF('R3_G3'!$A$8:$A$17,$A56)=1,VLOOKUP($A56,'R3_G3'!$A$8:$Y$17, Q$2+7,FALSE),IF(COUNTIF('R3_G4'!$A$8:$A$17,$A56)=1,VLOOKUP($A56,'R3_G4'!$A$8:$Y$17, Q$2+7,FALSE),""))))</f>
        <v>4</v>
      </c>
      <c r="R56" s="852">
        <f>IF(COUNTIF('R3_G1'!$A$8:$A$17,$A56)=1,VLOOKUP($A56,'R3_G1'!$A$8:$Y$17, R$2+7,FALSE),IF(COUNTIF('R3_G2'!$A$8:$A$17,$A56)=1,VLOOKUP($A56,'R3_G2'!$A$8:$Y$17, R$2+7,FALSE),IF(COUNTIF('R3_G3'!$A$8:$A$17,$A56)=1,VLOOKUP($A56,'R3_G3'!$A$8:$Y$17, R$2+7,FALSE),IF(COUNTIF('R3_G4'!$A$8:$A$17,$A56)=1,VLOOKUP($A56,'R3_G4'!$A$8:$Y$17, R$2+7,FALSE),""))))</f>
        <v>4</v>
      </c>
      <c r="S56" s="852">
        <f>IF(COUNTIF('R3_G1'!$A$8:$A$17,$A56)=1,VLOOKUP($A56,'R3_G1'!$A$8:$Y$17, S$2+7,FALSE),IF(COUNTIF('R3_G2'!$A$8:$A$17,$A56)=1,VLOOKUP($A56,'R3_G2'!$A$8:$Y$17, S$2+7,FALSE),IF(COUNTIF('R3_G3'!$A$8:$A$17,$A56)=1,VLOOKUP($A56,'R3_G3'!$A$8:$Y$17, S$2+7,FALSE),IF(COUNTIF('R3_G4'!$A$8:$A$17,$A56)=1,VLOOKUP($A56,'R3_G4'!$A$8:$Y$17, S$2+7,FALSE),""))))</f>
        <v>4</v>
      </c>
      <c r="T56" s="852">
        <f>IF(COUNTIF('R3_G1'!$A$8:$A$17,$A56)=1,VLOOKUP($A56,'R3_G1'!$A$8:$Y$17, T$2+7,FALSE),IF(COUNTIF('R3_G2'!$A$8:$A$17,$A56)=1,VLOOKUP($A56,'R3_G2'!$A$8:$Y$17, T$2+7,FALSE),IF(COUNTIF('R3_G3'!$A$8:$A$17,$A56)=1,VLOOKUP($A56,'R3_G3'!$A$8:$Y$17, T$2+7,FALSE),IF(COUNTIF('R3_G4'!$A$8:$A$17,$A56)=1,VLOOKUP($A56,'R3_G4'!$A$8:$Y$17, T$2+7,FALSE),""))))</f>
        <v>5</v>
      </c>
      <c r="U56" s="852">
        <f>IF(COUNTIF('R3_G1'!$A$8:$A$17,$A56)=1,VLOOKUP($A56,'R3_G1'!$A$8:$Y$17, U$2+7,FALSE),IF(COUNTIF('R3_G2'!$A$8:$A$17,$A56)=1,VLOOKUP($A56,'R3_G2'!$A$8:$Y$17, U$2+7,FALSE),IF(COUNTIF('R3_G3'!$A$8:$A$17,$A56)=1,VLOOKUP($A56,'R3_G3'!$A$8:$Y$17, U$2+7,FALSE),IF(COUNTIF('R3_G4'!$A$8:$A$17,$A56)=1,VLOOKUP($A56,'R3_G4'!$A$8:$Y$17, U$2+7,FALSE),""))))</f>
        <v>5</v>
      </c>
      <c r="V56" s="852">
        <f>IF(COUNTIF('R3_G1'!$A$8:$A$17,$A56)=1,VLOOKUP($A56,'R3_G1'!$A$8:$Y$17, V$2+7,FALSE),IF(COUNTIF('R3_G2'!$A$8:$A$17,$A56)=1,VLOOKUP($A56,'R3_G2'!$A$8:$Y$17, V$2+7,FALSE),IF(COUNTIF('R3_G3'!$A$8:$A$17,$A56)=1,VLOOKUP($A56,'R3_G3'!$A$8:$Y$17, V$2+7,FALSE),IF(COUNTIF('R3_G4'!$A$8:$A$17,$A56)=1,VLOOKUP($A56,'R3_G4'!$A$8:$Y$17, V$2+7,FALSE),""))))</f>
        <v>5</v>
      </c>
      <c r="W56" s="859">
        <f t="shared" si="74"/>
        <v>36</v>
      </c>
      <c r="X56" s="859">
        <f t="shared" si="75"/>
        <v>40</v>
      </c>
      <c r="Y56" s="859">
        <f t="shared" si="80"/>
        <v>76</v>
      </c>
      <c r="Z56" s="931" t="e">
        <f t="shared" ca="1" si="81"/>
        <v>#NAME?</v>
      </c>
      <c r="AA56" s="859">
        <f t="shared" si="82"/>
        <v>76</v>
      </c>
      <c r="AB56" s="921"/>
      <c r="AC56" s="849" t="str">
        <f t="shared" si="83"/>
        <v>R-Mac</v>
      </c>
      <c r="AD56" s="929" t="e">
        <f ca="1">_xludf.ifna(VLOOKUP(AC56,'R3_G1'!$A$8:$C$17,3,FALSE),_xludf.ifna(VLOOKUP(AC56,'R3_G2'!$A$8:$C$17,3,FALSE),_xludf.ifna(VLOOKUP(AC56,'R3_G3'!$A$8:$C$17,3,FALSE),VLOOKUP(AC56,'R3_G4'!$A$8:$C$17,3,FALSE))))</f>
        <v>#NAME?</v>
      </c>
      <c r="AE56" s="857"/>
      <c r="AF56" s="832"/>
      <c r="AG56" s="859" t="e">
        <f t="shared" ref="AG56:AX56" ca="1" si="95">IF(E56="","",E56-IF($B56&gt;0,FLOOR($B56/18,1),0)-IF(AND(MOD($B56,18)&gt;=E$51,$B56&gt;0),1,0)+IF(E$51-18&gt;$B56,1,0))</f>
        <v>#NAME?</v>
      </c>
      <c r="AH56" s="859" t="e">
        <f t="shared" ca="1" si="95"/>
        <v>#NAME?</v>
      </c>
      <c r="AI56" s="859" t="e">
        <f t="shared" ca="1" si="95"/>
        <v>#NAME?</v>
      </c>
      <c r="AJ56" s="859" t="e">
        <f t="shared" ca="1" si="95"/>
        <v>#NAME?</v>
      </c>
      <c r="AK56" s="859" t="e">
        <f t="shared" ca="1" si="95"/>
        <v>#NAME?</v>
      </c>
      <c r="AL56" s="859" t="e">
        <f t="shared" ca="1" si="95"/>
        <v>#NAME?</v>
      </c>
      <c r="AM56" s="859" t="e">
        <f t="shared" ca="1" si="95"/>
        <v>#NAME?</v>
      </c>
      <c r="AN56" s="859" t="e">
        <f t="shared" ca="1" si="95"/>
        <v>#NAME?</v>
      </c>
      <c r="AO56" s="859" t="e">
        <f t="shared" ca="1" si="95"/>
        <v>#NAME?</v>
      </c>
      <c r="AP56" s="852" t="e">
        <f t="shared" ca="1" si="95"/>
        <v>#NAME?</v>
      </c>
      <c r="AQ56" s="852" t="e">
        <f t="shared" ca="1" si="95"/>
        <v>#NAME?</v>
      </c>
      <c r="AR56" s="852" t="e">
        <f t="shared" ca="1" si="95"/>
        <v>#NAME?</v>
      </c>
      <c r="AS56" s="852" t="e">
        <f t="shared" ca="1" si="95"/>
        <v>#NAME?</v>
      </c>
      <c r="AT56" s="852" t="e">
        <f t="shared" ca="1" si="95"/>
        <v>#NAME?</v>
      </c>
      <c r="AU56" s="852" t="e">
        <f t="shared" ca="1" si="95"/>
        <v>#NAME?</v>
      </c>
      <c r="AV56" s="852" t="e">
        <f t="shared" ca="1" si="95"/>
        <v>#NAME?</v>
      </c>
      <c r="AW56" s="852" t="e">
        <f t="shared" ca="1" si="95"/>
        <v>#NAME?</v>
      </c>
      <c r="AX56" s="852" t="e">
        <f t="shared" ca="1" si="95"/>
        <v>#NAME?</v>
      </c>
      <c r="AY56" s="859" t="e">
        <f t="shared" ca="1" si="77"/>
        <v>#NAME?</v>
      </c>
      <c r="AZ56" s="859" t="e">
        <f t="shared" ca="1" si="78"/>
        <v>#NAME?</v>
      </c>
      <c r="BA56" s="859" t="str">
        <f t="shared" ca="1" si="85"/>
        <v/>
      </c>
      <c r="BB56" s="857" t="e">
        <f ca="1">IF(COUNTIF('R3_G1'!$A$8:$A$17,$A56)=1, IF(AND(BA56=Z56,BA56=VLOOKUP($A56,'R3_G1'!$A$8:$AB$17, 28,FALSE)),"yes","no"),
IF(COUNTIF('R3_G2'!$A$8:$A$17,$A56)=1, IF(AND(BA56=Z56,BA56=VLOOKUP($A56,'R3_G2'!$A$8:$AB$17, 28,FALSE)),"yes","no"),
IF(COUNTIF('R3_G3'!$A$8:$A$17,$A56)=1, IF(AND(BA56=Z56,BA56=VLOOKUP($A56,'R3_G3'!$A$8:$AB$17, 28,FALSE)),"yes","no"),
IF(COUNTIF('R3_G4'!$A$8:$A$17,$A56)=1, IF(AND(BA56=Z56,BA56=VLOOKUP($A56,'R3_G4'!$A$8:$AB$17, 28,FALSE)),"yes","no"),
"?"))))</f>
        <v>#NAME?</v>
      </c>
      <c r="BC56" s="921"/>
      <c r="BD56" s="860" t="e">
        <f t="shared" ca="1" si="86"/>
        <v>#NAME?</v>
      </c>
      <c r="BE56" s="861" t="e">
        <f t="shared" ca="1" si="87"/>
        <v>#NAME?</v>
      </c>
      <c r="BF56" s="861">
        <f t="shared" ca="1" si="88"/>
        <v>0</v>
      </c>
      <c r="BG56" s="861">
        <f t="shared" ca="1" si="89"/>
        <v>0</v>
      </c>
      <c r="BH56" s="861">
        <f t="shared" ca="1" si="90"/>
        <v>0</v>
      </c>
      <c r="BI56" s="861">
        <f t="shared" ca="1" si="91"/>
        <v>0</v>
      </c>
      <c r="BJ56" s="861">
        <f t="shared" ca="1" si="92"/>
        <v>0</v>
      </c>
    </row>
    <row r="57" spans="1:62" ht="14.25" customHeight="1">
      <c r="A57" s="849" t="str">
        <f t="shared" si="79"/>
        <v>House</v>
      </c>
      <c r="B57" s="929" t="e">
        <f ca="1">_xludf.ifna(VLOOKUP(A57,'R3_G1'!$A$8:$C$17,3,FALSE),_xludf.ifna(VLOOKUP(A57,'R3_G2'!$A$8:$C$17,3,FALSE),_xludf.ifna(VLOOKUP(A57,'R3_G3'!$A$8:$C$17,3,FALSE),VLOOKUP(A57,'R3_G4'!$A$8:$C$17,3,FALSE))))</f>
        <v>#NAME?</v>
      </c>
      <c r="C57" s="849"/>
      <c r="D57" s="851"/>
      <c r="E57" s="852">
        <f>IF(COUNTIF('R3_G1'!$A$8:$A$17,$A57)=1,VLOOKUP($A57,'R3_G1'!$A$8:$Y$17, E$2+4,FALSE),IF(COUNTIF('R3_G2'!$A$8:$A$17,$A57)=1,VLOOKUP($A57,'R3_G2'!$A$8:$Y$17, E$2+4,FALSE),IF(COUNTIF('R3_G3'!$A$8:$A$17,$A57)=1,VLOOKUP($A57,'R3_G3'!$A$8:$Y$17, E$2+4,FALSE),IF(COUNTIF('R3_G4'!$A$8:$A$17,$A57)=1,VLOOKUP($A57,'R3_G4'!$A$8:$Y$17, E$2+4,FALSE),""))))</f>
        <v>5</v>
      </c>
      <c r="F57" s="852">
        <f>IF(COUNTIF('R3_G1'!$A$8:$A$17,$A57)=1,VLOOKUP($A57,'R3_G1'!$A$8:$Y$17, F$2+4,FALSE),IF(COUNTIF('R3_G2'!$A$8:$A$17,$A57)=1,VLOOKUP($A57,'R3_G2'!$A$8:$Y$17, F$2+4,FALSE),IF(COUNTIF('R3_G3'!$A$8:$A$17,$A57)=1,VLOOKUP($A57,'R3_G3'!$A$8:$Y$17, F$2+4,FALSE),IF(COUNTIF('R3_G4'!$A$8:$A$17,$A57)=1,VLOOKUP($A57,'R3_G4'!$A$8:$Y$17, F$2+4,FALSE),""))))</f>
        <v>4</v>
      </c>
      <c r="G57" s="852">
        <f>IF(COUNTIF('R3_G1'!$A$8:$A$17,$A57)=1,VLOOKUP($A57,'R3_G1'!$A$8:$Y$17, G$2+4,FALSE),IF(COUNTIF('R3_G2'!$A$8:$A$17,$A57)=1,VLOOKUP($A57,'R3_G2'!$A$8:$Y$17, G$2+4,FALSE),IF(COUNTIF('R3_G3'!$A$8:$A$17,$A57)=1,VLOOKUP($A57,'R3_G3'!$A$8:$Y$17, G$2+4,FALSE),IF(COUNTIF('R3_G4'!$A$8:$A$17,$A57)=1,VLOOKUP($A57,'R3_G4'!$A$8:$Y$17, G$2+4,FALSE),""))))</f>
        <v>5</v>
      </c>
      <c r="H57" s="852">
        <f>IF(COUNTIF('R3_G1'!$A$8:$A$17,$A57)=1,VLOOKUP($A57,'R3_G1'!$A$8:$Y$17, H$2+4,FALSE),IF(COUNTIF('R3_G2'!$A$8:$A$17,$A57)=1,VLOOKUP($A57,'R3_G2'!$A$8:$Y$17, H$2+4,FALSE),IF(COUNTIF('R3_G3'!$A$8:$A$17,$A57)=1,VLOOKUP($A57,'R3_G3'!$A$8:$Y$17, H$2+4,FALSE),IF(COUNTIF('R3_G4'!$A$8:$A$17,$A57)=1,VLOOKUP($A57,'R3_G4'!$A$8:$Y$17, H$2+4,FALSE),""))))</f>
        <v>4</v>
      </c>
      <c r="I57" s="852">
        <f>IF(COUNTIF('R3_G1'!$A$8:$A$17,$A57)=1,VLOOKUP($A57,'R3_G1'!$A$8:$Y$17, I$2+4,FALSE),IF(COUNTIF('R3_G2'!$A$8:$A$17,$A57)=1,VLOOKUP($A57,'R3_G2'!$A$8:$Y$17, I$2+4,FALSE),IF(COUNTIF('R3_G3'!$A$8:$A$17,$A57)=1,VLOOKUP($A57,'R3_G3'!$A$8:$Y$17, I$2+4,FALSE),IF(COUNTIF('R3_G4'!$A$8:$A$17,$A57)=1,VLOOKUP($A57,'R3_G4'!$A$8:$Y$17, I$2+4,FALSE),""))))</f>
        <v>3</v>
      </c>
      <c r="J57" s="852">
        <f>IF(COUNTIF('R3_G1'!$A$8:$A$17,$A57)=1,VLOOKUP($A57,'R3_G1'!$A$8:$Y$17, J$2+4,FALSE),IF(COUNTIF('R3_G2'!$A$8:$A$17,$A57)=1,VLOOKUP($A57,'R3_G2'!$A$8:$Y$17, J$2+4,FALSE),IF(COUNTIF('R3_G3'!$A$8:$A$17,$A57)=1,VLOOKUP($A57,'R3_G3'!$A$8:$Y$17, J$2+4,FALSE),IF(COUNTIF('R3_G4'!$A$8:$A$17,$A57)=1,VLOOKUP($A57,'R3_G4'!$A$8:$Y$17, J$2+4,FALSE),""))))</f>
        <v>4</v>
      </c>
      <c r="K57" s="852">
        <f>IF(COUNTIF('R3_G1'!$A$8:$A$17,$A57)=1,VLOOKUP($A57,'R3_G1'!$A$8:$Y$17, K$2+4,FALSE),IF(COUNTIF('R3_G2'!$A$8:$A$17,$A57)=1,VLOOKUP($A57,'R3_G2'!$A$8:$Y$17, K$2+4,FALSE),IF(COUNTIF('R3_G3'!$A$8:$A$17,$A57)=1,VLOOKUP($A57,'R3_G3'!$A$8:$Y$17, K$2+4,FALSE),IF(COUNTIF('R3_G4'!$A$8:$A$17,$A57)=1,VLOOKUP($A57,'R3_G4'!$A$8:$Y$17, K$2+4,FALSE),""))))</f>
        <v>4</v>
      </c>
      <c r="L57" s="852">
        <f>IF(COUNTIF('R3_G1'!$A$8:$A$17,$A57)=1,VLOOKUP($A57,'R3_G1'!$A$8:$Y$17, L$2+4,FALSE),IF(COUNTIF('R3_G2'!$A$8:$A$17,$A57)=1,VLOOKUP($A57,'R3_G2'!$A$8:$Y$17, L$2+4,FALSE),IF(COUNTIF('R3_G3'!$A$8:$A$17,$A57)=1,VLOOKUP($A57,'R3_G3'!$A$8:$Y$17, L$2+4,FALSE),IF(COUNTIF('R3_G4'!$A$8:$A$17,$A57)=1,VLOOKUP($A57,'R3_G4'!$A$8:$Y$17, L$2+4,FALSE),""))))</f>
        <v>6</v>
      </c>
      <c r="M57" s="852">
        <f>IF(COUNTIF('R3_G1'!$A$8:$A$17,$A57)=1,VLOOKUP($A57,'R3_G1'!$A$8:$Y$17, M$2+4,FALSE),IF(COUNTIF('R3_G2'!$A$8:$A$17,$A57)=1,VLOOKUP($A57,'R3_G2'!$A$8:$Y$17, M$2+4,FALSE),IF(COUNTIF('R3_G3'!$A$8:$A$17,$A57)=1,VLOOKUP($A57,'R3_G3'!$A$8:$Y$17, M$2+4,FALSE),IF(COUNTIF('R3_G4'!$A$8:$A$17,$A57)=1,VLOOKUP($A57,'R3_G4'!$A$8:$Y$17, M$2+4,FALSE),""))))</f>
        <v>3</v>
      </c>
      <c r="N57" s="853">
        <f>IF(COUNTIF('R3_G1'!$A$8:$A$17,$A57)=1,VLOOKUP($A57,'R3_G1'!$A$8:$Y$17, N$2+7,FALSE),IF(COUNTIF('R3_G2'!$A$8:$A$17,$A57)=1,VLOOKUP($A57,'R3_G2'!$A$8:$Y$17, N$2+7,FALSE),IF(COUNTIF('R3_G3'!$A$8:$A$17,$A57)=1,VLOOKUP($A57,'R3_G3'!$A$8:$Y$17, N$2+7,FALSE),IF(COUNTIF('R3_G4'!$A$8:$A$17,$A57)=1,VLOOKUP($A57,'R3_G4'!$A$8:$Y$17, N$2+7,FALSE),""))))</f>
        <v>3</v>
      </c>
      <c r="O57" s="853">
        <f>IF(COUNTIF('R3_G1'!$A$8:$A$17,$A57)=1,VLOOKUP($A57,'R3_G1'!$A$8:$Y$17, O$2+7,FALSE),IF(COUNTIF('R3_G2'!$A$8:$A$17,$A57)=1,VLOOKUP($A57,'R3_G2'!$A$8:$Y$17, O$2+7,FALSE),IF(COUNTIF('R3_G3'!$A$8:$A$17,$A57)=1,VLOOKUP($A57,'R3_G3'!$A$8:$Y$17, O$2+7,FALSE),IF(COUNTIF('R3_G4'!$A$8:$A$17,$A57)=1,VLOOKUP($A57,'R3_G4'!$A$8:$Y$17, O$2+7,FALSE),""))))</f>
        <v>4</v>
      </c>
      <c r="P57" s="853">
        <f>IF(COUNTIF('R3_G1'!$A$8:$A$17,$A57)=1,VLOOKUP($A57,'R3_G1'!$A$8:$Y$17, P$2+7,FALSE),IF(COUNTIF('R3_G2'!$A$8:$A$17,$A57)=1,VLOOKUP($A57,'R3_G2'!$A$8:$Y$17, P$2+7,FALSE),IF(COUNTIF('R3_G3'!$A$8:$A$17,$A57)=1,VLOOKUP($A57,'R3_G3'!$A$8:$Y$17, P$2+7,FALSE),IF(COUNTIF('R3_G4'!$A$8:$A$17,$A57)=1,VLOOKUP($A57,'R3_G4'!$A$8:$Y$17, P$2+7,FALSE),""))))</f>
        <v>3</v>
      </c>
      <c r="Q57" s="853">
        <f>IF(COUNTIF('R3_G1'!$A$8:$A$17,$A57)=1,VLOOKUP($A57,'R3_G1'!$A$8:$Y$17, Q$2+7,FALSE),IF(COUNTIF('R3_G2'!$A$8:$A$17,$A57)=1,VLOOKUP($A57,'R3_G2'!$A$8:$Y$17, Q$2+7,FALSE),IF(COUNTIF('R3_G3'!$A$8:$A$17,$A57)=1,VLOOKUP($A57,'R3_G3'!$A$8:$Y$17, Q$2+7,FALSE),IF(COUNTIF('R3_G4'!$A$8:$A$17,$A57)=1,VLOOKUP($A57,'R3_G4'!$A$8:$Y$17, Q$2+7,FALSE),""))))</f>
        <v>4</v>
      </c>
      <c r="R57" s="853">
        <f>IF(COUNTIF('R3_G1'!$A$8:$A$17,$A57)=1,VLOOKUP($A57,'R3_G1'!$A$8:$Y$17, R$2+7,FALSE),IF(COUNTIF('R3_G2'!$A$8:$A$17,$A57)=1,VLOOKUP($A57,'R3_G2'!$A$8:$Y$17, R$2+7,FALSE),IF(COUNTIF('R3_G3'!$A$8:$A$17,$A57)=1,VLOOKUP($A57,'R3_G3'!$A$8:$Y$17, R$2+7,FALSE),IF(COUNTIF('R3_G4'!$A$8:$A$17,$A57)=1,VLOOKUP($A57,'R3_G4'!$A$8:$Y$17, R$2+7,FALSE),""))))</f>
        <v>3</v>
      </c>
      <c r="S57" s="853">
        <f>IF(COUNTIF('R3_G1'!$A$8:$A$17,$A57)=1,VLOOKUP($A57,'R3_G1'!$A$8:$Y$17, S$2+7,FALSE),IF(COUNTIF('R3_G2'!$A$8:$A$17,$A57)=1,VLOOKUP($A57,'R3_G2'!$A$8:$Y$17, S$2+7,FALSE),IF(COUNTIF('R3_G3'!$A$8:$A$17,$A57)=1,VLOOKUP($A57,'R3_G3'!$A$8:$Y$17, S$2+7,FALSE),IF(COUNTIF('R3_G4'!$A$8:$A$17,$A57)=1,VLOOKUP($A57,'R3_G4'!$A$8:$Y$17, S$2+7,FALSE),""))))</f>
        <v>4</v>
      </c>
      <c r="T57" s="853">
        <f>IF(COUNTIF('R3_G1'!$A$8:$A$17,$A57)=1,VLOOKUP($A57,'R3_G1'!$A$8:$Y$17, T$2+7,FALSE),IF(COUNTIF('R3_G2'!$A$8:$A$17,$A57)=1,VLOOKUP($A57,'R3_G2'!$A$8:$Y$17, T$2+7,FALSE),IF(COUNTIF('R3_G3'!$A$8:$A$17,$A57)=1,VLOOKUP($A57,'R3_G3'!$A$8:$Y$17, T$2+7,FALSE),IF(COUNTIF('R3_G4'!$A$8:$A$17,$A57)=1,VLOOKUP($A57,'R3_G4'!$A$8:$Y$17, T$2+7,FALSE),""))))</f>
        <v>4</v>
      </c>
      <c r="U57" s="853">
        <f>IF(COUNTIF('R3_G1'!$A$8:$A$17,$A57)=1,VLOOKUP($A57,'R3_G1'!$A$8:$Y$17, U$2+7,FALSE),IF(COUNTIF('R3_G2'!$A$8:$A$17,$A57)=1,VLOOKUP($A57,'R3_G2'!$A$8:$Y$17, U$2+7,FALSE),IF(COUNTIF('R3_G3'!$A$8:$A$17,$A57)=1,VLOOKUP($A57,'R3_G3'!$A$8:$Y$17, U$2+7,FALSE),IF(COUNTIF('R3_G4'!$A$8:$A$17,$A57)=1,VLOOKUP($A57,'R3_G4'!$A$8:$Y$17, U$2+7,FALSE),""))))</f>
        <v>4</v>
      </c>
      <c r="V57" s="853">
        <f>IF(COUNTIF('R3_G1'!$A$8:$A$17,$A57)=1,VLOOKUP($A57,'R3_G1'!$A$8:$Y$17, V$2+7,FALSE),IF(COUNTIF('R3_G2'!$A$8:$A$17,$A57)=1,VLOOKUP($A57,'R3_G2'!$A$8:$Y$17, V$2+7,FALSE),IF(COUNTIF('R3_G3'!$A$8:$A$17,$A57)=1,VLOOKUP($A57,'R3_G3'!$A$8:$Y$17, V$2+7,FALSE),IF(COUNTIF('R3_G4'!$A$8:$A$17,$A57)=1,VLOOKUP($A57,'R3_G4'!$A$8:$Y$17, V$2+7,FALSE),""))))</f>
        <v>4</v>
      </c>
      <c r="W57" s="852">
        <f t="shared" si="74"/>
        <v>38</v>
      </c>
      <c r="X57" s="852">
        <f t="shared" si="75"/>
        <v>33</v>
      </c>
      <c r="Y57" s="852">
        <f t="shared" si="80"/>
        <v>71</v>
      </c>
      <c r="Z57" s="930" t="e">
        <f t="shared" ca="1" si="81"/>
        <v>#NAME?</v>
      </c>
      <c r="AA57" s="852">
        <f t="shared" si="82"/>
        <v>71</v>
      </c>
      <c r="AB57" s="921"/>
      <c r="AC57" s="849" t="str">
        <f t="shared" si="83"/>
        <v>House</v>
      </c>
      <c r="AD57" s="929" t="e">
        <f ca="1">_xludf.ifna(VLOOKUP(AC57,'R3_G1'!$A$8:$C$17,3,FALSE),_xludf.ifna(VLOOKUP(AC57,'R3_G2'!$A$8:$C$17,3,FALSE),_xludf.ifna(VLOOKUP(AC57,'R3_G3'!$A$8:$C$17,3,FALSE),VLOOKUP(AC57,'R3_G4'!$A$8:$C$17,3,FALSE))))</f>
        <v>#NAME?</v>
      </c>
      <c r="AE57" s="849"/>
      <c r="AF57" s="832"/>
      <c r="AG57" s="852" t="e">
        <f t="shared" ref="AG57:AX57" ca="1" si="96">IF(E57="","",E57-IF($B57&gt;0,FLOOR($B57/18,1),0)-IF(AND(MOD($B57,18)&gt;=E$51,$B57&gt;0),1,0)+IF(E$51-18&gt;$B57,1,0))</f>
        <v>#NAME?</v>
      </c>
      <c r="AH57" s="852" t="e">
        <f t="shared" ca="1" si="96"/>
        <v>#NAME?</v>
      </c>
      <c r="AI57" s="852" t="e">
        <f t="shared" ca="1" si="96"/>
        <v>#NAME?</v>
      </c>
      <c r="AJ57" s="852" t="e">
        <f t="shared" ca="1" si="96"/>
        <v>#NAME?</v>
      </c>
      <c r="AK57" s="852" t="e">
        <f t="shared" ca="1" si="96"/>
        <v>#NAME?</v>
      </c>
      <c r="AL57" s="852" t="e">
        <f t="shared" ca="1" si="96"/>
        <v>#NAME?</v>
      </c>
      <c r="AM57" s="852" t="e">
        <f t="shared" ca="1" si="96"/>
        <v>#NAME?</v>
      </c>
      <c r="AN57" s="852" t="e">
        <f t="shared" ca="1" si="96"/>
        <v>#NAME?</v>
      </c>
      <c r="AO57" s="852" t="e">
        <f t="shared" ca="1" si="96"/>
        <v>#NAME?</v>
      </c>
      <c r="AP57" s="853" t="e">
        <f t="shared" ca="1" si="96"/>
        <v>#NAME?</v>
      </c>
      <c r="AQ57" s="853" t="e">
        <f t="shared" ca="1" si="96"/>
        <v>#NAME?</v>
      </c>
      <c r="AR57" s="853" t="e">
        <f t="shared" ca="1" si="96"/>
        <v>#NAME?</v>
      </c>
      <c r="AS57" s="853" t="e">
        <f t="shared" ca="1" si="96"/>
        <v>#NAME?</v>
      </c>
      <c r="AT57" s="853" t="e">
        <f t="shared" ca="1" si="96"/>
        <v>#NAME?</v>
      </c>
      <c r="AU57" s="853" t="e">
        <f t="shared" ca="1" si="96"/>
        <v>#NAME?</v>
      </c>
      <c r="AV57" s="853" t="e">
        <f t="shared" ca="1" si="96"/>
        <v>#NAME?</v>
      </c>
      <c r="AW57" s="853" t="e">
        <f t="shared" ca="1" si="96"/>
        <v>#NAME?</v>
      </c>
      <c r="AX57" s="853" t="e">
        <f t="shared" ca="1" si="96"/>
        <v>#NAME?</v>
      </c>
      <c r="AY57" s="852" t="e">
        <f t="shared" ca="1" si="77"/>
        <v>#NAME?</v>
      </c>
      <c r="AZ57" s="852" t="e">
        <f t="shared" ca="1" si="78"/>
        <v>#NAME?</v>
      </c>
      <c r="BA57" s="852" t="str">
        <f t="shared" ca="1" si="85"/>
        <v/>
      </c>
      <c r="BB57" s="849" t="e">
        <f ca="1">IF(COUNTIF('R3_G1'!$A$8:$A$17,$A57)=1, IF(AND(BA57=Z57,BA57=VLOOKUP($A57,'R3_G1'!$A$8:$AB$17, 28,FALSE)),"yes","no"),
IF(COUNTIF('R3_G2'!$A$8:$A$17,$A57)=1, IF(AND(BA57=Z57,BA57=VLOOKUP($A57,'R3_G2'!$A$8:$AB$17, 28,FALSE)),"yes","no"),
IF(COUNTIF('R3_G3'!$A$8:$A$17,$A57)=1, IF(AND(BA57=Z57,BA57=VLOOKUP($A57,'R3_G3'!$A$8:$AB$17, 28,FALSE)),"yes","no"),
IF(COUNTIF('R3_G4'!$A$8:$A$17,$A57)=1, IF(AND(BA57=Z57,BA57=VLOOKUP($A57,'R3_G4'!$A$8:$AB$17, 28,FALSE)),"yes","no"),
"?"))))</f>
        <v>#NAME?</v>
      </c>
      <c r="BC57" s="921"/>
      <c r="BD57" s="862" t="e">
        <f t="shared" ca="1" si="86"/>
        <v>#NAME?</v>
      </c>
      <c r="BE57" s="855" t="e">
        <f t="shared" ca="1" si="87"/>
        <v>#NAME?</v>
      </c>
      <c r="BF57" s="855">
        <f t="shared" ca="1" si="88"/>
        <v>0</v>
      </c>
      <c r="BG57" s="855">
        <f t="shared" ca="1" si="89"/>
        <v>0</v>
      </c>
      <c r="BH57" s="855">
        <f t="shared" ca="1" si="90"/>
        <v>0</v>
      </c>
      <c r="BI57" s="855">
        <f t="shared" ca="1" si="91"/>
        <v>0</v>
      </c>
      <c r="BJ57" s="855">
        <f t="shared" ca="1" si="92"/>
        <v>0</v>
      </c>
    </row>
    <row r="58" spans="1:62" ht="14.25" customHeight="1">
      <c r="A58" s="857" t="str">
        <f t="shared" si="79"/>
        <v>TJSC</v>
      </c>
      <c r="B58" s="929" t="e">
        <f ca="1">_xludf.ifna(VLOOKUP(A58,'R3_G1'!$A$8:$C$17,3,FALSE),_xludf.ifna(VLOOKUP(A58,'R3_G2'!$A$8:$C$17,3,FALSE),_xludf.ifna(VLOOKUP(A58,'R3_G3'!$A$8:$C$17,3,FALSE),VLOOKUP(A58,'R3_G4'!$A$8:$C$17,3,FALSE))))</f>
        <v>#NAME?</v>
      </c>
      <c r="C58" s="857"/>
      <c r="D58" s="851"/>
      <c r="E58" s="859">
        <f>IF(COUNTIF('R3_G1'!$A$8:$A$17,$A58)=1,VLOOKUP($A58,'R3_G1'!$A$8:$Y$17, E$2+4,FALSE),IF(COUNTIF('R3_G2'!$A$8:$A$17,$A58)=1,VLOOKUP($A58,'R3_G2'!$A$8:$Y$17, E$2+4,FALSE),IF(COUNTIF('R3_G3'!$A$8:$A$17,$A58)=1,VLOOKUP($A58,'R3_G3'!$A$8:$Y$17, E$2+4,FALSE),IF(COUNTIF('R3_G4'!$A$8:$A$17,$A58)=1,VLOOKUP($A58,'R3_G4'!$A$8:$Y$17, E$2+4,FALSE),""))))</f>
        <v>5</v>
      </c>
      <c r="F58" s="859">
        <f>IF(COUNTIF('R3_G1'!$A$8:$A$17,$A58)=1,VLOOKUP($A58,'R3_G1'!$A$8:$Y$17, F$2+4,FALSE),IF(COUNTIF('R3_G2'!$A$8:$A$17,$A58)=1,VLOOKUP($A58,'R3_G2'!$A$8:$Y$17, F$2+4,FALSE),IF(COUNTIF('R3_G3'!$A$8:$A$17,$A58)=1,VLOOKUP($A58,'R3_G3'!$A$8:$Y$17, F$2+4,FALSE),IF(COUNTIF('R3_G4'!$A$8:$A$17,$A58)=1,VLOOKUP($A58,'R3_G4'!$A$8:$Y$17, F$2+4,FALSE),""))))</f>
        <v>4</v>
      </c>
      <c r="G58" s="859">
        <f>IF(COUNTIF('R3_G1'!$A$8:$A$17,$A58)=1,VLOOKUP($A58,'R3_G1'!$A$8:$Y$17, G$2+4,FALSE),IF(COUNTIF('R3_G2'!$A$8:$A$17,$A58)=1,VLOOKUP($A58,'R3_G2'!$A$8:$Y$17, G$2+4,FALSE),IF(COUNTIF('R3_G3'!$A$8:$A$17,$A58)=1,VLOOKUP($A58,'R3_G3'!$A$8:$Y$17, G$2+4,FALSE),IF(COUNTIF('R3_G4'!$A$8:$A$17,$A58)=1,VLOOKUP($A58,'R3_G4'!$A$8:$Y$17, G$2+4,FALSE),""))))</f>
        <v>5</v>
      </c>
      <c r="H58" s="859">
        <f>IF(COUNTIF('R3_G1'!$A$8:$A$17,$A58)=1,VLOOKUP($A58,'R3_G1'!$A$8:$Y$17, H$2+4,FALSE),IF(COUNTIF('R3_G2'!$A$8:$A$17,$A58)=1,VLOOKUP($A58,'R3_G2'!$A$8:$Y$17, H$2+4,FALSE),IF(COUNTIF('R3_G3'!$A$8:$A$17,$A58)=1,VLOOKUP($A58,'R3_G3'!$A$8:$Y$17, H$2+4,FALSE),IF(COUNTIF('R3_G4'!$A$8:$A$17,$A58)=1,VLOOKUP($A58,'R3_G4'!$A$8:$Y$17, H$2+4,FALSE),""))))</f>
        <v>4</v>
      </c>
      <c r="I58" s="859">
        <f>IF(COUNTIF('R3_G1'!$A$8:$A$17,$A58)=1,VLOOKUP($A58,'R3_G1'!$A$8:$Y$17, I$2+4,FALSE),IF(COUNTIF('R3_G2'!$A$8:$A$17,$A58)=1,VLOOKUP($A58,'R3_G2'!$A$8:$Y$17, I$2+4,FALSE),IF(COUNTIF('R3_G3'!$A$8:$A$17,$A58)=1,VLOOKUP($A58,'R3_G3'!$A$8:$Y$17, I$2+4,FALSE),IF(COUNTIF('R3_G4'!$A$8:$A$17,$A58)=1,VLOOKUP($A58,'R3_G4'!$A$8:$Y$17, I$2+4,FALSE),""))))</f>
        <v>3</v>
      </c>
      <c r="J58" s="859">
        <f>IF(COUNTIF('R3_G1'!$A$8:$A$17,$A58)=1,VLOOKUP($A58,'R3_G1'!$A$8:$Y$17, J$2+4,FALSE),IF(COUNTIF('R3_G2'!$A$8:$A$17,$A58)=1,VLOOKUP($A58,'R3_G2'!$A$8:$Y$17, J$2+4,FALSE),IF(COUNTIF('R3_G3'!$A$8:$A$17,$A58)=1,VLOOKUP($A58,'R3_G3'!$A$8:$Y$17, J$2+4,FALSE),IF(COUNTIF('R3_G4'!$A$8:$A$17,$A58)=1,VLOOKUP($A58,'R3_G4'!$A$8:$Y$17, J$2+4,FALSE),""))))</f>
        <v>4</v>
      </c>
      <c r="K58" s="859">
        <f>IF(COUNTIF('R3_G1'!$A$8:$A$17,$A58)=1,VLOOKUP($A58,'R3_G1'!$A$8:$Y$17, K$2+4,FALSE),IF(COUNTIF('R3_G2'!$A$8:$A$17,$A58)=1,VLOOKUP($A58,'R3_G2'!$A$8:$Y$17, K$2+4,FALSE),IF(COUNTIF('R3_G3'!$A$8:$A$17,$A58)=1,VLOOKUP($A58,'R3_G3'!$A$8:$Y$17, K$2+4,FALSE),IF(COUNTIF('R3_G4'!$A$8:$A$17,$A58)=1,VLOOKUP($A58,'R3_G4'!$A$8:$Y$17, K$2+4,FALSE),""))))</f>
        <v>4</v>
      </c>
      <c r="L58" s="859">
        <f>IF(COUNTIF('R3_G1'!$A$8:$A$17,$A58)=1,VLOOKUP($A58,'R3_G1'!$A$8:$Y$17, L$2+4,FALSE),IF(COUNTIF('R3_G2'!$A$8:$A$17,$A58)=1,VLOOKUP($A58,'R3_G2'!$A$8:$Y$17, L$2+4,FALSE),IF(COUNTIF('R3_G3'!$A$8:$A$17,$A58)=1,VLOOKUP($A58,'R3_G3'!$A$8:$Y$17, L$2+4,FALSE),IF(COUNTIF('R3_G4'!$A$8:$A$17,$A58)=1,VLOOKUP($A58,'R3_G4'!$A$8:$Y$17, L$2+4,FALSE),""))))</f>
        <v>6</v>
      </c>
      <c r="M58" s="859">
        <f>IF(COUNTIF('R3_G1'!$A$8:$A$17,$A58)=1,VLOOKUP($A58,'R3_G1'!$A$8:$Y$17, M$2+4,FALSE),IF(COUNTIF('R3_G2'!$A$8:$A$17,$A58)=1,VLOOKUP($A58,'R3_G2'!$A$8:$Y$17, M$2+4,FALSE),IF(COUNTIF('R3_G3'!$A$8:$A$17,$A58)=1,VLOOKUP($A58,'R3_G3'!$A$8:$Y$17, M$2+4,FALSE),IF(COUNTIF('R3_G4'!$A$8:$A$17,$A58)=1,VLOOKUP($A58,'R3_G4'!$A$8:$Y$17, M$2+4,FALSE),""))))</f>
        <v>3</v>
      </c>
      <c r="N58" s="852">
        <f>IF(COUNTIF('R3_G1'!$A$8:$A$17,$A58)=1,VLOOKUP($A58,'R3_G1'!$A$8:$Y$17, N$2+7,FALSE),IF(COUNTIF('R3_G2'!$A$8:$A$17,$A58)=1,VLOOKUP($A58,'R3_G2'!$A$8:$Y$17, N$2+7,FALSE),IF(COUNTIF('R3_G3'!$A$8:$A$17,$A58)=1,VLOOKUP($A58,'R3_G3'!$A$8:$Y$17, N$2+7,FALSE),IF(COUNTIF('R3_G4'!$A$8:$A$17,$A58)=1,VLOOKUP($A58,'R3_G4'!$A$8:$Y$17, N$2+7,FALSE),""))))</f>
        <v>3</v>
      </c>
      <c r="O58" s="852">
        <f>IF(COUNTIF('R3_G1'!$A$8:$A$17,$A58)=1,VLOOKUP($A58,'R3_G1'!$A$8:$Y$17, O$2+7,FALSE),IF(COUNTIF('R3_G2'!$A$8:$A$17,$A58)=1,VLOOKUP($A58,'R3_G2'!$A$8:$Y$17, O$2+7,FALSE),IF(COUNTIF('R3_G3'!$A$8:$A$17,$A58)=1,VLOOKUP($A58,'R3_G3'!$A$8:$Y$17, O$2+7,FALSE),IF(COUNTIF('R3_G4'!$A$8:$A$17,$A58)=1,VLOOKUP($A58,'R3_G4'!$A$8:$Y$17, O$2+7,FALSE),""))))</f>
        <v>4</v>
      </c>
      <c r="P58" s="852">
        <f>IF(COUNTIF('R3_G1'!$A$8:$A$17,$A58)=1,VLOOKUP($A58,'R3_G1'!$A$8:$Y$17, P$2+7,FALSE),IF(COUNTIF('R3_G2'!$A$8:$A$17,$A58)=1,VLOOKUP($A58,'R3_G2'!$A$8:$Y$17, P$2+7,FALSE),IF(COUNTIF('R3_G3'!$A$8:$A$17,$A58)=1,VLOOKUP($A58,'R3_G3'!$A$8:$Y$17, P$2+7,FALSE),IF(COUNTIF('R3_G4'!$A$8:$A$17,$A58)=1,VLOOKUP($A58,'R3_G4'!$A$8:$Y$17, P$2+7,FALSE),""))))</f>
        <v>3</v>
      </c>
      <c r="Q58" s="852">
        <f>IF(COUNTIF('R3_G1'!$A$8:$A$17,$A58)=1,VLOOKUP($A58,'R3_G1'!$A$8:$Y$17, Q$2+7,FALSE),IF(COUNTIF('R3_G2'!$A$8:$A$17,$A58)=1,VLOOKUP($A58,'R3_G2'!$A$8:$Y$17, Q$2+7,FALSE),IF(COUNTIF('R3_G3'!$A$8:$A$17,$A58)=1,VLOOKUP($A58,'R3_G3'!$A$8:$Y$17, Q$2+7,FALSE),IF(COUNTIF('R3_G4'!$A$8:$A$17,$A58)=1,VLOOKUP($A58,'R3_G4'!$A$8:$Y$17, Q$2+7,FALSE),""))))</f>
        <v>4</v>
      </c>
      <c r="R58" s="852">
        <f>IF(COUNTIF('R3_G1'!$A$8:$A$17,$A58)=1,VLOOKUP($A58,'R3_G1'!$A$8:$Y$17, R$2+7,FALSE),IF(COUNTIF('R3_G2'!$A$8:$A$17,$A58)=1,VLOOKUP($A58,'R3_G2'!$A$8:$Y$17, R$2+7,FALSE),IF(COUNTIF('R3_G3'!$A$8:$A$17,$A58)=1,VLOOKUP($A58,'R3_G3'!$A$8:$Y$17, R$2+7,FALSE),IF(COUNTIF('R3_G4'!$A$8:$A$17,$A58)=1,VLOOKUP($A58,'R3_G4'!$A$8:$Y$17, R$2+7,FALSE),""))))</f>
        <v>3</v>
      </c>
      <c r="S58" s="852">
        <f>IF(COUNTIF('R3_G1'!$A$8:$A$17,$A58)=1,VLOOKUP($A58,'R3_G1'!$A$8:$Y$17, S$2+7,FALSE),IF(COUNTIF('R3_G2'!$A$8:$A$17,$A58)=1,VLOOKUP($A58,'R3_G2'!$A$8:$Y$17, S$2+7,FALSE),IF(COUNTIF('R3_G3'!$A$8:$A$17,$A58)=1,VLOOKUP($A58,'R3_G3'!$A$8:$Y$17, S$2+7,FALSE),IF(COUNTIF('R3_G4'!$A$8:$A$17,$A58)=1,VLOOKUP($A58,'R3_G4'!$A$8:$Y$17, S$2+7,FALSE),""))))</f>
        <v>4</v>
      </c>
      <c r="T58" s="852">
        <f>IF(COUNTIF('R3_G1'!$A$8:$A$17,$A58)=1,VLOOKUP($A58,'R3_G1'!$A$8:$Y$17, T$2+7,FALSE),IF(COUNTIF('R3_G2'!$A$8:$A$17,$A58)=1,VLOOKUP($A58,'R3_G2'!$A$8:$Y$17, T$2+7,FALSE),IF(COUNTIF('R3_G3'!$A$8:$A$17,$A58)=1,VLOOKUP($A58,'R3_G3'!$A$8:$Y$17, T$2+7,FALSE),IF(COUNTIF('R3_G4'!$A$8:$A$17,$A58)=1,VLOOKUP($A58,'R3_G4'!$A$8:$Y$17, T$2+7,FALSE),""))))</f>
        <v>4</v>
      </c>
      <c r="U58" s="852">
        <f>IF(COUNTIF('R3_G1'!$A$8:$A$17,$A58)=1,VLOOKUP($A58,'R3_G1'!$A$8:$Y$17, U$2+7,FALSE),IF(COUNTIF('R3_G2'!$A$8:$A$17,$A58)=1,VLOOKUP($A58,'R3_G2'!$A$8:$Y$17, U$2+7,FALSE),IF(COUNTIF('R3_G3'!$A$8:$A$17,$A58)=1,VLOOKUP($A58,'R3_G3'!$A$8:$Y$17, U$2+7,FALSE),IF(COUNTIF('R3_G4'!$A$8:$A$17,$A58)=1,VLOOKUP($A58,'R3_G4'!$A$8:$Y$17, U$2+7,FALSE),""))))</f>
        <v>4</v>
      </c>
      <c r="V58" s="852">
        <f>IF(COUNTIF('R3_G1'!$A$8:$A$17,$A58)=1,VLOOKUP($A58,'R3_G1'!$A$8:$Y$17, V$2+7,FALSE),IF(COUNTIF('R3_G2'!$A$8:$A$17,$A58)=1,VLOOKUP($A58,'R3_G2'!$A$8:$Y$17, V$2+7,FALSE),IF(COUNTIF('R3_G3'!$A$8:$A$17,$A58)=1,VLOOKUP($A58,'R3_G3'!$A$8:$Y$17, V$2+7,FALSE),IF(COUNTIF('R3_G4'!$A$8:$A$17,$A58)=1,VLOOKUP($A58,'R3_G4'!$A$8:$Y$17, V$2+7,FALSE),""))))</f>
        <v>4</v>
      </c>
      <c r="W58" s="859">
        <f t="shared" si="74"/>
        <v>38</v>
      </c>
      <c r="X58" s="859">
        <f t="shared" si="75"/>
        <v>33</v>
      </c>
      <c r="Y58" s="859">
        <f t="shared" si="80"/>
        <v>71</v>
      </c>
      <c r="Z58" s="931" t="e">
        <f t="shared" ca="1" si="81"/>
        <v>#NAME?</v>
      </c>
      <c r="AA58" s="859">
        <f t="shared" si="82"/>
        <v>71</v>
      </c>
      <c r="AB58" s="921"/>
      <c r="AC58" s="849" t="str">
        <f t="shared" si="83"/>
        <v>TJSC</v>
      </c>
      <c r="AD58" s="929" t="e">
        <f ca="1">_xludf.ifna(VLOOKUP(AC58,'R3_G1'!$A$8:$C$17,3,FALSE),_xludf.ifna(VLOOKUP(AC58,'R3_G2'!$A$8:$C$17,3,FALSE),_xludf.ifna(VLOOKUP(AC58,'R3_G3'!$A$8:$C$17,3,FALSE),VLOOKUP(AC58,'R3_G4'!$A$8:$C$17,3,FALSE))))</f>
        <v>#NAME?</v>
      </c>
      <c r="AE58" s="857"/>
      <c r="AF58" s="832"/>
      <c r="AG58" s="859" t="e">
        <f t="shared" ref="AG58:AX58" ca="1" si="97">IF(E58="","",E58-IF($B58&gt;0,FLOOR($B58/18,1),0)-IF(AND(MOD($B58,18)&gt;=E$51,$B58&gt;0),1,0)+IF(E$51-18&gt;$B58,1,0))</f>
        <v>#NAME?</v>
      </c>
      <c r="AH58" s="859" t="e">
        <f t="shared" ca="1" si="97"/>
        <v>#NAME?</v>
      </c>
      <c r="AI58" s="859" t="e">
        <f t="shared" ca="1" si="97"/>
        <v>#NAME?</v>
      </c>
      <c r="AJ58" s="859" t="e">
        <f t="shared" ca="1" si="97"/>
        <v>#NAME?</v>
      </c>
      <c r="AK58" s="859" t="e">
        <f t="shared" ca="1" si="97"/>
        <v>#NAME?</v>
      </c>
      <c r="AL58" s="859" t="e">
        <f t="shared" ca="1" si="97"/>
        <v>#NAME?</v>
      </c>
      <c r="AM58" s="859" t="e">
        <f t="shared" ca="1" si="97"/>
        <v>#NAME?</v>
      </c>
      <c r="AN58" s="859" t="e">
        <f t="shared" ca="1" si="97"/>
        <v>#NAME?</v>
      </c>
      <c r="AO58" s="859" t="e">
        <f t="shared" ca="1" si="97"/>
        <v>#NAME?</v>
      </c>
      <c r="AP58" s="852" t="e">
        <f t="shared" ca="1" si="97"/>
        <v>#NAME?</v>
      </c>
      <c r="AQ58" s="852" t="e">
        <f t="shared" ca="1" si="97"/>
        <v>#NAME?</v>
      </c>
      <c r="AR58" s="852" t="e">
        <f t="shared" ca="1" si="97"/>
        <v>#NAME?</v>
      </c>
      <c r="AS58" s="852" t="e">
        <f t="shared" ca="1" si="97"/>
        <v>#NAME?</v>
      </c>
      <c r="AT58" s="852" t="e">
        <f t="shared" ca="1" si="97"/>
        <v>#NAME?</v>
      </c>
      <c r="AU58" s="852" t="e">
        <f t="shared" ca="1" si="97"/>
        <v>#NAME?</v>
      </c>
      <c r="AV58" s="852" t="e">
        <f t="shared" ca="1" si="97"/>
        <v>#NAME?</v>
      </c>
      <c r="AW58" s="852" t="e">
        <f t="shared" ca="1" si="97"/>
        <v>#NAME?</v>
      </c>
      <c r="AX58" s="852" t="e">
        <f t="shared" ca="1" si="97"/>
        <v>#NAME?</v>
      </c>
      <c r="AY58" s="859" t="e">
        <f t="shared" ca="1" si="77"/>
        <v>#NAME?</v>
      </c>
      <c r="AZ58" s="859" t="e">
        <f t="shared" ca="1" si="78"/>
        <v>#NAME?</v>
      </c>
      <c r="BA58" s="859" t="str">
        <f t="shared" ca="1" si="85"/>
        <v/>
      </c>
      <c r="BB58" s="857" t="e">
        <f ca="1">IF(COUNTIF('R3_G1'!$A$8:$A$17,$A58)=1, IF(AND(BA58=Z58,BA58=VLOOKUP($A58,'R3_G1'!$A$8:$AB$17, 28,FALSE)),"yes","no"),
IF(COUNTIF('R3_G2'!$A$8:$A$17,$A58)=1, IF(AND(BA58=Z58,BA58=VLOOKUP($A58,'R3_G2'!$A$8:$AB$17, 28,FALSE)),"yes","no"),
IF(COUNTIF('R3_G3'!$A$8:$A$17,$A58)=1, IF(AND(BA58=Z58,BA58=VLOOKUP($A58,'R3_G3'!$A$8:$AB$17, 28,FALSE)),"yes","no"),
IF(COUNTIF('R3_G4'!$A$8:$A$17,$A58)=1, IF(AND(BA58=Z58,BA58=VLOOKUP($A58,'R3_G4'!$A$8:$AB$17, 28,FALSE)),"yes","no"),
"?"))))</f>
        <v>#NAME?</v>
      </c>
      <c r="BC58" s="921"/>
      <c r="BD58" s="860" t="e">
        <f t="shared" ca="1" si="86"/>
        <v>#NAME?</v>
      </c>
      <c r="BE58" s="861" t="e">
        <f t="shared" ca="1" si="87"/>
        <v>#NAME?</v>
      </c>
      <c r="BF58" s="861">
        <f t="shared" ca="1" si="88"/>
        <v>0</v>
      </c>
      <c r="BG58" s="861">
        <f t="shared" ca="1" si="89"/>
        <v>0</v>
      </c>
      <c r="BH58" s="861">
        <f t="shared" ca="1" si="90"/>
        <v>0</v>
      </c>
      <c r="BI58" s="861">
        <f t="shared" ca="1" si="91"/>
        <v>0</v>
      </c>
      <c r="BJ58" s="861">
        <f t="shared" ca="1" si="92"/>
        <v>0</v>
      </c>
    </row>
    <row r="59" spans="1:62" ht="14.25" customHeight="1">
      <c r="A59" s="849" t="str">
        <f t="shared" si="79"/>
        <v>DK</v>
      </c>
      <c r="B59" s="932" t="e">
        <f ca="1">_xludf.ifna(VLOOKUP(A59,'R3_G1'!$A$8:$C$17,3,FALSE),_xludf.ifna(VLOOKUP(A59,'R3_G2'!$A$8:$C$17,3,FALSE),_xludf.ifna(VLOOKUP(A59,'R3_G3'!$A$8:$C$17,3,FALSE),VLOOKUP(A59,'R3_G4'!$A$8:$C$17,3,FALSE))))</f>
        <v>#NAME?</v>
      </c>
      <c r="C59" s="849"/>
      <c r="D59" s="851"/>
      <c r="E59" s="852">
        <f>IF(COUNTIF('R3_G1'!$A$8:$A$17,$A59)=1,VLOOKUP($A59,'R3_G1'!$A$8:$Y$17, E$2+4,FALSE),IF(COUNTIF('R3_G2'!$A$8:$A$17,$A59)=1,VLOOKUP($A59,'R3_G2'!$A$8:$Y$17, E$2+4,FALSE),IF(COUNTIF('R3_G3'!$A$8:$A$17,$A59)=1,VLOOKUP($A59,'R3_G3'!$A$8:$Y$17, E$2+4,FALSE),IF(COUNTIF('R3_G4'!$A$8:$A$17,$A59)=1,VLOOKUP($A59,'R3_G4'!$A$8:$Y$17, E$2+4,FALSE),""))))</f>
        <v>4</v>
      </c>
      <c r="F59" s="852">
        <f>IF(COUNTIF('R3_G1'!$A$8:$A$17,$A59)=1,VLOOKUP($A59,'R3_G1'!$A$8:$Y$17, F$2+4,FALSE),IF(COUNTIF('R3_G2'!$A$8:$A$17,$A59)=1,VLOOKUP($A59,'R3_G2'!$A$8:$Y$17, F$2+4,FALSE),IF(COUNTIF('R3_G3'!$A$8:$A$17,$A59)=1,VLOOKUP($A59,'R3_G3'!$A$8:$Y$17, F$2+4,FALSE),IF(COUNTIF('R3_G4'!$A$8:$A$17,$A59)=1,VLOOKUP($A59,'R3_G4'!$A$8:$Y$17, F$2+4,FALSE),""))))</f>
        <v>4</v>
      </c>
      <c r="G59" s="852">
        <f>IF(COUNTIF('R3_G1'!$A$8:$A$17,$A59)=1,VLOOKUP($A59,'R3_G1'!$A$8:$Y$17, G$2+4,FALSE),IF(COUNTIF('R3_G2'!$A$8:$A$17,$A59)=1,VLOOKUP($A59,'R3_G2'!$A$8:$Y$17, G$2+4,FALSE),IF(COUNTIF('R3_G3'!$A$8:$A$17,$A59)=1,VLOOKUP($A59,'R3_G3'!$A$8:$Y$17, G$2+4,FALSE),IF(COUNTIF('R3_G4'!$A$8:$A$17,$A59)=1,VLOOKUP($A59,'R3_G4'!$A$8:$Y$17, G$2+4,FALSE),""))))</f>
        <v>5</v>
      </c>
      <c r="H59" s="852">
        <f>IF(COUNTIF('R3_G1'!$A$8:$A$17,$A59)=1,VLOOKUP($A59,'R3_G1'!$A$8:$Y$17, H$2+4,FALSE),IF(COUNTIF('R3_G2'!$A$8:$A$17,$A59)=1,VLOOKUP($A59,'R3_G2'!$A$8:$Y$17, H$2+4,FALSE),IF(COUNTIF('R3_G3'!$A$8:$A$17,$A59)=1,VLOOKUP($A59,'R3_G3'!$A$8:$Y$17, H$2+4,FALSE),IF(COUNTIF('R3_G4'!$A$8:$A$17,$A59)=1,VLOOKUP($A59,'R3_G4'!$A$8:$Y$17, H$2+4,FALSE),""))))</f>
        <v>4</v>
      </c>
      <c r="I59" s="852">
        <f>IF(COUNTIF('R3_G1'!$A$8:$A$17,$A59)=1,VLOOKUP($A59,'R3_G1'!$A$8:$Y$17, I$2+4,FALSE),IF(COUNTIF('R3_G2'!$A$8:$A$17,$A59)=1,VLOOKUP($A59,'R3_G2'!$A$8:$Y$17, I$2+4,FALSE),IF(COUNTIF('R3_G3'!$A$8:$A$17,$A59)=1,VLOOKUP($A59,'R3_G3'!$A$8:$Y$17, I$2+4,FALSE),IF(COUNTIF('R3_G4'!$A$8:$A$17,$A59)=1,VLOOKUP($A59,'R3_G4'!$A$8:$Y$17, I$2+4,FALSE),""))))</f>
        <v>3</v>
      </c>
      <c r="J59" s="852">
        <f>IF(COUNTIF('R3_G1'!$A$8:$A$17,$A59)=1,VLOOKUP($A59,'R3_G1'!$A$8:$Y$17, J$2+4,FALSE),IF(COUNTIF('R3_G2'!$A$8:$A$17,$A59)=1,VLOOKUP($A59,'R3_G2'!$A$8:$Y$17, J$2+4,FALSE),IF(COUNTIF('R3_G3'!$A$8:$A$17,$A59)=1,VLOOKUP($A59,'R3_G3'!$A$8:$Y$17, J$2+4,FALSE),IF(COUNTIF('R3_G4'!$A$8:$A$17,$A59)=1,VLOOKUP($A59,'R3_G4'!$A$8:$Y$17, J$2+4,FALSE),""))))</f>
        <v>5</v>
      </c>
      <c r="K59" s="852">
        <f>IF(COUNTIF('R3_G1'!$A$8:$A$17,$A59)=1,VLOOKUP($A59,'R3_G1'!$A$8:$Y$17, K$2+4,FALSE),IF(COUNTIF('R3_G2'!$A$8:$A$17,$A59)=1,VLOOKUP($A59,'R3_G2'!$A$8:$Y$17, K$2+4,FALSE),IF(COUNTIF('R3_G3'!$A$8:$A$17,$A59)=1,VLOOKUP($A59,'R3_G3'!$A$8:$Y$17, K$2+4,FALSE),IF(COUNTIF('R3_G4'!$A$8:$A$17,$A59)=1,VLOOKUP($A59,'R3_G4'!$A$8:$Y$17, K$2+4,FALSE),""))))</f>
        <v>5</v>
      </c>
      <c r="L59" s="852">
        <f>IF(COUNTIF('R3_G1'!$A$8:$A$17,$A59)=1,VLOOKUP($A59,'R3_G1'!$A$8:$Y$17, L$2+4,FALSE),IF(COUNTIF('R3_G2'!$A$8:$A$17,$A59)=1,VLOOKUP($A59,'R3_G2'!$A$8:$Y$17, L$2+4,FALSE),IF(COUNTIF('R3_G3'!$A$8:$A$17,$A59)=1,VLOOKUP($A59,'R3_G3'!$A$8:$Y$17, L$2+4,FALSE),IF(COUNTIF('R3_G4'!$A$8:$A$17,$A59)=1,VLOOKUP($A59,'R3_G4'!$A$8:$Y$17, L$2+4,FALSE),""))))</f>
        <v>4</v>
      </c>
      <c r="M59" s="852">
        <f>IF(COUNTIF('R3_G1'!$A$8:$A$17,$A59)=1,VLOOKUP($A59,'R3_G1'!$A$8:$Y$17, M$2+4,FALSE),IF(COUNTIF('R3_G2'!$A$8:$A$17,$A59)=1,VLOOKUP($A59,'R3_G2'!$A$8:$Y$17, M$2+4,FALSE),IF(COUNTIF('R3_G3'!$A$8:$A$17,$A59)=1,VLOOKUP($A59,'R3_G3'!$A$8:$Y$17, M$2+4,FALSE),IF(COUNTIF('R3_G4'!$A$8:$A$17,$A59)=1,VLOOKUP($A59,'R3_G4'!$A$8:$Y$17, M$2+4,FALSE),""))))</f>
        <v>2</v>
      </c>
      <c r="N59" s="853">
        <f>IF(COUNTIF('R3_G1'!$A$8:$A$17,$A59)=1,VLOOKUP($A59,'R3_G1'!$A$8:$Y$17, N$2+7,FALSE),IF(COUNTIF('R3_G2'!$A$8:$A$17,$A59)=1,VLOOKUP($A59,'R3_G2'!$A$8:$Y$17, N$2+7,FALSE),IF(COUNTIF('R3_G3'!$A$8:$A$17,$A59)=1,VLOOKUP($A59,'R3_G3'!$A$8:$Y$17, N$2+7,FALSE),IF(COUNTIF('R3_G4'!$A$8:$A$17,$A59)=1,VLOOKUP($A59,'R3_G4'!$A$8:$Y$17, N$2+7,FALSE),""))))</f>
        <v>4</v>
      </c>
      <c r="O59" s="853">
        <f>IF(COUNTIF('R3_G1'!$A$8:$A$17,$A59)=1,VLOOKUP($A59,'R3_G1'!$A$8:$Y$17, O$2+7,FALSE),IF(COUNTIF('R3_G2'!$A$8:$A$17,$A59)=1,VLOOKUP($A59,'R3_G2'!$A$8:$Y$17, O$2+7,FALSE),IF(COUNTIF('R3_G3'!$A$8:$A$17,$A59)=1,VLOOKUP($A59,'R3_G3'!$A$8:$Y$17, O$2+7,FALSE),IF(COUNTIF('R3_G4'!$A$8:$A$17,$A59)=1,VLOOKUP($A59,'R3_G4'!$A$8:$Y$17, O$2+7,FALSE),""))))</f>
        <v>5</v>
      </c>
      <c r="P59" s="853">
        <f>IF(COUNTIF('R3_G1'!$A$8:$A$17,$A59)=1,VLOOKUP($A59,'R3_G1'!$A$8:$Y$17, P$2+7,FALSE),IF(COUNTIF('R3_G2'!$A$8:$A$17,$A59)=1,VLOOKUP($A59,'R3_G2'!$A$8:$Y$17, P$2+7,FALSE),IF(COUNTIF('R3_G3'!$A$8:$A$17,$A59)=1,VLOOKUP($A59,'R3_G3'!$A$8:$Y$17, P$2+7,FALSE),IF(COUNTIF('R3_G4'!$A$8:$A$17,$A59)=1,VLOOKUP($A59,'R3_G4'!$A$8:$Y$17, P$2+7,FALSE),""))))</f>
        <v>3</v>
      </c>
      <c r="Q59" s="853">
        <f>IF(COUNTIF('R3_G1'!$A$8:$A$17,$A59)=1,VLOOKUP($A59,'R3_G1'!$A$8:$Y$17, Q$2+7,FALSE),IF(COUNTIF('R3_G2'!$A$8:$A$17,$A59)=1,VLOOKUP($A59,'R3_G2'!$A$8:$Y$17, Q$2+7,FALSE),IF(COUNTIF('R3_G3'!$A$8:$A$17,$A59)=1,VLOOKUP($A59,'R3_G3'!$A$8:$Y$17, Q$2+7,FALSE),IF(COUNTIF('R3_G4'!$A$8:$A$17,$A59)=1,VLOOKUP($A59,'R3_G4'!$A$8:$Y$17, Q$2+7,FALSE),""))))</f>
        <v>4</v>
      </c>
      <c r="R59" s="853">
        <f>IF(COUNTIF('R3_G1'!$A$8:$A$17,$A59)=1,VLOOKUP($A59,'R3_G1'!$A$8:$Y$17, R$2+7,FALSE),IF(COUNTIF('R3_G2'!$A$8:$A$17,$A59)=1,VLOOKUP($A59,'R3_G2'!$A$8:$Y$17, R$2+7,FALSE),IF(COUNTIF('R3_G3'!$A$8:$A$17,$A59)=1,VLOOKUP($A59,'R3_G3'!$A$8:$Y$17, R$2+7,FALSE),IF(COUNTIF('R3_G4'!$A$8:$A$17,$A59)=1,VLOOKUP($A59,'R3_G4'!$A$8:$Y$17, R$2+7,FALSE),""))))</f>
        <v>3</v>
      </c>
      <c r="S59" s="853">
        <f>IF(COUNTIF('R3_G1'!$A$8:$A$17,$A59)=1,VLOOKUP($A59,'R3_G1'!$A$8:$Y$17, S$2+7,FALSE),IF(COUNTIF('R3_G2'!$A$8:$A$17,$A59)=1,VLOOKUP($A59,'R3_G2'!$A$8:$Y$17, S$2+7,FALSE),IF(COUNTIF('R3_G3'!$A$8:$A$17,$A59)=1,VLOOKUP($A59,'R3_G3'!$A$8:$Y$17, S$2+7,FALSE),IF(COUNTIF('R3_G4'!$A$8:$A$17,$A59)=1,VLOOKUP($A59,'R3_G4'!$A$8:$Y$17, S$2+7,FALSE),""))))</f>
        <v>5</v>
      </c>
      <c r="T59" s="853">
        <f>IF(COUNTIF('R3_G1'!$A$8:$A$17,$A59)=1,VLOOKUP($A59,'R3_G1'!$A$8:$Y$17, T$2+7,FALSE),IF(COUNTIF('R3_G2'!$A$8:$A$17,$A59)=1,VLOOKUP($A59,'R3_G2'!$A$8:$Y$17, T$2+7,FALSE),IF(COUNTIF('R3_G3'!$A$8:$A$17,$A59)=1,VLOOKUP($A59,'R3_G3'!$A$8:$Y$17, T$2+7,FALSE),IF(COUNTIF('R3_G4'!$A$8:$A$17,$A59)=1,VLOOKUP($A59,'R3_G4'!$A$8:$Y$17, T$2+7,FALSE),""))))</f>
        <v>4</v>
      </c>
      <c r="U59" s="853">
        <f>IF(COUNTIF('R3_G1'!$A$8:$A$17,$A59)=1,VLOOKUP($A59,'R3_G1'!$A$8:$Y$17, U$2+7,FALSE),IF(COUNTIF('R3_G2'!$A$8:$A$17,$A59)=1,VLOOKUP($A59,'R3_G2'!$A$8:$Y$17, U$2+7,FALSE),IF(COUNTIF('R3_G3'!$A$8:$A$17,$A59)=1,VLOOKUP($A59,'R3_G3'!$A$8:$Y$17, U$2+7,FALSE),IF(COUNTIF('R3_G4'!$A$8:$A$17,$A59)=1,VLOOKUP($A59,'R3_G4'!$A$8:$Y$17, U$2+7,FALSE),""))))</f>
        <v>4</v>
      </c>
      <c r="V59" s="853">
        <f>IF(COUNTIF('R3_G1'!$A$8:$A$17,$A59)=1,VLOOKUP($A59,'R3_G1'!$A$8:$Y$17, V$2+7,FALSE),IF(COUNTIF('R3_G2'!$A$8:$A$17,$A59)=1,VLOOKUP($A59,'R3_G2'!$A$8:$Y$17, V$2+7,FALSE),IF(COUNTIF('R3_G3'!$A$8:$A$17,$A59)=1,VLOOKUP($A59,'R3_G3'!$A$8:$Y$17, V$2+7,FALSE),IF(COUNTIF('R3_G4'!$A$8:$A$17,$A59)=1,VLOOKUP($A59,'R3_G4'!$A$8:$Y$17, V$2+7,FALSE),""))))</f>
        <v>5</v>
      </c>
      <c r="W59" s="852">
        <f t="shared" si="74"/>
        <v>36</v>
      </c>
      <c r="X59" s="852">
        <f t="shared" si="75"/>
        <v>37</v>
      </c>
      <c r="Y59" s="852">
        <f t="shared" si="80"/>
        <v>73</v>
      </c>
      <c r="Z59" s="930" t="e">
        <f t="shared" ca="1" si="81"/>
        <v>#NAME?</v>
      </c>
      <c r="AA59" s="852">
        <f t="shared" si="82"/>
        <v>73</v>
      </c>
      <c r="AB59" s="921"/>
      <c r="AC59" s="849" t="str">
        <f t="shared" si="83"/>
        <v>DK</v>
      </c>
      <c r="AD59" s="932" t="e">
        <f ca="1">_xludf.ifna(VLOOKUP(AC59,'R3_G1'!$A$8:$C$17,3,FALSE),_xludf.ifna(VLOOKUP(AC59,'R3_G2'!$A$8:$C$17,3,FALSE),_xludf.ifna(VLOOKUP(AC59,'R3_G3'!$A$8:$C$17,3,FALSE),VLOOKUP(AC59,'R3_G4'!$A$8:$C$17,3,FALSE))))</f>
        <v>#NAME?</v>
      </c>
      <c r="AE59" s="849"/>
      <c r="AF59" s="832"/>
      <c r="AG59" s="852" t="e">
        <f t="shared" ref="AG59:AX59" ca="1" si="98">IF(E59="","",E59-IF($B59&gt;0,FLOOR($B59/18,1),0)-IF(AND(MOD($B59,18)&gt;=E$51,$B59&gt;0),1,0)+IF(E$51-18&gt;$B59,1,0))</f>
        <v>#NAME?</v>
      </c>
      <c r="AH59" s="852" t="e">
        <f t="shared" ca="1" si="98"/>
        <v>#NAME?</v>
      </c>
      <c r="AI59" s="852" t="e">
        <f t="shared" ca="1" si="98"/>
        <v>#NAME?</v>
      </c>
      <c r="AJ59" s="852" t="e">
        <f t="shared" ca="1" si="98"/>
        <v>#NAME?</v>
      </c>
      <c r="AK59" s="852" t="e">
        <f t="shared" ca="1" si="98"/>
        <v>#NAME?</v>
      </c>
      <c r="AL59" s="852" t="e">
        <f t="shared" ca="1" si="98"/>
        <v>#NAME?</v>
      </c>
      <c r="AM59" s="852" t="e">
        <f t="shared" ca="1" si="98"/>
        <v>#NAME?</v>
      </c>
      <c r="AN59" s="852" t="e">
        <f t="shared" ca="1" si="98"/>
        <v>#NAME?</v>
      </c>
      <c r="AO59" s="852" t="e">
        <f t="shared" ca="1" si="98"/>
        <v>#NAME?</v>
      </c>
      <c r="AP59" s="853" t="e">
        <f t="shared" ca="1" si="98"/>
        <v>#NAME?</v>
      </c>
      <c r="AQ59" s="853" t="e">
        <f t="shared" ca="1" si="98"/>
        <v>#NAME?</v>
      </c>
      <c r="AR59" s="853" t="e">
        <f t="shared" ca="1" si="98"/>
        <v>#NAME?</v>
      </c>
      <c r="AS59" s="853" t="e">
        <f t="shared" ca="1" si="98"/>
        <v>#NAME?</v>
      </c>
      <c r="AT59" s="853" t="e">
        <f t="shared" ca="1" si="98"/>
        <v>#NAME?</v>
      </c>
      <c r="AU59" s="853" t="e">
        <f t="shared" ca="1" si="98"/>
        <v>#NAME?</v>
      </c>
      <c r="AV59" s="853" t="e">
        <f t="shared" ca="1" si="98"/>
        <v>#NAME?</v>
      </c>
      <c r="AW59" s="853" t="e">
        <f t="shared" ca="1" si="98"/>
        <v>#NAME?</v>
      </c>
      <c r="AX59" s="853" t="e">
        <f t="shared" ca="1" si="98"/>
        <v>#NAME?</v>
      </c>
      <c r="AY59" s="852" t="e">
        <f t="shared" ca="1" si="77"/>
        <v>#NAME?</v>
      </c>
      <c r="AZ59" s="852" t="e">
        <f t="shared" ca="1" si="78"/>
        <v>#NAME?</v>
      </c>
      <c r="BA59" s="852" t="str">
        <f t="shared" ca="1" si="85"/>
        <v/>
      </c>
      <c r="BB59" s="849" t="e">
        <f ca="1">IF(COUNTIF('R3_G1'!$A$8:$A$17,$A59)=1, IF(AND(BA59=Z59,BA59=VLOOKUP($A59,'R3_G1'!$A$8:$AB$17, 28,FALSE)),"yes","no"),
IF(COUNTIF('R3_G2'!$A$8:$A$17,$A59)=1, IF(AND(BA59=Z59,BA59=VLOOKUP($A59,'R3_G2'!$A$8:$AB$17, 28,FALSE)),"yes","no"),
IF(COUNTIF('R3_G3'!$A$8:$A$17,$A59)=1, IF(AND(BA59=Z59,BA59=VLOOKUP($A59,'R3_G3'!$A$8:$AB$17, 28,FALSE)),"yes","no"),
IF(COUNTIF('R3_G4'!$A$8:$A$17,$A59)=1, IF(AND(BA59=Z59,BA59=VLOOKUP($A59,'R3_G4'!$A$8:$AB$17, 28,FALSE)),"yes","no"),
"?"))))</f>
        <v>#NAME?</v>
      </c>
      <c r="BC59" s="921"/>
      <c r="BD59" s="862" t="e">
        <f t="shared" ca="1" si="86"/>
        <v>#NAME?</v>
      </c>
      <c r="BE59" s="855" t="e">
        <f t="shared" ca="1" si="87"/>
        <v>#NAME?</v>
      </c>
      <c r="BF59" s="855">
        <f t="shared" ca="1" si="88"/>
        <v>0</v>
      </c>
      <c r="BG59" s="855">
        <f t="shared" ca="1" si="89"/>
        <v>0</v>
      </c>
      <c r="BH59" s="855">
        <f t="shared" ca="1" si="90"/>
        <v>0</v>
      </c>
      <c r="BI59" s="855">
        <f t="shared" ca="1" si="91"/>
        <v>0</v>
      </c>
      <c r="BJ59" s="855">
        <f t="shared" ca="1" si="92"/>
        <v>0</v>
      </c>
    </row>
    <row r="60" spans="1:62" ht="14.25" customHeight="1">
      <c r="A60" s="857" t="str">
        <f t="shared" si="79"/>
        <v>Saugy</v>
      </c>
      <c r="B60" s="932" t="e">
        <f ca="1">_xludf.ifna(VLOOKUP(A60,'R3_G1'!$A$8:$C$17,3,FALSE),_xludf.ifna(VLOOKUP(A60,'R3_G2'!$A$8:$C$17,3,FALSE),_xludf.ifna(VLOOKUP(A60,'R3_G3'!$A$8:$C$17,3,FALSE),VLOOKUP(A60,'R3_G4'!$A$8:$C$17,3,FALSE))))</f>
        <v>#NAME?</v>
      </c>
      <c r="C60" s="857"/>
      <c r="D60" s="851"/>
      <c r="E60" s="859">
        <f>IF(COUNTIF('R3_G1'!$A$8:$A$17,$A60)=1,VLOOKUP($A60,'R3_G1'!$A$8:$Y$17, E$2+4,FALSE),IF(COUNTIF('R3_G2'!$A$8:$A$17,$A60)=1,VLOOKUP($A60,'R3_G2'!$A$8:$Y$17, E$2+4,FALSE),IF(COUNTIF('R3_G3'!$A$8:$A$17,$A60)=1,VLOOKUP($A60,'R3_G3'!$A$8:$Y$17, E$2+4,FALSE),IF(COUNTIF('R3_G4'!$A$8:$A$17,$A60)=1,VLOOKUP($A60,'R3_G4'!$A$8:$Y$17, E$2+4,FALSE),""))))</f>
        <v>4</v>
      </c>
      <c r="F60" s="859">
        <f>IF(COUNTIF('R3_G1'!$A$8:$A$17,$A60)=1,VLOOKUP($A60,'R3_G1'!$A$8:$Y$17, F$2+4,FALSE),IF(COUNTIF('R3_G2'!$A$8:$A$17,$A60)=1,VLOOKUP($A60,'R3_G2'!$A$8:$Y$17, F$2+4,FALSE),IF(COUNTIF('R3_G3'!$A$8:$A$17,$A60)=1,VLOOKUP($A60,'R3_G3'!$A$8:$Y$17, F$2+4,FALSE),IF(COUNTIF('R3_G4'!$A$8:$A$17,$A60)=1,VLOOKUP($A60,'R3_G4'!$A$8:$Y$17, F$2+4,FALSE),""))))</f>
        <v>4</v>
      </c>
      <c r="G60" s="859">
        <f>IF(COUNTIF('R3_G1'!$A$8:$A$17,$A60)=1,VLOOKUP($A60,'R3_G1'!$A$8:$Y$17, G$2+4,FALSE),IF(COUNTIF('R3_G2'!$A$8:$A$17,$A60)=1,VLOOKUP($A60,'R3_G2'!$A$8:$Y$17, G$2+4,FALSE),IF(COUNTIF('R3_G3'!$A$8:$A$17,$A60)=1,VLOOKUP($A60,'R3_G3'!$A$8:$Y$17, G$2+4,FALSE),IF(COUNTIF('R3_G4'!$A$8:$A$17,$A60)=1,VLOOKUP($A60,'R3_G4'!$A$8:$Y$17, G$2+4,FALSE),""))))</f>
        <v>5</v>
      </c>
      <c r="H60" s="859">
        <f>IF(COUNTIF('R3_G1'!$A$8:$A$17,$A60)=1,VLOOKUP($A60,'R3_G1'!$A$8:$Y$17, H$2+4,FALSE),IF(COUNTIF('R3_G2'!$A$8:$A$17,$A60)=1,VLOOKUP($A60,'R3_G2'!$A$8:$Y$17, H$2+4,FALSE),IF(COUNTIF('R3_G3'!$A$8:$A$17,$A60)=1,VLOOKUP($A60,'R3_G3'!$A$8:$Y$17, H$2+4,FALSE),IF(COUNTIF('R3_G4'!$A$8:$A$17,$A60)=1,VLOOKUP($A60,'R3_G4'!$A$8:$Y$17, H$2+4,FALSE),""))))</f>
        <v>4</v>
      </c>
      <c r="I60" s="859">
        <f>IF(COUNTIF('R3_G1'!$A$8:$A$17,$A60)=1,VLOOKUP($A60,'R3_G1'!$A$8:$Y$17, I$2+4,FALSE),IF(COUNTIF('R3_G2'!$A$8:$A$17,$A60)=1,VLOOKUP($A60,'R3_G2'!$A$8:$Y$17, I$2+4,FALSE),IF(COUNTIF('R3_G3'!$A$8:$A$17,$A60)=1,VLOOKUP($A60,'R3_G3'!$A$8:$Y$17, I$2+4,FALSE),IF(COUNTIF('R3_G4'!$A$8:$A$17,$A60)=1,VLOOKUP($A60,'R3_G4'!$A$8:$Y$17, I$2+4,FALSE),""))))</f>
        <v>3</v>
      </c>
      <c r="J60" s="859">
        <f>IF(COUNTIF('R3_G1'!$A$8:$A$17,$A60)=1,VLOOKUP($A60,'R3_G1'!$A$8:$Y$17, J$2+4,FALSE),IF(COUNTIF('R3_G2'!$A$8:$A$17,$A60)=1,VLOOKUP($A60,'R3_G2'!$A$8:$Y$17, J$2+4,FALSE),IF(COUNTIF('R3_G3'!$A$8:$A$17,$A60)=1,VLOOKUP($A60,'R3_G3'!$A$8:$Y$17, J$2+4,FALSE),IF(COUNTIF('R3_G4'!$A$8:$A$17,$A60)=1,VLOOKUP($A60,'R3_G4'!$A$8:$Y$17, J$2+4,FALSE),""))))</f>
        <v>5</v>
      </c>
      <c r="K60" s="859">
        <f>IF(COUNTIF('R3_G1'!$A$8:$A$17,$A60)=1,VLOOKUP($A60,'R3_G1'!$A$8:$Y$17, K$2+4,FALSE),IF(COUNTIF('R3_G2'!$A$8:$A$17,$A60)=1,VLOOKUP($A60,'R3_G2'!$A$8:$Y$17, K$2+4,FALSE),IF(COUNTIF('R3_G3'!$A$8:$A$17,$A60)=1,VLOOKUP($A60,'R3_G3'!$A$8:$Y$17, K$2+4,FALSE),IF(COUNTIF('R3_G4'!$A$8:$A$17,$A60)=1,VLOOKUP($A60,'R3_G4'!$A$8:$Y$17, K$2+4,FALSE),""))))</f>
        <v>5</v>
      </c>
      <c r="L60" s="859">
        <f>IF(COUNTIF('R3_G1'!$A$8:$A$17,$A60)=1,VLOOKUP($A60,'R3_G1'!$A$8:$Y$17, L$2+4,FALSE),IF(COUNTIF('R3_G2'!$A$8:$A$17,$A60)=1,VLOOKUP($A60,'R3_G2'!$A$8:$Y$17, L$2+4,FALSE),IF(COUNTIF('R3_G3'!$A$8:$A$17,$A60)=1,VLOOKUP($A60,'R3_G3'!$A$8:$Y$17, L$2+4,FALSE),IF(COUNTIF('R3_G4'!$A$8:$A$17,$A60)=1,VLOOKUP($A60,'R3_G4'!$A$8:$Y$17, L$2+4,FALSE),""))))</f>
        <v>4</v>
      </c>
      <c r="M60" s="859">
        <f>IF(COUNTIF('R3_G1'!$A$8:$A$17,$A60)=1,VLOOKUP($A60,'R3_G1'!$A$8:$Y$17, M$2+4,FALSE),IF(COUNTIF('R3_G2'!$A$8:$A$17,$A60)=1,VLOOKUP($A60,'R3_G2'!$A$8:$Y$17, M$2+4,FALSE),IF(COUNTIF('R3_G3'!$A$8:$A$17,$A60)=1,VLOOKUP($A60,'R3_G3'!$A$8:$Y$17, M$2+4,FALSE),IF(COUNTIF('R3_G4'!$A$8:$A$17,$A60)=1,VLOOKUP($A60,'R3_G4'!$A$8:$Y$17, M$2+4,FALSE),""))))</f>
        <v>2</v>
      </c>
      <c r="N60" s="852">
        <f>IF(COUNTIF('R3_G1'!$A$8:$A$17,$A60)=1,VLOOKUP($A60,'R3_G1'!$A$8:$Y$17, N$2+7,FALSE),IF(COUNTIF('R3_G2'!$A$8:$A$17,$A60)=1,VLOOKUP($A60,'R3_G2'!$A$8:$Y$17, N$2+7,FALSE),IF(COUNTIF('R3_G3'!$A$8:$A$17,$A60)=1,VLOOKUP($A60,'R3_G3'!$A$8:$Y$17, N$2+7,FALSE),IF(COUNTIF('R3_G4'!$A$8:$A$17,$A60)=1,VLOOKUP($A60,'R3_G4'!$A$8:$Y$17, N$2+7,FALSE),""))))</f>
        <v>4</v>
      </c>
      <c r="O60" s="852">
        <f>IF(COUNTIF('R3_G1'!$A$8:$A$17,$A60)=1,VLOOKUP($A60,'R3_G1'!$A$8:$Y$17, O$2+7,FALSE),IF(COUNTIF('R3_G2'!$A$8:$A$17,$A60)=1,VLOOKUP($A60,'R3_G2'!$A$8:$Y$17, O$2+7,FALSE),IF(COUNTIF('R3_G3'!$A$8:$A$17,$A60)=1,VLOOKUP($A60,'R3_G3'!$A$8:$Y$17, O$2+7,FALSE),IF(COUNTIF('R3_G4'!$A$8:$A$17,$A60)=1,VLOOKUP($A60,'R3_G4'!$A$8:$Y$17, O$2+7,FALSE),""))))</f>
        <v>5</v>
      </c>
      <c r="P60" s="852">
        <f>IF(COUNTIF('R3_G1'!$A$8:$A$17,$A60)=1,VLOOKUP($A60,'R3_G1'!$A$8:$Y$17, P$2+7,FALSE),IF(COUNTIF('R3_G2'!$A$8:$A$17,$A60)=1,VLOOKUP($A60,'R3_G2'!$A$8:$Y$17, P$2+7,FALSE),IF(COUNTIF('R3_G3'!$A$8:$A$17,$A60)=1,VLOOKUP($A60,'R3_G3'!$A$8:$Y$17, P$2+7,FALSE),IF(COUNTIF('R3_G4'!$A$8:$A$17,$A60)=1,VLOOKUP($A60,'R3_G4'!$A$8:$Y$17, P$2+7,FALSE),""))))</f>
        <v>3</v>
      </c>
      <c r="Q60" s="852">
        <f>IF(COUNTIF('R3_G1'!$A$8:$A$17,$A60)=1,VLOOKUP($A60,'R3_G1'!$A$8:$Y$17, Q$2+7,FALSE),IF(COUNTIF('R3_G2'!$A$8:$A$17,$A60)=1,VLOOKUP($A60,'R3_G2'!$A$8:$Y$17, Q$2+7,FALSE),IF(COUNTIF('R3_G3'!$A$8:$A$17,$A60)=1,VLOOKUP($A60,'R3_G3'!$A$8:$Y$17, Q$2+7,FALSE),IF(COUNTIF('R3_G4'!$A$8:$A$17,$A60)=1,VLOOKUP($A60,'R3_G4'!$A$8:$Y$17, Q$2+7,FALSE),""))))</f>
        <v>4</v>
      </c>
      <c r="R60" s="852">
        <f>IF(COUNTIF('R3_G1'!$A$8:$A$17,$A60)=1,VLOOKUP($A60,'R3_G1'!$A$8:$Y$17, R$2+7,FALSE),IF(COUNTIF('R3_G2'!$A$8:$A$17,$A60)=1,VLOOKUP($A60,'R3_G2'!$A$8:$Y$17, R$2+7,FALSE),IF(COUNTIF('R3_G3'!$A$8:$A$17,$A60)=1,VLOOKUP($A60,'R3_G3'!$A$8:$Y$17, R$2+7,FALSE),IF(COUNTIF('R3_G4'!$A$8:$A$17,$A60)=1,VLOOKUP($A60,'R3_G4'!$A$8:$Y$17, R$2+7,FALSE),""))))</f>
        <v>3</v>
      </c>
      <c r="S60" s="852">
        <f>IF(COUNTIF('R3_G1'!$A$8:$A$17,$A60)=1,VLOOKUP($A60,'R3_G1'!$A$8:$Y$17, S$2+7,FALSE),IF(COUNTIF('R3_G2'!$A$8:$A$17,$A60)=1,VLOOKUP($A60,'R3_G2'!$A$8:$Y$17, S$2+7,FALSE),IF(COUNTIF('R3_G3'!$A$8:$A$17,$A60)=1,VLOOKUP($A60,'R3_G3'!$A$8:$Y$17, S$2+7,FALSE),IF(COUNTIF('R3_G4'!$A$8:$A$17,$A60)=1,VLOOKUP($A60,'R3_G4'!$A$8:$Y$17, S$2+7,FALSE),""))))</f>
        <v>5</v>
      </c>
      <c r="T60" s="852">
        <f>IF(COUNTIF('R3_G1'!$A$8:$A$17,$A60)=1,VLOOKUP($A60,'R3_G1'!$A$8:$Y$17, T$2+7,FALSE),IF(COUNTIF('R3_G2'!$A$8:$A$17,$A60)=1,VLOOKUP($A60,'R3_G2'!$A$8:$Y$17, T$2+7,FALSE),IF(COUNTIF('R3_G3'!$A$8:$A$17,$A60)=1,VLOOKUP($A60,'R3_G3'!$A$8:$Y$17, T$2+7,FALSE),IF(COUNTIF('R3_G4'!$A$8:$A$17,$A60)=1,VLOOKUP($A60,'R3_G4'!$A$8:$Y$17, T$2+7,FALSE),""))))</f>
        <v>4</v>
      </c>
      <c r="U60" s="852">
        <f>IF(COUNTIF('R3_G1'!$A$8:$A$17,$A60)=1,VLOOKUP($A60,'R3_G1'!$A$8:$Y$17, U$2+7,FALSE),IF(COUNTIF('R3_G2'!$A$8:$A$17,$A60)=1,VLOOKUP($A60,'R3_G2'!$A$8:$Y$17, U$2+7,FALSE),IF(COUNTIF('R3_G3'!$A$8:$A$17,$A60)=1,VLOOKUP($A60,'R3_G3'!$A$8:$Y$17, U$2+7,FALSE),IF(COUNTIF('R3_G4'!$A$8:$A$17,$A60)=1,VLOOKUP($A60,'R3_G4'!$A$8:$Y$17, U$2+7,FALSE),""))))</f>
        <v>4</v>
      </c>
      <c r="V60" s="852">
        <f>IF(COUNTIF('R3_G1'!$A$8:$A$17,$A60)=1,VLOOKUP($A60,'R3_G1'!$A$8:$Y$17, V$2+7,FALSE),IF(COUNTIF('R3_G2'!$A$8:$A$17,$A60)=1,VLOOKUP($A60,'R3_G2'!$A$8:$Y$17, V$2+7,FALSE),IF(COUNTIF('R3_G3'!$A$8:$A$17,$A60)=1,VLOOKUP($A60,'R3_G3'!$A$8:$Y$17, V$2+7,FALSE),IF(COUNTIF('R3_G4'!$A$8:$A$17,$A60)=1,VLOOKUP($A60,'R3_G4'!$A$8:$Y$17, V$2+7,FALSE),""))))</f>
        <v>5</v>
      </c>
      <c r="W60" s="859">
        <f t="shared" si="74"/>
        <v>36</v>
      </c>
      <c r="X60" s="859">
        <f t="shared" si="75"/>
        <v>37</v>
      </c>
      <c r="Y60" s="859">
        <f t="shared" si="80"/>
        <v>73</v>
      </c>
      <c r="Z60" s="931" t="e">
        <f t="shared" ca="1" si="81"/>
        <v>#NAME?</v>
      </c>
      <c r="AA60" s="859">
        <f t="shared" si="82"/>
        <v>73</v>
      </c>
      <c r="AB60" s="921"/>
      <c r="AC60" s="849" t="str">
        <f t="shared" si="83"/>
        <v>Saugy</v>
      </c>
      <c r="AD60" s="932" t="e">
        <f ca="1">_xludf.ifna(VLOOKUP(AC60,'R3_G1'!$A$8:$C$17,3,FALSE),_xludf.ifna(VLOOKUP(AC60,'R3_G2'!$A$8:$C$17,3,FALSE),_xludf.ifna(VLOOKUP(AC60,'R3_G3'!$A$8:$C$17,3,FALSE),VLOOKUP(AC60,'R3_G4'!$A$8:$C$17,3,FALSE))))</f>
        <v>#NAME?</v>
      </c>
      <c r="AE60" s="857"/>
      <c r="AF60" s="832"/>
      <c r="AG60" s="859" t="e">
        <f t="shared" ref="AG60:AX60" ca="1" si="99">IF(E60="","",E60-IF($B60&gt;0,FLOOR($B60/18,1),0)-IF(AND(MOD($B60,18)&gt;=E$51,$B60&gt;0),1,0)+IF(E$51-18&gt;$B60,1,0))</f>
        <v>#NAME?</v>
      </c>
      <c r="AH60" s="859" t="e">
        <f t="shared" ca="1" si="99"/>
        <v>#NAME?</v>
      </c>
      <c r="AI60" s="859" t="e">
        <f t="shared" ca="1" si="99"/>
        <v>#NAME?</v>
      </c>
      <c r="AJ60" s="859" t="e">
        <f t="shared" ca="1" si="99"/>
        <v>#NAME?</v>
      </c>
      <c r="AK60" s="859" t="e">
        <f t="shared" ca="1" si="99"/>
        <v>#NAME?</v>
      </c>
      <c r="AL60" s="859" t="e">
        <f t="shared" ca="1" si="99"/>
        <v>#NAME?</v>
      </c>
      <c r="AM60" s="859" t="e">
        <f t="shared" ca="1" si="99"/>
        <v>#NAME?</v>
      </c>
      <c r="AN60" s="859" t="e">
        <f t="shared" ca="1" si="99"/>
        <v>#NAME?</v>
      </c>
      <c r="AO60" s="859" t="e">
        <f t="shared" ca="1" si="99"/>
        <v>#NAME?</v>
      </c>
      <c r="AP60" s="852" t="e">
        <f t="shared" ca="1" si="99"/>
        <v>#NAME?</v>
      </c>
      <c r="AQ60" s="852" t="e">
        <f t="shared" ca="1" si="99"/>
        <v>#NAME?</v>
      </c>
      <c r="AR60" s="852" t="e">
        <f t="shared" ca="1" si="99"/>
        <v>#NAME?</v>
      </c>
      <c r="AS60" s="852" t="e">
        <f t="shared" ca="1" si="99"/>
        <v>#NAME?</v>
      </c>
      <c r="AT60" s="852" t="e">
        <f t="shared" ca="1" si="99"/>
        <v>#NAME?</v>
      </c>
      <c r="AU60" s="852" t="e">
        <f t="shared" ca="1" si="99"/>
        <v>#NAME?</v>
      </c>
      <c r="AV60" s="852" t="e">
        <f t="shared" ca="1" si="99"/>
        <v>#NAME?</v>
      </c>
      <c r="AW60" s="852" t="e">
        <f t="shared" ca="1" si="99"/>
        <v>#NAME?</v>
      </c>
      <c r="AX60" s="852" t="e">
        <f t="shared" ca="1" si="99"/>
        <v>#NAME?</v>
      </c>
      <c r="AY60" s="859" t="e">
        <f t="shared" ca="1" si="77"/>
        <v>#NAME?</v>
      </c>
      <c r="AZ60" s="859" t="e">
        <f t="shared" ca="1" si="78"/>
        <v>#NAME?</v>
      </c>
      <c r="BA60" s="859" t="str">
        <f t="shared" ca="1" si="85"/>
        <v/>
      </c>
      <c r="BB60" s="857" t="e">
        <f ca="1">IF(COUNTIF('R3_G1'!$A$8:$A$17,$A60)=1, IF(AND(BA60=Z60,BA60=VLOOKUP($A60,'R3_G1'!$A$8:$AB$17, 28,FALSE)),"yes","no"),
IF(COUNTIF('R3_G2'!$A$8:$A$17,$A60)=1, IF(AND(BA60=Z60,BA60=VLOOKUP($A60,'R3_G2'!$A$8:$AB$17, 28,FALSE)),"yes","no"),
IF(COUNTIF('R3_G3'!$A$8:$A$17,$A60)=1, IF(AND(BA60=Z60,BA60=VLOOKUP($A60,'R3_G3'!$A$8:$AB$17, 28,FALSE)),"yes","no"),
IF(COUNTIF('R3_G4'!$A$8:$A$17,$A60)=1, IF(AND(BA60=Z60,BA60=VLOOKUP($A60,'R3_G4'!$A$8:$AB$17, 28,FALSE)),"yes","no"),
"?"))))</f>
        <v>#NAME?</v>
      </c>
      <c r="BC60" s="921"/>
      <c r="BD60" s="860" t="e">
        <f t="shared" ca="1" si="86"/>
        <v>#NAME?</v>
      </c>
      <c r="BE60" s="861" t="e">
        <f t="shared" ca="1" si="87"/>
        <v>#NAME?</v>
      </c>
      <c r="BF60" s="861">
        <f t="shared" ca="1" si="88"/>
        <v>0</v>
      </c>
      <c r="BG60" s="861">
        <f t="shared" ca="1" si="89"/>
        <v>0</v>
      </c>
      <c r="BH60" s="861">
        <f t="shared" ca="1" si="90"/>
        <v>0</v>
      </c>
      <c r="BI60" s="861">
        <f t="shared" ca="1" si="91"/>
        <v>0</v>
      </c>
      <c r="BJ60" s="861">
        <f t="shared" ca="1" si="92"/>
        <v>0</v>
      </c>
    </row>
    <row r="61" spans="1:62" ht="14.25" customHeight="1">
      <c r="A61" s="849" t="str">
        <f t="shared" si="79"/>
        <v>Elger</v>
      </c>
      <c r="B61" s="929" t="e">
        <f ca="1">_xludf.ifna(VLOOKUP(A61,'R3_G1'!$A$8:$C$17,3,FALSE),_xludf.ifna(VLOOKUP(A61,'R3_G2'!$A$8:$C$17,3,FALSE),_xludf.ifna(VLOOKUP(A61,'R3_G3'!$A$8:$C$17,3,FALSE),VLOOKUP(A61,'R3_G4'!$A$8:$C$17,3,FALSE))))</f>
        <v>#NAME?</v>
      </c>
      <c r="C61" s="849"/>
      <c r="D61" s="851"/>
      <c r="E61" s="852">
        <f>IF(COUNTIF('R3_G1'!$A$8:$A$17,$A61)=1,VLOOKUP($A61,'R3_G1'!$A$8:$Y$17, E$2+4,FALSE),IF(COUNTIF('R3_G2'!$A$8:$A$17,$A61)=1,VLOOKUP($A61,'R3_G2'!$A$8:$Y$17, E$2+4,FALSE),IF(COUNTIF('R3_G3'!$A$8:$A$17,$A61)=1,VLOOKUP($A61,'R3_G3'!$A$8:$Y$17, E$2+4,FALSE),IF(COUNTIF('R3_G4'!$A$8:$A$17,$A61)=1,VLOOKUP($A61,'R3_G4'!$A$8:$Y$17, E$2+4,FALSE),""))))</f>
        <v>4</v>
      </c>
      <c r="F61" s="852">
        <f>IF(COUNTIF('R3_G1'!$A$8:$A$17,$A61)=1,VLOOKUP($A61,'R3_G1'!$A$8:$Y$17, F$2+4,FALSE),IF(COUNTIF('R3_G2'!$A$8:$A$17,$A61)=1,VLOOKUP($A61,'R3_G2'!$A$8:$Y$17, F$2+4,FALSE),IF(COUNTIF('R3_G3'!$A$8:$A$17,$A61)=1,VLOOKUP($A61,'R3_G3'!$A$8:$Y$17, F$2+4,FALSE),IF(COUNTIF('R3_G4'!$A$8:$A$17,$A61)=1,VLOOKUP($A61,'R3_G4'!$A$8:$Y$17, F$2+4,FALSE),""))))</f>
        <v>4</v>
      </c>
      <c r="G61" s="852">
        <f>IF(COUNTIF('R3_G1'!$A$8:$A$17,$A61)=1,VLOOKUP($A61,'R3_G1'!$A$8:$Y$17, G$2+4,FALSE),IF(COUNTIF('R3_G2'!$A$8:$A$17,$A61)=1,VLOOKUP($A61,'R3_G2'!$A$8:$Y$17, G$2+4,FALSE),IF(COUNTIF('R3_G3'!$A$8:$A$17,$A61)=1,VLOOKUP($A61,'R3_G3'!$A$8:$Y$17, G$2+4,FALSE),IF(COUNTIF('R3_G4'!$A$8:$A$17,$A61)=1,VLOOKUP($A61,'R3_G4'!$A$8:$Y$17, G$2+4,FALSE),""))))</f>
        <v>5</v>
      </c>
      <c r="H61" s="852">
        <f>IF(COUNTIF('R3_G1'!$A$8:$A$17,$A61)=1,VLOOKUP($A61,'R3_G1'!$A$8:$Y$17, H$2+4,FALSE),IF(COUNTIF('R3_G2'!$A$8:$A$17,$A61)=1,VLOOKUP($A61,'R3_G2'!$A$8:$Y$17, H$2+4,FALSE),IF(COUNTIF('R3_G3'!$A$8:$A$17,$A61)=1,VLOOKUP($A61,'R3_G3'!$A$8:$Y$17, H$2+4,FALSE),IF(COUNTIF('R3_G4'!$A$8:$A$17,$A61)=1,VLOOKUP($A61,'R3_G4'!$A$8:$Y$17, H$2+4,FALSE),""))))</f>
        <v>3</v>
      </c>
      <c r="I61" s="852">
        <f>IF(COUNTIF('R3_G1'!$A$8:$A$17,$A61)=1,VLOOKUP($A61,'R3_G1'!$A$8:$Y$17, I$2+4,FALSE),IF(COUNTIF('R3_G2'!$A$8:$A$17,$A61)=1,VLOOKUP($A61,'R3_G2'!$A$8:$Y$17, I$2+4,FALSE),IF(COUNTIF('R3_G3'!$A$8:$A$17,$A61)=1,VLOOKUP($A61,'R3_G3'!$A$8:$Y$17, I$2+4,FALSE),IF(COUNTIF('R3_G4'!$A$8:$A$17,$A61)=1,VLOOKUP($A61,'R3_G4'!$A$8:$Y$17, I$2+4,FALSE),""))))</f>
        <v>3</v>
      </c>
      <c r="J61" s="852">
        <f>IF(COUNTIF('R3_G1'!$A$8:$A$17,$A61)=1,VLOOKUP($A61,'R3_G1'!$A$8:$Y$17, J$2+4,FALSE),IF(COUNTIF('R3_G2'!$A$8:$A$17,$A61)=1,VLOOKUP($A61,'R3_G2'!$A$8:$Y$17, J$2+4,FALSE),IF(COUNTIF('R3_G3'!$A$8:$A$17,$A61)=1,VLOOKUP($A61,'R3_G3'!$A$8:$Y$17, J$2+4,FALSE),IF(COUNTIF('R3_G4'!$A$8:$A$17,$A61)=1,VLOOKUP($A61,'R3_G4'!$A$8:$Y$17, J$2+4,FALSE),""))))</f>
        <v>4</v>
      </c>
      <c r="K61" s="852">
        <f>IF(COUNTIF('R3_G1'!$A$8:$A$17,$A61)=1,VLOOKUP($A61,'R3_G1'!$A$8:$Y$17, K$2+4,FALSE),IF(COUNTIF('R3_G2'!$A$8:$A$17,$A61)=1,VLOOKUP($A61,'R3_G2'!$A$8:$Y$17, K$2+4,FALSE),IF(COUNTIF('R3_G3'!$A$8:$A$17,$A61)=1,VLOOKUP($A61,'R3_G3'!$A$8:$Y$17, K$2+4,FALSE),IF(COUNTIF('R3_G4'!$A$8:$A$17,$A61)=1,VLOOKUP($A61,'R3_G4'!$A$8:$Y$17, K$2+4,FALSE),""))))</f>
        <v>4</v>
      </c>
      <c r="L61" s="852">
        <f>IF(COUNTIF('R3_G1'!$A$8:$A$17,$A61)=1,VLOOKUP($A61,'R3_G1'!$A$8:$Y$17, L$2+4,FALSE),IF(COUNTIF('R3_G2'!$A$8:$A$17,$A61)=1,VLOOKUP($A61,'R3_G2'!$A$8:$Y$17, L$2+4,FALSE),IF(COUNTIF('R3_G3'!$A$8:$A$17,$A61)=1,VLOOKUP($A61,'R3_G3'!$A$8:$Y$17, L$2+4,FALSE),IF(COUNTIF('R3_G4'!$A$8:$A$17,$A61)=1,VLOOKUP($A61,'R3_G4'!$A$8:$Y$17, L$2+4,FALSE),""))))</f>
        <v>5</v>
      </c>
      <c r="M61" s="852">
        <f>IF(COUNTIF('R3_G1'!$A$8:$A$17,$A61)=1,VLOOKUP($A61,'R3_G1'!$A$8:$Y$17, M$2+4,FALSE),IF(COUNTIF('R3_G2'!$A$8:$A$17,$A61)=1,VLOOKUP($A61,'R3_G2'!$A$8:$Y$17, M$2+4,FALSE),IF(COUNTIF('R3_G3'!$A$8:$A$17,$A61)=1,VLOOKUP($A61,'R3_G3'!$A$8:$Y$17, M$2+4,FALSE),IF(COUNTIF('R3_G4'!$A$8:$A$17,$A61)=1,VLOOKUP($A61,'R3_G4'!$A$8:$Y$17, M$2+4,FALSE),""))))</f>
        <v>3</v>
      </c>
      <c r="N61" s="853">
        <f>IF(COUNTIF('R3_G1'!$A$8:$A$17,$A61)=1,VLOOKUP($A61,'R3_G1'!$A$8:$Y$17, N$2+7,FALSE),IF(COUNTIF('R3_G2'!$A$8:$A$17,$A61)=1,VLOOKUP($A61,'R3_G2'!$A$8:$Y$17, N$2+7,FALSE),IF(COUNTIF('R3_G3'!$A$8:$A$17,$A61)=1,VLOOKUP($A61,'R3_G3'!$A$8:$Y$17, N$2+7,FALSE),IF(COUNTIF('R3_G4'!$A$8:$A$17,$A61)=1,VLOOKUP($A61,'R3_G4'!$A$8:$Y$17, N$2+7,FALSE),""))))</f>
        <v>4</v>
      </c>
      <c r="O61" s="853">
        <f>IF(COUNTIF('R3_G1'!$A$8:$A$17,$A61)=1,VLOOKUP($A61,'R3_G1'!$A$8:$Y$17, O$2+7,FALSE),IF(COUNTIF('R3_G2'!$A$8:$A$17,$A61)=1,VLOOKUP($A61,'R3_G2'!$A$8:$Y$17, O$2+7,FALSE),IF(COUNTIF('R3_G3'!$A$8:$A$17,$A61)=1,VLOOKUP($A61,'R3_G3'!$A$8:$Y$17, O$2+7,FALSE),IF(COUNTIF('R3_G4'!$A$8:$A$17,$A61)=1,VLOOKUP($A61,'R3_G4'!$A$8:$Y$17, O$2+7,FALSE),""))))</f>
        <v>4</v>
      </c>
      <c r="P61" s="853">
        <f>IF(COUNTIF('R3_G1'!$A$8:$A$17,$A61)=1,VLOOKUP($A61,'R3_G1'!$A$8:$Y$17, P$2+7,FALSE),IF(COUNTIF('R3_G2'!$A$8:$A$17,$A61)=1,VLOOKUP($A61,'R3_G2'!$A$8:$Y$17, P$2+7,FALSE),IF(COUNTIF('R3_G3'!$A$8:$A$17,$A61)=1,VLOOKUP($A61,'R3_G3'!$A$8:$Y$17, P$2+7,FALSE),IF(COUNTIF('R3_G4'!$A$8:$A$17,$A61)=1,VLOOKUP($A61,'R3_G4'!$A$8:$Y$17, P$2+7,FALSE),""))))</f>
        <v>3</v>
      </c>
      <c r="Q61" s="853">
        <f>IF(COUNTIF('R3_G1'!$A$8:$A$17,$A61)=1,VLOOKUP($A61,'R3_G1'!$A$8:$Y$17, Q$2+7,FALSE),IF(COUNTIF('R3_G2'!$A$8:$A$17,$A61)=1,VLOOKUP($A61,'R3_G2'!$A$8:$Y$17, Q$2+7,FALSE),IF(COUNTIF('R3_G3'!$A$8:$A$17,$A61)=1,VLOOKUP($A61,'R3_G3'!$A$8:$Y$17, Q$2+7,FALSE),IF(COUNTIF('R3_G4'!$A$8:$A$17,$A61)=1,VLOOKUP($A61,'R3_G4'!$A$8:$Y$17, Q$2+7,FALSE),""))))</f>
        <v>4</v>
      </c>
      <c r="R61" s="853">
        <f>IF(COUNTIF('R3_G1'!$A$8:$A$17,$A61)=1,VLOOKUP($A61,'R3_G1'!$A$8:$Y$17, R$2+7,FALSE),IF(COUNTIF('R3_G2'!$A$8:$A$17,$A61)=1,VLOOKUP($A61,'R3_G2'!$A$8:$Y$17, R$2+7,FALSE),IF(COUNTIF('R3_G3'!$A$8:$A$17,$A61)=1,VLOOKUP($A61,'R3_G3'!$A$8:$Y$17, R$2+7,FALSE),IF(COUNTIF('R3_G4'!$A$8:$A$17,$A61)=1,VLOOKUP($A61,'R3_G4'!$A$8:$Y$17, R$2+7,FALSE),""))))</f>
        <v>4</v>
      </c>
      <c r="S61" s="853">
        <f>IF(COUNTIF('R3_G1'!$A$8:$A$17,$A61)=1,VLOOKUP($A61,'R3_G1'!$A$8:$Y$17, S$2+7,FALSE),IF(COUNTIF('R3_G2'!$A$8:$A$17,$A61)=1,VLOOKUP($A61,'R3_G2'!$A$8:$Y$17, S$2+7,FALSE),IF(COUNTIF('R3_G3'!$A$8:$A$17,$A61)=1,VLOOKUP($A61,'R3_G3'!$A$8:$Y$17, S$2+7,FALSE),IF(COUNTIF('R3_G4'!$A$8:$A$17,$A61)=1,VLOOKUP($A61,'R3_G4'!$A$8:$Y$17, S$2+7,FALSE),""))))</f>
        <v>5</v>
      </c>
      <c r="T61" s="853">
        <f>IF(COUNTIF('R3_G1'!$A$8:$A$17,$A61)=1,VLOOKUP($A61,'R3_G1'!$A$8:$Y$17, T$2+7,FALSE),IF(COUNTIF('R3_G2'!$A$8:$A$17,$A61)=1,VLOOKUP($A61,'R3_G2'!$A$8:$Y$17, T$2+7,FALSE),IF(COUNTIF('R3_G3'!$A$8:$A$17,$A61)=1,VLOOKUP($A61,'R3_G3'!$A$8:$Y$17, T$2+7,FALSE),IF(COUNTIF('R3_G4'!$A$8:$A$17,$A61)=1,VLOOKUP($A61,'R3_G4'!$A$8:$Y$17, T$2+7,FALSE),""))))</f>
        <v>4</v>
      </c>
      <c r="U61" s="853">
        <f>IF(COUNTIF('R3_G1'!$A$8:$A$17,$A61)=1,VLOOKUP($A61,'R3_G1'!$A$8:$Y$17, U$2+7,FALSE),IF(COUNTIF('R3_G2'!$A$8:$A$17,$A61)=1,VLOOKUP($A61,'R3_G2'!$A$8:$Y$17, U$2+7,FALSE),IF(COUNTIF('R3_G3'!$A$8:$A$17,$A61)=1,VLOOKUP($A61,'R3_G3'!$A$8:$Y$17, U$2+7,FALSE),IF(COUNTIF('R3_G4'!$A$8:$A$17,$A61)=1,VLOOKUP($A61,'R3_G4'!$A$8:$Y$17, U$2+7,FALSE),""))))</f>
        <v>4</v>
      </c>
      <c r="V61" s="853">
        <f>IF(COUNTIF('R3_G1'!$A$8:$A$17,$A61)=1,VLOOKUP($A61,'R3_G1'!$A$8:$Y$17, V$2+7,FALSE),IF(COUNTIF('R3_G2'!$A$8:$A$17,$A61)=1,VLOOKUP($A61,'R3_G2'!$A$8:$Y$17, V$2+7,FALSE),IF(COUNTIF('R3_G3'!$A$8:$A$17,$A61)=1,VLOOKUP($A61,'R3_G3'!$A$8:$Y$17, V$2+7,FALSE),IF(COUNTIF('R3_G4'!$A$8:$A$17,$A61)=1,VLOOKUP($A61,'R3_G4'!$A$8:$Y$17, V$2+7,FALSE),""))))</f>
        <v>4</v>
      </c>
      <c r="W61" s="852">
        <f t="shared" si="74"/>
        <v>35</v>
      </c>
      <c r="X61" s="852">
        <f t="shared" si="75"/>
        <v>36</v>
      </c>
      <c r="Y61" s="852">
        <f t="shared" si="80"/>
        <v>71</v>
      </c>
      <c r="Z61" s="930" t="e">
        <f t="shared" ca="1" si="81"/>
        <v>#NAME?</v>
      </c>
      <c r="AA61" s="852">
        <f t="shared" si="82"/>
        <v>71</v>
      </c>
      <c r="AB61" s="921"/>
      <c r="AC61" s="849" t="str">
        <f t="shared" si="83"/>
        <v>Elger</v>
      </c>
      <c r="AD61" s="929" t="e">
        <f ca="1">_xludf.ifna(VLOOKUP(AC61,'R3_G1'!$A$8:$C$17,3,FALSE),_xludf.ifna(VLOOKUP(AC61,'R3_G2'!$A$8:$C$17,3,FALSE),_xludf.ifna(VLOOKUP(AC61,'R3_G3'!$A$8:$C$17,3,FALSE),VLOOKUP(AC61,'R3_G4'!$A$8:$C$17,3,FALSE))))</f>
        <v>#NAME?</v>
      </c>
      <c r="AE61" s="849"/>
      <c r="AF61" s="832"/>
      <c r="AG61" s="852" t="e">
        <f t="shared" ref="AG61:AX61" ca="1" si="100">IF(E61="","",E61-IF($B61&gt;0,FLOOR($B61/18,1),0)-IF(AND(MOD($B61,18)&gt;=E$51,$B61&gt;0),1,0)+IF(E$51-18&gt;$B61,1,0))</f>
        <v>#NAME?</v>
      </c>
      <c r="AH61" s="852" t="e">
        <f t="shared" ca="1" si="100"/>
        <v>#NAME?</v>
      </c>
      <c r="AI61" s="852" t="e">
        <f t="shared" ca="1" si="100"/>
        <v>#NAME?</v>
      </c>
      <c r="AJ61" s="852" t="e">
        <f t="shared" ca="1" si="100"/>
        <v>#NAME?</v>
      </c>
      <c r="AK61" s="852" t="e">
        <f t="shared" ca="1" si="100"/>
        <v>#NAME?</v>
      </c>
      <c r="AL61" s="852" t="e">
        <f t="shared" ca="1" si="100"/>
        <v>#NAME?</v>
      </c>
      <c r="AM61" s="852" t="e">
        <f t="shared" ca="1" si="100"/>
        <v>#NAME?</v>
      </c>
      <c r="AN61" s="852" t="e">
        <f t="shared" ca="1" si="100"/>
        <v>#NAME?</v>
      </c>
      <c r="AO61" s="852" t="e">
        <f t="shared" ca="1" si="100"/>
        <v>#NAME?</v>
      </c>
      <c r="AP61" s="853" t="e">
        <f t="shared" ca="1" si="100"/>
        <v>#NAME?</v>
      </c>
      <c r="AQ61" s="853" t="e">
        <f t="shared" ca="1" si="100"/>
        <v>#NAME?</v>
      </c>
      <c r="AR61" s="853" t="e">
        <f t="shared" ca="1" si="100"/>
        <v>#NAME?</v>
      </c>
      <c r="AS61" s="853" t="e">
        <f t="shared" ca="1" si="100"/>
        <v>#NAME?</v>
      </c>
      <c r="AT61" s="853" t="e">
        <f t="shared" ca="1" si="100"/>
        <v>#NAME?</v>
      </c>
      <c r="AU61" s="853" t="e">
        <f t="shared" ca="1" si="100"/>
        <v>#NAME?</v>
      </c>
      <c r="AV61" s="853" t="e">
        <f t="shared" ca="1" si="100"/>
        <v>#NAME?</v>
      </c>
      <c r="AW61" s="853" t="e">
        <f t="shared" ca="1" si="100"/>
        <v>#NAME?</v>
      </c>
      <c r="AX61" s="853" t="e">
        <f t="shared" ca="1" si="100"/>
        <v>#NAME?</v>
      </c>
      <c r="AY61" s="852" t="e">
        <f t="shared" ca="1" si="77"/>
        <v>#NAME?</v>
      </c>
      <c r="AZ61" s="852" t="e">
        <f t="shared" ca="1" si="78"/>
        <v>#NAME?</v>
      </c>
      <c r="BA61" s="852" t="str">
        <f t="shared" ca="1" si="85"/>
        <v/>
      </c>
      <c r="BB61" s="849" t="e">
        <f ca="1">IF(COUNTIF('R3_G1'!$A$8:$A$17,$A61)=1, IF(AND(BA61=Z61,BA61=VLOOKUP($A61,'R3_G1'!$A$8:$AB$17, 28,FALSE)),"yes","no"),
IF(COUNTIF('R3_G2'!$A$8:$A$17,$A61)=1, IF(AND(BA61=Z61,BA61=VLOOKUP($A61,'R3_G2'!$A$8:$AB$17, 28,FALSE)),"yes","no"),
IF(COUNTIF('R3_G3'!$A$8:$A$17,$A61)=1, IF(AND(BA61=Z61,BA61=VLOOKUP($A61,'R3_G3'!$A$8:$AB$17, 28,FALSE)),"yes","no"),
IF(COUNTIF('R3_G4'!$A$8:$A$17,$A61)=1, IF(AND(BA61=Z61,BA61=VLOOKUP($A61,'R3_G4'!$A$8:$AB$17, 28,FALSE)),"yes","no"),
"?"))))</f>
        <v>#NAME?</v>
      </c>
      <c r="BC61" s="921"/>
      <c r="BD61" s="862" t="e">
        <f t="shared" ca="1" si="86"/>
        <v>#NAME?</v>
      </c>
      <c r="BE61" s="855" t="e">
        <f t="shared" ca="1" si="87"/>
        <v>#NAME?</v>
      </c>
      <c r="BF61" s="855">
        <f t="shared" ca="1" si="88"/>
        <v>0</v>
      </c>
      <c r="BG61" s="855">
        <f t="shared" ca="1" si="89"/>
        <v>0</v>
      </c>
      <c r="BH61" s="855">
        <f t="shared" ca="1" si="90"/>
        <v>0</v>
      </c>
      <c r="BI61" s="855">
        <f t="shared" ca="1" si="91"/>
        <v>0</v>
      </c>
      <c r="BJ61" s="855">
        <f t="shared" ca="1" si="92"/>
        <v>0</v>
      </c>
    </row>
    <row r="62" spans="1:62" ht="14.25" customHeight="1">
      <c r="A62" s="857" t="str">
        <f t="shared" si="79"/>
        <v>Andy</v>
      </c>
      <c r="B62" s="929" t="e">
        <f ca="1">_xludf.ifna(VLOOKUP(A62,'R3_G1'!$A$8:$C$17,3,FALSE),_xludf.ifna(VLOOKUP(A62,'R3_G2'!$A$8:$C$17,3,FALSE),_xludf.ifna(VLOOKUP(A62,'R3_G3'!$A$8:$C$17,3,FALSE),VLOOKUP(A62,'R3_G4'!$A$8:$C$17,3,FALSE))))</f>
        <v>#NAME?</v>
      </c>
      <c r="C62" s="857"/>
      <c r="D62" s="851"/>
      <c r="E62" s="859">
        <f>IF(COUNTIF('R3_G1'!$A$8:$A$17,$A62)=1,VLOOKUP($A62,'R3_G1'!$A$8:$Y$17, E$2+4,FALSE),IF(COUNTIF('R3_G2'!$A$8:$A$17,$A62)=1,VLOOKUP($A62,'R3_G2'!$A$8:$Y$17, E$2+4,FALSE),IF(COUNTIF('R3_G3'!$A$8:$A$17,$A62)=1,VLOOKUP($A62,'R3_G3'!$A$8:$Y$17, E$2+4,FALSE),IF(COUNTIF('R3_G4'!$A$8:$A$17,$A62)=1,VLOOKUP($A62,'R3_G4'!$A$8:$Y$17, E$2+4,FALSE),""))))</f>
        <v>4</v>
      </c>
      <c r="F62" s="859">
        <f>IF(COUNTIF('R3_G1'!$A$8:$A$17,$A62)=1,VLOOKUP($A62,'R3_G1'!$A$8:$Y$17, F$2+4,FALSE),IF(COUNTIF('R3_G2'!$A$8:$A$17,$A62)=1,VLOOKUP($A62,'R3_G2'!$A$8:$Y$17, F$2+4,FALSE),IF(COUNTIF('R3_G3'!$A$8:$A$17,$A62)=1,VLOOKUP($A62,'R3_G3'!$A$8:$Y$17, F$2+4,FALSE),IF(COUNTIF('R3_G4'!$A$8:$A$17,$A62)=1,VLOOKUP($A62,'R3_G4'!$A$8:$Y$17, F$2+4,FALSE),""))))</f>
        <v>4</v>
      </c>
      <c r="G62" s="859">
        <f>IF(COUNTIF('R3_G1'!$A$8:$A$17,$A62)=1,VLOOKUP($A62,'R3_G1'!$A$8:$Y$17, G$2+4,FALSE),IF(COUNTIF('R3_G2'!$A$8:$A$17,$A62)=1,VLOOKUP($A62,'R3_G2'!$A$8:$Y$17, G$2+4,FALSE),IF(COUNTIF('R3_G3'!$A$8:$A$17,$A62)=1,VLOOKUP($A62,'R3_G3'!$A$8:$Y$17, G$2+4,FALSE),IF(COUNTIF('R3_G4'!$A$8:$A$17,$A62)=1,VLOOKUP($A62,'R3_G4'!$A$8:$Y$17, G$2+4,FALSE),""))))</f>
        <v>5</v>
      </c>
      <c r="H62" s="859">
        <f>IF(COUNTIF('R3_G1'!$A$8:$A$17,$A62)=1,VLOOKUP($A62,'R3_G1'!$A$8:$Y$17, H$2+4,FALSE),IF(COUNTIF('R3_G2'!$A$8:$A$17,$A62)=1,VLOOKUP($A62,'R3_G2'!$A$8:$Y$17, H$2+4,FALSE),IF(COUNTIF('R3_G3'!$A$8:$A$17,$A62)=1,VLOOKUP($A62,'R3_G3'!$A$8:$Y$17, H$2+4,FALSE),IF(COUNTIF('R3_G4'!$A$8:$A$17,$A62)=1,VLOOKUP($A62,'R3_G4'!$A$8:$Y$17, H$2+4,FALSE),""))))</f>
        <v>3</v>
      </c>
      <c r="I62" s="859">
        <f>IF(COUNTIF('R3_G1'!$A$8:$A$17,$A62)=1,VLOOKUP($A62,'R3_G1'!$A$8:$Y$17, I$2+4,FALSE),IF(COUNTIF('R3_G2'!$A$8:$A$17,$A62)=1,VLOOKUP($A62,'R3_G2'!$A$8:$Y$17, I$2+4,FALSE),IF(COUNTIF('R3_G3'!$A$8:$A$17,$A62)=1,VLOOKUP($A62,'R3_G3'!$A$8:$Y$17, I$2+4,FALSE),IF(COUNTIF('R3_G4'!$A$8:$A$17,$A62)=1,VLOOKUP($A62,'R3_G4'!$A$8:$Y$17, I$2+4,FALSE),""))))</f>
        <v>3</v>
      </c>
      <c r="J62" s="859">
        <f>IF(COUNTIF('R3_G1'!$A$8:$A$17,$A62)=1,VLOOKUP($A62,'R3_G1'!$A$8:$Y$17, J$2+4,FALSE),IF(COUNTIF('R3_G2'!$A$8:$A$17,$A62)=1,VLOOKUP($A62,'R3_G2'!$A$8:$Y$17, J$2+4,FALSE),IF(COUNTIF('R3_G3'!$A$8:$A$17,$A62)=1,VLOOKUP($A62,'R3_G3'!$A$8:$Y$17, J$2+4,FALSE),IF(COUNTIF('R3_G4'!$A$8:$A$17,$A62)=1,VLOOKUP($A62,'R3_G4'!$A$8:$Y$17, J$2+4,FALSE),""))))</f>
        <v>4</v>
      </c>
      <c r="K62" s="859">
        <f>IF(COUNTIF('R3_G1'!$A$8:$A$17,$A62)=1,VLOOKUP($A62,'R3_G1'!$A$8:$Y$17, K$2+4,FALSE),IF(COUNTIF('R3_G2'!$A$8:$A$17,$A62)=1,VLOOKUP($A62,'R3_G2'!$A$8:$Y$17, K$2+4,FALSE),IF(COUNTIF('R3_G3'!$A$8:$A$17,$A62)=1,VLOOKUP($A62,'R3_G3'!$A$8:$Y$17, K$2+4,FALSE),IF(COUNTIF('R3_G4'!$A$8:$A$17,$A62)=1,VLOOKUP($A62,'R3_G4'!$A$8:$Y$17, K$2+4,FALSE),""))))</f>
        <v>4</v>
      </c>
      <c r="L62" s="859">
        <f>IF(COUNTIF('R3_G1'!$A$8:$A$17,$A62)=1,VLOOKUP($A62,'R3_G1'!$A$8:$Y$17, L$2+4,FALSE),IF(COUNTIF('R3_G2'!$A$8:$A$17,$A62)=1,VLOOKUP($A62,'R3_G2'!$A$8:$Y$17, L$2+4,FALSE),IF(COUNTIF('R3_G3'!$A$8:$A$17,$A62)=1,VLOOKUP($A62,'R3_G3'!$A$8:$Y$17, L$2+4,FALSE),IF(COUNTIF('R3_G4'!$A$8:$A$17,$A62)=1,VLOOKUP($A62,'R3_G4'!$A$8:$Y$17, L$2+4,FALSE),""))))</f>
        <v>5</v>
      </c>
      <c r="M62" s="859">
        <f>IF(COUNTIF('R3_G1'!$A$8:$A$17,$A62)=1,VLOOKUP($A62,'R3_G1'!$A$8:$Y$17, M$2+4,FALSE),IF(COUNTIF('R3_G2'!$A$8:$A$17,$A62)=1,VLOOKUP($A62,'R3_G2'!$A$8:$Y$17, M$2+4,FALSE),IF(COUNTIF('R3_G3'!$A$8:$A$17,$A62)=1,VLOOKUP($A62,'R3_G3'!$A$8:$Y$17, M$2+4,FALSE),IF(COUNTIF('R3_G4'!$A$8:$A$17,$A62)=1,VLOOKUP($A62,'R3_G4'!$A$8:$Y$17, M$2+4,FALSE),""))))</f>
        <v>3</v>
      </c>
      <c r="N62" s="852">
        <f>IF(COUNTIF('R3_G1'!$A$8:$A$17,$A62)=1,VLOOKUP($A62,'R3_G1'!$A$8:$Y$17, N$2+7,FALSE),IF(COUNTIF('R3_G2'!$A$8:$A$17,$A62)=1,VLOOKUP($A62,'R3_G2'!$A$8:$Y$17, N$2+7,FALSE),IF(COUNTIF('R3_G3'!$A$8:$A$17,$A62)=1,VLOOKUP($A62,'R3_G3'!$A$8:$Y$17, N$2+7,FALSE),IF(COUNTIF('R3_G4'!$A$8:$A$17,$A62)=1,VLOOKUP($A62,'R3_G4'!$A$8:$Y$17, N$2+7,FALSE),""))))</f>
        <v>4</v>
      </c>
      <c r="O62" s="852">
        <f>IF(COUNTIF('R3_G1'!$A$8:$A$17,$A62)=1,VLOOKUP($A62,'R3_G1'!$A$8:$Y$17, O$2+7,FALSE),IF(COUNTIF('R3_G2'!$A$8:$A$17,$A62)=1,VLOOKUP($A62,'R3_G2'!$A$8:$Y$17, O$2+7,FALSE),IF(COUNTIF('R3_G3'!$A$8:$A$17,$A62)=1,VLOOKUP($A62,'R3_G3'!$A$8:$Y$17, O$2+7,FALSE),IF(COUNTIF('R3_G4'!$A$8:$A$17,$A62)=1,VLOOKUP($A62,'R3_G4'!$A$8:$Y$17, O$2+7,FALSE),""))))</f>
        <v>4</v>
      </c>
      <c r="P62" s="852">
        <f>IF(COUNTIF('R3_G1'!$A$8:$A$17,$A62)=1,VLOOKUP($A62,'R3_G1'!$A$8:$Y$17, P$2+7,FALSE),IF(COUNTIF('R3_G2'!$A$8:$A$17,$A62)=1,VLOOKUP($A62,'R3_G2'!$A$8:$Y$17, P$2+7,FALSE),IF(COUNTIF('R3_G3'!$A$8:$A$17,$A62)=1,VLOOKUP($A62,'R3_G3'!$A$8:$Y$17, P$2+7,FALSE),IF(COUNTIF('R3_G4'!$A$8:$A$17,$A62)=1,VLOOKUP($A62,'R3_G4'!$A$8:$Y$17, P$2+7,FALSE),""))))</f>
        <v>3</v>
      </c>
      <c r="Q62" s="852">
        <f>IF(COUNTIF('R3_G1'!$A$8:$A$17,$A62)=1,VLOOKUP($A62,'R3_G1'!$A$8:$Y$17, Q$2+7,FALSE),IF(COUNTIF('R3_G2'!$A$8:$A$17,$A62)=1,VLOOKUP($A62,'R3_G2'!$A$8:$Y$17, Q$2+7,FALSE),IF(COUNTIF('R3_G3'!$A$8:$A$17,$A62)=1,VLOOKUP($A62,'R3_G3'!$A$8:$Y$17, Q$2+7,FALSE),IF(COUNTIF('R3_G4'!$A$8:$A$17,$A62)=1,VLOOKUP($A62,'R3_G4'!$A$8:$Y$17, Q$2+7,FALSE),""))))</f>
        <v>4</v>
      </c>
      <c r="R62" s="852">
        <f>IF(COUNTIF('R3_G1'!$A$8:$A$17,$A62)=1,VLOOKUP($A62,'R3_G1'!$A$8:$Y$17, R$2+7,FALSE),IF(COUNTIF('R3_G2'!$A$8:$A$17,$A62)=1,VLOOKUP($A62,'R3_G2'!$A$8:$Y$17, R$2+7,FALSE),IF(COUNTIF('R3_G3'!$A$8:$A$17,$A62)=1,VLOOKUP($A62,'R3_G3'!$A$8:$Y$17, R$2+7,FALSE),IF(COUNTIF('R3_G4'!$A$8:$A$17,$A62)=1,VLOOKUP($A62,'R3_G4'!$A$8:$Y$17, R$2+7,FALSE),""))))</f>
        <v>4</v>
      </c>
      <c r="S62" s="852">
        <f>IF(COUNTIF('R3_G1'!$A$8:$A$17,$A62)=1,VLOOKUP($A62,'R3_G1'!$A$8:$Y$17, S$2+7,FALSE),IF(COUNTIF('R3_G2'!$A$8:$A$17,$A62)=1,VLOOKUP($A62,'R3_G2'!$A$8:$Y$17, S$2+7,FALSE),IF(COUNTIF('R3_G3'!$A$8:$A$17,$A62)=1,VLOOKUP($A62,'R3_G3'!$A$8:$Y$17, S$2+7,FALSE),IF(COUNTIF('R3_G4'!$A$8:$A$17,$A62)=1,VLOOKUP($A62,'R3_G4'!$A$8:$Y$17, S$2+7,FALSE),""))))</f>
        <v>5</v>
      </c>
      <c r="T62" s="852">
        <f>IF(COUNTIF('R3_G1'!$A$8:$A$17,$A62)=1,VLOOKUP($A62,'R3_G1'!$A$8:$Y$17, T$2+7,FALSE),IF(COUNTIF('R3_G2'!$A$8:$A$17,$A62)=1,VLOOKUP($A62,'R3_G2'!$A$8:$Y$17, T$2+7,FALSE),IF(COUNTIF('R3_G3'!$A$8:$A$17,$A62)=1,VLOOKUP($A62,'R3_G3'!$A$8:$Y$17, T$2+7,FALSE),IF(COUNTIF('R3_G4'!$A$8:$A$17,$A62)=1,VLOOKUP($A62,'R3_G4'!$A$8:$Y$17, T$2+7,FALSE),""))))</f>
        <v>4</v>
      </c>
      <c r="U62" s="852">
        <f>IF(COUNTIF('R3_G1'!$A$8:$A$17,$A62)=1,VLOOKUP($A62,'R3_G1'!$A$8:$Y$17, U$2+7,FALSE),IF(COUNTIF('R3_G2'!$A$8:$A$17,$A62)=1,VLOOKUP($A62,'R3_G2'!$A$8:$Y$17, U$2+7,FALSE),IF(COUNTIF('R3_G3'!$A$8:$A$17,$A62)=1,VLOOKUP($A62,'R3_G3'!$A$8:$Y$17, U$2+7,FALSE),IF(COUNTIF('R3_G4'!$A$8:$A$17,$A62)=1,VLOOKUP($A62,'R3_G4'!$A$8:$Y$17, U$2+7,FALSE),""))))</f>
        <v>4</v>
      </c>
      <c r="V62" s="852">
        <f>IF(COUNTIF('R3_G1'!$A$8:$A$17,$A62)=1,VLOOKUP($A62,'R3_G1'!$A$8:$Y$17, V$2+7,FALSE),IF(COUNTIF('R3_G2'!$A$8:$A$17,$A62)=1,VLOOKUP($A62,'R3_G2'!$A$8:$Y$17, V$2+7,FALSE),IF(COUNTIF('R3_G3'!$A$8:$A$17,$A62)=1,VLOOKUP($A62,'R3_G3'!$A$8:$Y$17, V$2+7,FALSE),IF(COUNTIF('R3_G4'!$A$8:$A$17,$A62)=1,VLOOKUP($A62,'R3_G4'!$A$8:$Y$17, V$2+7,FALSE),""))))</f>
        <v>4</v>
      </c>
      <c r="W62" s="859">
        <f t="shared" si="74"/>
        <v>35</v>
      </c>
      <c r="X62" s="859">
        <f t="shared" si="75"/>
        <v>36</v>
      </c>
      <c r="Y62" s="859">
        <f t="shared" si="80"/>
        <v>71</v>
      </c>
      <c r="Z62" s="931" t="e">
        <f t="shared" ca="1" si="81"/>
        <v>#NAME?</v>
      </c>
      <c r="AA62" s="859">
        <f t="shared" si="82"/>
        <v>71</v>
      </c>
      <c r="AB62" s="921"/>
      <c r="AC62" s="849" t="str">
        <f t="shared" si="83"/>
        <v>Andy</v>
      </c>
      <c r="AD62" s="929" t="e">
        <f ca="1">_xludf.ifna(VLOOKUP(AC62,'R3_G1'!$A$8:$C$17,3,FALSE),_xludf.ifna(VLOOKUP(AC62,'R3_G2'!$A$8:$C$17,3,FALSE),_xludf.ifna(VLOOKUP(AC62,'R3_G3'!$A$8:$C$17,3,FALSE),VLOOKUP(AC62,'R3_G4'!$A$8:$C$17,3,FALSE))))</f>
        <v>#NAME?</v>
      </c>
      <c r="AE62" s="857"/>
      <c r="AF62" s="832"/>
      <c r="AG62" s="859" t="e">
        <f t="shared" ref="AG62:AX62" ca="1" si="101">IF(E62="","",E62-IF($B62&gt;0,FLOOR($B62/18,1),0)-IF(AND(MOD($B62,18)&gt;=E$51,$B62&gt;0),1,0)+IF(E$51-18&gt;$B62,1,0))</f>
        <v>#NAME?</v>
      </c>
      <c r="AH62" s="859" t="e">
        <f t="shared" ca="1" si="101"/>
        <v>#NAME?</v>
      </c>
      <c r="AI62" s="859" t="e">
        <f t="shared" ca="1" si="101"/>
        <v>#NAME?</v>
      </c>
      <c r="AJ62" s="859" t="e">
        <f t="shared" ca="1" si="101"/>
        <v>#NAME?</v>
      </c>
      <c r="AK62" s="859" t="e">
        <f t="shared" ca="1" si="101"/>
        <v>#NAME?</v>
      </c>
      <c r="AL62" s="859" t="e">
        <f t="shared" ca="1" si="101"/>
        <v>#NAME?</v>
      </c>
      <c r="AM62" s="859" t="e">
        <f t="shared" ca="1" si="101"/>
        <v>#NAME?</v>
      </c>
      <c r="AN62" s="859" t="e">
        <f t="shared" ca="1" si="101"/>
        <v>#NAME?</v>
      </c>
      <c r="AO62" s="859" t="e">
        <f t="shared" ca="1" si="101"/>
        <v>#NAME?</v>
      </c>
      <c r="AP62" s="852" t="e">
        <f t="shared" ca="1" si="101"/>
        <v>#NAME?</v>
      </c>
      <c r="AQ62" s="852" t="e">
        <f t="shared" ca="1" si="101"/>
        <v>#NAME?</v>
      </c>
      <c r="AR62" s="852" t="e">
        <f t="shared" ca="1" si="101"/>
        <v>#NAME?</v>
      </c>
      <c r="AS62" s="852" t="e">
        <f t="shared" ca="1" si="101"/>
        <v>#NAME?</v>
      </c>
      <c r="AT62" s="852" t="e">
        <f t="shared" ca="1" si="101"/>
        <v>#NAME?</v>
      </c>
      <c r="AU62" s="852" t="e">
        <f t="shared" ca="1" si="101"/>
        <v>#NAME?</v>
      </c>
      <c r="AV62" s="852" t="e">
        <f t="shared" ca="1" si="101"/>
        <v>#NAME?</v>
      </c>
      <c r="AW62" s="852" t="e">
        <f t="shared" ca="1" si="101"/>
        <v>#NAME?</v>
      </c>
      <c r="AX62" s="852" t="e">
        <f t="shared" ca="1" si="101"/>
        <v>#NAME?</v>
      </c>
      <c r="AY62" s="859" t="e">
        <f t="shared" ca="1" si="77"/>
        <v>#NAME?</v>
      </c>
      <c r="AZ62" s="859" t="e">
        <f t="shared" ca="1" si="78"/>
        <v>#NAME?</v>
      </c>
      <c r="BA62" s="859" t="str">
        <f t="shared" ca="1" si="85"/>
        <v/>
      </c>
      <c r="BB62" s="857" t="e">
        <f ca="1">IF(COUNTIF('R3_G1'!$A$8:$A$17,$A62)=1, IF(AND(BA62=Z62,BA62=VLOOKUP($A62,'R3_G1'!$A$8:$AB$17, 28,FALSE)),"yes","no"),
IF(COUNTIF('R3_G2'!$A$8:$A$17,$A62)=1, IF(AND(BA62=Z62,BA62=VLOOKUP($A62,'R3_G2'!$A$8:$AB$17, 28,FALSE)),"yes","no"),
IF(COUNTIF('R3_G3'!$A$8:$A$17,$A62)=1, IF(AND(BA62=Z62,BA62=VLOOKUP($A62,'R3_G3'!$A$8:$AB$17, 28,FALSE)),"yes","no"),
IF(COUNTIF('R3_G4'!$A$8:$A$17,$A62)=1, IF(AND(BA62=Z62,BA62=VLOOKUP($A62,'R3_G4'!$A$8:$AB$17, 28,FALSE)),"yes","no"),
"?"))))</f>
        <v>#NAME?</v>
      </c>
      <c r="BC62" s="921"/>
      <c r="BD62" s="860" t="e">
        <f t="shared" ca="1" si="86"/>
        <v>#NAME?</v>
      </c>
      <c r="BE62" s="861" t="e">
        <f t="shared" ca="1" si="87"/>
        <v>#NAME?</v>
      </c>
      <c r="BF62" s="861">
        <f t="shared" ca="1" si="88"/>
        <v>0</v>
      </c>
      <c r="BG62" s="861">
        <f t="shared" ca="1" si="89"/>
        <v>0</v>
      </c>
      <c r="BH62" s="861">
        <f t="shared" ca="1" si="90"/>
        <v>0</v>
      </c>
      <c r="BI62" s="861">
        <f t="shared" ca="1" si="91"/>
        <v>0</v>
      </c>
      <c r="BJ62" s="861">
        <f t="shared" ca="1" si="92"/>
        <v>0</v>
      </c>
    </row>
    <row r="63" spans="1:62" ht="14.25" customHeight="1">
      <c r="A63" s="849" t="str">
        <f t="shared" si="79"/>
        <v>Jensen</v>
      </c>
      <c r="B63" s="929" t="e">
        <f ca="1">_xludf.ifna(VLOOKUP(A63,'R3_G1'!$A$8:$C$17,3,FALSE),_xludf.ifna(VLOOKUP(A63,'R3_G2'!$A$8:$C$17,3,FALSE),_xludf.ifna(VLOOKUP(A63,'R3_G3'!$A$8:$C$17,3,FALSE),VLOOKUP(A63,'R3_G4'!$A$8:$C$17,3,FALSE))))</f>
        <v>#NAME?</v>
      </c>
      <c r="C63" s="849"/>
      <c r="D63" s="851"/>
      <c r="E63" s="852">
        <f>IF(COUNTIF('R3_G1'!$A$8:$A$17,$A63)=1,VLOOKUP($A63,'R3_G1'!$A$8:$Y$17, E$2+4,FALSE),IF(COUNTIF('R3_G2'!$A$8:$A$17,$A63)=1,VLOOKUP($A63,'R3_G2'!$A$8:$Y$17, E$2+4,FALSE),IF(COUNTIF('R3_G3'!$A$8:$A$17,$A63)=1,VLOOKUP($A63,'R3_G3'!$A$8:$Y$17, E$2+4,FALSE),IF(COUNTIF('R3_G4'!$A$8:$A$17,$A63)=1,VLOOKUP($A63,'R3_G4'!$A$8:$Y$17, E$2+4,FALSE),""))))</f>
        <v>3</v>
      </c>
      <c r="F63" s="852">
        <f>IF(COUNTIF('R3_G1'!$A$8:$A$17,$A63)=1,VLOOKUP($A63,'R3_G1'!$A$8:$Y$17, F$2+4,FALSE),IF(COUNTIF('R3_G2'!$A$8:$A$17,$A63)=1,VLOOKUP($A63,'R3_G2'!$A$8:$Y$17, F$2+4,FALSE),IF(COUNTIF('R3_G3'!$A$8:$A$17,$A63)=1,VLOOKUP($A63,'R3_G3'!$A$8:$Y$17, F$2+4,FALSE),IF(COUNTIF('R3_G4'!$A$8:$A$17,$A63)=1,VLOOKUP($A63,'R3_G4'!$A$8:$Y$17, F$2+4,FALSE),""))))</f>
        <v>5</v>
      </c>
      <c r="G63" s="852">
        <f>IF(COUNTIF('R3_G1'!$A$8:$A$17,$A63)=1,VLOOKUP($A63,'R3_G1'!$A$8:$Y$17, G$2+4,FALSE),IF(COUNTIF('R3_G2'!$A$8:$A$17,$A63)=1,VLOOKUP($A63,'R3_G2'!$A$8:$Y$17, G$2+4,FALSE),IF(COUNTIF('R3_G3'!$A$8:$A$17,$A63)=1,VLOOKUP($A63,'R3_G3'!$A$8:$Y$17, G$2+4,FALSE),IF(COUNTIF('R3_G4'!$A$8:$A$17,$A63)=1,VLOOKUP($A63,'R3_G4'!$A$8:$Y$17, G$2+4,FALSE),""))))</f>
        <v>5</v>
      </c>
      <c r="H63" s="852">
        <f>IF(COUNTIF('R3_G1'!$A$8:$A$17,$A63)=1,VLOOKUP($A63,'R3_G1'!$A$8:$Y$17, H$2+4,FALSE),IF(COUNTIF('R3_G2'!$A$8:$A$17,$A63)=1,VLOOKUP($A63,'R3_G2'!$A$8:$Y$17, H$2+4,FALSE),IF(COUNTIF('R3_G3'!$A$8:$A$17,$A63)=1,VLOOKUP($A63,'R3_G3'!$A$8:$Y$17, H$2+4,FALSE),IF(COUNTIF('R3_G4'!$A$8:$A$17,$A63)=1,VLOOKUP($A63,'R3_G4'!$A$8:$Y$17, H$2+4,FALSE),""))))</f>
        <v>3</v>
      </c>
      <c r="I63" s="852">
        <f>IF(COUNTIF('R3_G1'!$A$8:$A$17,$A63)=1,VLOOKUP($A63,'R3_G1'!$A$8:$Y$17, I$2+4,FALSE),IF(COUNTIF('R3_G2'!$A$8:$A$17,$A63)=1,VLOOKUP($A63,'R3_G2'!$A$8:$Y$17, I$2+4,FALSE),IF(COUNTIF('R3_G3'!$A$8:$A$17,$A63)=1,VLOOKUP($A63,'R3_G3'!$A$8:$Y$17, I$2+4,FALSE),IF(COUNTIF('R3_G4'!$A$8:$A$17,$A63)=1,VLOOKUP($A63,'R3_G4'!$A$8:$Y$17, I$2+4,FALSE),""))))</f>
        <v>3</v>
      </c>
      <c r="J63" s="852">
        <f>IF(COUNTIF('R3_G1'!$A$8:$A$17,$A63)=1,VLOOKUP($A63,'R3_G1'!$A$8:$Y$17, J$2+4,FALSE),IF(COUNTIF('R3_G2'!$A$8:$A$17,$A63)=1,VLOOKUP($A63,'R3_G2'!$A$8:$Y$17, J$2+4,FALSE),IF(COUNTIF('R3_G3'!$A$8:$A$17,$A63)=1,VLOOKUP($A63,'R3_G3'!$A$8:$Y$17, J$2+4,FALSE),IF(COUNTIF('R3_G4'!$A$8:$A$17,$A63)=1,VLOOKUP($A63,'R3_G4'!$A$8:$Y$17, J$2+4,FALSE),""))))</f>
        <v>5</v>
      </c>
      <c r="K63" s="852">
        <f>IF(COUNTIF('R3_G1'!$A$8:$A$17,$A63)=1,VLOOKUP($A63,'R3_G1'!$A$8:$Y$17, K$2+4,FALSE),IF(COUNTIF('R3_G2'!$A$8:$A$17,$A63)=1,VLOOKUP($A63,'R3_G2'!$A$8:$Y$17, K$2+4,FALSE),IF(COUNTIF('R3_G3'!$A$8:$A$17,$A63)=1,VLOOKUP($A63,'R3_G3'!$A$8:$Y$17, K$2+4,FALSE),IF(COUNTIF('R3_G4'!$A$8:$A$17,$A63)=1,VLOOKUP($A63,'R3_G4'!$A$8:$Y$17, K$2+4,FALSE),""))))</f>
        <v>4</v>
      </c>
      <c r="L63" s="852">
        <f>IF(COUNTIF('R3_G1'!$A$8:$A$17,$A63)=1,VLOOKUP($A63,'R3_G1'!$A$8:$Y$17, L$2+4,FALSE),IF(COUNTIF('R3_G2'!$A$8:$A$17,$A63)=1,VLOOKUP($A63,'R3_G2'!$A$8:$Y$17, L$2+4,FALSE),IF(COUNTIF('R3_G3'!$A$8:$A$17,$A63)=1,VLOOKUP($A63,'R3_G3'!$A$8:$Y$17, L$2+4,FALSE),IF(COUNTIF('R3_G4'!$A$8:$A$17,$A63)=1,VLOOKUP($A63,'R3_G4'!$A$8:$Y$17, L$2+4,FALSE),""))))</f>
        <v>4</v>
      </c>
      <c r="M63" s="852">
        <f>IF(COUNTIF('R3_G1'!$A$8:$A$17,$A63)=1,VLOOKUP($A63,'R3_G1'!$A$8:$Y$17, M$2+4,FALSE),IF(COUNTIF('R3_G2'!$A$8:$A$17,$A63)=1,VLOOKUP($A63,'R3_G2'!$A$8:$Y$17, M$2+4,FALSE),IF(COUNTIF('R3_G3'!$A$8:$A$17,$A63)=1,VLOOKUP($A63,'R3_G3'!$A$8:$Y$17, M$2+4,FALSE),IF(COUNTIF('R3_G4'!$A$8:$A$17,$A63)=1,VLOOKUP($A63,'R3_G4'!$A$8:$Y$17, M$2+4,FALSE),""))))</f>
        <v>3</v>
      </c>
      <c r="N63" s="853">
        <f>IF(COUNTIF('R3_G1'!$A$8:$A$17,$A63)=1,VLOOKUP($A63,'R3_G1'!$A$8:$Y$17, N$2+7,FALSE),IF(COUNTIF('R3_G2'!$A$8:$A$17,$A63)=1,VLOOKUP($A63,'R3_G2'!$A$8:$Y$17, N$2+7,FALSE),IF(COUNTIF('R3_G3'!$A$8:$A$17,$A63)=1,VLOOKUP($A63,'R3_G3'!$A$8:$Y$17, N$2+7,FALSE),IF(COUNTIF('R3_G4'!$A$8:$A$17,$A63)=1,VLOOKUP($A63,'R3_G4'!$A$8:$Y$17, N$2+7,FALSE),""))))</f>
        <v>3</v>
      </c>
      <c r="O63" s="853">
        <f>IF(COUNTIF('R3_G1'!$A$8:$A$17,$A63)=1,VLOOKUP($A63,'R3_G1'!$A$8:$Y$17, O$2+7,FALSE),IF(COUNTIF('R3_G2'!$A$8:$A$17,$A63)=1,VLOOKUP($A63,'R3_G2'!$A$8:$Y$17, O$2+7,FALSE),IF(COUNTIF('R3_G3'!$A$8:$A$17,$A63)=1,VLOOKUP($A63,'R3_G3'!$A$8:$Y$17, O$2+7,FALSE),IF(COUNTIF('R3_G4'!$A$8:$A$17,$A63)=1,VLOOKUP($A63,'R3_G4'!$A$8:$Y$17, O$2+7,FALSE),""))))</f>
        <v>4</v>
      </c>
      <c r="P63" s="853">
        <f>IF(COUNTIF('R3_G1'!$A$8:$A$17,$A63)=1,VLOOKUP($A63,'R3_G1'!$A$8:$Y$17, P$2+7,FALSE),IF(COUNTIF('R3_G2'!$A$8:$A$17,$A63)=1,VLOOKUP($A63,'R3_G2'!$A$8:$Y$17, P$2+7,FALSE),IF(COUNTIF('R3_G3'!$A$8:$A$17,$A63)=1,VLOOKUP($A63,'R3_G3'!$A$8:$Y$17, P$2+7,FALSE),IF(COUNTIF('R3_G4'!$A$8:$A$17,$A63)=1,VLOOKUP($A63,'R3_G4'!$A$8:$Y$17, P$2+7,FALSE),""))))</f>
        <v>2</v>
      </c>
      <c r="Q63" s="853">
        <f>IF(COUNTIF('R3_G1'!$A$8:$A$17,$A63)=1,VLOOKUP($A63,'R3_G1'!$A$8:$Y$17, Q$2+7,FALSE),IF(COUNTIF('R3_G2'!$A$8:$A$17,$A63)=1,VLOOKUP($A63,'R3_G2'!$A$8:$Y$17, Q$2+7,FALSE),IF(COUNTIF('R3_G3'!$A$8:$A$17,$A63)=1,VLOOKUP($A63,'R3_G3'!$A$8:$Y$17, Q$2+7,FALSE),IF(COUNTIF('R3_G4'!$A$8:$A$17,$A63)=1,VLOOKUP($A63,'R3_G4'!$A$8:$Y$17, Q$2+7,FALSE),""))))</f>
        <v>4</v>
      </c>
      <c r="R63" s="853">
        <f>IF(COUNTIF('R3_G1'!$A$8:$A$17,$A63)=1,VLOOKUP($A63,'R3_G1'!$A$8:$Y$17, R$2+7,FALSE),IF(COUNTIF('R3_G2'!$A$8:$A$17,$A63)=1,VLOOKUP($A63,'R3_G2'!$A$8:$Y$17, R$2+7,FALSE),IF(COUNTIF('R3_G3'!$A$8:$A$17,$A63)=1,VLOOKUP($A63,'R3_G3'!$A$8:$Y$17, R$2+7,FALSE),IF(COUNTIF('R3_G4'!$A$8:$A$17,$A63)=1,VLOOKUP($A63,'R3_G4'!$A$8:$Y$17, R$2+7,FALSE),""))))</f>
        <v>3</v>
      </c>
      <c r="S63" s="853">
        <f>IF(COUNTIF('R3_G1'!$A$8:$A$17,$A63)=1,VLOOKUP($A63,'R3_G1'!$A$8:$Y$17, S$2+7,FALSE),IF(COUNTIF('R3_G2'!$A$8:$A$17,$A63)=1,VLOOKUP($A63,'R3_G2'!$A$8:$Y$17, S$2+7,FALSE),IF(COUNTIF('R3_G3'!$A$8:$A$17,$A63)=1,VLOOKUP($A63,'R3_G3'!$A$8:$Y$17, S$2+7,FALSE),IF(COUNTIF('R3_G4'!$A$8:$A$17,$A63)=1,VLOOKUP($A63,'R3_G4'!$A$8:$Y$17, S$2+7,FALSE),""))))</f>
        <v>4</v>
      </c>
      <c r="T63" s="853">
        <f>IF(COUNTIF('R3_G1'!$A$8:$A$17,$A63)=1,VLOOKUP($A63,'R3_G1'!$A$8:$Y$17, T$2+7,FALSE),IF(COUNTIF('R3_G2'!$A$8:$A$17,$A63)=1,VLOOKUP($A63,'R3_G2'!$A$8:$Y$17, T$2+7,FALSE),IF(COUNTIF('R3_G3'!$A$8:$A$17,$A63)=1,VLOOKUP($A63,'R3_G3'!$A$8:$Y$17, T$2+7,FALSE),IF(COUNTIF('R3_G4'!$A$8:$A$17,$A63)=1,VLOOKUP($A63,'R3_G4'!$A$8:$Y$17, T$2+7,FALSE),""))))</f>
        <v>4</v>
      </c>
      <c r="U63" s="853">
        <f>IF(COUNTIF('R3_G1'!$A$8:$A$17,$A63)=1,VLOOKUP($A63,'R3_G1'!$A$8:$Y$17, U$2+7,FALSE),IF(COUNTIF('R3_G2'!$A$8:$A$17,$A63)=1,VLOOKUP($A63,'R3_G2'!$A$8:$Y$17, U$2+7,FALSE),IF(COUNTIF('R3_G3'!$A$8:$A$17,$A63)=1,VLOOKUP($A63,'R3_G3'!$A$8:$Y$17, U$2+7,FALSE),IF(COUNTIF('R3_G4'!$A$8:$A$17,$A63)=1,VLOOKUP($A63,'R3_G4'!$A$8:$Y$17, U$2+7,FALSE),""))))</f>
        <v>4</v>
      </c>
      <c r="V63" s="853">
        <f>IF(COUNTIF('R3_G1'!$A$8:$A$17,$A63)=1,VLOOKUP($A63,'R3_G1'!$A$8:$Y$17, V$2+7,FALSE),IF(COUNTIF('R3_G2'!$A$8:$A$17,$A63)=1,VLOOKUP($A63,'R3_G2'!$A$8:$Y$17, V$2+7,FALSE),IF(COUNTIF('R3_G3'!$A$8:$A$17,$A63)=1,VLOOKUP($A63,'R3_G3'!$A$8:$Y$17, V$2+7,FALSE),IF(COUNTIF('R3_G4'!$A$8:$A$17,$A63)=1,VLOOKUP($A63,'R3_G4'!$A$8:$Y$17, V$2+7,FALSE),""))))</f>
        <v>4</v>
      </c>
      <c r="W63" s="852">
        <f t="shared" si="74"/>
        <v>35</v>
      </c>
      <c r="X63" s="852">
        <f t="shared" si="75"/>
        <v>32</v>
      </c>
      <c r="Y63" s="852">
        <f t="shared" si="80"/>
        <v>67</v>
      </c>
      <c r="Z63" s="930" t="e">
        <f t="shared" ca="1" si="81"/>
        <v>#NAME?</v>
      </c>
      <c r="AA63" s="852">
        <f t="shared" si="82"/>
        <v>67</v>
      </c>
      <c r="AB63" s="921"/>
      <c r="AC63" s="849" t="str">
        <f t="shared" si="83"/>
        <v>Jensen</v>
      </c>
      <c r="AD63" s="929" t="e">
        <f ca="1">_xludf.ifna(VLOOKUP(AC63,'R3_G1'!$A$8:$C$17,3,FALSE),_xludf.ifna(VLOOKUP(AC63,'R3_G2'!$A$8:$C$17,3,FALSE),_xludf.ifna(VLOOKUP(AC63,'R3_G3'!$A$8:$C$17,3,FALSE),VLOOKUP(AC63,'R3_G4'!$A$8:$C$17,3,FALSE))))</f>
        <v>#NAME?</v>
      </c>
      <c r="AE63" s="849"/>
      <c r="AF63" s="832"/>
      <c r="AG63" s="852" t="e">
        <f t="shared" ref="AG63:AX63" ca="1" si="102">IF(E63="","",E63-IF($B63&gt;0,FLOOR($B63/18,1),0)-IF(AND(MOD($B63,18)&gt;=E$51,$B63&gt;0),1,0)+IF(E$51-18&gt;$B63,1,0))</f>
        <v>#NAME?</v>
      </c>
      <c r="AH63" s="852" t="e">
        <f t="shared" ca="1" si="102"/>
        <v>#NAME?</v>
      </c>
      <c r="AI63" s="852" t="e">
        <f t="shared" ca="1" si="102"/>
        <v>#NAME?</v>
      </c>
      <c r="AJ63" s="852" t="e">
        <f t="shared" ca="1" si="102"/>
        <v>#NAME?</v>
      </c>
      <c r="AK63" s="852" t="e">
        <f t="shared" ca="1" si="102"/>
        <v>#NAME?</v>
      </c>
      <c r="AL63" s="852" t="e">
        <f t="shared" ca="1" si="102"/>
        <v>#NAME?</v>
      </c>
      <c r="AM63" s="852" t="e">
        <f t="shared" ca="1" si="102"/>
        <v>#NAME?</v>
      </c>
      <c r="AN63" s="852" t="e">
        <f t="shared" ca="1" si="102"/>
        <v>#NAME?</v>
      </c>
      <c r="AO63" s="852" t="e">
        <f t="shared" ca="1" si="102"/>
        <v>#NAME?</v>
      </c>
      <c r="AP63" s="853" t="e">
        <f t="shared" ca="1" si="102"/>
        <v>#NAME?</v>
      </c>
      <c r="AQ63" s="853" t="e">
        <f t="shared" ca="1" si="102"/>
        <v>#NAME?</v>
      </c>
      <c r="AR63" s="853" t="e">
        <f t="shared" ca="1" si="102"/>
        <v>#NAME?</v>
      </c>
      <c r="AS63" s="853" t="e">
        <f t="shared" ca="1" si="102"/>
        <v>#NAME?</v>
      </c>
      <c r="AT63" s="853" t="e">
        <f t="shared" ca="1" si="102"/>
        <v>#NAME?</v>
      </c>
      <c r="AU63" s="853" t="e">
        <f t="shared" ca="1" si="102"/>
        <v>#NAME?</v>
      </c>
      <c r="AV63" s="853" t="e">
        <f t="shared" ca="1" si="102"/>
        <v>#NAME?</v>
      </c>
      <c r="AW63" s="853" t="e">
        <f t="shared" ca="1" si="102"/>
        <v>#NAME?</v>
      </c>
      <c r="AX63" s="853" t="e">
        <f t="shared" ca="1" si="102"/>
        <v>#NAME?</v>
      </c>
      <c r="AY63" s="852" t="e">
        <f t="shared" ca="1" si="77"/>
        <v>#NAME?</v>
      </c>
      <c r="AZ63" s="852" t="e">
        <f t="shared" ca="1" si="78"/>
        <v>#NAME?</v>
      </c>
      <c r="BA63" s="852" t="str">
        <f t="shared" ca="1" si="85"/>
        <v/>
      </c>
      <c r="BB63" s="849" t="e">
        <f ca="1">IF(COUNTIF('R3_G1'!$A$8:$A$17,$A63)=1, IF(AND(BA63=Z63,BA63=VLOOKUP($A63,'R3_G1'!$A$8:$AB$17, 28,FALSE)),"yes","no"),
IF(COUNTIF('R3_G2'!$A$8:$A$17,$A63)=1, IF(AND(BA63=Z63,BA63=VLOOKUP($A63,'R3_G2'!$A$8:$AB$17, 28,FALSE)),"yes","no"),
IF(COUNTIF('R3_G3'!$A$8:$A$17,$A63)=1, IF(AND(BA63=Z63,BA63=VLOOKUP($A63,'R3_G3'!$A$8:$AB$17, 28,FALSE)),"yes","no"),
IF(COUNTIF('R3_G4'!$A$8:$A$17,$A63)=1, IF(AND(BA63=Z63,BA63=VLOOKUP($A63,'R3_G4'!$A$8:$AB$17, 28,FALSE)),"yes","no"),
"?"))))</f>
        <v>#NAME?</v>
      </c>
      <c r="BC63" s="921"/>
      <c r="BD63" s="862" t="e">
        <f t="shared" ca="1" si="86"/>
        <v>#NAME?</v>
      </c>
      <c r="BE63" s="855" t="e">
        <f t="shared" ca="1" si="87"/>
        <v>#NAME?</v>
      </c>
      <c r="BF63" s="855">
        <f t="shared" ca="1" si="88"/>
        <v>0</v>
      </c>
      <c r="BG63" s="855">
        <f t="shared" ca="1" si="89"/>
        <v>0</v>
      </c>
      <c r="BH63" s="855">
        <f t="shared" ca="1" si="90"/>
        <v>0</v>
      </c>
      <c r="BI63" s="855">
        <f t="shared" ca="1" si="91"/>
        <v>0</v>
      </c>
      <c r="BJ63" s="855">
        <f t="shared" ca="1" si="92"/>
        <v>0</v>
      </c>
    </row>
    <row r="64" spans="1:62" ht="14.25" customHeight="1">
      <c r="A64" s="857" t="str">
        <f t="shared" si="79"/>
        <v>Pace</v>
      </c>
      <c r="B64" s="929" t="e">
        <f ca="1">_xludf.ifna(VLOOKUP(A64,'R3_G1'!$A$8:$C$17,3,FALSE),_xludf.ifna(VLOOKUP(A64,'R3_G2'!$A$8:$C$17,3,FALSE),_xludf.ifna(VLOOKUP(A64,'R3_G3'!$A$8:$C$17,3,FALSE),VLOOKUP(A64,'R3_G4'!$A$8:$C$17,3,FALSE))))</f>
        <v>#NAME?</v>
      </c>
      <c r="C64" s="857"/>
      <c r="D64" s="851"/>
      <c r="E64" s="859">
        <f>IF(COUNTIF('R3_G1'!$A$8:$A$17,$A64)=1,VLOOKUP($A64,'R3_G1'!$A$8:$Y$17, E$2+4,FALSE),IF(COUNTIF('R3_G2'!$A$8:$A$17,$A64)=1,VLOOKUP($A64,'R3_G2'!$A$8:$Y$17, E$2+4,FALSE),IF(COUNTIF('R3_G3'!$A$8:$A$17,$A64)=1,VLOOKUP($A64,'R3_G3'!$A$8:$Y$17, E$2+4,FALSE),IF(COUNTIF('R3_G4'!$A$8:$A$17,$A64)=1,VLOOKUP($A64,'R3_G4'!$A$8:$Y$17, E$2+4,FALSE),""))))</f>
        <v>3</v>
      </c>
      <c r="F64" s="859">
        <f>IF(COUNTIF('R3_G1'!$A$8:$A$17,$A64)=1,VLOOKUP($A64,'R3_G1'!$A$8:$Y$17, F$2+4,FALSE),IF(COUNTIF('R3_G2'!$A$8:$A$17,$A64)=1,VLOOKUP($A64,'R3_G2'!$A$8:$Y$17, F$2+4,FALSE),IF(COUNTIF('R3_G3'!$A$8:$A$17,$A64)=1,VLOOKUP($A64,'R3_G3'!$A$8:$Y$17, F$2+4,FALSE),IF(COUNTIF('R3_G4'!$A$8:$A$17,$A64)=1,VLOOKUP($A64,'R3_G4'!$A$8:$Y$17, F$2+4,FALSE),""))))</f>
        <v>5</v>
      </c>
      <c r="G64" s="859">
        <f>IF(COUNTIF('R3_G1'!$A$8:$A$17,$A64)=1,VLOOKUP($A64,'R3_G1'!$A$8:$Y$17, G$2+4,FALSE),IF(COUNTIF('R3_G2'!$A$8:$A$17,$A64)=1,VLOOKUP($A64,'R3_G2'!$A$8:$Y$17, G$2+4,FALSE),IF(COUNTIF('R3_G3'!$A$8:$A$17,$A64)=1,VLOOKUP($A64,'R3_G3'!$A$8:$Y$17, G$2+4,FALSE),IF(COUNTIF('R3_G4'!$A$8:$A$17,$A64)=1,VLOOKUP($A64,'R3_G4'!$A$8:$Y$17, G$2+4,FALSE),""))))</f>
        <v>5</v>
      </c>
      <c r="H64" s="859">
        <f>IF(COUNTIF('R3_G1'!$A$8:$A$17,$A64)=1,VLOOKUP($A64,'R3_G1'!$A$8:$Y$17, H$2+4,FALSE),IF(COUNTIF('R3_G2'!$A$8:$A$17,$A64)=1,VLOOKUP($A64,'R3_G2'!$A$8:$Y$17, H$2+4,FALSE),IF(COUNTIF('R3_G3'!$A$8:$A$17,$A64)=1,VLOOKUP($A64,'R3_G3'!$A$8:$Y$17, H$2+4,FALSE),IF(COUNTIF('R3_G4'!$A$8:$A$17,$A64)=1,VLOOKUP($A64,'R3_G4'!$A$8:$Y$17, H$2+4,FALSE),""))))</f>
        <v>3</v>
      </c>
      <c r="I64" s="859">
        <f>IF(COUNTIF('R3_G1'!$A$8:$A$17,$A64)=1,VLOOKUP($A64,'R3_G1'!$A$8:$Y$17, I$2+4,FALSE),IF(COUNTIF('R3_G2'!$A$8:$A$17,$A64)=1,VLOOKUP($A64,'R3_G2'!$A$8:$Y$17, I$2+4,FALSE),IF(COUNTIF('R3_G3'!$A$8:$A$17,$A64)=1,VLOOKUP($A64,'R3_G3'!$A$8:$Y$17, I$2+4,FALSE),IF(COUNTIF('R3_G4'!$A$8:$A$17,$A64)=1,VLOOKUP($A64,'R3_G4'!$A$8:$Y$17, I$2+4,FALSE),""))))</f>
        <v>3</v>
      </c>
      <c r="J64" s="859">
        <f>IF(COUNTIF('R3_G1'!$A$8:$A$17,$A64)=1,VLOOKUP($A64,'R3_G1'!$A$8:$Y$17, J$2+4,FALSE),IF(COUNTIF('R3_G2'!$A$8:$A$17,$A64)=1,VLOOKUP($A64,'R3_G2'!$A$8:$Y$17, J$2+4,FALSE),IF(COUNTIF('R3_G3'!$A$8:$A$17,$A64)=1,VLOOKUP($A64,'R3_G3'!$A$8:$Y$17, J$2+4,FALSE),IF(COUNTIF('R3_G4'!$A$8:$A$17,$A64)=1,VLOOKUP($A64,'R3_G4'!$A$8:$Y$17, J$2+4,FALSE),""))))</f>
        <v>5</v>
      </c>
      <c r="K64" s="859">
        <f>IF(COUNTIF('R3_G1'!$A$8:$A$17,$A64)=1,VLOOKUP($A64,'R3_G1'!$A$8:$Y$17, K$2+4,FALSE),IF(COUNTIF('R3_G2'!$A$8:$A$17,$A64)=1,VLOOKUP($A64,'R3_G2'!$A$8:$Y$17, K$2+4,FALSE),IF(COUNTIF('R3_G3'!$A$8:$A$17,$A64)=1,VLOOKUP($A64,'R3_G3'!$A$8:$Y$17, K$2+4,FALSE),IF(COUNTIF('R3_G4'!$A$8:$A$17,$A64)=1,VLOOKUP($A64,'R3_G4'!$A$8:$Y$17, K$2+4,FALSE),""))))</f>
        <v>4</v>
      </c>
      <c r="L64" s="859">
        <f>IF(COUNTIF('R3_G1'!$A$8:$A$17,$A64)=1,VLOOKUP($A64,'R3_G1'!$A$8:$Y$17, L$2+4,FALSE),IF(COUNTIF('R3_G2'!$A$8:$A$17,$A64)=1,VLOOKUP($A64,'R3_G2'!$A$8:$Y$17, L$2+4,FALSE),IF(COUNTIF('R3_G3'!$A$8:$A$17,$A64)=1,VLOOKUP($A64,'R3_G3'!$A$8:$Y$17, L$2+4,FALSE),IF(COUNTIF('R3_G4'!$A$8:$A$17,$A64)=1,VLOOKUP($A64,'R3_G4'!$A$8:$Y$17, L$2+4,FALSE),""))))</f>
        <v>4</v>
      </c>
      <c r="M64" s="859">
        <f>IF(COUNTIF('R3_G1'!$A$8:$A$17,$A64)=1,VLOOKUP($A64,'R3_G1'!$A$8:$Y$17, M$2+4,FALSE),IF(COUNTIF('R3_G2'!$A$8:$A$17,$A64)=1,VLOOKUP($A64,'R3_G2'!$A$8:$Y$17, M$2+4,FALSE),IF(COUNTIF('R3_G3'!$A$8:$A$17,$A64)=1,VLOOKUP($A64,'R3_G3'!$A$8:$Y$17, M$2+4,FALSE),IF(COUNTIF('R3_G4'!$A$8:$A$17,$A64)=1,VLOOKUP($A64,'R3_G4'!$A$8:$Y$17, M$2+4,FALSE),""))))</f>
        <v>3</v>
      </c>
      <c r="N64" s="852">
        <f>IF(COUNTIF('R3_G1'!$A$8:$A$17,$A64)=1,VLOOKUP($A64,'R3_G1'!$A$8:$Y$17, N$2+7,FALSE),IF(COUNTIF('R3_G2'!$A$8:$A$17,$A64)=1,VLOOKUP($A64,'R3_G2'!$A$8:$Y$17, N$2+7,FALSE),IF(COUNTIF('R3_G3'!$A$8:$A$17,$A64)=1,VLOOKUP($A64,'R3_G3'!$A$8:$Y$17, N$2+7,FALSE),IF(COUNTIF('R3_G4'!$A$8:$A$17,$A64)=1,VLOOKUP($A64,'R3_G4'!$A$8:$Y$17, N$2+7,FALSE),""))))</f>
        <v>3</v>
      </c>
      <c r="O64" s="852">
        <f>IF(COUNTIF('R3_G1'!$A$8:$A$17,$A64)=1,VLOOKUP($A64,'R3_G1'!$A$8:$Y$17, O$2+7,FALSE),IF(COUNTIF('R3_G2'!$A$8:$A$17,$A64)=1,VLOOKUP($A64,'R3_G2'!$A$8:$Y$17, O$2+7,FALSE),IF(COUNTIF('R3_G3'!$A$8:$A$17,$A64)=1,VLOOKUP($A64,'R3_G3'!$A$8:$Y$17, O$2+7,FALSE),IF(COUNTIF('R3_G4'!$A$8:$A$17,$A64)=1,VLOOKUP($A64,'R3_G4'!$A$8:$Y$17, O$2+7,FALSE),""))))</f>
        <v>4</v>
      </c>
      <c r="P64" s="852">
        <f>IF(COUNTIF('R3_G1'!$A$8:$A$17,$A64)=1,VLOOKUP($A64,'R3_G1'!$A$8:$Y$17, P$2+7,FALSE),IF(COUNTIF('R3_G2'!$A$8:$A$17,$A64)=1,VLOOKUP($A64,'R3_G2'!$A$8:$Y$17, P$2+7,FALSE),IF(COUNTIF('R3_G3'!$A$8:$A$17,$A64)=1,VLOOKUP($A64,'R3_G3'!$A$8:$Y$17, P$2+7,FALSE),IF(COUNTIF('R3_G4'!$A$8:$A$17,$A64)=1,VLOOKUP($A64,'R3_G4'!$A$8:$Y$17, P$2+7,FALSE),""))))</f>
        <v>2</v>
      </c>
      <c r="Q64" s="852">
        <f>IF(COUNTIF('R3_G1'!$A$8:$A$17,$A64)=1,VLOOKUP($A64,'R3_G1'!$A$8:$Y$17, Q$2+7,FALSE),IF(COUNTIF('R3_G2'!$A$8:$A$17,$A64)=1,VLOOKUP($A64,'R3_G2'!$A$8:$Y$17, Q$2+7,FALSE),IF(COUNTIF('R3_G3'!$A$8:$A$17,$A64)=1,VLOOKUP($A64,'R3_G3'!$A$8:$Y$17, Q$2+7,FALSE),IF(COUNTIF('R3_G4'!$A$8:$A$17,$A64)=1,VLOOKUP($A64,'R3_G4'!$A$8:$Y$17, Q$2+7,FALSE),""))))</f>
        <v>4</v>
      </c>
      <c r="R64" s="852">
        <f>IF(COUNTIF('R3_G1'!$A$8:$A$17,$A64)=1,VLOOKUP($A64,'R3_G1'!$A$8:$Y$17, R$2+7,FALSE),IF(COUNTIF('R3_G2'!$A$8:$A$17,$A64)=1,VLOOKUP($A64,'R3_G2'!$A$8:$Y$17, R$2+7,FALSE),IF(COUNTIF('R3_G3'!$A$8:$A$17,$A64)=1,VLOOKUP($A64,'R3_G3'!$A$8:$Y$17, R$2+7,FALSE),IF(COUNTIF('R3_G4'!$A$8:$A$17,$A64)=1,VLOOKUP($A64,'R3_G4'!$A$8:$Y$17, R$2+7,FALSE),""))))</f>
        <v>3</v>
      </c>
      <c r="S64" s="852">
        <f>IF(COUNTIF('R3_G1'!$A$8:$A$17,$A64)=1,VLOOKUP($A64,'R3_G1'!$A$8:$Y$17, S$2+7,FALSE),IF(COUNTIF('R3_G2'!$A$8:$A$17,$A64)=1,VLOOKUP($A64,'R3_G2'!$A$8:$Y$17, S$2+7,FALSE),IF(COUNTIF('R3_G3'!$A$8:$A$17,$A64)=1,VLOOKUP($A64,'R3_G3'!$A$8:$Y$17, S$2+7,FALSE),IF(COUNTIF('R3_G4'!$A$8:$A$17,$A64)=1,VLOOKUP($A64,'R3_G4'!$A$8:$Y$17, S$2+7,FALSE),""))))</f>
        <v>4</v>
      </c>
      <c r="T64" s="852">
        <f>IF(COUNTIF('R3_G1'!$A$8:$A$17,$A64)=1,VLOOKUP($A64,'R3_G1'!$A$8:$Y$17, T$2+7,FALSE),IF(COUNTIF('R3_G2'!$A$8:$A$17,$A64)=1,VLOOKUP($A64,'R3_G2'!$A$8:$Y$17, T$2+7,FALSE),IF(COUNTIF('R3_G3'!$A$8:$A$17,$A64)=1,VLOOKUP($A64,'R3_G3'!$A$8:$Y$17, T$2+7,FALSE),IF(COUNTIF('R3_G4'!$A$8:$A$17,$A64)=1,VLOOKUP($A64,'R3_G4'!$A$8:$Y$17, T$2+7,FALSE),""))))</f>
        <v>4</v>
      </c>
      <c r="U64" s="852">
        <f>IF(COUNTIF('R3_G1'!$A$8:$A$17,$A64)=1,VLOOKUP($A64,'R3_G1'!$A$8:$Y$17, U$2+7,FALSE),IF(COUNTIF('R3_G2'!$A$8:$A$17,$A64)=1,VLOOKUP($A64,'R3_G2'!$A$8:$Y$17, U$2+7,FALSE),IF(COUNTIF('R3_G3'!$A$8:$A$17,$A64)=1,VLOOKUP($A64,'R3_G3'!$A$8:$Y$17, U$2+7,FALSE),IF(COUNTIF('R3_G4'!$A$8:$A$17,$A64)=1,VLOOKUP($A64,'R3_G4'!$A$8:$Y$17, U$2+7,FALSE),""))))</f>
        <v>4</v>
      </c>
      <c r="V64" s="852">
        <f>IF(COUNTIF('R3_G1'!$A$8:$A$17,$A64)=1,VLOOKUP($A64,'R3_G1'!$A$8:$Y$17, V$2+7,FALSE),IF(COUNTIF('R3_G2'!$A$8:$A$17,$A64)=1,VLOOKUP($A64,'R3_G2'!$A$8:$Y$17, V$2+7,FALSE),IF(COUNTIF('R3_G3'!$A$8:$A$17,$A64)=1,VLOOKUP($A64,'R3_G3'!$A$8:$Y$17, V$2+7,FALSE),IF(COUNTIF('R3_G4'!$A$8:$A$17,$A64)=1,VLOOKUP($A64,'R3_G4'!$A$8:$Y$17, V$2+7,FALSE),""))))</f>
        <v>4</v>
      </c>
      <c r="W64" s="859">
        <f t="shared" si="74"/>
        <v>35</v>
      </c>
      <c r="X64" s="859">
        <f t="shared" si="75"/>
        <v>32</v>
      </c>
      <c r="Y64" s="859">
        <f t="shared" si="80"/>
        <v>67</v>
      </c>
      <c r="Z64" s="931" t="e">
        <f t="shared" ca="1" si="81"/>
        <v>#NAME?</v>
      </c>
      <c r="AA64" s="859">
        <f t="shared" si="82"/>
        <v>67</v>
      </c>
      <c r="AB64" s="921"/>
      <c r="AC64" s="849" t="str">
        <f t="shared" si="83"/>
        <v>Pace</v>
      </c>
      <c r="AD64" s="929" t="e">
        <f ca="1">_xludf.ifna(VLOOKUP(AC64,'R3_G1'!$A$8:$C$17,3,FALSE),_xludf.ifna(VLOOKUP(AC64,'R3_G2'!$A$8:$C$17,3,FALSE),_xludf.ifna(VLOOKUP(AC64,'R3_G3'!$A$8:$C$17,3,FALSE),VLOOKUP(AC64,'R3_G4'!$A$8:$C$17,3,FALSE))))</f>
        <v>#NAME?</v>
      </c>
      <c r="AE64" s="857"/>
      <c r="AF64" s="832"/>
      <c r="AG64" s="859" t="e">
        <f t="shared" ref="AG64:AX64" ca="1" si="103">IF(E64="","",E64-IF($B64&gt;0,FLOOR($B64/18,1),0)-IF(AND(MOD($B64,18)&gt;=E$51,$B64&gt;0),1,0)+IF(E$51-18&gt;$B64,1,0))</f>
        <v>#NAME?</v>
      </c>
      <c r="AH64" s="859" t="e">
        <f t="shared" ca="1" si="103"/>
        <v>#NAME?</v>
      </c>
      <c r="AI64" s="859" t="e">
        <f t="shared" ca="1" si="103"/>
        <v>#NAME?</v>
      </c>
      <c r="AJ64" s="859" t="e">
        <f t="shared" ca="1" si="103"/>
        <v>#NAME?</v>
      </c>
      <c r="AK64" s="859" t="e">
        <f t="shared" ca="1" si="103"/>
        <v>#NAME?</v>
      </c>
      <c r="AL64" s="859" t="e">
        <f t="shared" ca="1" si="103"/>
        <v>#NAME?</v>
      </c>
      <c r="AM64" s="859" t="e">
        <f t="shared" ca="1" si="103"/>
        <v>#NAME?</v>
      </c>
      <c r="AN64" s="859" t="e">
        <f t="shared" ca="1" si="103"/>
        <v>#NAME?</v>
      </c>
      <c r="AO64" s="859" t="e">
        <f t="shared" ca="1" si="103"/>
        <v>#NAME?</v>
      </c>
      <c r="AP64" s="852" t="e">
        <f t="shared" ca="1" si="103"/>
        <v>#NAME?</v>
      </c>
      <c r="AQ64" s="852" t="e">
        <f t="shared" ca="1" si="103"/>
        <v>#NAME?</v>
      </c>
      <c r="AR64" s="852" t="e">
        <f t="shared" ca="1" si="103"/>
        <v>#NAME?</v>
      </c>
      <c r="AS64" s="852" t="e">
        <f t="shared" ca="1" si="103"/>
        <v>#NAME?</v>
      </c>
      <c r="AT64" s="852" t="e">
        <f t="shared" ca="1" si="103"/>
        <v>#NAME?</v>
      </c>
      <c r="AU64" s="852" t="e">
        <f t="shared" ca="1" si="103"/>
        <v>#NAME?</v>
      </c>
      <c r="AV64" s="852" t="e">
        <f t="shared" ca="1" si="103"/>
        <v>#NAME?</v>
      </c>
      <c r="AW64" s="852" t="e">
        <f t="shared" ca="1" si="103"/>
        <v>#NAME?</v>
      </c>
      <c r="AX64" s="852" t="e">
        <f t="shared" ca="1" si="103"/>
        <v>#NAME?</v>
      </c>
      <c r="AY64" s="859" t="e">
        <f t="shared" ca="1" si="77"/>
        <v>#NAME?</v>
      </c>
      <c r="AZ64" s="859" t="e">
        <f t="shared" ca="1" si="78"/>
        <v>#NAME?</v>
      </c>
      <c r="BA64" s="859" t="str">
        <f t="shared" ca="1" si="85"/>
        <v/>
      </c>
      <c r="BB64" s="857" t="e">
        <f ca="1">IF(COUNTIF('R3_G1'!$A$8:$A$17,$A64)=1, IF(AND(BA64=Z64,BA64=VLOOKUP($A64,'R3_G1'!$A$8:$AB$17, 28,FALSE)),"yes","no"),
IF(COUNTIF('R3_G2'!$A$8:$A$17,$A64)=1, IF(AND(BA64=Z64,BA64=VLOOKUP($A64,'R3_G2'!$A$8:$AB$17, 28,FALSE)),"yes","no"),
IF(COUNTIF('R3_G3'!$A$8:$A$17,$A64)=1, IF(AND(BA64=Z64,BA64=VLOOKUP($A64,'R3_G3'!$A$8:$AB$17, 28,FALSE)),"yes","no"),
IF(COUNTIF('R3_G4'!$A$8:$A$17,$A64)=1, IF(AND(BA64=Z64,BA64=VLOOKUP($A64,'R3_G4'!$A$8:$AB$17, 28,FALSE)),"yes","no"),
"?"))))</f>
        <v>#NAME?</v>
      </c>
      <c r="BC64" s="921"/>
      <c r="BD64" s="860" t="e">
        <f t="shared" ca="1" si="86"/>
        <v>#NAME?</v>
      </c>
      <c r="BE64" s="861" t="e">
        <f t="shared" ca="1" si="87"/>
        <v>#NAME?</v>
      </c>
      <c r="BF64" s="861">
        <f t="shared" ca="1" si="88"/>
        <v>0</v>
      </c>
      <c r="BG64" s="861">
        <f t="shared" ca="1" si="89"/>
        <v>0</v>
      </c>
      <c r="BH64" s="861">
        <f t="shared" ca="1" si="90"/>
        <v>0</v>
      </c>
      <c r="BI64" s="861">
        <f t="shared" ca="1" si="91"/>
        <v>0</v>
      </c>
      <c r="BJ64" s="861">
        <f t="shared" ca="1" si="92"/>
        <v>0</v>
      </c>
    </row>
    <row r="65" spans="1:62" ht="14.25" customHeight="1">
      <c r="A65" s="849" t="str">
        <f t="shared" si="79"/>
        <v>T-Mo</v>
      </c>
      <c r="B65" s="929" t="e">
        <f ca="1">_xludf.ifna(VLOOKUP(A65,'R3_G1'!$A$8:$C$17,3,FALSE),_xludf.ifna(VLOOKUP(A65,'R3_G2'!$A$8:$C$17,3,FALSE),_xludf.ifna(VLOOKUP(A65,'R3_G3'!$A$8:$C$17,3,FALSE),VLOOKUP(A65,'R3_G4'!$A$8:$C$17,3,FALSE))))</f>
        <v>#NAME?</v>
      </c>
      <c r="C65" s="849"/>
      <c r="D65" s="851"/>
      <c r="E65" s="852">
        <f>IF(COUNTIF('R3_G1'!$A$8:$A$17,$A65)=1,VLOOKUP($A65,'R3_G1'!$A$8:$Y$17, E$2+4,FALSE),IF(COUNTIF('R3_G2'!$A$8:$A$17,$A65)=1,VLOOKUP($A65,'R3_G2'!$A$8:$Y$17, E$2+4,FALSE),IF(COUNTIF('R3_G3'!$A$8:$A$17,$A65)=1,VLOOKUP($A65,'R3_G3'!$A$8:$Y$17, E$2+4,FALSE),IF(COUNTIF('R3_G4'!$A$8:$A$17,$A65)=1,VLOOKUP($A65,'R3_G4'!$A$8:$Y$17, E$2+4,FALSE),""))))</f>
        <v>4</v>
      </c>
      <c r="F65" s="852">
        <f>IF(COUNTIF('R3_G1'!$A$8:$A$17,$A65)=1,VLOOKUP($A65,'R3_G1'!$A$8:$Y$17, F$2+4,FALSE),IF(COUNTIF('R3_G2'!$A$8:$A$17,$A65)=1,VLOOKUP($A65,'R3_G2'!$A$8:$Y$17, F$2+4,FALSE),IF(COUNTIF('R3_G3'!$A$8:$A$17,$A65)=1,VLOOKUP($A65,'R3_G3'!$A$8:$Y$17, F$2+4,FALSE),IF(COUNTIF('R3_G4'!$A$8:$A$17,$A65)=1,VLOOKUP($A65,'R3_G4'!$A$8:$Y$17, F$2+4,FALSE),""))))</f>
        <v>4</v>
      </c>
      <c r="G65" s="852">
        <f>IF(COUNTIF('R3_G1'!$A$8:$A$17,$A65)=1,VLOOKUP($A65,'R3_G1'!$A$8:$Y$17, G$2+4,FALSE),IF(COUNTIF('R3_G2'!$A$8:$A$17,$A65)=1,VLOOKUP($A65,'R3_G2'!$A$8:$Y$17, G$2+4,FALSE),IF(COUNTIF('R3_G3'!$A$8:$A$17,$A65)=1,VLOOKUP($A65,'R3_G3'!$A$8:$Y$17, G$2+4,FALSE),IF(COUNTIF('R3_G4'!$A$8:$A$17,$A65)=1,VLOOKUP($A65,'R3_G4'!$A$8:$Y$17, G$2+4,FALSE),""))))</f>
        <v>4</v>
      </c>
      <c r="H65" s="852">
        <f>IF(COUNTIF('R3_G1'!$A$8:$A$17,$A65)=1,VLOOKUP($A65,'R3_G1'!$A$8:$Y$17, H$2+4,FALSE),IF(COUNTIF('R3_G2'!$A$8:$A$17,$A65)=1,VLOOKUP($A65,'R3_G2'!$A$8:$Y$17, H$2+4,FALSE),IF(COUNTIF('R3_G3'!$A$8:$A$17,$A65)=1,VLOOKUP($A65,'R3_G3'!$A$8:$Y$17, H$2+4,FALSE),IF(COUNTIF('R3_G4'!$A$8:$A$17,$A65)=1,VLOOKUP($A65,'R3_G4'!$A$8:$Y$17, H$2+4,FALSE),""))))</f>
        <v>4</v>
      </c>
      <c r="I65" s="852">
        <f>IF(COUNTIF('R3_G1'!$A$8:$A$17,$A65)=1,VLOOKUP($A65,'R3_G1'!$A$8:$Y$17, I$2+4,FALSE),IF(COUNTIF('R3_G2'!$A$8:$A$17,$A65)=1,VLOOKUP($A65,'R3_G2'!$A$8:$Y$17, I$2+4,FALSE),IF(COUNTIF('R3_G3'!$A$8:$A$17,$A65)=1,VLOOKUP($A65,'R3_G3'!$A$8:$Y$17, I$2+4,FALSE),IF(COUNTIF('R3_G4'!$A$8:$A$17,$A65)=1,VLOOKUP($A65,'R3_G4'!$A$8:$Y$17, I$2+4,FALSE),""))))</f>
        <v>3</v>
      </c>
      <c r="J65" s="852">
        <f>IF(COUNTIF('R3_G1'!$A$8:$A$17,$A65)=1,VLOOKUP($A65,'R3_G1'!$A$8:$Y$17, J$2+4,FALSE),IF(COUNTIF('R3_G2'!$A$8:$A$17,$A65)=1,VLOOKUP($A65,'R3_G2'!$A$8:$Y$17, J$2+4,FALSE),IF(COUNTIF('R3_G3'!$A$8:$A$17,$A65)=1,VLOOKUP($A65,'R3_G3'!$A$8:$Y$17, J$2+4,FALSE),IF(COUNTIF('R3_G4'!$A$8:$A$17,$A65)=1,VLOOKUP($A65,'R3_G4'!$A$8:$Y$17, J$2+4,FALSE),""))))</f>
        <v>4</v>
      </c>
      <c r="K65" s="852">
        <f>IF(COUNTIF('R3_G1'!$A$8:$A$17,$A65)=1,VLOOKUP($A65,'R3_G1'!$A$8:$Y$17, K$2+4,FALSE),IF(COUNTIF('R3_G2'!$A$8:$A$17,$A65)=1,VLOOKUP($A65,'R3_G2'!$A$8:$Y$17, K$2+4,FALSE),IF(COUNTIF('R3_G3'!$A$8:$A$17,$A65)=1,VLOOKUP($A65,'R3_G3'!$A$8:$Y$17, K$2+4,FALSE),IF(COUNTIF('R3_G4'!$A$8:$A$17,$A65)=1,VLOOKUP($A65,'R3_G4'!$A$8:$Y$17, K$2+4,FALSE),""))))</f>
        <v>4</v>
      </c>
      <c r="L65" s="852">
        <f>IF(COUNTIF('R3_G1'!$A$8:$A$17,$A65)=1,VLOOKUP($A65,'R3_G1'!$A$8:$Y$17, L$2+4,FALSE),IF(COUNTIF('R3_G2'!$A$8:$A$17,$A65)=1,VLOOKUP($A65,'R3_G2'!$A$8:$Y$17, L$2+4,FALSE),IF(COUNTIF('R3_G3'!$A$8:$A$17,$A65)=1,VLOOKUP($A65,'R3_G3'!$A$8:$Y$17, L$2+4,FALSE),IF(COUNTIF('R3_G4'!$A$8:$A$17,$A65)=1,VLOOKUP($A65,'R3_G4'!$A$8:$Y$17, L$2+4,FALSE),""))))</f>
        <v>5</v>
      </c>
      <c r="M65" s="852">
        <f>IF(COUNTIF('R3_G1'!$A$8:$A$17,$A65)=1,VLOOKUP($A65,'R3_G1'!$A$8:$Y$17, M$2+4,FALSE),IF(COUNTIF('R3_G2'!$A$8:$A$17,$A65)=1,VLOOKUP($A65,'R3_G2'!$A$8:$Y$17, M$2+4,FALSE),IF(COUNTIF('R3_G3'!$A$8:$A$17,$A65)=1,VLOOKUP($A65,'R3_G3'!$A$8:$Y$17, M$2+4,FALSE),IF(COUNTIF('R3_G4'!$A$8:$A$17,$A65)=1,VLOOKUP($A65,'R3_G4'!$A$8:$Y$17, M$2+4,FALSE),""))))</f>
        <v>3</v>
      </c>
      <c r="N65" s="853">
        <f>IF(COUNTIF('R3_G1'!$A$8:$A$17,$A65)=1,VLOOKUP($A65,'R3_G1'!$A$8:$Y$17, N$2+7,FALSE),IF(COUNTIF('R3_G2'!$A$8:$A$17,$A65)=1,VLOOKUP($A65,'R3_G2'!$A$8:$Y$17, N$2+7,FALSE),IF(COUNTIF('R3_G3'!$A$8:$A$17,$A65)=1,VLOOKUP($A65,'R3_G3'!$A$8:$Y$17, N$2+7,FALSE),IF(COUNTIF('R3_G4'!$A$8:$A$17,$A65)=1,VLOOKUP($A65,'R3_G4'!$A$8:$Y$17, N$2+7,FALSE),""))))</f>
        <v>4</v>
      </c>
      <c r="O65" s="853">
        <f>IF(COUNTIF('R3_G1'!$A$8:$A$17,$A65)=1,VLOOKUP($A65,'R3_G1'!$A$8:$Y$17, O$2+7,FALSE),IF(COUNTIF('R3_G2'!$A$8:$A$17,$A65)=1,VLOOKUP($A65,'R3_G2'!$A$8:$Y$17, O$2+7,FALSE),IF(COUNTIF('R3_G3'!$A$8:$A$17,$A65)=1,VLOOKUP($A65,'R3_G3'!$A$8:$Y$17, O$2+7,FALSE),IF(COUNTIF('R3_G4'!$A$8:$A$17,$A65)=1,VLOOKUP($A65,'R3_G4'!$A$8:$Y$17, O$2+7,FALSE),""))))</f>
        <v>6</v>
      </c>
      <c r="P65" s="853">
        <f>IF(COUNTIF('R3_G1'!$A$8:$A$17,$A65)=1,VLOOKUP($A65,'R3_G1'!$A$8:$Y$17, P$2+7,FALSE),IF(COUNTIF('R3_G2'!$A$8:$A$17,$A65)=1,VLOOKUP($A65,'R3_G2'!$A$8:$Y$17, P$2+7,FALSE),IF(COUNTIF('R3_G3'!$A$8:$A$17,$A65)=1,VLOOKUP($A65,'R3_G3'!$A$8:$Y$17, P$2+7,FALSE),IF(COUNTIF('R3_G4'!$A$8:$A$17,$A65)=1,VLOOKUP($A65,'R3_G4'!$A$8:$Y$17, P$2+7,FALSE),""))))</f>
        <v>3</v>
      </c>
      <c r="Q65" s="853">
        <f>IF(COUNTIF('R3_G1'!$A$8:$A$17,$A65)=1,VLOOKUP($A65,'R3_G1'!$A$8:$Y$17, Q$2+7,FALSE),IF(COUNTIF('R3_G2'!$A$8:$A$17,$A65)=1,VLOOKUP($A65,'R3_G2'!$A$8:$Y$17, Q$2+7,FALSE),IF(COUNTIF('R3_G3'!$A$8:$A$17,$A65)=1,VLOOKUP($A65,'R3_G3'!$A$8:$Y$17, Q$2+7,FALSE),IF(COUNTIF('R3_G4'!$A$8:$A$17,$A65)=1,VLOOKUP($A65,'R3_G4'!$A$8:$Y$17, Q$2+7,FALSE),""))))</f>
        <v>4</v>
      </c>
      <c r="R65" s="853">
        <f>IF(COUNTIF('R3_G1'!$A$8:$A$17,$A65)=1,VLOOKUP($A65,'R3_G1'!$A$8:$Y$17, R$2+7,FALSE),IF(COUNTIF('R3_G2'!$A$8:$A$17,$A65)=1,VLOOKUP($A65,'R3_G2'!$A$8:$Y$17, R$2+7,FALSE),IF(COUNTIF('R3_G3'!$A$8:$A$17,$A65)=1,VLOOKUP($A65,'R3_G3'!$A$8:$Y$17, R$2+7,FALSE),IF(COUNTIF('R3_G4'!$A$8:$A$17,$A65)=1,VLOOKUP($A65,'R3_G4'!$A$8:$Y$17, R$2+7,FALSE),""))))</f>
        <v>3</v>
      </c>
      <c r="S65" s="853">
        <f>IF(COUNTIF('R3_G1'!$A$8:$A$17,$A65)=1,VLOOKUP($A65,'R3_G1'!$A$8:$Y$17, S$2+7,FALSE),IF(COUNTIF('R3_G2'!$A$8:$A$17,$A65)=1,VLOOKUP($A65,'R3_G2'!$A$8:$Y$17, S$2+7,FALSE),IF(COUNTIF('R3_G3'!$A$8:$A$17,$A65)=1,VLOOKUP($A65,'R3_G3'!$A$8:$Y$17, S$2+7,FALSE),IF(COUNTIF('R3_G4'!$A$8:$A$17,$A65)=1,VLOOKUP($A65,'R3_G4'!$A$8:$Y$17, S$2+7,FALSE),""))))</f>
        <v>5</v>
      </c>
      <c r="T65" s="853">
        <f>IF(COUNTIF('R3_G1'!$A$8:$A$17,$A65)=1,VLOOKUP($A65,'R3_G1'!$A$8:$Y$17, T$2+7,FALSE),IF(COUNTIF('R3_G2'!$A$8:$A$17,$A65)=1,VLOOKUP($A65,'R3_G2'!$A$8:$Y$17, T$2+7,FALSE),IF(COUNTIF('R3_G3'!$A$8:$A$17,$A65)=1,VLOOKUP($A65,'R3_G3'!$A$8:$Y$17, T$2+7,FALSE),IF(COUNTIF('R3_G4'!$A$8:$A$17,$A65)=1,VLOOKUP($A65,'R3_G4'!$A$8:$Y$17, T$2+7,FALSE),""))))</f>
        <v>4</v>
      </c>
      <c r="U65" s="853">
        <f>IF(COUNTIF('R3_G1'!$A$8:$A$17,$A65)=1,VLOOKUP($A65,'R3_G1'!$A$8:$Y$17, U$2+7,FALSE),IF(COUNTIF('R3_G2'!$A$8:$A$17,$A65)=1,VLOOKUP($A65,'R3_G2'!$A$8:$Y$17, U$2+7,FALSE),IF(COUNTIF('R3_G3'!$A$8:$A$17,$A65)=1,VLOOKUP($A65,'R3_G3'!$A$8:$Y$17, U$2+7,FALSE),IF(COUNTIF('R3_G4'!$A$8:$A$17,$A65)=1,VLOOKUP($A65,'R3_G4'!$A$8:$Y$17, U$2+7,FALSE),""))))</f>
        <v>5</v>
      </c>
      <c r="V65" s="853">
        <f>IF(COUNTIF('R3_G1'!$A$8:$A$17,$A65)=1,VLOOKUP($A65,'R3_G1'!$A$8:$Y$17, V$2+7,FALSE),IF(COUNTIF('R3_G2'!$A$8:$A$17,$A65)=1,VLOOKUP($A65,'R3_G2'!$A$8:$Y$17, V$2+7,FALSE),IF(COUNTIF('R3_G3'!$A$8:$A$17,$A65)=1,VLOOKUP($A65,'R3_G3'!$A$8:$Y$17, V$2+7,FALSE),IF(COUNTIF('R3_G4'!$A$8:$A$17,$A65)=1,VLOOKUP($A65,'R3_G4'!$A$8:$Y$17, V$2+7,FALSE),""))))</f>
        <v>4</v>
      </c>
      <c r="W65" s="852">
        <f t="shared" si="74"/>
        <v>35</v>
      </c>
      <c r="X65" s="852">
        <f t="shared" si="75"/>
        <v>38</v>
      </c>
      <c r="Y65" s="852">
        <f t="shared" si="80"/>
        <v>73</v>
      </c>
      <c r="Z65" s="930" t="e">
        <f t="shared" ca="1" si="81"/>
        <v>#NAME?</v>
      </c>
      <c r="AA65" s="852">
        <f t="shared" si="82"/>
        <v>73</v>
      </c>
      <c r="AB65" s="921"/>
      <c r="AC65" s="849" t="str">
        <f t="shared" si="83"/>
        <v>T-Mo</v>
      </c>
      <c r="AD65" s="929" t="e">
        <f ca="1">_xludf.ifna(VLOOKUP(AC65,'R3_G1'!$A$8:$C$17,3,FALSE),_xludf.ifna(VLOOKUP(AC65,'R3_G2'!$A$8:$C$17,3,FALSE),_xludf.ifna(VLOOKUP(AC65,'R3_G3'!$A$8:$C$17,3,FALSE),VLOOKUP(AC65,'R3_G4'!$A$8:$C$17,3,FALSE))))</f>
        <v>#NAME?</v>
      </c>
      <c r="AE65" s="849"/>
      <c r="AF65" s="832"/>
      <c r="AG65" s="852" t="e">
        <f t="shared" ref="AG65:AX65" ca="1" si="104">IF(E65="","",E65-IF($B65&gt;0,FLOOR($B65/18,1),0)-IF(AND(MOD($B65,18)&gt;=E$51,$B65&gt;0),1,0)+IF(E$51-18&gt;$B65,1,0))</f>
        <v>#NAME?</v>
      </c>
      <c r="AH65" s="852" t="e">
        <f t="shared" ca="1" si="104"/>
        <v>#NAME?</v>
      </c>
      <c r="AI65" s="852" t="e">
        <f t="shared" ca="1" si="104"/>
        <v>#NAME?</v>
      </c>
      <c r="AJ65" s="852" t="e">
        <f t="shared" ca="1" si="104"/>
        <v>#NAME?</v>
      </c>
      <c r="AK65" s="852" t="e">
        <f t="shared" ca="1" si="104"/>
        <v>#NAME?</v>
      </c>
      <c r="AL65" s="852" t="e">
        <f t="shared" ca="1" si="104"/>
        <v>#NAME?</v>
      </c>
      <c r="AM65" s="852" t="e">
        <f t="shared" ca="1" si="104"/>
        <v>#NAME?</v>
      </c>
      <c r="AN65" s="852" t="e">
        <f t="shared" ca="1" si="104"/>
        <v>#NAME?</v>
      </c>
      <c r="AO65" s="852" t="e">
        <f t="shared" ca="1" si="104"/>
        <v>#NAME?</v>
      </c>
      <c r="AP65" s="853" t="e">
        <f t="shared" ca="1" si="104"/>
        <v>#NAME?</v>
      </c>
      <c r="AQ65" s="853" t="e">
        <f t="shared" ca="1" si="104"/>
        <v>#NAME?</v>
      </c>
      <c r="AR65" s="853" t="e">
        <f t="shared" ca="1" si="104"/>
        <v>#NAME?</v>
      </c>
      <c r="AS65" s="853" t="e">
        <f t="shared" ca="1" si="104"/>
        <v>#NAME?</v>
      </c>
      <c r="AT65" s="853" t="e">
        <f t="shared" ca="1" si="104"/>
        <v>#NAME?</v>
      </c>
      <c r="AU65" s="853" t="e">
        <f t="shared" ca="1" si="104"/>
        <v>#NAME?</v>
      </c>
      <c r="AV65" s="853" t="e">
        <f t="shared" ca="1" si="104"/>
        <v>#NAME?</v>
      </c>
      <c r="AW65" s="853" t="e">
        <f t="shared" ca="1" si="104"/>
        <v>#NAME?</v>
      </c>
      <c r="AX65" s="853" t="e">
        <f t="shared" ca="1" si="104"/>
        <v>#NAME?</v>
      </c>
      <c r="AY65" s="852" t="e">
        <f t="shared" ca="1" si="77"/>
        <v>#NAME?</v>
      </c>
      <c r="AZ65" s="852" t="e">
        <f t="shared" ca="1" si="78"/>
        <v>#NAME?</v>
      </c>
      <c r="BA65" s="852" t="str">
        <f t="shared" ca="1" si="85"/>
        <v/>
      </c>
      <c r="BB65" s="849" t="e">
        <f ca="1">IF(COUNTIF('R3_G1'!$A$8:$A$17,$A65)=1, IF(AND(BA65=Z65,BA65=VLOOKUP($A65,'R3_G1'!$A$8:$AB$17, 28,FALSE)),"yes","no"),
IF(COUNTIF('R3_G2'!$A$8:$A$17,$A65)=1, IF(AND(BA65=Z65,BA65=VLOOKUP($A65,'R3_G2'!$A$8:$AB$17, 28,FALSE)),"yes","no"),
IF(COUNTIF('R3_G3'!$A$8:$A$17,$A65)=1, IF(AND(BA65=Z65,BA65=VLOOKUP($A65,'R3_G3'!$A$8:$AB$17, 28,FALSE)),"yes","no"),
IF(COUNTIF('R3_G4'!$A$8:$A$17,$A65)=1, IF(AND(BA65=Z65,BA65=VLOOKUP($A65,'R3_G4'!$A$8:$AB$17, 28,FALSE)),"yes","no"),
"?"))))</f>
        <v>#NAME?</v>
      </c>
      <c r="BC65" s="921"/>
      <c r="BD65" s="862" t="e">
        <f t="shared" ca="1" si="86"/>
        <v>#NAME?</v>
      </c>
      <c r="BE65" s="855" t="e">
        <f t="shared" ca="1" si="87"/>
        <v>#NAME?</v>
      </c>
      <c r="BF65" s="855">
        <f t="shared" ca="1" si="88"/>
        <v>0</v>
      </c>
      <c r="BG65" s="855">
        <f t="shared" ca="1" si="89"/>
        <v>0</v>
      </c>
      <c r="BH65" s="855">
        <f t="shared" ca="1" si="90"/>
        <v>0</v>
      </c>
      <c r="BI65" s="855">
        <f t="shared" ca="1" si="91"/>
        <v>0</v>
      </c>
      <c r="BJ65" s="855">
        <f t="shared" ca="1" si="92"/>
        <v>0</v>
      </c>
    </row>
    <row r="66" spans="1:62" ht="14.25" customHeight="1">
      <c r="A66" s="857" t="str">
        <f t="shared" si="79"/>
        <v>Joe O</v>
      </c>
      <c r="B66" s="929" t="e">
        <f ca="1">_xludf.ifna(VLOOKUP(A66,'R3_G1'!$A$8:$C$17,3,FALSE),_xludf.ifna(VLOOKUP(A66,'R3_G2'!$A$8:$C$17,3,FALSE),_xludf.ifna(VLOOKUP(A66,'R3_G3'!$A$8:$C$17,3,FALSE),VLOOKUP(A66,'R3_G4'!$A$8:$C$17,3,FALSE))))</f>
        <v>#NAME?</v>
      </c>
      <c r="C66" s="857"/>
      <c r="D66" s="851"/>
      <c r="E66" s="859">
        <f>IF(COUNTIF('R3_G1'!$A$8:$A$17,$A66)=1,VLOOKUP($A66,'R3_G1'!$A$8:$Y$17, E$2+4,FALSE),IF(COUNTIF('R3_G2'!$A$8:$A$17,$A66)=1,VLOOKUP($A66,'R3_G2'!$A$8:$Y$17, E$2+4,FALSE),IF(COUNTIF('R3_G3'!$A$8:$A$17,$A66)=1,VLOOKUP($A66,'R3_G3'!$A$8:$Y$17, E$2+4,FALSE),IF(COUNTIF('R3_G4'!$A$8:$A$17,$A66)=1,VLOOKUP($A66,'R3_G4'!$A$8:$Y$17, E$2+4,FALSE),""))))</f>
        <v>4</v>
      </c>
      <c r="F66" s="859">
        <f>IF(COUNTIF('R3_G1'!$A$8:$A$17,$A66)=1,VLOOKUP($A66,'R3_G1'!$A$8:$Y$17, F$2+4,FALSE),IF(COUNTIF('R3_G2'!$A$8:$A$17,$A66)=1,VLOOKUP($A66,'R3_G2'!$A$8:$Y$17, F$2+4,FALSE),IF(COUNTIF('R3_G3'!$A$8:$A$17,$A66)=1,VLOOKUP($A66,'R3_G3'!$A$8:$Y$17, F$2+4,FALSE),IF(COUNTIF('R3_G4'!$A$8:$A$17,$A66)=1,VLOOKUP($A66,'R3_G4'!$A$8:$Y$17, F$2+4,FALSE),""))))</f>
        <v>4</v>
      </c>
      <c r="G66" s="859">
        <f>IF(COUNTIF('R3_G1'!$A$8:$A$17,$A66)=1,VLOOKUP($A66,'R3_G1'!$A$8:$Y$17, G$2+4,FALSE),IF(COUNTIF('R3_G2'!$A$8:$A$17,$A66)=1,VLOOKUP($A66,'R3_G2'!$A$8:$Y$17, G$2+4,FALSE),IF(COUNTIF('R3_G3'!$A$8:$A$17,$A66)=1,VLOOKUP($A66,'R3_G3'!$A$8:$Y$17, G$2+4,FALSE),IF(COUNTIF('R3_G4'!$A$8:$A$17,$A66)=1,VLOOKUP($A66,'R3_G4'!$A$8:$Y$17, G$2+4,FALSE),""))))</f>
        <v>4</v>
      </c>
      <c r="H66" s="859">
        <f>IF(COUNTIF('R3_G1'!$A$8:$A$17,$A66)=1,VLOOKUP($A66,'R3_G1'!$A$8:$Y$17, H$2+4,FALSE),IF(COUNTIF('R3_G2'!$A$8:$A$17,$A66)=1,VLOOKUP($A66,'R3_G2'!$A$8:$Y$17, H$2+4,FALSE),IF(COUNTIF('R3_G3'!$A$8:$A$17,$A66)=1,VLOOKUP($A66,'R3_G3'!$A$8:$Y$17, H$2+4,FALSE),IF(COUNTIF('R3_G4'!$A$8:$A$17,$A66)=1,VLOOKUP($A66,'R3_G4'!$A$8:$Y$17, H$2+4,FALSE),""))))</f>
        <v>4</v>
      </c>
      <c r="I66" s="859">
        <f>IF(COUNTIF('R3_G1'!$A$8:$A$17,$A66)=1,VLOOKUP($A66,'R3_G1'!$A$8:$Y$17, I$2+4,FALSE),IF(COUNTIF('R3_G2'!$A$8:$A$17,$A66)=1,VLOOKUP($A66,'R3_G2'!$A$8:$Y$17, I$2+4,FALSE),IF(COUNTIF('R3_G3'!$A$8:$A$17,$A66)=1,VLOOKUP($A66,'R3_G3'!$A$8:$Y$17, I$2+4,FALSE),IF(COUNTIF('R3_G4'!$A$8:$A$17,$A66)=1,VLOOKUP($A66,'R3_G4'!$A$8:$Y$17, I$2+4,FALSE),""))))</f>
        <v>3</v>
      </c>
      <c r="J66" s="859">
        <f>IF(COUNTIF('R3_G1'!$A$8:$A$17,$A66)=1,VLOOKUP($A66,'R3_G1'!$A$8:$Y$17, J$2+4,FALSE),IF(COUNTIF('R3_G2'!$A$8:$A$17,$A66)=1,VLOOKUP($A66,'R3_G2'!$A$8:$Y$17, J$2+4,FALSE),IF(COUNTIF('R3_G3'!$A$8:$A$17,$A66)=1,VLOOKUP($A66,'R3_G3'!$A$8:$Y$17, J$2+4,FALSE),IF(COUNTIF('R3_G4'!$A$8:$A$17,$A66)=1,VLOOKUP($A66,'R3_G4'!$A$8:$Y$17, J$2+4,FALSE),""))))</f>
        <v>4</v>
      </c>
      <c r="K66" s="859">
        <f>IF(COUNTIF('R3_G1'!$A$8:$A$17,$A66)=1,VLOOKUP($A66,'R3_G1'!$A$8:$Y$17, K$2+4,FALSE),IF(COUNTIF('R3_G2'!$A$8:$A$17,$A66)=1,VLOOKUP($A66,'R3_G2'!$A$8:$Y$17, K$2+4,FALSE),IF(COUNTIF('R3_G3'!$A$8:$A$17,$A66)=1,VLOOKUP($A66,'R3_G3'!$A$8:$Y$17, K$2+4,FALSE),IF(COUNTIF('R3_G4'!$A$8:$A$17,$A66)=1,VLOOKUP($A66,'R3_G4'!$A$8:$Y$17, K$2+4,FALSE),""))))</f>
        <v>4</v>
      </c>
      <c r="L66" s="859">
        <f>IF(COUNTIF('R3_G1'!$A$8:$A$17,$A66)=1,VLOOKUP($A66,'R3_G1'!$A$8:$Y$17, L$2+4,FALSE),IF(COUNTIF('R3_G2'!$A$8:$A$17,$A66)=1,VLOOKUP($A66,'R3_G2'!$A$8:$Y$17, L$2+4,FALSE),IF(COUNTIF('R3_G3'!$A$8:$A$17,$A66)=1,VLOOKUP($A66,'R3_G3'!$A$8:$Y$17, L$2+4,FALSE),IF(COUNTIF('R3_G4'!$A$8:$A$17,$A66)=1,VLOOKUP($A66,'R3_G4'!$A$8:$Y$17, L$2+4,FALSE),""))))</f>
        <v>5</v>
      </c>
      <c r="M66" s="859">
        <f>IF(COUNTIF('R3_G1'!$A$8:$A$17,$A66)=1,VLOOKUP($A66,'R3_G1'!$A$8:$Y$17, M$2+4,FALSE),IF(COUNTIF('R3_G2'!$A$8:$A$17,$A66)=1,VLOOKUP($A66,'R3_G2'!$A$8:$Y$17, M$2+4,FALSE),IF(COUNTIF('R3_G3'!$A$8:$A$17,$A66)=1,VLOOKUP($A66,'R3_G3'!$A$8:$Y$17, M$2+4,FALSE),IF(COUNTIF('R3_G4'!$A$8:$A$17,$A66)=1,VLOOKUP($A66,'R3_G4'!$A$8:$Y$17, M$2+4,FALSE),""))))</f>
        <v>3</v>
      </c>
      <c r="N66" s="852">
        <f>IF(COUNTIF('R3_G1'!$A$8:$A$17,$A66)=1,VLOOKUP($A66,'R3_G1'!$A$8:$Y$17, N$2+7,FALSE),IF(COUNTIF('R3_G2'!$A$8:$A$17,$A66)=1,VLOOKUP($A66,'R3_G2'!$A$8:$Y$17, N$2+7,FALSE),IF(COUNTIF('R3_G3'!$A$8:$A$17,$A66)=1,VLOOKUP($A66,'R3_G3'!$A$8:$Y$17, N$2+7,FALSE),IF(COUNTIF('R3_G4'!$A$8:$A$17,$A66)=1,VLOOKUP($A66,'R3_G4'!$A$8:$Y$17, N$2+7,FALSE),""))))</f>
        <v>4</v>
      </c>
      <c r="O66" s="852">
        <f>IF(COUNTIF('R3_G1'!$A$8:$A$17,$A66)=1,VLOOKUP($A66,'R3_G1'!$A$8:$Y$17, O$2+7,FALSE),IF(COUNTIF('R3_G2'!$A$8:$A$17,$A66)=1,VLOOKUP($A66,'R3_G2'!$A$8:$Y$17, O$2+7,FALSE),IF(COUNTIF('R3_G3'!$A$8:$A$17,$A66)=1,VLOOKUP($A66,'R3_G3'!$A$8:$Y$17, O$2+7,FALSE),IF(COUNTIF('R3_G4'!$A$8:$A$17,$A66)=1,VLOOKUP($A66,'R3_G4'!$A$8:$Y$17, O$2+7,FALSE),""))))</f>
        <v>6</v>
      </c>
      <c r="P66" s="852">
        <f>IF(COUNTIF('R3_G1'!$A$8:$A$17,$A66)=1,VLOOKUP($A66,'R3_G1'!$A$8:$Y$17, P$2+7,FALSE),IF(COUNTIF('R3_G2'!$A$8:$A$17,$A66)=1,VLOOKUP($A66,'R3_G2'!$A$8:$Y$17, P$2+7,FALSE),IF(COUNTIF('R3_G3'!$A$8:$A$17,$A66)=1,VLOOKUP($A66,'R3_G3'!$A$8:$Y$17, P$2+7,FALSE),IF(COUNTIF('R3_G4'!$A$8:$A$17,$A66)=1,VLOOKUP($A66,'R3_G4'!$A$8:$Y$17, P$2+7,FALSE),""))))</f>
        <v>3</v>
      </c>
      <c r="Q66" s="852">
        <f>IF(COUNTIF('R3_G1'!$A$8:$A$17,$A66)=1,VLOOKUP($A66,'R3_G1'!$A$8:$Y$17, Q$2+7,FALSE),IF(COUNTIF('R3_G2'!$A$8:$A$17,$A66)=1,VLOOKUP($A66,'R3_G2'!$A$8:$Y$17, Q$2+7,FALSE),IF(COUNTIF('R3_G3'!$A$8:$A$17,$A66)=1,VLOOKUP($A66,'R3_G3'!$A$8:$Y$17, Q$2+7,FALSE),IF(COUNTIF('R3_G4'!$A$8:$A$17,$A66)=1,VLOOKUP($A66,'R3_G4'!$A$8:$Y$17, Q$2+7,FALSE),""))))</f>
        <v>4</v>
      </c>
      <c r="R66" s="852">
        <f>IF(COUNTIF('R3_G1'!$A$8:$A$17,$A66)=1,VLOOKUP($A66,'R3_G1'!$A$8:$Y$17, R$2+7,FALSE),IF(COUNTIF('R3_G2'!$A$8:$A$17,$A66)=1,VLOOKUP($A66,'R3_G2'!$A$8:$Y$17, R$2+7,FALSE),IF(COUNTIF('R3_G3'!$A$8:$A$17,$A66)=1,VLOOKUP($A66,'R3_G3'!$A$8:$Y$17, R$2+7,FALSE),IF(COUNTIF('R3_G4'!$A$8:$A$17,$A66)=1,VLOOKUP($A66,'R3_G4'!$A$8:$Y$17, R$2+7,FALSE),""))))</f>
        <v>3</v>
      </c>
      <c r="S66" s="852">
        <f>IF(COUNTIF('R3_G1'!$A$8:$A$17,$A66)=1,VLOOKUP($A66,'R3_G1'!$A$8:$Y$17, S$2+7,FALSE),IF(COUNTIF('R3_G2'!$A$8:$A$17,$A66)=1,VLOOKUP($A66,'R3_G2'!$A$8:$Y$17, S$2+7,FALSE),IF(COUNTIF('R3_G3'!$A$8:$A$17,$A66)=1,VLOOKUP($A66,'R3_G3'!$A$8:$Y$17, S$2+7,FALSE),IF(COUNTIF('R3_G4'!$A$8:$A$17,$A66)=1,VLOOKUP($A66,'R3_G4'!$A$8:$Y$17, S$2+7,FALSE),""))))</f>
        <v>5</v>
      </c>
      <c r="T66" s="852">
        <f>IF(COUNTIF('R3_G1'!$A$8:$A$17,$A66)=1,VLOOKUP($A66,'R3_G1'!$A$8:$Y$17, T$2+7,FALSE),IF(COUNTIF('R3_G2'!$A$8:$A$17,$A66)=1,VLOOKUP($A66,'R3_G2'!$A$8:$Y$17, T$2+7,FALSE),IF(COUNTIF('R3_G3'!$A$8:$A$17,$A66)=1,VLOOKUP($A66,'R3_G3'!$A$8:$Y$17, T$2+7,FALSE),IF(COUNTIF('R3_G4'!$A$8:$A$17,$A66)=1,VLOOKUP($A66,'R3_G4'!$A$8:$Y$17, T$2+7,FALSE),""))))</f>
        <v>4</v>
      </c>
      <c r="U66" s="852">
        <f>IF(COUNTIF('R3_G1'!$A$8:$A$17,$A66)=1,VLOOKUP($A66,'R3_G1'!$A$8:$Y$17, U$2+7,FALSE),IF(COUNTIF('R3_G2'!$A$8:$A$17,$A66)=1,VLOOKUP($A66,'R3_G2'!$A$8:$Y$17, U$2+7,FALSE),IF(COUNTIF('R3_G3'!$A$8:$A$17,$A66)=1,VLOOKUP($A66,'R3_G3'!$A$8:$Y$17, U$2+7,FALSE),IF(COUNTIF('R3_G4'!$A$8:$A$17,$A66)=1,VLOOKUP($A66,'R3_G4'!$A$8:$Y$17, U$2+7,FALSE),""))))</f>
        <v>5</v>
      </c>
      <c r="V66" s="852">
        <f>IF(COUNTIF('R3_G1'!$A$8:$A$17,$A66)=1,VLOOKUP($A66,'R3_G1'!$A$8:$Y$17, V$2+7,FALSE),IF(COUNTIF('R3_G2'!$A$8:$A$17,$A66)=1,VLOOKUP($A66,'R3_G2'!$A$8:$Y$17, V$2+7,FALSE),IF(COUNTIF('R3_G3'!$A$8:$A$17,$A66)=1,VLOOKUP($A66,'R3_G3'!$A$8:$Y$17, V$2+7,FALSE),IF(COUNTIF('R3_G4'!$A$8:$A$17,$A66)=1,VLOOKUP($A66,'R3_G4'!$A$8:$Y$17, V$2+7,FALSE),""))))</f>
        <v>4</v>
      </c>
      <c r="W66" s="859">
        <f t="shared" si="74"/>
        <v>35</v>
      </c>
      <c r="X66" s="859">
        <f t="shared" si="75"/>
        <v>38</v>
      </c>
      <c r="Y66" s="859">
        <f t="shared" si="80"/>
        <v>73</v>
      </c>
      <c r="Z66" s="931" t="e">
        <f t="shared" ca="1" si="81"/>
        <v>#NAME?</v>
      </c>
      <c r="AA66" s="859">
        <f t="shared" si="82"/>
        <v>73</v>
      </c>
      <c r="AB66" s="921"/>
      <c r="AC66" s="849" t="str">
        <f t="shared" si="83"/>
        <v>Joe O</v>
      </c>
      <c r="AD66" s="929" t="e">
        <f ca="1">_xludf.ifna(VLOOKUP(AC66,'R3_G1'!$A$8:$C$17,3,FALSE),_xludf.ifna(VLOOKUP(AC66,'R3_G2'!$A$8:$C$17,3,FALSE),_xludf.ifna(VLOOKUP(AC66,'R3_G3'!$A$8:$C$17,3,FALSE),VLOOKUP(AC66,'R3_G4'!$A$8:$C$17,3,FALSE))))</f>
        <v>#NAME?</v>
      </c>
      <c r="AE66" s="857"/>
      <c r="AF66" s="832"/>
      <c r="AG66" s="859" t="e">
        <f t="shared" ref="AG66:AX66" ca="1" si="105">IF(E66="","",E66-IF($B66&gt;0,FLOOR($B66/18,1),0)-IF(AND(MOD($B66,18)&gt;=E$51,$B66&gt;0),1,0)+IF(E$51-18&gt;$B66,1,0))</f>
        <v>#NAME?</v>
      </c>
      <c r="AH66" s="859" t="e">
        <f t="shared" ca="1" si="105"/>
        <v>#NAME?</v>
      </c>
      <c r="AI66" s="859" t="e">
        <f t="shared" ca="1" si="105"/>
        <v>#NAME?</v>
      </c>
      <c r="AJ66" s="859" t="e">
        <f t="shared" ca="1" si="105"/>
        <v>#NAME?</v>
      </c>
      <c r="AK66" s="859" t="e">
        <f t="shared" ca="1" si="105"/>
        <v>#NAME?</v>
      </c>
      <c r="AL66" s="859" t="e">
        <f t="shared" ca="1" si="105"/>
        <v>#NAME?</v>
      </c>
      <c r="AM66" s="859" t="e">
        <f t="shared" ca="1" si="105"/>
        <v>#NAME?</v>
      </c>
      <c r="AN66" s="859" t="e">
        <f t="shared" ca="1" si="105"/>
        <v>#NAME?</v>
      </c>
      <c r="AO66" s="859" t="e">
        <f t="shared" ca="1" si="105"/>
        <v>#NAME?</v>
      </c>
      <c r="AP66" s="852" t="e">
        <f t="shared" ca="1" si="105"/>
        <v>#NAME?</v>
      </c>
      <c r="AQ66" s="852" t="e">
        <f t="shared" ca="1" si="105"/>
        <v>#NAME?</v>
      </c>
      <c r="AR66" s="852" t="e">
        <f t="shared" ca="1" si="105"/>
        <v>#NAME?</v>
      </c>
      <c r="AS66" s="852" t="e">
        <f t="shared" ca="1" si="105"/>
        <v>#NAME?</v>
      </c>
      <c r="AT66" s="852" t="e">
        <f t="shared" ca="1" si="105"/>
        <v>#NAME?</v>
      </c>
      <c r="AU66" s="852" t="e">
        <f t="shared" ca="1" si="105"/>
        <v>#NAME?</v>
      </c>
      <c r="AV66" s="852" t="e">
        <f t="shared" ca="1" si="105"/>
        <v>#NAME?</v>
      </c>
      <c r="AW66" s="852" t="e">
        <f t="shared" ca="1" si="105"/>
        <v>#NAME?</v>
      </c>
      <c r="AX66" s="852" t="e">
        <f t="shared" ca="1" si="105"/>
        <v>#NAME?</v>
      </c>
      <c r="AY66" s="859" t="e">
        <f t="shared" ca="1" si="77"/>
        <v>#NAME?</v>
      </c>
      <c r="AZ66" s="859" t="e">
        <f t="shared" ca="1" si="78"/>
        <v>#NAME?</v>
      </c>
      <c r="BA66" s="859" t="str">
        <f t="shared" ca="1" si="85"/>
        <v/>
      </c>
      <c r="BB66" s="857" t="e">
        <f ca="1">IF(COUNTIF('R3_G1'!$A$8:$A$17,$A66)=1, IF(AND(BA66=Z66,BA66=VLOOKUP($A66,'R3_G1'!$A$8:$AB$17, 28,FALSE)),"yes","no"),
IF(COUNTIF('R3_G2'!$A$8:$A$17,$A66)=1, IF(AND(BA66=Z66,BA66=VLOOKUP($A66,'R3_G2'!$A$8:$AB$17, 28,FALSE)),"yes","no"),
IF(COUNTIF('R3_G3'!$A$8:$A$17,$A66)=1, IF(AND(BA66=Z66,BA66=VLOOKUP($A66,'R3_G3'!$A$8:$AB$17, 28,FALSE)),"yes","no"),
IF(COUNTIF('R3_G4'!$A$8:$A$17,$A66)=1, IF(AND(BA66=Z66,BA66=VLOOKUP($A66,'R3_G4'!$A$8:$AB$17, 28,FALSE)),"yes","no"),
"?"))))</f>
        <v>#NAME?</v>
      </c>
      <c r="BC66" s="921"/>
      <c r="BD66" s="860" t="e">
        <f t="shared" ca="1" si="86"/>
        <v>#NAME?</v>
      </c>
      <c r="BE66" s="861" t="e">
        <f t="shared" ca="1" si="87"/>
        <v>#NAME?</v>
      </c>
      <c r="BF66" s="861">
        <f t="shared" ca="1" si="88"/>
        <v>0</v>
      </c>
      <c r="BG66" s="861">
        <f t="shared" ca="1" si="89"/>
        <v>0</v>
      </c>
      <c r="BH66" s="861">
        <f t="shared" ca="1" si="90"/>
        <v>0</v>
      </c>
      <c r="BI66" s="861">
        <f t="shared" ca="1" si="91"/>
        <v>0</v>
      </c>
      <c r="BJ66" s="861">
        <f t="shared" ca="1" si="92"/>
        <v>0</v>
      </c>
    </row>
    <row r="67" spans="1:62" ht="14.25" customHeight="1">
      <c r="A67" s="849" t="str">
        <f t="shared" si="79"/>
        <v>Hile</v>
      </c>
      <c r="B67" s="932" t="e">
        <f ca="1">_xludf.ifna(VLOOKUP(A67,'R3_G1'!$A$8:$C$17,3,FALSE),_xludf.ifna(VLOOKUP(A67,'R3_G2'!$A$8:$C$17,3,FALSE),_xludf.ifna(VLOOKUP(A67,'R3_G3'!$A$8:$C$17,3,FALSE),VLOOKUP(A67,'R3_G4'!$A$8:$C$17,3,FALSE))))</f>
        <v>#NAME?</v>
      </c>
      <c r="C67" s="849"/>
      <c r="D67" s="851"/>
      <c r="E67" s="852">
        <f>IF(COUNTIF('R3_G1'!$A$8:$A$17,$A67)=1,VLOOKUP($A67,'R3_G1'!$A$8:$Y$17, E$2+4,FALSE),IF(COUNTIF('R3_G2'!$A$8:$A$17,$A67)=1,VLOOKUP($A67,'R3_G2'!$A$8:$Y$17, E$2+4,FALSE),IF(COUNTIF('R3_G3'!$A$8:$A$17,$A67)=1,VLOOKUP($A67,'R3_G3'!$A$8:$Y$17, E$2+4,FALSE),IF(COUNTIF('R3_G4'!$A$8:$A$17,$A67)=1,VLOOKUP($A67,'R3_G4'!$A$8:$Y$17, E$2+4,FALSE),""))))</f>
        <v>4</v>
      </c>
      <c r="F67" s="852">
        <f>IF(COUNTIF('R3_G1'!$A$8:$A$17,$A67)=1,VLOOKUP($A67,'R3_G1'!$A$8:$Y$17, F$2+4,FALSE),IF(COUNTIF('R3_G2'!$A$8:$A$17,$A67)=1,VLOOKUP($A67,'R3_G2'!$A$8:$Y$17, F$2+4,FALSE),IF(COUNTIF('R3_G3'!$A$8:$A$17,$A67)=1,VLOOKUP($A67,'R3_G3'!$A$8:$Y$17, F$2+4,FALSE),IF(COUNTIF('R3_G4'!$A$8:$A$17,$A67)=1,VLOOKUP($A67,'R3_G4'!$A$8:$Y$17, F$2+4,FALSE),""))))</f>
        <v>4</v>
      </c>
      <c r="G67" s="852">
        <f>IF(COUNTIF('R3_G1'!$A$8:$A$17,$A67)=1,VLOOKUP($A67,'R3_G1'!$A$8:$Y$17, G$2+4,FALSE),IF(COUNTIF('R3_G2'!$A$8:$A$17,$A67)=1,VLOOKUP($A67,'R3_G2'!$A$8:$Y$17, G$2+4,FALSE),IF(COUNTIF('R3_G3'!$A$8:$A$17,$A67)=1,VLOOKUP($A67,'R3_G3'!$A$8:$Y$17, G$2+4,FALSE),IF(COUNTIF('R3_G4'!$A$8:$A$17,$A67)=1,VLOOKUP($A67,'R3_G4'!$A$8:$Y$17, G$2+4,FALSE),""))))</f>
        <v>5</v>
      </c>
      <c r="H67" s="852">
        <f>IF(COUNTIF('R3_G1'!$A$8:$A$17,$A67)=1,VLOOKUP($A67,'R3_G1'!$A$8:$Y$17, H$2+4,FALSE),IF(COUNTIF('R3_G2'!$A$8:$A$17,$A67)=1,VLOOKUP($A67,'R3_G2'!$A$8:$Y$17, H$2+4,FALSE),IF(COUNTIF('R3_G3'!$A$8:$A$17,$A67)=1,VLOOKUP($A67,'R3_G3'!$A$8:$Y$17, H$2+4,FALSE),IF(COUNTIF('R3_G4'!$A$8:$A$17,$A67)=1,VLOOKUP($A67,'R3_G4'!$A$8:$Y$17, H$2+4,FALSE),""))))</f>
        <v>4</v>
      </c>
      <c r="I67" s="852">
        <f>IF(COUNTIF('R3_G1'!$A$8:$A$17,$A67)=1,VLOOKUP($A67,'R3_G1'!$A$8:$Y$17, I$2+4,FALSE),IF(COUNTIF('R3_G2'!$A$8:$A$17,$A67)=1,VLOOKUP($A67,'R3_G2'!$A$8:$Y$17, I$2+4,FALSE),IF(COUNTIF('R3_G3'!$A$8:$A$17,$A67)=1,VLOOKUP($A67,'R3_G3'!$A$8:$Y$17, I$2+4,FALSE),IF(COUNTIF('R3_G4'!$A$8:$A$17,$A67)=1,VLOOKUP($A67,'R3_G4'!$A$8:$Y$17, I$2+4,FALSE),""))))</f>
        <v>4</v>
      </c>
      <c r="J67" s="852">
        <f>IF(COUNTIF('R3_G1'!$A$8:$A$17,$A67)=1,VLOOKUP($A67,'R3_G1'!$A$8:$Y$17, J$2+4,FALSE),IF(COUNTIF('R3_G2'!$A$8:$A$17,$A67)=1,VLOOKUP($A67,'R3_G2'!$A$8:$Y$17, J$2+4,FALSE),IF(COUNTIF('R3_G3'!$A$8:$A$17,$A67)=1,VLOOKUP($A67,'R3_G3'!$A$8:$Y$17, J$2+4,FALSE),IF(COUNTIF('R3_G4'!$A$8:$A$17,$A67)=1,VLOOKUP($A67,'R3_G4'!$A$8:$Y$17, J$2+4,FALSE),""))))</f>
        <v>4</v>
      </c>
      <c r="K67" s="852">
        <f>IF(COUNTIF('R3_G1'!$A$8:$A$17,$A67)=1,VLOOKUP($A67,'R3_G1'!$A$8:$Y$17, K$2+4,FALSE),IF(COUNTIF('R3_G2'!$A$8:$A$17,$A67)=1,VLOOKUP($A67,'R3_G2'!$A$8:$Y$17, K$2+4,FALSE),IF(COUNTIF('R3_G3'!$A$8:$A$17,$A67)=1,VLOOKUP($A67,'R3_G3'!$A$8:$Y$17, K$2+4,FALSE),IF(COUNTIF('R3_G4'!$A$8:$A$17,$A67)=1,VLOOKUP($A67,'R3_G4'!$A$8:$Y$17, K$2+4,FALSE),""))))</f>
        <v>4</v>
      </c>
      <c r="L67" s="852">
        <f>IF(COUNTIF('R3_G1'!$A$8:$A$17,$A67)=1,VLOOKUP($A67,'R3_G1'!$A$8:$Y$17, L$2+4,FALSE),IF(COUNTIF('R3_G2'!$A$8:$A$17,$A67)=1,VLOOKUP($A67,'R3_G2'!$A$8:$Y$17, L$2+4,FALSE),IF(COUNTIF('R3_G3'!$A$8:$A$17,$A67)=1,VLOOKUP($A67,'R3_G3'!$A$8:$Y$17, L$2+4,FALSE),IF(COUNTIF('R3_G4'!$A$8:$A$17,$A67)=1,VLOOKUP($A67,'R3_G4'!$A$8:$Y$17, L$2+4,FALSE),""))))</f>
        <v>5</v>
      </c>
      <c r="M67" s="852">
        <f>IF(COUNTIF('R3_G1'!$A$8:$A$17,$A67)=1,VLOOKUP($A67,'R3_G1'!$A$8:$Y$17, M$2+4,FALSE),IF(COUNTIF('R3_G2'!$A$8:$A$17,$A67)=1,VLOOKUP($A67,'R3_G2'!$A$8:$Y$17, M$2+4,FALSE),IF(COUNTIF('R3_G3'!$A$8:$A$17,$A67)=1,VLOOKUP($A67,'R3_G3'!$A$8:$Y$17, M$2+4,FALSE),IF(COUNTIF('R3_G4'!$A$8:$A$17,$A67)=1,VLOOKUP($A67,'R3_G4'!$A$8:$Y$17, M$2+4,FALSE),""))))</f>
        <v>3</v>
      </c>
      <c r="N67" s="853">
        <f>IF(COUNTIF('R3_G1'!$A$8:$A$17,$A67)=1,VLOOKUP($A67,'R3_G1'!$A$8:$Y$17, N$2+7,FALSE),IF(COUNTIF('R3_G2'!$A$8:$A$17,$A67)=1,VLOOKUP($A67,'R3_G2'!$A$8:$Y$17, N$2+7,FALSE),IF(COUNTIF('R3_G3'!$A$8:$A$17,$A67)=1,VLOOKUP($A67,'R3_G3'!$A$8:$Y$17, N$2+7,FALSE),IF(COUNTIF('R3_G4'!$A$8:$A$17,$A67)=1,VLOOKUP($A67,'R3_G4'!$A$8:$Y$17, N$2+7,FALSE),""))))</f>
        <v>4</v>
      </c>
      <c r="O67" s="853">
        <f>IF(COUNTIF('R3_G1'!$A$8:$A$17,$A67)=1,VLOOKUP($A67,'R3_G1'!$A$8:$Y$17, O$2+7,FALSE),IF(COUNTIF('R3_G2'!$A$8:$A$17,$A67)=1,VLOOKUP($A67,'R3_G2'!$A$8:$Y$17, O$2+7,FALSE),IF(COUNTIF('R3_G3'!$A$8:$A$17,$A67)=1,VLOOKUP($A67,'R3_G3'!$A$8:$Y$17, O$2+7,FALSE),IF(COUNTIF('R3_G4'!$A$8:$A$17,$A67)=1,VLOOKUP($A67,'R3_G4'!$A$8:$Y$17, O$2+7,FALSE),""))))</f>
        <v>4</v>
      </c>
      <c r="P67" s="853">
        <f>IF(COUNTIF('R3_G1'!$A$8:$A$17,$A67)=1,VLOOKUP($A67,'R3_G1'!$A$8:$Y$17, P$2+7,FALSE),IF(COUNTIF('R3_G2'!$A$8:$A$17,$A67)=1,VLOOKUP($A67,'R3_G2'!$A$8:$Y$17, P$2+7,FALSE),IF(COUNTIF('R3_G3'!$A$8:$A$17,$A67)=1,VLOOKUP($A67,'R3_G3'!$A$8:$Y$17, P$2+7,FALSE),IF(COUNTIF('R3_G4'!$A$8:$A$17,$A67)=1,VLOOKUP($A67,'R3_G4'!$A$8:$Y$17, P$2+7,FALSE),""))))</f>
        <v>4</v>
      </c>
      <c r="Q67" s="853">
        <f>IF(COUNTIF('R3_G1'!$A$8:$A$17,$A67)=1,VLOOKUP($A67,'R3_G1'!$A$8:$Y$17, Q$2+7,FALSE),IF(COUNTIF('R3_G2'!$A$8:$A$17,$A67)=1,VLOOKUP($A67,'R3_G2'!$A$8:$Y$17, Q$2+7,FALSE),IF(COUNTIF('R3_G3'!$A$8:$A$17,$A67)=1,VLOOKUP($A67,'R3_G3'!$A$8:$Y$17, Q$2+7,FALSE),IF(COUNTIF('R3_G4'!$A$8:$A$17,$A67)=1,VLOOKUP($A67,'R3_G4'!$A$8:$Y$17, Q$2+7,FALSE),""))))</f>
        <v>4</v>
      </c>
      <c r="R67" s="853">
        <f>IF(COUNTIF('R3_G1'!$A$8:$A$17,$A67)=1,VLOOKUP($A67,'R3_G1'!$A$8:$Y$17, R$2+7,FALSE),IF(COUNTIF('R3_G2'!$A$8:$A$17,$A67)=1,VLOOKUP($A67,'R3_G2'!$A$8:$Y$17, R$2+7,FALSE),IF(COUNTIF('R3_G3'!$A$8:$A$17,$A67)=1,VLOOKUP($A67,'R3_G3'!$A$8:$Y$17, R$2+7,FALSE),IF(COUNTIF('R3_G4'!$A$8:$A$17,$A67)=1,VLOOKUP($A67,'R3_G4'!$A$8:$Y$17, R$2+7,FALSE),""))))</f>
        <v>3</v>
      </c>
      <c r="S67" s="853">
        <f>IF(COUNTIF('R3_G1'!$A$8:$A$17,$A67)=1,VLOOKUP($A67,'R3_G1'!$A$8:$Y$17, S$2+7,FALSE),IF(COUNTIF('R3_G2'!$A$8:$A$17,$A67)=1,VLOOKUP($A67,'R3_G2'!$A$8:$Y$17, S$2+7,FALSE),IF(COUNTIF('R3_G3'!$A$8:$A$17,$A67)=1,VLOOKUP($A67,'R3_G3'!$A$8:$Y$17, S$2+7,FALSE),IF(COUNTIF('R3_G4'!$A$8:$A$17,$A67)=1,VLOOKUP($A67,'R3_G4'!$A$8:$Y$17, S$2+7,FALSE),""))))</f>
        <v>4</v>
      </c>
      <c r="T67" s="853">
        <f>IF(COUNTIF('R3_G1'!$A$8:$A$17,$A67)=1,VLOOKUP($A67,'R3_G1'!$A$8:$Y$17, T$2+7,FALSE),IF(COUNTIF('R3_G2'!$A$8:$A$17,$A67)=1,VLOOKUP($A67,'R3_G2'!$A$8:$Y$17, T$2+7,FALSE),IF(COUNTIF('R3_G3'!$A$8:$A$17,$A67)=1,VLOOKUP($A67,'R3_G3'!$A$8:$Y$17, T$2+7,FALSE),IF(COUNTIF('R3_G4'!$A$8:$A$17,$A67)=1,VLOOKUP($A67,'R3_G4'!$A$8:$Y$17, T$2+7,FALSE),""))))</f>
        <v>5</v>
      </c>
      <c r="U67" s="853">
        <f>IF(COUNTIF('R3_G1'!$A$8:$A$17,$A67)=1,VLOOKUP($A67,'R3_G1'!$A$8:$Y$17, U$2+7,FALSE),IF(COUNTIF('R3_G2'!$A$8:$A$17,$A67)=1,VLOOKUP($A67,'R3_G2'!$A$8:$Y$17, U$2+7,FALSE),IF(COUNTIF('R3_G3'!$A$8:$A$17,$A67)=1,VLOOKUP($A67,'R3_G3'!$A$8:$Y$17, U$2+7,FALSE),IF(COUNTIF('R3_G4'!$A$8:$A$17,$A67)=1,VLOOKUP($A67,'R3_G4'!$A$8:$Y$17, U$2+7,FALSE),""))))</f>
        <v>4</v>
      </c>
      <c r="V67" s="853">
        <f>IF(COUNTIF('R3_G1'!$A$8:$A$17,$A67)=1,VLOOKUP($A67,'R3_G1'!$A$8:$Y$17, V$2+7,FALSE),IF(COUNTIF('R3_G2'!$A$8:$A$17,$A67)=1,VLOOKUP($A67,'R3_G2'!$A$8:$Y$17, V$2+7,FALSE),IF(COUNTIF('R3_G3'!$A$8:$A$17,$A67)=1,VLOOKUP($A67,'R3_G3'!$A$8:$Y$17, V$2+7,FALSE),IF(COUNTIF('R3_G4'!$A$8:$A$17,$A67)=1,VLOOKUP($A67,'R3_G4'!$A$8:$Y$17, V$2+7,FALSE),""))))</f>
        <v>5</v>
      </c>
      <c r="W67" s="852">
        <f t="shared" si="74"/>
        <v>37</v>
      </c>
      <c r="X67" s="852">
        <f t="shared" si="75"/>
        <v>37</v>
      </c>
      <c r="Y67" s="852">
        <f t="shared" si="80"/>
        <v>74</v>
      </c>
      <c r="Z67" s="930" t="e">
        <f t="shared" ca="1" si="81"/>
        <v>#NAME?</v>
      </c>
      <c r="AA67" s="852">
        <f t="shared" si="82"/>
        <v>74</v>
      </c>
      <c r="AB67" s="921"/>
      <c r="AC67" s="849" t="str">
        <f t="shared" si="83"/>
        <v>Hile</v>
      </c>
      <c r="AD67" s="932" t="e">
        <f ca="1">_xludf.ifna(VLOOKUP(AC67,'R3_G1'!$A$8:$C$17,3,FALSE),_xludf.ifna(VLOOKUP(AC67,'R3_G2'!$A$8:$C$17,3,FALSE),_xludf.ifna(VLOOKUP(AC67,'R3_G3'!$A$8:$C$17,3,FALSE),VLOOKUP(AC67,'R3_G4'!$A$8:$C$17,3,FALSE))))</f>
        <v>#NAME?</v>
      </c>
      <c r="AE67" s="849"/>
      <c r="AF67" s="832"/>
      <c r="AG67" s="852" t="e">
        <f t="shared" ref="AG67:AX67" ca="1" si="106">IF(E67="","",E67-IF($B67&gt;0,FLOOR($B67/18,1),0)-IF(AND(MOD($B67,18)&gt;=E$51,$B67&gt;0),1,0)+IF(E$51-18&gt;$B67,1,0))</f>
        <v>#NAME?</v>
      </c>
      <c r="AH67" s="852" t="e">
        <f t="shared" ca="1" si="106"/>
        <v>#NAME?</v>
      </c>
      <c r="AI67" s="852" t="e">
        <f t="shared" ca="1" si="106"/>
        <v>#NAME?</v>
      </c>
      <c r="AJ67" s="852" t="e">
        <f t="shared" ca="1" si="106"/>
        <v>#NAME?</v>
      </c>
      <c r="AK67" s="852" t="e">
        <f t="shared" ca="1" si="106"/>
        <v>#NAME?</v>
      </c>
      <c r="AL67" s="852" t="e">
        <f t="shared" ca="1" si="106"/>
        <v>#NAME?</v>
      </c>
      <c r="AM67" s="852" t="e">
        <f t="shared" ca="1" si="106"/>
        <v>#NAME?</v>
      </c>
      <c r="AN67" s="852" t="e">
        <f t="shared" ca="1" si="106"/>
        <v>#NAME?</v>
      </c>
      <c r="AO67" s="852" t="e">
        <f t="shared" ca="1" si="106"/>
        <v>#NAME?</v>
      </c>
      <c r="AP67" s="853" t="e">
        <f t="shared" ca="1" si="106"/>
        <v>#NAME?</v>
      </c>
      <c r="AQ67" s="853" t="e">
        <f t="shared" ca="1" si="106"/>
        <v>#NAME?</v>
      </c>
      <c r="AR67" s="853" t="e">
        <f t="shared" ca="1" si="106"/>
        <v>#NAME?</v>
      </c>
      <c r="AS67" s="853" t="e">
        <f t="shared" ca="1" si="106"/>
        <v>#NAME?</v>
      </c>
      <c r="AT67" s="853" t="e">
        <f t="shared" ca="1" si="106"/>
        <v>#NAME?</v>
      </c>
      <c r="AU67" s="853" t="e">
        <f t="shared" ca="1" si="106"/>
        <v>#NAME?</v>
      </c>
      <c r="AV67" s="853" t="e">
        <f t="shared" ca="1" si="106"/>
        <v>#NAME?</v>
      </c>
      <c r="AW67" s="853" t="e">
        <f t="shared" ca="1" si="106"/>
        <v>#NAME?</v>
      </c>
      <c r="AX67" s="853" t="e">
        <f t="shared" ca="1" si="106"/>
        <v>#NAME?</v>
      </c>
      <c r="AY67" s="852" t="e">
        <f t="shared" ca="1" si="77"/>
        <v>#NAME?</v>
      </c>
      <c r="AZ67" s="852" t="e">
        <f t="shared" ca="1" si="78"/>
        <v>#NAME?</v>
      </c>
      <c r="BA67" s="852" t="str">
        <f t="shared" ca="1" si="85"/>
        <v/>
      </c>
      <c r="BB67" s="849" t="e">
        <f ca="1">IF(COUNTIF('R3_G1'!$A$8:$A$17,$A67)=1, IF(AND(BA67=Z67,BA67=VLOOKUP($A67,'R3_G1'!$A$8:$AB$17, 28,FALSE)),"yes","no"),
IF(COUNTIF('R3_G2'!$A$8:$A$17,$A67)=1, IF(AND(BA67=Z67,BA67=VLOOKUP($A67,'R3_G2'!$A$8:$AB$17, 28,FALSE)),"yes","no"),
IF(COUNTIF('R3_G3'!$A$8:$A$17,$A67)=1, IF(AND(BA67=Z67,BA67=VLOOKUP($A67,'R3_G3'!$A$8:$AB$17, 28,FALSE)),"yes","no"),
IF(COUNTIF('R3_G4'!$A$8:$A$17,$A67)=1, IF(AND(BA67=Z67,BA67=VLOOKUP($A67,'R3_G4'!$A$8:$AB$17, 28,FALSE)),"yes","no"),
"?"))))</f>
        <v>#NAME?</v>
      </c>
      <c r="BC67" s="921"/>
      <c r="BD67" s="862" t="e">
        <f t="shared" ca="1" si="86"/>
        <v>#NAME?</v>
      </c>
      <c r="BE67" s="855" t="e">
        <f t="shared" ca="1" si="87"/>
        <v>#NAME?</v>
      </c>
      <c r="BF67" s="855">
        <f t="shared" ca="1" si="88"/>
        <v>0</v>
      </c>
      <c r="BG67" s="855">
        <f t="shared" ca="1" si="89"/>
        <v>0</v>
      </c>
      <c r="BH67" s="855">
        <f t="shared" ca="1" si="90"/>
        <v>0</v>
      </c>
      <c r="BI67" s="855">
        <f t="shared" ca="1" si="91"/>
        <v>0</v>
      </c>
      <c r="BJ67" s="855">
        <f t="shared" ca="1" si="92"/>
        <v>0</v>
      </c>
    </row>
    <row r="68" spans="1:62" ht="14.25" customHeight="1">
      <c r="A68" s="857" t="str">
        <f t="shared" si="79"/>
        <v>Weezy</v>
      </c>
      <c r="B68" s="932" t="e">
        <f ca="1">_xludf.ifna(VLOOKUP(A68,'R3_G1'!$A$8:$C$17,3,FALSE),_xludf.ifna(VLOOKUP(A68,'R3_G2'!$A$8:$C$17,3,FALSE),_xludf.ifna(VLOOKUP(A68,'R3_G3'!$A$8:$C$17,3,FALSE),VLOOKUP(A68,'R3_G4'!$A$8:$C$17,3,FALSE))))</f>
        <v>#NAME?</v>
      </c>
      <c r="C68" s="857"/>
      <c r="D68" s="832"/>
      <c r="E68" s="859">
        <f>IF(COUNTIF('R3_G1'!$A$8:$A$17,$A68)=1,VLOOKUP($A68,'R3_G1'!$A$8:$Y$17, E$2+4,FALSE),IF(COUNTIF('R3_G2'!$A$8:$A$17,$A68)=1,VLOOKUP($A68,'R3_G2'!$A$8:$Y$17, E$2+4,FALSE),IF(COUNTIF('R3_G3'!$A$8:$A$17,$A68)=1,VLOOKUP($A68,'R3_G3'!$A$8:$Y$17, E$2+4,FALSE),IF(COUNTIF('R3_G4'!$A$8:$A$17,$A68)=1,VLOOKUP($A68,'R3_G4'!$A$8:$Y$17, E$2+4,FALSE),""))))</f>
        <v>4</v>
      </c>
      <c r="F68" s="859">
        <f>IF(COUNTIF('R3_G1'!$A$8:$A$17,$A68)=1,VLOOKUP($A68,'R3_G1'!$A$8:$Y$17, F$2+4,FALSE),IF(COUNTIF('R3_G2'!$A$8:$A$17,$A68)=1,VLOOKUP($A68,'R3_G2'!$A$8:$Y$17, F$2+4,FALSE),IF(COUNTIF('R3_G3'!$A$8:$A$17,$A68)=1,VLOOKUP($A68,'R3_G3'!$A$8:$Y$17, F$2+4,FALSE),IF(COUNTIF('R3_G4'!$A$8:$A$17,$A68)=1,VLOOKUP($A68,'R3_G4'!$A$8:$Y$17, F$2+4,FALSE),""))))</f>
        <v>4</v>
      </c>
      <c r="G68" s="859">
        <f>IF(COUNTIF('R3_G1'!$A$8:$A$17,$A68)=1,VLOOKUP($A68,'R3_G1'!$A$8:$Y$17, G$2+4,FALSE),IF(COUNTIF('R3_G2'!$A$8:$A$17,$A68)=1,VLOOKUP($A68,'R3_G2'!$A$8:$Y$17, G$2+4,FALSE),IF(COUNTIF('R3_G3'!$A$8:$A$17,$A68)=1,VLOOKUP($A68,'R3_G3'!$A$8:$Y$17, G$2+4,FALSE),IF(COUNTIF('R3_G4'!$A$8:$A$17,$A68)=1,VLOOKUP($A68,'R3_G4'!$A$8:$Y$17, G$2+4,FALSE),""))))</f>
        <v>5</v>
      </c>
      <c r="H68" s="859">
        <f>IF(COUNTIF('R3_G1'!$A$8:$A$17,$A68)=1,VLOOKUP($A68,'R3_G1'!$A$8:$Y$17, H$2+4,FALSE),IF(COUNTIF('R3_G2'!$A$8:$A$17,$A68)=1,VLOOKUP($A68,'R3_G2'!$A$8:$Y$17, H$2+4,FALSE),IF(COUNTIF('R3_G3'!$A$8:$A$17,$A68)=1,VLOOKUP($A68,'R3_G3'!$A$8:$Y$17, H$2+4,FALSE),IF(COUNTIF('R3_G4'!$A$8:$A$17,$A68)=1,VLOOKUP($A68,'R3_G4'!$A$8:$Y$17, H$2+4,FALSE),""))))</f>
        <v>4</v>
      </c>
      <c r="I68" s="859">
        <f>IF(COUNTIF('R3_G1'!$A$8:$A$17,$A68)=1,VLOOKUP($A68,'R3_G1'!$A$8:$Y$17, I$2+4,FALSE),IF(COUNTIF('R3_G2'!$A$8:$A$17,$A68)=1,VLOOKUP($A68,'R3_G2'!$A$8:$Y$17, I$2+4,FALSE),IF(COUNTIF('R3_G3'!$A$8:$A$17,$A68)=1,VLOOKUP($A68,'R3_G3'!$A$8:$Y$17, I$2+4,FALSE),IF(COUNTIF('R3_G4'!$A$8:$A$17,$A68)=1,VLOOKUP($A68,'R3_G4'!$A$8:$Y$17, I$2+4,FALSE),""))))</f>
        <v>4</v>
      </c>
      <c r="J68" s="859">
        <f>IF(COUNTIF('R3_G1'!$A$8:$A$17,$A68)=1,VLOOKUP($A68,'R3_G1'!$A$8:$Y$17, J$2+4,FALSE),IF(COUNTIF('R3_G2'!$A$8:$A$17,$A68)=1,VLOOKUP($A68,'R3_G2'!$A$8:$Y$17, J$2+4,FALSE),IF(COUNTIF('R3_G3'!$A$8:$A$17,$A68)=1,VLOOKUP($A68,'R3_G3'!$A$8:$Y$17, J$2+4,FALSE),IF(COUNTIF('R3_G4'!$A$8:$A$17,$A68)=1,VLOOKUP($A68,'R3_G4'!$A$8:$Y$17, J$2+4,FALSE),""))))</f>
        <v>4</v>
      </c>
      <c r="K68" s="859">
        <f>IF(COUNTIF('R3_G1'!$A$8:$A$17,$A68)=1,VLOOKUP($A68,'R3_G1'!$A$8:$Y$17, K$2+4,FALSE),IF(COUNTIF('R3_G2'!$A$8:$A$17,$A68)=1,VLOOKUP($A68,'R3_G2'!$A$8:$Y$17, K$2+4,FALSE),IF(COUNTIF('R3_G3'!$A$8:$A$17,$A68)=1,VLOOKUP($A68,'R3_G3'!$A$8:$Y$17, K$2+4,FALSE),IF(COUNTIF('R3_G4'!$A$8:$A$17,$A68)=1,VLOOKUP($A68,'R3_G4'!$A$8:$Y$17, K$2+4,FALSE),""))))</f>
        <v>4</v>
      </c>
      <c r="L68" s="859">
        <f>IF(COUNTIF('R3_G1'!$A$8:$A$17,$A68)=1,VLOOKUP($A68,'R3_G1'!$A$8:$Y$17, L$2+4,FALSE),IF(COUNTIF('R3_G2'!$A$8:$A$17,$A68)=1,VLOOKUP($A68,'R3_G2'!$A$8:$Y$17, L$2+4,FALSE),IF(COUNTIF('R3_G3'!$A$8:$A$17,$A68)=1,VLOOKUP($A68,'R3_G3'!$A$8:$Y$17, L$2+4,FALSE),IF(COUNTIF('R3_G4'!$A$8:$A$17,$A68)=1,VLOOKUP($A68,'R3_G4'!$A$8:$Y$17, L$2+4,FALSE),""))))</f>
        <v>5</v>
      </c>
      <c r="M68" s="859">
        <f>IF(COUNTIF('R3_G1'!$A$8:$A$17,$A68)=1,VLOOKUP($A68,'R3_G1'!$A$8:$Y$17, M$2+4,FALSE),IF(COUNTIF('R3_G2'!$A$8:$A$17,$A68)=1,VLOOKUP($A68,'R3_G2'!$A$8:$Y$17, M$2+4,FALSE),IF(COUNTIF('R3_G3'!$A$8:$A$17,$A68)=1,VLOOKUP($A68,'R3_G3'!$A$8:$Y$17, M$2+4,FALSE),IF(COUNTIF('R3_G4'!$A$8:$A$17,$A68)=1,VLOOKUP($A68,'R3_G4'!$A$8:$Y$17, M$2+4,FALSE),""))))</f>
        <v>3</v>
      </c>
      <c r="N68" s="852">
        <f>IF(COUNTIF('R3_G1'!$A$8:$A$17,$A68)=1,VLOOKUP($A68,'R3_G1'!$A$8:$Y$17, N$2+7,FALSE),IF(COUNTIF('R3_G2'!$A$8:$A$17,$A68)=1,VLOOKUP($A68,'R3_G2'!$A$8:$Y$17, N$2+7,FALSE),IF(COUNTIF('R3_G3'!$A$8:$A$17,$A68)=1,VLOOKUP($A68,'R3_G3'!$A$8:$Y$17, N$2+7,FALSE),IF(COUNTIF('R3_G4'!$A$8:$A$17,$A68)=1,VLOOKUP($A68,'R3_G4'!$A$8:$Y$17, N$2+7,FALSE),""))))</f>
        <v>4</v>
      </c>
      <c r="O68" s="852">
        <f>IF(COUNTIF('R3_G1'!$A$8:$A$17,$A68)=1,VLOOKUP($A68,'R3_G1'!$A$8:$Y$17, O$2+7,FALSE),IF(COUNTIF('R3_G2'!$A$8:$A$17,$A68)=1,VLOOKUP($A68,'R3_G2'!$A$8:$Y$17, O$2+7,FALSE),IF(COUNTIF('R3_G3'!$A$8:$A$17,$A68)=1,VLOOKUP($A68,'R3_G3'!$A$8:$Y$17, O$2+7,FALSE),IF(COUNTIF('R3_G4'!$A$8:$A$17,$A68)=1,VLOOKUP($A68,'R3_G4'!$A$8:$Y$17, O$2+7,FALSE),""))))</f>
        <v>4</v>
      </c>
      <c r="P68" s="852">
        <f>IF(COUNTIF('R3_G1'!$A$8:$A$17,$A68)=1,VLOOKUP($A68,'R3_G1'!$A$8:$Y$17, P$2+7,FALSE),IF(COUNTIF('R3_G2'!$A$8:$A$17,$A68)=1,VLOOKUP($A68,'R3_G2'!$A$8:$Y$17, P$2+7,FALSE),IF(COUNTIF('R3_G3'!$A$8:$A$17,$A68)=1,VLOOKUP($A68,'R3_G3'!$A$8:$Y$17, P$2+7,FALSE),IF(COUNTIF('R3_G4'!$A$8:$A$17,$A68)=1,VLOOKUP($A68,'R3_G4'!$A$8:$Y$17, P$2+7,FALSE),""))))</f>
        <v>4</v>
      </c>
      <c r="Q68" s="852">
        <f>IF(COUNTIF('R3_G1'!$A$8:$A$17,$A68)=1,VLOOKUP($A68,'R3_G1'!$A$8:$Y$17, Q$2+7,FALSE),IF(COUNTIF('R3_G2'!$A$8:$A$17,$A68)=1,VLOOKUP($A68,'R3_G2'!$A$8:$Y$17, Q$2+7,FALSE),IF(COUNTIF('R3_G3'!$A$8:$A$17,$A68)=1,VLOOKUP($A68,'R3_G3'!$A$8:$Y$17, Q$2+7,FALSE),IF(COUNTIF('R3_G4'!$A$8:$A$17,$A68)=1,VLOOKUP($A68,'R3_G4'!$A$8:$Y$17, Q$2+7,FALSE),""))))</f>
        <v>4</v>
      </c>
      <c r="R68" s="852">
        <f>IF(COUNTIF('R3_G1'!$A$8:$A$17,$A68)=1,VLOOKUP($A68,'R3_G1'!$A$8:$Y$17, R$2+7,FALSE),IF(COUNTIF('R3_G2'!$A$8:$A$17,$A68)=1,VLOOKUP($A68,'R3_G2'!$A$8:$Y$17, R$2+7,FALSE),IF(COUNTIF('R3_G3'!$A$8:$A$17,$A68)=1,VLOOKUP($A68,'R3_G3'!$A$8:$Y$17, R$2+7,FALSE),IF(COUNTIF('R3_G4'!$A$8:$A$17,$A68)=1,VLOOKUP($A68,'R3_G4'!$A$8:$Y$17, R$2+7,FALSE),""))))</f>
        <v>3</v>
      </c>
      <c r="S68" s="852">
        <f>IF(COUNTIF('R3_G1'!$A$8:$A$17,$A68)=1,VLOOKUP($A68,'R3_G1'!$A$8:$Y$17, S$2+7,FALSE),IF(COUNTIF('R3_G2'!$A$8:$A$17,$A68)=1,VLOOKUP($A68,'R3_G2'!$A$8:$Y$17, S$2+7,FALSE),IF(COUNTIF('R3_G3'!$A$8:$A$17,$A68)=1,VLOOKUP($A68,'R3_G3'!$A$8:$Y$17, S$2+7,FALSE),IF(COUNTIF('R3_G4'!$A$8:$A$17,$A68)=1,VLOOKUP($A68,'R3_G4'!$A$8:$Y$17, S$2+7,FALSE),""))))</f>
        <v>4</v>
      </c>
      <c r="T68" s="852">
        <f>IF(COUNTIF('R3_G1'!$A$8:$A$17,$A68)=1,VLOOKUP($A68,'R3_G1'!$A$8:$Y$17, T$2+7,FALSE),IF(COUNTIF('R3_G2'!$A$8:$A$17,$A68)=1,VLOOKUP($A68,'R3_G2'!$A$8:$Y$17, T$2+7,FALSE),IF(COUNTIF('R3_G3'!$A$8:$A$17,$A68)=1,VLOOKUP($A68,'R3_G3'!$A$8:$Y$17, T$2+7,FALSE),IF(COUNTIF('R3_G4'!$A$8:$A$17,$A68)=1,VLOOKUP($A68,'R3_G4'!$A$8:$Y$17, T$2+7,FALSE),""))))</f>
        <v>5</v>
      </c>
      <c r="U68" s="852">
        <f>IF(COUNTIF('R3_G1'!$A$8:$A$17,$A68)=1,VLOOKUP($A68,'R3_G1'!$A$8:$Y$17, U$2+7,FALSE),IF(COUNTIF('R3_G2'!$A$8:$A$17,$A68)=1,VLOOKUP($A68,'R3_G2'!$A$8:$Y$17, U$2+7,FALSE),IF(COUNTIF('R3_G3'!$A$8:$A$17,$A68)=1,VLOOKUP($A68,'R3_G3'!$A$8:$Y$17, U$2+7,FALSE),IF(COUNTIF('R3_G4'!$A$8:$A$17,$A68)=1,VLOOKUP($A68,'R3_G4'!$A$8:$Y$17, U$2+7,FALSE),""))))</f>
        <v>4</v>
      </c>
      <c r="V68" s="852">
        <f>IF(COUNTIF('R3_G1'!$A$8:$A$17,$A68)=1,VLOOKUP($A68,'R3_G1'!$A$8:$Y$17, V$2+7,FALSE),IF(COUNTIF('R3_G2'!$A$8:$A$17,$A68)=1,VLOOKUP($A68,'R3_G2'!$A$8:$Y$17, V$2+7,FALSE),IF(COUNTIF('R3_G3'!$A$8:$A$17,$A68)=1,VLOOKUP($A68,'R3_G3'!$A$8:$Y$17, V$2+7,FALSE),IF(COUNTIF('R3_G4'!$A$8:$A$17,$A68)=1,VLOOKUP($A68,'R3_G4'!$A$8:$Y$17, V$2+7,FALSE),""))))</f>
        <v>5</v>
      </c>
      <c r="W68" s="859">
        <f t="shared" si="74"/>
        <v>37</v>
      </c>
      <c r="X68" s="859">
        <f t="shared" si="75"/>
        <v>37</v>
      </c>
      <c r="Y68" s="859">
        <f t="shared" si="80"/>
        <v>74</v>
      </c>
      <c r="Z68" s="931" t="e">
        <f t="shared" ca="1" si="81"/>
        <v>#NAME?</v>
      </c>
      <c r="AA68" s="859">
        <f t="shared" si="82"/>
        <v>74</v>
      </c>
      <c r="AB68" s="921"/>
      <c r="AC68" s="849" t="str">
        <f t="shared" si="83"/>
        <v>Weezy</v>
      </c>
      <c r="AD68" s="932" t="e">
        <f ca="1">_xludf.ifna(VLOOKUP(AC68,'R3_G1'!$A$8:$C$17,3,FALSE),_xludf.ifna(VLOOKUP(AC68,'R3_G2'!$A$8:$C$17,3,FALSE),_xludf.ifna(VLOOKUP(AC68,'R3_G3'!$A$8:$C$17,3,FALSE),VLOOKUP(AC68,'R3_G4'!$A$8:$C$17,3,FALSE))))</f>
        <v>#NAME?</v>
      </c>
      <c r="AE68" s="857"/>
      <c r="AF68" s="832"/>
      <c r="AG68" s="859" t="e">
        <f t="shared" ref="AG68:AX68" ca="1" si="107">IF(E68="","",E68-IF($B68&gt;0,FLOOR($B68/18,1),0)-IF(AND(MOD($B68,18)&gt;=E$51,$B68&gt;0),1,0)+IF(E$51-18&gt;$B68,1,0))</f>
        <v>#NAME?</v>
      </c>
      <c r="AH68" s="859" t="e">
        <f t="shared" ca="1" si="107"/>
        <v>#NAME?</v>
      </c>
      <c r="AI68" s="859" t="e">
        <f t="shared" ca="1" si="107"/>
        <v>#NAME?</v>
      </c>
      <c r="AJ68" s="859" t="e">
        <f t="shared" ca="1" si="107"/>
        <v>#NAME?</v>
      </c>
      <c r="AK68" s="859" t="e">
        <f t="shared" ca="1" si="107"/>
        <v>#NAME?</v>
      </c>
      <c r="AL68" s="859" t="e">
        <f t="shared" ca="1" si="107"/>
        <v>#NAME?</v>
      </c>
      <c r="AM68" s="859" t="e">
        <f t="shared" ca="1" si="107"/>
        <v>#NAME?</v>
      </c>
      <c r="AN68" s="859" t="e">
        <f t="shared" ca="1" si="107"/>
        <v>#NAME?</v>
      </c>
      <c r="AO68" s="859" t="e">
        <f t="shared" ca="1" si="107"/>
        <v>#NAME?</v>
      </c>
      <c r="AP68" s="852" t="e">
        <f t="shared" ca="1" si="107"/>
        <v>#NAME?</v>
      </c>
      <c r="AQ68" s="852" t="e">
        <f t="shared" ca="1" si="107"/>
        <v>#NAME?</v>
      </c>
      <c r="AR68" s="852" t="e">
        <f t="shared" ca="1" si="107"/>
        <v>#NAME?</v>
      </c>
      <c r="AS68" s="852" t="e">
        <f t="shared" ca="1" si="107"/>
        <v>#NAME?</v>
      </c>
      <c r="AT68" s="852" t="e">
        <f t="shared" ca="1" si="107"/>
        <v>#NAME?</v>
      </c>
      <c r="AU68" s="852" t="e">
        <f t="shared" ca="1" si="107"/>
        <v>#NAME?</v>
      </c>
      <c r="AV68" s="852" t="e">
        <f t="shared" ca="1" si="107"/>
        <v>#NAME?</v>
      </c>
      <c r="AW68" s="852" t="e">
        <f t="shared" ca="1" si="107"/>
        <v>#NAME?</v>
      </c>
      <c r="AX68" s="852" t="e">
        <f t="shared" ca="1" si="107"/>
        <v>#NAME?</v>
      </c>
      <c r="AY68" s="859" t="e">
        <f t="shared" ca="1" si="77"/>
        <v>#NAME?</v>
      </c>
      <c r="AZ68" s="859" t="e">
        <f t="shared" ca="1" si="78"/>
        <v>#NAME?</v>
      </c>
      <c r="BA68" s="859" t="str">
        <f t="shared" ca="1" si="85"/>
        <v/>
      </c>
      <c r="BB68" s="857" t="e">
        <f ca="1">IF(COUNTIF('R3_G1'!$A$8:$A$17,$A68)=1, IF(AND(BA68=Z68,BA68=VLOOKUP($A68,'R3_G1'!$A$8:$AB$17, 28,FALSE)),"yes","no"),
IF(COUNTIF('R3_G2'!$A$8:$A$17,$A68)=1, IF(AND(BA68=Z68,BA68=VLOOKUP($A68,'R3_G2'!$A$8:$AB$17, 28,FALSE)),"yes","no"),
IF(COUNTIF('R3_G3'!$A$8:$A$17,$A68)=1, IF(AND(BA68=Z68,BA68=VLOOKUP($A68,'R3_G3'!$A$8:$AB$17, 28,FALSE)),"yes","no"),
IF(COUNTIF('R3_G4'!$A$8:$A$17,$A68)=1, IF(AND(BA68=Z68,BA68=VLOOKUP($A68,'R3_G4'!$A$8:$AB$17, 28,FALSE)),"yes","no"),
"?"))))</f>
        <v>#NAME?</v>
      </c>
      <c r="BC68" s="921"/>
      <c r="BD68" s="860" t="e">
        <f t="shared" ca="1" si="86"/>
        <v>#NAME?</v>
      </c>
      <c r="BE68" s="861" t="e">
        <f t="shared" ca="1" si="87"/>
        <v>#NAME?</v>
      </c>
      <c r="BF68" s="861">
        <f t="shared" ca="1" si="88"/>
        <v>0</v>
      </c>
      <c r="BG68" s="861">
        <f t="shared" ca="1" si="89"/>
        <v>0</v>
      </c>
      <c r="BH68" s="861">
        <f t="shared" ca="1" si="90"/>
        <v>0</v>
      </c>
      <c r="BI68" s="861">
        <f t="shared" ca="1" si="91"/>
        <v>0</v>
      </c>
      <c r="BJ68" s="861">
        <f t="shared" ca="1" si="92"/>
        <v>0</v>
      </c>
    </row>
    <row r="69" spans="1:62" ht="14.25" customHeight="1">
      <c r="A69" s="917"/>
      <c r="B69" s="918"/>
      <c r="C69" s="863">
        <f>COUNTIF(C53:C68, "Y")*C51</f>
        <v>0</v>
      </c>
      <c r="D69" s="864" t="s">
        <v>199</v>
      </c>
      <c r="E69" s="865" t="str">
        <f t="array" aca="1" ref="E69" ca="1">IF(OR(SUM(IF(IF('Locked Bets Setup'!$H$5:$H$20="Y", E53:E68, 10)=MIN(IF('Locked Bets Setup'!$H$5:$H$20="Y", E53:E68, 10)), 1, 0)) &gt; 1, MIN(IF('Locked Bets Setup'!$H$5:$H$20="Y", E53:E68, 10)) &gt; E52), "", INDEX('Locked Bets Setup'!$A$5:$A$20,MATCH(MIN(IF('Locked Bets Setup'!$H$5:$H$20="Y",E53:E68,10)),IF('Locked Bets Setup'!$H$5:$H$20="Y",E53:E68,10),0)))</f>
        <v/>
      </c>
      <c r="F69" s="865" t="str">
        <f t="array" aca="1" ref="F69" ca="1">IF(OR(SUM(IF(IF('Locked Bets Setup'!$H$5:$H$20="Y", F53:F68, 10)=MIN(IF('Locked Bets Setup'!$H$5:$H$20="Y", F53:F68, 10)), 1, 0)) &gt; 1, MIN(IF('Locked Bets Setup'!$H$5:$H$20="Y", F53:F68, 10)) &gt; F52), "", INDEX('Locked Bets Setup'!$A$5:$A$20,MATCH(MIN(IF('Locked Bets Setup'!$H$5:$H$20="Y",F53:F68,10)),IF('Locked Bets Setup'!$H$5:$H$20="Y",F53:F68,10),0)))</f>
        <v/>
      </c>
      <c r="G69" s="865" t="str">
        <f t="array" aca="1" ref="G69" ca="1">IF(OR(SUM(IF(IF('Locked Bets Setup'!$H$5:$H$20="Y", G53:G68, 10)=MIN(IF('Locked Bets Setup'!$H$5:$H$20="Y", G53:G68, 10)), 1, 0)) &gt; 1, MIN(IF('Locked Bets Setup'!$H$5:$H$20="Y", G53:G68, 10)) &gt; G52), "", INDEX('Locked Bets Setup'!$A$5:$A$20,MATCH(MIN(IF('Locked Bets Setup'!$H$5:$H$20="Y",G53:G68,10)),IF('Locked Bets Setup'!$H$5:$H$20="Y",G53:G68,10),0)))</f>
        <v/>
      </c>
      <c r="H69" s="865" t="str">
        <f t="array" aca="1" ref="H69" ca="1">IF(OR(SUM(IF(IF('Locked Bets Setup'!$H$5:$H$20="Y", H53:H68, 10)=MIN(IF('Locked Bets Setup'!$H$5:$H$20="Y", H53:H68, 10)), 1, 0)) &gt; 1, MIN(IF('Locked Bets Setup'!$H$5:$H$20="Y", H53:H68, 10)) &gt; H52), "", INDEX('Locked Bets Setup'!$A$5:$A$20,MATCH(MIN(IF('Locked Bets Setup'!$H$5:$H$20="Y",H53:H68,10)),IF('Locked Bets Setup'!$H$5:$H$20="Y",H53:H68,10),0)))</f>
        <v/>
      </c>
      <c r="I69" s="865" t="str">
        <f t="array" aca="1" ref="I69" ca="1">IF(OR(SUM(IF(IF('Locked Bets Setup'!$H$5:$H$20="Y", I53:I68, 10)=MIN(IF('Locked Bets Setup'!$H$5:$H$20="Y", I53:I68, 10)), 1, 0)) &gt; 1, MIN(IF('Locked Bets Setup'!$H$5:$H$20="Y", I53:I68, 10)) &gt; I52), "", INDEX('Locked Bets Setup'!$A$5:$A$20,MATCH(MIN(IF('Locked Bets Setup'!$H$5:$H$20="Y",I53:I68,10)),IF('Locked Bets Setup'!$H$5:$H$20="Y",I53:I68,10),0)))</f>
        <v/>
      </c>
      <c r="J69" s="865" t="str">
        <f t="array" aca="1" ref="J69" ca="1">IF(OR(SUM(IF(IF('Locked Bets Setup'!$H$5:$H$20="Y", J53:J68, 10)=MIN(IF('Locked Bets Setup'!$H$5:$H$20="Y", J53:J68, 10)), 1, 0)) &gt; 1, MIN(IF('Locked Bets Setup'!$H$5:$H$20="Y", J53:J68, 10)) &gt; J52), "", INDEX('Locked Bets Setup'!$A$5:$A$20,MATCH(MIN(IF('Locked Bets Setup'!$H$5:$H$20="Y",J53:J68,10)),IF('Locked Bets Setup'!$H$5:$H$20="Y",J53:J68,10),0)))</f>
        <v/>
      </c>
      <c r="K69" s="865" t="str">
        <f t="array" aca="1" ref="K69" ca="1">IF(OR(SUM(IF(IF('Locked Bets Setup'!$H$5:$H$20="Y", K53:K68, 10)=MIN(IF('Locked Bets Setup'!$H$5:$H$20="Y", K53:K68, 10)), 1, 0)) &gt; 1, MIN(IF('Locked Bets Setup'!$H$5:$H$20="Y", K53:K68, 10)) &gt; K52), "", INDEX('Locked Bets Setup'!$A$5:$A$20,MATCH(MIN(IF('Locked Bets Setup'!$H$5:$H$20="Y",K53:K68,10)),IF('Locked Bets Setup'!$H$5:$H$20="Y",K53:K68,10),0)))</f>
        <v/>
      </c>
      <c r="L69" s="865" t="str">
        <f t="array" aca="1" ref="L69" ca="1">IF(OR(SUM(IF(IF('Locked Bets Setup'!$H$5:$H$20="Y", L53:L68, 10)=MIN(IF('Locked Bets Setup'!$H$5:$H$20="Y", L53:L68, 10)), 1, 0)) &gt; 1, MIN(IF('Locked Bets Setup'!$H$5:$H$20="Y", L53:L68, 10)) &gt; L52), "", INDEX('Locked Bets Setup'!$A$5:$A$20,MATCH(MIN(IF('Locked Bets Setup'!$H$5:$H$20="Y",L53:L68,10)),IF('Locked Bets Setup'!$H$5:$H$20="Y",L53:L68,10),0)))</f>
        <v/>
      </c>
      <c r="M69" s="865" t="str">
        <f t="array" aca="1" ref="M69" ca="1">IF(OR(SUM(IF(IF('Locked Bets Setup'!$H$5:$H$20="Y", M53:M68, 10)=MIN(IF('Locked Bets Setup'!$H$5:$H$20="Y", M53:M68, 10)), 1, 0)) &gt; 1, MIN(IF('Locked Bets Setup'!$H$5:$H$20="Y", M53:M68, 10)) &gt; M52), "", INDEX('Locked Bets Setup'!$A$5:$A$20,MATCH(MIN(IF('Locked Bets Setup'!$H$5:$H$20="Y",M53:M68,10)),IF('Locked Bets Setup'!$H$5:$H$20="Y",M53:M68,10),0)))</f>
        <v/>
      </c>
      <c r="N69" s="865" t="str">
        <f t="array" aca="1" ref="N69" ca="1">IF(OR(SUM(IF(IF('Locked Bets Setup'!$H$5:$H$20="Y", N53:N68, 10)=MIN(IF('Locked Bets Setup'!$H$5:$H$20="Y", N53:N68, 10)), 1, 0)) &gt; 1, MIN(IF('Locked Bets Setup'!$H$5:$H$20="Y", N53:N68, 10)) &gt; N52), "", INDEX('Locked Bets Setup'!$A$5:$A$20,MATCH(MIN(IF('Locked Bets Setup'!$H$5:$H$20="Y",N53:N68,10)),IF('Locked Bets Setup'!$H$5:$H$20="Y",N53:N68,10),0)))</f>
        <v/>
      </c>
      <c r="O69" s="865" t="str">
        <f t="array" aca="1" ref="O69" ca="1">IF(OR(SUM(IF(IF('Locked Bets Setup'!$H$5:$H$20="Y", O53:O68, 10)=MIN(IF('Locked Bets Setup'!$H$5:$H$20="Y", O53:O68, 10)), 1, 0)) &gt; 1, MIN(IF('Locked Bets Setup'!$H$5:$H$20="Y", O53:O68, 10)) &gt; O52), "", INDEX('Locked Bets Setup'!$A$5:$A$20,MATCH(MIN(IF('Locked Bets Setup'!$H$5:$H$20="Y",O53:O68,10)),IF('Locked Bets Setup'!$H$5:$H$20="Y",O53:O68,10),0)))</f>
        <v/>
      </c>
      <c r="P69" s="865" t="str">
        <f t="array" aca="1" ref="P69" ca="1">IF(OR(SUM(IF(IF('Locked Bets Setup'!$H$5:$H$20="Y", P53:P68, 10)=MIN(IF('Locked Bets Setup'!$H$5:$H$20="Y", P53:P68, 10)), 1, 0)) &gt; 1, MIN(IF('Locked Bets Setup'!$H$5:$H$20="Y", P53:P68, 10)) &gt; P52), "", INDEX('Locked Bets Setup'!$A$5:$A$20,MATCH(MIN(IF('Locked Bets Setup'!$H$5:$H$20="Y",P53:P68,10)),IF('Locked Bets Setup'!$H$5:$H$20="Y",P53:P68,10),0)))</f>
        <v/>
      </c>
      <c r="Q69" s="865" t="str">
        <f t="array" aca="1" ref="Q69" ca="1">IF(OR(SUM(IF(IF('Locked Bets Setup'!$H$5:$H$20="Y", Q53:Q68, 10)=MIN(IF('Locked Bets Setup'!$H$5:$H$20="Y", Q53:Q68, 10)), 1, 0)) &gt; 1, MIN(IF('Locked Bets Setup'!$H$5:$H$20="Y", Q53:Q68, 10)) &gt; Q52), "", INDEX('Locked Bets Setup'!$A$5:$A$20,MATCH(MIN(IF('Locked Bets Setup'!$H$5:$H$20="Y",Q53:Q68,10)),IF('Locked Bets Setup'!$H$5:$H$20="Y",Q53:Q68,10),0)))</f>
        <v/>
      </c>
      <c r="R69" s="865" t="str">
        <f t="array" aca="1" ref="R69" ca="1">IF(OR(SUM(IF(IF('Locked Bets Setup'!$H$5:$H$20="Y", R53:R68, 10)=MIN(IF('Locked Bets Setup'!$H$5:$H$20="Y", R53:R68, 10)), 1, 0)) &gt; 1, MIN(IF('Locked Bets Setup'!$H$5:$H$20="Y", R53:R68, 10)) &gt; R52), "", INDEX('Locked Bets Setup'!$A$5:$A$20,MATCH(MIN(IF('Locked Bets Setup'!$H$5:$H$20="Y",R53:R68,10)),IF('Locked Bets Setup'!$H$5:$H$20="Y",R53:R68,10),0)))</f>
        <v/>
      </c>
      <c r="S69" s="865" t="str">
        <f t="array" aca="1" ref="S69" ca="1">IF(OR(SUM(IF(IF('Locked Bets Setup'!$H$5:$H$20="Y", S53:S68, 10)=MIN(IF('Locked Bets Setup'!$H$5:$H$20="Y", S53:S68, 10)), 1, 0)) &gt; 1, MIN(IF('Locked Bets Setup'!$H$5:$H$20="Y", S53:S68, 10)) &gt; S52), "", INDEX('Locked Bets Setup'!$A$5:$A$20,MATCH(MIN(IF('Locked Bets Setup'!$H$5:$H$20="Y",S53:S68,10)),IF('Locked Bets Setup'!$H$5:$H$20="Y",S53:S68,10),0)))</f>
        <v/>
      </c>
      <c r="T69" s="865" t="str">
        <f t="array" aca="1" ref="T69" ca="1">IF(OR(SUM(IF(IF('Locked Bets Setup'!$H$5:$H$20="Y", T53:T68, 10)=MIN(IF('Locked Bets Setup'!$H$5:$H$20="Y", T53:T68, 10)), 1, 0)) &gt; 1, MIN(IF('Locked Bets Setup'!$H$5:$H$20="Y", T53:T68, 10)) &gt; T52), "", INDEX('Locked Bets Setup'!$A$5:$A$20,MATCH(MIN(IF('Locked Bets Setup'!$H$5:$H$20="Y",T53:T68,10)),IF('Locked Bets Setup'!$H$5:$H$20="Y",T53:T68,10),0)))</f>
        <v/>
      </c>
      <c r="U69" s="865" t="str">
        <f t="array" aca="1" ref="U69" ca="1">IF(OR(SUM(IF(IF('Locked Bets Setup'!$H$5:$H$20="Y", U53:U68, 10)=MIN(IF('Locked Bets Setup'!$H$5:$H$20="Y", U53:U68, 10)), 1, 0)) &gt; 1, MIN(IF('Locked Bets Setup'!$H$5:$H$20="Y", U53:U68, 10)) &gt; U52), "", INDEX('Locked Bets Setup'!$A$5:$A$20,MATCH(MIN(IF('Locked Bets Setup'!$H$5:$H$20="Y",U53:U68,10)),IF('Locked Bets Setup'!$H$5:$H$20="Y",U53:U68,10),0)))</f>
        <v/>
      </c>
      <c r="V69" s="865" t="str">
        <f t="array" aca="1" ref="V69" ca="1">IF(OR(SUM(IF(IF('Locked Bets Setup'!$H$5:$H$20="Y", V53:V68, 10)=MIN(IF('Locked Bets Setup'!$H$5:$H$20="Y", V53:V68, 10)), 1, 0)) &gt; 1, MIN(IF('Locked Bets Setup'!$H$5:$H$20="Y", V53:V68, 10)) &gt; V52), "", INDEX('Locked Bets Setup'!$A$5:$A$20,MATCH(MIN(IF('Locked Bets Setup'!$H$5:$H$20="Y",V53:V68,10)),IF('Locked Bets Setup'!$H$5:$H$20="Y",V53:V68,10),0)))</f>
        <v/>
      </c>
      <c r="W69" s="848"/>
      <c r="X69" s="848"/>
      <c r="Y69" s="866">
        <f t="shared" ref="Y69:Y70" ca="1" si="108">18-COUNTBLANK(E69:V69)</f>
        <v>0</v>
      </c>
      <c r="Z69" s="933"/>
      <c r="AA69" s="934"/>
      <c r="AB69" s="935"/>
      <c r="AC69" s="917"/>
      <c r="AD69" s="918"/>
      <c r="AE69" s="863">
        <f>COUNTIF(AE53:AE68, "Y")*AE51</f>
        <v>0</v>
      </c>
      <c r="AF69" s="870" t="s">
        <v>199</v>
      </c>
      <c r="AG69" s="870"/>
      <c r="AH69" s="870"/>
      <c r="AI69" s="870"/>
      <c r="AJ69" s="870"/>
      <c r="AK69" s="870"/>
      <c r="AL69" s="870"/>
      <c r="AM69" s="870"/>
      <c r="AN69" s="870"/>
      <c r="AO69" s="870"/>
      <c r="AP69" s="870"/>
      <c r="AQ69" s="870"/>
      <c r="AR69" s="870"/>
      <c r="AS69" s="870"/>
      <c r="AT69" s="870"/>
      <c r="AU69" s="870"/>
      <c r="AV69" s="870"/>
      <c r="AW69" s="870"/>
      <c r="AX69" s="870"/>
      <c r="AY69" s="870"/>
      <c r="AZ69" s="870"/>
      <c r="BA69" s="870"/>
      <c r="BB69" s="934"/>
      <c r="BC69" s="935"/>
      <c r="BD69" s="936"/>
      <c r="BE69" s="937"/>
      <c r="BF69" s="938">
        <f ca="1">SUM(BF53:BJ68)</f>
        <v>0</v>
      </c>
      <c r="BG69" s="937"/>
      <c r="BH69" s="937"/>
      <c r="BI69" s="937"/>
      <c r="BJ69" s="937"/>
    </row>
    <row r="70" spans="1:62" ht="14.25" customHeight="1">
      <c r="A70" s="917"/>
      <c r="B70" s="918"/>
      <c r="C70" s="918"/>
      <c r="D70" s="864" t="s">
        <v>200</v>
      </c>
      <c r="E70" s="865" t="str">
        <f t="array" ref="E70">IF(OR(SUM(IF(IF('Locked Bets Setup'!$J$4:$J$19="Y", E53:E68, 10)=MIN(IF('Locked Bets Setup'!$J$4:$J$19="Y", E53:E68, 10)), 1, 0)) &gt; 1, MIN(IF('Locked Bets Setup'!$J$4:$J$19="Y", E53:E68, 10)) &gt; E53), "", INDEX('Locked Bets Setup'!$A$4:$A$19,MATCH(MIN(IF('Locked Bets Setup'!$J$4:$J$19="Y",E53:E68,10)),IF('Locked Bets Setup'!$J$4:$J$19="Y",E53:E68,10),0)))</f>
        <v/>
      </c>
      <c r="F70" s="865" t="str">
        <f t="array" ref="F70">IF(OR(SUM(IF(IF('Locked Bets Setup'!$J$4:$J$19="Y", F53:F68, 10)=MIN(IF('Locked Bets Setup'!$J$4:$J$19="Y", F53:F68, 10)), 1, 0)) &gt; 1, MIN(IF('Locked Bets Setup'!$J$4:$J$19="Y", F53:F68, 10)) &gt; F53), "", INDEX('Locked Bets Setup'!$A$4:$A$19,MATCH(MIN(IF('Locked Bets Setup'!$J$4:$J$19="Y",F53:F68,10)),IF('Locked Bets Setup'!$J$4:$J$19="Y",F53:F68,10),0)))</f>
        <v/>
      </c>
      <c r="G70" s="865" t="str">
        <f t="array" ref="G70">IF(OR(SUM(IF(IF('Locked Bets Setup'!$J$4:$J$19="Y", G53:G68, 10)=MIN(IF('Locked Bets Setup'!$J$4:$J$19="Y", G53:G68, 10)), 1, 0)) &gt; 1, MIN(IF('Locked Bets Setup'!$J$4:$J$19="Y", G53:G68, 10)) &gt; G53), "", INDEX('Locked Bets Setup'!$A$4:$A$19,MATCH(MIN(IF('Locked Bets Setup'!$J$4:$J$19="Y",G53:G68,10)),IF('Locked Bets Setup'!$J$4:$J$19="Y",G53:G68,10),0)))</f>
        <v/>
      </c>
      <c r="H70" s="865" t="str">
        <f t="array" ref="H70">IF(OR(SUM(IF(IF('Locked Bets Setup'!$J$4:$J$19="Y", H53:H68, 10)=MIN(IF('Locked Bets Setup'!$J$4:$J$19="Y", H53:H68, 10)), 1, 0)) &gt; 1, MIN(IF('Locked Bets Setup'!$J$4:$J$19="Y", H53:H68, 10)) &gt; H53), "", INDEX('Locked Bets Setup'!$A$4:$A$19,MATCH(MIN(IF('Locked Bets Setup'!$J$4:$J$19="Y",H53:H68,10)),IF('Locked Bets Setup'!$J$4:$J$19="Y",H53:H68,10),0)))</f>
        <v/>
      </c>
      <c r="I70" s="865" t="str">
        <f t="array" ref="I70">IF(OR(SUM(IF(IF('Locked Bets Setup'!$J$4:$J$19="Y", I53:I68, 10)=MIN(IF('Locked Bets Setup'!$J$4:$J$19="Y", I53:I68, 10)), 1, 0)) &gt; 1, MIN(IF('Locked Bets Setup'!$J$4:$J$19="Y", I53:I68, 10)) &gt; I53), "", INDEX('Locked Bets Setup'!$A$4:$A$19,MATCH(MIN(IF('Locked Bets Setup'!$J$4:$J$19="Y",I53:I68,10)),IF('Locked Bets Setup'!$J$4:$J$19="Y",I53:I68,10),0)))</f>
        <v/>
      </c>
      <c r="J70" s="865" t="str">
        <f t="array" ref="J70">IF(OR(SUM(IF(IF('Locked Bets Setup'!$J$4:$J$19="Y", J53:J68, 10)=MIN(IF('Locked Bets Setup'!$J$4:$J$19="Y", J53:J68, 10)), 1, 0)) &gt; 1, MIN(IF('Locked Bets Setup'!$J$4:$J$19="Y", J53:J68, 10)) &gt; J53), "", INDEX('Locked Bets Setup'!$A$4:$A$19,MATCH(MIN(IF('Locked Bets Setup'!$J$4:$J$19="Y",J53:J68,10)),IF('Locked Bets Setup'!$J$4:$J$19="Y",J53:J68,10),0)))</f>
        <v/>
      </c>
      <c r="K70" s="865" t="str">
        <f t="array" ref="K70">IF(OR(SUM(IF(IF('Locked Bets Setup'!$J$4:$J$19="Y", K53:K68, 10)=MIN(IF('Locked Bets Setup'!$J$4:$J$19="Y", K53:K68, 10)), 1, 0)) &gt; 1, MIN(IF('Locked Bets Setup'!$J$4:$J$19="Y", K53:K68, 10)) &gt; K53), "", INDEX('Locked Bets Setup'!$A$4:$A$19,MATCH(MIN(IF('Locked Bets Setup'!$J$4:$J$19="Y",K53:K68,10)),IF('Locked Bets Setup'!$J$4:$J$19="Y",K53:K68,10),0)))</f>
        <v/>
      </c>
      <c r="L70" s="865" t="str">
        <f t="array" ref="L70">IF(OR(SUM(IF(IF('Locked Bets Setup'!$J$4:$J$19="Y", L53:L68, 10)=MIN(IF('Locked Bets Setup'!$J$4:$J$19="Y", L53:L68, 10)), 1, 0)) &gt; 1, MIN(IF('Locked Bets Setup'!$J$4:$J$19="Y", L53:L68, 10)) &gt; L53), "", INDEX('Locked Bets Setup'!$A$4:$A$19,MATCH(MIN(IF('Locked Bets Setup'!$J$4:$J$19="Y",L53:L68,10)),IF('Locked Bets Setup'!$J$4:$J$19="Y",L53:L68,10),0)))</f>
        <v/>
      </c>
      <c r="M70" s="865" t="str">
        <f t="array" ref="M70">IF(OR(SUM(IF(IF('Locked Bets Setup'!$J$4:$J$19="Y", M53:M68, 10)=MIN(IF('Locked Bets Setup'!$J$4:$J$19="Y", M53:M68, 10)), 1, 0)) &gt; 1, MIN(IF('Locked Bets Setup'!$J$4:$J$19="Y", M53:M68, 10)) &gt; M53), "", INDEX('Locked Bets Setup'!$A$4:$A$19,MATCH(MIN(IF('Locked Bets Setup'!$J$4:$J$19="Y",M53:M68,10)),IF('Locked Bets Setup'!$J$4:$J$19="Y",M53:M68,10),0)))</f>
        <v/>
      </c>
      <c r="N70" s="865" t="str">
        <f t="array" ref="N70">IF(OR(SUM(IF(IF('Locked Bets Setup'!$J$4:$J$19="Y", N53:N68, 10)=MIN(IF('Locked Bets Setup'!$J$4:$J$19="Y", N53:N68, 10)), 1, 0)) &gt; 1, MIN(IF('Locked Bets Setup'!$J$4:$J$19="Y", N53:N68, 10)) &gt; N53), "", INDEX('Locked Bets Setup'!$A$4:$A$19,MATCH(MIN(IF('Locked Bets Setup'!$J$4:$J$19="Y",N53:N68,10)),IF('Locked Bets Setup'!$J$4:$J$19="Y",N53:N68,10),0)))</f>
        <v/>
      </c>
      <c r="O70" s="865" t="str">
        <f t="array" ref="O70">IF(OR(SUM(IF(IF('Locked Bets Setup'!$J$4:$J$19="Y", O53:O68, 10)=MIN(IF('Locked Bets Setup'!$J$4:$J$19="Y", O53:O68, 10)), 1, 0)) &gt; 1, MIN(IF('Locked Bets Setup'!$J$4:$J$19="Y", O53:O68, 10)) &gt; O53), "", INDEX('Locked Bets Setup'!$A$4:$A$19,MATCH(MIN(IF('Locked Bets Setup'!$J$4:$J$19="Y",O53:O68,10)),IF('Locked Bets Setup'!$J$4:$J$19="Y",O53:O68,10),0)))</f>
        <v/>
      </c>
      <c r="P70" s="865" t="str">
        <f t="array" ref="P70">IF(OR(SUM(IF(IF('Locked Bets Setup'!$J$4:$J$19="Y", P53:P68, 10)=MIN(IF('Locked Bets Setup'!$J$4:$J$19="Y", P53:P68, 10)), 1, 0)) &gt; 1, MIN(IF('Locked Bets Setup'!$J$4:$J$19="Y", P53:P68, 10)) &gt; P53), "", INDEX('Locked Bets Setup'!$A$4:$A$19,MATCH(MIN(IF('Locked Bets Setup'!$J$4:$J$19="Y",P53:P68,10)),IF('Locked Bets Setup'!$J$4:$J$19="Y",P53:P68,10),0)))</f>
        <v/>
      </c>
      <c r="Q70" s="865" t="str">
        <f t="array" ref="Q70">IF(OR(SUM(IF(IF('Locked Bets Setup'!$J$4:$J$19="Y", Q53:Q68, 10)=MIN(IF('Locked Bets Setup'!$J$4:$J$19="Y", Q53:Q68, 10)), 1, 0)) &gt; 1, MIN(IF('Locked Bets Setup'!$J$4:$J$19="Y", Q53:Q68, 10)) &gt; Q53), "", INDEX('Locked Bets Setup'!$A$4:$A$19,MATCH(MIN(IF('Locked Bets Setup'!$J$4:$J$19="Y",Q53:Q68,10)),IF('Locked Bets Setup'!$J$4:$J$19="Y",Q53:Q68,10),0)))</f>
        <v/>
      </c>
      <c r="R70" s="865" t="str">
        <f t="array" ref="R70">IF(OR(SUM(IF(IF('Locked Bets Setup'!$J$4:$J$19="Y", R53:R68, 10)=MIN(IF('Locked Bets Setup'!$J$4:$J$19="Y", R53:R68, 10)), 1, 0)) &gt; 1, MIN(IF('Locked Bets Setup'!$J$4:$J$19="Y", R53:R68, 10)) &gt; R53), "", INDEX('Locked Bets Setup'!$A$4:$A$19,MATCH(MIN(IF('Locked Bets Setup'!$J$4:$J$19="Y",R53:R68,10)),IF('Locked Bets Setup'!$J$4:$J$19="Y",R53:R68,10),0)))</f>
        <v/>
      </c>
      <c r="S70" s="865" t="str">
        <f t="array" ref="S70">IF(OR(SUM(IF(IF('Locked Bets Setup'!$J$4:$J$19="Y", S53:S68, 10)=MIN(IF('Locked Bets Setup'!$J$4:$J$19="Y", S53:S68, 10)), 1, 0)) &gt; 1, MIN(IF('Locked Bets Setup'!$J$4:$J$19="Y", S53:S68, 10)) &gt; S53), "", INDEX('Locked Bets Setup'!$A$4:$A$19,MATCH(MIN(IF('Locked Bets Setup'!$J$4:$J$19="Y",S53:S68,10)),IF('Locked Bets Setup'!$J$4:$J$19="Y",S53:S68,10),0)))</f>
        <v/>
      </c>
      <c r="T70" s="865" t="str">
        <f t="array" ref="T70">IF(OR(SUM(IF(IF('Locked Bets Setup'!$J$4:$J$19="Y", T53:T68, 10)=MIN(IF('Locked Bets Setup'!$J$4:$J$19="Y", T53:T68, 10)), 1, 0)) &gt; 1, MIN(IF('Locked Bets Setup'!$J$4:$J$19="Y", T53:T68, 10)) &gt; T53), "", INDEX('Locked Bets Setup'!$A$4:$A$19,MATCH(MIN(IF('Locked Bets Setup'!$J$4:$J$19="Y",T53:T68,10)),IF('Locked Bets Setup'!$J$4:$J$19="Y",T53:T68,10),0)))</f>
        <v/>
      </c>
      <c r="U70" s="865" t="str">
        <f t="array" ref="U70">IF(OR(SUM(IF(IF('Locked Bets Setup'!$J$4:$J$19="Y", U53:U68, 10)=MIN(IF('Locked Bets Setup'!$J$4:$J$19="Y", U53:U68, 10)), 1, 0)) &gt; 1, MIN(IF('Locked Bets Setup'!$J$4:$J$19="Y", U53:U68, 10)) &gt; U53), "", INDEX('Locked Bets Setup'!$A$4:$A$19,MATCH(MIN(IF('Locked Bets Setup'!$J$4:$J$19="Y",U53:U68,10)),IF('Locked Bets Setup'!$J$4:$J$19="Y",U53:U68,10),0)))</f>
        <v/>
      </c>
      <c r="V70" s="865" t="str">
        <f t="array" ref="V70">IF(OR(SUM(IF(IF('Locked Bets Setup'!$J$4:$J$19="Y", V53:V68, 10)=MIN(IF('Locked Bets Setup'!$J$4:$J$19="Y", V53:V68, 10)), 1, 0)) &gt; 1, MIN(IF('Locked Bets Setup'!$J$4:$J$19="Y", V53:V68, 10)) &gt; V53), "", INDEX('Locked Bets Setup'!$A$4:$A$19,MATCH(MIN(IF('Locked Bets Setup'!$J$4:$J$19="Y",V53:V68,10)),IF('Locked Bets Setup'!$J$4:$J$19="Y",V53:V68,10),0)))</f>
        <v/>
      </c>
      <c r="W70" s="865"/>
      <c r="X70" s="865"/>
      <c r="Y70" s="866">
        <f t="shared" si="108"/>
        <v>0</v>
      </c>
      <c r="Z70" s="939"/>
      <c r="AA70" s="921"/>
      <c r="AB70" s="935"/>
      <c r="AC70" s="917"/>
      <c r="AD70" s="918"/>
      <c r="AE70" s="923"/>
      <c r="AF70" s="923"/>
      <c r="AG70" s="923"/>
      <c r="AH70" s="923"/>
      <c r="AI70" s="923"/>
      <c r="AJ70" s="923"/>
      <c r="AK70" s="923"/>
      <c r="AL70" s="923"/>
      <c r="AM70" s="923"/>
      <c r="AN70" s="923"/>
      <c r="AO70" s="923"/>
      <c r="AP70" s="923"/>
      <c r="AQ70" s="923"/>
      <c r="AR70" s="923"/>
      <c r="AS70" s="923"/>
      <c r="AT70" s="923"/>
      <c r="AU70" s="923"/>
      <c r="AV70" s="923"/>
      <c r="AW70" s="923"/>
      <c r="AX70" s="923"/>
      <c r="AY70" s="923"/>
      <c r="AZ70" s="923"/>
      <c r="BA70" s="923"/>
      <c r="BB70" s="921"/>
      <c r="BC70" s="935"/>
      <c r="BD70" s="936"/>
      <c r="BE70" s="937"/>
      <c r="BF70" s="937"/>
      <c r="BG70" s="937"/>
      <c r="BH70" s="937"/>
      <c r="BI70" s="937"/>
      <c r="BJ70" s="937"/>
    </row>
    <row r="71" spans="1:62" ht="14.25" customHeight="1">
      <c r="A71" s="939"/>
      <c r="B71" s="940"/>
      <c r="C71" s="940"/>
      <c r="D71" s="877" t="s">
        <v>201</v>
      </c>
      <c r="E71" s="878"/>
      <c r="F71" s="878"/>
      <c r="G71" s="878"/>
      <c r="H71" s="878"/>
      <c r="I71" s="878"/>
      <c r="J71" s="878"/>
      <c r="K71" s="878"/>
      <c r="L71" s="878"/>
      <c r="M71" s="878"/>
      <c r="N71" s="878"/>
      <c r="O71" s="878"/>
      <c r="P71" s="878"/>
      <c r="Q71" s="878"/>
      <c r="R71" s="878"/>
      <c r="S71" s="878"/>
      <c r="T71" s="878"/>
      <c r="U71" s="878"/>
      <c r="V71" s="878"/>
      <c r="W71" s="834"/>
      <c r="X71" s="834"/>
      <c r="Y71" s="879">
        <f>COUNTA(E71:V71)</f>
        <v>0</v>
      </c>
      <c r="Z71" s="939"/>
      <c r="AA71" s="921"/>
      <c r="AB71" s="935"/>
      <c r="AC71" s="939"/>
      <c r="AD71" s="940"/>
      <c r="AE71" s="941"/>
      <c r="AF71" s="941"/>
      <c r="AG71" s="941"/>
      <c r="AH71" s="941"/>
      <c r="AI71" s="941"/>
      <c r="AJ71" s="941"/>
      <c r="AK71" s="941"/>
      <c r="AL71" s="941"/>
      <c r="AM71" s="941"/>
      <c r="AN71" s="941"/>
      <c r="AO71" s="941"/>
      <c r="AP71" s="941"/>
      <c r="AQ71" s="941"/>
      <c r="AR71" s="941"/>
      <c r="AS71" s="941"/>
      <c r="AT71" s="941"/>
      <c r="AU71" s="941"/>
      <c r="AV71" s="941"/>
      <c r="AW71" s="941"/>
      <c r="AX71" s="941"/>
      <c r="AY71" s="941"/>
      <c r="AZ71" s="941"/>
      <c r="BA71" s="941"/>
      <c r="BB71" s="921"/>
      <c r="BC71" s="935"/>
      <c r="BD71" s="936"/>
      <c r="BE71" s="937"/>
      <c r="BF71" s="937"/>
      <c r="BG71" s="937"/>
      <c r="BH71" s="937"/>
      <c r="BI71" s="937"/>
      <c r="BJ71" s="937"/>
    </row>
    <row r="72" spans="1:62" ht="14.25" customHeight="1">
      <c r="A72" s="914"/>
      <c r="B72" s="915"/>
      <c r="C72" s="916"/>
      <c r="D72" s="886"/>
      <c r="E72" s="885"/>
      <c r="F72" s="885"/>
      <c r="G72" s="885"/>
      <c r="H72" s="885"/>
      <c r="I72" s="885"/>
      <c r="J72" s="885"/>
      <c r="K72" s="885"/>
      <c r="L72" s="885"/>
      <c r="M72" s="885"/>
      <c r="N72" s="885"/>
      <c r="O72" s="885"/>
      <c r="P72" s="885"/>
      <c r="Q72" s="885"/>
      <c r="R72" s="885"/>
      <c r="S72" s="885"/>
      <c r="T72" s="885"/>
      <c r="U72" s="885"/>
      <c r="V72" s="885"/>
      <c r="W72" s="885"/>
      <c r="X72" s="885"/>
      <c r="Y72" s="885"/>
      <c r="Z72" s="890"/>
      <c r="AA72" s="885"/>
      <c r="AB72" s="890"/>
      <c r="AC72" s="915"/>
      <c r="AD72" s="915"/>
      <c r="AE72" s="916"/>
      <c r="AF72" s="885"/>
      <c r="AG72" s="885"/>
      <c r="AH72" s="885"/>
      <c r="AI72" s="885"/>
      <c r="AJ72" s="885"/>
      <c r="AK72" s="885"/>
      <c r="AL72" s="885"/>
      <c r="AM72" s="885"/>
      <c r="AN72" s="885"/>
      <c r="AO72" s="885"/>
      <c r="AP72" s="885"/>
      <c r="AQ72" s="885"/>
      <c r="AR72" s="885"/>
      <c r="AS72" s="885"/>
      <c r="AT72" s="885"/>
      <c r="AU72" s="885"/>
      <c r="AV72" s="885"/>
      <c r="AW72" s="885"/>
      <c r="AX72" s="885"/>
      <c r="AY72" s="885"/>
      <c r="AZ72" s="885"/>
      <c r="BA72" s="885"/>
      <c r="BB72" s="890"/>
      <c r="BC72" s="890"/>
      <c r="BD72" s="891"/>
      <c r="BE72" s="891"/>
      <c r="BF72" s="891"/>
      <c r="BG72" s="891"/>
      <c r="BH72" s="891"/>
      <c r="BI72" s="891"/>
      <c r="BJ72" s="891"/>
    </row>
    <row r="73" spans="1:62" ht="14.25" customHeight="1">
      <c r="A73" s="942" t="s">
        <v>80</v>
      </c>
      <c r="B73" s="943"/>
      <c r="C73" s="943"/>
      <c r="D73" s="1222" t="str">
        <f>'Master Input'!$K$6</f>
        <v>The Bear - White</v>
      </c>
      <c r="E73" s="1129"/>
      <c r="F73" s="1129"/>
      <c r="G73" s="1129"/>
      <c r="H73" s="1129"/>
      <c r="I73" s="1129"/>
      <c r="J73" s="1129"/>
      <c r="K73" s="1129"/>
      <c r="L73" s="1129"/>
      <c r="M73" s="1129"/>
      <c r="N73" s="1129"/>
      <c r="O73" s="1129"/>
      <c r="P73" s="1129"/>
      <c r="Q73" s="1129"/>
      <c r="R73" s="1129"/>
      <c r="S73" s="1129"/>
      <c r="T73" s="1129"/>
      <c r="U73" s="1129"/>
      <c r="V73" s="1129"/>
      <c r="W73" s="1129"/>
      <c r="X73" s="1218"/>
      <c r="Y73" s="944">
        <f ca="1">VLOOKUP($D73, 'Course List'!$A$3:$C$14,2, FALSE)</f>
        <v>71.099999999999994</v>
      </c>
      <c r="Z73" s="945">
        <f ca="1">VLOOKUP($D73, 'Course List'!$A$3:$C$14,3, FALSE)</f>
        <v>139</v>
      </c>
      <c r="AA73" s="946"/>
      <c r="AB73" s="947"/>
      <c r="AC73" s="942" t="s">
        <v>80</v>
      </c>
      <c r="AD73" s="943"/>
      <c r="AE73" s="943"/>
      <c r="AF73" s="1223" t="str">
        <f>D73</f>
        <v>The Bear - White</v>
      </c>
      <c r="AG73" s="1129"/>
      <c r="AH73" s="1129"/>
      <c r="AI73" s="1129"/>
      <c r="AJ73" s="1129"/>
      <c r="AK73" s="1129"/>
      <c r="AL73" s="1129"/>
      <c r="AM73" s="1129"/>
      <c r="AN73" s="1129"/>
      <c r="AO73" s="1129"/>
      <c r="AP73" s="1129"/>
      <c r="AQ73" s="1129"/>
      <c r="AR73" s="1129"/>
      <c r="AS73" s="1129"/>
      <c r="AT73" s="1129"/>
      <c r="AU73" s="1129"/>
      <c r="AV73" s="1129"/>
      <c r="AW73" s="1129"/>
      <c r="AX73" s="1129"/>
      <c r="AY73" s="1129"/>
      <c r="AZ73" s="1218"/>
      <c r="BA73" s="944">
        <f t="shared" ref="BA73:BB73" ca="1" si="109">Y73</f>
        <v>71.099999999999994</v>
      </c>
      <c r="BB73" s="945">
        <f t="shared" ca="1" si="109"/>
        <v>139</v>
      </c>
      <c r="BC73" s="947"/>
      <c r="BD73" s="948"/>
      <c r="BE73" s="949"/>
      <c r="BF73" s="949"/>
      <c r="BG73" s="949"/>
      <c r="BH73" s="949"/>
      <c r="BI73" s="949"/>
      <c r="BJ73" s="949"/>
    </row>
    <row r="74" spans="1:62" ht="14.25" customHeight="1">
      <c r="A74" s="942" t="s">
        <v>184</v>
      </c>
      <c r="B74" s="943"/>
      <c r="C74" s="943"/>
      <c r="D74" s="832" t="s">
        <v>32</v>
      </c>
      <c r="E74" s="833">
        <v>1</v>
      </c>
      <c r="F74" s="834">
        <v>2</v>
      </c>
      <c r="G74" s="834">
        <v>3</v>
      </c>
      <c r="H74" s="834">
        <v>4</v>
      </c>
      <c r="I74" s="834">
        <v>5</v>
      </c>
      <c r="J74" s="834">
        <v>6</v>
      </c>
      <c r="K74" s="834">
        <v>7</v>
      </c>
      <c r="L74" s="834">
        <v>8</v>
      </c>
      <c r="M74" s="834">
        <v>9</v>
      </c>
      <c r="N74" s="835">
        <v>10</v>
      </c>
      <c r="O74" s="835">
        <v>11</v>
      </c>
      <c r="P74" s="835">
        <v>12</v>
      </c>
      <c r="Q74" s="835">
        <v>13</v>
      </c>
      <c r="R74" s="835">
        <v>14</v>
      </c>
      <c r="S74" s="835">
        <v>15</v>
      </c>
      <c r="T74" s="835">
        <v>16</v>
      </c>
      <c r="U74" s="835">
        <v>17</v>
      </c>
      <c r="V74" s="835">
        <v>18</v>
      </c>
      <c r="W74" s="836" t="s">
        <v>17</v>
      </c>
      <c r="X74" s="836" t="s">
        <v>18</v>
      </c>
      <c r="Y74" s="836" t="s">
        <v>14</v>
      </c>
      <c r="Z74" s="836" t="s">
        <v>19</v>
      </c>
      <c r="AA74" s="857" t="s">
        <v>185</v>
      </c>
      <c r="AB74" s="947"/>
      <c r="AC74" s="942" t="s">
        <v>19</v>
      </c>
      <c r="AD74" s="943"/>
      <c r="AE74" s="943"/>
      <c r="AF74" s="832" t="s">
        <v>32</v>
      </c>
      <c r="AG74" s="833">
        <v>1</v>
      </c>
      <c r="AH74" s="834">
        <v>2</v>
      </c>
      <c r="AI74" s="834">
        <v>3</v>
      </c>
      <c r="AJ74" s="834">
        <v>4</v>
      </c>
      <c r="AK74" s="834">
        <v>5</v>
      </c>
      <c r="AL74" s="834">
        <v>6</v>
      </c>
      <c r="AM74" s="834">
        <v>7</v>
      </c>
      <c r="AN74" s="834">
        <v>8</v>
      </c>
      <c r="AO74" s="834">
        <v>9</v>
      </c>
      <c r="AP74" s="835">
        <v>10</v>
      </c>
      <c r="AQ74" s="835">
        <v>11</v>
      </c>
      <c r="AR74" s="835">
        <v>12</v>
      </c>
      <c r="AS74" s="835">
        <v>13</v>
      </c>
      <c r="AT74" s="835">
        <v>14</v>
      </c>
      <c r="AU74" s="835">
        <v>15</v>
      </c>
      <c r="AV74" s="835">
        <v>16</v>
      </c>
      <c r="AW74" s="835">
        <v>17</v>
      </c>
      <c r="AX74" s="835">
        <v>18</v>
      </c>
      <c r="AY74" s="836" t="s">
        <v>17</v>
      </c>
      <c r="AZ74" s="836" t="s">
        <v>18</v>
      </c>
      <c r="BA74" s="836" t="s">
        <v>14</v>
      </c>
      <c r="BB74" s="836" t="s">
        <v>186</v>
      </c>
      <c r="BC74" s="947"/>
      <c r="BD74" s="948"/>
      <c r="BE74" s="949"/>
      <c r="BF74" s="949"/>
      <c r="BG74" s="949"/>
      <c r="BH74" s="949"/>
      <c r="BI74" s="949"/>
      <c r="BJ74" s="949"/>
    </row>
    <row r="75" spans="1:62" ht="14.25" customHeight="1">
      <c r="A75" s="942"/>
      <c r="B75" s="943"/>
      <c r="C75" s="840">
        <v>5</v>
      </c>
      <c r="D75" s="832" t="s">
        <v>105</v>
      </c>
      <c r="E75" s="841">
        <f ca="1">VLOOKUP($D73, 'Course List'!$A$3:$AS$14,5+E74, FALSE)</f>
        <v>11</v>
      </c>
      <c r="F75" s="841">
        <f ca="1">VLOOKUP($D73, 'Course List'!$A$3:$AS$14,5+F74, FALSE)</f>
        <v>3</v>
      </c>
      <c r="G75" s="841">
        <f ca="1">VLOOKUP($D73, 'Course List'!$A$3:$AS$14,5+G74, FALSE)</f>
        <v>15</v>
      </c>
      <c r="H75" s="841">
        <f ca="1">VLOOKUP($D73, 'Course List'!$A$3:$AS$14,5+H74, FALSE)</f>
        <v>13</v>
      </c>
      <c r="I75" s="841">
        <f ca="1">VLOOKUP($D73, 'Course List'!$A$3:$AS$14,5+I74, FALSE)</f>
        <v>1</v>
      </c>
      <c r="J75" s="841">
        <f ca="1">VLOOKUP($D73, 'Course List'!$A$3:$AS$14,5+J74, FALSE)</f>
        <v>17</v>
      </c>
      <c r="K75" s="841">
        <f ca="1">VLOOKUP($D73, 'Course List'!$A$3:$AS$14,5+K74, FALSE)</f>
        <v>5</v>
      </c>
      <c r="L75" s="841">
        <f ca="1">VLOOKUP($D73, 'Course List'!$A$3:$AS$14,5+L74, FALSE)</f>
        <v>7</v>
      </c>
      <c r="M75" s="841">
        <f ca="1">VLOOKUP($D73, 'Course List'!$A$3:$AS$14,5+M74, FALSE)</f>
        <v>9</v>
      </c>
      <c r="N75" s="842">
        <f ca="1">VLOOKUP($D73, 'Course List'!$A$3:$AS$14,5+N74, FALSE)</f>
        <v>18</v>
      </c>
      <c r="O75" s="842">
        <f ca="1">VLOOKUP($D73, 'Course List'!$A$3:$AS$14,5+O74, FALSE)</f>
        <v>4</v>
      </c>
      <c r="P75" s="842">
        <f ca="1">VLOOKUP($D73, 'Course List'!$A$3:$AS$14,5+P74, FALSE)</f>
        <v>6</v>
      </c>
      <c r="Q75" s="842">
        <f ca="1">VLOOKUP($D73, 'Course List'!$A$3:$AS$14,5+Q74, FALSE)</f>
        <v>12</v>
      </c>
      <c r="R75" s="842">
        <f ca="1">VLOOKUP($D73, 'Course List'!$A$3:$AS$14,5+R74, FALSE)</f>
        <v>16</v>
      </c>
      <c r="S75" s="842">
        <f ca="1">VLOOKUP($D73, 'Course List'!$A$3:$AS$14,5+S74, FALSE)</f>
        <v>14</v>
      </c>
      <c r="T75" s="842">
        <f ca="1">VLOOKUP($D73, 'Course List'!$A$3:$AS$14,5+T74, FALSE)</f>
        <v>2</v>
      </c>
      <c r="U75" s="842">
        <f ca="1">VLOOKUP($D73, 'Course List'!$A$3:$AS$14,5+U74, FALSE)</f>
        <v>8</v>
      </c>
      <c r="V75" s="842">
        <f ca="1">VLOOKUP($D73, 'Course List'!$A$3:$AS$14,5+V74, FALSE)</f>
        <v>10</v>
      </c>
      <c r="W75" s="950"/>
      <c r="X75" s="950"/>
      <c r="Y75" s="950"/>
      <c r="Z75" s="950"/>
      <c r="AA75" s="857"/>
      <c r="AB75" s="951"/>
      <c r="AC75" s="942"/>
      <c r="AD75" s="943"/>
      <c r="AE75" s="840">
        <v>5</v>
      </c>
      <c r="AF75" s="832" t="s">
        <v>105</v>
      </c>
      <c r="AG75" s="841">
        <f t="shared" ref="AG75:AX75" ca="1" si="110">E75</f>
        <v>11</v>
      </c>
      <c r="AH75" s="841">
        <f t="shared" ca="1" si="110"/>
        <v>3</v>
      </c>
      <c r="AI75" s="841">
        <f t="shared" ca="1" si="110"/>
        <v>15</v>
      </c>
      <c r="AJ75" s="841">
        <f t="shared" ca="1" si="110"/>
        <v>13</v>
      </c>
      <c r="AK75" s="841">
        <f t="shared" ca="1" si="110"/>
        <v>1</v>
      </c>
      <c r="AL75" s="841">
        <f t="shared" ca="1" si="110"/>
        <v>17</v>
      </c>
      <c r="AM75" s="841">
        <f t="shared" ca="1" si="110"/>
        <v>5</v>
      </c>
      <c r="AN75" s="841">
        <f t="shared" ca="1" si="110"/>
        <v>7</v>
      </c>
      <c r="AO75" s="841">
        <f t="shared" ca="1" si="110"/>
        <v>9</v>
      </c>
      <c r="AP75" s="842">
        <f t="shared" ca="1" si="110"/>
        <v>18</v>
      </c>
      <c r="AQ75" s="842">
        <f t="shared" ca="1" si="110"/>
        <v>4</v>
      </c>
      <c r="AR75" s="842">
        <f t="shared" ca="1" si="110"/>
        <v>6</v>
      </c>
      <c r="AS75" s="842">
        <f t="shared" ca="1" si="110"/>
        <v>12</v>
      </c>
      <c r="AT75" s="842">
        <f t="shared" ca="1" si="110"/>
        <v>16</v>
      </c>
      <c r="AU75" s="842">
        <f t="shared" ca="1" si="110"/>
        <v>14</v>
      </c>
      <c r="AV75" s="842">
        <f t="shared" ca="1" si="110"/>
        <v>2</v>
      </c>
      <c r="AW75" s="842">
        <f t="shared" ca="1" si="110"/>
        <v>8</v>
      </c>
      <c r="AX75" s="842">
        <f t="shared" ca="1" si="110"/>
        <v>10</v>
      </c>
      <c r="AY75" s="950"/>
      <c r="AZ75" s="950"/>
      <c r="BA75" s="950"/>
      <c r="BB75" s="950"/>
      <c r="BC75" s="951"/>
      <c r="BD75" s="952" t="s">
        <v>187</v>
      </c>
      <c r="BE75" s="953" t="s">
        <v>35</v>
      </c>
      <c r="BF75" s="953"/>
      <c r="BG75" s="953"/>
      <c r="BH75" s="953"/>
      <c r="BI75" s="953"/>
      <c r="BJ75" s="953"/>
    </row>
    <row r="76" spans="1:62" ht="14.25" customHeight="1">
      <c r="A76" s="847" t="s">
        <v>23</v>
      </c>
      <c r="B76" s="847" t="s">
        <v>188</v>
      </c>
      <c r="C76" s="848" t="s">
        <v>189</v>
      </c>
      <c r="D76" s="832" t="s">
        <v>183</v>
      </c>
      <c r="E76" s="841">
        <f ca="1">VLOOKUP($D73, 'Course List'!$A$3:$AS$14,27+E74, FALSE)</f>
        <v>4</v>
      </c>
      <c r="F76" s="841">
        <f ca="1">VLOOKUP($D73, 'Course List'!$A$3:$AS$14,27+F74, FALSE)</f>
        <v>4</v>
      </c>
      <c r="G76" s="841">
        <f ca="1">VLOOKUP($D73, 'Course List'!$A$3:$AS$14,27+G74, FALSE)</f>
        <v>5</v>
      </c>
      <c r="H76" s="841">
        <f ca="1">VLOOKUP($D73, 'Course List'!$A$3:$AS$14,27+H74, FALSE)</f>
        <v>3</v>
      </c>
      <c r="I76" s="841">
        <f ca="1">VLOOKUP($D73, 'Course List'!$A$3:$AS$14,27+I74, FALSE)</f>
        <v>4</v>
      </c>
      <c r="J76" s="841">
        <f ca="1">VLOOKUP($D73, 'Course List'!$A$3:$AS$14,27+J74, FALSE)</f>
        <v>5</v>
      </c>
      <c r="K76" s="841">
        <f ca="1">VLOOKUP($D73, 'Course List'!$A$3:$AS$14,27+K74, FALSE)</f>
        <v>4</v>
      </c>
      <c r="L76" s="841">
        <f ca="1">VLOOKUP($D73, 'Course List'!$A$3:$AS$14,27+L74, FALSE)</f>
        <v>4</v>
      </c>
      <c r="M76" s="841">
        <f ca="1">VLOOKUP($D73, 'Course List'!$A$3:$AS$14,27+M74, FALSE)</f>
        <v>3</v>
      </c>
      <c r="N76" s="842">
        <f ca="1">VLOOKUP($D73, 'Course List'!$A$3:$AS$14,27+N74, FALSE)</f>
        <v>5</v>
      </c>
      <c r="O76" s="842">
        <f ca="1">VLOOKUP($D73, 'Course List'!$A$3:$AS$14,27+O74, FALSE)</f>
        <v>4</v>
      </c>
      <c r="P76" s="842">
        <f ca="1">VLOOKUP($D73, 'Course List'!$A$3:$AS$14,27+P74, FALSE)</f>
        <v>4</v>
      </c>
      <c r="Q76" s="842">
        <f ca="1">VLOOKUP($D73, 'Course List'!$A$3:$AS$14,27+Q74, FALSE)</f>
        <v>3</v>
      </c>
      <c r="R76" s="842">
        <f ca="1">VLOOKUP($D73, 'Course List'!$A$3:$AS$14,27+R74, FALSE)</f>
        <v>4</v>
      </c>
      <c r="S76" s="842">
        <f ca="1">VLOOKUP($D73, 'Course List'!$A$3:$AS$14,27+S74, FALSE)</f>
        <v>5</v>
      </c>
      <c r="T76" s="842">
        <f ca="1">VLOOKUP($D73, 'Course List'!$A$3:$AS$14,27+T74, FALSE)</f>
        <v>4</v>
      </c>
      <c r="U76" s="842">
        <f ca="1">VLOOKUP($D73, 'Course List'!$A$3:$AS$14,27+U74, FALSE)</f>
        <v>3</v>
      </c>
      <c r="V76" s="842">
        <f ca="1">VLOOKUP($D73, 'Course List'!$A$3:$AS$14,27+V74, FALSE)</f>
        <v>4</v>
      </c>
      <c r="W76" s="836">
        <f t="shared" ref="W76:W92" ca="1" si="111">SUM(E76:M76)</f>
        <v>36</v>
      </c>
      <c r="X76" s="836">
        <f t="shared" ref="X76:X92" ca="1" si="112">SUM(N76:V76)</f>
        <v>36</v>
      </c>
      <c r="Y76" s="836">
        <f ca="1">W76+X76</f>
        <v>72</v>
      </c>
      <c r="Z76" s="836"/>
      <c r="AA76" s="857"/>
      <c r="AB76" s="947"/>
      <c r="AC76" s="847" t="s">
        <v>23</v>
      </c>
      <c r="AD76" s="847" t="s">
        <v>188</v>
      </c>
      <c r="AE76" s="848" t="s">
        <v>190</v>
      </c>
      <c r="AF76" s="832" t="s">
        <v>183</v>
      </c>
      <c r="AG76" s="841">
        <f t="shared" ref="AG76:AX76" ca="1" si="113">E76</f>
        <v>4</v>
      </c>
      <c r="AH76" s="841">
        <f t="shared" ca="1" si="113"/>
        <v>4</v>
      </c>
      <c r="AI76" s="841">
        <f t="shared" ca="1" si="113"/>
        <v>5</v>
      </c>
      <c r="AJ76" s="841">
        <f t="shared" ca="1" si="113"/>
        <v>3</v>
      </c>
      <c r="AK76" s="841">
        <f t="shared" ca="1" si="113"/>
        <v>4</v>
      </c>
      <c r="AL76" s="841">
        <f t="shared" ca="1" si="113"/>
        <v>5</v>
      </c>
      <c r="AM76" s="841">
        <f t="shared" ca="1" si="113"/>
        <v>4</v>
      </c>
      <c r="AN76" s="841">
        <f t="shared" ca="1" si="113"/>
        <v>4</v>
      </c>
      <c r="AO76" s="841">
        <f t="shared" ca="1" si="113"/>
        <v>3</v>
      </c>
      <c r="AP76" s="842">
        <f t="shared" ca="1" si="113"/>
        <v>5</v>
      </c>
      <c r="AQ76" s="842">
        <f t="shared" ca="1" si="113"/>
        <v>4</v>
      </c>
      <c r="AR76" s="842">
        <f t="shared" ca="1" si="113"/>
        <v>4</v>
      </c>
      <c r="AS76" s="842">
        <f t="shared" ca="1" si="113"/>
        <v>3</v>
      </c>
      <c r="AT76" s="842">
        <f t="shared" ca="1" si="113"/>
        <v>4</v>
      </c>
      <c r="AU76" s="842">
        <f t="shared" ca="1" si="113"/>
        <v>5</v>
      </c>
      <c r="AV76" s="842">
        <f t="shared" ca="1" si="113"/>
        <v>4</v>
      </c>
      <c r="AW76" s="842">
        <f t="shared" ca="1" si="113"/>
        <v>3</v>
      </c>
      <c r="AX76" s="842">
        <f t="shared" ca="1" si="113"/>
        <v>4</v>
      </c>
      <c r="AY76" s="836">
        <f t="shared" ref="AY76:AY92" ca="1" si="114">SUM(AG76:AO76)</f>
        <v>36</v>
      </c>
      <c r="AZ76" s="836">
        <f t="shared" ref="AZ76:AZ92" ca="1" si="115">SUM(AP76:AX76)</f>
        <v>36</v>
      </c>
      <c r="BA76" s="836">
        <f ca="1">AY76+AZ76</f>
        <v>72</v>
      </c>
      <c r="BB76" s="836"/>
      <c r="BC76" s="947"/>
      <c r="BD76" s="954" t="s">
        <v>191</v>
      </c>
      <c r="BE76" s="948" t="s">
        <v>192</v>
      </c>
      <c r="BF76" s="948" t="s">
        <v>193</v>
      </c>
      <c r="BG76" s="948" t="s">
        <v>194</v>
      </c>
      <c r="BH76" s="948" t="s">
        <v>195</v>
      </c>
      <c r="BI76" s="948" t="s">
        <v>196</v>
      </c>
      <c r="BJ76" s="948" t="s">
        <v>197</v>
      </c>
    </row>
    <row r="77" spans="1:62" ht="14.25" customHeight="1">
      <c r="A77" s="849" t="str">
        <f t="shared" ref="A77:A92" si="116">A53</f>
        <v>Telly</v>
      </c>
      <c r="B77" s="850">
        <f ca="1">VLOOKUP(A77,'Master Input'!$A$11:$L$27,12,FALSE)</f>
        <v>8</v>
      </c>
      <c r="C77" s="849"/>
      <c r="D77" s="851"/>
      <c r="E77" s="852">
        <f>IF(COUNTIF('R4_G1'!$A$8:$A$17,$A77)=1,VLOOKUP($A77,'R4_G1'!$A$8:$Y$17, E$2+4,FALSE),IF(COUNTIF('R4_G2'!$A$8:$A$17,$A77)=1,VLOOKUP($A77,'R4_G2'!$A$8:$Y$17, E$2+4,FALSE),IF(COUNTIF('R4_G3'!$A$8:$A$17,$A77)=1,VLOOKUP($A77,'R4_G3'!$A$8:$Y$17, E$2+4,FALSE),IF(COUNTIF('R4_G4'!$A$8:$A$17,$A77)=1,VLOOKUP($A77,'R4_G4'!$A$8:$Y$17, E$2+4,FALSE),""))))</f>
        <v>5</v>
      </c>
      <c r="F77" s="852">
        <f>IF(COUNTIF('R4_G1'!$A$8:$A$17,$A77)=1,VLOOKUP($A77,'R4_G1'!$A$8:$Y$17, F$2+4,FALSE),IF(COUNTIF('R4_G2'!$A$8:$A$17,$A77)=1,VLOOKUP($A77,'R4_G2'!$A$8:$Y$17, F$2+4,FALSE),IF(COUNTIF('R4_G3'!$A$8:$A$17,$A77)=1,VLOOKUP($A77,'R4_G3'!$A$8:$Y$17, F$2+4,FALSE),IF(COUNTIF('R4_G4'!$A$8:$A$17,$A77)=1,VLOOKUP($A77,'R4_G4'!$A$8:$Y$17, F$2+4,FALSE),""))))</f>
        <v>4</v>
      </c>
      <c r="G77" s="852">
        <f>IF(COUNTIF('R4_G1'!$A$8:$A$17,$A77)=1,VLOOKUP($A77,'R4_G1'!$A$8:$Y$17, G$2+4,FALSE),IF(COUNTIF('R4_G2'!$A$8:$A$17,$A77)=1,VLOOKUP($A77,'R4_G2'!$A$8:$Y$17, G$2+4,FALSE),IF(COUNTIF('R4_G3'!$A$8:$A$17,$A77)=1,VLOOKUP($A77,'R4_G3'!$A$8:$Y$17, G$2+4,FALSE),IF(COUNTIF('R4_G4'!$A$8:$A$17,$A77)=1,VLOOKUP($A77,'R4_G4'!$A$8:$Y$17, G$2+4,FALSE),""))))</f>
        <v>5</v>
      </c>
      <c r="H77" s="852">
        <f>IF(COUNTIF('R4_G1'!$A$8:$A$17,$A77)=1,VLOOKUP($A77,'R4_G1'!$A$8:$Y$17, H$2+4,FALSE),IF(COUNTIF('R4_G2'!$A$8:$A$17,$A77)=1,VLOOKUP($A77,'R4_G2'!$A$8:$Y$17, H$2+4,FALSE),IF(COUNTIF('R4_G3'!$A$8:$A$17,$A77)=1,VLOOKUP($A77,'R4_G3'!$A$8:$Y$17, H$2+4,FALSE),IF(COUNTIF('R4_G4'!$A$8:$A$17,$A77)=1,VLOOKUP($A77,'R4_G4'!$A$8:$Y$17, H$2+4,FALSE),""))))</f>
        <v>3</v>
      </c>
      <c r="I77" s="852">
        <f>IF(COUNTIF('R4_G1'!$A$8:$A$17,$A77)=1,VLOOKUP($A77,'R4_G1'!$A$8:$Y$17, I$2+4,FALSE),IF(COUNTIF('R4_G2'!$A$8:$A$17,$A77)=1,VLOOKUP($A77,'R4_G2'!$A$8:$Y$17, I$2+4,FALSE),IF(COUNTIF('R4_G3'!$A$8:$A$17,$A77)=1,VLOOKUP($A77,'R4_G3'!$A$8:$Y$17, I$2+4,FALSE),IF(COUNTIF('R4_G4'!$A$8:$A$17,$A77)=1,VLOOKUP($A77,'R4_G4'!$A$8:$Y$17, I$2+4,FALSE),""))))</f>
        <v>4</v>
      </c>
      <c r="J77" s="852">
        <f>IF(COUNTIF('R4_G1'!$A$8:$A$17,$A77)=1,VLOOKUP($A77,'R4_G1'!$A$8:$Y$17, J$2+4,FALSE),IF(COUNTIF('R4_G2'!$A$8:$A$17,$A77)=1,VLOOKUP($A77,'R4_G2'!$A$8:$Y$17, J$2+4,FALSE),IF(COUNTIF('R4_G3'!$A$8:$A$17,$A77)=1,VLOOKUP($A77,'R4_G3'!$A$8:$Y$17, J$2+4,FALSE),IF(COUNTIF('R4_G4'!$A$8:$A$17,$A77)=1,VLOOKUP($A77,'R4_G4'!$A$8:$Y$17, J$2+4,FALSE),""))))</f>
        <v>6</v>
      </c>
      <c r="K77" s="852">
        <f>IF(COUNTIF('R4_G1'!$A$8:$A$17,$A77)=1,VLOOKUP($A77,'R4_G1'!$A$8:$Y$17, K$2+4,FALSE),IF(COUNTIF('R4_G2'!$A$8:$A$17,$A77)=1,VLOOKUP($A77,'R4_G2'!$A$8:$Y$17, K$2+4,FALSE),IF(COUNTIF('R4_G3'!$A$8:$A$17,$A77)=1,VLOOKUP($A77,'R4_G3'!$A$8:$Y$17, K$2+4,FALSE),IF(COUNTIF('R4_G4'!$A$8:$A$17,$A77)=1,VLOOKUP($A77,'R4_G4'!$A$8:$Y$17, K$2+4,FALSE),""))))</f>
        <v>6</v>
      </c>
      <c r="L77" s="852">
        <f>IF(COUNTIF('R4_G1'!$A$8:$A$17,$A77)=1,VLOOKUP($A77,'R4_G1'!$A$8:$Y$17, L$2+4,FALSE),IF(COUNTIF('R4_G2'!$A$8:$A$17,$A77)=1,VLOOKUP($A77,'R4_G2'!$A$8:$Y$17, L$2+4,FALSE),IF(COUNTIF('R4_G3'!$A$8:$A$17,$A77)=1,VLOOKUP($A77,'R4_G3'!$A$8:$Y$17, L$2+4,FALSE),IF(COUNTIF('R4_G4'!$A$8:$A$17,$A77)=1,VLOOKUP($A77,'R4_G4'!$A$8:$Y$17, L$2+4,FALSE),""))))</f>
        <v>4</v>
      </c>
      <c r="M77" s="852">
        <f>IF(COUNTIF('R4_G1'!$A$8:$A$17,$A77)=1,VLOOKUP($A77,'R4_G1'!$A$8:$Y$17, M$2+4,FALSE),IF(COUNTIF('R4_G2'!$A$8:$A$17,$A77)=1,VLOOKUP($A77,'R4_G2'!$A$8:$Y$17, M$2+4,FALSE),IF(COUNTIF('R4_G3'!$A$8:$A$17,$A77)=1,VLOOKUP($A77,'R4_G3'!$A$8:$Y$17, M$2+4,FALSE),IF(COUNTIF('R4_G4'!$A$8:$A$17,$A77)=1,VLOOKUP($A77,'R4_G4'!$A$8:$Y$17, M$2+4,FALSE),""))))</f>
        <v>3</v>
      </c>
      <c r="N77" s="853">
        <f>IF(COUNTIF('R4_G1'!$A$8:$A$17,$A77)=1,VLOOKUP($A77,'R4_G1'!$A$8:$Y$17, N$2+7,FALSE),IF(COUNTIF('R4_G2'!$A$8:$A$17,$A77)=1,VLOOKUP($A77,'R4_G2'!$A$8:$Y$17, N$2+7,FALSE),IF(COUNTIF('R4_G3'!$A$8:$A$17,$A77)=1,VLOOKUP($A77,'R4_G3'!$A$8:$Y$17, N$2+7,FALSE),IF(COUNTIF('R4_G4'!$A$8:$A$17,$A77)=1,VLOOKUP($A77,'R4_G4'!$A$8:$Y$17, N$2+7,FALSE),""))))</f>
        <v>6</v>
      </c>
      <c r="O77" s="853">
        <f>IF(COUNTIF('R4_G1'!$A$8:$A$17,$A77)=1,VLOOKUP($A77,'R4_G1'!$A$8:$Y$17, O$2+7,FALSE),IF(COUNTIF('R4_G2'!$A$8:$A$17,$A77)=1,VLOOKUP($A77,'R4_G2'!$A$8:$Y$17, O$2+7,FALSE),IF(COUNTIF('R4_G3'!$A$8:$A$17,$A77)=1,VLOOKUP($A77,'R4_G3'!$A$8:$Y$17, O$2+7,FALSE),IF(COUNTIF('R4_G4'!$A$8:$A$17,$A77)=1,VLOOKUP($A77,'R4_G4'!$A$8:$Y$17, O$2+7,FALSE),""))))</f>
        <v>6</v>
      </c>
      <c r="P77" s="853">
        <f>IF(COUNTIF('R4_G1'!$A$8:$A$17,$A77)=1,VLOOKUP($A77,'R4_G1'!$A$8:$Y$17, P$2+7,FALSE),IF(COUNTIF('R4_G2'!$A$8:$A$17,$A77)=1,VLOOKUP($A77,'R4_G2'!$A$8:$Y$17, P$2+7,FALSE),IF(COUNTIF('R4_G3'!$A$8:$A$17,$A77)=1,VLOOKUP($A77,'R4_G3'!$A$8:$Y$17, P$2+7,FALSE),IF(COUNTIF('R4_G4'!$A$8:$A$17,$A77)=1,VLOOKUP($A77,'R4_G4'!$A$8:$Y$17, P$2+7,FALSE),""))))</f>
        <v>5</v>
      </c>
      <c r="Q77" s="853">
        <f>IF(COUNTIF('R4_G1'!$A$8:$A$17,$A77)=1,VLOOKUP($A77,'R4_G1'!$A$8:$Y$17, Q$2+7,FALSE),IF(COUNTIF('R4_G2'!$A$8:$A$17,$A77)=1,VLOOKUP($A77,'R4_G2'!$A$8:$Y$17, Q$2+7,FALSE),IF(COUNTIF('R4_G3'!$A$8:$A$17,$A77)=1,VLOOKUP($A77,'R4_G3'!$A$8:$Y$17, Q$2+7,FALSE),IF(COUNTIF('R4_G4'!$A$8:$A$17,$A77)=1,VLOOKUP($A77,'R4_G4'!$A$8:$Y$17, Q$2+7,FALSE),""))))</f>
        <v>3</v>
      </c>
      <c r="R77" s="853">
        <f>IF(COUNTIF('R4_G1'!$A$8:$A$17,$A77)=1,VLOOKUP($A77,'R4_G1'!$A$8:$Y$17, R$2+7,FALSE),IF(COUNTIF('R4_G2'!$A$8:$A$17,$A77)=1,VLOOKUP($A77,'R4_G2'!$A$8:$Y$17, R$2+7,FALSE),IF(COUNTIF('R4_G3'!$A$8:$A$17,$A77)=1,VLOOKUP($A77,'R4_G3'!$A$8:$Y$17, R$2+7,FALSE),IF(COUNTIF('R4_G4'!$A$8:$A$17,$A77)=1,VLOOKUP($A77,'R4_G4'!$A$8:$Y$17, R$2+7,FALSE),""))))</f>
        <v>4</v>
      </c>
      <c r="S77" s="853">
        <f>IF(COUNTIF('R4_G1'!$A$8:$A$17,$A77)=1,VLOOKUP($A77,'R4_G1'!$A$8:$Y$17, S$2+7,FALSE),IF(COUNTIF('R4_G2'!$A$8:$A$17,$A77)=1,VLOOKUP($A77,'R4_G2'!$A$8:$Y$17, S$2+7,FALSE),IF(COUNTIF('R4_G3'!$A$8:$A$17,$A77)=1,VLOOKUP($A77,'R4_G3'!$A$8:$Y$17, S$2+7,FALSE),IF(COUNTIF('R4_G4'!$A$8:$A$17,$A77)=1,VLOOKUP($A77,'R4_G4'!$A$8:$Y$17, S$2+7,FALSE),""))))</f>
        <v>4</v>
      </c>
      <c r="T77" s="853">
        <f>IF(COUNTIF('R4_G1'!$A$8:$A$17,$A77)=1,VLOOKUP($A77,'R4_G1'!$A$8:$Y$17, T$2+7,FALSE),IF(COUNTIF('R4_G2'!$A$8:$A$17,$A77)=1,VLOOKUP($A77,'R4_G2'!$A$8:$Y$17, T$2+7,FALSE),IF(COUNTIF('R4_G3'!$A$8:$A$17,$A77)=1,VLOOKUP($A77,'R4_G3'!$A$8:$Y$17, T$2+7,FALSE),IF(COUNTIF('R4_G4'!$A$8:$A$17,$A77)=1,VLOOKUP($A77,'R4_G4'!$A$8:$Y$17, T$2+7,FALSE),""))))</f>
        <v>5</v>
      </c>
      <c r="U77" s="853">
        <f>IF(COUNTIF('R4_G1'!$A$8:$A$17,$A77)=1,VLOOKUP($A77,'R4_G1'!$A$8:$Y$17, U$2+7,FALSE),IF(COUNTIF('R4_G2'!$A$8:$A$17,$A77)=1,VLOOKUP($A77,'R4_G2'!$A$8:$Y$17, U$2+7,FALSE),IF(COUNTIF('R4_G3'!$A$8:$A$17,$A77)=1,VLOOKUP($A77,'R4_G3'!$A$8:$Y$17, U$2+7,FALSE),IF(COUNTIF('R4_G4'!$A$8:$A$17,$A77)=1,VLOOKUP($A77,'R4_G4'!$A$8:$Y$17, U$2+7,FALSE),""))))</f>
        <v>5</v>
      </c>
      <c r="V77" s="853">
        <f>IF(COUNTIF('R4_G1'!$A$8:$A$17,$A77)=1,VLOOKUP($A77,'R4_G1'!$A$8:$Y$17, V$2+7,FALSE),IF(COUNTIF('R4_G2'!$A$8:$A$17,$A77)=1,VLOOKUP($A77,'R4_G2'!$A$8:$Y$17, V$2+7,FALSE),IF(COUNTIF('R4_G3'!$A$8:$A$17,$A77)=1,VLOOKUP($A77,'R4_G3'!$A$8:$Y$17, V$2+7,FALSE),IF(COUNTIF('R4_G4'!$A$8:$A$17,$A77)=1,VLOOKUP($A77,'R4_G4'!$A$8:$Y$17, V$2+7,FALSE),""))))</f>
        <v>6</v>
      </c>
      <c r="W77" s="852">
        <f t="shared" si="111"/>
        <v>40</v>
      </c>
      <c r="X77" s="852">
        <f t="shared" si="112"/>
        <v>44</v>
      </c>
      <c r="Y77" s="852">
        <f t="shared" ref="Y77:Y92" si="117">IF(COUNT(E77:V77)=18,W77+X77,"")</f>
        <v>84</v>
      </c>
      <c r="Z77" s="852">
        <f t="shared" ref="Z77:Z92" ca="1" si="118">IF(V77="","",Y77-B77)</f>
        <v>76</v>
      </c>
      <c r="AA77" s="859">
        <f t="shared" ref="AA77:AA92" si="119">Y77</f>
        <v>84</v>
      </c>
      <c r="AB77" s="947"/>
      <c r="AC77" s="849" t="str">
        <f t="shared" ref="AC77:AC92" si="120">A77</f>
        <v>Telly</v>
      </c>
      <c r="AD77" s="850">
        <f ca="1">VLOOKUP(AC77,'Master Input'!$A$11:$L$27,12,FALSE)</f>
        <v>8</v>
      </c>
      <c r="AE77" s="849" t="s">
        <v>198</v>
      </c>
      <c r="AF77" s="851"/>
      <c r="AG77" s="852">
        <f t="shared" ref="AG77:AX77" ca="1" si="121">IF(E77="","",E77-IF($B77&gt;0,FLOOR($B77/18,1),0)-IF(AND(MOD($B77,18)&gt;=E$75,$B77&gt;0),1,0)+IF(E$75-18&gt;$B77,1,0))</f>
        <v>5</v>
      </c>
      <c r="AH77" s="852">
        <f t="shared" ca="1" si="121"/>
        <v>3</v>
      </c>
      <c r="AI77" s="852">
        <f t="shared" ca="1" si="121"/>
        <v>5</v>
      </c>
      <c r="AJ77" s="852">
        <f t="shared" ca="1" si="121"/>
        <v>3</v>
      </c>
      <c r="AK77" s="852">
        <f t="shared" ca="1" si="121"/>
        <v>3</v>
      </c>
      <c r="AL77" s="852">
        <f t="shared" ca="1" si="121"/>
        <v>6</v>
      </c>
      <c r="AM77" s="852">
        <f t="shared" ca="1" si="121"/>
        <v>5</v>
      </c>
      <c r="AN77" s="852">
        <f t="shared" ca="1" si="121"/>
        <v>3</v>
      </c>
      <c r="AO77" s="852">
        <f t="shared" ca="1" si="121"/>
        <v>3</v>
      </c>
      <c r="AP77" s="853">
        <f t="shared" ca="1" si="121"/>
        <v>6</v>
      </c>
      <c r="AQ77" s="853">
        <f t="shared" ca="1" si="121"/>
        <v>5</v>
      </c>
      <c r="AR77" s="853">
        <f t="shared" ca="1" si="121"/>
        <v>4</v>
      </c>
      <c r="AS77" s="853">
        <f t="shared" ca="1" si="121"/>
        <v>3</v>
      </c>
      <c r="AT77" s="853">
        <f t="shared" ca="1" si="121"/>
        <v>4</v>
      </c>
      <c r="AU77" s="853">
        <f t="shared" ca="1" si="121"/>
        <v>4</v>
      </c>
      <c r="AV77" s="853">
        <f t="shared" ca="1" si="121"/>
        <v>4</v>
      </c>
      <c r="AW77" s="853">
        <f t="shared" ca="1" si="121"/>
        <v>4</v>
      </c>
      <c r="AX77" s="853">
        <f t="shared" ca="1" si="121"/>
        <v>6</v>
      </c>
      <c r="AY77" s="852">
        <f t="shared" ca="1" si="114"/>
        <v>36</v>
      </c>
      <c r="AZ77" s="852">
        <f t="shared" ca="1" si="115"/>
        <v>40</v>
      </c>
      <c r="BA77" s="852">
        <f t="shared" ref="BA77:BA92" ca="1" si="122">IF(COUNT(AG77:AX77)=18,AY77+AZ77,"")</f>
        <v>76</v>
      </c>
      <c r="BB77" s="849" t="str">
        <f ca="1">IF(COUNTIF('R4_G1'!$A$8:$A$17,$A77)=1, IF(AND(BA77=Z77,BA77=VLOOKUP($A77,'R4_G1'!$A$8:$AB$17, 28,FALSE)),"yes","no"),
IF(COUNTIF('R4_G2'!$A$8:$A$17,$A77)=1, IF(AND(BA77=Z77,BA77=VLOOKUP($A77,'R4_G2'!$A$8:$AB$17, 28,FALSE)),"yes","no"),
IF(COUNTIF('R4_G3'!$A$8:$A$17,$A77)=1, IF(AND(BA77=Z77,BA77=VLOOKUP($A77,'R4_G3'!$A$8:$AB$17, 28,FALSE)),"yes","no"),
IF(COUNTIF('R4_G4'!$A$8:$A$17,$A77)=1, IF(AND(BA77=Z77,BA77=VLOOKUP($A77,'R4_G4'!$A$8:$AB$17, 28,FALSE)),"yes","no"),
"?"))))</f>
        <v>yes</v>
      </c>
      <c r="BC77" s="947"/>
      <c r="BD77" s="862">
        <f t="shared" ref="BD77:BD92" ca="1" si="123">IF(AG77&lt;AG$76,1,IF(AG77=AG$76,0.5,0))+
IF(AH77&lt;AH$76,1,IF(AH77=AH$76,0.5,0))+
IF(AI77&lt;AI$76,1,IF(AI77=AI$76,0.5,0))+
IF(AJ77&lt;AJ$76,1,IF(AJ77=AJ$76,0.5,0))+
IF(AK77&lt;AK$76,1,IF(AK77=AK$76,0.5,0))+
IF(AL77&lt;AL$76,1,IF(AL77=AL$76,0.5,0))+
IF(AM77&lt;AM$76,1,IF(AM77=AM$76,0.5,0))+
IF(AN77&lt;AN$76,1,IF(AN77=AN$76,0.5,0))+
IF(AO77&lt;AO$76,1,IF(AO77=AO$76,0.5,0))+
IF(AP77&lt;AP$76,1,IF(AP77=AP$76,0.5,0))+
IF(AQ77&lt;AQ$76,1,IF(AQ77=AQ$76,0.5,0))+
IF(AR77&lt;AR$76,1,IF(AR77=AR$76,0.5,0))+
IF(AS77&lt;AS$76,1,IF(AS77=AS$76,0.5,0))+
IF(AT77&lt;AT$76,1,IF(AT77=AT$76,0.5,0))+
IF(AU77&lt;AU$76,1,IF(AU77=AU$76,0.5,0))+
IF(AV77&lt;AV$76,1,IF(AV77=AV$76,0.5,0))+
IF(AW77&lt;AW$76,1,IF(AW77=AW$76,0.5,0))+
IF(AX77&lt;AX$76,1,IF(AX77=AX$76,0.5,0))</f>
        <v>7.5</v>
      </c>
      <c r="BE77" s="855">
        <f t="shared" ref="BE77:BE92" ca="1" si="124">(RANK(AG77,$AG$77:$AG$92,0)-1)/15+(COUNTIF($AG$77:$AG$92,AG77)-1)/30+
(RANK(AH77,$AH$77:$AH$92,0)-1)/15+(COUNTIF($AH$77:$AH$92,AH77)-1)/30+
(RANK(AI77,$AI$77:$AI$92,0)-1)/15+(COUNTIF($AI$77:$AI$92,AI77)-1)/30+
(RANK(AJ77,$AJ$77:$AJ$92,0)-1)/15+(COUNTIF($AJ$77:$AJ$92,AJ77)-1)/30+
(RANK(AK77,$AK$77:$AK$92,0)-1)/15+(COUNTIF($AK$77:$AK$92,AK77)-1)/30+
(RANK(AL77,$AL$77:$AL$92,0)-1)/15+(COUNTIF($AL$77:$AL$92,AL77)-1)/30+
(RANK(AM77,$AM$77:$AM$92,0)-1)/15+(COUNTIF($AM$77:$AM$92,AM77)-1)/30+
(RANK(AN77,$AN$77:$AN$92,0)-1)/15+(COUNTIF($AN$77:$AN$92,AN77)-1)/30+
(RANK(AO77,$AO$77:$AO$92,0)-1)/15+(COUNTIF($AO$77:$AO$92,AO77)-1)/30+
(RANK(AP77,$AP$77:$AP$92,0)-1)/15+(COUNTIF($AP$77:$AP$92,AP77)-1)/30+
(RANK(AQ77,$AQ$77:$AQ$92,0)-1)/15+(COUNTIF($AQ$77:$AQ$92,AQ77)-1)/30+
(RANK(AR77,$AR$77:$AR$92,0)-1)/15+(COUNTIF($AR$77:$AR$92,AR77)-1)/30+
(RANK(AS77,$AS$77:$AS$92,0)-1)/15+(COUNTIF($AS$77:$AS$92,AS77)-1)/30+
(RANK(AT77,$AT$77:$AT$92,0)-1)/15+(COUNTIF($AT$77:$AT$92,AT77)-1)/30+
(RANK(AU77,$AU$77:$AU$92,0)-1)/15+(COUNTIF($AU$77:$AU$92,AU77)-1)/30+
(RANK(AV77,$AV$77:$AV$92,0)-1)/15+(COUNTIF($AV$77:$AV$92,AV77)-1)/30+
(RANK(AW77,$AW$77:$AW$92,0)-1)/15+(COUNTIF($AW$77:$AW$92,AW77)-1)/30+
(RANK(AX77,$AX$77:$AX$92,0)-1)/15+(COUNTIF($AX$77:$AX$92,AX77)-1)/30</f>
        <v>9.8666666666666654</v>
      </c>
      <c r="BF77" s="855">
        <f t="shared" ref="BF77:BF92" ca="1" si="125">COUNTIFS($AG$76:$AX$76,3,$AG77:$AX77,"&lt;=1")
+COUNTIFS($AG$76:$AX$76,4,$AG77:$AX77,"&lt;=2")
+COUNTIFS($AG$76:$AX$76,5,$AG77:$AX77,"&lt;=3")</f>
        <v>0</v>
      </c>
      <c r="BG77" s="855">
        <f t="shared" ref="BG77:BG92" ca="1" si="126">COUNTIFS($AG$76:$AX$76,3,$AG77:$AX77,2)
+COUNTIFS($AG$76:$AX$76,4,$AG77:$AX77,3)
+COUNTIFS($AG$76:$AX$76,5,$AG77:$AX77,4)</f>
        <v>4</v>
      </c>
      <c r="BH77" s="855">
        <f t="shared" ref="BH77:BH92" ca="1" si="127">COUNTIFS($AG$76:$AX$76,3,$AG77:$AX77,3)
+COUNTIFS($AG$76:$AX$76,4,$AG77:$AX77,4)
+COUNTIFS($AG$76:$AX$76,5,$AG77:$AX77,5)</f>
        <v>7</v>
      </c>
      <c r="BI77" s="855">
        <f t="shared" ref="BI77:BI92" ca="1" si="128">COUNTIFS($AG$76:$AX$76,3,$AG77:$AX77,4)
+COUNTIFS($AG$76:$AX$76,4,$AG77:$AX77,5)
+COUNTIFS($AG$76:$AX$76,5,$AG77:$AX77,6)</f>
        <v>6</v>
      </c>
      <c r="BJ77" s="855">
        <f t="shared" ref="BJ77:BJ92" ca="1" si="129">COUNTIFS($AG$76:$AX$76,3,$AG77:$AX77,"&gt;=5")
+COUNTIFS($AG$76:$AX$76,4,$AG77:$AX77,"&gt;=6")
+COUNTIFS($AG$76:$AX$76,5,$AG77:$AX77,"&gt;=7")</f>
        <v>1</v>
      </c>
    </row>
    <row r="78" spans="1:62" ht="14.25" customHeight="1">
      <c r="A78" s="857" t="str">
        <f t="shared" si="116"/>
        <v>KJ</v>
      </c>
      <c r="B78" s="858">
        <f ca="1">VLOOKUP(A78,'Master Input'!$A$11:$L$27,12,FALSE)</f>
        <v>9</v>
      </c>
      <c r="C78" s="857"/>
      <c r="D78" s="851"/>
      <c r="E78" s="859">
        <f>IF(COUNTIF('R4_G1'!$A$8:$A$17,$A78)=1,VLOOKUP($A78,'R4_G1'!$A$8:$Y$17, E$2+4,FALSE),IF(COUNTIF('R4_G2'!$A$8:$A$17,$A78)=1,VLOOKUP($A78,'R4_G2'!$A$8:$Y$17, E$2+4,FALSE),IF(COUNTIF('R4_G3'!$A$8:$A$17,$A78)=1,VLOOKUP($A78,'R4_G3'!$A$8:$Y$17, E$2+4,FALSE),IF(COUNTIF('R4_G4'!$A$8:$A$17,$A78)=1,VLOOKUP($A78,'R4_G4'!$A$8:$Y$17, E$2+4,FALSE),""))))</f>
        <v>7</v>
      </c>
      <c r="F78" s="859">
        <f>IF(COUNTIF('R4_G1'!$A$8:$A$17,$A78)=1,VLOOKUP($A78,'R4_G1'!$A$8:$Y$17, F$2+4,FALSE),IF(COUNTIF('R4_G2'!$A$8:$A$17,$A78)=1,VLOOKUP($A78,'R4_G2'!$A$8:$Y$17, F$2+4,FALSE),IF(COUNTIF('R4_G3'!$A$8:$A$17,$A78)=1,VLOOKUP($A78,'R4_G3'!$A$8:$Y$17, F$2+4,FALSE),IF(COUNTIF('R4_G4'!$A$8:$A$17,$A78)=1,VLOOKUP($A78,'R4_G4'!$A$8:$Y$17, F$2+4,FALSE),""))))</f>
        <v>8</v>
      </c>
      <c r="G78" s="859">
        <f>IF(COUNTIF('R4_G1'!$A$8:$A$17,$A78)=1,VLOOKUP($A78,'R4_G1'!$A$8:$Y$17, G$2+4,FALSE),IF(COUNTIF('R4_G2'!$A$8:$A$17,$A78)=1,VLOOKUP($A78,'R4_G2'!$A$8:$Y$17, G$2+4,FALSE),IF(COUNTIF('R4_G3'!$A$8:$A$17,$A78)=1,VLOOKUP($A78,'R4_G3'!$A$8:$Y$17, G$2+4,FALSE),IF(COUNTIF('R4_G4'!$A$8:$A$17,$A78)=1,VLOOKUP($A78,'R4_G4'!$A$8:$Y$17, G$2+4,FALSE),""))))</f>
        <v>5</v>
      </c>
      <c r="H78" s="859">
        <f>IF(COUNTIF('R4_G1'!$A$8:$A$17,$A78)=1,VLOOKUP($A78,'R4_G1'!$A$8:$Y$17, H$2+4,FALSE),IF(COUNTIF('R4_G2'!$A$8:$A$17,$A78)=1,VLOOKUP($A78,'R4_G2'!$A$8:$Y$17, H$2+4,FALSE),IF(COUNTIF('R4_G3'!$A$8:$A$17,$A78)=1,VLOOKUP($A78,'R4_G3'!$A$8:$Y$17, H$2+4,FALSE),IF(COUNTIF('R4_G4'!$A$8:$A$17,$A78)=1,VLOOKUP($A78,'R4_G4'!$A$8:$Y$17, H$2+4,FALSE),""))))</f>
        <v>5</v>
      </c>
      <c r="I78" s="859">
        <f>IF(COUNTIF('R4_G1'!$A$8:$A$17,$A78)=1,VLOOKUP($A78,'R4_G1'!$A$8:$Y$17, I$2+4,FALSE),IF(COUNTIF('R4_G2'!$A$8:$A$17,$A78)=1,VLOOKUP($A78,'R4_G2'!$A$8:$Y$17, I$2+4,FALSE),IF(COUNTIF('R4_G3'!$A$8:$A$17,$A78)=1,VLOOKUP($A78,'R4_G3'!$A$8:$Y$17, I$2+4,FALSE),IF(COUNTIF('R4_G4'!$A$8:$A$17,$A78)=1,VLOOKUP($A78,'R4_G4'!$A$8:$Y$17, I$2+4,FALSE),""))))</f>
        <v>6</v>
      </c>
      <c r="J78" s="859">
        <f>IF(COUNTIF('R4_G1'!$A$8:$A$17,$A78)=1,VLOOKUP($A78,'R4_G1'!$A$8:$Y$17, J$2+4,FALSE),IF(COUNTIF('R4_G2'!$A$8:$A$17,$A78)=1,VLOOKUP($A78,'R4_G2'!$A$8:$Y$17, J$2+4,FALSE),IF(COUNTIF('R4_G3'!$A$8:$A$17,$A78)=1,VLOOKUP($A78,'R4_G3'!$A$8:$Y$17, J$2+4,FALSE),IF(COUNTIF('R4_G4'!$A$8:$A$17,$A78)=1,VLOOKUP($A78,'R4_G4'!$A$8:$Y$17, J$2+4,FALSE),""))))</f>
        <v>7</v>
      </c>
      <c r="K78" s="859">
        <f>IF(COUNTIF('R4_G1'!$A$8:$A$17,$A78)=1,VLOOKUP($A78,'R4_G1'!$A$8:$Y$17, K$2+4,FALSE),IF(COUNTIF('R4_G2'!$A$8:$A$17,$A78)=1,VLOOKUP($A78,'R4_G2'!$A$8:$Y$17, K$2+4,FALSE),IF(COUNTIF('R4_G3'!$A$8:$A$17,$A78)=1,VLOOKUP($A78,'R4_G3'!$A$8:$Y$17, K$2+4,FALSE),IF(COUNTIF('R4_G4'!$A$8:$A$17,$A78)=1,VLOOKUP($A78,'R4_G4'!$A$8:$Y$17, K$2+4,FALSE),""))))</f>
        <v>8</v>
      </c>
      <c r="L78" s="859">
        <f>IF(COUNTIF('R4_G1'!$A$8:$A$17,$A78)=1,VLOOKUP($A78,'R4_G1'!$A$8:$Y$17, L$2+4,FALSE),IF(COUNTIF('R4_G2'!$A$8:$A$17,$A78)=1,VLOOKUP($A78,'R4_G2'!$A$8:$Y$17, L$2+4,FALSE),IF(COUNTIF('R4_G3'!$A$8:$A$17,$A78)=1,VLOOKUP($A78,'R4_G3'!$A$8:$Y$17, L$2+4,FALSE),IF(COUNTIF('R4_G4'!$A$8:$A$17,$A78)=1,VLOOKUP($A78,'R4_G4'!$A$8:$Y$17, L$2+4,FALSE),""))))</f>
        <v>6</v>
      </c>
      <c r="M78" s="859">
        <f>IF(COUNTIF('R4_G1'!$A$8:$A$17,$A78)=1,VLOOKUP($A78,'R4_G1'!$A$8:$Y$17, M$2+4,FALSE),IF(COUNTIF('R4_G2'!$A$8:$A$17,$A78)=1,VLOOKUP($A78,'R4_G2'!$A$8:$Y$17, M$2+4,FALSE),IF(COUNTIF('R4_G3'!$A$8:$A$17,$A78)=1,VLOOKUP($A78,'R4_G3'!$A$8:$Y$17, M$2+4,FALSE),IF(COUNTIF('R4_G4'!$A$8:$A$17,$A78)=1,VLOOKUP($A78,'R4_G4'!$A$8:$Y$17, M$2+4,FALSE),""))))</f>
        <v>3</v>
      </c>
      <c r="N78" s="852">
        <f>IF(COUNTIF('R4_G1'!$A$8:$A$17,$A78)=1,VLOOKUP($A78,'R4_G1'!$A$8:$Y$17, N$2+7,FALSE),IF(COUNTIF('R4_G2'!$A$8:$A$17,$A78)=1,VLOOKUP($A78,'R4_G2'!$A$8:$Y$17, N$2+7,FALSE),IF(COUNTIF('R4_G3'!$A$8:$A$17,$A78)=1,VLOOKUP($A78,'R4_G3'!$A$8:$Y$17, N$2+7,FALSE),IF(COUNTIF('R4_G4'!$A$8:$A$17,$A78)=1,VLOOKUP($A78,'R4_G4'!$A$8:$Y$17, N$2+7,FALSE),""))))</f>
        <v>5</v>
      </c>
      <c r="O78" s="852">
        <f>IF(COUNTIF('R4_G1'!$A$8:$A$17,$A78)=1,VLOOKUP($A78,'R4_G1'!$A$8:$Y$17, O$2+7,FALSE),IF(COUNTIF('R4_G2'!$A$8:$A$17,$A78)=1,VLOOKUP($A78,'R4_G2'!$A$8:$Y$17, O$2+7,FALSE),IF(COUNTIF('R4_G3'!$A$8:$A$17,$A78)=1,VLOOKUP($A78,'R4_G3'!$A$8:$Y$17, O$2+7,FALSE),IF(COUNTIF('R4_G4'!$A$8:$A$17,$A78)=1,VLOOKUP($A78,'R4_G4'!$A$8:$Y$17, O$2+7,FALSE),""))))</f>
        <v>4</v>
      </c>
      <c r="P78" s="852">
        <f>IF(COUNTIF('R4_G1'!$A$8:$A$17,$A78)=1,VLOOKUP($A78,'R4_G1'!$A$8:$Y$17, P$2+7,FALSE),IF(COUNTIF('R4_G2'!$A$8:$A$17,$A78)=1,VLOOKUP($A78,'R4_G2'!$A$8:$Y$17, P$2+7,FALSE),IF(COUNTIF('R4_G3'!$A$8:$A$17,$A78)=1,VLOOKUP($A78,'R4_G3'!$A$8:$Y$17, P$2+7,FALSE),IF(COUNTIF('R4_G4'!$A$8:$A$17,$A78)=1,VLOOKUP($A78,'R4_G4'!$A$8:$Y$17, P$2+7,FALSE),""))))</f>
        <v>4</v>
      </c>
      <c r="Q78" s="852">
        <f>IF(COUNTIF('R4_G1'!$A$8:$A$17,$A78)=1,VLOOKUP($A78,'R4_G1'!$A$8:$Y$17, Q$2+7,FALSE),IF(COUNTIF('R4_G2'!$A$8:$A$17,$A78)=1,VLOOKUP($A78,'R4_G2'!$A$8:$Y$17, Q$2+7,FALSE),IF(COUNTIF('R4_G3'!$A$8:$A$17,$A78)=1,VLOOKUP($A78,'R4_G3'!$A$8:$Y$17, Q$2+7,FALSE),IF(COUNTIF('R4_G4'!$A$8:$A$17,$A78)=1,VLOOKUP($A78,'R4_G4'!$A$8:$Y$17, Q$2+7,FALSE),""))))</f>
        <v>4</v>
      </c>
      <c r="R78" s="852">
        <f>IF(COUNTIF('R4_G1'!$A$8:$A$17,$A78)=1,VLOOKUP($A78,'R4_G1'!$A$8:$Y$17, R$2+7,FALSE),IF(COUNTIF('R4_G2'!$A$8:$A$17,$A78)=1,VLOOKUP($A78,'R4_G2'!$A$8:$Y$17, R$2+7,FALSE),IF(COUNTIF('R4_G3'!$A$8:$A$17,$A78)=1,VLOOKUP($A78,'R4_G3'!$A$8:$Y$17, R$2+7,FALSE),IF(COUNTIF('R4_G4'!$A$8:$A$17,$A78)=1,VLOOKUP($A78,'R4_G4'!$A$8:$Y$17, R$2+7,FALSE),""))))</f>
        <v>7</v>
      </c>
      <c r="S78" s="852">
        <f>IF(COUNTIF('R4_G1'!$A$8:$A$17,$A78)=1,VLOOKUP($A78,'R4_G1'!$A$8:$Y$17, S$2+7,FALSE),IF(COUNTIF('R4_G2'!$A$8:$A$17,$A78)=1,VLOOKUP($A78,'R4_G2'!$A$8:$Y$17, S$2+7,FALSE),IF(COUNTIF('R4_G3'!$A$8:$A$17,$A78)=1,VLOOKUP($A78,'R4_G3'!$A$8:$Y$17, S$2+7,FALSE),IF(COUNTIF('R4_G4'!$A$8:$A$17,$A78)=1,VLOOKUP($A78,'R4_G4'!$A$8:$Y$17, S$2+7,FALSE),""))))</f>
        <v>8</v>
      </c>
      <c r="T78" s="852">
        <f>IF(COUNTIF('R4_G1'!$A$8:$A$17,$A78)=1,VLOOKUP($A78,'R4_G1'!$A$8:$Y$17, T$2+7,FALSE),IF(COUNTIF('R4_G2'!$A$8:$A$17,$A78)=1,VLOOKUP($A78,'R4_G2'!$A$8:$Y$17, T$2+7,FALSE),IF(COUNTIF('R4_G3'!$A$8:$A$17,$A78)=1,VLOOKUP($A78,'R4_G3'!$A$8:$Y$17, T$2+7,FALSE),IF(COUNTIF('R4_G4'!$A$8:$A$17,$A78)=1,VLOOKUP($A78,'R4_G4'!$A$8:$Y$17, T$2+7,FALSE),""))))</f>
        <v>6</v>
      </c>
      <c r="U78" s="852">
        <f>IF(COUNTIF('R4_G1'!$A$8:$A$17,$A78)=1,VLOOKUP($A78,'R4_G1'!$A$8:$Y$17, U$2+7,FALSE),IF(COUNTIF('R4_G2'!$A$8:$A$17,$A78)=1,VLOOKUP($A78,'R4_G2'!$A$8:$Y$17, U$2+7,FALSE),IF(COUNTIF('R4_G3'!$A$8:$A$17,$A78)=1,VLOOKUP($A78,'R4_G3'!$A$8:$Y$17, U$2+7,FALSE),IF(COUNTIF('R4_G4'!$A$8:$A$17,$A78)=1,VLOOKUP($A78,'R4_G4'!$A$8:$Y$17, U$2+7,FALSE),""))))</f>
        <v>6</v>
      </c>
      <c r="V78" s="852">
        <f>IF(COUNTIF('R4_G1'!$A$8:$A$17,$A78)=1,VLOOKUP($A78,'R4_G1'!$A$8:$Y$17, V$2+7,FALSE),IF(COUNTIF('R4_G2'!$A$8:$A$17,$A78)=1,VLOOKUP($A78,'R4_G2'!$A$8:$Y$17, V$2+7,FALSE),IF(COUNTIF('R4_G3'!$A$8:$A$17,$A78)=1,VLOOKUP($A78,'R4_G3'!$A$8:$Y$17, V$2+7,FALSE),IF(COUNTIF('R4_G4'!$A$8:$A$17,$A78)=1,VLOOKUP($A78,'R4_G4'!$A$8:$Y$17, V$2+7,FALSE),""))))</f>
        <v>6</v>
      </c>
      <c r="W78" s="859">
        <f t="shared" si="111"/>
        <v>55</v>
      </c>
      <c r="X78" s="859">
        <f t="shared" si="112"/>
        <v>50</v>
      </c>
      <c r="Y78" s="859">
        <f t="shared" si="117"/>
        <v>105</v>
      </c>
      <c r="Z78" s="859">
        <f t="shared" ca="1" si="118"/>
        <v>96</v>
      </c>
      <c r="AA78" s="859">
        <f t="shared" si="119"/>
        <v>105</v>
      </c>
      <c r="AB78" s="947"/>
      <c r="AC78" s="857" t="str">
        <f t="shared" si="120"/>
        <v>KJ</v>
      </c>
      <c r="AD78" s="858">
        <f ca="1">VLOOKUP(AC78,'Master Input'!$A$11:$L$27,12,FALSE)</f>
        <v>9</v>
      </c>
      <c r="AE78" s="857" t="s">
        <v>198</v>
      </c>
      <c r="AF78" s="832"/>
      <c r="AG78" s="859">
        <f t="shared" ref="AG78:AX78" ca="1" si="130">IF(E78="","",E78-IF($B78&gt;0,FLOOR($B78/18,1),0)-IF(AND(MOD($B78,18)&gt;=E$75,$B78&gt;0),1,0)+IF(E$75-18&gt;$B78,1,0))</f>
        <v>7</v>
      </c>
      <c r="AH78" s="859">
        <f t="shared" ca="1" si="130"/>
        <v>7</v>
      </c>
      <c r="AI78" s="859">
        <f t="shared" ca="1" si="130"/>
        <v>5</v>
      </c>
      <c r="AJ78" s="859">
        <f t="shared" ca="1" si="130"/>
        <v>5</v>
      </c>
      <c r="AK78" s="859">
        <f t="shared" ca="1" si="130"/>
        <v>5</v>
      </c>
      <c r="AL78" s="859">
        <f t="shared" ca="1" si="130"/>
        <v>7</v>
      </c>
      <c r="AM78" s="859">
        <f t="shared" ca="1" si="130"/>
        <v>7</v>
      </c>
      <c r="AN78" s="859">
        <f t="shared" ca="1" si="130"/>
        <v>5</v>
      </c>
      <c r="AO78" s="859">
        <f t="shared" ca="1" si="130"/>
        <v>2</v>
      </c>
      <c r="AP78" s="852">
        <f t="shared" ca="1" si="130"/>
        <v>5</v>
      </c>
      <c r="AQ78" s="852">
        <f t="shared" ca="1" si="130"/>
        <v>3</v>
      </c>
      <c r="AR78" s="852">
        <f t="shared" ca="1" si="130"/>
        <v>3</v>
      </c>
      <c r="AS78" s="852">
        <f t="shared" ca="1" si="130"/>
        <v>4</v>
      </c>
      <c r="AT78" s="852">
        <f t="shared" ca="1" si="130"/>
        <v>7</v>
      </c>
      <c r="AU78" s="852">
        <f t="shared" ca="1" si="130"/>
        <v>8</v>
      </c>
      <c r="AV78" s="852">
        <f t="shared" ca="1" si="130"/>
        <v>5</v>
      </c>
      <c r="AW78" s="852">
        <f t="shared" ca="1" si="130"/>
        <v>5</v>
      </c>
      <c r="AX78" s="852">
        <f t="shared" ca="1" si="130"/>
        <v>6</v>
      </c>
      <c r="AY78" s="859">
        <f t="shared" ca="1" si="114"/>
        <v>50</v>
      </c>
      <c r="AZ78" s="859">
        <f t="shared" ca="1" si="115"/>
        <v>46</v>
      </c>
      <c r="BA78" s="859">
        <f t="shared" ca="1" si="122"/>
        <v>96</v>
      </c>
      <c r="BB78" s="857" t="str">
        <f ca="1">IF(COUNTIF('R4_G1'!$A$8:$A$17,$A78)=1, IF(AND(BA78=Z78,BA78=VLOOKUP($A78,'R4_G1'!$A$8:$AB$17, 28,FALSE)),"yes","no"),
IF(COUNTIF('R4_G2'!$A$8:$A$17,$A78)=1, IF(AND(BA78=Z78,BA78=VLOOKUP($A78,'R4_G2'!$A$8:$AB$17, 28,FALSE)),"yes","no"),
IF(COUNTIF('R4_G3'!$A$8:$A$17,$A78)=1, IF(AND(BA78=Z78,BA78=VLOOKUP($A78,'R4_G3'!$A$8:$AB$17, 28,FALSE)),"yes","no"),
IF(COUNTIF('R4_G4'!$A$8:$A$17,$A78)=1, IF(AND(BA78=Z78,BA78=VLOOKUP($A78,'R4_G4'!$A$8:$AB$17, 28,FALSE)),"yes","no"),
"?"))))</f>
        <v>yes</v>
      </c>
      <c r="BC78" s="947"/>
      <c r="BD78" s="860">
        <f t="shared" ca="1" si="123"/>
        <v>4</v>
      </c>
      <c r="BE78" s="861">
        <f t="shared" ca="1" si="124"/>
        <v>5.5333333333333341</v>
      </c>
      <c r="BF78" s="861">
        <f t="shared" ca="1" si="125"/>
        <v>0</v>
      </c>
      <c r="BG78" s="861">
        <f t="shared" ca="1" si="126"/>
        <v>3</v>
      </c>
      <c r="BH78" s="861">
        <f t="shared" ca="1" si="127"/>
        <v>2</v>
      </c>
      <c r="BI78" s="861">
        <f t="shared" ca="1" si="128"/>
        <v>4</v>
      </c>
      <c r="BJ78" s="861">
        <f t="shared" ca="1" si="129"/>
        <v>9</v>
      </c>
    </row>
    <row r="79" spans="1:62" ht="14.25" customHeight="1">
      <c r="A79" s="849" t="str">
        <f t="shared" si="116"/>
        <v>CuzNick</v>
      </c>
      <c r="B79" s="850">
        <f ca="1">VLOOKUP(A79,'Master Input'!$A$11:$L$27,12,FALSE)</f>
        <v>10</v>
      </c>
      <c r="C79" s="849"/>
      <c r="D79" s="851"/>
      <c r="E79" s="852">
        <f>IF(COUNTIF('R4_G1'!$A$8:$A$17,$A79)=1,VLOOKUP($A79,'R4_G1'!$A$8:$Y$17, E$2+4,FALSE),IF(COUNTIF('R4_G2'!$A$8:$A$17,$A79)=1,VLOOKUP($A79,'R4_G2'!$A$8:$Y$17, E$2+4,FALSE),IF(COUNTIF('R4_G3'!$A$8:$A$17,$A79)=1,VLOOKUP($A79,'R4_G3'!$A$8:$Y$17, E$2+4,FALSE),IF(COUNTIF('R4_G4'!$A$8:$A$17,$A79)=1,VLOOKUP($A79,'R4_G4'!$A$8:$Y$17, E$2+4,FALSE),""))))</f>
        <v>5</v>
      </c>
      <c r="F79" s="852">
        <f>IF(COUNTIF('R4_G1'!$A$8:$A$17,$A79)=1,VLOOKUP($A79,'R4_G1'!$A$8:$Y$17, F$2+4,FALSE),IF(COUNTIF('R4_G2'!$A$8:$A$17,$A79)=1,VLOOKUP($A79,'R4_G2'!$A$8:$Y$17, F$2+4,FALSE),IF(COUNTIF('R4_G3'!$A$8:$A$17,$A79)=1,VLOOKUP($A79,'R4_G3'!$A$8:$Y$17, F$2+4,FALSE),IF(COUNTIF('R4_G4'!$A$8:$A$17,$A79)=1,VLOOKUP($A79,'R4_G4'!$A$8:$Y$17, F$2+4,FALSE),""))))</f>
        <v>5</v>
      </c>
      <c r="G79" s="852">
        <f>IF(COUNTIF('R4_G1'!$A$8:$A$17,$A79)=1,VLOOKUP($A79,'R4_G1'!$A$8:$Y$17, G$2+4,FALSE),IF(COUNTIF('R4_G2'!$A$8:$A$17,$A79)=1,VLOOKUP($A79,'R4_G2'!$A$8:$Y$17, G$2+4,FALSE),IF(COUNTIF('R4_G3'!$A$8:$A$17,$A79)=1,VLOOKUP($A79,'R4_G3'!$A$8:$Y$17, G$2+4,FALSE),IF(COUNTIF('R4_G4'!$A$8:$A$17,$A79)=1,VLOOKUP($A79,'R4_G4'!$A$8:$Y$17, G$2+4,FALSE),""))))</f>
        <v>5</v>
      </c>
      <c r="H79" s="852">
        <f>IF(COUNTIF('R4_G1'!$A$8:$A$17,$A79)=1,VLOOKUP($A79,'R4_G1'!$A$8:$Y$17, H$2+4,FALSE),IF(COUNTIF('R4_G2'!$A$8:$A$17,$A79)=1,VLOOKUP($A79,'R4_G2'!$A$8:$Y$17, H$2+4,FALSE),IF(COUNTIF('R4_G3'!$A$8:$A$17,$A79)=1,VLOOKUP($A79,'R4_G3'!$A$8:$Y$17, H$2+4,FALSE),IF(COUNTIF('R4_G4'!$A$8:$A$17,$A79)=1,VLOOKUP($A79,'R4_G4'!$A$8:$Y$17, H$2+4,FALSE),""))))</f>
        <v>4</v>
      </c>
      <c r="I79" s="852">
        <f>IF(COUNTIF('R4_G1'!$A$8:$A$17,$A79)=1,VLOOKUP($A79,'R4_G1'!$A$8:$Y$17, I$2+4,FALSE),IF(COUNTIF('R4_G2'!$A$8:$A$17,$A79)=1,VLOOKUP($A79,'R4_G2'!$A$8:$Y$17, I$2+4,FALSE),IF(COUNTIF('R4_G3'!$A$8:$A$17,$A79)=1,VLOOKUP($A79,'R4_G3'!$A$8:$Y$17, I$2+4,FALSE),IF(COUNTIF('R4_G4'!$A$8:$A$17,$A79)=1,VLOOKUP($A79,'R4_G4'!$A$8:$Y$17, I$2+4,FALSE),""))))</f>
        <v>5</v>
      </c>
      <c r="J79" s="852">
        <f>IF(COUNTIF('R4_G1'!$A$8:$A$17,$A79)=1,VLOOKUP($A79,'R4_G1'!$A$8:$Y$17, J$2+4,FALSE),IF(COUNTIF('R4_G2'!$A$8:$A$17,$A79)=1,VLOOKUP($A79,'R4_G2'!$A$8:$Y$17, J$2+4,FALSE),IF(COUNTIF('R4_G3'!$A$8:$A$17,$A79)=1,VLOOKUP($A79,'R4_G3'!$A$8:$Y$17, J$2+4,FALSE),IF(COUNTIF('R4_G4'!$A$8:$A$17,$A79)=1,VLOOKUP($A79,'R4_G4'!$A$8:$Y$17, J$2+4,FALSE),""))))</f>
        <v>6</v>
      </c>
      <c r="K79" s="852">
        <f>IF(COUNTIF('R4_G1'!$A$8:$A$17,$A79)=1,VLOOKUP($A79,'R4_G1'!$A$8:$Y$17, K$2+4,FALSE),IF(COUNTIF('R4_G2'!$A$8:$A$17,$A79)=1,VLOOKUP($A79,'R4_G2'!$A$8:$Y$17, K$2+4,FALSE),IF(COUNTIF('R4_G3'!$A$8:$A$17,$A79)=1,VLOOKUP($A79,'R4_G3'!$A$8:$Y$17, K$2+4,FALSE),IF(COUNTIF('R4_G4'!$A$8:$A$17,$A79)=1,VLOOKUP($A79,'R4_G4'!$A$8:$Y$17, K$2+4,FALSE),""))))</f>
        <v>4</v>
      </c>
      <c r="L79" s="852">
        <f>IF(COUNTIF('R4_G1'!$A$8:$A$17,$A79)=1,VLOOKUP($A79,'R4_G1'!$A$8:$Y$17, L$2+4,FALSE),IF(COUNTIF('R4_G2'!$A$8:$A$17,$A79)=1,VLOOKUP($A79,'R4_G2'!$A$8:$Y$17, L$2+4,FALSE),IF(COUNTIF('R4_G3'!$A$8:$A$17,$A79)=1,VLOOKUP($A79,'R4_G3'!$A$8:$Y$17, L$2+4,FALSE),IF(COUNTIF('R4_G4'!$A$8:$A$17,$A79)=1,VLOOKUP($A79,'R4_G4'!$A$8:$Y$17, L$2+4,FALSE),""))))</f>
        <v>5</v>
      </c>
      <c r="M79" s="852">
        <f>IF(COUNTIF('R4_G1'!$A$8:$A$17,$A79)=1,VLOOKUP($A79,'R4_G1'!$A$8:$Y$17, M$2+4,FALSE),IF(COUNTIF('R4_G2'!$A$8:$A$17,$A79)=1,VLOOKUP($A79,'R4_G2'!$A$8:$Y$17, M$2+4,FALSE),IF(COUNTIF('R4_G3'!$A$8:$A$17,$A79)=1,VLOOKUP($A79,'R4_G3'!$A$8:$Y$17, M$2+4,FALSE),IF(COUNTIF('R4_G4'!$A$8:$A$17,$A79)=1,VLOOKUP($A79,'R4_G4'!$A$8:$Y$17, M$2+4,FALSE),""))))</f>
        <v>3</v>
      </c>
      <c r="N79" s="853">
        <f>IF(COUNTIF('R4_G1'!$A$8:$A$17,$A79)=1,VLOOKUP($A79,'R4_G1'!$A$8:$Y$17, N$2+7,FALSE),IF(COUNTIF('R4_G2'!$A$8:$A$17,$A79)=1,VLOOKUP($A79,'R4_G2'!$A$8:$Y$17, N$2+7,FALSE),IF(COUNTIF('R4_G3'!$A$8:$A$17,$A79)=1,VLOOKUP($A79,'R4_G3'!$A$8:$Y$17, N$2+7,FALSE),IF(COUNTIF('R4_G4'!$A$8:$A$17,$A79)=1,VLOOKUP($A79,'R4_G4'!$A$8:$Y$17, N$2+7,FALSE),""))))</f>
        <v>5</v>
      </c>
      <c r="O79" s="853">
        <f>IF(COUNTIF('R4_G1'!$A$8:$A$17,$A79)=1,VLOOKUP($A79,'R4_G1'!$A$8:$Y$17, O$2+7,FALSE),IF(COUNTIF('R4_G2'!$A$8:$A$17,$A79)=1,VLOOKUP($A79,'R4_G2'!$A$8:$Y$17, O$2+7,FALSE),IF(COUNTIF('R4_G3'!$A$8:$A$17,$A79)=1,VLOOKUP($A79,'R4_G3'!$A$8:$Y$17, O$2+7,FALSE),IF(COUNTIF('R4_G4'!$A$8:$A$17,$A79)=1,VLOOKUP($A79,'R4_G4'!$A$8:$Y$17, O$2+7,FALSE),""))))</f>
        <v>4</v>
      </c>
      <c r="P79" s="853">
        <f>IF(COUNTIF('R4_G1'!$A$8:$A$17,$A79)=1,VLOOKUP($A79,'R4_G1'!$A$8:$Y$17, P$2+7,FALSE),IF(COUNTIF('R4_G2'!$A$8:$A$17,$A79)=1,VLOOKUP($A79,'R4_G2'!$A$8:$Y$17, P$2+7,FALSE),IF(COUNTIF('R4_G3'!$A$8:$A$17,$A79)=1,VLOOKUP($A79,'R4_G3'!$A$8:$Y$17, P$2+7,FALSE),IF(COUNTIF('R4_G4'!$A$8:$A$17,$A79)=1,VLOOKUP($A79,'R4_G4'!$A$8:$Y$17, P$2+7,FALSE),""))))</f>
        <v>5</v>
      </c>
      <c r="Q79" s="853">
        <f>IF(COUNTIF('R4_G1'!$A$8:$A$17,$A79)=1,VLOOKUP($A79,'R4_G1'!$A$8:$Y$17, Q$2+7,FALSE),IF(COUNTIF('R4_G2'!$A$8:$A$17,$A79)=1,VLOOKUP($A79,'R4_G2'!$A$8:$Y$17, Q$2+7,FALSE),IF(COUNTIF('R4_G3'!$A$8:$A$17,$A79)=1,VLOOKUP($A79,'R4_G3'!$A$8:$Y$17, Q$2+7,FALSE),IF(COUNTIF('R4_G4'!$A$8:$A$17,$A79)=1,VLOOKUP($A79,'R4_G4'!$A$8:$Y$17, Q$2+7,FALSE),""))))</f>
        <v>3</v>
      </c>
      <c r="R79" s="853">
        <f>IF(COUNTIF('R4_G1'!$A$8:$A$17,$A79)=1,VLOOKUP($A79,'R4_G1'!$A$8:$Y$17, R$2+7,FALSE),IF(COUNTIF('R4_G2'!$A$8:$A$17,$A79)=1,VLOOKUP($A79,'R4_G2'!$A$8:$Y$17, R$2+7,FALSE),IF(COUNTIF('R4_G3'!$A$8:$A$17,$A79)=1,VLOOKUP($A79,'R4_G3'!$A$8:$Y$17, R$2+7,FALSE),IF(COUNTIF('R4_G4'!$A$8:$A$17,$A79)=1,VLOOKUP($A79,'R4_G4'!$A$8:$Y$17, R$2+7,FALSE),""))))</f>
        <v>7</v>
      </c>
      <c r="S79" s="853">
        <f>IF(COUNTIF('R4_G1'!$A$8:$A$17,$A79)=1,VLOOKUP($A79,'R4_G1'!$A$8:$Y$17, S$2+7,FALSE),IF(COUNTIF('R4_G2'!$A$8:$A$17,$A79)=1,VLOOKUP($A79,'R4_G2'!$A$8:$Y$17, S$2+7,FALSE),IF(COUNTIF('R4_G3'!$A$8:$A$17,$A79)=1,VLOOKUP($A79,'R4_G3'!$A$8:$Y$17, S$2+7,FALSE),IF(COUNTIF('R4_G4'!$A$8:$A$17,$A79)=1,VLOOKUP($A79,'R4_G4'!$A$8:$Y$17, S$2+7,FALSE),""))))</f>
        <v>5</v>
      </c>
      <c r="T79" s="853">
        <f>IF(COUNTIF('R4_G1'!$A$8:$A$17,$A79)=1,VLOOKUP($A79,'R4_G1'!$A$8:$Y$17, T$2+7,FALSE),IF(COUNTIF('R4_G2'!$A$8:$A$17,$A79)=1,VLOOKUP($A79,'R4_G2'!$A$8:$Y$17, T$2+7,FALSE),IF(COUNTIF('R4_G3'!$A$8:$A$17,$A79)=1,VLOOKUP($A79,'R4_G3'!$A$8:$Y$17, T$2+7,FALSE),IF(COUNTIF('R4_G4'!$A$8:$A$17,$A79)=1,VLOOKUP($A79,'R4_G4'!$A$8:$Y$17, T$2+7,FALSE),""))))</f>
        <v>5</v>
      </c>
      <c r="U79" s="853">
        <f>IF(COUNTIF('R4_G1'!$A$8:$A$17,$A79)=1,VLOOKUP($A79,'R4_G1'!$A$8:$Y$17, U$2+7,FALSE),IF(COUNTIF('R4_G2'!$A$8:$A$17,$A79)=1,VLOOKUP($A79,'R4_G2'!$A$8:$Y$17, U$2+7,FALSE),IF(COUNTIF('R4_G3'!$A$8:$A$17,$A79)=1,VLOOKUP($A79,'R4_G3'!$A$8:$Y$17, U$2+7,FALSE),IF(COUNTIF('R4_G4'!$A$8:$A$17,$A79)=1,VLOOKUP($A79,'R4_G4'!$A$8:$Y$17, U$2+7,FALSE),""))))</f>
        <v>5</v>
      </c>
      <c r="V79" s="853">
        <f>IF(COUNTIF('R4_G1'!$A$8:$A$17,$A79)=1,VLOOKUP($A79,'R4_G1'!$A$8:$Y$17, V$2+7,FALSE),IF(COUNTIF('R4_G2'!$A$8:$A$17,$A79)=1,VLOOKUP($A79,'R4_G2'!$A$8:$Y$17, V$2+7,FALSE),IF(COUNTIF('R4_G3'!$A$8:$A$17,$A79)=1,VLOOKUP($A79,'R4_G3'!$A$8:$Y$17, V$2+7,FALSE),IF(COUNTIF('R4_G4'!$A$8:$A$17,$A79)=1,VLOOKUP($A79,'R4_G4'!$A$8:$Y$17, V$2+7,FALSE),""))))</f>
        <v>8</v>
      </c>
      <c r="W79" s="852">
        <f t="shared" si="111"/>
        <v>42</v>
      </c>
      <c r="X79" s="852">
        <f t="shared" si="112"/>
        <v>47</v>
      </c>
      <c r="Y79" s="852">
        <f t="shared" si="117"/>
        <v>89</v>
      </c>
      <c r="Z79" s="852">
        <f t="shared" ca="1" si="118"/>
        <v>79</v>
      </c>
      <c r="AA79" s="859">
        <f t="shared" si="119"/>
        <v>89</v>
      </c>
      <c r="AB79" s="947"/>
      <c r="AC79" s="849" t="str">
        <f t="shared" si="120"/>
        <v>CuzNick</v>
      </c>
      <c r="AD79" s="850">
        <f ca="1">VLOOKUP(AC79,'Master Input'!$A$11:$L$27,12,FALSE)</f>
        <v>10</v>
      </c>
      <c r="AE79" s="849" t="s">
        <v>198</v>
      </c>
      <c r="AF79" s="832"/>
      <c r="AG79" s="852">
        <f t="shared" ref="AG79:AX79" ca="1" si="131">IF(E79="","",E79-IF($B79&gt;0,FLOOR($B79/18,1),0)-IF(AND(MOD($B79,18)&gt;=E$75,$B79&gt;0),1,0)+IF(E$75-18&gt;$B79,1,0))</f>
        <v>5</v>
      </c>
      <c r="AH79" s="852">
        <f t="shared" ca="1" si="131"/>
        <v>4</v>
      </c>
      <c r="AI79" s="852">
        <f t="shared" ca="1" si="131"/>
        <v>5</v>
      </c>
      <c r="AJ79" s="852">
        <f t="shared" ca="1" si="131"/>
        <v>4</v>
      </c>
      <c r="AK79" s="852">
        <f t="shared" ca="1" si="131"/>
        <v>4</v>
      </c>
      <c r="AL79" s="852">
        <f t="shared" ca="1" si="131"/>
        <v>6</v>
      </c>
      <c r="AM79" s="852">
        <f t="shared" ca="1" si="131"/>
        <v>3</v>
      </c>
      <c r="AN79" s="852">
        <f t="shared" ca="1" si="131"/>
        <v>4</v>
      </c>
      <c r="AO79" s="852">
        <f t="shared" ca="1" si="131"/>
        <v>2</v>
      </c>
      <c r="AP79" s="853">
        <f t="shared" ca="1" si="131"/>
        <v>5</v>
      </c>
      <c r="AQ79" s="853">
        <f t="shared" ca="1" si="131"/>
        <v>3</v>
      </c>
      <c r="AR79" s="853">
        <f t="shared" ca="1" si="131"/>
        <v>4</v>
      </c>
      <c r="AS79" s="853">
        <f t="shared" ca="1" si="131"/>
        <v>3</v>
      </c>
      <c r="AT79" s="853">
        <f t="shared" ca="1" si="131"/>
        <v>7</v>
      </c>
      <c r="AU79" s="853">
        <f t="shared" ca="1" si="131"/>
        <v>5</v>
      </c>
      <c r="AV79" s="853">
        <f t="shared" ca="1" si="131"/>
        <v>4</v>
      </c>
      <c r="AW79" s="853">
        <f t="shared" ca="1" si="131"/>
        <v>4</v>
      </c>
      <c r="AX79" s="853">
        <f t="shared" ca="1" si="131"/>
        <v>7</v>
      </c>
      <c r="AY79" s="852">
        <f t="shared" ca="1" si="114"/>
        <v>37</v>
      </c>
      <c r="AZ79" s="852">
        <f t="shared" ca="1" si="115"/>
        <v>42</v>
      </c>
      <c r="BA79" s="852">
        <f t="shared" ca="1" si="122"/>
        <v>79</v>
      </c>
      <c r="BB79" s="849" t="str">
        <f ca="1">IF(COUNTIF('R4_G1'!$A$8:$A$17,$A79)=1, IF(AND(BA79=Z79,BA79=VLOOKUP($A79,'R4_G1'!$A$8:$AB$17, 28,FALSE)),"yes","no"),
IF(COUNTIF('R4_G2'!$A$8:$A$17,$A79)=1, IF(AND(BA79=Z79,BA79=VLOOKUP($A79,'R4_G2'!$A$8:$AB$17, 28,FALSE)),"yes","no"),
IF(COUNTIF('R4_G3'!$A$8:$A$17,$A79)=1, IF(AND(BA79=Z79,BA79=VLOOKUP($A79,'R4_G3'!$A$8:$AB$17, 28,FALSE)),"yes","no"),
IF(COUNTIF('R4_G4'!$A$8:$A$17,$A79)=1, IF(AND(BA79=Z79,BA79=VLOOKUP($A79,'R4_G4'!$A$8:$AB$17, 28,FALSE)),"yes","no"),
"?"))))</f>
        <v>yes</v>
      </c>
      <c r="BC79" s="947"/>
      <c r="BD79" s="862">
        <f t="shared" ca="1" si="123"/>
        <v>7.5</v>
      </c>
      <c r="BE79" s="855">
        <f t="shared" ca="1" si="124"/>
        <v>9.4333333333333336</v>
      </c>
      <c r="BF79" s="855">
        <f t="shared" ca="1" si="125"/>
        <v>0</v>
      </c>
      <c r="BG79" s="855">
        <f t="shared" ca="1" si="126"/>
        <v>3</v>
      </c>
      <c r="BH79" s="855">
        <f t="shared" ca="1" si="127"/>
        <v>9</v>
      </c>
      <c r="BI79" s="855">
        <f t="shared" ca="1" si="128"/>
        <v>4</v>
      </c>
      <c r="BJ79" s="855">
        <f t="shared" ca="1" si="129"/>
        <v>2</v>
      </c>
    </row>
    <row r="80" spans="1:62" ht="14.25" customHeight="1">
      <c r="A80" s="857" t="str">
        <f t="shared" si="116"/>
        <v>R-Mac</v>
      </c>
      <c r="B80" s="858">
        <f ca="1">VLOOKUP(A80,'Master Input'!$A$11:$L$27,12,FALSE)</f>
        <v>9</v>
      </c>
      <c r="C80" s="857"/>
      <c r="D80" s="851"/>
      <c r="E80" s="859">
        <f>IF(COUNTIF('R4_G1'!$A$8:$A$17,$A80)=1,VLOOKUP($A80,'R4_G1'!$A$8:$Y$17, E$2+4,FALSE),IF(COUNTIF('R4_G2'!$A$8:$A$17,$A80)=1,VLOOKUP($A80,'R4_G2'!$A$8:$Y$17, E$2+4,FALSE),IF(COUNTIF('R4_G3'!$A$8:$A$17,$A80)=1,VLOOKUP($A80,'R4_G3'!$A$8:$Y$17, E$2+4,FALSE),IF(COUNTIF('R4_G4'!$A$8:$A$17,$A80)=1,VLOOKUP($A80,'R4_G4'!$A$8:$Y$17, E$2+4,FALSE),""))))</f>
        <v>4</v>
      </c>
      <c r="F80" s="859">
        <f>IF(COUNTIF('R4_G1'!$A$8:$A$17,$A80)=1,VLOOKUP($A80,'R4_G1'!$A$8:$Y$17, F$2+4,FALSE),IF(COUNTIF('R4_G2'!$A$8:$A$17,$A80)=1,VLOOKUP($A80,'R4_G2'!$A$8:$Y$17, F$2+4,FALSE),IF(COUNTIF('R4_G3'!$A$8:$A$17,$A80)=1,VLOOKUP($A80,'R4_G3'!$A$8:$Y$17, F$2+4,FALSE),IF(COUNTIF('R4_G4'!$A$8:$A$17,$A80)=1,VLOOKUP($A80,'R4_G4'!$A$8:$Y$17, F$2+4,FALSE),""))))</f>
        <v>5</v>
      </c>
      <c r="G80" s="859">
        <f>IF(COUNTIF('R4_G1'!$A$8:$A$17,$A80)=1,VLOOKUP($A80,'R4_G1'!$A$8:$Y$17, G$2+4,FALSE),IF(COUNTIF('R4_G2'!$A$8:$A$17,$A80)=1,VLOOKUP($A80,'R4_G2'!$A$8:$Y$17, G$2+4,FALSE),IF(COUNTIF('R4_G3'!$A$8:$A$17,$A80)=1,VLOOKUP($A80,'R4_G3'!$A$8:$Y$17, G$2+4,FALSE),IF(COUNTIF('R4_G4'!$A$8:$A$17,$A80)=1,VLOOKUP($A80,'R4_G4'!$A$8:$Y$17, G$2+4,FALSE),""))))</f>
        <v>8</v>
      </c>
      <c r="H80" s="859">
        <f>IF(COUNTIF('R4_G1'!$A$8:$A$17,$A80)=1,VLOOKUP($A80,'R4_G1'!$A$8:$Y$17, H$2+4,FALSE),IF(COUNTIF('R4_G2'!$A$8:$A$17,$A80)=1,VLOOKUP($A80,'R4_G2'!$A$8:$Y$17, H$2+4,FALSE),IF(COUNTIF('R4_G3'!$A$8:$A$17,$A80)=1,VLOOKUP($A80,'R4_G3'!$A$8:$Y$17, H$2+4,FALSE),IF(COUNTIF('R4_G4'!$A$8:$A$17,$A80)=1,VLOOKUP($A80,'R4_G4'!$A$8:$Y$17, H$2+4,FALSE),""))))</f>
        <v>4</v>
      </c>
      <c r="I80" s="859">
        <f>IF(COUNTIF('R4_G1'!$A$8:$A$17,$A80)=1,VLOOKUP($A80,'R4_G1'!$A$8:$Y$17, I$2+4,FALSE),IF(COUNTIF('R4_G2'!$A$8:$A$17,$A80)=1,VLOOKUP($A80,'R4_G2'!$A$8:$Y$17, I$2+4,FALSE),IF(COUNTIF('R4_G3'!$A$8:$A$17,$A80)=1,VLOOKUP($A80,'R4_G3'!$A$8:$Y$17, I$2+4,FALSE),IF(COUNTIF('R4_G4'!$A$8:$A$17,$A80)=1,VLOOKUP($A80,'R4_G4'!$A$8:$Y$17, I$2+4,FALSE),""))))</f>
        <v>7</v>
      </c>
      <c r="J80" s="859">
        <f>IF(COUNTIF('R4_G1'!$A$8:$A$17,$A80)=1,VLOOKUP($A80,'R4_G1'!$A$8:$Y$17, J$2+4,FALSE),IF(COUNTIF('R4_G2'!$A$8:$A$17,$A80)=1,VLOOKUP($A80,'R4_G2'!$A$8:$Y$17, J$2+4,FALSE),IF(COUNTIF('R4_G3'!$A$8:$A$17,$A80)=1,VLOOKUP($A80,'R4_G3'!$A$8:$Y$17, J$2+4,FALSE),IF(COUNTIF('R4_G4'!$A$8:$A$17,$A80)=1,VLOOKUP($A80,'R4_G4'!$A$8:$Y$17, J$2+4,FALSE),""))))</f>
        <v>6</v>
      </c>
      <c r="K80" s="859">
        <f>IF(COUNTIF('R4_G1'!$A$8:$A$17,$A80)=1,VLOOKUP($A80,'R4_G1'!$A$8:$Y$17, K$2+4,FALSE),IF(COUNTIF('R4_G2'!$A$8:$A$17,$A80)=1,VLOOKUP($A80,'R4_G2'!$A$8:$Y$17, K$2+4,FALSE),IF(COUNTIF('R4_G3'!$A$8:$A$17,$A80)=1,VLOOKUP($A80,'R4_G3'!$A$8:$Y$17, K$2+4,FALSE),IF(COUNTIF('R4_G4'!$A$8:$A$17,$A80)=1,VLOOKUP($A80,'R4_G4'!$A$8:$Y$17, K$2+4,FALSE),""))))</f>
        <v>5</v>
      </c>
      <c r="L80" s="859">
        <f>IF(COUNTIF('R4_G1'!$A$8:$A$17,$A80)=1,VLOOKUP($A80,'R4_G1'!$A$8:$Y$17, L$2+4,FALSE),IF(COUNTIF('R4_G2'!$A$8:$A$17,$A80)=1,VLOOKUP($A80,'R4_G2'!$A$8:$Y$17, L$2+4,FALSE),IF(COUNTIF('R4_G3'!$A$8:$A$17,$A80)=1,VLOOKUP($A80,'R4_G3'!$A$8:$Y$17, L$2+4,FALSE),IF(COUNTIF('R4_G4'!$A$8:$A$17,$A80)=1,VLOOKUP($A80,'R4_G4'!$A$8:$Y$17, L$2+4,FALSE),""))))</f>
        <v>5</v>
      </c>
      <c r="M80" s="859">
        <f>IF(COUNTIF('R4_G1'!$A$8:$A$17,$A80)=1,VLOOKUP($A80,'R4_G1'!$A$8:$Y$17, M$2+4,FALSE),IF(COUNTIF('R4_G2'!$A$8:$A$17,$A80)=1,VLOOKUP($A80,'R4_G2'!$A$8:$Y$17, M$2+4,FALSE),IF(COUNTIF('R4_G3'!$A$8:$A$17,$A80)=1,VLOOKUP($A80,'R4_G3'!$A$8:$Y$17, M$2+4,FALSE),IF(COUNTIF('R4_G4'!$A$8:$A$17,$A80)=1,VLOOKUP($A80,'R4_G4'!$A$8:$Y$17, M$2+4,FALSE),""))))</f>
        <v>4</v>
      </c>
      <c r="N80" s="852">
        <f>IF(COUNTIF('R4_G1'!$A$8:$A$17,$A80)=1,VLOOKUP($A80,'R4_G1'!$A$8:$Y$17, N$2+7,FALSE),IF(COUNTIF('R4_G2'!$A$8:$A$17,$A80)=1,VLOOKUP($A80,'R4_G2'!$A$8:$Y$17, N$2+7,FALSE),IF(COUNTIF('R4_G3'!$A$8:$A$17,$A80)=1,VLOOKUP($A80,'R4_G3'!$A$8:$Y$17, N$2+7,FALSE),IF(COUNTIF('R4_G4'!$A$8:$A$17,$A80)=1,VLOOKUP($A80,'R4_G4'!$A$8:$Y$17, N$2+7,FALSE),""))))</f>
        <v>5</v>
      </c>
      <c r="O80" s="852">
        <f>IF(COUNTIF('R4_G1'!$A$8:$A$17,$A80)=1,VLOOKUP($A80,'R4_G1'!$A$8:$Y$17, O$2+7,FALSE),IF(COUNTIF('R4_G2'!$A$8:$A$17,$A80)=1,VLOOKUP($A80,'R4_G2'!$A$8:$Y$17, O$2+7,FALSE),IF(COUNTIF('R4_G3'!$A$8:$A$17,$A80)=1,VLOOKUP($A80,'R4_G3'!$A$8:$Y$17, O$2+7,FALSE),IF(COUNTIF('R4_G4'!$A$8:$A$17,$A80)=1,VLOOKUP($A80,'R4_G4'!$A$8:$Y$17, O$2+7,FALSE),""))))</f>
        <v>5</v>
      </c>
      <c r="P80" s="852">
        <f>IF(COUNTIF('R4_G1'!$A$8:$A$17,$A80)=1,VLOOKUP($A80,'R4_G1'!$A$8:$Y$17, P$2+7,FALSE),IF(COUNTIF('R4_G2'!$A$8:$A$17,$A80)=1,VLOOKUP($A80,'R4_G2'!$A$8:$Y$17, P$2+7,FALSE),IF(COUNTIF('R4_G3'!$A$8:$A$17,$A80)=1,VLOOKUP($A80,'R4_G3'!$A$8:$Y$17, P$2+7,FALSE),IF(COUNTIF('R4_G4'!$A$8:$A$17,$A80)=1,VLOOKUP($A80,'R4_G4'!$A$8:$Y$17, P$2+7,FALSE),""))))</f>
        <v>5</v>
      </c>
      <c r="Q80" s="852">
        <f>IF(COUNTIF('R4_G1'!$A$8:$A$17,$A80)=1,VLOOKUP($A80,'R4_G1'!$A$8:$Y$17, Q$2+7,FALSE),IF(COUNTIF('R4_G2'!$A$8:$A$17,$A80)=1,VLOOKUP($A80,'R4_G2'!$A$8:$Y$17, Q$2+7,FALSE),IF(COUNTIF('R4_G3'!$A$8:$A$17,$A80)=1,VLOOKUP($A80,'R4_G3'!$A$8:$Y$17, Q$2+7,FALSE),IF(COUNTIF('R4_G4'!$A$8:$A$17,$A80)=1,VLOOKUP($A80,'R4_G4'!$A$8:$Y$17, Q$2+7,FALSE),""))))</f>
        <v>4</v>
      </c>
      <c r="R80" s="852">
        <f>IF(COUNTIF('R4_G1'!$A$8:$A$17,$A80)=1,VLOOKUP($A80,'R4_G1'!$A$8:$Y$17, R$2+7,FALSE),IF(COUNTIF('R4_G2'!$A$8:$A$17,$A80)=1,VLOOKUP($A80,'R4_G2'!$A$8:$Y$17, R$2+7,FALSE),IF(COUNTIF('R4_G3'!$A$8:$A$17,$A80)=1,VLOOKUP($A80,'R4_G3'!$A$8:$Y$17, R$2+7,FALSE),IF(COUNTIF('R4_G4'!$A$8:$A$17,$A80)=1,VLOOKUP($A80,'R4_G4'!$A$8:$Y$17, R$2+7,FALSE),""))))</f>
        <v>5</v>
      </c>
      <c r="S80" s="852">
        <f>IF(COUNTIF('R4_G1'!$A$8:$A$17,$A80)=1,VLOOKUP($A80,'R4_G1'!$A$8:$Y$17, S$2+7,FALSE),IF(COUNTIF('R4_G2'!$A$8:$A$17,$A80)=1,VLOOKUP($A80,'R4_G2'!$A$8:$Y$17, S$2+7,FALSE),IF(COUNTIF('R4_G3'!$A$8:$A$17,$A80)=1,VLOOKUP($A80,'R4_G3'!$A$8:$Y$17, S$2+7,FALSE),IF(COUNTIF('R4_G4'!$A$8:$A$17,$A80)=1,VLOOKUP($A80,'R4_G4'!$A$8:$Y$17, S$2+7,FALSE),""))))</f>
        <v>5</v>
      </c>
      <c r="T80" s="852">
        <f>IF(COUNTIF('R4_G1'!$A$8:$A$17,$A80)=1,VLOOKUP($A80,'R4_G1'!$A$8:$Y$17, T$2+7,FALSE),IF(COUNTIF('R4_G2'!$A$8:$A$17,$A80)=1,VLOOKUP($A80,'R4_G2'!$A$8:$Y$17, T$2+7,FALSE),IF(COUNTIF('R4_G3'!$A$8:$A$17,$A80)=1,VLOOKUP($A80,'R4_G3'!$A$8:$Y$17, T$2+7,FALSE),IF(COUNTIF('R4_G4'!$A$8:$A$17,$A80)=1,VLOOKUP($A80,'R4_G4'!$A$8:$Y$17, T$2+7,FALSE),""))))</f>
        <v>4</v>
      </c>
      <c r="U80" s="852">
        <f>IF(COUNTIF('R4_G1'!$A$8:$A$17,$A80)=1,VLOOKUP($A80,'R4_G1'!$A$8:$Y$17, U$2+7,FALSE),IF(COUNTIF('R4_G2'!$A$8:$A$17,$A80)=1,VLOOKUP($A80,'R4_G2'!$A$8:$Y$17, U$2+7,FALSE),IF(COUNTIF('R4_G3'!$A$8:$A$17,$A80)=1,VLOOKUP($A80,'R4_G3'!$A$8:$Y$17, U$2+7,FALSE),IF(COUNTIF('R4_G4'!$A$8:$A$17,$A80)=1,VLOOKUP($A80,'R4_G4'!$A$8:$Y$17, U$2+7,FALSE),""))))</f>
        <v>4</v>
      </c>
      <c r="V80" s="852">
        <f>IF(COUNTIF('R4_G1'!$A$8:$A$17,$A80)=1,VLOOKUP($A80,'R4_G1'!$A$8:$Y$17, V$2+7,FALSE),IF(COUNTIF('R4_G2'!$A$8:$A$17,$A80)=1,VLOOKUP($A80,'R4_G2'!$A$8:$Y$17, V$2+7,FALSE),IF(COUNTIF('R4_G3'!$A$8:$A$17,$A80)=1,VLOOKUP($A80,'R4_G3'!$A$8:$Y$17, V$2+7,FALSE),IF(COUNTIF('R4_G4'!$A$8:$A$17,$A80)=1,VLOOKUP($A80,'R4_G4'!$A$8:$Y$17, V$2+7,FALSE),""))))</f>
        <v>4</v>
      </c>
      <c r="W80" s="859">
        <f t="shared" si="111"/>
        <v>48</v>
      </c>
      <c r="X80" s="859">
        <f t="shared" si="112"/>
        <v>41</v>
      </c>
      <c r="Y80" s="859">
        <f t="shared" si="117"/>
        <v>89</v>
      </c>
      <c r="Z80" s="859">
        <f t="shared" ca="1" si="118"/>
        <v>80</v>
      </c>
      <c r="AA80" s="859">
        <f t="shared" si="119"/>
        <v>89</v>
      </c>
      <c r="AB80" s="947"/>
      <c r="AC80" s="857" t="str">
        <f t="shared" si="120"/>
        <v>R-Mac</v>
      </c>
      <c r="AD80" s="858">
        <f ca="1">VLOOKUP(AC80,'Master Input'!$A$11:$L$27,12,FALSE)</f>
        <v>9</v>
      </c>
      <c r="AE80" s="857" t="s">
        <v>198</v>
      </c>
      <c r="AF80" s="832"/>
      <c r="AG80" s="859">
        <f t="shared" ref="AG80:AX80" ca="1" si="132">IF(E80="","",E80-IF($B80&gt;0,FLOOR($B80/18,1),0)-IF(AND(MOD($B80,18)&gt;=E$75,$B80&gt;0),1,0)+IF(E$75-18&gt;$B80,1,0))</f>
        <v>4</v>
      </c>
      <c r="AH80" s="859">
        <f t="shared" ca="1" si="132"/>
        <v>4</v>
      </c>
      <c r="AI80" s="859">
        <f t="shared" ca="1" si="132"/>
        <v>8</v>
      </c>
      <c r="AJ80" s="859">
        <f t="shared" ca="1" si="132"/>
        <v>4</v>
      </c>
      <c r="AK80" s="859">
        <f t="shared" ca="1" si="132"/>
        <v>6</v>
      </c>
      <c r="AL80" s="859">
        <f t="shared" ca="1" si="132"/>
        <v>6</v>
      </c>
      <c r="AM80" s="859">
        <f t="shared" ca="1" si="132"/>
        <v>4</v>
      </c>
      <c r="AN80" s="859">
        <f t="shared" ca="1" si="132"/>
        <v>4</v>
      </c>
      <c r="AO80" s="859">
        <f t="shared" ca="1" si="132"/>
        <v>3</v>
      </c>
      <c r="AP80" s="852">
        <f t="shared" ca="1" si="132"/>
        <v>5</v>
      </c>
      <c r="AQ80" s="852">
        <f t="shared" ca="1" si="132"/>
        <v>4</v>
      </c>
      <c r="AR80" s="852">
        <f t="shared" ca="1" si="132"/>
        <v>4</v>
      </c>
      <c r="AS80" s="852">
        <f t="shared" ca="1" si="132"/>
        <v>4</v>
      </c>
      <c r="AT80" s="852">
        <f t="shared" ca="1" si="132"/>
        <v>5</v>
      </c>
      <c r="AU80" s="852">
        <f t="shared" ca="1" si="132"/>
        <v>5</v>
      </c>
      <c r="AV80" s="852">
        <f t="shared" ca="1" si="132"/>
        <v>3</v>
      </c>
      <c r="AW80" s="852">
        <f t="shared" ca="1" si="132"/>
        <v>3</v>
      </c>
      <c r="AX80" s="852">
        <f t="shared" ca="1" si="132"/>
        <v>4</v>
      </c>
      <c r="AY80" s="859">
        <f t="shared" ca="1" si="114"/>
        <v>43</v>
      </c>
      <c r="AZ80" s="859">
        <f t="shared" ca="1" si="115"/>
        <v>37</v>
      </c>
      <c r="BA80" s="859">
        <f t="shared" ca="1" si="122"/>
        <v>80</v>
      </c>
      <c r="BB80" s="857" t="str">
        <f ca="1">IF(COUNTIF('R4_G1'!$A$8:$A$17,$A80)=1, IF(AND(BA80=Z80,BA80=VLOOKUP($A80,'R4_G1'!$A$8:$AB$17, 28,FALSE)),"yes","no"),
IF(COUNTIF('R4_G2'!$A$8:$A$17,$A80)=1, IF(AND(BA80=Z80,BA80=VLOOKUP($A80,'R4_G2'!$A$8:$AB$17, 28,FALSE)),"yes","no"),
IF(COUNTIF('R4_G3'!$A$8:$A$17,$A80)=1, IF(AND(BA80=Z80,BA80=VLOOKUP($A80,'R4_G3'!$A$8:$AB$17, 28,FALSE)),"yes","no"),
IF(COUNTIF('R4_G4'!$A$8:$A$17,$A80)=1, IF(AND(BA80=Z80,BA80=VLOOKUP($A80,'R4_G4'!$A$8:$AB$17, 28,FALSE)),"yes","no"),
"?"))))</f>
        <v>yes</v>
      </c>
      <c r="BC80" s="947"/>
      <c r="BD80" s="860">
        <f t="shared" ca="1" si="123"/>
        <v>6.5</v>
      </c>
      <c r="BE80" s="861">
        <f t="shared" ca="1" si="124"/>
        <v>9.1666666666666696</v>
      </c>
      <c r="BF80" s="861">
        <f t="shared" ca="1" si="125"/>
        <v>0</v>
      </c>
      <c r="BG80" s="861">
        <f t="shared" ca="1" si="126"/>
        <v>1</v>
      </c>
      <c r="BH80" s="861">
        <f t="shared" ca="1" si="127"/>
        <v>11</v>
      </c>
      <c r="BI80" s="861">
        <f t="shared" ca="1" si="128"/>
        <v>4</v>
      </c>
      <c r="BJ80" s="861">
        <f t="shared" ca="1" si="129"/>
        <v>2</v>
      </c>
    </row>
    <row r="81" spans="1:62" ht="14.25" customHeight="1">
      <c r="A81" s="849" t="str">
        <f t="shared" si="116"/>
        <v>House</v>
      </c>
      <c r="B81" s="850">
        <f ca="1">VLOOKUP(A81,'Master Input'!$A$11:$L$27,12,FALSE)</f>
        <v>9</v>
      </c>
      <c r="C81" s="849"/>
      <c r="D81" s="851"/>
      <c r="E81" s="852">
        <f>IF(COUNTIF('R4_G1'!$A$8:$A$17,$A81)=1,VLOOKUP($A81,'R4_G1'!$A$8:$Y$17, E$2+4,FALSE),IF(COUNTIF('R4_G2'!$A$8:$A$17,$A81)=1,VLOOKUP($A81,'R4_G2'!$A$8:$Y$17, E$2+4,FALSE),IF(COUNTIF('R4_G3'!$A$8:$A$17,$A81)=1,VLOOKUP($A81,'R4_G3'!$A$8:$Y$17, E$2+4,FALSE),IF(COUNTIF('R4_G4'!$A$8:$A$17,$A81)=1,VLOOKUP($A81,'R4_G4'!$A$8:$Y$17, E$2+4,FALSE),""))))</f>
        <v>4</v>
      </c>
      <c r="F81" s="852">
        <f>IF(COUNTIF('R4_G1'!$A$8:$A$17,$A81)=1,VLOOKUP($A81,'R4_G1'!$A$8:$Y$17, F$2+4,FALSE),IF(COUNTIF('R4_G2'!$A$8:$A$17,$A81)=1,VLOOKUP($A81,'R4_G2'!$A$8:$Y$17, F$2+4,FALSE),IF(COUNTIF('R4_G3'!$A$8:$A$17,$A81)=1,VLOOKUP($A81,'R4_G3'!$A$8:$Y$17, F$2+4,FALSE),IF(COUNTIF('R4_G4'!$A$8:$A$17,$A81)=1,VLOOKUP($A81,'R4_G4'!$A$8:$Y$17, F$2+4,FALSE),""))))</f>
        <v>4</v>
      </c>
      <c r="G81" s="852">
        <f>IF(COUNTIF('R4_G1'!$A$8:$A$17,$A81)=1,VLOOKUP($A81,'R4_G1'!$A$8:$Y$17, G$2+4,FALSE),IF(COUNTIF('R4_G2'!$A$8:$A$17,$A81)=1,VLOOKUP($A81,'R4_G2'!$A$8:$Y$17, G$2+4,FALSE),IF(COUNTIF('R4_G3'!$A$8:$A$17,$A81)=1,VLOOKUP($A81,'R4_G3'!$A$8:$Y$17, G$2+4,FALSE),IF(COUNTIF('R4_G4'!$A$8:$A$17,$A81)=1,VLOOKUP($A81,'R4_G4'!$A$8:$Y$17, G$2+4,FALSE),""))))</f>
        <v>4</v>
      </c>
      <c r="H81" s="852">
        <f>IF(COUNTIF('R4_G1'!$A$8:$A$17,$A81)=1,VLOOKUP($A81,'R4_G1'!$A$8:$Y$17, H$2+4,FALSE),IF(COUNTIF('R4_G2'!$A$8:$A$17,$A81)=1,VLOOKUP($A81,'R4_G2'!$A$8:$Y$17, H$2+4,FALSE),IF(COUNTIF('R4_G3'!$A$8:$A$17,$A81)=1,VLOOKUP($A81,'R4_G3'!$A$8:$Y$17, H$2+4,FALSE),IF(COUNTIF('R4_G4'!$A$8:$A$17,$A81)=1,VLOOKUP($A81,'R4_G4'!$A$8:$Y$17, H$2+4,FALSE),""))))</f>
        <v>3</v>
      </c>
      <c r="I81" s="852">
        <f>IF(COUNTIF('R4_G1'!$A$8:$A$17,$A81)=1,VLOOKUP($A81,'R4_G1'!$A$8:$Y$17, I$2+4,FALSE),IF(COUNTIF('R4_G2'!$A$8:$A$17,$A81)=1,VLOOKUP($A81,'R4_G2'!$A$8:$Y$17, I$2+4,FALSE),IF(COUNTIF('R4_G3'!$A$8:$A$17,$A81)=1,VLOOKUP($A81,'R4_G3'!$A$8:$Y$17, I$2+4,FALSE),IF(COUNTIF('R4_G4'!$A$8:$A$17,$A81)=1,VLOOKUP($A81,'R4_G4'!$A$8:$Y$17, I$2+4,FALSE),""))))</f>
        <v>7</v>
      </c>
      <c r="J81" s="852">
        <f>IF(COUNTIF('R4_G1'!$A$8:$A$17,$A81)=1,VLOOKUP($A81,'R4_G1'!$A$8:$Y$17, J$2+4,FALSE),IF(COUNTIF('R4_G2'!$A$8:$A$17,$A81)=1,VLOOKUP($A81,'R4_G2'!$A$8:$Y$17, J$2+4,FALSE),IF(COUNTIF('R4_G3'!$A$8:$A$17,$A81)=1,VLOOKUP($A81,'R4_G3'!$A$8:$Y$17, J$2+4,FALSE),IF(COUNTIF('R4_G4'!$A$8:$A$17,$A81)=1,VLOOKUP($A81,'R4_G4'!$A$8:$Y$17, J$2+4,FALSE),""))))</f>
        <v>5</v>
      </c>
      <c r="K81" s="852">
        <f>IF(COUNTIF('R4_G1'!$A$8:$A$17,$A81)=1,VLOOKUP($A81,'R4_G1'!$A$8:$Y$17, K$2+4,FALSE),IF(COUNTIF('R4_G2'!$A$8:$A$17,$A81)=1,VLOOKUP($A81,'R4_G2'!$A$8:$Y$17, K$2+4,FALSE),IF(COUNTIF('R4_G3'!$A$8:$A$17,$A81)=1,VLOOKUP($A81,'R4_G3'!$A$8:$Y$17, K$2+4,FALSE),IF(COUNTIF('R4_G4'!$A$8:$A$17,$A81)=1,VLOOKUP($A81,'R4_G4'!$A$8:$Y$17, K$2+4,FALSE),""))))</f>
        <v>6</v>
      </c>
      <c r="L81" s="852">
        <f>IF(COUNTIF('R4_G1'!$A$8:$A$17,$A81)=1,VLOOKUP($A81,'R4_G1'!$A$8:$Y$17, L$2+4,FALSE),IF(COUNTIF('R4_G2'!$A$8:$A$17,$A81)=1,VLOOKUP($A81,'R4_G2'!$A$8:$Y$17, L$2+4,FALSE),IF(COUNTIF('R4_G3'!$A$8:$A$17,$A81)=1,VLOOKUP($A81,'R4_G3'!$A$8:$Y$17, L$2+4,FALSE),IF(COUNTIF('R4_G4'!$A$8:$A$17,$A81)=1,VLOOKUP($A81,'R4_G4'!$A$8:$Y$17, L$2+4,FALSE),""))))</f>
        <v>6</v>
      </c>
      <c r="M81" s="852">
        <f>IF(COUNTIF('R4_G1'!$A$8:$A$17,$A81)=1,VLOOKUP($A81,'R4_G1'!$A$8:$Y$17, M$2+4,FALSE),IF(COUNTIF('R4_G2'!$A$8:$A$17,$A81)=1,VLOOKUP($A81,'R4_G2'!$A$8:$Y$17, M$2+4,FALSE),IF(COUNTIF('R4_G3'!$A$8:$A$17,$A81)=1,VLOOKUP($A81,'R4_G3'!$A$8:$Y$17, M$2+4,FALSE),IF(COUNTIF('R4_G4'!$A$8:$A$17,$A81)=1,VLOOKUP($A81,'R4_G4'!$A$8:$Y$17, M$2+4,FALSE),""))))</f>
        <v>4</v>
      </c>
      <c r="N81" s="853">
        <f>IF(COUNTIF('R4_G1'!$A$8:$A$17,$A81)=1,VLOOKUP($A81,'R4_G1'!$A$8:$Y$17, N$2+7,FALSE),IF(COUNTIF('R4_G2'!$A$8:$A$17,$A81)=1,VLOOKUP($A81,'R4_G2'!$A$8:$Y$17, N$2+7,FALSE),IF(COUNTIF('R4_G3'!$A$8:$A$17,$A81)=1,VLOOKUP($A81,'R4_G3'!$A$8:$Y$17, N$2+7,FALSE),IF(COUNTIF('R4_G4'!$A$8:$A$17,$A81)=1,VLOOKUP($A81,'R4_G4'!$A$8:$Y$17, N$2+7,FALSE),""))))</f>
        <v>5</v>
      </c>
      <c r="O81" s="853">
        <f>IF(COUNTIF('R4_G1'!$A$8:$A$17,$A81)=1,VLOOKUP($A81,'R4_G1'!$A$8:$Y$17, O$2+7,FALSE),IF(COUNTIF('R4_G2'!$A$8:$A$17,$A81)=1,VLOOKUP($A81,'R4_G2'!$A$8:$Y$17, O$2+7,FALSE),IF(COUNTIF('R4_G3'!$A$8:$A$17,$A81)=1,VLOOKUP($A81,'R4_G3'!$A$8:$Y$17, O$2+7,FALSE),IF(COUNTIF('R4_G4'!$A$8:$A$17,$A81)=1,VLOOKUP($A81,'R4_G4'!$A$8:$Y$17, O$2+7,FALSE),""))))</f>
        <v>5</v>
      </c>
      <c r="P81" s="853">
        <f>IF(COUNTIF('R4_G1'!$A$8:$A$17,$A81)=1,VLOOKUP($A81,'R4_G1'!$A$8:$Y$17, P$2+7,FALSE),IF(COUNTIF('R4_G2'!$A$8:$A$17,$A81)=1,VLOOKUP($A81,'R4_G2'!$A$8:$Y$17, P$2+7,FALSE),IF(COUNTIF('R4_G3'!$A$8:$A$17,$A81)=1,VLOOKUP($A81,'R4_G3'!$A$8:$Y$17, P$2+7,FALSE),IF(COUNTIF('R4_G4'!$A$8:$A$17,$A81)=1,VLOOKUP($A81,'R4_G4'!$A$8:$Y$17, P$2+7,FALSE),""))))</f>
        <v>8</v>
      </c>
      <c r="Q81" s="853">
        <f>IF(COUNTIF('R4_G1'!$A$8:$A$17,$A81)=1,VLOOKUP($A81,'R4_G1'!$A$8:$Y$17, Q$2+7,FALSE),IF(COUNTIF('R4_G2'!$A$8:$A$17,$A81)=1,VLOOKUP($A81,'R4_G2'!$A$8:$Y$17, Q$2+7,FALSE),IF(COUNTIF('R4_G3'!$A$8:$A$17,$A81)=1,VLOOKUP($A81,'R4_G3'!$A$8:$Y$17, Q$2+7,FALSE),IF(COUNTIF('R4_G4'!$A$8:$A$17,$A81)=1,VLOOKUP($A81,'R4_G4'!$A$8:$Y$17, Q$2+7,FALSE),""))))</f>
        <v>6</v>
      </c>
      <c r="R81" s="853">
        <f>IF(COUNTIF('R4_G1'!$A$8:$A$17,$A81)=1,VLOOKUP($A81,'R4_G1'!$A$8:$Y$17, R$2+7,FALSE),IF(COUNTIF('R4_G2'!$A$8:$A$17,$A81)=1,VLOOKUP($A81,'R4_G2'!$A$8:$Y$17, R$2+7,FALSE),IF(COUNTIF('R4_G3'!$A$8:$A$17,$A81)=1,VLOOKUP($A81,'R4_G3'!$A$8:$Y$17, R$2+7,FALSE),IF(COUNTIF('R4_G4'!$A$8:$A$17,$A81)=1,VLOOKUP($A81,'R4_G4'!$A$8:$Y$17, R$2+7,FALSE),""))))</f>
        <v>6</v>
      </c>
      <c r="S81" s="853">
        <f>IF(COUNTIF('R4_G1'!$A$8:$A$17,$A81)=1,VLOOKUP($A81,'R4_G1'!$A$8:$Y$17, S$2+7,FALSE),IF(COUNTIF('R4_G2'!$A$8:$A$17,$A81)=1,VLOOKUP($A81,'R4_G2'!$A$8:$Y$17, S$2+7,FALSE),IF(COUNTIF('R4_G3'!$A$8:$A$17,$A81)=1,VLOOKUP($A81,'R4_G3'!$A$8:$Y$17, S$2+7,FALSE),IF(COUNTIF('R4_G4'!$A$8:$A$17,$A81)=1,VLOOKUP($A81,'R4_G4'!$A$8:$Y$17, S$2+7,FALSE),""))))</f>
        <v>5</v>
      </c>
      <c r="T81" s="853">
        <f>IF(COUNTIF('R4_G1'!$A$8:$A$17,$A81)=1,VLOOKUP($A81,'R4_G1'!$A$8:$Y$17, T$2+7,FALSE),IF(COUNTIF('R4_G2'!$A$8:$A$17,$A81)=1,VLOOKUP($A81,'R4_G2'!$A$8:$Y$17, T$2+7,FALSE),IF(COUNTIF('R4_G3'!$A$8:$A$17,$A81)=1,VLOOKUP($A81,'R4_G3'!$A$8:$Y$17, T$2+7,FALSE),IF(COUNTIF('R4_G4'!$A$8:$A$17,$A81)=1,VLOOKUP($A81,'R4_G4'!$A$8:$Y$17, T$2+7,FALSE),""))))</f>
        <v>5</v>
      </c>
      <c r="U81" s="853">
        <f>IF(COUNTIF('R4_G1'!$A$8:$A$17,$A81)=1,VLOOKUP($A81,'R4_G1'!$A$8:$Y$17, U$2+7,FALSE),IF(COUNTIF('R4_G2'!$A$8:$A$17,$A81)=1,VLOOKUP($A81,'R4_G2'!$A$8:$Y$17, U$2+7,FALSE),IF(COUNTIF('R4_G3'!$A$8:$A$17,$A81)=1,VLOOKUP($A81,'R4_G3'!$A$8:$Y$17, U$2+7,FALSE),IF(COUNTIF('R4_G4'!$A$8:$A$17,$A81)=1,VLOOKUP($A81,'R4_G4'!$A$8:$Y$17, U$2+7,FALSE),""))))</f>
        <v>6</v>
      </c>
      <c r="V81" s="853">
        <f>IF(COUNTIF('R4_G1'!$A$8:$A$17,$A81)=1,VLOOKUP($A81,'R4_G1'!$A$8:$Y$17, V$2+7,FALSE),IF(COUNTIF('R4_G2'!$A$8:$A$17,$A81)=1,VLOOKUP($A81,'R4_G2'!$A$8:$Y$17, V$2+7,FALSE),IF(COUNTIF('R4_G3'!$A$8:$A$17,$A81)=1,VLOOKUP($A81,'R4_G3'!$A$8:$Y$17, V$2+7,FALSE),IF(COUNTIF('R4_G4'!$A$8:$A$17,$A81)=1,VLOOKUP($A81,'R4_G4'!$A$8:$Y$17, V$2+7,FALSE),""))))</f>
        <v>3</v>
      </c>
      <c r="W81" s="852">
        <f t="shared" si="111"/>
        <v>43</v>
      </c>
      <c r="X81" s="852">
        <f t="shared" si="112"/>
        <v>49</v>
      </c>
      <c r="Y81" s="852">
        <f t="shared" si="117"/>
        <v>92</v>
      </c>
      <c r="Z81" s="852">
        <f t="shared" ca="1" si="118"/>
        <v>83</v>
      </c>
      <c r="AA81" s="859">
        <f t="shared" si="119"/>
        <v>92</v>
      </c>
      <c r="AB81" s="947"/>
      <c r="AC81" s="849" t="str">
        <f t="shared" si="120"/>
        <v>House</v>
      </c>
      <c r="AD81" s="850">
        <f ca="1">VLOOKUP(AC81,'Master Input'!$A$11:$L$27,12,FALSE)</f>
        <v>9</v>
      </c>
      <c r="AE81" s="849" t="s">
        <v>198</v>
      </c>
      <c r="AF81" s="832"/>
      <c r="AG81" s="852">
        <f t="shared" ref="AG81:AX81" ca="1" si="133">IF(E81="","",E81-IF($B81&gt;0,FLOOR($B81/18,1),0)-IF(AND(MOD($B81,18)&gt;=E$75,$B81&gt;0),1,0)+IF(E$75-18&gt;$B81,1,0))</f>
        <v>4</v>
      </c>
      <c r="AH81" s="852">
        <f t="shared" ca="1" si="133"/>
        <v>3</v>
      </c>
      <c r="AI81" s="852">
        <f t="shared" ca="1" si="133"/>
        <v>4</v>
      </c>
      <c r="AJ81" s="852">
        <f t="shared" ca="1" si="133"/>
        <v>3</v>
      </c>
      <c r="AK81" s="852">
        <f t="shared" ca="1" si="133"/>
        <v>6</v>
      </c>
      <c r="AL81" s="852">
        <f t="shared" ca="1" si="133"/>
        <v>5</v>
      </c>
      <c r="AM81" s="852">
        <f t="shared" ca="1" si="133"/>
        <v>5</v>
      </c>
      <c r="AN81" s="852">
        <f t="shared" ca="1" si="133"/>
        <v>5</v>
      </c>
      <c r="AO81" s="852">
        <f t="shared" ca="1" si="133"/>
        <v>3</v>
      </c>
      <c r="AP81" s="853">
        <f t="shared" ca="1" si="133"/>
        <v>5</v>
      </c>
      <c r="AQ81" s="853">
        <f t="shared" ca="1" si="133"/>
        <v>4</v>
      </c>
      <c r="AR81" s="853">
        <f t="shared" ca="1" si="133"/>
        <v>7</v>
      </c>
      <c r="AS81" s="853">
        <f t="shared" ca="1" si="133"/>
        <v>6</v>
      </c>
      <c r="AT81" s="853">
        <f t="shared" ca="1" si="133"/>
        <v>6</v>
      </c>
      <c r="AU81" s="853">
        <f t="shared" ca="1" si="133"/>
        <v>5</v>
      </c>
      <c r="AV81" s="853">
        <f t="shared" ca="1" si="133"/>
        <v>4</v>
      </c>
      <c r="AW81" s="853">
        <f t="shared" ca="1" si="133"/>
        <v>5</v>
      </c>
      <c r="AX81" s="853">
        <f t="shared" ca="1" si="133"/>
        <v>3</v>
      </c>
      <c r="AY81" s="852">
        <f t="shared" ca="1" si="114"/>
        <v>38</v>
      </c>
      <c r="AZ81" s="852">
        <f t="shared" ca="1" si="115"/>
        <v>45</v>
      </c>
      <c r="BA81" s="852">
        <f t="shared" ca="1" si="122"/>
        <v>83</v>
      </c>
      <c r="BB81" s="849" t="str">
        <f ca="1">IF(COUNTIF('R4_G1'!$A$8:$A$17,$A81)=1, IF(AND(BA81=Z81,BA81=VLOOKUP($A81,'R4_G1'!$A$8:$AB$17, 28,FALSE)),"yes","no"),
IF(COUNTIF('R4_G2'!$A$8:$A$17,$A81)=1, IF(AND(BA81=Z81,BA81=VLOOKUP($A81,'R4_G2'!$A$8:$AB$17, 28,FALSE)),"yes","no"),
IF(COUNTIF('R4_G3'!$A$8:$A$17,$A81)=1, IF(AND(BA81=Z81,BA81=VLOOKUP($A81,'R4_G3'!$A$8:$AB$17, 28,FALSE)),"yes","no"),
IF(COUNTIF('R4_G4'!$A$8:$A$17,$A81)=1, IF(AND(BA81=Z81,BA81=VLOOKUP($A81,'R4_G4'!$A$8:$AB$17, 28,FALSE)),"yes","no"),
"?"))))</f>
        <v>yes</v>
      </c>
      <c r="BC81" s="947"/>
      <c r="BD81" s="862">
        <f t="shared" ca="1" si="123"/>
        <v>7</v>
      </c>
      <c r="BE81" s="855">
        <f t="shared" ca="1" si="124"/>
        <v>8.8333333333333357</v>
      </c>
      <c r="BF81" s="855">
        <f t="shared" ca="1" si="125"/>
        <v>0</v>
      </c>
      <c r="BG81" s="855">
        <f t="shared" ca="1" si="126"/>
        <v>3</v>
      </c>
      <c r="BH81" s="855">
        <f t="shared" ca="1" si="127"/>
        <v>8</v>
      </c>
      <c r="BI81" s="855">
        <f t="shared" ca="1" si="128"/>
        <v>2</v>
      </c>
      <c r="BJ81" s="855">
        <f t="shared" ca="1" si="129"/>
        <v>5</v>
      </c>
    </row>
    <row r="82" spans="1:62" ht="14.25" customHeight="1">
      <c r="A82" s="857" t="str">
        <f t="shared" si="116"/>
        <v>TJSC</v>
      </c>
      <c r="B82" s="858">
        <f ca="1">VLOOKUP(A82,'Master Input'!$A$11:$L$27,12,FALSE)</f>
        <v>14</v>
      </c>
      <c r="C82" s="857"/>
      <c r="D82" s="851"/>
      <c r="E82" s="859">
        <f>IF(COUNTIF('R4_G1'!$A$8:$A$17,$A82)=1,VLOOKUP($A82,'R4_G1'!$A$8:$Y$17, E$2+4,FALSE),IF(COUNTIF('R4_G2'!$A$8:$A$17,$A82)=1,VLOOKUP($A82,'R4_G2'!$A$8:$Y$17, E$2+4,FALSE),IF(COUNTIF('R4_G3'!$A$8:$A$17,$A82)=1,VLOOKUP($A82,'R4_G3'!$A$8:$Y$17, E$2+4,FALSE),IF(COUNTIF('R4_G4'!$A$8:$A$17,$A82)=1,VLOOKUP($A82,'R4_G4'!$A$8:$Y$17, E$2+4,FALSE),""))))</f>
        <v>5</v>
      </c>
      <c r="F82" s="859">
        <f>IF(COUNTIF('R4_G1'!$A$8:$A$17,$A82)=1,VLOOKUP($A82,'R4_G1'!$A$8:$Y$17, F$2+4,FALSE),IF(COUNTIF('R4_G2'!$A$8:$A$17,$A82)=1,VLOOKUP($A82,'R4_G2'!$A$8:$Y$17, F$2+4,FALSE),IF(COUNTIF('R4_G3'!$A$8:$A$17,$A82)=1,VLOOKUP($A82,'R4_G3'!$A$8:$Y$17, F$2+4,FALSE),IF(COUNTIF('R4_G4'!$A$8:$A$17,$A82)=1,VLOOKUP($A82,'R4_G4'!$A$8:$Y$17, F$2+4,FALSE),""))))</f>
        <v>6</v>
      </c>
      <c r="G82" s="859">
        <f>IF(COUNTIF('R4_G1'!$A$8:$A$17,$A82)=1,VLOOKUP($A82,'R4_G1'!$A$8:$Y$17, G$2+4,FALSE),IF(COUNTIF('R4_G2'!$A$8:$A$17,$A82)=1,VLOOKUP($A82,'R4_G2'!$A$8:$Y$17, G$2+4,FALSE),IF(COUNTIF('R4_G3'!$A$8:$A$17,$A82)=1,VLOOKUP($A82,'R4_G3'!$A$8:$Y$17, G$2+4,FALSE),IF(COUNTIF('R4_G4'!$A$8:$A$17,$A82)=1,VLOOKUP($A82,'R4_G4'!$A$8:$Y$17, G$2+4,FALSE),""))))</f>
        <v>6</v>
      </c>
      <c r="H82" s="859">
        <f>IF(COUNTIF('R4_G1'!$A$8:$A$17,$A82)=1,VLOOKUP($A82,'R4_G1'!$A$8:$Y$17, H$2+4,FALSE),IF(COUNTIF('R4_G2'!$A$8:$A$17,$A82)=1,VLOOKUP($A82,'R4_G2'!$A$8:$Y$17, H$2+4,FALSE),IF(COUNTIF('R4_G3'!$A$8:$A$17,$A82)=1,VLOOKUP($A82,'R4_G3'!$A$8:$Y$17, H$2+4,FALSE),IF(COUNTIF('R4_G4'!$A$8:$A$17,$A82)=1,VLOOKUP($A82,'R4_G4'!$A$8:$Y$17, H$2+4,FALSE),""))))</f>
        <v>6</v>
      </c>
      <c r="I82" s="859">
        <f>IF(COUNTIF('R4_G1'!$A$8:$A$17,$A82)=1,VLOOKUP($A82,'R4_G1'!$A$8:$Y$17, I$2+4,FALSE),IF(COUNTIF('R4_G2'!$A$8:$A$17,$A82)=1,VLOOKUP($A82,'R4_G2'!$A$8:$Y$17, I$2+4,FALSE),IF(COUNTIF('R4_G3'!$A$8:$A$17,$A82)=1,VLOOKUP($A82,'R4_G3'!$A$8:$Y$17, I$2+4,FALSE),IF(COUNTIF('R4_G4'!$A$8:$A$17,$A82)=1,VLOOKUP($A82,'R4_G4'!$A$8:$Y$17, I$2+4,FALSE),""))))</f>
        <v>4</v>
      </c>
      <c r="J82" s="859">
        <f>IF(COUNTIF('R4_G1'!$A$8:$A$17,$A82)=1,VLOOKUP($A82,'R4_G1'!$A$8:$Y$17, J$2+4,FALSE),IF(COUNTIF('R4_G2'!$A$8:$A$17,$A82)=1,VLOOKUP($A82,'R4_G2'!$A$8:$Y$17, J$2+4,FALSE),IF(COUNTIF('R4_G3'!$A$8:$A$17,$A82)=1,VLOOKUP($A82,'R4_G3'!$A$8:$Y$17, J$2+4,FALSE),IF(COUNTIF('R4_G4'!$A$8:$A$17,$A82)=1,VLOOKUP($A82,'R4_G4'!$A$8:$Y$17, J$2+4,FALSE),""))))</f>
        <v>5</v>
      </c>
      <c r="K82" s="859">
        <f>IF(COUNTIF('R4_G1'!$A$8:$A$17,$A82)=1,VLOOKUP($A82,'R4_G1'!$A$8:$Y$17, K$2+4,FALSE),IF(COUNTIF('R4_G2'!$A$8:$A$17,$A82)=1,VLOOKUP($A82,'R4_G2'!$A$8:$Y$17, K$2+4,FALSE),IF(COUNTIF('R4_G3'!$A$8:$A$17,$A82)=1,VLOOKUP($A82,'R4_G3'!$A$8:$Y$17, K$2+4,FALSE),IF(COUNTIF('R4_G4'!$A$8:$A$17,$A82)=1,VLOOKUP($A82,'R4_G4'!$A$8:$Y$17, K$2+4,FALSE),""))))</f>
        <v>6</v>
      </c>
      <c r="L82" s="859">
        <f>IF(COUNTIF('R4_G1'!$A$8:$A$17,$A82)=1,VLOOKUP($A82,'R4_G1'!$A$8:$Y$17, L$2+4,FALSE),IF(COUNTIF('R4_G2'!$A$8:$A$17,$A82)=1,VLOOKUP($A82,'R4_G2'!$A$8:$Y$17, L$2+4,FALSE),IF(COUNTIF('R4_G3'!$A$8:$A$17,$A82)=1,VLOOKUP($A82,'R4_G3'!$A$8:$Y$17, L$2+4,FALSE),IF(COUNTIF('R4_G4'!$A$8:$A$17,$A82)=1,VLOOKUP($A82,'R4_G4'!$A$8:$Y$17, L$2+4,FALSE),""))))</f>
        <v>5</v>
      </c>
      <c r="M82" s="859">
        <f>IF(COUNTIF('R4_G1'!$A$8:$A$17,$A82)=1,VLOOKUP($A82,'R4_G1'!$A$8:$Y$17, M$2+4,FALSE),IF(COUNTIF('R4_G2'!$A$8:$A$17,$A82)=1,VLOOKUP($A82,'R4_G2'!$A$8:$Y$17, M$2+4,FALSE),IF(COUNTIF('R4_G3'!$A$8:$A$17,$A82)=1,VLOOKUP($A82,'R4_G3'!$A$8:$Y$17, M$2+4,FALSE),IF(COUNTIF('R4_G4'!$A$8:$A$17,$A82)=1,VLOOKUP($A82,'R4_G4'!$A$8:$Y$17, M$2+4,FALSE),""))))</f>
        <v>4</v>
      </c>
      <c r="N82" s="852">
        <f>IF(COUNTIF('R4_G1'!$A$8:$A$17,$A82)=1,VLOOKUP($A82,'R4_G1'!$A$8:$Y$17, N$2+7,FALSE),IF(COUNTIF('R4_G2'!$A$8:$A$17,$A82)=1,VLOOKUP($A82,'R4_G2'!$A$8:$Y$17, N$2+7,FALSE),IF(COUNTIF('R4_G3'!$A$8:$A$17,$A82)=1,VLOOKUP($A82,'R4_G3'!$A$8:$Y$17, N$2+7,FALSE),IF(COUNTIF('R4_G4'!$A$8:$A$17,$A82)=1,VLOOKUP($A82,'R4_G4'!$A$8:$Y$17, N$2+7,FALSE),""))))</f>
        <v>5</v>
      </c>
      <c r="O82" s="852">
        <f>IF(COUNTIF('R4_G1'!$A$8:$A$17,$A82)=1,VLOOKUP($A82,'R4_G1'!$A$8:$Y$17, O$2+7,FALSE),IF(COUNTIF('R4_G2'!$A$8:$A$17,$A82)=1,VLOOKUP($A82,'R4_G2'!$A$8:$Y$17, O$2+7,FALSE),IF(COUNTIF('R4_G3'!$A$8:$A$17,$A82)=1,VLOOKUP($A82,'R4_G3'!$A$8:$Y$17, O$2+7,FALSE),IF(COUNTIF('R4_G4'!$A$8:$A$17,$A82)=1,VLOOKUP($A82,'R4_G4'!$A$8:$Y$17, O$2+7,FALSE),""))))</f>
        <v>6</v>
      </c>
      <c r="P82" s="852">
        <f>IF(COUNTIF('R4_G1'!$A$8:$A$17,$A82)=1,VLOOKUP($A82,'R4_G1'!$A$8:$Y$17, P$2+7,FALSE),IF(COUNTIF('R4_G2'!$A$8:$A$17,$A82)=1,VLOOKUP($A82,'R4_G2'!$A$8:$Y$17, P$2+7,FALSE),IF(COUNTIF('R4_G3'!$A$8:$A$17,$A82)=1,VLOOKUP($A82,'R4_G3'!$A$8:$Y$17, P$2+7,FALSE),IF(COUNTIF('R4_G4'!$A$8:$A$17,$A82)=1,VLOOKUP($A82,'R4_G4'!$A$8:$Y$17, P$2+7,FALSE),""))))</f>
        <v>6</v>
      </c>
      <c r="Q82" s="852">
        <f>IF(COUNTIF('R4_G1'!$A$8:$A$17,$A82)=1,VLOOKUP($A82,'R4_G1'!$A$8:$Y$17, Q$2+7,FALSE),IF(COUNTIF('R4_G2'!$A$8:$A$17,$A82)=1,VLOOKUP($A82,'R4_G2'!$A$8:$Y$17, Q$2+7,FALSE),IF(COUNTIF('R4_G3'!$A$8:$A$17,$A82)=1,VLOOKUP($A82,'R4_G3'!$A$8:$Y$17, Q$2+7,FALSE),IF(COUNTIF('R4_G4'!$A$8:$A$17,$A82)=1,VLOOKUP($A82,'R4_G4'!$A$8:$Y$17, Q$2+7,FALSE),""))))</f>
        <v>4</v>
      </c>
      <c r="R82" s="852">
        <f>IF(COUNTIF('R4_G1'!$A$8:$A$17,$A82)=1,VLOOKUP($A82,'R4_G1'!$A$8:$Y$17, R$2+7,FALSE),IF(COUNTIF('R4_G2'!$A$8:$A$17,$A82)=1,VLOOKUP($A82,'R4_G2'!$A$8:$Y$17, R$2+7,FALSE),IF(COUNTIF('R4_G3'!$A$8:$A$17,$A82)=1,VLOOKUP($A82,'R4_G3'!$A$8:$Y$17, R$2+7,FALSE),IF(COUNTIF('R4_G4'!$A$8:$A$17,$A82)=1,VLOOKUP($A82,'R4_G4'!$A$8:$Y$17, R$2+7,FALSE),""))))</f>
        <v>6</v>
      </c>
      <c r="S82" s="852">
        <f>IF(COUNTIF('R4_G1'!$A$8:$A$17,$A82)=1,VLOOKUP($A82,'R4_G1'!$A$8:$Y$17, S$2+7,FALSE),IF(COUNTIF('R4_G2'!$A$8:$A$17,$A82)=1,VLOOKUP($A82,'R4_G2'!$A$8:$Y$17, S$2+7,FALSE),IF(COUNTIF('R4_G3'!$A$8:$A$17,$A82)=1,VLOOKUP($A82,'R4_G3'!$A$8:$Y$17, S$2+7,FALSE),IF(COUNTIF('R4_G4'!$A$8:$A$17,$A82)=1,VLOOKUP($A82,'R4_G4'!$A$8:$Y$17, S$2+7,FALSE),""))))</f>
        <v>7</v>
      </c>
      <c r="T82" s="852">
        <f>IF(COUNTIF('R4_G1'!$A$8:$A$17,$A82)=1,VLOOKUP($A82,'R4_G1'!$A$8:$Y$17, T$2+7,FALSE),IF(COUNTIF('R4_G2'!$A$8:$A$17,$A82)=1,VLOOKUP($A82,'R4_G2'!$A$8:$Y$17, T$2+7,FALSE),IF(COUNTIF('R4_G3'!$A$8:$A$17,$A82)=1,VLOOKUP($A82,'R4_G3'!$A$8:$Y$17, T$2+7,FALSE),IF(COUNTIF('R4_G4'!$A$8:$A$17,$A82)=1,VLOOKUP($A82,'R4_G4'!$A$8:$Y$17, T$2+7,FALSE),""))))</f>
        <v>6</v>
      </c>
      <c r="U82" s="852">
        <f>IF(COUNTIF('R4_G1'!$A$8:$A$17,$A82)=1,VLOOKUP($A82,'R4_G1'!$A$8:$Y$17, U$2+7,FALSE),IF(COUNTIF('R4_G2'!$A$8:$A$17,$A82)=1,VLOOKUP($A82,'R4_G2'!$A$8:$Y$17, U$2+7,FALSE),IF(COUNTIF('R4_G3'!$A$8:$A$17,$A82)=1,VLOOKUP($A82,'R4_G3'!$A$8:$Y$17, U$2+7,FALSE),IF(COUNTIF('R4_G4'!$A$8:$A$17,$A82)=1,VLOOKUP($A82,'R4_G4'!$A$8:$Y$17, U$2+7,FALSE),""))))</f>
        <v>4</v>
      </c>
      <c r="V82" s="852">
        <f>IF(COUNTIF('R4_G1'!$A$8:$A$17,$A82)=1,VLOOKUP($A82,'R4_G1'!$A$8:$Y$17, V$2+7,FALSE),IF(COUNTIF('R4_G2'!$A$8:$A$17,$A82)=1,VLOOKUP($A82,'R4_G2'!$A$8:$Y$17, V$2+7,FALSE),IF(COUNTIF('R4_G3'!$A$8:$A$17,$A82)=1,VLOOKUP($A82,'R4_G3'!$A$8:$Y$17, V$2+7,FALSE),IF(COUNTIF('R4_G4'!$A$8:$A$17,$A82)=1,VLOOKUP($A82,'R4_G4'!$A$8:$Y$17, V$2+7,FALSE),""))))</f>
        <v>5</v>
      </c>
      <c r="W82" s="859">
        <f t="shared" si="111"/>
        <v>47</v>
      </c>
      <c r="X82" s="859">
        <f t="shared" si="112"/>
        <v>49</v>
      </c>
      <c r="Y82" s="859">
        <f t="shared" si="117"/>
        <v>96</v>
      </c>
      <c r="Z82" s="859">
        <f t="shared" ca="1" si="118"/>
        <v>82</v>
      </c>
      <c r="AA82" s="859">
        <f t="shared" si="119"/>
        <v>96</v>
      </c>
      <c r="AB82" s="947"/>
      <c r="AC82" s="857" t="str">
        <f t="shared" si="120"/>
        <v>TJSC</v>
      </c>
      <c r="AD82" s="858">
        <f ca="1">VLOOKUP(AC82,'Master Input'!$A$11:$L$27,12,FALSE)</f>
        <v>14</v>
      </c>
      <c r="AE82" s="857" t="s">
        <v>198</v>
      </c>
      <c r="AF82" s="832"/>
      <c r="AG82" s="859">
        <f t="shared" ref="AG82:AX82" ca="1" si="134">IF(E82="","",E82-IF($B82&gt;0,FLOOR($B82/18,1),0)-IF(AND(MOD($B82,18)&gt;=E$75,$B82&gt;0),1,0)+IF(E$75-18&gt;$B82,1,0))</f>
        <v>4</v>
      </c>
      <c r="AH82" s="859">
        <f t="shared" ca="1" si="134"/>
        <v>5</v>
      </c>
      <c r="AI82" s="859">
        <f t="shared" ca="1" si="134"/>
        <v>6</v>
      </c>
      <c r="AJ82" s="859">
        <f t="shared" ca="1" si="134"/>
        <v>5</v>
      </c>
      <c r="AK82" s="859">
        <f t="shared" ca="1" si="134"/>
        <v>3</v>
      </c>
      <c r="AL82" s="859">
        <f t="shared" ca="1" si="134"/>
        <v>5</v>
      </c>
      <c r="AM82" s="859">
        <f t="shared" ca="1" si="134"/>
        <v>5</v>
      </c>
      <c r="AN82" s="859">
        <f t="shared" ca="1" si="134"/>
        <v>4</v>
      </c>
      <c r="AO82" s="859">
        <f t="shared" ca="1" si="134"/>
        <v>3</v>
      </c>
      <c r="AP82" s="852">
        <f t="shared" ca="1" si="134"/>
        <v>5</v>
      </c>
      <c r="AQ82" s="852">
        <f t="shared" ca="1" si="134"/>
        <v>5</v>
      </c>
      <c r="AR82" s="852">
        <f t="shared" ca="1" si="134"/>
        <v>5</v>
      </c>
      <c r="AS82" s="852">
        <f t="shared" ca="1" si="134"/>
        <v>3</v>
      </c>
      <c r="AT82" s="852">
        <f t="shared" ca="1" si="134"/>
        <v>6</v>
      </c>
      <c r="AU82" s="852">
        <f t="shared" ca="1" si="134"/>
        <v>6</v>
      </c>
      <c r="AV82" s="852">
        <f t="shared" ca="1" si="134"/>
        <v>5</v>
      </c>
      <c r="AW82" s="852">
        <f t="shared" ca="1" si="134"/>
        <v>3</v>
      </c>
      <c r="AX82" s="852">
        <f t="shared" ca="1" si="134"/>
        <v>4</v>
      </c>
      <c r="AY82" s="859">
        <f t="shared" ca="1" si="114"/>
        <v>40</v>
      </c>
      <c r="AZ82" s="859">
        <f t="shared" ca="1" si="115"/>
        <v>42</v>
      </c>
      <c r="BA82" s="859">
        <f t="shared" ca="1" si="122"/>
        <v>82</v>
      </c>
      <c r="BB82" s="857" t="str">
        <f ca="1">IF(COUNTIF('R4_G1'!$A$8:$A$17,$A82)=1, IF(AND(BA82=Z82,BA82=VLOOKUP($A82,'R4_G1'!$A$8:$AB$17, 28,FALSE)),"yes","no"),
IF(COUNTIF('R4_G2'!$A$8:$A$17,$A82)=1, IF(AND(BA82=Z82,BA82=VLOOKUP($A82,'R4_G2'!$A$8:$AB$17, 28,FALSE)),"yes","no"),
IF(COUNTIF('R4_G3'!$A$8:$A$17,$A82)=1, IF(AND(BA82=Z82,BA82=VLOOKUP($A82,'R4_G3'!$A$8:$AB$17, 28,FALSE)),"yes","no"),
IF(COUNTIF('R4_G4'!$A$8:$A$17,$A82)=1, IF(AND(BA82=Z82,BA82=VLOOKUP($A82,'R4_G4'!$A$8:$AB$17, 28,FALSE)),"yes","no"),
"?"))))</f>
        <v>yes</v>
      </c>
      <c r="BC82" s="947"/>
      <c r="BD82" s="860">
        <f t="shared" ca="1" si="123"/>
        <v>5</v>
      </c>
      <c r="BE82" s="861">
        <f t="shared" ca="1" si="124"/>
        <v>7.9666666666666677</v>
      </c>
      <c r="BF82" s="861">
        <f t="shared" ca="1" si="125"/>
        <v>0</v>
      </c>
      <c r="BG82" s="861">
        <f t="shared" ca="1" si="126"/>
        <v>1</v>
      </c>
      <c r="BH82" s="861">
        <f t="shared" ca="1" si="127"/>
        <v>8</v>
      </c>
      <c r="BI82" s="861">
        <f t="shared" ca="1" si="128"/>
        <v>7</v>
      </c>
      <c r="BJ82" s="861">
        <f t="shared" ca="1" si="129"/>
        <v>2</v>
      </c>
    </row>
    <row r="83" spans="1:62" ht="14.25" customHeight="1">
      <c r="A83" s="849" t="str">
        <f t="shared" si="116"/>
        <v>DK</v>
      </c>
      <c r="B83" s="850">
        <f ca="1">VLOOKUP(A83,'Master Input'!$A$11:$L$27,12,FALSE)</f>
        <v>16</v>
      </c>
      <c r="C83" s="849"/>
      <c r="D83" s="851"/>
      <c r="E83" s="852">
        <f>IF(COUNTIF('R4_G1'!$A$8:$A$17,$A83)=1,VLOOKUP($A83,'R4_G1'!$A$8:$Y$17, E$2+4,FALSE),IF(COUNTIF('R4_G2'!$A$8:$A$17,$A83)=1,VLOOKUP($A83,'R4_G2'!$A$8:$Y$17, E$2+4,FALSE),IF(COUNTIF('R4_G3'!$A$8:$A$17,$A83)=1,VLOOKUP($A83,'R4_G3'!$A$8:$Y$17, E$2+4,FALSE),IF(COUNTIF('R4_G4'!$A$8:$A$17,$A83)=1,VLOOKUP($A83,'R4_G4'!$A$8:$Y$17, E$2+4,FALSE),""))))</f>
        <v>5</v>
      </c>
      <c r="F83" s="852">
        <f>IF(COUNTIF('R4_G1'!$A$8:$A$17,$A83)=1,VLOOKUP($A83,'R4_G1'!$A$8:$Y$17, F$2+4,FALSE),IF(COUNTIF('R4_G2'!$A$8:$A$17,$A83)=1,VLOOKUP($A83,'R4_G2'!$A$8:$Y$17, F$2+4,FALSE),IF(COUNTIF('R4_G3'!$A$8:$A$17,$A83)=1,VLOOKUP($A83,'R4_G3'!$A$8:$Y$17, F$2+4,FALSE),IF(COUNTIF('R4_G4'!$A$8:$A$17,$A83)=1,VLOOKUP($A83,'R4_G4'!$A$8:$Y$17, F$2+4,FALSE),""))))</f>
        <v>5</v>
      </c>
      <c r="G83" s="852">
        <f>IF(COUNTIF('R4_G1'!$A$8:$A$17,$A83)=1,VLOOKUP($A83,'R4_G1'!$A$8:$Y$17, G$2+4,FALSE),IF(COUNTIF('R4_G2'!$A$8:$A$17,$A83)=1,VLOOKUP($A83,'R4_G2'!$A$8:$Y$17, G$2+4,FALSE),IF(COUNTIF('R4_G3'!$A$8:$A$17,$A83)=1,VLOOKUP($A83,'R4_G3'!$A$8:$Y$17, G$2+4,FALSE),IF(COUNTIF('R4_G4'!$A$8:$A$17,$A83)=1,VLOOKUP($A83,'R4_G4'!$A$8:$Y$17, G$2+4,FALSE),""))))</f>
        <v>6</v>
      </c>
      <c r="H83" s="852">
        <f>IF(COUNTIF('R4_G1'!$A$8:$A$17,$A83)=1,VLOOKUP($A83,'R4_G1'!$A$8:$Y$17, H$2+4,FALSE),IF(COUNTIF('R4_G2'!$A$8:$A$17,$A83)=1,VLOOKUP($A83,'R4_G2'!$A$8:$Y$17, H$2+4,FALSE),IF(COUNTIF('R4_G3'!$A$8:$A$17,$A83)=1,VLOOKUP($A83,'R4_G3'!$A$8:$Y$17, H$2+4,FALSE),IF(COUNTIF('R4_G4'!$A$8:$A$17,$A83)=1,VLOOKUP($A83,'R4_G4'!$A$8:$Y$17, H$2+4,FALSE),""))))</f>
        <v>5</v>
      </c>
      <c r="I83" s="852">
        <f>IF(COUNTIF('R4_G1'!$A$8:$A$17,$A83)=1,VLOOKUP($A83,'R4_G1'!$A$8:$Y$17, I$2+4,FALSE),IF(COUNTIF('R4_G2'!$A$8:$A$17,$A83)=1,VLOOKUP($A83,'R4_G2'!$A$8:$Y$17, I$2+4,FALSE),IF(COUNTIF('R4_G3'!$A$8:$A$17,$A83)=1,VLOOKUP($A83,'R4_G3'!$A$8:$Y$17, I$2+4,FALSE),IF(COUNTIF('R4_G4'!$A$8:$A$17,$A83)=1,VLOOKUP($A83,'R4_G4'!$A$8:$Y$17, I$2+4,FALSE),""))))</f>
        <v>6</v>
      </c>
      <c r="J83" s="852">
        <f>IF(COUNTIF('R4_G1'!$A$8:$A$17,$A83)=1,VLOOKUP($A83,'R4_G1'!$A$8:$Y$17, J$2+4,FALSE),IF(COUNTIF('R4_G2'!$A$8:$A$17,$A83)=1,VLOOKUP($A83,'R4_G2'!$A$8:$Y$17, J$2+4,FALSE),IF(COUNTIF('R4_G3'!$A$8:$A$17,$A83)=1,VLOOKUP($A83,'R4_G3'!$A$8:$Y$17, J$2+4,FALSE),IF(COUNTIF('R4_G4'!$A$8:$A$17,$A83)=1,VLOOKUP($A83,'R4_G4'!$A$8:$Y$17, J$2+4,FALSE),""))))</f>
        <v>4</v>
      </c>
      <c r="K83" s="852">
        <f>IF(COUNTIF('R4_G1'!$A$8:$A$17,$A83)=1,VLOOKUP($A83,'R4_G1'!$A$8:$Y$17, K$2+4,FALSE),IF(COUNTIF('R4_G2'!$A$8:$A$17,$A83)=1,VLOOKUP($A83,'R4_G2'!$A$8:$Y$17, K$2+4,FALSE),IF(COUNTIF('R4_G3'!$A$8:$A$17,$A83)=1,VLOOKUP($A83,'R4_G3'!$A$8:$Y$17, K$2+4,FALSE),IF(COUNTIF('R4_G4'!$A$8:$A$17,$A83)=1,VLOOKUP($A83,'R4_G4'!$A$8:$Y$17, K$2+4,FALSE),""))))</f>
        <v>6</v>
      </c>
      <c r="L83" s="852">
        <f>IF(COUNTIF('R4_G1'!$A$8:$A$17,$A83)=1,VLOOKUP($A83,'R4_G1'!$A$8:$Y$17, L$2+4,FALSE),IF(COUNTIF('R4_G2'!$A$8:$A$17,$A83)=1,VLOOKUP($A83,'R4_G2'!$A$8:$Y$17, L$2+4,FALSE),IF(COUNTIF('R4_G3'!$A$8:$A$17,$A83)=1,VLOOKUP($A83,'R4_G3'!$A$8:$Y$17, L$2+4,FALSE),IF(COUNTIF('R4_G4'!$A$8:$A$17,$A83)=1,VLOOKUP($A83,'R4_G4'!$A$8:$Y$17, L$2+4,FALSE),""))))</f>
        <v>4</v>
      </c>
      <c r="M83" s="852">
        <f>IF(COUNTIF('R4_G1'!$A$8:$A$17,$A83)=1,VLOOKUP($A83,'R4_G1'!$A$8:$Y$17, M$2+4,FALSE),IF(COUNTIF('R4_G2'!$A$8:$A$17,$A83)=1,VLOOKUP($A83,'R4_G2'!$A$8:$Y$17, M$2+4,FALSE),IF(COUNTIF('R4_G3'!$A$8:$A$17,$A83)=1,VLOOKUP($A83,'R4_G3'!$A$8:$Y$17, M$2+4,FALSE),IF(COUNTIF('R4_G4'!$A$8:$A$17,$A83)=1,VLOOKUP($A83,'R4_G4'!$A$8:$Y$17, M$2+4,FALSE),""))))</f>
        <v>4</v>
      </c>
      <c r="N83" s="853">
        <f>IF(COUNTIF('R4_G1'!$A$8:$A$17,$A83)=1,VLOOKUP($A83,'R4_G1'!$A$8:$Y$17, N$2+7,FALSE),IF(COUNTIF('R4_G2'!$A$8:$A$17,$A83)=1,VLOOKUP($A83,'R4_G2'!$A$8:$Y$17, N$2+7,FALSE),IF(COUNTIF('R4_G3'!$A$8:$A$17,$A83)=1,VLOOKUP($A83,'R4_G3'!$A$8:$Y$17, N$2+7,FALSE),IF(COUNTIF('R4_G4'!$A$8:$A$17,$A83)=1,VLOOKUP($A83,'R4_G4'!$A$8:$Y$17, N$2+7,FALSE),""))))</f>
        <v>4</v>
      </c>
      <c r="O83" s="853">
        <f>IF(COUNTIF('R4_G1'!$A$8:$A$17,$A83)=1,VLOOKUP($A83,'R4_G1'!$A$8:$Y$17, O$2+7,FALSE),IF(COUNTIF('R4_G2'!$A$8:$A$17,$A83)=1,VLOOKUP($A83,'R4_G2'!$A$8:$Y$17, O$2+7,FALSE),IF(COUNTIF('R4_G3'!$A$8:$A$17,$A83)=1,VLOOKUP($A83,'R4_G3'!$A$8:$Y$17, O$2+7,FALSE),IF(COUNTIF('R4_G4'!$A$8:$A$17,$A83)=1,VLOOKUP($A83,'R4_G4'!$A$8:$Y$17, O$2+7,FALSE),""))))</f>
        <v>7</v>
      </c>
      <c r="P83" s="853">
        <f>IF(COUNTIF('R4_G1'!$A$8:$A$17,$A83)=1,VLOOKUP($A83,'R4_G1'!$A$8:$Y$17, P$2+7,FALSE),IF(COUNTIF('R4_G2'!$A$8:$A$17,$A83)=1,VLOOKUP($A83,'R4_G2'!$A$8:$Y$17, P$2+7,FALSE),IF(COUNTIF('R4_G3'!$A$8:$A$17,$A83)=1,VLOOKUP($A83,'R4_G3'!$A$8:$Y$17, P$2+7,FALSE),IF(COUNTIF('R4_G4'!$A$8:$A$17,$A83)=1,VLOOKUP($A83,'R4_G4'!$A$8:$Y$17, P$2+7,FALSE),""))))</f>
        <v>4</v>
      </c>
      <c r="Q83" s="853">
        <f>IF(COUNTIF('R4_G1'!$A$8:$A$17,$A83)=1,VLOOKUP($A83,'R4_G1'!$A$8:$Y$17, Q$2+7,FALSE),IF(COUNTIF('R4_G2'!$A$8:$A$17,$A83)=1,VLOOKUP($A83,'R4_G2'!$A$8:$Y$17, Q$2+7,FALSE),IF(COUNTIF('R4_G3'!$A$8:$A$17,$A83)=1,VLOOKUP($A83,'R4_G3'!$A$8:$Y$17, Q$2+7,FALSE),IF(COUNTIF('R4_G4'!$A$8:$A$17,$A83)=1,VLOOKUP($A83,'R4_G4'!$A$8:$Y$17, Q$2+7,FALSE),""))))</f>
        <v>4</v>
      </c>
      <c r="R83" s="853">
        <f>IF(COUNTIF('R4_G1'!$A$8:$A$17,$A83)=1,VLOOKUP($A83,'R4_G1'!$A$8:$Y$17, R$2+7,FALSE),IF(COUNTIF('R4_G2'!$A$8:$A$17,$A83)=1,VLOOKUP($A83,'R4_G2'!$A$8:$Y$17, R$2+7,FALSE),IF(COUNTIF('R4_G3'!$A$8:$A$17,$A83)=1,VLOOKUP($A83,'R4_G3'!$A$8:$Y$17, R$2+7,FALSE),IF(COUNTIF('R4_G4'!$A$8:$A$17,$A83)=1,VLOOKUP($A83,'R4_G4'!$A$8:$Y$17, R$2+7,FALSE),""))))</f>
        <v>5</v>
      </c>
      <c r="S83" s="853">
        <f>IF(COUNTIF('R4_G1'!$A$8:$A$17,$A83)=1,VLOOKUP($A83,'R4_G1'!$A$8:$Y$17, S$2+7,FALSE),IF(COUNTIF('R4_G2'!$A$8:$A$17,$A83)=1,VLOOKUP($A83,'R4_G2'!$A$8:$Y$17, S$2+7,FALSE),IF(COUNTIF('R4_G3'!$A$8:$A$17,$A83)=1,VLOOKUP($A83,'R4_G3'!$A$8:$Y$17, S$2+7,FALSE),IF(COUNTIF('R4_G4'!$A$8:$A$17,$A83)=1,VLOOKUP($A83,'R4_G4'!$A$8:$Y$17, S$2+7,FALSE),""))))</f>
        <v>6</v>
      </c>
      <c r="T83" s="853">
        <f>IF(COUNTIF('R4_G1'!$A$8:$A$17,$A83)=1,VLOOKUP($A83,'R4_G1'!$A$8:$Y$17, T$2+7,FALSE),IF(COUNTIF('R4_G2'!$A$8:$A$17,$A83)=1,VLOOKUP($A83,'R4_G2'!$A$8:$Y$17, T$2+7,FALSE),IF(COUNTIF('R4_G3'!$A$8:$A$17,$A83)=1,VLOOKUP($A83,'R4_G3'!$A$8:$Y$17, T$2+7,FALSE),IF(COUNTIF('R4_G4'!$A$8:$A$17,$A83)=1,VLOOKUP($A83,'R4_G4'!$A$8:$Y$17, T$2+7,FALSE),""))))</f>
        <v>4</v>
      </c>
      <c r="U83" s="853">
        <f>IF(COUNTIF('R4_G1'!$A$8:$A$17,$A83)=1,VLOOKUP($A83,'R4_G1'!$A$8:$Y$17, U$2+7,FALSE),IF(COUNTIF('R4_G2'!$A$8:$A$17,$A83)=1,VLOOKUP($A83,'R4_G2'!$A$8:$Y$17, U$2+7,FALSE),IF(COUNTIF('R4_G3'!$A$8:$A$17,$A83)=1,VLOOKUP($A83,'R4_G3'!$A$8:$Y$17, U$2+7,FALSE),IF(COUNTIF('R4_G4'!$A$8:$A$17,$A83)=1,VLOOKUP($A83,'R4_G4'!$A$8:$Y$17, U$2+7,FALSE),""))))</f>
        <v>5</v>
      </c>
      <c r="V83" s="853">
        <f>IF(COUNTIF('R4_G1'!$A$8:$A$17,$A83)=1,VLOOKUP($A83,'R4_G1'!$A$8:$Y$17, V$2+7,FALSE),IF(COUNTIF('R4_G2'!$A$8:$A$17,$A83)=1,VLOOKUP($A83,'R4_G2'!$A$8:$Y$17, V$2+7,FALSE),IF(COUNTIF('R4_G3'!$A$8:$A$17,$A83)=1,VLOOKUP($A83,'R4_G3'!$A$8:$Y$17, V$2+7,FALSE),IF(COUNTIF('R4_G4'!$A$8:$A$17,$A83)=1,VLOOKUP($A83,'R4_G4'!$A$8:$Y$17, V$2+7,FALSE),""))))</f>
        <v>5</v>
      </c>
      <c r="W83" s="852">
        <f t="shared" si="111"/>
        <v>45</v>
      </c>
      <c r="X83" s="852">
        <f t="shared" si="112"/>
        <v>44</v>
      </c>
      <c r="Y83" s="852">
        <f t="shared" si="117"/>
        <v>89</v>
      </c>
      <c r="Z83" s="852">
        <f t="shared" ca="1" si="118"/>
        <v>73</v>
      </c>
      <c r="AA83" s="859">
        <f t="shared" si="119"/>
        <v>89</v>
      </c>
      <c r="AB83" s="947"/>
      <c r="AC83" s="849" t="str">
        <f t="shared" si="120"/>
        <v>DK</v>
      </c>
      <c r="AD83" s="850">
        <f ca="1">VLOOKUP(AC83,'Master Input'!$A$11:$L$27,12,FALSE)</f>
        <v>16</v>
      </c>
      <c r="AE83" s="849" t="s">
        <v>198</v>
      </c>
      <c r="AF83" s="832"/>
      <c r="AG83" s="852">
        <f t="shared" ref="AG83:AX83" ca="1" si="135">IF(E83="","",E83-IF($B83&gt;0,FLOOR($B83/18,1),0)-IF(AND(MOD($B83,18)&gt;=E$75,$B83&gt;0),1,0)+IF(E$75-18&gt;$B83,1,0))</f>
        <v>4</v>
      </c>
      <c r="AH83" s="852">
        <f t="shared" ca="1" si="135"/>
        <v>4</v>
      </c>
      <c r="AI83" s="852">
        <f t="shared" ca="1" si="135"/>
        <v>5</v>
      </c>
      <c r="AJ83" s="852">
        <f t="shared" ca="1" si="135"/>
        <v>4</v>
      </c>
      <c r="AK83" s="852">
        <f t="shared" ca="1" si="135"/>
        <v>5</v>
      </c>
      <c r="AL83" s="852">
        <f t="shared" ca="1" si="135"/>
        <v>4</v>
      </c>
      <c r="AM83" s="852">
        <f t="shared" ca="1" si="135"/>
        <v>5</v>
      </c>
      <c r="AN83" s="852">
        <f t="shared" ca="1" si="135"/>
        <v>3</v>
      </c>
      <c r="AO83" s="852">
        <f t="shared" ca="1" si="135"/>
        <v>3</v>
      </c>
      <c r="AP83" s="853">
        <f t="shared" ca="1" si="135"/>
        <v>4</v>
      </c>
      <c r="AQ83" s="853">
        <f t="shared" ca="1" si="135"/>
        <v>6</v>
      </c>
      <c r="AR83" s="853">
        <f t="shared" ca="1" si="135"/>
        <v>3</v>
      </c>
      <c r="AS83" s="853">
        <f t="shared" ca="1" si="135"/>
        <v>3</v>
      </c>
      <c r="AT83" s="853">
        <f t="shared" ca="1" si="135"/>
        <v>4</v>
      </c>
      <c r="AU83" s="853">
        <f t="shared" ca="1" si="135"/>
        <v>5</v>
      </c>
      <c r="AV83" s="853">
        <f t="shared" ca="1" si="135"/>
        <v>3</v>
      </c>
      <c r="AW83" s="853">
        <f t="shared" ca="1" si="135"/>
        <v>4</v>
      </c>
      <c r="AX83" s="853">
        <f t="shared" ca="1" si="135"/>
        <v>4</v>
      </c>
      <c r="AY83" s="852">
        <f t="shared" ca="1" si="114"/>
        <v>37</v>
      </c>
      <c r="AZ83" s="852">
        <f t="shared" ca="1" si="115"/>
        <v>36</v>
      </c>
      <c r="BA83" s="852">
        <f t="shared" ca="1" si="122"/>
        <v>73</v>
      </c>
      <c r="BB83" s="849" t="str">
        <f ca="1">IF(COUNTIF('R4_G1'!$A$8:$A$17,$A83)=1, IF(AND(BA83=Z83,BA83=VLOOKUP($A83,'R4_G1'!$A$8:$AB$17, 28,FALSE)),"yes","no"),
IF(COUNTIF('R4_G2'!$A$8:$A$17,$A83)=1, IF(AND(BA83=Z83,BA83=VLOOKUP($A83,'R4_G2'!$A$8:$AB$17, 28,FALSE)),"yes","no"),
IF(COUNTIF('R4_G3'!$A$8:$A$17,$A83)=1, IF(AND(BA83=Z83,BA83=VLOOKUP($A83,'R4_G3'!$A$8:$AB$17, 28,FALSE)),"yes","no"),
IF(COUNTIF('R4_G4'!$A$8:$A$17,$A83)=1, IF(AND(BA83=Z83,BA83=VLOOKUP($A83,'R4_G4'!$A$8:$AB$17, 28,FALSE)),"yes","no"),
"?"))))</f>
        <v>yes</v>
      </c>
      <c r="BC83" s="947"/>
      <c r="BD83" s="862">
        <f t="shared" ca="1" si="123"/>
        <v>9</v>
      </c>
      <c r="BE83" s="855">
        <f t="shared" ca="1" si="124"/>
        <v>11.066666666666665</v>
      </c>
      <c r="BF83" s="855">
        <f t="shared" ca="1" si="125"/>
        <v>0</v>
      </c>
      <c r="BG83" s="855">
        <f t="shared" ca="1" si="126"/>
        <v>5</v>
      </c>
      <c r="BH83" s="855">
        <f t="shared" ca="1" si="127"/>
        <v>8</v>
      </c>
      <c r="BI83" s="855">
        <f t="shared" ca="1" si="128"/>
        <v>4</v>
      </c>
      <c r="BJ83" s="855">
        <f t="shared" ca="1" si="129"/>
        <v>1</v>
      </c>
    </row>
    <row r="84" spans="1:62" ht="14.25" customHeight="1">
      <c r="A84" s="857" t="str">
        <f t="shared" si="116"/>
        <v>Saugy</v>
      </c>
      <c r="B84" s="858">
        <f ca="1">VLOOKUP(A84,'Master Input'!$A$11:$L$27,12,FALSE)</f>
        <v>35</v>
      </c>
      <c r="C84" s="857"/>
      <c r="D84" s="851"/>
      <c r="E84" s="859">
        <f>IF(COUNTIF('R4_G1'!$A$8:$A$17,$A84)=1,VLOOKUP($A84,'R4_G1'!$A$8:$Y$17, E$2+4,FALSE),IF(COUNTIF('R4_G2'!$A$8:$A$17,$A84)=1,VLOOKUP($A84,'R4_G2'!$A$8:$Y$17, E$2+4,FALSE),IF(COUNTIF('R4_G3'!$A$8:$A$17,$A84)=1,VLOOKUP($A84,'R4_G3'!$A$8:$Y$17, E$2+4,FALSE),IF(COUNTIF('R4_G4'!$A$8:$A$17,$A84)=1,VLOOKUP($A84,'R4_G4'!$A$8:$Y$17, E$2+4,FALSE),""))))</f>
        <v>4</v>
      </c>
      <c r="F84" s="859">
        <f>IF(COUNTIF('R4_G1'!$A$8:$A$17,$A84)=1,VLOOKUP($A84,'R4_G1'!$A$8:$Y$17, F$2+4,FALSE),IF(COUNTIF('R4_G2'!$A$8:$A$17,$A84)=1,VLOOKUP($A84,'R4_G2'!$A$8:$Y$17, F$2+4,FALSE),IF(COUNTIF('R4_G3'!$A$8:$A$17,$A84)=1,VLOOKUP($A84,'R4_G3'!$A$8:$Y$17, F$2+4,FALSE),IF(COUNTIF('R4_G4'!$A$8:$A$17,$A84)=1,VLOOKUP($A84,'R4_G4'!$A$8:$Y$17, F$2+4,FALSE),""))))</f>
        <v>6</v>
      </c>
      <c r="G84" s="859">
        <f>IF(COUNTIF('R4_G1'!$A$8:$A$17,$A84)=1,VLOOKUP($A84,'R4_G1'!$A$8:$Y$17, G$2+4,FALSE),IF(COUNTIF('R4_G2'!$A$8:$A$17,$A84)=1,VLOOKUP($A84,'R4_G2'!$A$8:$Y$17, G$2+4,FALSE),IF(COUNTIF('R4_G3'!$A$8:$A$17,$A84)=1,VLOOKUP($A84,'R4_G3'!$A$8:$Y$17, G$2+4,FALSE),IF(COUNTIF('R4_G4'!$A$8:$A$17,$A84)=1,VLOOKUP($A84,'R4_G4'!$A$8:$Y$17, G$2+4,FALSE),""))))</f>
        <v>6</v>
      </c>
      <c r="H84" s="859">
        <f>IF(COUNTIF('R4_G1'!$A$8:$A$17,$A84)=1,VLOOKUP($A84,'R4_G1'!$A$8:$Y$17, H$2+4,FALSE),IF(COUNTIF('R4_G2'!$A$8:$A$17,$A84)=1,VLOOKUP($A84,'R4_G2'!$A$8:$Y$17, H$2+4,FALSE),IF(COUNTIF('R4_G3'!$A$8:$A$17,$A84)=1,VLOOKUP($A84,'R4_G3'!$A$8:$Y$17, H$2+4,FALSE),IF(COUNTIF('R4_G4'!$A$8:$A$17,$A84)=1,VLOOKUP($A84,'R4_G4'!$A$8:$Y$17, H$2+4,FALSE),""))))</f>
        <v>5</v>
      </c>
      <c r="I84" s="859">
        <f>IF(COUNTIF('R4_G1'!$A$8:$A$17,$A84)=1,VLOOKUP($A84,'R4_G1'!$A$8:$Y$17, I$2+4,FALSE),IF(COUNTIF('R4_G2'!$A$8:$A$17,$A84)=1,VLOOKUP($A84,'R4_G2'!$A$8:$Y$17, I$2+4,FALSE),IF(COUNTIF('R4_G3'!$A$8:$A$17,$A84)=1,VLOOKUP($A84,'R4_G3'!$A$8:$Y$17, I$2+4,FALSE),IF(COUNTIF('R4_G4'!$A$8:$A$17,$A84)=1,VLOOKUP($A84,'R4_G4'!$A$8:$Y$17, I$2+4,FALSE),""))))</f>
        <v>6</v>
      </c>
      <c r="J84" s="859">
        <f>IF(COUNTIF('R4_G1'!$A$8:$A$17,$A84)=1,VLOOKUP($A84,'R4_G1'!$A$8:$Y$17, J$2+4,FALSE),IF(COUNTIF('R4_G2'!$A$8:$A$17,$A84)=1,VLOOKUP($A84,'R4_G2'!$A$8:$Y$17, J$2+4,FALSE),IF(COUNTIF('R4_G3'!$A$8:$A$17,$A84)=1,VLOOKUP($A84,'R4_G3'!$A$8:$Y$17, J$2+4,FALSE),IF(COUNTIF('R4_G4'!$A$8:$A$17,$A84)=1,VLOOKUP($A84,'R4_G4'!$A$8:$Y$17, J$2+4,FALSE),""))))</f>
        <v>7</v>
      </c>
      <c r="K84" s="859">
        <f>IF(COUNTIF('R4_G1'!$A$8:$A$17,$A84)=1,VLOOKUP($A84,'R4_G1'!$A$8:$Y$17, K$2+4,FALSE),IF(COUNTIF('R4_G2'!$A$8:$A$17,$A84)=1,VLOOKUP($A84,'R4_G2'!$A$8:$Y$17, K$2+4,FALSE),IF(COUNTIF('R4_G3'!$A$8:$A$17,$A84)=1,VLOOKUP($A84,'R4_G3'!$A$8:$Y$17, K$2+4,FALSE),IF(COUNTIF('R4_G4'!$A$8:$A$17,$A84)=1,VLOOKUP($A84,'R4_G4'!$A$8:$Y$17, K$2+4,FALSE),""))))</f>
        <v>7</v>
      </c>
      <c r="L84" s="859">
        <f>IF(COUNTIF('R4_G1'!$A$8:$A$17,$A84)=1,VLOOKUP($A84,'R4_G1'!$A$8:$Y$17, L$2+4,FALSE),IF(COUNTIF('R4_G2'!$A$8:$A$17,$A84)=1,VLOOKUP($A84,'R4_G2'!$A$8:$Y$17, L$2+4,FALSE),IF(COUNTIF('R4_G3'!$A$8:$A$17,$A84)=1,VLOOKUP($A84,'R4_G3'!$A$8:$Y$17, L$2+4,FALSE),IF(COUNTIF('R4_G4'!$A$8:$A$17,$A84)=1,VLOOKUP($A84,'R4_G4'!$A$8:$Y$17, L$2+4,FALSE),""))))</f>
        <v>5</v>
      </c>
      <c r="M84" s="859">
        <f>IF(COUNTIF('R4_G1'!$A$8:$A$17,$A84)=1,VLOOKUP($A84,'R4_G1'!$A$8:$Y$17, M$2+4,FALSE),IF(COUNTIF('R4_G2'!$A$8:$A$17,$A84)=1,VLOOKUP($A84,'R4_G2'!$A$8:$Y$17, M$2+4,FALSE),IF(COUNTIF('R4_G3'!$A$8:$A$17,$A84)=1,VLOOKUP($A84,'R4_G3'!$A$8:$Y$17, M$2+4,FALSE),IF(COUNTIF('R4_G4'!$A$8:$A$17,$A84)=1,VLOOKUP($A84,'R4_G4'!$A$8:$Y$17, M$2+4,FALSE),""))))</f>
        <v>7</v>
      </c>
      <c r="N84" s="852">
        <f>IF(COUNTIF('R4_G1'!$A$8:$A$17,$A84)=1,VLOOKUP($A84,'R4_G1'!$A$8:$Y$17, N$2+7,FALSE),IF(COUNTIF('R4_G2'!$A$8:$A$17,$A84)=1,VLOOKUP($A84,'R4_G2'!$A$8:$Y$17, N$2+7,FALSE),IF(COUNTIF('R4_G3'!$A$8:$A$17,$A84)=1,VLOOKUP($A84,'R4_G3'!$A$8:$Y$17, N$2+7,FALSE),IF(COUNTIF('R4_G4'!$A$8:$A$17,$A84)=1,VLOOKUP($A84,'R4_G4'!$A$8:$Y$17, N$2+7,FALSE),""))))</f>
        <v>8</v>
      </c>
      <c r="O84" s="852">
        <f>IF(COUNTIF('R4_G1'!$A$8:$A$17,$A84)=1,VLOOKUP($A84,'R4_G1'!$A$8:$Y$17, O$2+7,FALSE),IF(COUNTIF('R4_G2'!$A$8:$A$17,$A84)=1,VLOOKUP($A84,'R4_G2'!$A$8:$Y$17, O$2+7,FALSE),IF(COUNTIF('R4_G3'!$A$8:$A$17,$A84)=1,VLOOKUP($A84,'R4_G3'!$A$8:$Y$17, O$2+7,FALSE),IF(COUNTIF('R4_G4'!$A$8:$A$17,$A84)=1,VLOOKUP($A84,'R4_G4'!$A$8:$Y$17, O$2+7,FALSE),""))))</f>
        <v>5</v>
      </c>
      <c r="P84" s="852">
        <f>IF(COUNTIF('R4_G1'!$A$8:$A$17,$A84)=1,VLOOKUP($A84,'R4_G1'!$A$8:$Y$17, P$2+7,FALSE),IF(COUNTIF('R4_G2'!$A$8:$A$17,$A84)=1,VLOOKUP($A84,'R4_G2'!$A$8:$Y$17, P$2+7,FALSE),IF(COUNTIF('R4_G3'!$A$8:$A$17,$A84)=1,VLOOKUP($A84,'R4_G3'!$A$8:$Y$17, P$2+7,FALSE),IF(COUNTIF('R4_G4'!$A$8:$A$17,$A84)=1,VLOOKUP($A84,'R4_G4'!$A$8:$Y$17, P$2+7,FALSE),""))))</f>
        <v>8</v>
      </c>
      <c r="Q84" s="852">
        <f>IF(COUNTIF('R4_G1'!$A$8:$A$17,$A84)=1,VLOOKUP($A84,'R4_G1'!$A$8:$Y$17, Q$2+7,FALSE),IF(COUNTIF('R4_G2'!$A$8:$A$17,$A84)=1,VLOOKUP($A84,'R4_G2'!$A$8:$Y$17, Q$2+7,FALSE),IF(COUNTIF('R4_G3'!$A$8:$A$17,$A84)=1,VLOOKUP($A84,'R4_G3'!$A$8:$Y$17, Q$2+7,FALSE),IF(COUNTIF('R4_G4'!$A$8:$A$17,$A84)=1,VLOOKUP($A84,'R4_G4'!$A$8:$Y$17, Q$2+7,FALSE),""))))</f>
        <v>4</v>
      </c>
      <c r="R84" s="852">
        <f>IF(COUNTIF('R4_G1'!$A$8:$A$17,$A84)=1,VLOOKUP($A84,'R4_G1'!$A$8:$Y$17, R$2+7,FALSE),IF(COUNTIF('R4_G2'!$A$8:$A$17,$A84)=1,VLOOKUP($A84,'R4_G2'!$A$8:$Y$17, R$2+7,FALSE),IF(COUNTIF('R4_G3'!$A$8:$A$17,$A84)=1,VLOOKUP($A84,'R4_G3'!$A$8:$Y$17, R$2+7,FALSE),IF(COUNTIF('R4_G4'!$A$8:$A$17,$A84)=1,VLOOKUP($A84,'R4_G4'!$A$8:$Y$17, R$2+7,FALSE),""))))</f>
        <v>8</v>
      </c>
      <c r="S84" s="852">
        <f>IF(COUNTIF('R4_G1'!$A$8:$A$17,$A84)=1,VLOOKUP($A84,'R4_G1'!$A$8:$Y$17, S$2+7,FALSE),IF(COUNTIF('R4_G2'!$A$8:$A$17,$A84)=1,VLOOKUP($A84,'R4_G2'!$A$8:$Y$17, S$2+7,FALSE),IF(COUNTIF('R4_G3'!$A$8:$A$17,$A84)=1,VLOOKUP($A84,'R4_G3'!$A$8:$Y$17, S$2+7,FALSE),IF(COUNTIF('R4_G4'!$A$8:$A$17,$A84)=1,VLOOKUP($A84,'R4_G4'!$A$8:$Y$17, S$2+7,FALSE),""))))</f>
        <v>9</v>
      </c>
      <c r="T84" s="852">
        <f>IF(COUNTIF('R4_G1'!$A$8:$A$17,$A84)=1,VLOOKUP($A84,'R4_G1'!$A$8:$Y$17, T$2+7,FALSE),IF(COUNTIF('R4_G2'!$A$8:$A$17,$A84)=1,VLOOKUP($A84,'R4_G2'!$A$8:$Y$17, T$2+7,FALSE),IF(COUNTIF('R4_G3'!$A$8:$A$17,$A84)=1,VLOOKUP($A84,'R4_G3'!$A$8:$Y$17, T$2+7,FALSE),IF(COUNTIF('R4_G4'!$A$8:$A$17,$A84)=1,VLOOKUP($A84,'R4_G4'!$A$8:$Y$17, T$2+7,FALSE),""))))</f>
        <v>7</v>
      </c>
      <c r="U84" s="852">
        <f>IF(COUNTIF('R4_G1'!$A$8:$A$17,$A84)=1,VLOOKUP($A84,'R4_G1'!$A$8:$Y$17, U$2+7,FALSE),IF(COUNTIF('R4_G2'!$A$8:$A$17,$A84)=1,VLOOKUP($A84,'R4_G2'!$A$8:$Y$17, U$2+7,FALSE),IF(COUNTIF('R4_G3'!$A$8:$A$17,$A84)=1,VLOOKUP($A84,'R4_G3'!$A$8:$Y$17, U$2+7,FALSE),IF(COUNTIF('R4_G4'!$A$8:$A$17,$A84)=1,VLOOKUP($A84,'R4_G4'!$A$8:$Y$17, U$2+7,FALSE),""))))</f>
        <v>7</v>
      </c>
      <c r="V84" s="852">
        <f>IF(COUNTIF('R4_G1'!$A$8:$A$17,$A84)=1,VLOOKUP($A84,'R4_G1'!$A$8:$Y$17, V$2+7,FALSE),IF(COUNTIF('R4_G2'!$A$8:$A$17,$A84)=1,VLOOKUP($A84,'R4_G2'!$A$8:$Y$17, V$2+7,FALSE),IF(COUNTIF('R4_G3'!$A$8:$A$17,$A84)=1,VLOOKUP($A84,'R4_G3'!$A$8:$Y$17, V$2+7,FALSE),IF(COUNTIF('R4_G4'!$A$8:$A$17,$A84)=1,VLOOKUP($A84,'R4_G4'!$A$8:$Y$17, V$2+7,FALSE),""))))</f>
        <v>5</v>
      </c>
      <c r="W84" s="859">
        <f t="shared" si="111"/>
        <v>53</v>
      </c>
      <c r="X84" s="859">
        <f t="shared" si="112"/>
        <v>61</v>
      </c>
      <c r="Y84" s="859">
        <f t="shared" si="117"/>
        <v>114</v>
      </c>
      <c r="Z84" s="859">
        <f t="shared" ca="1" si="118"/>
        <v>79</v>
      </c>
      <c r="AA84" s="859">
        <f t="shared" si="119"/>
        <v>114</v>
      </c>
      <c r="AB84" s="947"/>
      <c r="AC84" s="857" t="str">
        <f t="shared" si="120"/>
        <v>Saugy</v>
      </c>
      <c r="AD84" s="858">
        <f ca="1">VLOOKUP(AC84,'Master Input'!$A$11:$L$27,12,FALSE)</f>
        <v>35</v>
      </c>
      <c r="AE84" s="857" t="s">
        <v>198</v>
      </c>
      <c r="AF84" s="832"/>
      <c r="AG84" s="859">
        <f t="shared" ref="AG84:AX84" ca="1" si="136">IF(E84="","",E84-IF($B84&gt;0,FLOOR($B84/18,1),0)-IF(AND(MOD($B84,18)&gt;=E$75,$B84&gt;0),1,0)+IF(E$75-18&gt;$B84,1,0))</f>
        <v>2</v>
      </c>
      <c r="AH84" s="859">
        <f t="shared" ca="1" si="136"/>
        <v>4</v>
      </c>
      <c r="AI84" s="859">
        <f t="shared" ca="1" si="136"/>
        <v>4</v>
      </c>
      <c r="AJ84" s="859">
        <f t="shared" ca="1" si="136"/>
        <v>3</v>
      </c>
      <c r="AK84" s="859">
        <f t="shared" ca="1" si="136"/>
        <v>4</v>
      </c>
      <c r="AL84" s="859">
        <f t="shared" ca="1" si="136"/>
        <v>5</v>
      </c>
      <c r="AM84" s="859">
        <f t="shared" ca="1" si="136"/>
        <v>5</v>
      </c>
      <c r="AN84" s="859">
        <f t="shared" ca="1" si="136"/>
        <v>3</v>
      </c>
      <c r="AO84" s="859">
        <f t="shared" ca="1" si="136"/>
        <v>5</v>
      </c>
      <c r="AP84" s="852">
        <f t="shared" ca="1" si="136"/>
        <v>7</v>
      </c>
      <c r="AQ84" s="852">
        <f t="shared" ca="1" si="136"/>
        <v>3</v>
      </c>
      <c r="AR84" s="852">
        <f t="shared" ca="1" si="136"/>
        <v>6</v>
      </c>
      <c r="AS84" s="852">
        <f t="shared" ca="1" si="136"/>
        <v>2</v>
      </c>
      <c r="AT84" s="852">
        <f t="shared" ca="1" si="136"/>
        <v>6</v>
      </c>
      <c r="AU84" s="852">
        <f t="shared" ca="1" si="136"/>
        <v>7</v>
      </c>
      <c r="AV84" s="852">
        <f t="shared" ca="1" si="136"/>
        <v>5</v>
      </c>
      <c r="AW84" s="852">
        <f t="shared" ca="1" si="136"/>
        <v>5</v>
      </c>
      <c r="AX84" s="852">
        <f t="shared" ca="1" si="136"/>
        <v>3</v>
      </c>
      <c r="AY84" s="859">
        <f t="shared" ca="1" si="114"/>
        <v>35</v>
      </c>
      <c r="AZ84" s="859">
        <f t="shared" ca="1" si="115"/>
        <v>44</v>
      </c>
      <c r="BA84" s="859">
        <f t="shared" ca="1" si="122"/>
        <v>79</v>
      </c>
      <c r="BB84" s="857" t="str">
        <f ca="1">IF(COUNTIF('R4_G1'!$A$8:$A$17,$A84)=1, IF(AND(BA84=Z84,BA84=VLOOKUP($A84,'R4_G1'!$A$8:$AB$17, 28,FALSE)),"yes","no"),
IF(COUNTIF('R4_G2'!$A$8:$A$17,$A84)=1, IF(AND(BA84=Z84,BA84=VLOOKUP($A84,'R4_G2'!$A$8:$AB$17, 28,FALSE)),"yes","no"),
IF(COUNTIF('R4_G3'!$A$8:$A$17,$A84)=1, IF(AND(BA84=Z84,BA84=VLOOKUP($A84,'R4_G3'!$A$8:$AB$17, 28,FALSE)),"yes","no"),
IF(COUNTIF('R4_G4'!$A$8:$A$17,$A84)=1, IF(AND(BA84=Z84,BA84=VLOOKUP($A84,'R4_G4'!$A$8:$AB$17, 28,FALSE)),"yes","no"),
"?"))))</f>
        <v>yes</v>
      </c>
      <c r="BC84" s="947"/>
      <c r="BD84" s="860">
        <f t="shared" ca="1" si="123"/>
        <v>8</v>
      </c>
      <c r="BE84" s="861">
        <f t="shared" ca="1" si="124"/>
        <v>9.2666666666666657</v>
      </c>
      <c r="BF84" s="861">
        <f t="shared" ca="1" si="125"/>
        <v>1</v>
      </c>
      <c r="BG84" s="861">
        <f t="shared" ca="1" si="126"/>
        <v>5</v>
      </c>
      <c r="BH84" s="861">
        <f t="shared" ca="1" si="127"/>
        <v>4</v>
      </c>
      <c r="BI84" s="861">
        <f t="shared" ca="1" si="128"/>
        <v>2</v>
      </c>
      <c r="BJ84" s="861">
        <f t="shared" ca="1" si="129"/>
        <v>6</v>
      </c>
    </row>
    <row r="85" spans="1:62" ht="14.25" customHeight="1">
      <c r="A85" s="849" t="str">
        <f t="shared" si="116"/>
        <v>Elger</v>
      </c>
      <c r="B85" s="850">
        <f ca="1">VLOOKUP(A85,'Master Input'!$A$11:$L$27,12,FALSE)</f>
        <v>5</v>
      </c>
      <c r="C85" s="849"/>
      <c r="D85" s="851"/>
      <c r="E85" s="852">
        <f>IF(COUNTIF('R4_G1'!$A$8:$A$17,$A85)=1,VLOOKUP($A85,'R4_G1'!$A$8:$Y$17, E$2+4,FALSE),IF(COUNTIF('R4_G2'!$A$8:$A$17,$A85)=1,VLOOKUP($A85,'R4_G2'!$A$8:$Y$17, E$2+4,FALSE),IF(COUNTIF('R4_G3'!$A$8:$A$17,$A85)=1,VLOOKUP($A85,'R4_G3'!$A$8:$Y$17, E$2+4,FALSE),IF(COUNTIF('R4_G4'!$A$8:$A$17,$A85)=1,VLOOKUP($A85,'R4_G4'!$A$8:$Y$17, E$2+4,FALSE),""))))</f>
        <v>5</v>
      </c>
      <c r="F85" s="852">
        <f>IF(COUNTIF('R4_G1'!$A$8:$A$17,$A85)=1,VLOOKUP($A85,'R4_G1'!$A$8:$Y$17, F$2+4,FALSE),IF(COUNTIF('R4_G2'!$A$8:$A$17,$A85)=1,VLOOKUP($A85,'R4_G2'!$A$8:$Y$17, F$2+4,FALSE),IF(COUNTIF('R4_G3'!$A$8:$A$17,$A85)=1,VLOOKUP($A85,'R4_G3'!$A$8:$Y$17, F$2+4,FALSE),IF(COUNTIF('R4_G4'!$A$8:$A$17,$A85)=1,VLOOKUP($A85,'R4_G4'!$A$8:$Y$17, F$2+4,FALSE),""))))</f>
        <v>6</v>
      </c>
      <c r="G85" s="852">
        <f>IF(COUNTIF('R4_G1'!$A$8:$A$17,$A85)=1,VLOOKUP($A85,'R4_G1'!$A$8:$Y$17, G$2+4,FALSE),IF(COUNTIF('R4_G2'!$A$8:$A$17,$A85)=1,VLOOKUP($A85,'R4_G2'!$A$8:$Y$17, G$2+4,FALSE),IF(COUNTIF('R4_G3'!$A$8:$A$17,$A85)=1,VLOOKUP($A85,'R4_G3'!$A$8:$Y$17, G$2+4,FALSE),IF(COUNTIF('R4_G4'!$A$8:$A$17,$A85)=1,VLOOKUP($A85,'R4_G4'!$A$8:$Y$17, G$2+4,FALSE),""))))</f>
        <v>5</v>
      </c>
      <c r="H85" s="852">
        <f>IF(COUNTIF('R4_G1'!$A$8:$A$17,$A85)=1,VLOOKUP($A85,'R4_G1'!$A$8:$Y$17, H$2+4,FALSE),IF(COUNTIF('R4_G2'!$A$8:$A$17,$A85)=1,VLOOKUP($A85,'R4_G2'!$A$8:$Y$17, H$2+4,FALSE),IF(COUNTIF('R4_G3'!$A$8:$A$17,$A85)=1,VLOOKUP($A85,'R4_G3'!$A$8:$Y$17, H$2+4,FALSE),IF(COUNTIF('R4_G4'!$A$8:$A$17,$A85)=1,VLOOKUP($A85,'R4_G4'!$A$8:$Y$17, H$2+4,FALSE),""))))</f>
        <v>4</v>
      </c>
      <c r="I85" s="852">
        <f>IF(COUNTIF('R4_G1'!$A$8:$A$17,$A85)=1,VLOOKUP($A85,'R4_G1'!$A$8:$Y$17, I$2+4,FALSE),IF(COUNTIF('R4_G2'!$A$8:$A$17,$A85)=1,VLOOKUP($A85,'R4_G2'!$A$8:$Y$17, I$2+4,FALSE),IF(COUNTIF('R4_G3'!$A$8:$A$17,$A85)=1,VLOOKUP($A85,'R4_G3'!$A$8:$Y$17, I$2+4,FALSE),IF(COUNTIF('R4_G4'!$A$8:$A$17,$A85)=1,VLOOKUP($A85,'R4_G4'!$A$8:$Y$17, I$2+4,FALSE),""))))</f>
        <v>5</v>
      </c>
      <c r="J85" s="852">
        <f>IF(COUNTIF('R4_G1'!$A$8:$A$17,$A85)=1,VLOOKUP($A85,'R4_G1'!$A$8:$Y$17, J$2+4,FALSE),IF(COUNTIF('R4_G2'!$A$8:$A$17,$A85)=1,VLOOKUP($A85,'R4_G2'!$A$8:$Y$17, J$2+4,FALSE),IF(COUNTIF('R4_G3'!$A$8:$A$17,$A85)=1,VLOOKUP($A85,'R4_G3'!$A$8:$Y$17, J$2+4,FALSE),IF(COUNTIF('R4_G4'!$A$8:$A$17,$A85)=1,VLOOKUP($A85,'R4_G4'!$A$8:$Y$17, J$2+4,FALSE),""))))</f>
        <v>5</v>
      </c>
      <c r="K85" s="852">
        <f>IF(COUNTIF('R4_G1'!$A$8:$A$17,$A85)=1,VLOOKUP($A85,'R4_G1'!$A$8:$Y$17, K$2+4,FALSE),IF(COUNTIF('R4_G2'!$A$8:$A$17,$A85)=1,VLOOKUP($A85,'R4_G2'!$A$8:$Y$17, K$2+4,FALSE),IF(COUNTIF('R4_G3'!$A$8:$A$17,$A85)=1,VLOOKUP($A85,'R4_G3'!$A$8:$Y$17, K$2+4,FALSE),IF(COUNTIF('R4_G4'!$A$8:$A$17,$A85)=1,VLOOKUP($A85,'R4_G4'!$A$8:$Y$17, K$2+4,FALSE),""))))</f>
        <v>6</v>
      </c>
      <c r="L85" s="852">
        <f>IF(COUNTIF('R4_G1'!$A$8:$A$17,$A85)=1,VLOOKUP($A85,'R4_G1'!$A$8:$Y$17, L$2+4,FALSE),IF(COUNTIF('R4_G2'!$A$8:$A$17,$A85)=1,VLOOKUP($A85,'R4_G2'!$A$8:$Y$17, L$2+4,FALSE),IF(COUNTIF('R4_G3'!$A$8:$A$17,$A85)=1,VLOOKUP($A85,'R4_G3'!$A$8:$Y$17, L$2+4,FALSE),IF(COUNTIF('R4_G4'!$A$8:$A$17,$A85)=1,VLOOKUP($A85,'R4_G4'!$A$8:$Y$17, L$2+4,FALSE),""))))</f>
        <v>6</v>
      </c>
      <c r="M85" s="852">
        <f>IF(COUNTIF('R4_G1'!$A$8:$A$17,$A85)=1,VLOOKUP($A85,'R4_G1'!$A$8:$Y$17, M$2+4,FALSE),IF(COUNTIF('R4_G2'!$A$8:$A$17,$A85)=1,VLOOKUP($A85,'R4_G2'!$A$8:$Y$17, M$2+4,FALSE),IF(COUNTIF('R4_G3'!$A$8:$A$17,$A85)=1,VLOOKUP($A85,'R4_G3'!$A$8:$Y$17, M$2+4,FALSE),IF(COUNTIF('R4_G4'!$A$8:$A$17,$A85)=1,VLOOKUP($A85,'R4_G4'!$A$8:$Y$17, M$2+4,FALSE),""))))</f>
        <v>4</v>
      </c>
      <c r="N85" s="853">
        <f>IF(COUNTIF('R4_G1'!$A$8:$A$17,$A85)=1,VLOOKUP($A85,'R4_G1'!$A$8:$Y$17, N$2+7,FALSE),IF(COUNTIF('R4_G2'!$A$8:$A$17,$A85)=1,VLOOKUP($A85,'R4_G2'!$A$8:$Y$17, N$2+7,FALSE),IF(COUNTIF('R4_G3'!$A$8:$A$17,$A85)=1,VLOOKUP($A85,'R4_G3'!$A$8:$Y$17, N$2+7,FALSE),IF(COUNTIF('R4_G4'!$A$8:$A$17,$A85)=1,VLOOKUP($A85,'R4_G4'!$A$8:$Y$17, N$2+7,FALSE),""))))</f>
        <v>5</v>
      </c>
      <c r="O85" s="853">
        <f>IF(COUNTIF('R4_G1'!$A$8:$A$17,$A85)=1,VLOOKUP($A85,'R4_G1'!$A$8:$Y$17, O$2+7,FALSE),IF(COUNTIF('R4_G2'!$A$8:$A$17,$A85)=1,VLOOKUP($A85,'R4_G2'!$A$8:$Y$17, O$2+7,FALSE),IF(COUNTIF('R4_G3'!$A$8:$A$17,$A85)=1,VLOOKUP($A85,'R4_G3'!$A$8:$Y$17, O$2+7,FALSE),IF(COUNTIF('R4_G4'!$A$8:$A$17,$A85)=1,VLOOKUP($A85,'R4_G4'!$A$8:$Y$17, O$2+7,FALSE),""))))</f>
        <v>5</v>
      </c>
      <c r="P85" s="853">
        <f>IF(COUNTIF('R4_G1'!$A$8:$A$17,$A85)=1,VLOOKUP($A85,'R4_G1'!$A$8:$Y$17, P$2+7,FALSE),IF(COUNTIF('R4_G2'!$A$8:$A$17,$A85)=1,VLOOKUP($A85,'R4_G2'!$A$8:$Y$17, P$2+7,FALSE),IF(COUNTIF('R4_G3'!$A$8:$A$17,$A85)=1,VLOOKUP($A85,'R4_G3'!$A$8:$Y$17, P$2+7,FALSE),IF(COUNTIF('R4_G4'!$A$8:$A$17,$A85)=1,VLOOKUP($A85,'R4_G4'!$A$8:$Y$17, P$2+7,FALSE),""))))</f>
        <v>4</v>
      </c>
      <c r="Q85" s="853">
        <f>IF(COUNTIF('R4_G1'!$A$8:$A$17,$A85)=1,VLOOKUP($A85,'R4_G1'!$A$8:$Y$17, Q$2+7,FALSE),IF(COUNTIF('R4_G2'!$A$8:$A$17,$A85)=1,VLOOKUP($A85,'R4_G2'!$A$8:$Y$17, Q$2+7,FALSE),IF(COUNTIF('R4_G3'!$A$8:$A$17,$A85)=1,VLOOKUP($A85,'R4_G3'!$A$8:$Y$17, Q$2+7,FALSE),IF(COUNTIF('R4_G4'!$A$8:$A$17,$A85)=1,VLOOKUP($A85,'R4_G4'!$A$8:$Y$17, Q$2+7,FALSE),""))))</f>
        <v>4</v>
      </c>
      <c r="R85" s="853">
        <f>IF(COUNTIF('R4_G1'!$A$8:$A$17,$A85)=1,VLOOKUP($A85,'R4_G1'!$A$8:$Y$17, R$2+7,FALSE),IF(COUNTIF('R4_G2'!$A$8:$A$17,$A85)=1,VLOOKUP($A85,'R4_G2'!$A$8:$Y$17, R$2+7,FALSE),IF(COUNTIF('R4_G3'!$A$8:$A$17,$A85)=1,VLOOKUP($A85,'R4_G3'!$A$8:$Y$17, R$2+7,FALSE),IF(COUNTIF('R4_G4'!$A$8:$A$17,$A85)=1,VLOOKUP($A85,'R4_G4'!$A$8:$Y$17, R$2+7,FALSE),""))))</f>
        <v>4</v>
      </c>
      <c r="S85" s="853">
        <f>IF(COUNTIF('R4_G1'!$A$8:$A$17,$A85)=1,VLOOKUP($A85,'R4_G1'!$A$8:$Y$17, S$2+7,FALSE),IF(COUNTIF('R4_G2'!$A$8:$A$17,$A85)=1,VLOOKUP($A85,'R4_G2'!$A$8:$Y$17, S$2+7,FALSE),IF(COUNTIF('R4_G3'!$A$8:$A$17,$A85)=1,VLOOKUP($A85,'R4_G3'!$A$8:$Y$17, S$2+7,FALSE),IF(COUNTIF('R4_G4'!$A$8:$A$17,$A85)=1,VLOOKUP($A85,'R4_G4'!$A$8:$Y$17, S$2+7,FALSE),""))))</f>
        <v>6</v>
      </c>
      <c r="T85" s="853">
        <f>IF(COUNTIF('R4_G1'!$A$8:$A$17,$A85)=1,VLOOKUP($A85,'R4_G1'!$A$8:$Y$17, T$2+7,FALSE),IF(COUNTIF('R4_G2'!$A$8:$A$17,$A85)=1,VLOOKUP($A85,'R4_G2'!$A$8:$Y$17, T$2+7,FALSE),IF(COUNTIF('R4_G3'!$A$8:$A$17,$A85)=1,VLOOKUP($A85,'R4_G3'!$A$8:$Y$17, T$2+7,FALSE),IF(COUNTIF('R4_G4'!$A$8:$A$17,$A85)=1,VLOOKUP($A85,'R4_G4'!$A$8:$Y$17, T$2+7,FALSE),""))))</f>
        <v>3</v>
      </c>
      <c r="U85" s="853">
        <f>IF(COUNTIF('R4_G1'!$A$8:$A$17,$A85)=1,VLOOKUP($A85,'R4_G1'!$A$8:$Y$17, U$2+7,FALSE),IF(COUNTIF('R4_G2'!$A$8:$A$17,$A85)=1,VLOOKUP($A85,'R4_G2'!$A$8:$Y$17, U$2+7,FALSE),IF(COUNTIF('R4_G3'!$A$8:$A$17,$A85)=1,VLOOKUP($A85,'R4_G3'!$A$8:$Y$17, U$2+7,FALSE),IF(COUNTIF('R4_G4'!$A$8:$A$17,$A85)=1,VLOOKUP($A85,'R4_G4'!$A$8:$Y$17, U$2+7,FALSE),""))))</f>
        <v>3</v>
      </c>
      <c r="V85" s="853">
        <f>IF(COUNTIF('R4_G1'!$A$8:$A$17,$A85)=1,VLOOKUP($A85,'R4_G1'!$A$8:$Y$17, V$2+7,FALSE),IF(COUNTIF('R4_G2'!$A$8:$A$17,$A85)=1,VLOOKUP($A85,'R4_G2'!$A$8:$Y$17, V$2+7,FALSE),IF(COUNTIF('R4_G3'!$A$8:$A$17,$A85)=1,VLOOKUP($A85,'R4_G3'!$A$8:$Y$17, V$2+7,FALSE),IF(COUNTIF('R4_G4'!$A$8:$A$17,$A85)=1,VLOOKUP($A85,'R4_G4'!$A$8:$Y$17, V$2+7,FALSE),""))))</f>
        <v>7</v>
      </c>
      <c r="W85" s="852">
        <f t="shared" si="111"/>
        <v>46</v>
      </c>
      <c r="X85" s="852">
        <f t="shared" si="112"/>
        <v>41</v>
      </c>
      <c r="Y85" s="852">
        <f t="shared" si="117"/>
        <v>87</v>
      </c>
      <c r="Z85" s="852">
        <f t="shared" ca="1" si="118"/>
        <v>82</v>
      </c>
      <c r="AA85" s="859">
        <f t="shared" si="119"/>
        <v>87</v>
      </c>
      <c r="AB85" s="947"/>
      <c r="AC85" s="849" t="str">
        <f t="shared" si="120"/>
        <v>Elger</v>
      </c>
      <c r="AD85" s="850">
        <f ca="1">VLOOKUP(AC85,'Master Input'!$A$11:$L$27,12,FALSE)</f>
        <v>5</v>
      </c>
      <c r="AE85" s="849" t="s">
        <v>198</v>
      </c>
      <c r="AF85" s="832"/>
      <c r="AG85" s="852">
        <f t="shared" ref="AG85:AX85" ca="1" si="137">IF(E85="","",E85-IF($B85&gt;0,FLOOR($B85/18,1),0)-IF(AND(MOD($B85,18)&gt;=E$75,$B85&gt;0),1,0)+IF(E$75-18&gt;$B85,1,0))</f>
        <v>5</v>
      </c>
      <c r="AH85" s="852">
        <f t="shared" ca="1" si="137"/>
        <v>5</v>
      </c>
      <c r="AI85" s="852">
        <f t="shared" ca="1" si="137"/>
        <v>5</v>
      </c>
      <c r="AJ85" s="852">
        <f t="shared" ca="1" si="137"/>
        <v>4</v>
      </c>
      <c r="AK85" s="852">
        <f t="shared" ca="1" si="137"/>
        <v>4</v>
      </c>
      <c r="AL85" s="852">
        <f t="shared" ca="1" si="137"/>
        <v>5</v>
      </c>
      <c r="AM85" s="852">
        <f t="shared" ca="1" si="137"/>
        <v>5</v>
      </c>
      <c r="AN85" s="852">
        <f t="shared" ca="1" si="137"/>
        <v>6</v>
      </c>
      <c r="AO85" s="852">
        <f t="shared" ca="1" si="137"/>
        <v>4</v>
      </c>
      <c r="AP85" s="853">
        <f t="shared" ca="1" si="137"/>
        <v>5</v>
      </c>
      <c r="AQ85" s="853">
        <f t="shared" ca="1" si="137"/>
        <v>4</v>
      </c>
      <c r="AR85" s="853">
        <f t="shared" ca="1" si="137"/>
        <v>4</v>
      </c>
      <c r="AS85" s="853">
        <f t="shared" ca="1" si="137"/>
        <v>4</v>
      </c>
      <c r="AT85" s="853">
        <f t="shared" ca="1" si="137"/>
        <v>4</v>
      </c>
      <c r="AU85" s="853">
        <f t="shared" ca="1" si="137"/>
        <v>6</v>
      </c>
      <c r="AV85" s="853">
        <f t="shared" ca="1" si="137"/>
        <v>2</v>
      </c>
      <c r="AW85" s="853">
        <f t="shared" ca="1" si="137"/>
        <v>3</v>
      </c>
      <c r="AX85" s="853">
        <f t="shared" ca="1" si="137"/>
        <v>7</v>
      </c>
      <c r="AY85" s="852">
        <f t="shared" ca="1" si="114"/>
        <v>43</v>
      </c>
      <c r="AZ85" s="852">
        <f t="shared" ca="1" si="115"/>
        <v>39</v>
      </c>
      <c r="BA85" s="852">
        <f t="shared" ca="1" si="122"/>
        <v>82</v>
      </c>
      <c r="BB85" s="849" t="str">
        <f ca="1">IF(COUNTIF('R4_G1'!$A$8:$A$17,$A85)=1, IF(AND(BA85=Z85,BA85=VLOOKUP($A85,'R4_G1'!$A$8:$AB$17, 28,FALSE)),"yes","no"),
IF(COUNTIF('R4_G2'!$A$8:$A$17,$A85)=1, IF(AND(BA85=Z85,BA85=VLOOKUP($A85,'R4_G2'!$A$8:$AB$17, 28,FALSE)),"yes","no"),
IF(COUNTIF('R4_G3'!$A$8:$A$17,$A85)=1, IF(AND(BA85=Z85,BA85=VLOOKUP($A85,'R4_G3'!$A$8:$AB$17, 28,FALSE)),"yes","no"),
IF(COUNTIF('R4_G4'!$A$8:$A$17,$A85)=1, IF(AND(BA85=Z85,BA85=VLOOKUP($A85,'R4_G4'!$A$8:$AB$17, 28,FALSE)),"yes","no"),
"?"))))</f>
        <v>yes</v>
      </c>
      <c r="BC85" s="947"/>
      <c r="BD85" s="862">
        <f t="shared" ca="1" si="123"/>
        <v>5</v>
      </c>
      <c r="BE85" s="855">
        <f t="shared" ca="1" si="124"/>
        <v>8.1333333333333346</v>
      </c>
      <c r="BF85" s="855">
        <f t="shared" ca="1" si="125"/>
        <v>1</v>
      </c>
      <c r="BG85" s="855">
        <f t="shared" ca="1" si="126"/>
        <v>0</v>
      </c>
      <c r="BH85" s="855">
        <f t="shared" ca="1" si="127"/>
        <v>8</v>
      </c>
      <c r="BI85" s="855">
        <f t="shared" ca="1" si="128"/>
        <v>7</v>
      </c>
      <c r="BJ85" s="855">
        <f t="shared" ca="1" si="129"/>
        <v>2</v>
      </c>
    </row>
    <row r="86" spans="1:62" ht="14.25" customHeight="1">
      <c r="A86" s="857" t="str">
        <f t="shared" si="116"/>
        <v>Andy</v>
      </c>
      <c r="B86" s="858">
        <f ca="1">VLOOKUP(A86,'Master Input'!$A$11:$L$27,12,FALSE)</f>
        <v>6</v>
      </c>
      <c r="C86" s="857"/>
      <c r="D86" s="851"/>
      <c r="E86" s="859">
        <f>IF(COUNTIF('R4_G1'!$A$8:$A$17,$A86)=1,VLOOKUP($A86,'R4_G1'!$A$8:$Y$17, E$2+4,FALSE),IF(COUNTIF('R4_G2'!$A$8:$A$17,$A86)=1,VLOOKUP($A86,'R4_G2'!$A$8:$Y$17, E$2+4,FALSE),IF(COUNTIF('R4_G3'!$A$8:$A$17,$A86)=1,VLOOKUP($A86,'R4_G3'!$A$8:$Y$17, E$2+4,FALSE),IF(COUNTIF('R4_G4'!$A$8:$A$17,$A86)=1,VLOOKUP($A86,'R4_G4'!$A$8:$Y$17, E$2+4,FALSE),""))))</f>
        <v>4</v>
      </c>
      <c r="F86" s="859">
        <f>IF(COUNTIF('R4_G1'!$A$8:$A$17,$A86)=1,VLOOKUP($A86,'R4_G1'!$A$8:$Y$17, F$2+4,FALSE),IF(COUNTIF('R4_G2'!$A$8:$A$17,$A86)=1,VLOOKUP($A86,'R4_G2'!$A$8:$Y$17, F$2+4,FALSE),IF(COUNTIF('R4_G3'!$A$8:$A$17,$A86)=1,VLOOKUP($A86,'R4_G3'!$A$8:$Y$17, F$2+4,FALSE),IF(COUNTIF('R4_G4'!$A$8:$A$17,$A86)=1,VLOOKUP($A86,'R4_G4'!$A$8:$Y$17, F$2+4,FALSE),""))))</f>
        <v>5</v>
      </c>
      <c r="G86" s="859">
        <f>IF(COUNTIF('R4_G1'!$A$8:$A$17,$A86)=1,VLOOKUP($A86,'R4_G1'!$A$8:$Y$17, G$2+4,FALSE),IF(COUNTIF('R4_G2'!$A$8:$A$17,$A86)=1,VLOOKUP($A86,'R4_G2'!$A$8:$Y$17, G$2+4,FALSE),IF(COUNTIF('R4_G3'!$A$8:$A$17,$A86)=1,VLOOKUP($A86,'R4_G3'!$A$8:$Y$17, G$2+4,FALSE),IF(COUNTIF('R4_G4'!$A$8:$A$17,$A86)=1,VLOOKUP($A86,'R4_G4'!$A$8:$Y$17, G$2+4,FALSE),""))))</f>
        <v>6</v>
      </c>
      <c r="H86" s="859">
        <f>IF(COUNTIF('R4_G1'!$A$8:$A$17,$A86)=1,VLOOKUP($A86,'R4_G1'!$A$8:$Y$17, H$2+4,FALSE),IF(COUNTIF('R4_G2'!$A$8:$A$17,$A86)=1,VLOOKUP($A86,'R4_G2'!$A$8:$Y$17, H$2+4,FALSE),IF(COUNTIF('R4_G3'!$A$8:$A$17,$A86)=1,VLOOKUP($A86,'R4_G3'!$A$8:$Y$17, H$2+4,FALSE),IF(COUNTIF('R4_G4'!$A$8:$A$17,$A86)=1,VLOOKUP($A86,'R4_G4'!$A$8:$Y$17, H$2+4,FALSE),""))))</f>
        <v>3</v>
      </c>
      <c r="I86" s="859">
        <f>IF(COUNTIF('R4_G1'!$A$8:$A$17,$A86)=1,VLOOKUP($A86,'R4_G1'!$A$8:$Y$17, I$2+4,FALSE),IF(COUNTIF('R4_G2'!$A$8:$A$17,$A86)=1,VLOOKUP($A86,'R4_G2'!$A$8:$Y$17, I$2+4,FALSE),IF(COUNTIF('R4_G3'!$A$8:$A$17,$A86)=1,VLOOKUP($A86,'R4_G3'!$A$8:$Y$17, I$2+4,FALSE),IF(COUNTIF('R4_G4'!$A$8:$A$17,$A86)=1,VLOOKUP($A86,'R4_G4'!$A$8:$Y$17, I$2+4,FALSE),""))))</f>
        <v>4</v>
      </c>
      <c r="J86" s="859">
        <f>IF(COUNTIF('R4_G1'!$A$8:$A$17,$A86)=1,VLOOKUP($A86,'R4_G1'!$A$8:$Y$17, J$2+4,FALSE),IF(COUNTIF('R4_G2'!$A$8:$A$17,$A86)=1,VLOOKUP($A86,'R4_G2'!$A$8:$Y$17, J$2+4,FALSE),IF(COUNTIF('R4_G3'!$A$8:$A$17,$A86)=1,VLOOKUP($A86,'R4_G3'!$A$8:$Y$17, J$2+4,FALSE),IF(COUNTIF('R4_G4'!$A$8:$A$17,$A86)=1,VLOOKUP($A86,'R4_G4'!$A$8:$Y$17, J$2+4,FALSE),""))))</f>
        <v>4</v>
      </c>
      <c r="K86" s="859">
        <f>IF(COUNTIF('R4_G1'!$A$8:$A$17,$A86)=1,VLOOKUP($A86,'R4_G1'!$A$8:$Y$17, K$2+4,FALSE),IF(COUNTIF('R4_G2'!$A$8:$A$17,$A86)=1,VLOOKUP($A86,'R4_G2'!$A$8:$Y$17, K$2+4,FALSE),IF(COUNTIF('R4_G3'!$A$8:$A$17,$A86)=1,VLOOKUP($A86,'R4_G3'!$A$8:$Y$17, K$2+4,FALSE),IF(COUNTIF('R4_G4'!$A$8:$A$17,$A86)=1,VLOOKUP($A86,'R4_G4'!$A$8:$Y$17, K$2+4,FALSE),""))))</f>
        <v>6</v>
      </c>
      <c r="L86" s="859">
        <f>IF(COUNTIF('R4_G1'!$A$8:$A$17,$A86)=1,VLOOKUP($A86,'R4_G1'!$A$8:$Y$17, L$2+4,FALSE),IF(COUNTIF('R4_G2'!$A$8:$A$17,$A86)=1,VLOOKUP($A86,'R4_G2'!$A$8:$Y$17, L$2+4,FALSE),IF(COUNTIF('R4_G3'!$A$8:$A$17,$A86)=1,VLOOKUP($A86,'R4_G3'!$A$8:$Y$17, L$2+4,FALSE),IF(COUNTIF('R4_G4'!$A$8:$A$17,$A86)=1,VLOOKUP($A86,'R4_G4'!$A$8:$Y$17, L$2+4,FALSE),""))))</f>
        <v>7</v>
      </c>
      <c r="M86" s="859">
        <f>IF(COUNTIF('R4_G1'!$A$8:$A$17,$A86)=1,VLOOKUP($A86,'R4_G1'!$A$8:$Y$17, M$2+4,FALSE),IF(COUNTIF('R4_G2'!$A$8:$A$17,$A86)=1,VLOOKUP($A86,'R4_G2'!$A$8:$Y$17, M$2+4,FALSE),IF(COUNTIF('R4_G3'!$A$8:$A$17,$A86)=1,VLOOKUP($A86,'R4_G3'!$A$8:$Y$17, M$2+4,FALSE),IF(COUNTIF('R4_G4'!$A$8:$A$17,$A86)=1,VLOOKUP($A86,'R4_G4'!$A$8:$Y$17, M$2+4,FALSE),""))))</f>
        <v>4</v>
      </c>
      <c r="N86" s="852">
        <f>IF(COUNTIF('R4_G1'!$A$8:$A$17,$A86)=1,VLOOKUP($A86,'R4_G1'!$A$8:$Y$17, N$2+7,FALSE),IF(COUNTIF('R4_G2'!$A$8:$A$17,$A86)=1,VLOOKUP($A86,'R4_G2'!$A$8:$Y$17, N$2+7,FALSE),IF(COUNTIF('R4_G3'!$A$8:$A$17,$A86)=1,VLOOKUP($A86,'R4_G3'!$A$8:$Y$17, N$2+7,FALSE),IF(COUNTIF('R4_G4'!$A$8:$A$17,$A86)=1,VLOOKUP($A86,'R4_G4'!$A$8:$Y$17, N$2+7,FALSE),""))))</f>
        <v>4</v>
      </c>
      <c r="O86" s="852">
        <f>IF(COUNTIF('R4_G1'!$A$8:$A$17,$A86)=1,VLOOKUP($A86,'R4_G1'!$A$8:$Y$17, O$2+7,FALSE),IF(COUNTIF('R4_G2'!$A$8:$A$17,$A86)=1,VLOOKUP($A86,'R4_G2'!$A$8:$Y$17, O$2+7,FALSE),IF(COUNTIF('R4_G3'!$A$8:$A$17,$A86)=1,VLOOKUP($A86,'R4_G3'!$A$8:$Y$17, O$2+7,FALSE),IF(COUNTIF('R4_G4'!$A$8:$A$17,$A86)=1,VLOOKUP($A86,'R4_G4'!$A$8:$Y$17, O$2+7,FALSE),""))))</f>
        <v>4</v>
      </c>
      <c r="P86" s="852">
        <f>IF(COUNTIF('R4_G1'!$A$8:$A$17,$A86)=1,VLOOKUP($A86,'R4_G1'!$A$8:$Y$17, P$2+7,FALSE),IF(COUNTIF('R4_G2'!$A$8:$A$17,$A86)=1,VLOOKUP($A86,'R4_G2'!$A$8:$Y$17, P$2+7,FALSE),IF(COUNTIF('R4_G3'!$A$8:$A$17,$A86)=1,VLOOKUP($A86,'R4_G3'!$A$8:$Y$17, P$2+7,FALSE),IF(COUNTIF('R4_G4'!$A$8:$A$17,$A86)=1,VLOOKUP($A86,'R4_G4'!$A$8:$Y$17, P$2+7,FALSE),""))))</f>
        <v>5</v>
      </c>
      <c r="Q86" s="852">
        <f>IF(COUNTIF('R4_G1'!$A$8:$A$17,$A86)=1,VLOOKUP($A86,'R4_G1'!$A$8:$Y$17, Q$2+7,FALSE),IF(COUNTIF('R4_G2'!$A$8:$A$17,$A86)=1,VLOOKUP($A86,'R4_G2'!$A$8:$Y$17, Q$2+7,FALSE),IF(COUNTIF('R4_G3'!$A$8:$A$17,$A86)=1,VLOOKUP($A86,'R4_G3'!$A$8:$Y$17, Q$2+7,FALSE),IF(COUNTIF('R4_G4'!$A$8:$A$17,$A86)=1,VLOOKUP($A86,'R4_G4'!$A$8:$Y$17, Q$2+7,FALSE),""))))</f>
        <v>2</v>
      </c>
      <c r="R86" s="852">
        <f>IF(COUNTIF('R4_G1'!$A$8:$A$17,$A86)=1,VLOOKUP($A86,'R4_G1'!$A$8:$Y$17, R$2+7,FALSE),IF(COUNTIF('R4_G2'!$A$8:$A$17,$A86)=1,VLOOKUP($A86,'R4_G2'!$A$8:$Y$17, R$2+7,FALSE),IF(COUNTIF('R4_G3'!$A$8:$A$17,$A86)=1,VLOOKUP($A86,'R4_G3'!$A$8:$Y$17, R$2+7,FALSE),IF(COUNTIF('R4_G4'!$A$8:$A$17,$A86)=1,VLOOKUP($A86,'R4_G4'!$A$8:$Y$17, R$2+7,FALSE),""))))</f>
        <v>4</v>
      </c>
      <c r="S86" s="852">
        <f>IF(COUNTIF('R4_G1'!$A$8:$A$17,$A86)=1,VLOOKUP($A86,'R4_G1'!$A$8:$Y$17, S$2+7,FALSE),IF(COUNTIF('R4_G2'!$A$8:$A$17,$A86)=1,VLOOKUP($A86,'R4_G2'!$A$8:$Y$17, S$2+7,FALSE),IF(COUNTIF('R4_G3'!$A$8:$A$17,$A86)=1,VLOOKUP($A86,'R4_G3'!$A$8:$Y$17, S$2+7,FALSE),IF(COUNTIF('R4_G4'!$A$8:$A$17,$A86)=1,VLOOKUP($A86,'R4_G4'!$A$8:$Y$17, S$2+7,FALSE),""))))</f>
        <v>5</v>
      </c>
      <c r="T86" s="852">
        <f>IF(COUNTIF('R4_G1'!$A$8:$A$17,$A86)=1,VLOOKUP($A86,'R4_G1'!$A$8:$Y$17, T$2+7,FALSE),IF(COUNTIF('R4_G2'!$A$8:$A$17,$A86)=1,VLOOKUP($A86,'R4_G2'!$A$8:$Y$17, T$2+7,FALSE),IF(COUNTIF('R4_G3'!$A$8:$A$17,$A86)=1,VLOOKUP($A86,'R4_G3'!$A$8:$Y$17, T$2+7,FALSE),IF(COUNTIF('R4_G4'!$A$8:$A$17,$A86)=1,VLOOKUP($A86,'R4_G4'!$A$8:$Y$17, T$2+7,FALSE),""))))</f>
        <v>6</v>
      </c>
      <c r="U86" s="852">
        <f>IF(COUNTIF('R4_G1'!$A$8:$A$17,$A86)=1,VLOOKUP($A86,'R4_G1'!$A$8:$Y$17, U$2+7,FALSE),IF(COUNTIF('R4_G2'!$A$8:$A$17,$A86)=1,VLOOKUP($A86,'R4_G2'!$A$8:$Y$17, U$2+7,FALSE),IF(COUNTIF('R4_G3'!$A$8:$A$17,$A86)=1,VLOOKUP($A86,'R4_G3'!$A$8:$Y$17, U$2+7,FALSE),IF(COUNTIF('R4_G4'!$A$8:$A$17,$A86)=1,VLOOKUP($A86,'R4_G4'!$A$8:$Y$17, U$2+7,FALSE),""))))</f>
        <v>4</v>
      </c>
      <c r="V86" s="852">
        <f>IF(COUNTIF('R4_G1'!$A$8:$A$17,$A86)=1,VLOOKUP($A86,'R4_G1'!$A$8:$Y$17, V$2+7,FALSE),IF(COUNTIF('R4_G2'!$A$8:$A$17,$A86)=1,VLOOKUP($A86,'R4_G2'!$A$8:$Y$17, V$2+7,FALSE),IF(COUNTIF('R4_G3'!$A$8:$A$17,$A86)=1,VLOOKUP($A86,'R4_G3'!$A$8:$Y$17, V$2+7,FALSE),IF(COUNTIF('R4_G4'!$A$8:$A$17,$A86)=1,VLOOKUP($A86,'R4_G4'!$A$8:$Y$17, V$2+7,FALSE),""))))</f>
        <v>5</v>
      </c>
      <c r="W86" s="859">
        <f t="shared" si="111"/>
        <v>43</v>
      </c>
      <c r="X86" s="859">
        <f t="shared" si="112"/>
        <v>39</v>
      </c>
      <c r="Y86" s="859">
        <f t="shared" si="117"/>
        <v>82</v>
      </c>
      <c r="Z86" s="859">
        <f t="shared" ca="1" si="118"/>
        <v>76</v>
      </c>
      <c r="AA86" s="859">
        <f t="shared" si="119"/>
        <v>82</v>
      </c>
      <c r="AB86" s="947"/>
      <c r="AC86" s="857" t="str">
        <f t="shared" si="120"/>
        <v>Andy</v>
      </c>
      <c r="AD86" s="858">
        <f ca="1">VLOOKUP(AC86,'Master Input'!$A$11:$L$27,12,FALSE)</f>
        <v>6</v>
      </c>
      <c r="AE86" s="857" t="s">
        <v>198</v>
      </c>
      <c r="AF86" s="832"/>
      <c r="AG86" s="859">
        <f t="shared" ref="AG86:AX86" ca="1" si="138">IF(E86="","",E86-IF($B86&gt;0,FLOOR($B86/18,1),0)-IF(AND(MOD($B86,18)&gt;=E$75,$B86&gt;0),1,0)+IF(E$75-18&gt;$B86,1,0))</f>
        <v>4</v>
      </c>
      <c r="AH86" s="859">
        <f t="shared" ca="1" si="138"/>
        <v>4</v>
      </c>
      <c r="AI86" s="859">
        <f t="shared" ca="1" si="138"/>
        <v>6</v>
      </c>
      <c r="AJ86" s="859">
        <f t="shared" ca="1" si="138"/>
        <v>3</v>
      </c>
      <c r="AK86" s="859">
        <f t="shared" ca="1" si="138"/>
        <v>3</v>
      </c>
      <c r="AL86" s="859">
        <f t="shared" ca="1" si="138"/>
        <v>4</v>
      </c>
      <c r="AM86" s="859">
        <f t="shared" ca="1" si="138"/>
        <v>5</v>
      </c>
      <c r="AN86" s="859">
        <f t="shared" ca="1" si="138"/>
        <v>7</v>
      </c>
      <c r="AO86" s="859">
        <f t="shared" ca="1" si="138"/>
        <v>4</v>
      </c>
      <c r="AP86" s="852">
        <f t="shared" ca="1" si="138"/>
        <v>4</v>
      </c>
      <c r="AQ86" s="852">
        <f t="shared" ca="1" si="138"/>
        <v>3</v>
      </c>
      <c r="AR86" s="852">
        <f t="shared" ca="1" si="138"/>
        <v>4</v>
      </c>
      <c r="AS86" s="852">
        <f t="shared" ca="1" si="138"/>
        <v>2</v>
      </c>
      <c r="AT86" s="852">
        <f t="shared" ca="1" si="138"/>
        <v>4</v>
      </c>
      <c r="AU86" s="852">
        <f t="shared" ca="1" si="138"/>
        <v>5</v>
      </c>
      <c r="AV86" s="852">
        <f t="shared" ca="1" si="138"/>
        <v>5</v>
      </c>
      <c r="AW86" s="852">
        <f t="shared" ca="1" si="138"/>
        <v>4</v>
      </c>
      <c r="AX86" s="852">
        <f t="shared" ca="1" si="138"/>
        <v>5</v>
      </c>
      <c r="AY86" s="859">
        <f t="shared" ca="1" si="114"/>
        <v>40</v>
      </c>
      <c r="AZ86" s="859">
        <f t="shared" ca="1" si="115"/>
        <v>36</v>
      </c>
      <c r="BA86" s="859">
        <f t="shared" ca="1" si="122"/>
        <v>76</v>
      </c>
      <c r="BB86" s="857" t="str">
        <f ca="1">IF(COUNTIF('R4_G1'!$A$8:$A$17,$A86)=1, IF(AND(BA86=Z86,BA86=VLOOKUP($A86,'R4_G1'!$A$8:$AB$17, 28,FALSE)),"yes","no"),
IF(COUNTIF('R4_G2'!$A$8:$A$17,$A86)=1, IF(AND(BA86=Z86,BA86=VLOOKUP($A86,'R4_G2'!$A$8:$AB$17, 28,FALSE)),"yes","no"),
IF(COUNTIF('R4_G3'!$A$8:$A$17,$A86)=1, IF(AND(BA86=Z86,BA86=VLOOKUP($A86,'R4_G3'!$A$8:$AB$17, 28,FALSE)),"yes","no"),
IF(COUNTIF('R4_G4'!$A$8:$A$17,$A86)=1, IF(AND(BA86=Z86,BA86=VLOOKUP($A86,'R4_G4'!$A$8:$AB$17, 28,FALSE)),"yes","no"),
"?"))))</f>
        <v>yes</v>
      </c>
      <c r="BC86" s="947"/>
      <c r="BD86" s="860">
        <f t="shared" ca="1" si="123"/>
        <v>8</v>
      </c>
      <c r="BE86" s="861">
        <f t="shared" ca="1" si="124"/>
        <v>10.299999999999997</v>
      </c>
      <c r="BF86" s="861">
        <f t="shared" ca="1" si="125"/>
        <v>0</v>
      </c>
      <c r="BG86" s="861">
        <f t="shared" ca="1" si="126"/>
        <v>5</v>
      </c>
      <c r="BH86" s="861">
        <f t="shared" ca="1" si="127"/>
        <v>6</v>
      </c>
      <c r="BI86" s="861">
        <f t="shared" ca="1" si="128"/>
        <v>6</v>
      </c>
      <c r="BJ86" s="861">
        <f t="shared" ca="1" si="129"/>
        <v>1</v>
      </c>
    </row>
    <row r="87" spans="1:62" ht="14.25" customHeight="1">
      <c r="A87" s="849" t="str">
        <f t="shared" si="116"/>
        <v>Jensen</v>
      </c>
      <c r="B87" s="850">
        <f ca="1">VLOOKUP(A87,'Master Input'!$A$11:$L$27,12,FALSE)</f>
        <v>7</v>
      </c>
      <c r="C87" s="849"/>
      <c r="D87" s="851"/>
      <c r="E87" s="852">
        <f>IF(COUNTIF('R4_G1'!$A$8:$A$17,$A87)=1,VLOOKUP($A87,'R4_G1'!$A$8:$Y$17, E$2+4,FALSE),IF(COUNTIF('R4_G2'!$A$8:$A$17,$A87)=1,VLOOKUP($A87,'R4_G2'!$A$8:$Y$17, E$2+4,FALSE),IF(COUNTIF('R4_G3'!$A$8:$A$17,$A87)=1,VLOOKUP($A87,'R4_G3'!$A$8:$Y$17, E$2+4,FALSE),IF(COUNTIF('R4_G4'!$A$8:$A$17,$A87)=1,VLOOKUP($A87,'R4_G4'!$A$8:$Y$17, E$2+4,FALSE),""))))</f>
        <v>5</v>
      </c>
      <c r="F87" s="852">
        <f>IF(COUNTIF('R4_G1'!$A$8:$A$17,$A87)=1,VLOOKUP($A87,'R4_G1'!$A$8:$Y$17, F$2+4,FALSE),IF(COUNTIF('R4_G2'!$A$8:$A$17,$A87)=1,VLOOKUP($A87,'R4_G2'!$A$8:$Y$17, F$2+4,FALSE),IF(COUNTIF('R4_G3'!$A$8:$A$17,$A87)=1,VLOOKUP($A87,'R4_G3'!$A$8:$Y$17, F$2+4,FALSE),IF(COUNTIF('R4_G4'!$A$8:$A$17,$A87)=1,VLOOKUP($A87,'R4_G4'!$A$8:$Y$17, F$2+4,FALSE),""))))</f>
        <v>3</v>
      </c>
      <c r="G87" s="852">
        <f>IF(COUNTIF('R4_G1'!$A$8:$A$17,$A87)=1,VLOOKUP($A87,'R4_G1'!$A$8:$Y$17, G$2+4,FALSE),IF(COUNTIF('R4_G2'!$A$8:$A$17,$A87)=1,VLOOKUP($A87,'R4_G2'!$A$8:$Y$17, G$2+4,FALSE),IF(COUNTIF('R4_G3'!$A$8:$A$17,$A87)=1,VLOOKUP($A87,'R4_G3'!$A$8:$Y$17, G$2+4,FALSE),IF(COUNTIF('R4_G4'!$A$8:$A$17,$A87)=1,VLOOKUP($A87,'R4_G4'!$A$8:$Y$17, G$2+4,FALSE),""))))</f>
        <v>6</v>
      </c>
      <c r="H87" s="852">
        <f>IF(COUNTIF('R4_G1'!$A$8:$A$17,$A87)=1,VLOOKUP($A87,'R4_G1'!$A$8:$Y$17, H$2+4,FALSE),IF(COUNTIF('R4_G2'!$A$8:$A$17,$A87)=1,VLOOKUP($A87,'R4_G2'!$A$8:$Y$17, H$2+4,FALSE),IF(COUNTIF('R4_G3'!$A$8:$A$17,$A87)=1,VLOOKUP($A87,'R4_G3'!$A$8:$Y$17, H$2+4,FALSE),IF(COUNTIF('R4_G4'!$A$8:$A$17,$A87)=1,VLOOKUP($A87,'R4_G4'!$A$8:$Y$17, H$2+4,FALSE),""))))</f>
        <v>3</v>
      </c>
      <c r="I87" s="852">
        <f>IF(COUNTIF('R4_G1'!$A$8:$A$17,$A87)=1,VLOOKUP($A87,'R4_G1'!$A$8:$Y$17, I$2+4,FALSE),IF(COUNTIF('R4_G2'!$A$8:$A$17,$A87)=1,VLOOKUP($A87,'R4_G2'!$A$8:$Y$17, I$2+4,FALSE),IF(COUNTIF('R4_G3'!$A$8:$A$17,$A87)=1,VLOOKUP($A87,'R4_G3'!$A$8:$Y$17, I$2+4,FALSE),IF(COUNTIF('R4_G4'!$A$8:$A$17,$A87)=1,VLOOKUP($A87,'R4_G4'!$A$8:$Y$17, I$2+4,FALSE),""))))</f>
        <v>3</v>
      </c>
      <c r="J87" s="852">
        <f>IF(COUNTIF('R4_G1'!$A$8:$A$17,$A87)=1,VLOOKUP($A87,'R4_G1'!$A$8:$Y$17, J$2+4,FALSE),IF(COUNTIF('R4_G2'!$A$8:$A$17,$A87)=1,VLOOKUP($A87,'R4_G2'!$A$8:$Y$17, J$2+4,FALSE),IF(COUNTIF('R4_G3'!$A$8:$A$17,$A87)=1,VLOOKUP($A87,'R4_G3'!$A$8:$Y$17, J$2+4,FALSE),IF(COUNTIF('R4_G4'!$A$8:$A$17,$A87)=1,VLOOKUP($A87,'R4_G4'!$A$8:$Y$17, J$2+4,FALSE),""))))</f>
        <v>5</v>
      </c>
      <c r="K87" s="852">
        <f>IF(COUNTIF('R4_G1'!$A$8:$A$17,$A87)=1,VLOOKUP($A87,'R4_G1'!$A$8:$Y$17, K$2+4,FALSE),IF(COUNTIF('R4_G2'!$A$8:$A$17,$A87)=1,VLOOKUP($A87,'R4_G2'!$A$8:$Y$17, K$2+4,FALSE),IF(COUNTIF('R4_G3'!$A$8:$A$17,$A87)=1,VLOOKUP($A87,'R4_G3'!$A$8:$Y$17, K$2+4,FALSE),IF(COUNTIF('R4_G4'!$A$8:$A$17,$A87)=1,VLOOKUP($A87,'R4_G4'!$A$8:$Y$17, K$2+4,FALSE),""))))</f>
        <v>3</v>
      </c>
      <c r="L87" s="852">
        <f>IF(COUNTIF('R4_G1'!$A$8:$A$17,$A87)=1,VLOOKUP($A87,'R4_G1'!$A$8:$Y$17, L$2+4,FALSE),IF(COUNTIF('R4_G2'!$A$8:$A$17,$A87)=1,VLOOKUP($A87,'R4_G2'!$A$8:$Y$17, L$2+4,FALSE),IF(COUNTIF('R4_G3'!$A$8:$A$17,$A87)=1,VLOOKUP($A87,'R4_G3'!$A$8:$Y$17, L$2+4,FALSE),IF(COUNTIF('R4_G4'!$A$8:$A$17,$A87)=1,VLOOKUP($A87,'R4_G4'!$A$8:$Y$17, L$2+4,FALSE),""))))</f>
        <v>6</v>
      </c>
      <c r="M87" s="852">
        <f>IF(COUNTIF('R4_G1'!$A$8:$A$17,$A87)=1,VLOOKUP($A87,'R4_G1'!$A$8:$Y$17, M$2+4,FALSE),IF(COUNTIF('R4_G2'!$A$8:$A$17,$A87)=1,VLOOKUP($A87,'R4_G2'!$A$8:$Y$17, M$2+4,FALSE),IF(COUNTIF('R4_G3'!$A$8:$A$17,$A87)=1,VLOOKUP($A87,'R4_G3'!$A$8:$Y$17, M$2+4,FALSE),IF(COUNTIF('R4_G4'!$A$8:$A$17,$A87)=1,VLOOKUP($A87,'R4_G4'!$A$8:$Y$17, M$2+4,FALSE),""))))</f>
        <v>3</v>
      </c>
      <c r="N87" s="853">
        <f>IF(COUNTIF('R4_G1'!$A$8:$A$17,$A87)=1,VLOOKUP($A87,'R4_G1'!$A$8:$Y$17, N$2+7,FALSE),IF(COUNTIF('R4_G2'!$A$8:$A$17,$A87)=1,VLOOKUP($A87,'R4_G2'!$A$8:$Y$17, N$2+7,FALSE),IF(COUNTIF('R4_G3'!$A$8:$A$17,$A87)=1,VLOOKUP($A87,'R4_G3'!$A$8:$Y$17, N$2+7,FALSE),IF(COUNTIF('R4_G4'!$A$8:$A$17,$A87)=1,VLOOKUP($A87,'R4_G4'!$A$8:$Y$17, N$2+7,FALSE),""))))</f>
        <v>3</v>
      </c>
      <c r="O87" s="853">
        <f>IF(COUNTIF('R4_G1'!$A$8:$A$17,$A87)=1,VLOOKUP($A87,'R4_G1'!$A$8:$Y$17, O$2+7,FALSE),IF(COUNTIF('R4_G2'!$A$8:$A$17,$A87)=1,VLOOKUP($A87,'R4_G2'!$A$8:$Y$17, O$2+7,FALSE),IF(COUNTIF('R4_G3'!$A$8:$A$17,$A87)=1,VLOOKUP($A87,'R4_G3'!$A$8:$Y$17, O$2+7,FALSE),IF(COUNTIF('R4_G4'!$A$8:$A$17,$A87)=1,VLOOKUP($A87,'R4_G4'!$A$8:$Y$17, O$2+7,FALSE),""))))</f>
        <v>5</v>
      </c>
      <c r="P87" s="853">
        <f>IF(COUNTIF('R4_G1'!$A$8:$A$17,$A87)=1,VLOOKUP($A87,'R4_G1'!$A$8:$Y$17, P$2+7,FALSE),IF(COUNTIF('R4_G2'!$A$8:$A$17,$A87)=1,VLOOKUP($A87,'R4_G2'!$A$8:$Y$17, P$2+7,FALSE),IF(COUNTIF('R4_G3'!$A$8:$A$17,$A87)=1,VLOOKUP($A87,'R4_G3'!$A$8:$Y$17, P$2+7,FALSE),IF(COUNTIF('R4_G4'!$A$8:$A$17,$A87)=1,VLOOKUP($A87,'R4_G4'!$A$8:$Y$17, P$2+7,FALSE),""))))</f>
        <v>4</v>
      </c>
      <c r="Q87" s="853">
        <f>IF(COUNTIF('R4_G1'!$A$8:$A$17,$A87)=1,VLOOKUP($A87,'R4_G1'!$A$8:$Y$17, Q$2+7,FALSE),IF(COUNTIF('R4_G2'!$A$8:$A$17,$A87)=1,VLOOKUP($A87,'R4_G2'!$A$8:$Y$17, Q$2+7,FALSE),IF(COUNTIF('R4_G3'!$A$8:$A$17,$A87)=1,VLOOKUP($A87,'R4_G3'!$A$8:$Y$17, Q$2+7,FALSE),IF(COUNTIF('R4_G4'!$A$8:$A$17,$A87)=1,VLOOKUP($A87,'R4_G4'!$A$8:$Y$17, Q$2+7,FALSE),""))))</f>
        <v>4</v>
      </c>
      <c r="R87" s="853">
        <f>IF(COUNTIF('R4_G1'!$A$8:$A$17,$A87)=1,VLOOKUP($A87,'R4_G1'!$A$8:$Y$17, R$2+7,FALSE),IF(COUNTIF('R4_G2'!$A$8:$A$17,$A87)=1,VLOOKUP($A87,'R4_G2'!$A$8:$Y$17, R$2+7,FALSE),IF(COUNTIF('R4_G3'!$A$8:$A$17,$A87)=1,VLOOKUP($A87,'R4_G3'!$A$8:$Y$17, R$2+7,FALSE),IF(COUNTIF('R4_G4'!$A$8:$A$17,$A87)=1,VLOOKUP($A87,'R4_G4'!$A$8:$Y$17, R$2+7,FALSE),""))))</f>
        <v>4</v>
      </c>
      <c r="S87" s="853">
        <f>IF(COUNTIF('R4_G1'!$A$8:$A$17,$A87)=1,VLOOKUP($A87,'R4_G1'!$A$8:$Y$17, S$2+7,FALSE),IF(COUNTIF('R4_G2'!$A$8:$A$17,$A87)=1,VLOOKUP($A87,'R4_G2'!$A$8:$Y$17, S$2+7,FALSE),IF(COUNTIF('R4_G3'!$A$8:$A$17,$A87)=1,VLOOKUP($A87,'R4_G3'!$A$8:$Y$17, S$2+7,FALSE),IF(COUNTIF('R4_G4'!$A$8:$A$17,$A87)=1,VLOOKUP($A87,'R4_G4'!$A$8:$Y$17, S$2+7,FALSE),""))))</f>
        <v>5</v>
      </c>
      <c r="T87" s="853">
        <f>IF(COUNTIF('R4_G1'!$A$8:$A$17,$A87)=1,VLOOKUP($A87,'R4_G1'!$A$8:$Y$17, T$2+7,FALSE),IF(COUNTIF('R4_G2'!$A$8:$A$17,$A87)=1,VLOOKUP($A87,'R4_G2'!$A$8:$Y$17, T$2+7,FALSE),IF(COUNTIF('R4_G3'!$A$8:$A$17,$A87)=1,VLOOKUP($A87,'R4_G3'!$A$8:$Y$17, T$2+7,FALSE),IF(COUNTIF('R4_G4'!$A$8:$A$17,$A87)=1,VLOOKUP($A87,'R4_G4'!$A$8:$Y$17, T$2+7,FALSE),""))))</f>
        <v>4</v>
      </c>
      <c r="U87" s="853">
        <f>IF(COUNTIF('R4_G1'!$A$8:$A$17,$A87)=1,VLOOKUP($A87,'R4_G1'!$A$8:$Y$17, U$2+7,FALSE),IF(COUNTIF('R4_G2'!$A$8:$A$17,$A87)=1,VLOOKUP($A87,'R4_G2'!$A$8:$Y$17, U$2+7,FALSE),IF(COUNTIF('R4_G3'!$A$8:$A$17,$A87)=1,VLOOKUP($A87,'R4_G3'!$A$8:$Y$17, U$2+7,FALSE),IF(COUNTIF('R4_G4'!$A$8:$A$17,$A87)=1,VLOOKUP($A87,'R4_G4'!$A$8:$Y$17, U$2+7,FALSE),""))))</f>
        <v>3</v>
      </c>
      <c r="V87" s="853">
        <f>IF(COUNTIF('R4_G1'!$A$8:$A$17,$A87)=1,VLOOKUP($A87,'R4_G1'!$A$8:$Y$17, V$2+7,FALSE),IF(COUNTIF('R4_G2'!$A$8:$A$17,$A87)=1,VLOOKUP($A87,'R4_G2'!$A$8:$Y$17, V$2+7,FALSE),IF(COUNTIF('R4_G3'!$A$8:$A$17,$A87)=1,VLOOKUP($A87,'R4_G3'!$A$8:$Y$17, V$2+7,FALSE),IF(COUNTIF('R4_G4'!$A$8:$A$17,$A87)=1,VLOOKUP($A87,'R4_G4'!$A$8:$Y$17, V$2+7,FALSE),""))))</f>
        <v>7</v>
      </c>
      <c r="W87" s="852">
        <f t="shared" si="111"/>
        <v>37</v>
      </c>
      <c r="X87" s="852">
        <f t="shared" si="112"/>
        <v>39</v>
      </c>
      <c r="Y87" s="852">
        <f t="shared" si="117"/>
        <v>76</v>
      </c>
      <c r="Z87" s="852">
        <f t="shared" ca="1" si="118"/>
        <v>69</v>
      </c>
      <c r="AA87" s="859">
        <f t="shared" si="119"/>
        <v>76</v>
      </c>
      <c r="AB87" s="947"/>
      <c r="AC87" s="849" t="str">
        <f t="shared" si="120"/>
        <v>Jensen</v>
      </c>
      <c r="AD87" s="850">
        <f ca="1">VLOOKUP(AC87,'Master Input'!$A$11:$L$27,12,FALSE)</f>
        <v>7</v>
      </c>
      <c r="AE87" s="849" t="s">
        <v>198</v>
      </c>
      <c r="AF87" s="832"/>
      <c r="AG87" s="852">
        <f t="shared" ref="AG87:AX87" ca="1" si="139">IF(E87="","",E87-IF($B87&gt;0,FLOOR($B87/18,1),0)-IF(AND(MOD($B87,18)&gt;=E$75,$B87&gt;0),1,0)+IF(E$75-18&gt;$B87,1,0))</f>
        <v>5</v>
      </c>
      <c r="AH87" s="852">
        <f t="shared" ca="1" si="139"/>
        <v>2</v>
      </c>
      <c r="AI87" s="852">
        <f t="shared" ca="1" si="139"/>
        <v>6</v>
      </c>
      <c r="AJ87" s="852">
        <f t="shared" ca="1" si="139"/>
        <v>3</v>
      </c>
      <c r="AK87" s="852">
        <f t="shared" ca="1" si="139"/>
        <v>2</v>
      </c>
      <c r="AL87" s="852">
        <f t="shared" ca="1" si="139"/>
        <v>5</v>
      </c>
      <c r="AM87" s="852">
        <f t="shared" ca="1" si="139"/>
        <v>2</v>
      </c>
      <c r="AN87" s="852">
        <f t="shared" ca="1" si="139"/>
        <v>5</v>
      </c>
      <c r="AO87" s="852">
        <f t="shared" ca="1" si="139"/>
        <v>3</v>
      </c>
      <c r="AP87" s="853">
        <f t="shared" ca="1" si="139"/>
        <v>3</v>
      </c>
      <c r="AQ87" s="853">
        <f t="shared" ca="1" si="139"/>
        <v>4</v>
      </c>
      <c r="AR87" s="853">
        <f t="shared" ca="1" si="139"/>
        <v>3</v>
      </c>
      <c r="AS87" s="853">
        <f t="shared" ca="1" si="139"/>
        <v>4</v>
      </c>
      <c r="AT87" s="853">
        <f t="shared" ca="1" si="139"/>
        <v>4</v>
      </c>
      <c r="AU87" s="853">
        <f t="shared" ca="1" si="139"/>
        <v>5</v>
      </c>
      <c r="AV87" s="853">
        <f t="shared" ca="1" si="139"/>
        <v>3</v>
      </c>
      <c r="AW87" s="853">
        <f t="shared" ca="1" si="139"/>
        <v>3</v>
      </c>
      <c r="AX87" s="853">
        <f t="shared" ca="1" si="139"/>
        <v>7</v>
      </c>
      <c r="AY87" s="852">
        <f t="shared" ca="1" si="114"/>
        <v>33</v>
      </c>
      <c r="AZ87" s="852">
        <f t="shared" ca="1" si="115"/>
        <v>36</v>
      </c>
      <c r="BA87" s="852">
        <f t="shared" ca="1" si="122"/>
        <v>69</v>
      </c>
      <c r="BB87" s="849" t="str">
        <f ca="1">IF(COUNTIF('R4_G1'!$A$8:$A$17,$A87)=1, IF(AND(BA87=Z87,BA87=VLOOKUP($A87,'R4_G1'!$A$8:$AB$17, 28,FALSE)),"yes","no"),
IF(COUNTIF('R4_G2'!$A$8:$A$17,$A87)=1, IF(AND(BA87=Z87,BA87=VLOOKUP($A87,'R4_G2'!$A$8:$AB$17, 28,FALSE)),"yes","no"),
IF(COUNTIF('R4_G3'!$A$8:$A$17,$A87)=1, IF(AND(BA87=Z87,BA87=VLOOKUP($A87,'R4_G3'!$A$8:$AB$17, 28,FALSE)),"yes","no"),
IF(COUNTIF('R4_G4'!$A$8:$A$17,$A87)=1, IF(AND(BA87=Z87,BA87=VLOOKUP($A87,'R4_G4'!$A$8:$AB$17, 28,FALSE)),"yes","no"),
"?"))))</f>
        <v>yes</v>
      </c>
      <c r="BC87" s="947"/>
      <c r="BD87" s="862">
        <f t="shared" ca="1" si="123"/>
        <v>9.5</v>
      </c>
      <c r="BE87" s="855">
        <f t="shared" ca="1" si="124"/>
        <v>11.499999999999996</v>
      </c>
      <c r="BF87" s="855">
        <f t="shared" ca="1" si="125"/>
        <v>4</v>
      </c>
      <c r="BG87" s="855">
        <f t="shared" ca="1" si="126"/>
        <v>2</v>
      </c>
      <c r="BH87" s="855">
        <f t="shared" ca="1" si="127"/>
        <v>7</v>
      </c>
      <c r="BI87" s="855">
        <f t="shared" ca="1" si="128"/>
        <v>4</v>
      </c>
      <c r="BJ87" s="855">
        <f t="shared" ca="1" si="129"/>
        <v>1</v>
      </c>
    </row>
    <row r="88" spans="1:62" ht="14.25" customHeight="1">
      <c r="A88" s="857" t="str">
        <f t="shared" si="116"/>
        <v>Pace</v>
      </c>
      <c r="B88" s="858">
        <f ca="1">VLOOKUP(A88,'Master Input'!$A$11:$L$27,12,FALSE)</f>
        <v>10</v>
      </c>
      <c r="C88" s="857"/>
      <c r="D88" s="851"/>
      <c r="E88" s="859">
        <f>IF(COUNTIF('R4_G1'!$A$8:$A$17,$A88)=1,VLOOKUP($A88,'R4_G1'!$A$8:$Y$17, E$2+4,FALSE),IF(COUNTIF('R4_G2'!$A$8:$A$17,$A88)=1,VLOOKUP($A88,'R4_G2'!$A$8:$Y$17, E$2+4,FALSE),IF(COUNTIF('R4_G3'!$A$8:$A$17,$A88)=1,VLOOKUP($A88,'R4_G3'!$A$8:$Y$17, E$2+4,FALSE),IF(COUNTIF('R4_G4'!$A$8:$A$17,$A88)=1,VLOOKUP($A88,'R4_G4'!$A$8:$Y$17, E$2+4,FALSE),""))))</f>
        <v>5</v>
      </c>
      <c r="F88" s="859">
        <f>IF(COUNTIF('R4_G1'!$A$8:$A$17,$A88)=1,VLOOKUP($A88,'R4_G1'!$A$8:$Y$17, F$2+4,FALSE),IF(COUNTIF('R4_G2'!$A$8:$A$17,$A88)=1,VLOOKUP($A88,'R4_G2'!$A$8:$Y$17, F$2+4,FALSE),IF(COUNTIF('R4_G3'!$A$8:$A$17,$A88)=1,VLOOKUP($A88,'R4_G3'!$A$8:$Y$17, F$2+4,FALSE),IF(COUNTIF('R4_G4'!$A$8:$A$17,$A88)=1,VLOOKUP($A88,'R4_G4'!$A$8:$Y$17, F$2+4,FALSE),""))))</f>
        <v>6</v>
      </c>
      <c r="G88" s="859">
        <f>IF(COUNTIF('R4_G1'!$A$8:$A$17,$A88)=1,VLOOKUP($A88,'R4_G1'!$A$8:$Y$17, G$2+4,FALSE),IF(COUNTIF('R4_G2'!$A$8:$A$17,$A88)=1,VLOOKUP($A88,'R4_G2'!$A$8:$Y$17, G$2+4,FALSE),IF(COUNTIF('R4_G3'!$A$8:$A$17,$A88)=1,VLOOKUP($A88,'R4_G3'!$A$8:$Y$17, G$2+4,FALSE),IF(COUNTIF('R4_G4'!$A$8:$A$17,$A88)=1,VLOOKUP($A88,'R4_G4'!$A$8:$Y$17, G$2+4,FALSE),""))))</f>
        <v>8</v>
      </c>
      <c r="H88" s="859">
        <f>IF(COUNTIF('R4_G1'!$A$8:$A$17,$A88)=1,VLOOKUP($A88,'R4_G1'!$A$8:$Y$17, H$2+4,FALSE),IF(COUNTIF('R4_G2'!$A$8:$A$17,$A88)=1,VLOOKUP($A88,'R4_G2'!$A$8:$Y$17, H$2+4,FALSE),IF(COUNTIF('R4_G3'!$A$8:$A$17,$A88)=1,VLOOKUP($A88,'R4_G3'!$A$8:$Y$17, H$2+4,FALSE),IF(COUNTIF('R4_G4'!$A$8:$A$17,$A88)=1,VLOOKUP($A88,'R4_G4'!$A$8:$Y$17, H$2+4,FALSE),""))))</f>
        <v>5</v>
      </c>
      <c r="I88" s="859">
        <f>IF(COUNTIF('R4_G1'!$A$8:$A$17,$A88)=1,VLOOKUP($A88,'R4_G1'!$A$8:$Y$17, I$2+4,FALSE),IF(COUNTIF('R4_G2'!$A$8:$A$17,$A88)=1,VLOOKUP($A88,'R4_G2'!$A$8:$Y$17, I$2+4,FALSE),IF(COUNTIF('R4_G3'!$A$8:$A$17,$A88)=1,VLOOKUP($A88,'R4_G3'!$A$8:$Y$17, I$2+4,FALSE),IF(COUNTIF('R4_G4'!$A$8:$A$17,$A88)=1,VLOOKUP($A88,'R4_G4'!$A$8:$Y$17, I$2+4,FALSE),""))))</f>
        <v>4</v>
      </c>
      <c r="J88" s="859">
        <f>IF(COUNTIF('R4_G1'!$A$8:$A$17,$A88)=1,VLOOKUP($A88,'R4_G1'!$A$8:$Y$17, J$2+4,FALSE),IF(COUNTIF('R4_G2'!$A$8:$A$17,$A88)=1,VLOOKUP($A88,'R4_G2'!$A$8:$Y$17, J$2+4,FALSE),IF(COUNTIF('R4_G3'!$A$8:$A$17,$A88)=1,VLOOKUP($A88,'R4_G3'!$A$8:$Y$17, J$2+4,FALSE),IF(COUNTIF('R4_G4'!$A$8:$A$17,$A88)=1,VLOOKUP($A88,'R4_G4'!$A$8:$Y$17, J$2+4,FALSE),""))))</f>
        <v>5</v>
      </c>
      <c r="K88" s="859">
        <f>IF(COUNTIF('R4_G1'!$A$8:$A$17,$A88)=1,VLOOKUP($A88,'R4_G1'!$A$8:$Y$17, K$2+4,FALSE),IF(COUNTIF('R4_G2'!$A$8:$A$17,$A88)=1,VLOOKUP($A88,'R4_G2'!$A$8:$Y$17, K$2+4,FALSE),IF(COUNTIF('R4_G3'!$A$8:$A$17,$A88)=1,VLOOKUP($A88,'R4_G3'!$A$8:$Y$17, K$2+4,FALSE),IF(COUNTIF('R4_G4'!$A$8:$A$17,$A88)=1,VLOOKUP($A88,'R4_G4'!$A$8:$Y$17, K$2+4,FALSE),""))))</f>
        <v>5</v>
      </c>
      <c r="L88" s="859">
        <f>IF(COUNTIF('R4_G1'!$A$8:$A$17,$A88)=1,VLOOKUP($A88,'R4_G1'!$A$8:$Y$17, L$2+4,FALSE),IF(COUNTIF('R4_G2'!$A$8:$A$17,$A88)=1,VLOOKUP($A88,'R4_G2'!$A$8:$Y$17, L$2+4,FALSE),IF(COUNTIF('R4_G3'!$A$8:$A$17,$A88)=1,VLOOKUP($A88,'R4_G3'!$A$8:$Y$17, L$2+4,FALSE),IF(COUNTIF('R4_G4'!$A$8:$A$17,$A88)=1,VLOOKUP($A88,'R4_G4'!$A$8:$Y$17, L$2+4,FALSE),""))))</f>
        <v>4</v>
      </c>
      <c r="M88" s="859">
        <f>IF(COUNTIF('R4_G1'!$A$8:$A$17,$A88)=1,VLOOKUP($A88,'R4_G1'!$A$8:$Y$17, M$2+4,FALSE),IF(COUNTIF('R4_G2'!$A$8:$A$17,$A88)=1,VLOOKUP($A88,'R4_G2'!$A$8:$Y$17, M$2+4,FALSE),IF(COUNTIF('R4_G3'!$A$8:$A$17,$A88)=1,VLOOKUP($A88,'R4_G3'!$A$8:$Y$17, M$2+4,FALSE),IF(COUNTIF('R4_G4'!$A$8:$A$17,$A88)=1,VLOOKUP($A88,'R4_G4'!$A$8:$Y$17, M$2+4,FALSE),""))))</f>
        <v>3</v>
      </c>
      <c r="N88" s="852">
        <f>IF(COUNTIF('R4_G1'!$A$8:$A$17,$A88)=1,VLOOKUP($A88,'R4_G1'!$A$8:$Y$17, N$2+7,FALSE),IF(COUNTIF('R4_G2'!$A$8:$A$17,$A88)=1,VLOOKUP($A88,'R4_G2'!$A$8:$Y$17, N$2+7,FALSE),IF(COUNTIF('R4_G3'!$A$8:$A$17,$A88)=1,VLOOKUP($A88,'R4_G3'!$A$8:$Y$17, N$2+7,FALSE),IF(COUNTIF('R4_G4'!$A$8:$A$17,$A88)=1,VLOOKUP($A88,'R4_G4'!$A$8:$Y$17, N$2+7,FALSE),""))))</f>
        <v>7</v>
      </c>
      <c r="O88" s="852">
        <f>IF(COUNTIF('R4_G1'!$A$8:$A$17,$A88)=1,VLOOKUP($A88,'R4_G1'!$A$8:$Y$17, O$2+7,FALSE),IF(COUNTIF('R4_G2'!$A$8:$A$17,$A88)=1,VLOOKUP($A88,'R4_G2'!$A$8:$Y$17, O$2+7,FALSE),IF(COUNTIF('R4_G3'!$A$8:$A$17,$A88)=1,VLOOKUP($A88,'R4_G3'!$A$8:$Y$17, O$2+7,FALSE),IF(COUNTIF('R4_G4'!$A$8:$A$17,$A88)=1,VLOOKUP($A88,'R4_G4'!$A$8:$Y$17, O$2+7,FALSE),""))))</f>
        <v>5</v>
      </c>
      <c r="P88" s="852">
        <f>IF(COUNTIF('R4_G1'!$A$8:$A$17,$A88)=1,VLOOKUP($A88,'R4_G1'!$A$8:$Y$17, P$2+7,FALSE),IF(COUNTIF('R4_G2'!$A$8:$A$17,$A88)=1,VLOOKUP($A88,'R4_G2'!$A$8:$Y$17, P$2+7,FALSE),IF(COUNTIF('R4_G3'!$A$8:$A$17,$A88)=1,VLOOKUP($A88,'R4_G3'!$A$8:$Y$17, P$2+7,FALSE),IF(COUNTIF('R4_G4'!$A$8:$A$17,$A88)=1,VLOOKUP($A88,'R4_G4'!$A$8:$Y$17, P$2+7,FALSE),""))))</f>
        <v>6</v>
      </c>
      <c r="Q88" s="852">
        <f>IF(COUNTIF('R4_G1'!$A$8:$A$17,$A88)=1,VLOOKUP($A88,'R4_G1'!$A$8:$Y$17, Q$2+7,FALSE),IF(COUNTIF('R4_G2'!$A$8:$A$17,$A88)=1,VLOOKUP($A88,'R4_G2'!$A$8:$Y$17, Q$2+7,FALSE),IF(COUNTIF('R4_G3'!$A$8:$A$17,$A88)=1,VLOOKUP($A88,'R4_G3'!$A$8:$Y$17, Q$2+7,FALSE),IF(COUNTIF('R4_G4'!$A$8:$A$17,$A88)=1,VLOOKUP($A88,'R4_G4'!$A$8:$Y$17, Q$2+7,FALSE),""))))</f>
        <v>4</v>
      </c>
      <c r="R88" s="852">
        <f>IF(COUNTIF('R4_G1'!$A$8:$A$17,$A88)=1,VLOOKUP($A88,'R4_G1'!$A$8:$Y$17, R$2+7,FALSE),IF(COUNTIF('R4_G2'!$A$8:$A$17,$A88)=1,VLOOKUP($A88,'R4_G2'!$A$8:$Y$17, R$2+7,FALSE),IF(COUNTIF('R4_G3'!$A$8:$A$17,$A88)=1,VLOOKUP($A88,'R4_G3'!$A$8:$Y$17, R$2+7,FALSE),IF(COUNTIF('R4_G4'!$A$8:$A$17,$A88)=1,VLOOKUP($A88,'R4_G4'!$A$8:$Y$17, R$2+7,FALSE),""))))</f>
        <v>5</v>
      </c>
      <c r="S88" s="852">
        <f>IF(COUNTIF('R4_G1'!$A$8:$A$17,$A88)=1,VLOOKUP($A88,'R4_G1'!$A$8:$Y$17, S$2+7,FALSE),IF(COUNTIF('R4_G2'!$A$8:$A$17,$A88)=1,VLOOKUP($A88,'R4_G2'!$A$8:$Y$17, S$2+7,FALSE),IF(COUNTIF('R4_G3'!$A$8:$A$17,$A88)=1,VLOOKUP($A88,'R4_G3'!$A$8:$Y$17, S$2+7,FALSE),IF(COUNTIF('R4_G4'!$A$8:$A$17,$A88)=1,VLOOKUP($A88,'R4_G4'!$A$8:$Y$17, S$2+7,FALSE),""))))</f>
        <v>6</v>
      </c>
      <c r="T88" s="852">
        <f>IF(COUNTIF('R4_G1'!$A$8:$A$17,$A88)=1,VLOOKUP($A88,'R4_G1'!$A$8:$Y$17, T$2+7,FALSE),IF(COUNTIF('R4_G2'!$A$8:$A$17,$A88)=1,VLOOKUP($A88,'R4_G2'!$A$8:$Y$17, T$2+7,FALSE),IF(COUNTIF('R4_G3'!$A$8:$A$17,$A88)=1,VLOOKUP($A88,'R4_G3'!$A$8:$Y$17, T$2+7,FALSE),IF(COUNTIF('R4_G4'!$A$8:$A$17,$A88)=1,VLOOKUP($A88,'R4_G4'!$A$8:$Y$17, T$2+7,FALSE),""))))</f>
        <v>5</v>
      </c>
      <c r="U88" s="852">
        <f>IF(COUNTIF('R4_G1'!$A$8:$A$17,$A88)=1,VLOOKUP($A88,'R4_G1'!$A$8:$Y$17, U$2+7,FALSE),IF(COUNTIF('R4_G2'!$A$8:$A$17,$A88)=1,VLOOKUP($A88,'R4_G2'!$A$8:$Y$17, U$2+7,FALSE),IF(COUNTIF('R4_G3'!$A$8:$A$17,$A88)=1,VLOOKUP($A88,'R4_G3'!$A$8:$Y$17, U$2+7,FALSE),IF(COUNTIF('R4_G4'!$A$8:$A$17,$A88)=1,VLOOKUP($A88,'R4_G4'!$A$8:$Y$17, U$2+7,FALSE),""))))</f>
        <v>5</v>
      </c>
      <c r="V88" s="852">
        <f>IF(COUNTIF('R4_G1'!$A$8:$A$17,$A88)=1,VLOOKUP($A88,'R4_G1'!$A$8:$Y$17, V$2+7,FALSE),IF(COUNTIF('R4_G2'!$A$8:$A$17,$A88)=1,VLOOKUP($A88,'R4_G2'!$A$8:$Y$17, V$2+7,FALSE),IF(COUNTIF('R4_G3'!$A$8:$A$17,$A88)=1,VLOOKUP($A88,'R4_G3'!$A$8:$Y$17, V$2+7,FALSE),IF(COUNTIF('R4_G4'!$A$8:$A$17,$A88)=1,VLOOKUP($A88,'R4_G4'!$A$8:$Y$17, V$2+7,FALSE),""))))</f>
        <v>4</v>
      </c>
      <c r="W88" s="859">
        <f t="shared" si="111"/>
        <v>45</v>
      </c>
      <c r="X88" s="859">
        <f t="shared" si="112"/>
        <v>47</v>
      </c>
      <c r="Y88" s="859">
        <f t="shared" si="117"/>
        <v>92</v>
      </c>
      <c r="Z88" s="859">
        <f t="shared" ca="1" si="118"/>
        <v>82</v>
      </c>
      <c r="AA88" s="859">
        <f t="shared" si="119"/>
        <v>92</v>
      </c>
      <c r="AB88" s="947"/>
      <c r="AC88" s="857" t="str">
        <f t="shared" si="120"/>
        <v>Pace</v>
      </c>
      <c r="AD88" s="858">
        <f ca="1">VLOOKUP(AC88,'Master Input'!$A$11:$L$27,12,FALSE)</f>
        <v>10</v>
      </c>
      <c r="AE88" s="857" t="s">
        <v>198</v>
      </c>
      <c r="AF88" s="832"/>
      <c r="AG88" s="859">
        <f t="shared" ref="AG88:AX88" ca="1" si="140">IF(E88="","",E88-IF($B88&gt;0,FLOOR($B88/18,1),0)-IF(AND(MOD($B88,18)&gt;=E$75,$B88&gt;0),1,0)+IF(E$75-18&gt;$B88,1,0))</f>
        <v>5</v>
      </c>
      <c r="AH88" s="859">
        <f t="shared" ca="1" si="140"/>
        <v>5</v>
      </c>
      <c r="AI88" s="859">
        <f t="shared" ca="1" si="140"/>
        <v>8</v>
      </c>
      <c r="AJ88" s="859">
        <f t="shared" ca="1" si="140"/>
        <v>5</v>
      </c>
      <c r="AK88" s="859">
        <f t="shared" ca="1" si="140"/>
        <v>3</v>
      </c>
      <c r="AL88" s="859">
        <f t="shared" ca="1" si="140"/>
        <v>5</v>
      </c>
      <c r="AM88" s="859">
        <f t="shared" ca="1" si="140"/>
        <v>4</v>
      </c>
      <c r="AN88" s="859">
        <f t="shared" ca="1" si="140"/>
        <v>3</v>
      </c>
      <c r="AO88" s="859">
        <f t="shared" ca="1" si="140"/>
        <v>2</v>
      </c>
      <c r="AP88" s="852">
        <f t="shared" ca="1" si="140"/>
        <v>7</v>
      </c>
      <c r="AQ88" s="852">
        <f t="shared" ca="1" si="140"/>
        <v>4</v>
      </c>
      <c r="AR88" s="852">
        <f t="shared" ca="1" si="140"/>
        <v>5</v>
      </c>
      <c r="AS88" s="852">
        <f t="shared" ca="1" si="140"/>
        <v>4</v>
      </c>
      <c r="AT88" s="852">
        <f t="shared" ca="1" si="140"/>
        <v>5</v>
      </c>
      <c r="AU88" s="852">
        <f t="shared" ca="1" si="140"/>
        <v>6</v>
      </c>
      <c r="AV88" s="852">
        <f t="shared" ca="1" si="140"/>
        <v>4</v>
      </c>
      <c r="AW88" s="852">
        <f t="shared" ca="1" si="140"/>
        <v>4</v>
      </c>
      <c r="AX88" s="852">
        <f t="shared" ca="1" si="140"/>
        <v>3</v>
      </c>
      <c r="AY88" s="859">
        <f t="shared" ca="1" si="114"/>
        <v>40</v>
      </c>
      <c r="AZ88" s="859">
        <f t="shared" ca="1" si="115"/>
        <v>42</v>
      </c>
      <c r="BA88" s="859">
        <f t="shared" ca="1" si="122"/>
        <v>82</v>
      </c>
      <c r="BB88" s="857" t="str">
        <f ca="1">IF(COUNTIF('R4_G1'!$A$8:$A$17,$A88)=1, IF(AND(BA88=Z88,BA88=VLOOKUP($A88,'R4_G1'!$A$8:$AB$17, 28,FALSE)),"yes","no"),
IF(COUNTIF('R4_G2'!$A$8:$A$17,$A88)=1, IF(AND(BA88=Z88,BA88=VLOOKUP($A88,'R4_G2'!$A$8:$AB$17, 28,FALSE)),"yes","no"),
IF(COUNTIF('R4_G3'!$A$8:$A$17,$A88)=1, IF(AND(BA88=Z88,BA88=VLOOKUP($A88,'R4_G3'!$A$8:$AB$17, 28,FALSE)),"yes","no"),
IF(COUNTIF('R4_G4'!$A$8:$A$17,$A88)=1, IF(AND(BA88=Z88,BA88=VLOOKUP($A88,'R4_G4'!$A$8:$AB$17, 28,FALSE)),"yes","no"),
"?"))))</f>
        <v>yes</v>
      </c>
      <c r="BC88" s="947"/>
      <c r="BD88" s="860">
        <f t="shared" ca="1" si="123"/>
        <v>6</v>
      </c>
      <c r="BE88" s="861">
        <f t="shared" ca="1" si="124"/>
        <v>8.2000000000000011</v>
      </c>
      <c r="BF88" s="861">
        <f t="shared" ca="1" si="125"/>
        <v>0</v>
      </c>
      <c r="BG88" s="861">
        <f t="shared" ca="1" si="126"/>
        <v>4</v>
      </c>
      <c r="BH88" s="861">
        <f t="shared" ca="1" si="127"/>
        <v>4</v>
      </c>
      <c r="BI88" s="861">
        <f t="shared" ca="1" si="128"/>
        <v>7</v>
      </c>
      <c r="BJ88" s="861">
        <f t="shared" ca="1" si="129"/>
        <v>3</v>
      </c>
    </row>
    <row r="89" spans="1:62" ht="14.25" customHeight="1">
      <c r="A89" s="849" t="str">
        <f t="shared" si="116"/>
        <v>T-Mo</v>
      </c>
      <c r="B89" s="850">
        <f ca="1">VLOOKUP(A89,'Master Input'!$A$11:$L$27,12,FALSE)</f>
        <v>11</v>
      </c>
      <c r="C89" s="849"/>
      <c r="D89" s="851"/>
      <c r="E89" s="852">
        <f>IF(COUNTIF('R4_G1'!$A$8:$A$17,$A89)=1,VLOOKUP($A89,'R4_G1'!$A$8:$Y$17, E$2+4,FALSE),IF(COUNTIF('R4_G2'!$A$8:$A$17,$A89)=1,VLOOKUP($A89,'R4_G2'!$A$8:$Y$17, E$2+4,FALSE),IF(COUNTIF('R4_G3'!$A$8:$A$17,$A89)=1,VLOOKUP($A89,'R4_G3'!$A$8:$Y$17, E$2+4,FALSE),IF(COUNTIF('R4_G4'!$A$8:$A$17,$A89)=1,VLOOKUP($A89,'R4_G4'!$A$8:$Y$17, E$2+4,FALSE),""))))</f>
        <v>5</v>
      </c>
      <c r="F89" s="852">
        <f>IF(COUNTIF('R4_G1'!$A$8:$A$17,$A89)=1,VLOOKUP($A89,'R4_G1'!$A$8:$Y$17, F$2+4,FALSE),IF(COUNTIF('R4_G2'!$A$8:$A$17,$A89)=1,VLOOKUP($A89,'R4_G2'!$A$8:$Y$17, F$2+4,FALSE),IF(COUNTIF('R4_G3'!$A$8:$A$17,$A89)=1,VLOOKUP($A89,'R4_G3'!$A$8:$Y$17, F$2+4,FALSE),IF(COUNTIF('R4_G4'!$A$8:$A$17,$A89)=1,VLOOKUP($A89,'R4_G4'!$A$8:$Y$17, F$2+4,FALSE),""))))</f>
        <v>6</v>
      </c>
      <c r="G89" s="852">
        <f>IF(COUNTIF('R4_G1'!$A$8:$A$17,$A89)=1,VLOOKUP($A89,'R4_G1'!$A$8:$Y$17, G$2+4,FALSE),IF(COUNTIF('R4_G2'!$A$8:$A$17,$A89)=1,VLOOKUP($A89,'R4_G2'!$A$8:$Y$17, G$2+4,FALSE),IF(COUNTIF('R4_G3'!$A$8:$A$17,$A89)=1,VLOOKUP($A89,'R4_G3'!$A$8:$Y$17, G$2+4,FALSE),IF(COUNTIF('R4_G4'!$A$8:$A$17,$A89)=1,VLOOKUP($A89,'R4_G4'!$A$8:$Y$17, G$2+4,FALSE),""))))</f>
        <v>6</v>
      </c>
      <c r="H89" s="852">
        <f>IF(COUNTIF('R4_G1'!$A$8:$A$17,$A89)=1,VLOOKUP($A89,'R4_G1'!$A$8:$Y$17, H$2+4,FALSE),IF(COUNTIF('R4_G2'!$A$8:$A$17,$A89)=1,VLOOKUP($A89,'R4_G2'!$A$8:$Y$17, H$2+4,FALSE),IF(COUNTIF('R4_G3'!$A$8:$A$17,$A89)=1,VLOOKUP($A89,'R4_G3'!$A$8:$Y$17, H$2+4,FALSE),IF(COUNTIF('R4_G4'!$A$8:$A$17,$A89)=1,VLOOKUP($A89,'R4_G4'!$A$8:$Y$17, H$2+4,FALSE),""))))</f>
        <v>4</v>
      </c>
      <c r="I89" s="852">
        <f>IF(COUNTIF('R4_G1'!$A$8:$A$17,$A89)=1,VLOOKUP($A89,'R4_G1'!$A$8:$Y$17, I$2+4,FALSE),IF(COUNTIF('R4_G2'!$A$8:$A$17,$A89)=1,VLOOKUP($A89,'R4_G2'!$A$8:$Y$17, I$2+4,FALSE),IF(COUNTIF('R4_G3'!$A$8:$A$17,$A89)=1,VLOOKUP($A89,'R4_G3'!$A$8:$Y$17, I$2+4,FALSE),IF(COUNTIF('R4_G4'!$A$8:$A$17,$A89)=1,VLOOKUP($A89,'R4_G4'!$A$8:$Y$17, I$2+4,FALSE),""))))</f>
        <v>7</v>
      </c>
      <c r="J89" s="852">
        <f>IF(COUNTIF('R4_G1'!$A$8:$A$17,$A89)=1,VLOOKUP($A89,'R4_G1'!$A$8:$Y$17, J$2+4,FALSE),IF(COUNTIF('R4_G2'!$A$8:$A$17,$A89)=1,VLOOKUP($A89,'R4_G2'!$A$8:$Y$17, J$2+4,FALSE),IF(COUNTIF('R4_G3'!$A$8:$A$17,$A89)=1,VLOOKUP($A89,'R4_G3'!$A$8:$Y$17, J$2+4,FALSE),IF(COUNTIF('R4_G4'!$A$8:$A$17,$A89)=1,VLOOKUP($A89,'R4_G4'!$A$8:$Y$17, J$2+4,FALSE),""))))</f>
        <v>5</v>
      </c>
      <c r="K89" s="852">
        <f>IF(COUNTIF('R4_G1'!$A$8:$A$17,$A89)=1,VLOOKUP($A89,'R4_G1'!$A$8:$Y$17, K$2+4,FALSE),IF(COUNTIF('R4_G2'!$A$8:$A$17,$A89)=1,VLOOKUP($A89,'R4_G2'!$A$8:$Y$17, K$2+4,FALSE),IF(COUNTIF('R4_G3'!$A$8:$A$17,$A89)=1,VLOOKUP($A89,'R4_G3'!$A$8:$Y$17, K$2+4,FALSE),IF(COUNTIF('R4_G4'!$A$8:$A$17,$A89)=1,VLOOKUP($A89,'R4_G4'!$A$8:$Y$17, K$2+4,FALSE),""))))</f>
        <v>6</v>
      </c>
      <c r="L89" s="852">
        <f>IF(COUNTIF('R4_G1'!$A$8:$A$17,$A89)=1,VLOOKUP($A89,'R4_G1'!$A$8:$Y$17, L$2+4,FALSE),IF(COUNTIF('R4_G2'!$A$8:$A$17,$A89)=1,VLOOKUP($A89,'R4_G2'!$A$8:$Y$17, L$2+4,FALSE),IF(COUNTIF('R4_G3'!$A$8:$A$17,$A89)=1,VLOOKUP($A89,'R4_G3'!$A$8:$Y$17, L$2+4,FALSE),IF(COUNTIF('R4_G4'!$A$8:$A$17,$A89)=1,VLOOKUP($A89,'R4_G4'!$A$8:$Y$17, L$2+4,FALSE),""))))</f>
        <v>6</v>
      </c>
      <c r="M89" s="852">
        <f>IF(COUNTIF('R4_G1'!$A$8:$A$17,$A89)=1,VLOOKUP($A89,'R4_G1'!$A$8:$Y$17, M$2+4,FALSE),IF(COUNTIF('R4_G2'!$A$8:$A$17,$A89)=1,VLOOKUP($A89,'R4_G2'!$A$8:$Y$17, M$2+4,FALSE),IF(COUNTIF('R4_G3'!$A$8:$A$17,$A89)=1,VLOOKUP($A89,'R4_G3'!$A$8:$Y$17, M$2+4,FALSE),IF(COUNTIF('R4_G4'!$A$8:$A$17,$A89)=1,VLOOKUP($A89,'R4_G4'!$A$8:$Y$17, M$2+4,FALSE),""))))</f>
        <v>3</v>
      </c>
      <c r="N89" s="853">
        <f>IF(COUNTIF('R4_G1'!$A$8:$A$17,$A89)=1,VLOOKUP($A89,'R4_G1'!$A$8:$Y$17, N$2+7,FALSE),IF(COUNTIF('R4_G2'!$A$8:$A$17,$A89)=1,VLOOKUP($A89,'R4_G2'!$A$8:$Y$17, N$2+7,FALSE),IF(COUNTIF('R4_G3'!$A$8:$A$17,$A89)=1,VLOOKUP($A89,'R4_G3'!$A$8:$Y$17, N$2+7,FALSE),IF(COUNTIF('R4_G4'!$A$8:$A$17,$A89)=1,VLOOKUP($A89,'R4_G4'!$A$8:$Y$17, N$2+7,FALSE),""))))</f>
        <v>6</v>
      </c>
      <c r="O89" s="853">
        <f>IF(COUNTIF('R4_G1'!$A$8:$A$17,$A89)=1,VLOOKUP($A89,'R4_G1'!$A$8:$Y$17, O$2+7,FALSE),IF(COUNTIF('R4_G2'!$A$8:$A$17,$A89)=1,VLOOKUP($A89,'R4_G2'!$A$8:$Y$17, O$2+7,FALSE),IF(COUNTIF('R4_G3'!$A$8:$A$17,$A89)=1,VLOOKUP($A89,'R4_G3'!$A$8:$Y$17, O$2+7,FALSE),IF(COUNTIF('R4_G4'!$A$8:$A$17,$A89)=1,VLOOKUP($A89,'R4_G4'!$A$8:$Y$17, O$2+7,FALSE),""))))</f>
        <v>6</v>
      </c>
      <c r="P89" s="853">
        <f>IF(COUNTIF('R4_G1'!$A$8:$A$17,$A89)=1,VLOOKUP($A89,'R4_G1'!$A$8:$Y$17, P$2+7,FALSE),IF(COUNTIF('R4_G2'!$A$8:$A$17,$A89)=1,VLOOKUP($A89,'R4_G2'!$A$8:$Y$17, P$2+7,FALSE),IF(COUNTIF('R4_G3'!$A$8:$A$17,$A89)=1,VLOOKUP($A89,'R4_G3'!$A$8:$Y$17, P$2+7,FALSE),IF(COUNTIF('R4_G4'!$A$8:$A$17,$A89)=1,VLOOKUP($A89,'R4_G4'!$A$8:$Y$17, P$2+7,FALSE),""))))</f>
        <v>4</v>
      </c>
      <c r="Q89" s="853">
        <f>IF(COUNTIF('R4_G1'!$A$8:$A$17,$A89)=1,VLOOKUP($A89,'R4_G1'!$A$8:$Y$17, Q$2+7,FALSE),IF(COUNTIF('R4_G2'!$A$8:$A$17,$A89)=1,VLOOKUP($A89,'R4_G2'!$A$8:$Y$17, Q$2+7,FALSE),IF(COUNTIF('R4_G3'!$A$8:$A$17,$A89)=1,VLOOKUP($A89,'R4_G3'!$A$8:$Y$17, Q$2+7,FALSE),IF(COUNTIF('R4_G4'!$A$8:$A$17,$A89)=1,VLOOKUP($A89,'R4_G4'!$A$8:$Y$17, Q$2+7,FALSE),""))))</f>
        <v>3</v>
      </c>
      <c r="R89" s="853">
        <f>IF(COUNTIF('R4_G1'!$A$8:$A$17,$A89)=1,VLOOKUP($A89,'R4_G1'!$A$8:$Y$17, R$2+7,FALSE),IF(COUNTIF('R4_G2'!$A$8:$A$17,$A89)=1,VLOOKUP($A89,'R4_G2'!$A$8:$Y$17, R$2+7,FALSE),IF(COUNTIF('R4_G3'!$A$8:$A$17,$A89)=1,VLOOKUP($A89,'R4_G3'!$A$8:$Y$17, R$2+7,FALSE),IF(COUNTIF('R4_G4'!$A$8:$A$17,$A89)=1,VLOOKUP($A89,'R4_G4'!$A$8:$Y$17, R$2+7,FALSE),""))))</f>
        <v>4</v>
      </c>
      <c r="S89" s="853">
        <f>IF(COUNTIF('R4_G1'!$A$8:$A$17,$A89)=1,VLOOKUP($A89,'R4_G1'!$A$8:$Y$17, S$2+7,FALSE),IF(COUNTIF('R4_G2'!$A$8:$A$17,$A89)=1,VLOOKUP($A89,'R4_G2'!$A$8:$Y$17, S$2+7,FALSE),IF(COUNTIF('R4_G3'!$A$8:$A$17,$A89)=1,VLOOKUP($A89,'R4_G3'!$A$8:$Y$17, S$2+7,FALSE),IF(COUNTIF('R4_G4'!$A$8:$A$17,$A89)=1,VLOOKUP($A89,'R4_G4'!$A$8:$Y$17, S$2+7,FALSE),""))))</f>
        <v>6</v>
      </c>
      <c r="T89" s="853">
        <f>IF(COUNTIF('R4_G1'!$A$8:$A$17,$A89)=1,VLOOKUP($A89,'R4_G1'!$A$8:$Y$17, T$2+7,FALSE),IF(COUNTIF('R4_G2'!$A$8:$A$17,$A89)=1,VLOOKUP($A89,'R4_G2'!$A$8:$Y$17, T$2+7,FALSE),IF(COUNTIF('R4_G3'!$A$8:$A$17,$A89)=1,VLOOKUP($A89,'R4_G3'!$A$8:$Y$17, T$2+7,FALSE),IF(COUNTIF('R4_G4'!$A$8:$A$17,$A89)=1,VLOOKUP($A89,'R4_G4'!$A$8:$Y$17, T$2+7,FALSE),""))))</f>
        <v>4</v>
      </c>
      <c r="U89" s="853">
        <f>IF(COUNTIF('R4_G1'!$A$8:$A$17,$A89)=1,VLOOKUP($A89,'R4_G1'!$A$8:$Y$17, U$2+7,FALSE),IF(COUNTIF('R4_G2'!$A$8:$A$17,$A89)=1,VLOOKUP($A89,'R4_G2'!$A$8:$Y$17, U$2+7,FALSE),IF(COUNTIF('R4_G3'!$A$8:$A$17,$A89)=1,VLOOKUP($A89,'R4_G3'!$A$8:$Y$17, U$2+7,FALSE),IF(COUNTIF('R4_G4'!$A$8:$A$17,$A89)=1,VLOOKUP($A89,'R4_G4'!$A$8:$Y$17, U$2+7,FALSE),""))))</f>
        <v>4</v>
      </c>
      <c r="V89" s="853">
        <f>IF(COUNTIF('R4_G1'!$A$8:$A$17,$A89)=1,VLOOKUP($A89,'R4_G1'!$A$8:$Y$17, V$2+7,FALSE),IF(COUNTIF('R4_G2'!$A$8:$A$17,$A89)=1,VLOOKUP($A89,'R4_G2'!$A$8:$Y$17, V$2+7,FALSE),IF(COUNTIF('R4_G3'!$A$8:$A$17,$A89)=1,VLOOKUP($A89,'R4_G3'!$A$8:$Y$17, V$2+7,FALSE),IF(COUNTIF('R4_G4'!$A$8:$A$17,$A89)=1,VLOOKUP($A89,'R4_G4'!$A$8:$Y$17, V$2+7,FALSE),""))))</f>
        <v>6</v>
      </c>
      <c r="W89" s="852">
        <f t="shared" si="111"/>
        <v>48</v>
      </c>
      <c r="X89" s="852">
        <f t="shared" si="112"/>
        <v>43</v>
      </c>
      <c r="Y89" s="852">
        <f t="shared" si="117"/>
        <v>91</v>
      </c>
      <c r="Z89" s="852">
        <f t="shared" ca="1" si="118"/>
        <v>80</v>
      </c>
      <c r="AA89" s="859">
        <f t="shared" si="119"/>
        <v>91</v>
      </c>
      <c r="AB89" s="947"/>
      <c r="AC89" s="849" t="str">
        <f t="shared" si="120"/>
        <v>T-Mo</v>
      </c>
      <c r="AD89" s="850">
        <f ca="1">VLOOKUP(AC89,'Master Input'!$A$11:$L$27,12,FALSE)</f>
        <v>11</v>
      </c>
      <c r="AE89" s="849" t="s">
        <v>198</v>
      </c>
      <c r="AF89" s="832"/>
      <c r="AG89" s="852">
        <f t="shared" ref="AG89:AX89" ca="1" si="141">IF(E89="","",E89-IF($B89&gt;0,FLOOR($B89/18,1),0)-IF(AND(MOD($B89,18)&gt;=E$75,$B89&gt;0),1,0)+IF(E$75-18&gt;$B89,1,0))</f>
        <v>4</v>
      </c>
      <c r="AH89" s="852">
        <f t="shared" ca="1" si="141"/>
        <v>5</v>
      </c>
      <c r="AI89" s="852">
        <f t="shared" ca="1" si="141"/>
        <v>6</v>
      </c>
      <c r="AJ89" s="852">
        <f t="shared" ca="1" si="141"/>
        <v>4</v>
      </c>
      <c r="AK89" s="852">
        <f t="shared" ca="1" si="141"/>
        <v>6</v>
      </c>
      <c r="AL89" s="852">
        <f t="shared" ca="1" si="141"/>
        <v>5</v>
      </c>
      <c r="AM89" s="852">
        <f t="shared" ca="1" si="141"/>
        <v>5</v>
      </c>
      <c r="AN89" s="852">
        <f t="shared" ca="1" si="141"/>
        <v>5</v>
      </c>
      <c r="AO89" s="852">
        <f t="shared" ca="1" si="141"/>
        <v>2</v>
      </c>
      <c r="AP89" s="853">
        <f t="shared" ca="1" si="141"/>
        <v>6</v>
      </c>
      <c r="AQ89" s="853">
        <f t="shared" ca="1" si="141"/>
        <v>5</v>
      </c>
      <c r="AR89" s="853">
        <f t="shared" ca="1" si="141"/>
        <v>3</v>
      </c>
      <c r="AS89" s="853">
        <f t="shared" ca="1" si="141"/>
        <v>3</v>
      </c>
      <c r="AT89" s="853">
        <f t="shared" ca="1" si="141"/>
        <v>4</v>
      </c>
      <c r="AU89" s="853">
        <f t="shared" ca="1" si="141"/>
        <v>6</v>
      </c>
      <c r="AV89" s="853">
        <f t="shared" ca="1" si="141"/>
        <v>3</v>
      </c>
      <c r="AW89" s="853">
        <f t="shared" ca="1" si="141"/>
        <v>3</v>
      </c>
      <c r="AX89" s="853">
        <f t="shared" ca="1" si="141"/>
        <v>5</v>
      </c>
      <c r="AY89" s="852">
        <f t="shared" ca="1" si="114"/>
        <v>42</v>
      </c>
      <c r="AZ89" s="852">
        <f t="shared" ca="1" si="115"/>
        <v>38</v>
      </c>
      <c r="BA89" s="852">
        <f t="shared" ca="1" si="122"/>
        <v>80</v>
      </c>
      <c r="BB89" s="849" t="str">
        <f ca="1">IF(COUNTIF('R4_G1'!$A$8:$A$17,$A89)=1, IF(AND(BA89=Z89,BA89=VLOOKUP($A89,'R4_G1'!$A$8:$AB$17, 28,FALSE)),"yes","no"),
IF(COUNTIF('R4_G2'!$A$8:$A$17,$A89)=1, IF(AND(BA89=Z89,BA89=VLOOKUP($A89,'R4_G2'!$A$8:$AB$17, 28,FALSE)),"yes","no"),
IF(COUNTIF('R4_G3'!$A$8:$A$17,$A89)=1, IF(AND(BA89=Z89,BA89=VLOOKUP($A89,'R4_G3'!$A$8:$AB$17, 28,FALSE)),"yes","no"),
IF(COUNTIF('R4_G4'!$A$8:$A$17,$A89)=1, IF(AND(BA89=Z89,BA89=VLOOKUP($A89,'R4_G4'!$A$8:$AB$17, 28,FALSE)),"yes","no"),
"?"))))</f>
        <v>yes</v>
      </c>
      <c r="BC89" s="947"/>
      <c r="BD89" s="862">
        <f t="shared" ca="1" si="123"/>
        <v>5.5</v>
      </c>
      <c r="BE89" s="855">
        <f t="shared" ca="1" si="124"/>
        <v>8.9</v>
      </c>
      <c r="BF89" s="855">
        <f t="shared" ca="1" si="125"/>
        <v>0</v>
      </c>
      <c r="BG89" s="855">
        <f t="shared" ca="1" si="126"/>
        <v>3</v>
      </c>
      <c r="BH89" s="855">
        <f t="shared" ca="1" si="127"/>
        <v>5</v>
      </c>
      <c r="BI89" s="855">
        <f t="shared" ca="1" si="128"/>
        <v>9</v>
      </c>
      <c r="BJ89" s="855">
        <f t="shared" ca="1" si="129"/>
        <v>1</v>
      </c>
    </row>
    <row r="90" spans="1:62" ht="14.25" customHeight="1">
      <c r="A90" s="857" t="str">
        <f t="shared" si="116"/>
        <v>Joe O</v>
      </c>
      <c r="B90" s="858">
        <f ca="1">VLOOKUP(A90,'Master Input'!$A$11:$L$27,12,FALSE)</f>
        <v>15</v>
      </c>
      <c r="C90" s="857"/>
      <c r="D90" s="851"/>
      <c r="E90" s="859">
        <f>IF(COUNTIF('R4_G1'!$A$8:$A$17,$A90)=1,VLOOKUP($A90,'R4_G1'!$A$8:$Y$17, E$2+4,FALSE),IF(COUNTIF('R4_G2'!$A$8:$A$17,$A90)=1,VLOOKUP($A90,'R4_G2'!$A$8:$Y$17, E$2+4,FALSE),IF(COUNTIF('R4_G3'!$A$8:$A$17,$A90)=1,VLOOKUP($A90,'R4_G3'!$A$8:$Y$17, E$2+4,FALSE),IF(COUNTIF('R4_G4'!$A$8:$A$17,$A90)=1,VLOOKUP($A90,'R4_G4'!$A$8:$Y$17, E$2+4,FALSE),""))))</f>
        <v>5</v>
      </c>
      <c r="F90" s="859">
        <f>IF(COUNTIF('R4_G1'!$A$8:$A$17,$A90)=1,VLOOKUP($A90,'R4_G1'!$A$8:$Y$17, F$2+4,FALSE),IF(COUNTIF('R4_G2'!$A$8:$A$17,$A90)=1,VLOOKUP($A90,'R4_G2'!$A$8:$Y$17, F$2+4,FALSE),IF(COUNTIF('R4_G3'!$A$8:$A$17,$A90)=1,VLOOKUP($A90,'R4_G3'!$A$8:$Y$17, F$2+4,FALSE),IF(COUNTIF('R4_G4'!$A$8:$A$17,$A90)=1,VLOOKUP($A90,'R4_G4'!$A$8:$Y$17, F$2+4,FALSE),""))))</f>
        <v>5</v>
      </c>
      <c r="G90" s="859">
        <f>IF(COUNTIF('R4_G1'!$A$8:$A$17,$A90)=1,VLOOKUP($A90,'R4_G1'!$A$8:$Y$17, G$2+4,FALSE),IF(COUNTIF('R4_G2'!$A$8:$A$17,$A90)=1,VLOOKUP($A90,'R4_G2'!$A$8:$Y$17, G$2+4,FALSE),IF(COUNTIF('R4_G3'!$A$8:$A$17,$A90)=1,VLOOKUP($A90,'R4_G3'!$A$8:$Y$17, G$2+4,FALSE),IF(COUNTIF('R4_G4'!$A$8:$A$17,$A90)=1,VLOOKUP($A90,'R4_G4'!$A$8:$Y$17, G$2+4,FALSE),""))))</f>
        <v>7</v>
      </c>
      <c r="H90" s="859">
        <f>IF(COUNTIF('R4_G1'!$A$8:$A$17,$A90)=1,VLOOKUP($A90,'R4_G1'!$A$8:$Y$17, H$2+4,FALSE),IF(COUNTIF('R4_G2'!$A$8:$A$17,$A90)=1,VLOOKUP($A90,'R4_G2'!$A$8:$Y$17, H$2+4,FALSE),IF(COUNTIF('R4_G3'!$A$8:$A$17,$A90)=1,VLOOKUP($A90,'R4_G3'!$A$8:$Y$17, H$2+4,FALSE),IF(COUNTIF('R4_G4'!$A$8:$A$17,$A90)=1,VLOOKUP($A90,'R4_G4'!$A$8:$Y$17, H$2+4,FALSE),""))))</f>
        <v>4</v>
      </c>
      <c r="I90" s="859">
        <f>IF(COUNTIF('R4_G1'!$A$8:$A$17,$A90)=1,VLOOKUP($A90,'R4_G1'!$A$8:$Y$17, I$2+4,FALSE),IF(COUNTIF('R4_G2'!$A$8:$A$17,$A90)=1,VLOOKUP($A90,'R4_G2'!$A$8:$Y$17, I$2+4,FALSE),IF(COUNTIF('R4_G3'!$A$8:$A$17,$A90)=1,VLOOKUP($A90,'R4_G3'!$A$8:$Y$17, I$2+4,FALSE),IF(COUNTIF('R4_G4'!$A$8:$A$17,$A90)=1,VLOOKUP($A90,'R4_G4'!$A$8:$Y$17, I$2+4,FALSE),""))))</f>
        <v>4</v>
      </c>
      <c r="J90" s="859">
        <f>IF(COUNTIF('R4_G1'!$A$8:$A$17,$A90)=1,VLOOKUP($A90,'R4_G1'!$A$8:$Y$17, J$2+4,FALSE),IF(COUNTIF('R4_G2'!$A$8:$A$17,$A90)=1,VLOOKUP($A90,'R4_G2'!$A$8:$Y$17, J$2+4,FALSE),IF(COUNTIF('R4_G3'!$A$8:$A$17,$A90)=1,VLOOKUP($A90,'R4_G3'!$A$8:$Y$17, J$2+4,FALSE),IF(COUNTIF('R4_G4'!$A$8:$A$17,$A90)=1,VLOOKUP($A90,'R4_G4'!$A$8:$Y$17, J$2+4,FALSE),""))))</f>
        <v>6</v>
      </c>
      <c r="K90" s="859">
        <f>IF(COUNTIF('R4_G1'!$A$8:$A$17,$A90)=1,VLOOKUP($A90,'R4_G1'!$A$8:$Y$17, K$2+4,FALSE),IF(COUNTIF('R4_G2'!$A$8:$A$17,$A90)=1,VLOOKUP($A90,'R4_G2'!$A$8:$Y$17, K$2+4,FALSE),IF(COUNTIF('R4_G3'!$A$8:$A$17,$A90)=1,VLOOKUP($A90,'R4_G3'!$A$8:$Y$17, K$2+4,FALSE),IF(COUNTIF('R4_G4'!$A$8:$A$17,$A90)=1,VLOOKUP($A90,'R4_G4'!$A$8:$Y$17, K$2+4,FALSE),""))))</f>
        <v>5</v>
      </c>
      <c r="L90" s="859">
        <f>IF(COUNTIF('R4_G1'!$A$8:$A$17,$A90)=1,VLOOKUP($A90,'R4_G1'!$A$8:$Y$17, L$2+4,FALSE),IF(COUNTIF('R4_G2'!$A$8:$A$17,$A90)=1,VLOOKUP($A90,'R4_G2'!$A$8:$Y$17, L$2+4,FALSE),IF(COUNTIF('R4_G3'!$A$8:$A$17,$A90)=1,VLOOKUP($A90,'R4_G3'!$A$8:$Y$17, L$2+4,FALSE),IF(COUNTIF('R4_G4'!$A$8:$A$17,$A90)=1,VLOOKUP($A90,'R4_G4'!$A$8:$Y$17, L$2+4,FALSE),""))))</f>
        <v>4</v>
      </c>
      <c r="M90" s="859">
        <f>IF(COUNTIF('R4_G1'!$A$8:$A$17,$A90)=1,VLOOKUP($A90,'R4_G1'!$A$8:$Y$17, M$2+4,FALSE),IF(COUNTIF('R4_G2'!$A$8:$A$17,$A90)=1,VLOOKUP($A90,'R4_G2'!$A$8:$Y$17, M$2+4,FALSE),IF(COUNTIF('R4_G3'!$A$8:$A$17,$A90)=1,VLOOKUP($A90,'R4_G3'!$A$8:$Y$17, M$2+4,FALSE),IF(COUNTIF('R4_G4'!$A$8:$A$17,$A90)=1,VLOOKUP($A90,'R4_G4'!$A$8:$Y$17, M$2+4,FALSE),""))))</f>
        <v>3</v>
      </c>
      <c r="N90" s="852">
        <f>IF(COUNTIF('R4_G1'!$A$8:$A$17,$A90)=1,VLOOKUP($A90,'R4_G1'!$A$8:$Y$17, N$2+7,FALSE),IF(COUNTIF('R4_G2'!$A$8:$A$17,$A90)=1,VLOOKUP($A90,'R4_G2'!$A$8:$Y$17, N$2+7,FALSE),IF(COUNTIF('R4_G3'!$A$8:$A$17,$A90)=1,VLOOKUP($A90,'R4_G3'!$A$8:$Y$17, N$2+7,FALSE),IF(COUNTIF('R4_G4'!$A$8:$A$17,$A90)=1,VLOOKUP($A90,'R4_G4'!$A$8:$Y$17, N$2+7,FALSE),""))))</f>
        <v>7</v>
      </c>
      <c r="O90" s="852">
        <f>IF(COUNTIF('R4_G1'!$A$8:$A$17,$A90)=1,VLOOKUP($A90,'R4_G1'!$A$8:$Y$17, O$2+7,FALSE),IF(COUNTIF('R4_G2'!$A$8:$A$17,$A90)=1,VLOOKUP($A90,'R4_G2'!$A$8:$Y$17, O$2+7,FALSE),IF(COUNTIF('R4_G3'!$A$8:$A$17,$A90)=1,VLOOKUP($A90,'R4_G3'!$A$8:$Y$17, O$2+7,FALSE),IF(COUNTIF('R4_G4'!$A$8:$A$17,$A90)=1,VLOOKUP($A90,'R4_G4'!$A$8:$Y$17, O$2+7,FALSE),""))))</f>
        <v>6</v>
      </c>
      <c r="P90" s="852">
        <f>IF(COUNTIF('R4_G1'!$A$8:$A$17,$A90)=1,VLOOKUP($A90,'R4_G1'!$A$8:$Y$17, P$2+7,FALSE),IF(COUNTIF('R4_G2'!$A$8:$A$17,$A90)=1,VLOOKUP($A90,'R4_G2'!$A$8:$Y$17, P$2+7,FALSE),IF(COUNTIF('R4_G3'!$A$8:$A$17,$A90)=1,VLOOKUP($A90,'R4_G3'!$A$8:$Y$17, P$2+7,FALSE),IF(COUNTIF('R4_G4'!$A$8:$A$17,$A90)=1,VLOOKUP($A90,'R4_G4'!$A$8:$Y$17, P$2+7,FALSE),""))))</f>
        <v>6</v>
      </c>
      <c r="Q90" s="852">
        <f>IF(COUNTIF('R4_G1'!$A$8:$A$17,$A90)=1,VLOOKUP($A90,'R4_G1'!$A$8:$Y$17, Q$2+7,FALSE),IF(COUNTIF('R4_G2'!$A$8:$A$17,$A90)=1,VLOOKUP($A90,'R4_G2'!$A$8:$Y$17, Q$2+7,FALSE),IF(COUNTIF('R4_G3'!$A$8:$A$17,$A90)=1,VLOOKUP($A90,'R4_G3'!$A$8:$Y$17, Q$2+7,FALSE),IF(COUNTIF('R4_G4'!$A$8:$A$17,$A90)=1,VLOOKUP($A90,'R4_G4'!$A$8:$Y$17, Q$2+7,FALSE),""))))</f>
        <v>7</v>
      </c>
      <c r="R90" s="852">
        <f>IF(COUNTIF('R4_G1'!$A$8:$A$17,$A90)=1,VLOOKUP($A90,'R4_G1'!$A$8:$Y$17, R$2+7,FALSE),IF(COUNTIF('R4_G2'!$A$8:$A$17,$A90)=1,VLOOKUP($A90,'R4_G2'!$A$8:$Y$17, R$2+7,FALSE),IF(COUNTIF('R4_G3'!$A$8:$A$17,$A90)=1,VLOOKUP($A90,'R4_G3'!$A$8:$Y$17, R$2+7,FALSE),IF(COUNTIF('R4_G4'!$A$8:$A$17,$A90)=1,VLOOKUP($A90,'R4_G4'!$A$8:$Y$17, R$2+7,FALSE),""))))</f>
        <v>8</v>
      </c>
      <c r="S90" s="852">
        <f>IF(COUNTIF('R4_G1'!$A$8:$A$17,$A90)=1,VLOOKUP($A90,'R4_G1'!$A$8:$Y$17, S$2+7,FALSE),IF(COUNTIF('R4_G2'!$A$8:$A$17,$A90)=1,VLOOKUP($A90,'R4_G2'!$A$8:$Y$17, S$2+7,FALSE),IF(COUNTIF('R4_G3'!$A$8:$A$17,$A90)=1,VLOOKUP($A90,'R4_G3'!$A$8:$Y$17, S$2+7,FALSE),IF(COUNTIF('R4_G4'!$A$8:$A$17,$A90)=1,VLOOKUP($A90,'R4_G4'!$A$8:$Y$17, S$2+7,FALSE),""))))</f>
        <v>10</v>
      </c>
      <c r="T90" s="852">
        <f>IF(COUNTIF('R4_G1'!$A$8:$A$17,$A90)=1,VLOOKUP($A90,'R4_G1'!$A$8:$Y$17, T$2+7,FALSE),IF(COUNTIF('R4_G2'!$A$8:$A$17,$A90)=1,VLOOKUP($A90,'R4_G2'!$A$8:$Y$17, T$2+7,FALSE),IF(COUNTIF('R4_G3'!$A$8:$A$17,$A90)=1,VLOOKUP($A90,'R4_G3'!$A$8:$Y$17, T$2+7,FALSE),IF(COUNTIF('R4_G4'!$A$8:$A$17,$A90)=1,VLOOKUP($A90,'R4_G4'!$A$8:$Y$17, T$2+7,FALSE),""))))</f>
        <v>6</v>
      </c>
      <c r="U90" s="852">
        <f>IF(COUNTIF('R4_G1'!$A$8:$A$17,$A90)=1,VLOOKUP($A90,'R4_G1'!$A$8:$Y$17, U$2+7,FALSE),IF(COUNTIF('R4_G2'!$A$8:$A$17,$A90)=1,VLOOKUP($A90,'R4_G2'!$A$8:$Y$17, U$2+7,FALSE),IF(COUNTIF('R4_G3'!$A$8:$A$17,$A90)=1,VLOOKUP($A90,'R4_G3'!$A$8:$Y$17, U$2+7,FALSE),IF(COUNTIF('R4_G4'!$A$8:$A$17,$A90)=1,VLOOKUP($A90,'R4_G4'!$A$8:$Y$17, U$2+7,FALSE),""))))</f>
        <v>5</v>
      </c>
      <c r="V90" s="852">
        <f>IF(COUNTIF('R4_G1'!$A$8:$A$17,$A90)=1,VLOOKUP($A90,'R4_G1'!$A$8:$Y$17, V$2+7,FALSE),IF(COUNTIF('R4_G2'!$A$8:$A$17,$A90)=1,VLOOKUP($A90,'R4_G2'!$A$8:$Y$17, V$2+7,FALSE),IF(COUNTIF('R4_G3'!$A$8:$A$17,$A90)=1,VLOOKUP($A90,'R4_G3'!$A$8:$Y$17, V$2+7,FALSE),IF(COUNTIF('R4_G4'!$A$8:$A$17,$A90)=1,VLOOKUP($A90,'R4_G4'!$A$8:$Y$17, V$2+7,FALSE),""))))</f>
        <v>5</v>
      </c>
      <c r="W90" s="859">
        <f t="shared" si="111"/>
        <v>43</v>
      </c>
      <c r="X90" s="859">
        <f t="shared" si="112"/>
        <v>60</v>
      </c>
      <c r="Y90" s="859">
        <f t="shared" si="117"/>
        <v>103</v>
      </c>
      <c r="Z90" s="859">
        <f t="shared" ca="1" si="118"/>
        <v>88</v>
      </c>
      <c r="AA90" s="859">
        <f t="shared" si="119"/>
        <v>103</v>
      </c>
      <c r="AB90" s="947"/>
      <c r="AC90" s="857" t="str">
        <f t="shared" si="120"/>
        <v>Joe O</v>
      </c>
      <c r="AD90" s="858">
        <f ca="1">VLOOKUP(AC90,'Master Input'!$A$11:$L$27,12,FALSE)</f>
        <v>15</v>
      </c>
      <c r="AE90" s="857" t="s">
        <v>198</v>
      </c>
      <c r="AF90" s="832"/>
      <c r="AG90" s="859">
        <f t="shared" ref="AG90:AX90" ca="1" si="142">IF(E90="","",E90-IF($B90&gt;0,FLOOR($B90/18,1),0)-IF(AND(MOD($B90,18)&gt;=E$75,$B90&gt;0),1,0)+IF(E$75-18&gt;$B90,1,0))</f>
        <v>4</v>
      </c>
      <c r="AH90" s="859">
        <f t="shared" ca="1" si="142"/>
        <v>4</v>
      </c>
      <c r="AI90" s="859">
        <f t="shared" ca="1" si="142"/>
        <v>6</v>
      </c>
      <c r="AJ90" s="859">
        <f t="shared" ca="1" si="142"/>
        <v>3</v>
      </c>
      <c r="AK90" s="859">
        <f t="shared" ca="1" si="142"/>
        <v>3</v>
      </c>
      <c r="AL90" s="859">
        <f t="shared" ca="1" si="142"/>
        <v>6</v>
      </c>
      <c r="AM90" s="859">
        <f t="shared" ca="1" si="142"/>
        <v>4</v>
      </c>
      <c r="AN90" s="859">
        <f t="shared" ca="1" si="142"/>
        <v>3</v>
      </c>
      <c r="AO90" s="859">
        <f t="shared" ca="1" si="142"/>
        <v>2</v>
      </c>
      <c r="AP90" s="852">
        <f t="shared" ca="1" si="142"/>
        <v>7</v>
      </c>
      <c r="AQ90" s="852">
        <f t="shared" ca="1" si="142"/>
        <v>5</v>
      </c>
      <c r="AR90" s="852">
        <f t="shared" ca="1" si="142"/>
        <v>5</v>
      </c>
      <c r="AS90" s="852">
        <f t="shared" ca="1" si="142"/>
        <v>6</v>
      </c>
      <c r="AT90" s="852">
        <f t="shared" ca="1" si="142"/>
        <v>8</v>
      </c>
      <c r="AU90" s="852">
        <f t="shared" ca="1" si="142"/>
        <v>9</v>
      </c>
      <c r="AV90" s="852">
        <f t="shared" ca="1" si="142"/>
        <v>5</v>
      </c>
      <c r="AW90" s="852">
        <f t="shared" ca="1" si="142"/>
        <v>4</v>
      </c>
      <c r="AX90" s="852">
        <f t="shared" ca="1" si="142"/>
        <v>4</v>
      </c>
      <c r="AY90" s="859">
        <f t="shared" ca="1" si="114"/>
        <v>35</v>
      </c>
      <c r="AZ90" s="859">
        <f t="shared" ca="1" si="115"/>
        <v>53</v>
      </c>
      <c r="BA90" s="859">
        <f t="shared" ca="1" si="122"/>
        <v>88</v>
      </c>
      <c r="BB90" s="857" t="str">
        <f ca="1">IF(COUNTIF('R4_G1'!$A$8:$A$17,$A90)=1, IF(AND(BA90=Z90,BA90=VLOOKUP($A90,'R4_G1'!$A$8:$AB$17, 28,FALSE)),"yes","no"),
IF(COUNTIF('R4_G2'!$A$8:$A$17,$A90)=1, IF(AND(BA90=Z90,BA90=VLOOKUP($A90,'R4_G2'!$A$8:$AB$17, 28,FALSE)),"yes","no"),
IF(COUNTIF('R4_G3'!$A$8:$A$17,$A90)=1, IF(AND(BA90=Z90,BA90=VLOOKUP($A90,'R4_G3'!$A$8:$AB$17, 28,FALSE)),"yes","no"),
IF(COUNTIF('R4_G4'!$A$8:$A$17,$A90)=1, IF(AND(BA90=Z90,BA90=VLOOKUP($A90,'R4_G4'!$A$8:$AB$17, 28,FALSE)),"yes","no"),
"?"))))</f>
        <v>yes</v>
      </c>
      <c r="BC90" s="947"/>
      <c r="BD90" s="860">
        <f t="shared" ca="1" si="123"/>
        <v>5.5</v>
      </c>
      <c r="BE90" s="861">
        <f t="shared" ca="1" si="124"/>
        <v>7.6333333333333355</v>
      </c>
      <c r="BF90" s="861">
        <f t="shared" ca="1" si="125"/>
        <v>0</v>
      </c>
      <c r="BG90" s="861">
        <f t="shared" ca="1" si="126"/>
        <v>3</v>
      </c>
      <c r="BH90" s="861">
        <f t="shared" ca="1" si="127"/>
        <v>5</v>
      </c>
      <c r="BI90" s="861">
        <f t="shared" ca="1" si="128"/>
        <v>6</v>
      </c>
      <c r="BJ90" s="861">
        <f t="shared" ca="1" si="129"/>
        <v>4</v>
      </c>
    </row>
    <row r="91" spans="1:62" ht="14.25" customHeight="1">
      <c r="A91" s="849" t="str">
        <f t="shared" si="116"/>
        <v>Hile</v>
      </c>
      <c r="B91" s="850">
        <f ca="1">VLOOKUP(A91,'Master Input'!$A$11:$L$27,12,FALSE)</f>
        <v>18</v>
      </c>
      <c r="C91" s="849"/>
      <c r="D91" s="851"/>
      <c r="E91" s="852">
        <f>IF(COUNTIF('R4_G1'!$A$8:$A$17,$A91)=1,VLOOKUP($A91,'R4_G1'!$A$8:$Y$17, E$2+4,FALSE),IF(COUNTIF('R4_G2'!$A$8:$A$17,$A91)=1,VLOOKUP($A91,'R4_G2'!$A$8:$Y$17, E$2+4,FALSE),IF(COUNTIF('R4_G3'!$A$8:$A$17,$A91)=1,VLOOKUP($A91,'R4_G3'!$A$8:$Y$17, E$2+4,FALSE),IF(COUNTIF('R4_G4'!$A$8:$A$17,$A91)=1,VLOOKUP($A91,'R4_G4'!$A$8:$Y$17, E$2+4,FALSE),""))))</f>
        <v>5</v>
      </c>
      <c r="F91" s="852">
        <f>IF(COUNTIF('R4_G1'!$A$8:$A$17,$A91)=1,VLOOKUP($A91,'R4_G1'!$A$8:$Y$17, F$2+4,FALSE),IF(COUNTIF('R4_G2'!$A$8:$A$17,$A91)=1,VLOOKUP($A91,'R4_G2'!$A$8:$Y$17, F$2+4,FALSE),IF(COUNTIF('R4_G3'!$A$8:$A$17,$A91)=1,VLOOKUP($A91,'R4_G3'!$A$8:$Y$17, F$2+4,FALSE),IF(COUNTIF('R4_G4'!$A$8:$A$17,$A91)=1,VLOOKUP($A91,'R4_G4'!$A$8:$Y$17, F$2+4,FALSE),""))))</f>
        <v>5</v>
      </c>
      <c r="G91" s="852">
        <f>IF(COUNTIF('R4_G1'!$A$8:$A$17,$A91)=1,VLOOKUP($A91,'R4_G1'!$A$8:$Y$17, G$2+4,FALSE),IF(COUNTIF('R4_G2'!$A$8:$A$17,$A91)=1,VLOOKUP($A91,'R4_G2'!$A$8:$Y$17, G$2+4,FALSE),IF(COUNTIF('R4_G3'!$A$8:$A$17,$A91)=1,VLOOKUP($A91,'R4_G3'!$A$8:$Y$17, G$2+4,FALSE),IF(COUNTIF('R4_G4'!$A$8:$A$17,$A91)=1,VLOOKUP($A91,'R4_G4'!$A$8:$Y$17, G$2+4,FALSE),""))))</f>
        <v>7</v>
      </c>
      <c r="H91" s="852">
        <f>IF(COUNTIF('R4_G1'!$A$8:$A$17,$A91)=1,VLOOKUP($A91,'R4_G1'!$A$8:$Y$17, H$2+4,FALSE),IF(COUNTIF('R4_G2'!$A$8:$A$17,$A91)=1,VLOOKUP($A91,'R4_G2'!$A$8:$Y$17, H$2+4,FALSE),IF(COUNTIF('R4_G3'!$A$8:$A$17,$A91)=1,VLOOKUP($A91,'R4_G3'!$A$8:$Y$17, H$2+4,FALSE),IF(COUNTIF('R4_G4'!$A$8:$A$17,$A91)=1,VLOOKUP($A91,'R4_G4'!$A$8:$Y$17, H$2+4,FALSE),""))))</f>
        <v>5</v>
      </c>
      <c r="I91" s="852">
        <f>IF(COUNTIF('R4_G1'!$A$8:$A$17,$A91)=1,VLOOKUP($A91,'R4_G1'!$A$8:$Y$17, I$2+4,FALSE),IF(COUNTIF('R4_G2'!$A$8:$A$17,$A91)=1,VLOOKUP($A91,'R4_G2'!$A$8:$Y$17, I$2+4,FALSE),IF(COUNTIF('R4_G3'!$A$8:$A$17,$A91)=1,VLOOKUP($A91,'R4_G3'!$A$8:$Y$17, I$2+4,FALSE),IF(COUNTIF('R4_G4'!$A$8:$A$17,$A91)=1,VLOOKUP($A91,'R4_G4'!$A$8:$Y$17, I$2+4,FALSE),""))))</f>
        <v>6</v>
      </c>
      <c r="J91" s="852">
        <f>IF(COUNTIF('R4_G1'!$A$8:$A$17,$A91)=1,VLOOKUP($A91,'R4_G1'!$A$8:$Y$17, J$2+4,FALSE),IF(COUNTIF('R4_G2'!$A$8:$A$17,$A91)=1,VLOOKUP($A91,'R4_G2'!$A$8:$Y$17, J$2+4,FALSE),IF(COUNTIF('R4_G3'!$A$8:$A$17,$A91)=1,VLOOKUP($A91,'R4_G3'!$A$8:$Y$17, J$2+4,FALSE),IF(COUNTIF('R4_G4'!$A$8:$A$17,$A91)=1,VLOOKUP($A91,'R4_G4'!$A$8:$Y$17, J$2+4,FALSE),""))))</f>
        <v>6</v>
      </c>
      <c r="K91" s="852">
        <f>IF(COUNTIF('R4_G1'!$A$8:$A$17,$A91)=1,VLOOKUP($A91,'R4_G1'!$A$8:$Y$17, K$2+4,FALSE),IF(COUNTIF('R4_G2'!$A$8:$A$17,$A91)=1,VLOOKUP($A91,'R4_G2'!$A$8:$Y$17, K$2+4,FALSE),IF(COUNTIF('R4_G3'!$A$8:$A$17,$A91)=1,VLOOKUP($A91,'R4_G3'!$A$8:$Y$17, K$2+4,FALSE),IF(COUNTIF('R4_G4'!$A$8:$A$17,$A91)=1,VLOOKUP($A91,'R4_G4'!$A$8:$Y$17, K$2+4,FALSE),""))))</f>
        <v>6</v>
      </c>
      <c r="L91" s="852">
        <f>IF(COUNTIF('R4_G1'!$A$8:$A$17,$A91)=1,VLOOKUP($A91,'R4_G1'!$A$8:$Y$17, L$2+4,FALSE),IF(COUNTIF('R4_G2'!$A$8:$A$17,$A91)=1,VLOOKUP($A91,'R4_G2'!$A$8:$Y$17, L$2+4,FALSE),IF(COUNTIF('R4_G3'!$A$8:$A$17,$A91)=1,VLOOKUP($A91,'R4_G3'!$A$8:$Y$17, L$2+4,FALSE),IF(COUNTIF('R4_G4'!$A$8:$A$17,$A91)=1,VLOOKUP($A91,'R4_G4'!$A$8:$Y$17, L$2+4,FALSE),""))))</f>
        <v>6</v>
      </c>
      <c r="M91" s="852">
        <f>IF(COUNTIF('R4_G1'!$A$8:$A$17,$A91)=1,VLOOKUP($A91,'R4_G1'!$A$8:$Y$17, M$2+4,FALSE),IF(COUNTIF('R4_G2'!$A$8:$A$17,$A91)=1,VLOOKUP($A91,'R4_G2'!$A$8:$Y$17, M$2+4,FALSE),IF(COUNTIF('R4_G3'!$A$8:$A$17,$A91)=1,VLOOKUP($A91,'R4_G3'!$A$8:$Y$17, M$2+4,FALSE),IF(COUNTIF('R4_G4'!$A$8:$A$17,$A91)=1,VLOOKUP($A91,'R4_G4'!$A$8:$Y$17, M$2+4,FALSE),""))))</f>
        <v>5</v>
      </c>
      <c r="N91" s="853">
        <f>IF(COUNTIF('R4_G1'!$A$8:$A$17,$A91)=1,VLOOKUP($A91,'R4_G1'!$A$8:$Y$17, N$2+7,FALSE),IF(COUNTIF('R4_G2'!$A$8:$A$17,$A91)=1,VLOOKUP($A91,'R4_G2'!$A$8:$Y$17, N$2+7,FALSE),IF(COUNTIF('R4_G3'!$A$8:$A$17,$A91)=1,VLOOKUP($A91,'R4_G3'!$A$8:$Y$17, N$2+7,FALSE),IF(COUNTIF('R4_G4'!$A$8:$A$17,$A91)=1,VLOOKUP($A91,'R4_G4'!$A$8:$Y$17, N$2+7,FALSE),""))))</f>
        <v>7</v>
      </c>
      <c r="O91" s="853">
        <f>IF(COUNTIF('R4_G1'!$A$8:$A$17,$A91)=1,VLOOKUP($A91,'R4_G1'!$A$8:$Y$17, O$2+7,FALSE),IF(COUNTIF('R4_G2'!$A$8:$A$17,$A91)=1,VLOOKUP($A91,'R4_G2'!$A$8:$Y$17, O$2+7,FALSE),IF(COUNTIF('R4_G3'!$A$8:$A$17,$A91)=1,VLOOKUP($A91,'R4_G3'!$A$8:$Y$17, O$2+7,FALSE),IF(COUNTIF('R4_G4'!$A$8:$A$17,$A91)=1,VLOOKUP($A91,'R4_G4'!$A$8:$Y$17, O$2+7,FALSE),""))))</f>
        <v>6</v>
      </c>
      <c r="P91" s="853">
        <f>IF(COUNTIF('R4_G1'!$A$8:$A$17,$A91)=1,VLOOKUP($A91,'R4_G1'!$A$8:$Y$17, P$2+7,FALSE),IF(COUNTIF('R4_G2'!$A$8:$A$17,$A91)=1,VLOOKUP($A91,'R4_G2'!$A$8:$Y$17, P$2+7,FALSE),IF(COUNTIF('R4_G3'!$A$8:$A$17,$A91)=1,VLOOKUP($A91,'R4_G3'!$A$8:$Y$17, P$2+7,FALSE),IF(COUNTIF('R4_G4'!$A$8:$A$17,$A91)=1,VLOOKUP($A91,'R4_G4'!$A$8:$Y$17, P$2+7,FALSE),""))))</f>
        <v>4</v>
      </c>
      <c r="Q91" s="853">
        <f>IF(COUNTIF('R4_G1'!$A$8:$A$17,$A91)=1,VLOOKUP($A91,'R4_G1'!$A$8:$Y$17, Q$2+7,FALSE),IF(COUNTIF('R4_G2'!$A$8:$A$17,$A91)=1,VLOOKUP($A91,'R4_G2'!$A$8:$Y$17, Q$2+7,FALSE),IF(COUNTIF('R4_G3'!$A$8:$A$17,$A91)=1,VLOOKUP($A91,'R4_G3'!$A$8:$Y$17, Q$2+7,FALSE),IF(COUNTIF('R4_G4'!$A$8:$A$17,$A91)=1,VLOOKUP($A91,'R4_G4'!$A$8:$Y$17, Q$2+7,FALSE),""))))</f>
        <v>4</v>
      </c>
      <c r="R91" s="853">
        <f>IF(COUNTIF('R4_G1'!$A$8:$A$17,$A91)=1,VLOOKUP($A91,'R4_G1'!$A$8:$Y$17, R$2+7,FALSE),IF(COUNTIF('R4_G2'!$A$8:$A$17,$A91)=1,VLOOKUP($A91,'R4_G2'!$A$8:$Y$17, R$2+7,FALSE),IF(COUNTIF('R4_G3'!$A$8:$A$17,$A91)=1,VLOOKUP($A91,'R4_G3'!$A$8:$Y$17, R$2+7,FALSE),IF(COUNTIF('R4_G4'!$A$8:$A$17,$A91)=1,VLOOKUP($A91,'R4_G4'!$A$8:$Y$17, R$2+7,FALSE),""))))</f>
        <v>5</v>
      </c>
      <c r="S91" s="853">
        <f>IF(COUNTIF('R4_G1'!$A$8:$A$17,$A91)=1,VLOOKUP($A91,'R4_G1'!$A$8:$Y$17, S$2+7,FALSE),IF(COUNTIF('R4_G2'!$A$8:$A$17,$A91)=1,VLOOKUP($A91,'R4_G2'!$A$8:$Y$17, S$2+7,FALSE),IF(COUNTIF('R4_G3'!$A$8:$A$17,$A91)=1,VLOOKUP($A91,'R4_G3'!$A$8:$Y$17, S$2+7,FALSE),IF(COUNTIF('R4_G4'!$A$8:$A$17,$A91)=1,VLOOKUP($A91,'R4_G4'!$A$8:$Y$17, S$2+7,FALSE),""))))</f>
        <v>8</v>
      </c>
      <c r="T91" s="853">
        <f>IF(COUNTIF('R4_G1'!$A$8:$A$17,$A91)=1,VLOOKUP($A91,'R4_G1'!$A$8:$Y$17, T$2+7,FALSE),IF(COUNTIF('R4_G2'!$A$8:$A$17,$A91)=1,VLOOKUP($A91,'R4_G2'!$A$8:$Y$17, T$2+7,FALSE),IF(COUNTIF('R4_G3'!$A$8:$A$17,$A91)=1,VLOOKUP($A91,'R4_G3'!$A$8:$Y$17, T$2+7,FALSE),IF(COUNTIF('R4_G4'!$A$8:$A$17,$A91)=1,VLOOKUP($A91,'R4_G4'!$A$8:$Y$17, T$2+7,FALSE),""))))</f>
        <v>5</v>
      </c>
      <c r="U91" s="853">
        <f>IF(COUNTIF('R4_G1'!$A$8:$A$17,$A91)=1,VLOOKUP($A91,'R4_G1'!$A$8:$Y$17, U$2+7,FALSE),IF(COUNTIF('R4_G2'!$A$8:$A$17,$A91)=1,VLOOKUP($A91,'R4_G2'!$A$8:$Y$17, U$2+7,FALSE),IF(COUNTIF('R4_G3'!$A$8:$A$17,$A91)=1,VLOOKUP($A91,'R4_G3'!$A$8:$Y$17, U$2+7,FALSE),IF(COUNTIF('R4_G4'!$A$8:$A$17,$A91)=1,VLOOKUP($A91,'R4_G4'!$A$8:$Y$17, U$2+7,FALSE),""))))</f>
        <v>4</v>
      </c>
      <c r="V91" s="853">
        <f>IF(COUNTIF('R4_G1'!$A$8:$A$17,$A91)=1,VLOOKUP($A91,'R4_G1'!$A$8:$Y$17, V$2+7,FALSE),IF(COUNTIF('R4_G2'!$A$8:$A$17,$A91)=1,VLOOKUP($A91,'R4_G2'!$A$8:$Y$17, V$2+7,FALSE),IF(COUNTIF('R4_G3'!$A$8:$A$17,$A91)=1,VLOOKUP($A91,'R4_G3'!$A$8:$Y$17, V$2+7,FALSE),IF(COUNTIF('R4_G4'!$A$8:$A$17,$A91)=1,VLOOKUP($A91,'R4_G4'!$A$8:$Y$17, V$2+7,FALSE),""))))</f>
        <v>5</v>
      </c>
      <c r="W91" s="852">
        <f t="shared" si="111"/>
        <v>51</v>
      </c>
      <c r="X91" s="852">
        <f t="shared" si="112"/>
        <v>48</v>
      </c>
      <c r="Y91" s="852">
        <f t="shared" si="117"/>
        <v>99</v>
      </c>
      <c r="Z91" s="852">
        <f t="shared" ca="1" si="118"/>
        <v>81</v>
      </c>
      <c r="AA91" s="859">
        <f t="shared" si="119"/>
        <v>99</v>
      </c>
      <c r="AB91" s="947"/>
      <c r="AC91" s="849" t="str">
        <f t="shared" si="120"/>
        <v>Hile</v>
      </c>
      <c r="AD91" s="850">
        <f ca="1">VLOOKUP(AC91,'Master Input'!$A$11:$L$27,12,FALSE)</f>
        <v>18</v>
      </c>
      <c r="AE91" s="849" t="s">
        <v>198</v>
      </c>
      <c r="AF91" s="832"/>
      <c r="AG91" s="852">
        <f t="shared" ref="AG91:AX91" ca="1" si="143">IF(E91="","",E91-IF($B91&gt;0,FLOOR($B91/18,1),0)-IF(AND(MOD($B91,18)&gt;=E$75,$B91&gt;0),1,0)+IF(E$75-18&gt;$B91,1,0))</f>
        <v>4</v>
      </c>
      <c r="AH91" s="852">
        <f t="shared" ca="1" si="143"/>
        <v>4</v>
      </c>
      <c r="AI91" s="852">
        <f t="shared" ca="1" si="143"/>
        <v>6</v>
      </c>
      <c r="AJ91" s="852">
        <f t="shared" ca="1" si="143"/>
        <v>4</v>
      </c>
      <c r="AK91" s="852">
        <f t="shared" ca="1" si="143"/>
        <v>5</v>
      </c>
      <c r="AL91" s="852">
        <f t="shared" ca="1" si="143"/>
        <v>5</v>
      </c>
      <c r="AM91" s="852">
        <f t="shared" ca="1" si="143"/>
        <v>5</v>
      </c>
      <c r="AN91" s="852">
        <f t="shared" ca="1" si="143"/>
        <v>5</v>
      </c>
      <c r="AO91" s="852">
        <f t="shared" ca="1" si="143"/>
        <v>4</v>
      </c>
      <c r="AP91" s="853">
        <f t="shared" ca="1" si="143"/>
        <v>6</v>
      </c>
      <c r="AQ91" s="853">
        <f t="shared" ca="1" si="143"/>
        <v>5</v>
      </c>
      <c r="AR91" s="853">
        <f t="shared" ca="1" si="143"/>
        <v>3</v>
      </c>
      <c r="AS91" s="853">
        <f t="shared" ca="1" si="143"/>
        <v>3</v>
      </c>
      <c r="AT91" s="853">
        <f t="shared" ca="1" si="143"/>
        <v>4</v>
      </c>
      <c r="AU91" s="853">
        <f t="shared" ca="1" si="143"/>
        <v>7</v>
      </c>
      <c r="AV91" s="853">
        <f t="shared" ca="1" si="143"/>
        <v>4</v>
      </c>
      <c r="AW91" s="853">
        <f t="shared" ca="1" si="143"/>
        <v>3</v>
      </c>
      <c r="AX91" s="853">
        <f t="shared" ca="1" si="143"/>
        <v>4</v>
      </c>
      <c r="AY91" s="852">
        <f t="shared" ca="1" si="114"/>
        <v>42</v>
      </c>
      <c r="AZ91" s="852">
        <f t="shared" ca="1" si="115"/>
        <v>39</v>
      </c>
      <c r="BA91" s="852">
        <f t="shared" ca="1" si="122"/>
        <v>81</v>
      </c>
      <c r="BB91" s="849" t="str">
        <f ca="1">IF(COUNTIF('R4_G1'!$A$8:$A$17,$A91)=1, IF(AND(BA91=Z91,BA91=VLOOKUP($A91,'R4_G1'!$A$8:$AB$17, 28,FALSE)),"yes","no"),
IF(COUNTIF('R4_G2'!$A$8:$A$17,$A91)=1, IF(AND(BA91=Z91,BA91=VLOOKUP($A91,'R4_G2'!$A$8:$AB$17, 28,FALSE)),"yes","no"),
IF(COUNTIF('R4_G3'!$A$8:$A$17,$A91)=1, IF(AND(BA91=Z91,BA91=VLOOKUP($A91,'R4_G3'!$A$8:$AB$17, 28,FALSE)),"yes","no"),
IF(COUNTIF('R4_G4'!$A$8:$A$17,$A91)=1, IF(AND(BA91=Z91,BA91=VLOOKUP($A91,'R4_G4'!$A$8:$AB$17, 28,FALSE)),"yes","no"),
"?"))))</f>
        <v>yes</v>
      </c>
      <c r="BC91" s="947"/>
      <c r="BD91" s="862">
        <f t="shared" ca="1" si="123"/>
        <v>5</v>
      </c>
      <c r="BE91" s="855">
        <f t="shared" ca="1" si="124"/>
        <v>8.5000000000000018</v>
      </c>
      <c r="BF91" s="855">
        <f t="shared" ca="1" si="125"/>
        <v>0</v>
      </c>
      <c r="BG91" s="855">
        <f t="shared" ca="1" si="126"/>
        <v>1</v>
      </c>
      <c r="BH91" s="855">
        <f t="shared" ca="1" si="127"/>
        <v>8</v>
      </c>
      <c r="BI91" s="855">
        <f t="shared" ca="1" si="128"/>
        <v>8</v>
      </c>
      <c r="BJ91" s="855">
        <f t="shared" ca="1" si="129"/>
        <v>1</v>
      </c>
    </row>
    <row r="92" spans="1:62" ht="14.25" customHeight="1">
      <c r="A92" s="857" t="str">
        <f t="shared" si="116"/>
        <v>Weezy</v>
      </c>
      <c r="B92" s="858">
        <f ca="1">VLOOKUP(A92,'Master Input'!$A$11:$L$27,12,FALSE)</f>
        <v>18</v>
      </c>
      <c r="C92" s="857"/>
      <c r="D92" s="832"/>
      <c r="E92" s="859">
        <f>IF(COUNTIF('R4_G1'!$A$8:$A$17,$A92)=1,VLOOKUP($A92,'R4_G1'!$A$8:$Y$17, E$2+4,FALSE),IF(COUNTIF('R4_G2'!$A$8:$A$17,$A92)=1,VLOOKUP($A92,'R4_G2'!$A$8:$Y$17, E$2+4,FALSE),IF(COUNTIF('R4_G3'!$A$8:$A$17,$A92)=1,VLOOKUP($A92,'R4_G3'!$A$8:$Y$17, E$2+4,FALSE),IF(COUNTIF('R4_G4'!$A$8:$A$17,$A92)=1,VLOOKUP($A92,'R4_G4'!$A$8:$Y$17, E$2+4,FALSE),""))))</f>
        <v>5</v>
      </c>
      <c r="F92" s="859">
        <f>IF(COUNTIF('R4_G1'!$A$8:$A$17,$A92)=1,VLOOKUP($A92,'R4_G1'!$A$8:$Y$17, F$2+4,FALSE),IF(COUNTIF('R4_G2'!$A$8:$A$17,$A92)=1,VLOOKUP($A92,'R4_G2'!$A$8:$Y$17, F$2+4,FALSE),IF(COUNTIF('R4_G3'!$A$8:$A$17,$A92)=1,VLOOKUP($A92,'R4_G3'!$A$8:$Y$17, F$2+4,FALSE),IF(COUNTIF('R4_G4'!$A$8:$A$17,$A92)=1,VLOOKUP($A92,'R4_G4'!$A$8:$Y$17, F$2+4,FALSE),""))))</f>
        <v>6</v>
      </c>
      <c r="G92" s="859">
        <f>IF(COUNTIF('R4_G1'!$A$8:$A$17,$A92)=1,VLOOKUP($A92,'R4_G1'!$A$8:$Y$17, G$2+4,FALSE),IF(COUNTIF('R4_G2'!$A$8:$A$17,$A92)=1,VLOOKUP($A92,'R4_G2'!$A$8:$Y$17, G$2+4,FALSE),IF(COUNTIF('R4_G3'!$A$8:$A$17,$A92)=1,VLOOKUP($A92,'R4_G3'!$A$8:$Y$17, G$2+4,FALSE),IF(COUNTIF('R4_G4'!$A$8:$A$17,$A92)=1,VLOOKUP($A92,'R4_G4'!$A$8:$Y$17, G$2+4,FALSE),""))))</f>
        <v>7</v>
      </c>
      <c r="H92" s="859">
        <f>IF(COUNTIF('R4_G1'!$A$8:$A$17,$A92)=1,VLOOKUP($A92,'R4_G1'!$A$8:$Y$17, H$2+4,FALSE),IF(COUNTIF('R4_G2'!$A$8:$A$17,$A92)=1,VLOOKUP($A92,'R4_G2'!$A$8:$Y$17, H$2+4,FALSE),IF(COUNTIF('R4_G3'!$A$8:$A$17,$A92)=1,VLOOKUP($A92,'R4_G3'!$A$8:$Y$17, H$2+4,FALSE),IF(COUNTIF('R4_G4'!$A$8:$A$17,$A92)=1,VLOOKUP($A92,'R4_G4'!$A$8:$Y$17, H$2+4,FALSE),""))))</f>
        <v>4</v>
      </c>
      <c r="I92" s="859">
        <f>IF(COUNTIF('R4_G1'!$A$8:$A$17,$A92)=1,VLOOKUP($A92,'R4_G1'!$A$8:$Y$17, I$2+4,FALSE),IF(COUNTIF('R4_G2'!$A$8:$A$17,$A92)=1,VLOOKUP($A92,'R4_G2'!$A$8:$Y$17, I$2+4,FALSE),IF(COUNTIF('R4_G3'!$A$8:$A$17,$A92)=1,VLOOKUP($A92,'R4_G3'!$A$8:$Y$17, I$2+4,FALSE),IF(COUNTIF('R4_G4'!$A$8:$A$17,$A92)=1,VLOOKUP($A92,'R4_G4'!$A$8:$Y$17, I$2+4,FALSE),""))))</f>
        <v>6</v>
      </c>
      <c r="J92" s="859">
        <f>IF(COUNTIF('R4_G1'!$A$8:$A$17,$A92)=1,VLOOKUP($A92,'R4_G1'!$A$8:$Y$17, J$2+4,FALSE),IF(COUNTIF('R4_G2'!$A$8:$A$17,$A92)=1,VLOOKUP($A92,'R4_G2'!$A$8:$Y$17, J$2+4,FALSE),IF(COUNTIF('R4_G3'!$A$8:$A$17,$A92)=1,VLOOKUP($A92,'R4_G3'!$A$8:$Y$17, J$2+4,FALSE),IF(COUNTIF('R4_G4'!$A$8:$A$17,$A92)=1,VLOOKUP($A92,'R4_G4'!$A$8:$Y$17, J$2+4,FALSE),""))))</f>
        <v>6</v>
      </c>
      <c r="K92" s="859">
        <f>IF(COUNTIF('R4_G1'!$A$8:$A$17,$A92)=1,VLOOKUP($A92,'R4_G1'!$A$8:$Y$17, K$2+4,FALSE),IF(COUNTIF('R4_G2'!$A$8:$A$17,$A92)=1,VLOOKUP($A92,'R4_G2'!$A$8:$Y$17, K$2+4,FALSE),IF(COUNTIF('R4_G3'!$A$8:$A$17,$A92)=1,VLOOKUP($A92,'R4_G3'!$A$8:$Y$17, K$2+4,FALSE),IF(COUNTIF('R4_G4'!$A$8:$A$17,$A92)=1,VLOOKUP($A92,'R4_G4'!$A$8:$Y$17, K$2+4,FALSE),""))))</f>
        <v>6</v>
      </c>
      <c r="L92" s="859">
        <f>IF(COUNTIF('R4_G1'!$A$8:$A$17,$A92)=1,VLOOKUP($A92,'R4_G1'!$A$8:$Y$17, L$2+4,FALSE),IF(COUNTIF('R4_G2'!$A$8:$A$17,$A92)=1,VLOOKUP($A92,'R4_G2'!$A$8:$Y$17, L$2+4,FALSE),IF(COUNTIF('R4_G3'!$A$8:$A$17,$A92)=1,VLOOKUP($A92,'R4_G3'!$A$8:$Y$17, L$2+4,FALSE),IF(COUNTIF('R4_G4'!$A$8:$A$17,$A92)=1,VLOOKUP($A92,'R4_G4'!$A$8:$Y$17, L$2+4,FALSE),""))))</f>
        <v>5</v>
      </c>
      <c r="M92" s="859">
        <f>IF(COUNTIF('R4_G1'!$A$8:$A$17,$A92)=1,VLOOKUP($A92,'R4_G1'!$A$8:$Y$17, M$2+4,FALSE),IF(COUNTIF('R4_G2'!$A$8:$A$17,$A92)=1,VLOOKUP($A92,'R4_G2'!$A$8:$Y$17, M$2+4,FALSE),IF(COUNTIF('R4_G3'!$A$8:$A$17,$A92)=1,VLOOKUP($A92,'R4_G3'!$A$8:$Y$17, M$2+4,FALSE),IF(COUNTIF('R4_G4'!$A$8:$A$17,$A92)=1,VLOOKUP($A92,'R4_G4'!$A$8:$Y$17, M$2+4,FALSE),""))))</f>
        <v>4</v>
      </c>
      <c r="N92" s="852">
        <f>IF(COUNTIF('R4_G1'!$A$8:$A$17,$A92)=1,VLOOKUP($A92,'R4_G1'!$A$8:$Y$17, N$2+7,FALSE),IF(COUNTIF('R4_G2'!$A$8:$A$17,$A92)=1,VLOOKUP($A92,'R4_G2'!$A$8:$Y$17, N$2+7,FALSE),IF(COUNTIF('R4_G3'!$A$8:$A$17,$A92)=1,VLOOKUP($A92,'R4_G3'!$A$8:$Y$17, N$2+7,FALSE),IF(COUNTIF('R4_G4'!$A$8:$A$17,$A92)=1,VLOOKUP($A92,'R4_G4'!$A$8:$Y$17, N$2+7,FALSE),""))))</f>
        <v>8</v>
      </c>
      <c r="O92" s="852">
        <f>IF(COUNTIF('R4_G1'!$A$8:$A$17,$A92)=1,VLOOKUP($A92,'R4_G1'!$A$8:$Y$17, O$2+7,FALSE),IF(COUNTIF('R4_G2'!$A$8:$A$17,$A92)=1,VLOOKUP($A92,'R4_G2'!$A$8:$Y$17, O$2+7,FALSE),IF(COUNTIF('R4_G3'!$A$8:$A$17,$A92)=1,VLOOKUP($A92,'R4_G3'!$A$8:$Y$17, O$2+7,FALSE),IF(COUNTIF('R4_G4'!$A$8:$A$17,$A92)=1,VLOOKUP($A92,'R4_G4'!$A$8:$Y$17, O$2+7,FALSE),""))))</f>
        <v>5</v>
      </c>
      <c r="P92" s="852">
        <f>IF(COUNTIF('R4_G1'!$A$8:$A$17,$A92)=1,VLOOKUP($A92,'R4_G1'!$A$8:$Y$17, P$2+7,FALSE),IF(COUNTIF('R4_G2'!$A$8:$A$17,$A92)=1,VLOOKUP($A92,'R4_G2'!$A$8:$Y$17, P$2+7,FALSE),IF(COUNTIF('R4_G3'!$A$8:$A$17,$A92)=1,VLOOKUP($A92,'R4_G3'!$A$8:$Y$17, P$2+7,FALSE),IF(COUNTIF('R4_G4'!$A$8:$A$17,$A92)=1,VLOOKUP($A92,'R4_G4'!$A$8:$Y$17, P$2+7,FALSE),""))))</f>
        <v>6</v>
      </c>
      <c r="Q92" s="852">
        <f>IF(COUNTIF('R4_G1'!$A$8:$A$17,$A92)=1,VLOOKUP($A92,'R4_G1'!$A$8:$Y$17, Q$2+7,FALSE),IF(COUNTIF('R4_G2'!$A$8:$A$17,$A92)=1,VLOOKUP($A92,'R4_G2'!$A$8:$Y$17, Q$2+7,FALSE),IF(COUNTIF('R4_G3'!$A$8:$A$17,$A92)=1,VLOOKUP($A92,'R4_G3'!$A$8:$Y$17, Q$2+7,FALSE),IF(COUNTIF('R4_G4'!$A$8:$A$17,$A92)=1,VLOOKUP($A92,'R4_G4'!$A$8:$Y$17, Q$2+7,FALSE),""))))</f>
        <v>2</v>
      </c>
      <c r="R92" s="852">
        <f>IF(COUNTIF('R4_G1'!$A$8:$A$17,$A92)=1,VLOOKUP($A92,'R4_G1'!$A$8:$Y$17, R$2+7,FALSE),IF(COUNTIF('R4_G2'!$A$8:$A$17,$A92)=1,VLOOKUP($A92,'R4_G2'!$A$8:$Y$17, R$2+7,FALSE),IF(COUNTIF('R4_G3'!$A$8:$A$17,$A92)=1,VLOOKUP($A92,'R4_G3'!$A$8:$Y$17, R$2+7,FALSE),IF(COUNTIF('R4_G4'!$A$8:$A$17,$A92)=1,VLOOKUP($A92,'R4_G4'!$A$8:$Y$17, R$2+7,FALSE),""))))</f>
        <v>3</v>
      </c>
      <c r="S92" s="852">
        <f>IF(COUNTIF('R4_G1'!$A$8:$A$17,$A92)=1,VLOOKUP($A92,'R4_G1'!$A$8:$Y$17, S$2+7,FALSE),IF(COUNTIF('R4_G2'!$A$8:$A$17,$A92)=1,VLOOKUP($A92,'R4_G2'!$A$8:$Y$17, S$2+7,FALSE),IF(COUNTIF('R4_G3'!$A$8:$A$17,$A92)=1,VLOOKUP($A92,'R4_G3'!$A$8:$Y$17, S$2+7,FALSE),IF(COUNTIF('R4_G4'!$A$8:$A$17,$A92)=1,VLOOKUP($A92,'R4_G4'!$A$8:$Y$17, S$2+7,FALSE),""))))</f>
        <v>6</v>
      </c>
      <c r="T92" s="852">
        <f>IF(COUNTIF('R4_G1'!$A$8:$A$17,$A92)=1,VLOOKUP($A92,'R4_G1'!$A$8:$Y$17, T$2+7,FALSE),IF(COUNTIF('R4_G2'!$A$8:$A$17,$A92)=1,VLOOKUP($A92,'R4_G2'!$A$8:$Y$17, T$2+7,FALSE),IF(COUNTIF('R4_G3'!$A$8:$A$17,$A92)=1,VLOOKUP($A92,'R4_G3'!$A$8:$Y$17, T$2+7,FALSE),IF(COUNTIF('R4_G4'!$A$8:$A$17,$A92)=1,VLOOKUP($A92,'R4_G4'!$A$8:$Y$17, T$2+7,FALSE),""))))</f>
        <v>5</v>
      </c>
      <c r="U92" s="852">
        <f>IF(COUNTIF('R4_G1'!$A$8:$A$17,$A92)=1,VLOOKUP($A92,'R4_G1'!$A$8:$Y$17, U$2+7,FALSE),IF(COUNTIF('R4_G2'!$A$8:$A$17,$A92)=1,VLOOKUP($A92,'R4_G2'!$A$8:$Y$17, U$2+7,FALSE),IF(COUNTIF('R4_G3'!$A$8:$A$17,$A92)=1,VLOOKUP($A92,'R4_G3'!$A$8:$Y$17, U$2+7,FALSE),IF(COUNTIF('R4_G4'!$A$8:$A$17,$A92)=1,VLOOKUP($A92,'R4_G4'!$A$8:$Y$17, U$2+7,FALSE),""))))</f>
        <v>3</v>
      </c>
      <c r="V92" s="852">
        <f>IF(COUNTIF('R4_G1'!$A$8:$A$17,$A92)=1,VLOOKUP($A92,'R4_G1'!$A$8:$Y$17, V$2+7,FALSE),IF(COUNTIF('R4_G2'!$A$8:$A$17,$A92)=1,VLOOKUP($A92,'R4_G2'!$A$8:$Y$17, V$2+7,FALSE),IF(COUNTIF('R4_G3'!$A$8:$A$17,$A92)=1,VLOOKUP($A92,'R4_G3'!$A$8:$Y$17, V$2+7,FALSE),IF(COUNTIF('R4_G4'!$A$8:$A$17,$A92)=1,VLOOKUP($A92,'R4_G4'!$A$8:$Y$17, V$2+7,FALSE),""))))</f>
        <v>7</v>
      </c>
      <c r="W92" s="859">
        <f t="shared" si="111"/>
        <v>49</v>
      </c>
      <c r="X92" s="859">
        <f t="shared" si="112"/>
        <v>45</v>
      </c>
      <c r="Y92" s="859">
        <f t="shared" si="117"/>
        <v>94</v>
      </c>
      <c r="Z92" s="859">
        <f t="shared" ca="1" si="118"/>
        <v>76</v>
      </c>
      <c r="AA92" s="859">
        <f t="shared" si="119"/>
        <v>94</v>
      </c>
      <c r="AB92" s="947"/>
      <c r="AC92" s="857" t="str">
        <f t="shared" si="120"/>
        <v>Weezy</v>
      </c>
      <c r="AD92" s="858">
        <f ca="1">VLOOKUP(AC92,'Master Input'!$A$11:$L$27,12,FALSE)</f>
        <v>18</v>
      </c>
      <c r="AE92" s="857" t="s">
        <v>198</v>
      </c>
      <c r="AF92" s="832"/>
      <c r="AG92" s="859">
        <f t="shared" ref="AG92:AX92" ca="1" si="144">IF(E92="","",E92-IF($B92&gt;0,FLOOR($B92/18,1),0)-IF(AND(MOD($B92,18)&gt;=E$75,$B92&gt;0),1,0)+IF(E$75-18&gt;$B92,1,0))</f>
        <v>4</v>
      </c>
      <c r="AH92" s="859">
        <f t="shared" ca="1" si="144"/>
        <v>5</v>
      </c>
      <c r="AI92" s="859">
        <f t="shared" ca="1" si="144"/>
        <v>6</v>
      </c>
      <c r="AJ92" s="859">
        <f t="shared" ca="1" si="144"/>
        <v>3</v>
      </c>
      <c r="AK92" s="859">
        <f t="shared" ca="1" si="144"/>
        <v>5</v>
      </c>
      <c r="AL92" s="859">
        <f t="shared" ca="1" si="144"/>
        <v>5</v>
      </c>
      <c r="AM92" s="859">
        <f t="shared" ca="1" si="144"/>
        <v>5</v>
      </c>
      <c r="AN92" s="859">
        <f t="shared" ca="1" si="144"/>
        <v>4</v>
      </c>
      <c r="AO92" s="859">
        <f t="shared" ca="1" si="144"/>
        <v>3</v>
      </c>
      <c r="AP92" s="852">
        <f t="shared" ca="1" si="144"/>
        <v>7</v>
      </c>
      <c r="AQ92" s="852">
        <f t="shared" ca="1" si="144"/>
        <v>4</v>
      </c>
      <c r="AR92" s="852">
        <f t="shared" ca="1" si="144"/>
        <v>5</v>
      </c>
      <c r="AS92" s="852">
        <f t="shared" ca="1" si="144"/>
        <v>1</v>
      </c>
      <c r="AT92" s="852">
        <f t="shared" ca="1" si="144"/>
        <v>2</v>
      </c>
      <c r="AU92" s="852">
        <f t="shared" ca="1" si="144"/>
        <v>5</v>
      </c>
      <c r="AV92" s="852">
        <f t="shared" ca="1" si="144"/>
        <v>4</v>
      </c>
      <c r="AW92" s="852">
        <f t="shared" ca="1" si="144"/>
        <v>2</v>
      </c>
      <c r="AX92" s="852">
        <f t="shared" ca="1" si="144"/>
        <v>6</v>
      </c>
      <c r="AY92" s="859">
        <f t="shared" ca="1" si="114"/>
        <v>40</v>
      </c>
      <c r="AZ92" s="859">
        <f t="shared" ca="1" si="115"/>
        <v>36</v>
      </c>
      <c r="BA92" s="859">
        <f t="shared" ca="1" si="122"/>
        <v>76</v>
      </c>
      <c r="BB92" s="857" t="str">
        <f ca="1">IF(COUNTIF('R4_G1'!$A$8:$A$17,$A92)=1, IF(AND(BA92=Z92,BA92=VLOOKUP($A92,'R4_G1'!$A$8:$AB$17, 28,FALSE)),"yes","no"),
IF(COUNTIF('R4_G2'!$A$8:$A$17,$A92)=1, IF(AND(BA92=Z92,BA92=VLOOKUP($A92,'R4_G2'!$A$8:$AB$17, 28,FALSE)),"yes","no"),
IF(COUNTIF('R4_G3'!$A$8:$A$17,$A92)=1, IF(AND(BA92=Z92,BA92=VLOOKUP($A92,'R4_G3'!$A$8:$AB$17, 28,FALSE)),"yes","no"),
IF(COUNTIF('R4_G4'!$A$8:$A$17,$A92)=1, IF(AND(BA92=Z92,BA92=VLOOKUP($A92,'R4_G4'!$A$8:$AB$17, 28,FALSE)),"yes","no"),
"?"))))</f>
        <v>yes</v>
      </c>
      <c r="BC92" s="947"/>
      <c r="BD92" s="860">
        <f t="shared" ca="1" si="123"/>
        <v>7</v>
      </c>
      <c r="BE92" s="861">
        <f t="shared" ca="1" si="124"/>
        <v>9.6999999999999993</v>
      </c>
      <c r="BF92" s="861">
        <f t="shared" ca="1" si="125"/>
        <v>2</v>
      </c>
      <c r="BG92" s="861">
        <f t="shared" ca="1" si="126"/>
        <v>1</v>
      </c>
      <c r="BH92" s="861">
        <f t="shared" ca="1" si="127"/>
        <v>8</v>
      </c>
      <c r="BI92" s="861">
        <f t="shared" ca="1" si="128"/>
        <v>5</v>
      </c>
      <c r="BJ92" s="861">
        <f t="shared" ca="1" si="129"/>
        <v>2</v>
      </c>
    </row>
    <row r="93" spans="1:62" ht="14.25" customHeight="1">
      <c r="A93" s="942"/>
      <c r="B93" s="943"/>
      <c r="C93" s="863">
        <f>COUNTIF(C77:C92, "Y")*C75</f>
        <v>0</v>
      </c>
      <c r="D93" s="864" t="s">
        <v>199</v>
      </c>
      <c r="E93" s="865" t="str">
        <f t="array" aca="1" ref="E93" ca="1">IF(OR(SUM(IF(IF('Locked Bets Setup'!$H$5:$H$20="Y", E77:E92, 10)=MIN(IF('Locked Bets Setup'!$H$5:$H$20="Y", E77:E92, 10)), 1, 0)) &gt; 1, MIN(IF('Locked Bets Setup'!$H$5:$H$20="Y", E77:E92, 10)) &gt; E76), "", INDEX('Locked Bets Setup'!$A$5:$A$20,MATCH(MIN(IF('Locked Bets Setup'!$H$5:$H$20="Y",E77:E92,10)),IF('Locked Bets Setup'!$H$5:$H$20="Y",E77:E92,10),0)))</f>
        <v/>
      </c>
      <c r="F93" s="865" t="str">
        <f t="array" aca="1" ref="F93" ca="1">IF(OR(SUM(IF(IF('Locked Bets Setup'!$H$5:$H$20="Y", F77:F92, 10)=MIN(IF('Locked Bets Setup'!$H$5:$H$20="Y", F77:F92, 10)), 1, 0)) &gt; 1, MIN(IF('Locked Bets Setup'!$H$5:$H$20="Y", F77:F92, 10)) &gt; F76), "", INDEX('Locked Bets Setup'!$A$5:$A$20,MATCH(MIN(IF('Locked Bets Setup'!$H$5:$H$20="Y",F77:F92,10)),IF('Locked Bets Setup'!$H$5:$H$20="Y",F77:F92,10),0)))</f>
        <v/>
      </c>
      <c r="G93" s="865" t="str">
        <f t="array" aca="1" ref="G93" ca="1">IF(OR(SUM(IF(IF('Locked Bets Setup'!$H$5:$H$20="Y", G77:G92, 10)=MIN(IF('Locked Bets Setup'!$H$5:$H$20="Y", G77:G92, 10)), 1, 0)) &gt; 1, MIN(IF('Locked Bets Setup'!$H$5:$H$20="Y", G77:G92, 10)) &gt; G76), "", INDEX('Locked Bets Setup'!$A$5:$A$20,MATCH(MIN(IF('Locked Bets Setup'!$H$5:$H$20="Y",G77:G92,10)),IF('Locked Bets Setup'!$H$5:$H$20="Y",G77:G92,10),0)))</f>
        <v/>
      </c>
      <c r="H93" s="865" t="str">
        <f t="array" aca="1" ref="H93" ca="1">IF(OR(SUM(IF(IF('Locked Bets Setup'!$H$5:$H$20="Y", H77:H92, 10)=MIN(IF('Locked Bets Setup'!$H$5:$H$20="Y", H77:H92, 10)), 1, 0)) &gt; 1, MIN(IF('Locked Bets Setup'!$H$5:$H$20="Y", H77:H92, 10)) &gt; H76), "", INDEX('Locked Bets Setup'!$A$5:$A$20,MATCH(MIN(IF('Locked Bets Setup'!$H$5:$H$20="Y",H77:H92,10)),IF('Locked Bets Setup'!$H$5:$H$20="Y",H77:H92,10),0)))</f>
        <v/>
      </c>
      <c r="I93" s="865" t="str">
        <f t="array" aca="1" ref="I93" ca="1">IF(OR(SUM(IF(IF('Locked Bets Setup'!$H$5:$H$20="Y", I77:I92, 10)=MIN(IF('Locked Bets Setup'!$H$5:$H$20="Y", I77:I92, 10)), 1, 0)) &gt; 1, MIN(IF('Locked Bets Setup'!$H$5:$H$20="Y", I77:I92, 10)) &gt; I76), "", INDEX('Locked Bets Setup'!$A$5:$A$20,MATCH(MIN(IF('Locked Bets Setup'!$H$5:$H$20="Y",I77:I92,10)),IF('Locked Bets Setup'!$H$5:$H$20="Y",I77:I92,10),0)))</f>
        <v/>
      </c>
      <c r="J93" s="865" t="str">
        <f t="array" aca="1" ref="J93" ca="1">IF(OR(SUM(IF(IF('Locked Bets Setup'!$H$5:$H$20="Y", J77:J92, 10)=MIN(IF('Locked Bets Setup'!$H$5:$H$20="Y", J77:J92, 10)), 1, 0)) &gt; 1, MIN(IF('Locked Bets Setup'!$H$5:$H$20="Y", J77:J92, 10)) &gt; J76), "", INDEX('Locked Bets Setup'!$A$5:$A$20,MATCH(MIN(IF('Locked Bets Setup'!$H$5:$H$20="Y",J77:J92,10)),IF('Locked Bets Setup'!$H$5:$H$20="Y",J77:J92,10),0)))</f>
        <v/>
      </c>
      <c r="K93" s="865" t="str">
        <f t="array" aca="1" ref="K93" ca="1">IF(OR(SUM(IF(IF('Locked Bets Setup'!$H$5:$H$20="Y", K77:K92, 10)=MIN(IF('Locked Bets Setup'!$H$5:$H$20="Y", K77:K92, 10)), 1, 0)) &gt; 1, MIN(IF('Locked Bets Setup'!$H$5:$H$20="Y", K77:K92, 10)) &gt; K76), "", INDEX('Locked Bets Setup'!$A$5:$A$20,MATCH(MIN(IF('Locked Bets Setup'!$H$5:$H$20="Y",K77:K92,10)),IF('Locked Bets Setup'!$H$5:$H$20="Y",K77:K92,10),0)))</f>
        <v/>
      </c>
      <c r="L93" s="865" t="str">
        <f t="array" aca="1" ref="L93" ca="1">IF(OR(SUM(IF(IF('Locked Bets Setup'!$H$5:$H$20="Y", L77:L92, 10)=MIN(IF('Locked Bets Setup'!$H$5:$H$20="Y", L77:L92, 10)), 1, 0)) &gt; 1, MIN(IF('Locked Bets Setup'!$H$5:$H$20="Y", L77:L92, 10)) &gt; L76), "", INDEX('Locked Bets Setup'!$A$5:$A$20,MATCH(MIN(IF('Locked Bets Setup'!$H$5:$H$20="Y",L77:L92,10)),IF('Locked Bets Setup'!$H$5:$H$20="Y",L77:L92,10),0)))</f>
        <v/>
      </c>
      <c r="M93" s="865" t="str">
        <f t="array" aca="1" ref="M93" ca="1">IF(OR(SUM(IF(IF('Locked Bets Setup'!$H$5:$H$20="Y", M77:M92, 10)=MIN(IF('Locked Bets Setup'!$H$5:$H$20="Y", M77:M92, 10)), 1, 0)) &gt; 1, MIN(IF('Locked Bets Setup'!$H$5:$H$20="Y", M77:M92, 10)) &gt; M76), "", INDEX('Locked Bets Setup'!$A$5:$A$20,MATCH(MIN(IF('Locked Bets Setup'!$H$5:$H$20="Y",M77:M92,10)),IF('Locked Bets Setup'!$H$5:$H$20="Y",M77:M92,10),0)))</f>
        <v/>
      </c>
      <c r="N93" s="865" t="str">
        <f t="array" aca="1" ref="N93" ca="1">IF(OR(SUM(IF(IF('Locked Bets Setup'!$H$5:$H$20="Y", N77:N92, 10)=MIN(IF('Locked Bets Setup'!$H$5:$H$20="Y", N77:N92, 10)), 1, 0)) &gt; 1, MIN(IF('Locked Bets Setup'!$H$5:$H$20="Y", N77:N92, 10)) &gt; N76), "", INDEX('Locked Bets Setup'!$A$5:$A$20,MATCH(MIN(IF('Locked Bets Setup'!$H$5:$H$20="Y",N77:N92,10)),IF('Locked Bets Setup'!$H$5:$H$20="Y",N77:N92,10),0)))</f>
        <v/>
      </c>
      <c r="O93" s="865" t="str">
        <f t="array" aca="1" ref="O93" ca="1">IF(OR(SUM(IF(IF('Locked Bets Setup'!$H$5:$H$20="Y", O77:O92, 10)=MIN(IF('Locked Bets Setup'!$H$5:$H$20="Y", O77:O92, 10)), 1, 0)) &gt; 1, MIN(IF('Locked Bets Setup'!$H$5:$H$20="Y", O77:O92, 10)) &gt; O76), "", INDEX('Locked Bets Setup'!$A$5:$A$20,MATCH(MIN(IF('Locked Bets Setup'!$H$5:$H$20="Y",O77:O92,10)),IF('Locked Bets Setup'!$H$5:$H$20="Y",O77:O92,10),0)))</f>
        <v/>
      </c>
      <c r="P93" s="865" t="str">
        <f t="array" aca="1" ref="P93" ca="1">IF(OR(SUM(IF(IF('Locked Bets Setup'!$H$5:$H$20="Y", P77:P92, 10)=MIN(IF('Locked Bets Setup'!$H$5:$H$20="Y", P77:P92, 10)), 1, 0)) &gt; 1, MIN(IF('Locked Bets Setup'!$H$5:$H$20="Y", P77:P92, 10)) &gt; P76), "", INDEX('Locked Bets Setup'!$A$5:$A$20,MATCH(MIN(IF('Locked Bets Setup'!$H$5:$H$20="Y",P77:P92,10)),IF('Locked Bets Setup'!$H$5:$H$20="Y",P77:P92,10),0)))</f>
        <v/>
      </c>
      <c r="Q93" s="865" t="str">
        <f t="array" aca="1" ref="Q93" ca="1">IF(OR(SUM(IF(IF('Locked Bets Setup'!$H$5:$H$20="Y", Q77:Q92, 10)=MIN(IF('Locked Bets Setup'!$H$5:$H$20="Y", Q77:Q92, 10)), 1, 0)) &gt; 1, MIN(IF('Locked Bets Setup'!$H$5:$H$20="Y", Q77:Q92, 10)) &gt; Q76), "", INDEX('Locked Bets Setup'!$A$5:$A$20,MATCH(MIN(IF('Locked Bets Setup'!$H$5:$H$20="Y",Q77:Q92,10)),IF('Locked Bets Setup'!$H$5:$H$20="Y",Q77:Q92,10),0)))</f>
        <v/>
      </c>
      <c r="R93" s="865" t="str">
        <f t="array" aca="1" ref="R93" ca="1">IF(OR(SUM(IF(IF('Locked Bets Setup'!$H$5:$H$20="Y", R77:R92, 10)=MIN(IF('Locked Bets Setup'!$H$5:$H$20="Y", R77:R92, 10)), 1, 0)) &gt; 1, MIN(IF('Locked Bets Setup'!$H$5:$H$20="Y", R77:R92, 10)) &gt; R76), "", INDEX('Locked Bets Setup'!$A$5:$A$20,MATCH(MIN(IF('Locked Bets Setup'!$H$5:$H$20="Y",R77:R92,10)),IF('Locked Bets Setup'!$H$5:$H$20="Y",R77:R92,10),0)))</f>
        <v/>
      </c>
      <c r="S93" s="865" t="str">
        <f t="array" aca="1" ref="S93" ca="1">IF(OR(SUM(IF(IF('Locked Bets Setup'!$H$5:$H$20="Y", S77:S92, 10)=MIN(IF('Locked Bets Setup'!$H$5:$H$20="Y", S77:S92, 10)), 1, 0)) &gt; 1, MIN(IF('Locked Bets Setup'!$H$5:$H$20="Y", S77:S92, 10)) &gt; S76), "", INDEX('Locked Bets Setup'!$A$5:$A$20,MATCH(MIN(IF('Locked Bets Setup'!$H$5:$H$20="Y",S77:S92,10)),IF('Locked Bets Setup'!$H$5:$H$20="Y",S77:S92,10),0)))</f>
        <v/>
      </c>
      <c r="T93" s="865" t="str">
        <f t="array" aca="1" ref="T93" ca="1">IF(OR(SUM(IF(IF('Locked Bets Setup'!$H$5:$H$20="Y", T77:T92, 10)=MIN(IF('Locked Bets Setup'!$H$5:$H$20="Y", T77:T92, 10)), 1, 0)) &gt; 1, MIN(IF('Locked Bets Setup'!$H$5:$H$20="Y", T77:T92, 10)) &gt; T76), "", INDEX('Locked Bets Setup'!$A$5:$A$20,MATCH(MIN(IF('Locked Bets Setup'!$H$5:$H$20="Y",T77:T92,10)),IF('Locked Bets Setup'!$H$5:$H$20="Y",T77:T92,10),0)))</f>
        <v/>
      </c>
      <c r="U93" s="865" t="str">
        <f t="array" aca="1" ref="U93" ca="1">IF(OR(SUM(IF(IF('Locked Bets Setup'!$H$5:$H$20="Y", U77:U92, 10)=MIN(IF('Locked Bets Setup'!$H$5:$H$20="Y", U77:U92, 10)), 1, 0)) &gt; 1, MIN(IF('Locked Bets Setup'!$H$5:$H$20="Y", U77:U92, 10)) &gt; U76), "", INDEX('Locked Bets Setup'!$A$5:$A$20,MATCH(MIN(IF('Locked Bets Setup'!$H$5:$H$20="Y",U77:U92,10)),IF('Locked Bets Setup'!$H$5:$H$20="Y",U77:U92,10),0)))</f>
        <v/>
      </c>
      <c r="V93" s="865" t="str">
        <f t="array" aca="1" ref="V93" ca="1">IF(OR(SUM(IF(IF('Locked Bets Setup'!$H$5:$H$20="Y", V77:V92, 10)=MIN(IF('Locked Bets Setup'!$H$5:$H$20="Y", V77:V92, 10)), 1, 0)) &gt; 1, MIN(IF('Locked Bets Setup'!$H$5:$H$20="Y", V77:V92, 10)) &gt; V76), "", INDEX('Locked Bets Setup'!$A$5:$A$20,MATCH(MIN(IF('Locked Bets Setup'!$H$5:$H$20="Y",V77:V92,10)),IF('Locked Bets Setup'!$H$5:$H$20="Y",V77:V92,10),0)))</f>
        <v/>
      </c>
      <c r="W93" s="848"/>
      <c r="X93" s="848"/>
      <c r="Y93" s="866">
        <f t="shared" ref="Y93:Y94" ca="1" si="145">18-COUNTBLANK(E93:V93)</f>
        <v>0</v>
      </c>
      <c r="Z93" s="955"/>
      <c r="AA93" s="956"/>
      <c r="AB93" s="957"/>
      <c r="AC93" s="942"/>
      <c r="AD93" s="943"/>
      <c r="AE93" s="863">
        <f>COUNTIF(AE77:AE92, "Y")*AE75</f>
        <v>80</v>
      </c>
      <c r="AF93" s="870" t="s">
        <v>199</v>
      </c>
      <c r="AG93" s="871" t="str">
        <f t="array" aca="1" ref="AG93" ca="1">IF(OR(SUM(IF(IF('Locked Bets Setup'!$I$5:$I$20="Y", AG77:AG92, 10)=MIN(IF('Locked Bets Setup'!$I$5:$I$20="Y", AG77:AG92, 10)), 1, 0)) &gt; 1, MIN(IF('Locked Bets Setup'!$I$5:$I$20="Y", AG77:AG92, 10)) &gt; AG76), "", INDEX('Locked Bets Setup'!$A$5:$A$20,MATCH(MIN(IF('Locked Bets Setup'!$I$5:$I$20="Y",AG77:AG92,10)),IF('Locked Bets Setup'!$I$5:$I$20="Y",AG77:AG92,10),0)))</f>
        <v>Saugy</v>
      </c>
      <c r="AH93" s="871" t="str">
        <f t="array" aca="1" ref="AH93" ca="1">IF(OR(SUM(IF(IF('Locked Bets Setup'!$I$5:$I$20="Y", AH77:AH92, 10)=MIN(IF('Locked Bets Setup'!$I$5:$I$20="Y", AH77:AH92, 10)), 1, 0)) &gt; 1, MIN(IF('Locked Bets Setup'!$I$5:$I$20="Y", AH77:AH92, 10)) &gt; AH76), "", INDEX('Locked Bets Setup'!$A$5:$A$20,MATCH(MIN(IF('Locked Bets Setup'!$I$5:$I$20="Y",AH77:AH92,10)),IF('Locked Bets Setup'!$I$5:$I$20="Y",AH77:AH92,10),0)))</f>
        <v>Jensen</v>
      </c>
      <c r="AI93" s="871" t="str">
        <f t="array" aca="1" ref="AI93" ca="1">IF(OR(SUM(IF(IF('Locked Bets Setup'!$I$5:$I$20="Y", AI77:AI92, 10)=MIN(IF('Locked Bets Setup'!$I$5:$I$20="Y", AI77:AI92, 10)), 1, 0)) &gt; 1, MIN(IF('Locked Bets Setup'!$I$5:$I$20="Y", AI77:AI92, 10)) &gt; AI76), "", INDEX('Locked Bets Setup'!$A$5:$A$20,MATCH(MIN(IF('Locked Bets Setup'!$I$5:$I$20="Y",AI77:AI92,10)),IF('Locked Bets Setup'!$I$5:$I$20="Y",AI77:AI92,10),0)))</f>
        <v/>
      </c>
      <c r="AJ93" s="871" t="str">
        <f t="array" aca="1" ref="AJ93" ca="1">IF(OR(SUM(IF(IF('Locked Bets Setup'!$I$5:$I$20="Y", AJ77:AJ92, 10)=MIN(IF('Locked Bets Setup'!$I$5:$I$20="Y", AJ77:AJ92, 10)), 1, 0)) &gt; 1, MIN(IF('Locked Bets Setup'!$I$5:$I$20="Y", AJ77:AJ92, 10)) &gt; AJ76), "", INDEX('Locked Bets Setup'!$A$5:$A$20,MATCH(MIN(IF('Locked Bets Setup'!$I$5:$I$20="Y",AJ77:AJ92,10)),IF('Locked Bets Setup'!$I$5:$I$20="Y",AJ77:AJ92,10),0)))</f>
        <v/>
      </c>
      <c r="AK93" s="871" t="str">
        <f t="array" aca="1" ref="AK93" ca="1">IF(OR(SUM(IF(IF('Locked Bets Setup'!$I$5:$I$20="Y", AK77:AK92, 10)=MIN(IF('Locked Bets Setup'!$I$5:$I$20="Y", AK77:AK92, 10)), 1, 0)) &gt; 1, MIN(IF('Locked Bets Setup'!$I$5:$I$20="Y", AK77:AK92, 10)) &gt; AK76), "", INDEX('Locked Bets Setup'!$A$5:$A$20,MATCH(MIN(IF('Locked Bets Setup'!$I$5:$I$20="Y",AK77:AK92,10)),IF('Locked Bets Setup'!$I$5:$I$20="Y",AK77:AK92,10),0)))</f>
        <v>Jensen</v>
      </c>
      <c r="AL93" s="871" t="str">
        <f t="array" aca="1" ref="AL93" ca="1">IF(OR(SUM(IF(IF('Locked Bets Setup'!$I$5:$I$20="Y", AL77:AL92, 10)=MIN(IF('Locked Bets Setup'!$I$5:$I$20="Y", AL77:AL92, 10)), 1, 0)) &gt; 1, MIN(IF('Locked Bets Setup'!$I$5:$I$20="Y", AL77:AL92, 10)) &gt; AL76), "", INDEX('Locked Bets Setup'!$A$5:$A$20,MATCH(MIN(IF('Locked Bets Setup'!$I$5:$I$20="Y",AL77:AL92,10)),IF('Locked Bets Setup'!$I$5:$I$20="Y",AL77:AL92,10),0)))</f>
        <v/>
      </c>
      <c r="AM93" s="871" t="str">
        <f t="array" aca="1" ref="AM93" ca="1">IF(OR(SUM(IF(IF('Locked Bets Setup'!$I$5:$I$20="Y", AM77:AM92, 10)=MIN(IF('Locked Bets Setup'!$I$5:$I$20="Y", AM77:AM92, 10)), 1, 0)) &gt; 1, MIN(IF('Locked Bets Setup'!$I$5:$I$20="Y", AM77:AM92, 10)) &gt; AM76), "", INDEX('Locked Bets Setup'!$A$5:$A$20,MATCH(MIN(IF('Locked Bets Setup'!$I$5:$I$20="Y",AM77:AM92,10)),IF('Locked Bets Setup'!$I$5:$I$20="Y",AM77:AM92,10),0)))</f>
        <v>Jensen</v>
      </c>
      <c r="AN93" s="871" t="str">
        <f t="array" aca="1" ref="AN93" ca="1">IF(OR(SUM(IF(IF('Locked Bets Setup'!$I$5:$I$20="Y", AN77:AN92, 10)=MIN(IF('Locked Bets Setup'!$I$5:$I$20="Y", AN77:AN92, 10)), 1, 0)) &gt; 1, MIN(IF('Locked Bets Setup'!$I$5:$I$20="Y", AN77:AN92, 10)) &gt; AN76), "", INDEX('Locked Bets Setup'!$A$5:$A$20,MATCH(MIN(IF('Locked Bets Setup'!$I$5:$I$20="Y",AN77:AN92,10)),IF('Locked Bets Setup'!$I$5:$I$20="Y",AN77:AN92,10),0)))</f>
        <v/>
      </c>
      <c r="AO93" s="871" t="str">
        <f t="array" aca="1" ref="AO93" ca="1">IF(OR(SUM(IF(IF('Locked Bets Setup'!$I$5:$I$20="Y", AO77:AO92, 10)=MIN(IF('Locked Bets Setup'!$I$5:$I$20="Y", AO77:AO92, 10)), 1, 0)) &gt; 1, MIN(IF('Locked Bets Setup'!$I$5:$I$20="Y", AO77:AO92, 10)) &gt; AO76), "", INDEX('Locked Bets Setup'!$A$5:$A$20,MATCH(MIN(IF('Locked Bets Setup'!$I$5:$I$20="Y",AO77:AO92,10)),IF('Locked Bets Setup'!$I$5:$I$20="Y",AO77:AO92,10),0)))</f>
        <v/>
      </c>
      <c r="AP93" s="871" t="str">
        <f t="array" aca="1" ref="AP93" ca="1">IF(OR(SUM(IF(IF('Locked Bets Setup'!$I$5:$I$20="Y", AP77:AP92, 10)=MIN(IF('Locked Bets Setup'!$I$5:$I$20="Y", AP77:AP92, 10)), 1, 0)) &gt; 1, MIN(IF('Locked Bets Setup'!$I$5:$I$20="Y", AP77:AP92, 10)) &gt; AP76), "", INDEX('Locked Bets Setup'!$A$5:$A$20,MATCH(MIN(IF('Locked Bets Setup'!$I$5:$I$20="Y",AP77:AP92,10)),IF('Locked Bets Setup'!$I$5:$I$20="Y",AP77:AP92,10),0)))</f>
        <v>Jensen</v>
      </c>
      <c r="AQ93" s="871" t="str">
        <f t="array" aca="1" ref="AQ93" ca="1">IF(OR(SUM(IF(IF('Locked Bets Setup'!$I$5:$I$20="Y", AQ77:AQ92, 10)=MIN(IF('Locked Bets Setup'!$I$5:$I$20="Y", AQ77:AQ92, 10)), 1, 0)) &gt; 1, MIN(IF('Locked Bets Setup'!$I$5:$I$20="Y", AQ77:AQ92, 10)) &gt; AQ76), "", INDEX('Locked Bets Setup'!$A$5:$A$20,MATCH(MIN(IF('Locked Bets Setup'!$I$5:$I$20="Y",AQ77:AQ92,10)),IF('Locked Bets Setup'!$I$5:$I$20="Y",AQ77:AQ92,10),0)))</f>
        <v/>
      </c>
      <c r="AR93" s="871" t="str">
        <f t="array" aca="1" ref="AR93" ca="1">IF(OR(SUM(IF(IF('Locked Bets Setup'!$I$5:$I$20="Y", AR77:AR92, 10)=MIN(IF('Locked Bets Setup'!$I$5:$I$20="Y", AR77:AR92, 10)), 1, 0)) &gt; 1, MIN(IF('Locked Bets Setup'!$I$5:$I$20="Y", AR77:AR92, 10)) &gt; AR76), "", INDEX('Locked Bets Setup'!$A$5:$A$20,MATCH(MIN(IF('Locked Bets Setup'!$I$5:$I$20="Y",AR77:AR92,10)),IF('Locked Bets Setup'!$I$5:$I$20="Y",AR77:AR92,10),0)))</f>
        <v/>
      </c>
      <c r="AS93" s="871" t="str">
        <f t="array" aca="1" ref="AS93" ca="1">IF(OR(SUM(IF(IF('Locked Bets Setup'!$I$5:$I$20="Y", AS77:AS92, 10)=MIN(IF('Locked Bets Setup'!$I$5:$I$20="Y", AS77:AS92, 10)), 1, 0)) &gt; 1, MIN(IF('Locked Bets Setup'!$I$5:$I$20="Y", AS77:AS92, 10)) &gt; AS76), "", INDEX('Locked Bets Setup'!$A$5:$A$20,MATCH(MIN(IF('Locked Bets Setup'!$I$5:$I$20="Y",AS77:AS92,10)),IF('Locked Bets Setup'!$I$5:$I$20="Y",AS77:AS92,10),0)))</f>
        <v>Weezy</v>
      </c>
      <c r="AT93" s="871" t="str">
        <f t="array" aca="1" ref="AT93" ca="1">IF(OR(SUM(IF(IF('Locked Bets Setup'!$I$5:$I$20="Y", AT77:AT92, 10)=MIN(IF('Locked Bets Setup'!$I$5:$I$20="Y", AT77:AT92, 10)), 1, 0)) &gt; 1, MIN(IF('Locked Bets Setup'!$I$5:$I$20="Y", AT77:AT92, 10)) &gt; AT76), "", INDEX('Locked Bets Setup'!$A$5:$A$20,MATCH(MIN(IF('Locked Bets Setup'!$I$5:$I$20="Y",AT77:AT92,10)),IF('Locked Bets Setup'!$I$5:$I$20="Y",AT77:AT92,10),0)))</f>
        <v>Weezy</v>
      </c>
      <c r="AU93" s="871" t="str">
        <f t="array" aca="1" ref="AU93" ca="1">IF(OR(SUM(IF(IF('Locked Bets Setup'!$I$5:$I$20="Y", AU77:AU92, 10)=MIN(IF('Locked Bets Setup'!$I$5:$I$20="Y", AU77:AU92, 10)), 1, 0)) &gt; 1, MIN(IF('Locked Bets Setup'!$I$5:$I$20="Y", AU77:AU92, 10)) &gt; AU76), "", INDEX('Locked Bets Setup'!$A$5:$A$20,MATCH(MIN(IF('Locked Bets Setup'!$I$5:$I$20="Y",AU77:AU92,10)),IF('Locked Bets Setup'!$I$5:$I$20="Y",AU77:AU92,10),0)))</f>
        <v>Telly</v>
      </c>
      <c r="AV93" s="871" t="str">
        <f t="array" aca="1" ref="AV93" ca="1">IF(OR(SUM(IF(IF('Locked Bets Setup'!$I$5:$I$20="Y", AV77:AV92, 10)=MIN(IF('Locked Bets Setup'!$I$5:$I$20="Y", AV77:AV92, 10)), 1, 0)) &gt; 1, MIN(IF('Locked Bets Setup'!$I$5:$I$20="Y", AV77:AV92, 10)) &gt; AV76), "", INDEX('Locked Bets Setup'!$A$5:$A$20,MATCH(MIN(IF('Locked Bets Setup'!$I$5:$I$20="Y",AV77:AV92,10)),IF('Locked Bets Setup'!$I$5:$I$20="Y",AV77:AV92,10),0)))</f>
        <v>Elger</v>
      </c>
      <c r="AW93" s="871" t="str">
        <f t="array" aca="1" ref="AW93" ca="1">IF(OR(SUM(IF(IF('Locked Bets Setup'!$I$5:$I$20="Y", AW77:AW92, 10)=MIN(IF('Locked Bets Setup'!$I$5:$I$20="Y", AW77:AW92, 10)), 1, 0)) &gt; 1, MIN(IF('Locked Bets Setup'!$I$5:$I$20="Y", AW77:AW92, 10)) &gt; AW76), "", INDEX('Locked Bets Setup'!$A$5:$A$20,MATCH(MIN(IF('Locked Bets Setup'!$I$5:$I$20="Y",AW77:AW92,10)),IF('Locked Bets Setup'!$I$5:$I$20="Y",AW77:AW92,10),0)))</f>
        <v>Weezy</v>
      </c>
      <c r="AX93" s="871" t="str">
        <f t="array" aca="1" ref="AX93" ca="1">IF(OR(SUM(IF(IF('Locked Bets Setup'!$I$5:$I$20="Y", AX77:AX92, 10)=MIN(IF('Locked Bets Setup'!$I$5:$I$20="Y", AX77:AX92, 10)), 1, 0)) &gt; 1, MIN(IF('Locked Bets Setup'!$I$5:$I$20="Y", AX77:AX92, 10)) &gt; AX76), "", INDEX('Locked Bets Setup'!$A$5:$A$20,MATCH(MIN(IF('Locked Bets Setup'!$I$5:$I$20="Y",AX77:AX92,10)),IF('Locked Bets Setup'!$I$5:$I$20="Y",AX77:AX92,10),0)))</f>
        <v/>
      </c>
      <c r="AY93" s="871"/>
      <c r="AZ93" s="871"/>
      <c r="BA93" s="871">
        <f ca="1">18-COUNTBLANK(AG93:AX93)</f>
        <v>10</v>
      </c>
      <c r="BB93" s="956"/>
      <c r="BC93" s="957"/>
      <c r="BD93" s="958"/>
      <c r="BE93" s="959"/>
      <c r="BF93" s="960">
        <f ca="1">SUM(BF77:BJ92)</f>
        <v>288</v>
      </c>
      <c r="BG93" s="959"/>
      <c r="BH93" s="959"/>
      <c r="BI93" s="959"/>
      <c r="BJ93" s="959"/>
    </row>
    <row r="94" spans="1:62" ht="14.25" customHeight="1">
      <c r="A94" s="942"/>
      <c r="B94" s="943"/>
      <c r="C94" s="943"/>
      <c r="D94" s="864" t="s">
        <v>200</v>
      </c>
      <c r="E94" s="865" t="str">
        <f t="array" ref="E94">IF(OR(SUM(IF(IF('Locked Bets Setup'!$J$4:$J$19="Y", E77:E92, 10)=MIN(IF('Locked Bets Setup'!$J$4:$J$19="Y", E77:E92, 10)), 1, 0)) &gt; 1, MIN(IF('Locked Bets Setup'!$J$4:$J$19="Y", E77:E92, 10)) &gt; E77), "", INDEX('Locked Bets Setup'!$A$4:$A$19,MATCH(MIN(IF('Locked Bets Setup'!$J$4:$J$19="Y",E77:E92,10)),IF('Locked Bets Setup'!$J$4:$J$19="Y",E77:E92,10),0)))</f>
        <v/>
      </c>
      <c r="F94" s="865" t="str">
        <f t="array" ref="F94">IF(OR(SUM(IF(IF('Locked Bets Setup'!$J$4:$J$19="Y", F77:F92, 10)=MIN(IF('Locked Bets Setup'!$J$4:$J$19="Y", F77:F92, 10)), 1, 0)) &gt; 1, MIN(IF('Locked Bets Setup'!$J$4:$J$19="Y", F77:F92, 10)) &gt; F77), "", INDEX('Locked Bets Setup'!$A$4:$A$19,MATCH(MIN(IF('Locked Bets Setup'!$J$4:$J$19="Y",F77:F92,10)),IF('Locked Bets Setup'!$J$4:$J$19="Y",F77:F92,10),0)))</f>
        <v/>
      </c>
      <c r="G94" s="865" t="str">
        <f t="array" ref="G94">IF(OR(SUM(IF(IF('Locked Bets Setup'!$J$4:$J$19="Y", G77:G92, 10)=MIN(IF('Locked Bets Setup'!$J$4:$J$19="Y", G77:G92, 10)), 1, 0)) &gt; 1, MIN(IF('Locked Bets Setup'!$J$4:$J$19="Y", G77:G92, 10)) &gt; G77), "", INDEX('Locked Bets Setup'!$A$4:$A$19,MATCH(MIN(IF('Locked Bets Setup'!$J$4:$J$19="Y",G77:G92,10)),IF('Locked Bets Setup'!$J$4:$J$19="Y",G77:G92,10),0)))</f>
        <v/>
      </c>
      <c r="H94" s="865" t="str">
        <f t="array" ref="H94">IF(OR(SUM(IF(IF('Locked Bets Setup'!$J$4:$J$19="Y", H77:H92, 10)=MIN(IF('Locked Bets Setup'!$J$4:$J$19="Y", H77:H92, 10)), 1, 0)) &gt; 1, MIN(IF('Locked Bets Setup'!$J$4:$J$19="Y", H77:H92, 10)) &gt; H77), "", INDEX('Locked Bets Setup'!$A$4:$A$19,MATCH(MIN(IF('Locked Bets Setup'!$J$4:$J$19="Y",H77:H92,10)),IF('Locked Bets Setup'!$J$4:$J$19="Y",H77:H92,10),0)))</f>
        <v/>
      </c>
      <c r="I94" s="865" t="str">
        <f t="array" ref="I94">IF(OR(SUM(IF(IF('Locked Bets Setup'!$J$4:$J$19="Y", I77:I92, 10)=MIN(IF('Locked Bets Setup'!$J$4:$J$19="Y", I77:I92, 10)), 1, 0)) &gt; 1, MIN(IF('Locked Bets Setup'!$J$4:$J$19="Y", I77:I92, 10)) &gt; I77), "", INDEX('Locked Bets Setup'!$A$4:$A$19,MATCH(MIN(IF('Locked Bets Setup'!$J$4:$J$19="Y",I77:I92,10)),IF('Locked Bets Setup'!$J$4:$J$19="Y",I77:I92,10),0)))</f>
        <v/>
      </c>
      <c r="J94" s="865" t="str">
        <f t="array" ref="J94">IF(OR(SUM(IF(IF('Locked Bets Setup'!$J$4:$J$19="Y", J77:J92, 10)=MIN(IF('Locked Bets Setup'!$J$4:$J$19="Y", J77:J92, 10)), 1, 0)) &gt; 1, MIN(IF('Locked Bets Setup'!$J$4:$J$19="Y", J77:J92, 10)) &gt; J77), "", INDEX('Locked Bets Setup'!$A$4:$A$19,MATCH(MIN(IF('Locked Bets Setup'!$J$4:$J$19="Y",J77:J92,10)),IF('Locked Bets Setup'!$J$4:$J$19="Y",J77:J92,10),0)))</f>
        <v/>
      </c>
      <c r="K94" s="865" t="str">
        <f t="array" ref="K94">IF(OR(SUM(IF(IF('Locked Bets Setup'!$J$4:$J$19="Y", K77:K92, 10)=MIN(IF('Locked Bets Setup'!$J$4:$J$19="Y", K77:K92, 10)), 1, 0)) &gt; 1, MIN(IF('Locked Bets Setup'!$J$4:$J$19="Y", K77:K92, 10)) &gt; K77), "", INDEX('Locked Bets Setup'!$A$4:$A$19,MATCH(MIN(IF('Locked Bets Setup'!$J$4:$J$19="Y",K77:K92,10)),IF('Locked Bets Setup'!$J$4:$J$19="Y",K77:K92,10),0)))</f>
        <v/>
      </c>
      <c r="L94" s="865" t="str">
        <f t="array" ref="L94">IF(OR(SUM(IF(IF('Locked Bets Setup'!$J$4:$J$19="Y", L77:L92, 10)=MIN(IF('Locked Bets Setup'!$J$4:$J$19="Y", L77:L92, 10)), 1, 0)) &gt; 1, MIN(IF('Locked Bets Setup'!$J$4:$J$19="Y", L77:L92, 10)) &gt; L77), "", INDEX('Locked Bets Setup'!$A$4:$A$19,MATCH(MIN(IF('Locked Bets Setup'!$J$4:$J$19="Y",L77:L92,10)),IF('Locked Bets Setup'!$J$4:$J$19="Y",L77:L92,10),0)))</f>
        <v/>
      </c>
      <c r="M94" s="865" t="str">
        <f t="array" ref="M94">IF(OR(SUM(IF(IF('Locked Bets Setup'!$J$4:$J$19="Y", M77:M92, 10)=MIN(IF('Locked Bets Setup'!$J$4:$J$19="Y", M77:M92, 10)), 1, 0)) &gt; 1, MIN(IF('Locked Bets Setup'!$J$4:$J$19="Y", M77:M92, 10)) &gt; M77), "", INDEX('Locked Bets Setup'!$A$4:$A$19,MATCH(MIN(IF('Locked Bets Setup'!$J$4:$J$19="Y",M77:M92,10)),IF('Locked Bets Setup'!$J$4:$J$19="Y",M77:M92,10),0)))</f>
        <v/>
      </c>
      <c r="N94" s="865" t="str">
        <f t="array" ref="N94">IF(OR(SUM(IF(IF('Locked Bets Setup'!$J$4:$J$19="Y", N77:N92, 10)=MIN(IF('Locked Bets Setup'!$J$4:$J$19="Y", N77:N92, 10)), 1, 0)) &gt; 1, MIN(IF('Locked Bets Setup'!$J$4:$J$19="Y", N77:N92, 10)) &gt; N77), "", INDEX('Locked Bets Setup'!$A$4:$A$19,MATCH(MIN(IF('Locked Bets Setup'!$J$4:$J$19="Y",N77:N92,10)),IF('Locked Bets Setup'!$J$4:$J$19="Y",N77:N92,10),0)))</f>
        <v/>
      </c>
      <c r="O94" s="865" t="str">
        <f t="array" ref="O94">IF(OR(SUM(IF(IF('Locked Bets Setup'!$J$4:$J$19="Y", O77:O92, 10)=MIN(IF('Locked Bets Setup'!$J$4:$J$19="Y", O77:O92, 10)), 1, 0)) &gt; 1, MIN(IF('Locked Bets Setup'!$J$4:$J$19="Y", O77:O92, 10)) &gt; O77), "", INDEX('Locked Bets Setup'!$A$4:$A$19,MATCH(MIN(IF('Locked Bets Setup'!$J$4:$J$19="Y",O77:O92,10)),IF('Locked Bets Setup'!$J$4:$J$19="Y",O77:O92,10),0)))</f>
        <v/>
      </c>
      <c r="P94" s="865" t="str">
        <f t="array" ref="P94">IF(OR(SUM(IF(IF('Locked Bets Setup'!$J$4:$J$19="Y", P77:P92, 10)=MIN(IF('Locked Bets Setup'!$J$4:$J$19="Y", P77:P92, 10)), 1, 0)) &gt; 1, MIN(IF('Locked Bets Setup'!$J$4:$J$19="Y", P77:P92, 10)) &gt; P77), "", INDEX('Locked Bets Setup'!$A$4:$A$19,MATCH(MIN(IF('Locked Bets Setup'!$J$4:$J$19="Y",P77:P92,10)),IF('Locked Bets Setup'!$J$4:$J$19="Y",P77:P92,10),0)))</f>
        <v/>
      </c>
      <c r="Q94" s="865" t="str">
        <f t="array" ref="Q94">IF(OR(SUM(IF(IF('Locked Bets Setup'!$J$4:$J$19="Y", Q77:Q92, 10)=MIN(IF('Locked Bets Setup'!$J$4:$J$19="Y", Q77:Q92, 10)), 1, 0)) &gt; 1, MIN(IF('Locked Bets Setup'!$J$4:$J$19="Y", Q77:Q92, 10)) &gt; Q77), "", INDEX('Locked Bets Setup'!$A$4:$A$19,MATCH(MIN(IF('Locked Bets Setup'!$J$4:$J$19="Y",Q77:Q92,10)),IF('Locked Bets Setup'!$J$4:$J$19="Y",Q77:Q92,10),0)))</f>
        <v/>
      </c>
      <c r="R94" s="865" t="str">
        <f t="array" ref="R94">IF(OR(SUM(IF(IF('Locked Bets Setup'!$J$4:$J$19="Y", R77:R92, 10)=MIN(IF('Locked Bets Setup'!$J$4:$J$19="Y", R77:R92, 10)), 1, 0)) &gt; 1, MIN(IF('Locked Bets Setup'!$J$4:$J$19="Y", R77:R92, 10)) &gt; R77), "", INDEX('Locked Bets Setup'!$A$4:$A$19,MATCH(MIN(IF('Locked Bets Setup'!$J$4:$J$19="Y",R77:R92,10)),IF('Locked Bets Setup'!$J$4:$J$19="Y",R77:R92,10),0)))</f>
        <v/>
      </c>
      <c r="S94" s="865" t="str">
        <f t="array" ref="S94">IF(OR(SUM(IF(IF('Locked Bets Setup'!$J$4:$J$19="Y", S77:S92, 10)=MIN(IF('Locked Bets Setup'!$J$4:$J$19="Y", S77:S92, 10)), 1, 0)) &gt; 1, MIN(IF('Locked Bets Setup'!$J$4:$J$19="Y", S77:S92, 10)) &gt; S77), "", INDEX('Locked Bets Setup'!$A$4:$A$19,MATCH(MIN(IF('Locked Bets Setup'!$J$4:$J$19="Y",S77:S92,10)),IF('Locked Bets Setup'!$J$4:$J$19="Y",S77:S92,10),0)))</f>
        <v/>
      </c>
      <c r="T94" s="865" t="str">
        <f t="array" ref="T94">IF(OR(SUM(IF(IF('Locked Bets Setup'!$J$4:$J$19="Y", T77:T92, 10)=MIN(IF('Locked Bets Setup'!$J$4:$J$19="Y", T77:T92, 10)), 1, 0)) &gt; 1, MIN(IF('Locked Bets Setup'!$J$4:$J$19="Y", T77:T92, 10)) &gt; T77), "", INDEX('Locked Bets Setup'!$A$4:$A$19,MATCH(MIN(IF('Locked Bets Setup'!$J$4:$J$19="Y",T77:T92,10)),IF('Locked Bets Setup'!$J$4:$J$19="Y",T77:T92,10),0)))</f>
        <v/>
      </c>
      <c r="U94" s="865" t="str">
        <f t="array" ref="U94">IF(OR(SUM(IF(IF('Locked Bets Setup'!$J$4:$J$19="Y", U77:U92, 10)=MIN(IF('Locked Bets Setup'!$J$4:$J$19="Y", U77:U92, 10)), 1, 0)) &gt; 1, MIN(IF('Locked Bets Setup'!$J$4:$J$19="Y", U77:U92, 10)) &gt; U77), "", INDEX('Locked Bets Setup'!$A$4:$A$19,MATCH(MIN(IF('Locked Bets Setup'!$J$4:$J$19="Y",U77:U92,10)),IF('Locked Bets Setup'!$J$4:$J$19="Y",U77:U92,10),0)))</f>
        <v/>
      </c>
      <c r="V94" s="865" t="str">
        <f t="array" ref="V94">IF(OR(SUM(IF(IF('Locked Bets Setup'!$J$4:$J$19="Y", V77:V92, 10)=MIN(IF('Locked Bets Setup'!$J$4:$J$19="Y", V77:V92, 10)), 1, 0)) &gt; 1, MIN(IF('Locked Bets Setup'!$J$4:$J$19="Y", V77:V92, 10)) &gt; V77), "", INDEX('Locked Bets Setup'!$A$4:$A$19,MATCH(MIN(IF('Locked Bets Setup'!$J$4:$J$19="Y",V77:V92,10)),IF('Locked Bets Setup'!$J$4:$J$19="Y",V77:V92,10),0)))</f>
        <v/>
      </c>
      <c r="W94" s="865"/>
      <c r="X94" s="865"/>
      <c r="Y94" s="866">
        <f t="shared" si="145"/>
        <v>0</v>
      </c>
      <c r="Z94" s="961"/>
      <c r="AA94" s="947"/>
      <c r="AB94" s="957"/>
      <c r="AC94" s="942"/>
      <c r="AD94" s="943"/>
      <c r="AE94" s="949"/>
      <c r="AF94" s="949"/>
      <c r="AG94" s="949"/>
      <c r="AH94" s="949"/>
      <c r="AI94" s="949"/>
      <c r="AJ94" s="949"/>
      <c r="AK94" s="949"/>
      <c r="AL94" s="949"/>
      <c r="AM94" s="949"/>
      <c r="AN94" s="949"/>
      <c r="AO94" s="949"/>
      <c r="AP94" s="949"/>
      <c r="AQ94" s="949"/>
      <c r="AR94" s="949"/>
      <c r="AS94" s="949"/>
      <c r="AT94" s="949"/>
      <c r="AU94" s="949"/>
      <c r="AV94" s="949"/>
      <c r="AW94" s="949"/>
      <c r="AX94" s="949"/>
      <c r="AY94" s="949"/>
      <c r="AZ94" s="949"/>
      <c r="BA94" s="949"/>
      <c r="BB94" s="947"/>
      <c r="BC94" s="957"/>
      <c r="BD94" s="962"/>
      <c r="BE94" s="962"/>
      <c r="BF94" s="962"/>
      <c r="BG94" s="962"/>
      <c r="BH94" s="962"/>
      <c r="BI94" s="962"/>
      <c r="BJ94" s="962"/>
    </row>
    <row r="95" spans="1:62" ht="14.25" customHeight="1">
      <c r="A95" s="963"/>
      <c r="B95" s="964"/>
      <c r="C95" s="964"/>
      <c r="D95" s="864" t="s">
        <v>201</v>
      </c>
      <c r="E95" s="857"/>
      <c r="F95" s="857"/>
      <c r="G95" s="857"/>
      <c r="H95" s="857"/>
      <c r="I95" s="857"/>
      <c r="J95" s="857"/>
      <c r="K95" s="857"/>
      <c r="L95" s="857"/>
      <c r="M95" s="857"/>
      <c r="N95" s="857"/>
      <c r="O95" s="857"/>
      <c r="P95" s="857"/>
      <c r="Q95" s="857"/>
      <c r="R95" s="857"/>
      <c r="S95" s="857"/>
      <c r="T95" s="857"/>
      <c r="U95" s="857"/>
      <c r="V95" s="857"/>
      <c r="W95" s="865"/>
      <c r="X95" s="865"/>
      <c r="Y95" s="884">
        <f>COUNTA(E95:V95)</f>
        <v>0</v>
      </c>
      <c r="Z95" s="963"/>
      <c r="AA95" s="965"/>
      <c r="AB95" s="966"/>
      <c r="AC95" s="963"/>
      <c r="AD95" s="964"/>
      <c r="AE95" s="967"/>
      <c r="AF95" s="967"/>
      <c r="AG95" s="967"/>
      <c r="AH95" s="967"/>
      <c r="AI95" s="967"/>
      <c r="AJ95" s="967"/>
      <c r="AK95" s="967"/>
      <c r="AL95" s="967"/>
      <c r="AM95" s="967"/>
      <c r="AN95" s="967"/>
      <c r="AO95" s="967"/>
      <c r="AP95" s="967"/>
      <c r="AQ95" s="967"/>
      <c r="AR95" s="967"/>
      <c r="AS95" s="967"/>
      <c r="AT95" s="967"/>
      <c r="AU95" s="967"/>
      <c r="AV95" s="967"/>
      <c r="AW95" s="967"/>
      <c r="AX95" s="967"/>
      <c r="AY95" s="967"/>
      <c r="AZ95" s="967"/>
      <c r="BA95" s="967"/>
      <c r="BB95" s="965"/>
      <c r="BC95" s="966"/>
      <c r="BD95" s="962"/>
      <c r="BE95" s="962"/>
      <c r="BF95" s="962"/>
      <c r="BG95" s="962"/>
      <c r="BH95" s="962"/>
      <c r="BI95" s="962"/>
      <c r="BJ95" s="962"/>
    </row>
  </sheetData>
  <mergeCells count="8">
    <mergeCell ref="D73:X73"/>
    <mergeCell ref="AF73:AZ73"/>
    <mergeCell ref="D1:X1"/>
    <mergeCell ref="AF1:AZ1"/>
    <mergeCell ref="D25:X25"/>
    <mergeCell ref="AF25:AZ25"/>
    <mergeCell ref="D49:X49"/>
    <mergeCell ref="AF49:AZ49"/>
  </mergeCells>
  <conditionalFormatting sqref="E23:V23">
    <cfRule type="expression" dxfId="1" priority="2">
      <formula>E4&lt;&gt;3</formula>
    </cfRule>
  </conditionalFormatting>
  <conditionalFormatting sqref="E47:V47 Y47 E71:V71 Y71 E95:V95 Y95">
    <cfRule type="expression" dxfId="0" priority="1">
      <formula>E28&lt;&gt;3</formula>
    </cfRule>
  </conditionalFormatting>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FF00"/>
    <outlinePr summaryBelow="0" summaryRight="0"/>
  </sheetPr>
  <dimension ref="A1:L27"/>
  <sheetViews>
    <sheetView workbookViewId="0"/>
  </sheetViews>
  <sheetFormatPr defaultColWidth="17.26953125" defaultRowHeight="15" customHeight="1"/>
  <sheetData>
    <row r="1" spans="1:12">
      <c r="A1" s="968" t="s">
        <v>202</v>
      </c>
      <c r="B1" s="969">
        <f>(4-COUNTIF('Master Input'!E6:L6,"Shamble")-COUNTIF('Master Input'!E6:L6,"Pinehurst")-COUNTIF('Master Input'!E6:L6,"2-Man Scramble"))</f>
        <v>3</v>
      </c>
      <c r="C1" s="637"/>
      <c r="D1" s="637"/>
      <c r="E1" s="637"/>
      <c r="F1" s="637"/>
      <c r="G1" s="637"/>
      <c r="H1" s="637"/>
      <c r="I1" s="637"/>
      <c r="J1" s="637"/>
      <c r="K1" s="637"/>
      <c r="L1" s="637"/>
    </row>
    <row r="2" spans="1:12">
      <c r="A2" s="970" t="s">
        <v>14</v>
      </c>
      <c r="B2" s="971"/>
      <c r="C2" s="972"/>
      <c r="D2" s="971"/>
      <c r="E2" s="971"/>
      <c r="F2" s="971"/>
      <c r="G2" s="972"/>
      <c r="H2" s="972">
        <v>0</v>
      </c>
      <c r="I2" s="972">
        <v>55.93</v>
      </c>
      <c r="J2" s="971"/>
      <c r="K2" s="971"/>
      <c r="L2" s="972">
        <v>20</v>
      </c>
    </row>
    <row r="3" spans="1:12">
      <c r="A3" s="973" t="s">
        <v>203</v>
      </c>
      <c r="B3" s="974"/>
      <c r="C3" s="974"/>
      <c r="D3" s="975" t="s">
        <v>204</v>
      </c>
      <c r="E3" s="975" t="s">
        <v>204</v>
      </c>
      <c r="F3" s="975" t="s">
        <v>204</v>
      </c>
      <c r="G3" s="975" t="s">
        <v>204</v>
      </c>
      <c r="H3" s="975" t="s">
        <v>204</v>
      </c>
      <c r="I3" s="975" t="s">
        <v>204</v>
      </c>
      <c r="J3" s="976">
        <v>5</v>
      </c>
      <c r="K3" s="974"/>
      <c r="L3" s="974"/>
    </row>
    <row r="4" spans="1:12">
      <c r="A4" s="977" t="s">
        <v>23</v>
      </c>
      <c r="B4" s="978" t="s">
        <v>205</v>
      </c>
      <c r="C4" s="979" t="s">
        <v>206</v>
      </c>
      <c r="D4" s="980" t="s">
        <v>207</v>
      </c>
      <c r="E4" s="981" t="s">
        <v>208</v>
      </c>
      <c r="F4" s="982" t="s">
        <v>209</v>
      </c>
      <c r="G4" s="983" t="s">
        <v>210</v>
      </c>
      <c r="H4" s="984" t="s">
        <v>211</v>
      </c>
      <c r="I4" s="985" t="s">
        <v>212</v>
      </c>
      <c r="J4" s="986" t="s">
        <v>213</v>
      </c>
      <c r="K4" s="987" t="s">
        <v>214</v>
      </c>
      <c r="L4" s="988" t="s">
        <v>201</v>
      </c>
    </row>
    <row r="5" spans="1:12">
      <c r="A5" s="989" t="str">
        <f>'Master Input'!A11</f>
        <v>Telly</v>
      </c>
      <c r="B5" s="631"/>
      <c r="C5" s="990"/>
      <c r="D5" s="631"/>
      <c r="E5" s="990"/>
      <c r="F5" s="631"/>
      <c r="G5" s="990"/>
      <c r="H5" s="990"/>
      <c r="I5" s="990" t="s">
        <v>198</v>
      </c>
      <c r="J5" s="631"/>
      <c r="K5" s="990"/>
      <c r="L5" s="990" t="s">
        <v>198</v>
      </c>
    </row>
    <row r="6" spans="1:12">
      <c r="A6" s="989" t="str">
        <f>'Master Input'!A12</f>
        <v>KJ</v>
      </c>
      <c r="B6" s="991"/>
      <c r="C6" s="992"/>
      <c r="D6" s="991"/>
      <c r="E6" s="992"/>
      <c r="F6" s="991"/>
      <c r="G6" s="992"/>
      <c r="H6" s="992"/>
      <c r="I6" s="992" t="s">
        <v>198</v>
      </c>
      <c r="J6" s="992"/>
      <c r="K6" s="992"/>
      <c r="L6" s="992" t="s">
        <v>198</v>
      </c>
    </row>
    <row r="7" spans="1:12">
      <c r="A7" s="989" t="str">
        <f>'Master Input'!A13</f>
        <v>CuzNick</v>
      </c>
      <c r="B7" s="990"/>
      <c r="C7" s="990"/>
      <c r="D7" s="990"/>
      <c r="E7" s="990"/>
      <c r="F7" s="990"/>
      <c r="G7" s="990"/>
      <c r="H7" s="990"/>
      <c r="I7" s="990" t="s">
        <v>198</v>
      </c>
      <c r="J7" s="990"/>
      <c r="K7" s="990"/>
      <c r="L7" s="990" t="s">
        <v>198</v>
      </c>
    </row>
    <row r="8" spans="1:12">
      <c r="A8" s="989" t="str">
        <f>'Master Input'!A14</f>
        <v>R-Mac</v>
      </c>
      <c r="B8" s="992"/>
      <c r="C8" s="992"/>
      <c r="D8" s="992"/>
      <c r="E8" s="992"/>
      <c r="F8" s="992"/>
      <c r="G8" s="992"/>
      <c r="H8" s="992"/>
      <c r="I8" s="992" t="s">
        <v>198</v>
      </c>
      <c r="J8" s="992"/>
      <c r="K8" s="992"/>
      <c r="L8" s="992" t="s">
        <v>198</v>
      </c>
    </row>
    <row r="9" spans="1:12">
      <c r="A9" s="989" t="str">
        <f>'Master Input'!A15</f>
        <v>House</v>
      </c>
      <c r="B9" s="990"/>
      <c r="C9" s="990"/>
      <c r="D9" s="990"/>
      <c r="E9" s="990"/>
      <c r="F9" s="990"/>
      <c r="G9" s="990"/>
      <c r="H9" s="990"/>
      <c r="I9" s="990" t="s">
        <v>198</v>
      </c>
      <c r="J9" s="990"/>
      <c r="K9" s="990"/>
      <c r="L9" s="990" t="s">
        <v>198</v>
      </c>
    </row>
    <row r="10" spans="1:12">
      <c r="A10" s="989" t="str">
        <f>'Master Input'!A16</f>
        <v>TJSC</v>
      </c>
      <c r="B10" s="992"/>
      <c r="C10" s="992"/>
      <c r="D10" s="992"/>
      <c r="E10" s="992"/>
      <c r="F10" s="992"/>
      <c r="G10" s="992"/>
      <c r="H10" s="992"/>
      <c r="I10" s="992" t="s">
        <v>198</v>
      </c>
      <c r="J10" s="992"/>
      <c r="K10" s="992"/>
      <c r="L10" s="992" t="s">
        <v>198</v>
      </c>
    </row>
    <row r="11" spans="1:12">
      <c r="A11" s="989" t="str">
        <f>'Master Input'!A17</f>
        <v>DK</v>
      </c>
      <c r="B11" s="990"/>
      <c r="C11" s="990"/>
      <c r="D11" s="990"/>
      <c r="E11" s="990"/>
      <c r="F11" s="990"/>
      <c r="G11" s="990"/>
      <c r="H11" s="990"/>
      <c r="I11" s="990" t="s">
        <v>198</v>
      </c>
      <c r="J11" s="990"/>
      <c r="K11" s="990"/>
      <c r="L11" s="990" t="s">
        <v>198</v>
      </c>
    </row>
    <row r="12" spans="1:12">
      <c r="A12" s="989" t="str">
        <f>'Master Input'!A18</f>
        <v>Saugy</v>
      </c>
      <c r="B12" s="992"/>
      <c r="C12" s="992"/>
      <c r="D12" s="992"/>
      <c r="E12" s="992"/>
      <c r="F12" s="992"/>
      <c r="G12" s="992"/>
      <c r="H12" s="992"/>
      <c r="I12" s="992" t="s">
        <v>198</v>
      </c>
      <c r="J12" s="992"/>
      <c r="K12" s="992"/>
      <c r="L12" s="992" t="s">
        <v>198</v>
      </c>
    </row>
    <row r="13" spans="1:12">
      <c r="A13" s="989" t="str">
        <f>'Master Input'!A20</f>
        <v>Elger</v>
      </c>
      <c r="B13" s="990"/>
      <c r="C13" s="990"/>
      <c r="D13" s="990"/>
      <c r="E13" s="990"/>
      <c r="F13" s="990"/>
      <c r="G13" s="990"/>
      <c r="H13" s="990"/>
      <c r="I13" s="990" t="s">
        <v>198</v>
      </c>
      <c r="J13" s="631"/>
      <c r="K13" s="990"/>
      <c r="L13" s="990" t="s">
        <v>198</v>
      </c>
    </row>
    <row r="14" spans="1:12">
      <c r="A14" s="989" t="str">
        <f>'Master Input'!A21</f>
        <v>Andy</v>
      </c>
      <c r="B14" s="992"/>
      <c r="C14" s="992"/>
      <c r="D14" s="992"/>
      <c r="E14" s="992"/>
      <c r="F14" s="992"/>
      <c r="G14" s="992"/>
      <c r="H14" s="992"/>
      <c r="I14" s="992" t="s">
        <v>198</v>
      </c>
      <c r="J14" s="992"/>
      <c r="K14" s="992"/>
      <c r="L14" s="992" t="s">
        <v>198</v>
      </c>
    </row>
    <row r="15" spans="1:12">
      <c r="A15" s="989" t="str">
        <f>'Master Input'!A22</f>
        <v>Jensen</v>
      </c>
      <c r="B15" s="990"/>
      <c r="C15" s="990"/>
      <c r="D15" s="990"/>
      <c r="E15" s="990"/>
      <c r="F15" s="990"/>
      <c r="G15" s="990"/>
      <c r="H15" s="990"/>
      <c r="I15" s="990" t="s">
        <v>198</v>
      </c>
      <c r="J15" s="990"/>
      <c r="K15" s="990"/>
      <c r="L15" s="990" t="s">
        <v>198</v>
      </c>
    </row>
    <row r="16" spans="1:12">
      <c r="A16" s="989" t="str">
        <f>'Master Input'!A23</f>
        <v>Pace</v>
      </c>
      <c r="B16" s="992"/>
      <c r="C16" s="992"/>
      <c r="D16" s="992"/>
      <c r="E16" s="992"/>
      <c r="F16" s="992"/>
      <c r="G16" s="992"/>
      <c r="H16" s="992"/>
      <c r="I16" s="992" t="s">
        <v>198</v>
      </c>
      <c r="J16" s="992"/>
      <c r="K16" s="992"/>
      <c r="L16" s="992" t="s">
        <v>198</v>
      </c>
    </row>
    <row r="17" spans="1:12">
      <c r="A17" s="989" t="str">
        <f>'Master Input'!A24</f>
        <v>T-Mo</v>
      </c>
      <c r="B17" s="990"/>
      <c r="C17" s="990"/>
      <c r="D17" s="990"/>
      <c r="E17" s="990"/>
      <c r="F17" s="990"/>
      <c r="G17" s="990"/>
      <c r="H17" s="990"/>
      <c r="I17" s="990" t="s">
        <v>198</v>
      </c>
      <c r="J17" s="990"/>
      <c r="K17" s="990"/>
      <c r="L17" s="990" t="s">
        <v>198</v>
      </c>
    </row>
    <row r="18" spans="1:12">
      <c r="A18" s="989" t="str">
        <f>'Master Input'!A25</f>
        <v>Joe O</v>
      </c>
      <c r="B18" s="992"/>
      <c r="C18" s="992"/>
      <c r="D18" s="992"/>
      <c r="E18" s="992"/>
      <c r="F18" s="992"/>
      <c r="G18" s="992"/>
      <c r="H18" s="992"/>
      <c r="I18" s="992" t="s">
        <v>198</v>
      </c>
      <c r="J18" s="992"/>
      <c r="K18" s="992"/>
      <c r="L18" s="992" t="s">
        <v>198</v>
      </c>
    </row>
    <row r="19" spans="1:12">
      <c r="A19" s="989" t="str">
        <f>'Master Input'!A26</f>
        <v>Hile</v>
      </c>
      <c r="B19" s="990"/>
      <c r="C19" s="990"/>
      <c r="D19" s="990"/>
      <c r="E19" s="990"/>
      <c r="F19" s="990"/>
      <c r="G19" s="990"/>
      <c r="H19" s="990"/>
      <c r="I19" s="990" t="s">
        <v>198</v>
      </c>
      <c r="J19" s="990"/>
      <c r="K19" s="990"/>
      <c r="L19" s="990" t="s">
        <v>198</v>
      </c>
    </row>
    <row r="20" spans="1:12">
      <c r="A20" s="989" t="str">
        <f>'Master Input'!A27</f>
        <v>Weezy</v>
      </c>
      <c r="B20" s="992"/>
      <c r="C20" s="992"/>
      <c r="D20" s="992"/>
      <c r="E20" s="992"/>
      <c r="F20" s="992"/>
      <c r="G20" s="992"/>
      <c r="H20" s="992"/>
      <c r="I20" s="992" t="s">
        <v>198</v>
      </c>
      <c r="J20" s="992"/>
      <c r="K20" s="992"/>
      <c r="L20" s="992" t="s">
        <v>198</v>
      </c>
    </row>
    <row r="21" spans="1:12">
      <c r="A21" s="993">
        <f>SUM(B21:L21)</f>
        <v>1214.8800000000001</v>
      </c>
      <c r="B21" s="994">
        <f t="shared" ref="B21:L21" si="0">COUNTIF(B5:B20,"Y") *B2</f>
        <v>0</v>
      </c>
      <c r="C21" s="994">
        <f t="shared" si="0"/>
        <v>0</v>
      </c>
      <c r="D21" s="994">
        <f t="shared" si="0"/>
        <v>0</v>
      </c>
      <c r="E21" s="994">
        <f t="shared" si="0"/>
        <v>0</v>
      </c>
      <c r="F21" s="994">
        <f t="shared" si="0"/>
        <v>0</v>
      </c>
      <c r="G21" s="994">
        <f t="shared" si="0"/>
        <v>0</v>
      </c>
      <c r="H21" s="994">
        <f t="shared" si="0"/>
        <v>0</v>
      </c>
      <c r="I21" s="994">
        <f t="shared" si="0"/>
        <v>894.88</v>
      </c>
      <c r="J21" s="994">
        <f t="shared" si="0"/>
        <v>0</v>
      </c>
      <c r="K21" s="994">
        <f t="shared" si="0"/>
        <v>0</v>
      </c>
      <c r="L21" s="994">
        <f t="shared" si="0"/>
        <v>320</v>
      </c>
    </row>
    <row r="22" spans="1:12">
      <c r="I22" s="526">
        <v>415</v>
      </c>
    </row>
    <row r="23" spans="1:12">
      <c r="B23" s="526" t="s">
        <v>76</v>
      </c>
    </row>
    <row r="24" spans="1:12">
      <c r="A24" s="526" t="s">
        <v>201</v>
      </c>
      <c r="B24" s="526" t="s">
        <v>215</v>
      </c>
    </row>
    <row r="25" spans="1:12">
      <c r="B25" s="526" t="s">
        <v>216</v>
      </c>
    </row>
    <row r="26" spans="1:12">
      <c r="B26" s="526" t="s">
        <v>217</v>
      </c>
    </row>
    <row r="27" spans="1:12">
      <c r="B27" s="526" t="s">
        <v>218</v>
      </c>
    </row>
  </sheetData>
  <pageMargins left="0.7" right="0.7" top="0.75" bottom="0.75" header="0.3" footer="0.3"/>
  <tableParts count="8">
    <tablePart r:id="rId1"/>
    <tablePart r:id="rId2"/>
    <tablePart r:id="rId3"/>
    <tablePart r:id="rId4"/>
    <tablePart r:id="rId5"/>
    <tablePart r:id="rId6"/>
    <tablePart r:id="rId7"/>
    <tablePart r:id="rId8"/>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AS59"/>
  <sheetViews>
    <sheetView showGridLines="0" workbookViewId="0">
      <pane xSplit="1" topLeftCell="B1" activePane="topRight" state="frozen"/>
      <selection pane="topRight" activeCell="C2" sqref="C2"/>
    </sheetView>
  </sheetViews>
  <sheetFormatPr defaultColWidth="17.26953125" defaultRowHeight="15" customHeight="1"/>
  <cols>
    <col min="1" max="1" width="10.08984375" customWidth="1"/>
    <col min="2" max="6" width="5.81640625" customWidth="1"/>
    <col min="7" max="7" width="3" customWidth="1"/>
    <col min="8" max="12" width="5.81640625" customWidth="1"/>
    <col min="13" max="13" width="3" customWidth="1"/>
    <col min="14" max="18" width="5.81640625" customWidth="1"/>
    <col min="19" max="19" width="3" customWidth="1"/>
    <col min="20" max="24" width="5.81640625" customWidth="1"/>
    <col min="25" max="25" width="3" customWidth="1"/>
    <col min="26" max="28" width="5.81640625" customWidth="1"/>
    <col min="29" max="30" width="7.26953125" customWidth="1"/>
    <col min="31" max="31" width="3" customWidth="1"/>
    <col min="32" max="36" width="6.54296875" customWidth="1"/>
    <col min="37" max="37" width="3" customWidth="1"/>
    <col min="38" max="41" width="6.54296875" customWidth="1"/>
    <col min="42" max="44" width="5.81640625" customWidth="1"/>
    <col min="45" max="45" width="10.453125" customWidth="1"/>
  </cols>
  <sheetData>
    <row r="1" spans="1:45" ht="12.75" customHeight="1">
      <c r="A1" s="995"/>
      <c r="B1" s="996"/>
      <c r="C1" s="996"/>
      <c r="D1" s="996" t="s">
        <v>76</v>
      </c>
      <c r="E1" s="996"/>
      <c r="F1" s="997">
        <v>45183</v>
      </c>
      <c r="G1" s="998"/>
      <c r="H1" s="999"/>
      <c r="I1" s="999"/>
      <c r="J1" s="999" t="s">
        <v>78</v>
      </c>
      <c r="K1" s="999"/>
      <c r="L1" s="1000">
        <v>45184</v>
      </c>
      <c r="M1" s="998"/>
      <c r="N1" s="1001"/>
      <c r="O1" s="1001"/>
      <c r="P1" s="1001" t="s">
        <v>79</v>
      </c>
      <c r="Q1" s="1001"/>
      <c r="R1" s="1002">
        <v>45184</v>
      </c>
      <c r="S1" s="998"/>
      <c r="T1" s="1003"/>
      <c r="U1" s="1003"/>
      <c r="V1" s="1003" t="s">
        <v>80</v>
      </c>
      <c r="W1" s="1003"/>
      <c r="X1" s="1004">
        <v>45185</v>
      </c>
      <c r="Y1" s="998"/>
      <c r="Z1" s="998"/>
      <c r="AA1" s="998"/>
      <c r="AB1" s="998"/>
      <c r="AC1" s="998"/>
      <c r="AD1" s="998"/>
      <c r="AE1" s="998"/>
      <c r="AF1" s="1005" t="s">
        <v>219</v>
      </c>
      <c r="AG1" s="1005" t="s">
        <v>220</v>
      </c>
      <c r="AH1" s="1005" t="s">
        <v>221</v>
      </c>
      <c r="AI1" s="1005" t="s">
        <v>222</v>
      </c>
      <c r="AJ1" s="533"/>
      <c r="AK1" s="533"/>
      <c r="AL1" s="1005" t="s">
        <v>219</v>
      </c>
      <c r="AM1" s="1005" t="s">
        <v>220</v>
      </c>
      <c r="AN1" s="1005" t="s">
        <v>221</v>
      </c>
      <c r="AO1" s="1005" t="s">
        <v>222</v>
      </c>
      <c r="AP1" s="998"/>
      <c r="AQ1" s="998"/>
      <c r="AR1" s="998"/>
      <c r="AS1" s="998"/>
    </row>
    <row r="2" spans="1:45" ht="12.75" customHeight="1">
      <c r="A2" s="995"/>
      <c r="B2" s="996"/>
      <c r="C2" s="996"/>
      <c r="D2" s="996" t="str">
        <f>'Master Input'!E6</f>
        <v>Sundance - Blue</v>
      </c>
      <c r="E2" s="996"/>
      <c r="F2" s="996"/>
      <c r="G2" s="998"/>
      <c r="H2" s="999"/>
      <c r="I2" s="999"/>
      <c r="J2" s="999" t="str">
        <f>'Master Input'!G6</f>
        <v>The Wolverine - White</v>
      </c>
      <c r="K2" s="999"/>
      <c r="L2" s="999"/>
      <c r="M2" s="998"/>
      <c r="N2" s="1001"/>
      <c r="O2" s="1001"/>
      <c r="P2" s="1001" t="str">
        <f>'Master Input'!I6</f>
        <v>The Wolverine - Blue</v>
      </c>
      <c r="Q2" s="1001"/>
      <c r="R2" s="1001"/>
      <c r="S2" s="998"/>
      <c r="T2" s="1003"/>
      <c r="U2" s="1003"/>
      <c r="V2" s="1003" t="str">
        <f>'Master Input'!K6</f>
        <v>The Bear - White</v>
      </c>
      <c r="W2" s="1003"/>
      <c r="X2" s="1003"/>
      <c r="Y2" s="998"/>
      <c r="Z2" s="998"/>
      <c r="AA2" s="998"/>
      <c r="AB2" s="998"/>
      <c r="AC2" s="998"/>
      <c r="AD2" s="998"/>
      <c r="AE2" s="998"/>
      <c r="AF2" s="998"/>
      <c r="AG2" s="998"/>
      <c r="AH2" s="998"/>
      <c r="AI2" s="998"/>
      <c r="AK2" s="533"/>
      <c r="AM2" s="1006"/>
      <c r="AN2" s="1006"/>
      <c r="AO2" s="1006"/>
      <c r="AP2" s="998"/>
      <c r="AQ2" s="998"/>
      <c r="AR2" s="998"/>
      <c r="AS2" s="998"/>
    </row>
    <row r="3" spans="1:45" ht="12.75" customHeight="1">
      <c r="A3" s="995"/>
      <c r="B3" s="996"/>
      <c r="C3" s="996"/>
      <c r="D3" s="996" t="str">
        <f>'Master Input'!F6</f>
        <v>Dirty Dozen</v>
      </c>
      <c r="E3" s="996"/>
      <c r="F3" s="996"/>
      <c r="G3" s="998"/>
      <c r="H3" s="999"/>
      <c r="I3" s="999"/>
      <c r="J3" s="999" t="str">
        <f>'Master Input'!H6</f>
        <v>Singles Matches</v>
      </c>
      <c r="K3" s="999"/>
      <c r="L3" s="999"/>
      <c r="M3" s="998"/>
      <c r="N3" s="1007"/>
      <c r="O3" s="1007"/>
      <c r="P3" s="1007" t="str">
        <f>'Master Input'!J6</f>
        <v>2-Man Scramble</v>
      </c>
      <c r="Q3" s="1007"/>
      <c r="R3" s="1007"/>
      <c r="S3" s="998"/>
      <c r="T3" s="1008"/>
      <c r="U3" s="1008"/>
      <c r="V3" s="1008" t="str">
        <f>'Master Input'!L6</f>
        <v>Team Best Ball</v>
      </c>
      <c r="W3" s="1008"/>
      <c r="X3" s="1008"/>
      <c r="Y3" s="998"/>
      <c r="Z3" s="1224" t="s">
        <v>223</v>
      </c>
      <c r="AA3" s="1139"/>
      <c r="AB3" s="1139"/>
      <c r="AC3" s="1225" t="s">
        <v>224</v>
      </c>
      <c r="AD3" s="1226"/>
      <c r="AE3" s="998"/>
      <c r="AF3" s="1224" t="s">
        <v>225</v>
      </c>
      <c r="AG3" s="1139"/>
      <c r="AH3" s="1139"/>
      <c r="AI3" s="1139"/>
      <c r="AJ3" s="1010" t="s">
        <v>226</v>
      </c>
      <c r="AK3" s="533"/>
      <c r="AL3" s="1227" t="s">
        <v>227</v>
      </c>
      <c r="AM3" s="1129"/>
      <c r="AN3" s="1129"/>
      <c r="AO3" s="1129"/>
      <c r="AP3" s="1228" t="s">
        <v>228</v>
      </c>
      <c r="AQ3" s="1229"/>
      <c r="AR3" s="1006"/>
      <c r="AS3" s="1006"/>
    </row>
    <row r="4" spans="1:45" ht="12.75" customHeight="1">
      <c r="A4" s="1011"/>
      <c r="B4" s="1012" t="s">
        <v>229</v>
      </c>
      <c r="C4" s="1013" t="s">
        <v>32</v>
      </c>
      <c r="D4" s="1013" t="s">
        <v>33</v>
      </c>
      <c r="E4" s="1013" t="s">
        <v>34</v>
      </c>
      <c r="F4" s="1013" t="s">
        <v>35</v>
      </c>
      <c r="G4" s="1014"/>
      <c r="H4" s="1012" t="s">
        <v>229</v>
      </c>
      <c r="I4" s="1013" t="s">
        <v>32</v>
      </c>
      <c r="J4" s="1013" t="s">
        <v>33</v>
      </c>
      <c r="K4" s="1013" t="s">
        <v>34</v>
      </c>
      <c r="L4" s="1015" t="s">
        <v>35</v>
      </c>
      <c r="M4" s="1014"/>
      <c r="N4" s="1012" t="s">
        <v>229</v>
      </c>
      <c r="O4" s="1013" t="s">
        <v>32</v>
      </c>
      <c r="P4" s="1013" t="s">
        <v>33</v>
      </c>
      <c r="Q4" s="1013" t="s">
        <v>34</v>
      </c>
      <c r="R4" s="1015" t="s">
        <v>35</v>
      </c>
      <c r="S4" s="1014"/>
      <c r="T4" s="1012" t="s">
        <v>229</v>
      </c>
      <c r="U4" s="1013" t="s">
        <v>32</v>
      </c>
      <c r="V4" s="1013" t="s">
        <v>33</v>
      </c>
      <c r="W4" s="1013" t="s">
        <v>34</v>
      </c>
      <c r="X4" s="1015" t="s">
        <v>35</v>
      </c>
      <c r="Y4" s="1014"/>
      <c r="Z4" s="1012" t="s">
        <v>229</v>
      </c>
      <c r="AA4" s="1016" t="s">
        <v>230</v>
      </c>
      <c r="AB4" s="1017" t="s">
        <v>34</v>
      </c>
      <c r="AC4" s="1018" t="s">
        <v>230</v>
      </c>
      <c r="AD4" s="1019" t="s">
        <v>35</v>
      </c>
      <c r="AE4" s="1014"/>
      <c r="AF4" s="1013" t="s">
        <v>231</v>
      </c>
      <c r="AG4" s="1013" t="s">
        <v>232</v>
      </c>
      <c r="AH4" s="1020" t="s">
        <v>233</v>
      </c>
      <c r="AI4" s="1017" t="s">
        <v>234</v>
      </c>
      <c r="AJ4" s="1021" t="s">
        <v>230</v>
      </c>
      <c r="AK4" s="533"/>
      <c r="AL4" s="1012" t="s">
        <v>231</v>
      </c>
      <c r="AM4" s="1012" t="s">
        <v>232</v>
      </c>
      <c r="AN4" s="1012" t="s">
        <v>233</v>
      </c>
      <c r="AO4" s="1017" t="s">
        <v>234</v>
      </c>
      <c r="AP4" s="1230" t="s">
        <v>235</v>
      </c>
      <c r="AQ4" s="1231"/>
      <c r="AR4" s="1022" t="s">
        <v>226</v>
      </c>
      <c r="AS4" s="1006"/>
    </row>
    <row r="5" spans="1:45" ht="12.75" customHeight="1">
      <c r="A5" s="1023" t="str">
        <f>'Master Input'!A10</f>
        <v>TEES</v>
      </c>
      <c r="B5" s="1024" t="s">
        <v>236</v>
      </c>
      <c r="C5" s="1025" t="s">
        <v>36</v>
      </c>
      <c r="D5" s="1025" t="s">
        <v>37</v>
      </c>
      <c r="E5" s="1025" t="s">
        <v>38</v>
      </c>
      <c r="F5" s="1025" t="s">
        <v>192</v>
      </c>
      <c r="G5" s="1014"/>
      <c r="H5" s="1024" t="s">
        <v>236</v>
      </c>
      <c r="I5" s="1025" t="s">
        <v>36</v>
      </c>
      <c r="J5" s="1025" t="s">
        <v>37</v>
      </c>
      <c r="K5" s="1025" t="s">
        <v>38</v>
      </c>
      <c r="L5" s="1026" t="s">
        <v>192</v>
      </c>
      <c r="M5" s="1014"/>
      <c r="N5" s="1024" t="s">
        <v>236</v>
      </c>
      <c r="O5" s="1025" t="s">
        <v>36</v>
      </c>
      <c r="P5" s="1025" t="s">
        <v>37</v>
      </c>
      <c r="Q5" s="1025" t="s">
        <v>38</v>
      </c>
      <c r="R5" s="1026" t="s">
        <v>192</v>
      </c>
      <c r="S5" s="1014"/>
      <c r="T5" s="1024" t="s">
        <v>236</v>
      </c>
      <c r="U5" s="1025" t="s">
        <v>36</v>
      </c>
      <c r="V5" s="1025" t="s">
        <v>37</v>
      </c>
      <c r="W5" s="1025" t="s">
        <v>38</v>
      </c>
      <c r="X5" s="1026" t="s">
        <v>192</v>
      </c>
      <c r="Y5" s="1014"/>
      <c r="Z5" s="1024" t="s">
        <v>226</v>
      </c>
      <c r="AA5" s="1027" t="s">
        <v>36</v>
      </c>
      <c r="AB5" s="1028" t="s">
        <v>38</v>
      </c>
      <c r="AC5" s="1029" t="s">
        <v>237</v>
      </c>
      <c r="AD5" s="1030" t="s">
        <v>192</v>
      </c>
      <c r="AE5" s="1014"/>
      <c r="AF5" s="1025" t="s">
        <v>238</v>
      </c>
      <c r="AG5" s="1025" t="s">
        <v>238</v>
      </c>
      <c r="AH5" s="1009" t="s">
        <v>238</v>
      </c>
      <c r="AI5" s="1028" t="s">
        <v>238</v>
      </c>
      <c r="AJ5" s="1031" t="s">
        <v>239</v>
      </c>
      <c r="AK5" s="533"/>
      <c r="AL5" s="1024" t="s">
        <v>240</v>
      </c>
      <c r="AM5" s="1024" t="s">
        <v>240</v>
      </c>
      <c r="AN5" s="1024" t="s">
        <v>240</v>
      </c>
      <c r="AO5" s="1028" t="s">
        <v>240</v>
      </c>
      <c r="AP5" s="1032" t="s">
        <v>226</v>
      </c>
      <c r="AQ5" s="1033" t="s">
        <v>182</v>
      </c>
      <c r="AR5" s="1034" t="s">
        <v>105</v>
      </c>
      <c r="AS5" s="1035" t="str">
        <f t="shared" ref="AS5:AS13" si="0">A5</f>
        <v>TEES</v>
      </c>
    </row>
    <row r="6" spans="1:45" ht="12.75" customHeight="1">
      <c r="A6" s="1036" t="str">
        <f>'Master Input'!A17</f>
        <v>DK</v>
      </c>
      <c r="B6" s="1037">
        <f ca="1">VLOOKUP($A6,'ALL SCORES'!$A$5:$AA$20,26,FALSE)</f>
        <v>76</v>
      </c>
      <c r="C6" s="1038">
        <f ca="1">IF('ALL SCORES'!$AX$5="","",
IF(COUNTIF('R1_G1'!$A$25:$A$29,$A6)=1,VLOOKUP($A6,'R1_G1'!$A$25:$AB$29, 26,FALSE),
IF(COUNTIF('R1_G2'!$A$25:$A$29,$A6)=1,VLOOKUP($A6,'R1_G2'!$A$25:$AB$29, 26,FALSE),
IF(COUNTIF('R1_G3'!$A$25:$A$29,$A6)=1,VLOOKUP($A6,'R1_G3'!$A$25:$AB$29, 26,FALSE),
IF(COUNTIF('R1_G4'!$A$25:$A$29,$A6)=1,VLOOKUP($A6,'R1_G4'!$A$25:$AB$29, 26,FALSE), "")))))</f>
        <v>5.833333333333333</v>
      </c>
      <c r="D6" s="1038">
        <f ca="1">IF('ALL SCORES'!$AX$5="","",
IF(COUNTIF('R1_G1'!$A$25:$A$29,$A6)=1,VLOOKUP($A6,'R1_G1'!$A$25:$AB$29, 27,FALSE),
IF(COUNTIF('R1_G2'!$A$25:$A$29,$A6)=1,VLOOKUP($A6,'R1_G2'!$A$25:$AB$29, 27,FALSE),
IF(COUNTIF('R1_G3'!$A$25:$A$29,$A6)=1,VLOOKUP($A6,'R1_G3'!$A$25:$AB$29, 27,FALSE),
IF(COUNTIF('R1_G4'!$A$25:$A$29,$A6)=1,VLOOKUP($A6,'R1_G4'!$A$25:$AB$29, 27,FALSE), "")))))</f>
        <v>5.833333333333333</v>
      </c>
      <c r="E6" s="1039">
        <f ca="1">IF('ALL SCORES'!$AX$5="","",
IF(COUNTIF('R1_G1'!$A$25:$A$29,$A6)=1,VLOOKUP($A6,'R1_G1'!$A$25:$AB$29, 28,FALSE),
IF(COUNTIF('R1_G2'!$A$25:$A$29,$A6)=1,VLOOKUP($A6,'R1_G2'!$A$25:$AB$29, 28,FALSE),
IF(COUNTIF('R1_G3'!$A$25:$A$29,$A6)=1,VLOOKUP($A6,'R1_G3'!$A$25:$AB$29, 28,FALSE),
IF(COUNTIF('R1_G4'!$A$25:$A$29,$A6)=1,VLOOKUP($A6,'R1_G4'!$A$25:$AB$29, 28,FALSE), "")))))</f>
        <v>0.74468085106382975</v>
      </c>
      <c r="F6" s="1040">
        <f ca="1">IF('ALL SCORES'!$AX$5="","",VLOOKUP($A6,'ALL SCORES'!$AC$5:$BE$20,29,FALSE)/18)</f>
        <v>0.51851851851851849</v>
      </c>
      <c r="G6" s="1014"/>
      <c r="H6" s="1037">
        <f ca="1">VLOOKUP($A6,'ALL SCORES'!$A$29:$AB$44,26,FALSE)</f>
        <v>78</v>
      </c>
      <c r="I6" s="1041">
        <f ca="1">IF('ALL SCORES'!$AX$29="","",
SUMIF('R2_G1'!$A$27:$A$31,$A6,'R2_G1'!$AA$27:$AA$31)+
SUMIF('R2_G2'!$A$27:$A$31,$A6,'R2_G2'!$AA$27:$AA$31)+
SUMIF('R2_G3'!$A$27:$A$31,$A6,'R2_G3'!$AA$27:$AA$31)+
SUMIF('R2_G4'!$A$27:$A$31,$A6,'R2_G4'!$AA$27:$AA$31))</f>
        <v>10.5</v>
      </c>
      <c r="J6" s="1041">
        <f ca="1">IF('ALL SCORES'!$AX$29="","",
SUMIF('R2_G1'!$A$27:$A$31,$A6,'R2_G1'!$AA$27:$AA$31)+
SUMIF('R2_G2'!$A$27:$A$31,$A6,'R2_G2'!$AA$27:$AA$31)+
SUMIF('R2_G3'!$A$27:$A$31,$A6,'R2_G3'!$AA$27:$AA$31)+
SUMIF('R2_G4'!$A$27:$A$31,$A6,'R2_G4'!$AA$27:$AA$31))</f>
        <v>10.5</v>
      </c>
      <c r="K6" s="1041">
        <f ca="1">IF('ALL SCORES'!$AX$29="","",
SUMIF('R2_G1'!$A$27:$A$31,$A6,'R2_G1'!$AB$27:$AB$31)+
SUMIF('R2_G2'!$A$27:$A$31,$A6,'R2_G2'!$AB$27:$AB$31)+
SUMIF('R2_G3'!$A$27:$A$31,$A6,'R2_G3'!$AB$27:$AB$31)+
SUMIF('R2_G4'!$A$27:$A$31,$A6,'R2_G4'!$AB$27:$AB$31))</f>
        <v>3</v>
      </c>
      <c r="L6" s="1040">
        <f ca="1">IF('ALL SCORES'!$AX$29="","",VLOOKUP($A6,'ALL SCORES'!$AC$29:$BE$44,29,FALSE)/18)</f>
        <v>0.47962962962962963</v>
      </c>
      <c r="M6" s="1014"/>
      <c r="N6" s="1041" t="e">
        <f ca="1">VLOOKUP($A6,'ALL SCORES'!$A$53:$AB$68,26,FALSE)</f>
        <v>#NAME?</v>
      </c>
      <c r="O6" s="1038" t="e">
        <f ca="1">IF('ALL SCORES'!$AX$53="","",
IF(COUNTIF('R3_G1'!$A$25:$A$29,$A6)=1,VLOOKUP($A6,'R3_G1'!$A$25:$AB$29, 27,FALSE),
IF(COUNTIF('R3_G2'!$A$25:$A$29,$A6)=1,VLOOKUP($A6,'R3_G2'!$A$25:$AB$29, 27,FALSE),
IF(COUNTIF('R3_G3'!$A$25:$A$29,$A6)=1,VLOOKUP($A6,'R3_G3'!$A$25:$AB$29, 27,FALSE),
IF(COUNTIF('R3_G4'!$A$25:$A$29,$A6)=1,VLOOKUP($A6,'R3_G4'!$A$25:$AB$29, 27,FALSE), "")))))</f>
        <v>#NAME?</v>
      </c>
      <c r="P6" s="1038" t="e">
        <f ca="1">IF('ALL SCORES'!$AX$53="","",
IF(COUNTIF('R3_G1'!$A$25:$A$29,$A6)=1,VLOOKUP($A6,'R3_G1'!$A$25:$AB$29, 27,FALSE),
IF(COUNTIF('R3_G2'!$A$25:$A$29,$A6)=1,VLOOKUP($A6,'R3_G2'!$A$25:$AB$29, 27,FALSE),
IF(COUNTIF('R3_G3'!$A$25:$A$29,$A6)=1,VLOOKUP($A6,'R3_G3'!$A$25:$AB$29, 27,FALSE),
IF(COUNTIF('R3_G4'!$A$25:$A$29,$A6)=1,VLOOKUP($A6,'R3_G4'!$A$25:$AB$29, 27,FALSE), "")))))</f>
        <v>#NAME?</v>
      </c>
      <c r="Q6" s="1039" t="e">
        <f ca="1">IF('ALL SCORES'!$AX$53="","",
IF(COUNTIF('R3_G1'!$A$25:$A$29,$A6)=1,VLOOKUP($A6,'R3_G1'!$A$25:$AB$29, 28,FALSE),
IF(COUNTIF('R3_G2'!$A$25:$A$29,$A6)=1,VLOOKUP($A6,'R3_G2'!$A$25:$AB$29, 28,FALSE),
IF(COUNTIF('R3_G3'!$A$25:$A$29,$A6)=1,VLOOKUP($A6,'R3_G3'!$A$25:$AB$29, 28,FALSE),
IF(COUNTIF('R3_G4'!$A$25:$A$29,$A6)=1,VLOOKUP($A6,'R3_G4'!$A$25:$AB$29, 28,FALSE), "")))))</f>
        <v>#NAME?</v>
      </c>
      <c r="R6" s="1042" t="e">
        <f ca="1">IF('ALL SCORES'!$AX$68="","",VLOOKUP($A6,'ALL SCORES'!$AC$53:$BE$68,29,FALSE)/18)</f>
        <v>#NAME?</v>
      </c>
      <c r="S6" s="1014"/>
      <c r="T6" s="1037">
        <f ca="1">VLOOKUP($A6,'ALL SCORES'!$A$77:$AA$92,26,FALSE)</f>
        <v>73</v>
      </c>
      <c r="U6" s="1038">
        <f ca="1">IF('ALL SCORES'!$AX$77="","",
IF(COUNTIF('R4_G1'!$A$25:$A$29,$A6)=1,VLOOKUP($A6,'R4_G1'!$A$25:$AB$29, 26,FALSE),
IF(COUNTIF('R4_G2'!$A$25:$A$29,$A6)=1,VLOOKUP($A6,'R4_G2'!$A$25:$AB$29, 26,FALSE),
IF(COUNTIF('R4_G3'!$A$25:$A$29,$A6)=1,VLOOKUP($A6,'R4_G3'!$A$25:$AB$29, 26,FALSE),
IF(COUNTIF('R4_G4'!$A$25:$A$29,$A6)=1,VLOOKUP($A6,'R4_G4'!$A$25:$AB$29, 26,FALSE), "")))))</f>
        <v>11.8</v>
      </c>
      <c r="V6" s="1038">
        <f ca="1">IF('ALL SCORES'!$AX$77="","",
IF(COUNTIF('R4_G1'!$A$25:$A$29,$A6)=1,VLOOKUP($A6,'R4_G1'!$A$25:$AB$29, 27,FALSE),
IF(COUNTIF('R4_G2'!$A$25:$A$29,$A6)=1,VLOOKUP($A6,'R4_G2'!$A$25:$AB$29, 27,FALSE),
IF(COUNTIF('R4_G3'!$A$25:$A$29,$A6)=1,VLOOKUP($A6,'R4_G3'!$A$25:$AB$29, 27,FALSE),
IF(COUNTIF('R4_G4'!$A$25:$A$29,$A6)=1,VLOOKUP($A6,'R4_G4'!$A$25:$AB$29, 27,FALSE), "")))))</f>
        <v>4.375</v>
      </c>
      <c r="W6" s="1038">
        <f ca="1">IF('ALL SCORES'!$AX$77="","",
IF(COUNTIF('R4_G1'!$A$25:$A$29,$A6)=1,VLOOKUP($A6,'R4_G1'!$A$25:$AB$29, 28,FALSE),
IF(COUNTIF('R4_G2'!$A$25:$A$29,$A6)=1,VLOOKUP($A6,'R4_G2'!$A$25:$AB$29, 28,FALSE),
IF(COUNTIF('R4_G3'!$A$25:$A$29,$A6)=1,VLOOKUP($A6,'R4_G3'!$A$25:$AB$29, 28,FALSE),
IF(COUNTIF('R4_G4'!$A$25:$A$29,$A6)=1,VLOOKUP($A6,'R4_G4'!$A$25:$AB$29, 28,FALSE), "")))))</f>
        <v>1.7208333333333334</v>
      </c>
      <c r="X6" s="1042">
        <f ca="1">IF('ALL SCORES'!$AX$77="","",VLOOKUP($A6,'ALL SCORES'!$AC$77:$BE$92,29,FALSE)/18)</f>
        <v>0.6148148148148147</v>
      </c>
      <c r="Y6" s="1014"/>
      <c r="Z6" s="1043" t="e">
        <f t="shared" ref="Z6:Z13" ca="1" si="1">AVERAGE(B6,H6,N6,T6)</f>
        <v>#NAME?</v>
      </c>
      <c r="AA6" s="1044" t="e">
        <f t="shared" ref="AA6:AA13" ca="1" si="2">SUM(D6,J6/2,P6,(U6/$U$25*144)/($U$25/$V$25))</f>
        <v>#NAME?</v>
      </c>
      <c r="AB6" s="1045" t="e">
        <f t="shared" ref="AB6:AB13" ca="1" si="3">SUM(E6,K6,Q6,W6)</f>
        <v>#NAME?</v>
      </c>
      <c r="AC6" s="1046" t="e">
        <f t="shared" ref="AC6:AC13" ca="1" si="4">AVERAGE(D6/9,J6/18,P6/9,(U6/$U$25*144)/($U$25/$V$25)/9)</f>
        <v>#NAME?</v>
      </c>
      <c r="AD6" s="1047" t="e">
        <f t="shared" ref="AD6:AD13" ca="1" si="5">AVERAGE(F6,L6,R6,X6)</f>
        <v>#NAME?</v>
      </c>
      <c r="AE6" s="1014"/>
      <c r="AF6" s="1048">
        <f t="shared" ref="AF6:AF13" ca="1" si="6">(($D6/9)+$F6)/2</f>
        <v>0.58333333333333326</v>
      </c>
      <c r="AG6" s="1048">
        <f t="shared" ref="AG6:AG13" ca="1" si="7">(($J6/18)+$L6)/2</f>
        <v>0.53148148148148144</v>
      </c>
      <c r="AH6" s="1049" t="e">
        <f t="shared" ref="AH6:AH13" ca="1" si="8">(($P6/9)+$R6)/2</f>
        <v>#NAME?</v>
      </c>
      <c r="AI6" s="1050">
        <f t="shared" ref="AI6:AI13" ca="1" si="9">IF(U6="","",
(((U6/$U$25*144)/($U$25/$V$25)/9)+$X6)/2
)</f>
        <v>0.63518518518518507</v>
      </c>
      <c r="AJ6" s="1051" t="e">
        <f t="shared" ref="AJ6:AJ13" ca="1" si="10">AVERAGE(AF6:AI6)</f>
        <v>#NAME?</v>
      </c>
      <c r="AK6" s="533"/>
      <c r="AL6" s="1052">
        <f t="shared" ref="AL6:AL13" ca="1" si="11">$B$25-$B6</f>
        <v>1.0625</v>
      </c>
      <c r="AM6" s="1052">
        <f t="shared" ref="AM6:AM13" ca="1" si="12">$H$25-$H6</f>
        <v>-1.125</v>
      </c>
      <c r="AN6" s="1053" t="e">
        <f t="shared" ref="AN6:AN13" ca="1" si="13">$N$25-$N6</f>
        <v>#NAME?</v>
      </c>
      <c r="AO6" s="1054">
        <f t="shared" ref="AO6:AO13" ca="1" si="14">$T$25-$T6</f>
        <v>7.125</v>
      </c>
      <c r="AP6" s="1055" t="e">
        <f t="shared" ref="AP6:AP13" ca="1" si="15">AVERAGE(AL6:AO6)</f>
        <v>#NAME?</v>
      </c>
      <c r="AQ6" s="1056" t="e">
        <f t="shared" ref="AQ6:AQ13" ca="1" si="16">SUM(AL6:AO6)</f>
        <v>#NAME?</v>
      </c>
      <c r="AR6" s="1038">
        <f>VLOOKUP(AS6,'Master Input'!$A$9:$M$27,'Master Input'!$M$28,FALSE)</f>
        <v>13.4</v>
      </c>
      <c r="AS6" s="1035" t="str">
        <f t="shared" si="0"/>
        <v>DK</v>
      </c>
    </row>
    <row r="7" spans="1:45" ht="12.75" customHeight="1">
      <c r="A7" s="1036" t="str">
        <f>'Master Input'!A15</f>
        <v>House</v>
      </c>
      <c r="B7" s="1037">
        <f ca="1">VLOOKUP($A7,'ALL SCORES'!$A$5:$AA$20,26,FALSE)</f>
        <v>73</v>
      </c>
      <c r="C7" s="1038">
        <f ca="1">IF('ALL SCORES'!$AX$5="","",
IF(COUNTIF('R1_G1'!$A$25:$A$29,$A7)=1,VLOOKUP($A7,'R1_G1'!$A$25:$AB$29, 26,FALSE),
IF(COUNTIF('R1_G2'!$A$25:$A$29,$A7)=1,VLOOKUP($A7,'R1_G2'!$A$25:$AB$29, 26,FALSE),
IF(COUNTIF('R1_G3'!$A$25:$A$29,$A7)=1,VLOOKUP($A7,'R1_G3'!$A$25:$AB$29, 26,FALSE),
IF(COUNTIF('R1_G4'!$A$25:$A$29,$A7)=1,VLOOKUP($A7,'R1_G4'!$A$25:$AB$29, 26,FALSE), "")))))</f>
        <v>6.583333333333333</v>
      </c>
      <c r="D7" s="1038">
        <f ca="1">IF('ALL SCORES'!$AX$5="","",
IF(COUNTIF('R1_G1'!$A$25:$A$29,$A7)=1,VLOOKUP($A7,'R1_G1'!$A$25:$AB$29, 27,FALSE),
IF(COUNTIF('R1_G2'!$A$25:$A$29,$A7)=1,VLOOKUP($A7,'R1_G2'!$A$25:$AB$29, 27,FALSE),
IF(COUNTIF('R1_G3'!$A$25:$A$29,$A7)=1,VLOOKUP($A7,'R1_G3'!$A$25:$AB$29, 27,FALSE),
IF(COUNTIF('R1_G4'!$A$25:$A$29,$A7)=1,VLOOKUP($A7,'R1_G4'!$A$25:$AB$29, 27,FALSE), "")))))</f>
        <v>6.5833333333333321</v>
      </c>
      <c r="E7" s="1039">
        <f ca="1">IF('ALL SCORES'!$AX$5="","",
IF(COUNTIF('R1_G1'!$A$25:$A$29,$A7)=1,VLOOKUP($A7,'R1_G1'!$A$25:$AB$29, 28,FALSE),
IF(COUNTIF('R1_G2'!$A$25:$A$29,$A7)=1,VLOOKUP($A7,'R1_G2'!$A$25:$AB$29, 28,FALSE),
IF(COUNTIF('R1_G3'!$A$25:$A$29,$A7)=1,VLOOKUP($A7,'R1_G3'!$A$25:$AB$29, 28,FALSE),
IF(COUNTIF('R1_G4'!$A$25:$A$29,$A7)=1,VLOOKUP($A7,'R1_G4'!$A$25:$AB$29, 28,FALSE), "")))))</f>
        <v>0.80612244897959173</v>
      </c>
      <c r="F7" s="1040">
        <f ca="1">IF('ALL SCORES'!$AX$5="","",VLOOKUP($A7,'ALL SCORES'!$AC$5:$BE$20,29,FALSE)/18)</f>
        <v>0.54074074074074086</v>
      </c>
      <c r="G7" s="1014"/>
      <c r="H7" s="1037">
        <f ca="1">VLOOKUP($A7,'ALL SCORES'!$A$29:$AB$44,26,FALSE)</f>
        <v>77</v>
      </c>
      <c r="I7" s="1041">
        <f ca="1">IF('ALL SCORES'!$AX$29="","",
SUMIF('R2_G1'!$A$27:$A$31,$A7,'R2_G1'!$AA$27:$AA$31)+
SUMIF('R2_G2'!$A$27:$A$31,$A7,'R2_G2'!$AA$27:$AA$31)+
SUMIF('R2_G3'!$A$27:$A$31,$A7,'R2_G3'!$AA$27:$AA$31)+
SUMIF('R2_G4'!$A$27:$A$31,$A7,'R2_G4'!$AA$27:$AA$31))</f>
        <v>11.5</v>
      </c>
      <c r="J7" s="1041">
        <f ca="1">IF('ALL SCORES'!$AX$29="","",
SUMIF('R2_G1'!$A$27:$A$31,$A7,'R2_G1'!$AA$27:$AA$31)+
SUMIF('R2_G2'!$A$27:$A$31,$A7,'R2_G2'!$AA$27:$AA$31)+
SUMIF('R2_G3'!$A$27:$A$31,$A7,'R2_G3'!$AA$27:$AA$31)+
SUMIF('R2_G4'!$A$27:$A$31,$A7,'R2_G4'!$AA$27:$AA$31))</f>
        <v>11.5</v>
      </c>
      <c r="K7" s="1041">
        <f ca="1">IF('ALL SCORES'!$AX$29="","",
SUMIF('R2_G1'!$A$27:$A$31,$A7,'R2_G1'!$AB$27:$AB$31)+
SUMIF('R2_G2'!$A$27:$A$31,$A7,'R2_G2'!$AB$27:$AB$31)+
SUMIF('R2_G3'!$A$27:$A$31,$A7,'R2_G3'!$AB$27:$AB$31)+
SUMIF('R2_G4'!$A$27:$A$31,$A7,'R2_G4'!$AB$27:$AB$31))</f>
        <v>3</v>
      </c>
      <c r="L7" s="1040">
        <f ca="1">IF('ALL SCORES'!$AX$29="","",VLOOKUP($A7,'ALL SCORES'!$AC$29:$BE$44,29,FALSE)/18)</f>
        <v>0.57037037037037031</v>
      </c>
      <c r="M7" s="1014"/>
      <c r="N7" s="1041" t="e">
        <f ca="1">VLOOKUP($A7,'ALL SCORES'!$A$53:$AB$68,26,FALSE)</f>
        <v>#NAME?</v>
      </c>
      <c r="O7" s="1038" t="e">
        <f ca="1">IF('ALL SCORES'!$AX$53="","",
IF(COUNTIF('R3_G1'!$A$25:$A$29,$A7)=1,VLOOKUP($A7,'R3_G1'!$A$25:$AB$29, 27,FALSE),
IF(COUNTIF('R3_G2'!$A$25:$A$29,$A7)=1,VLOOKUP($A7,'R3_G2'!$A$25:$AB$29, 27,FALSE),
IF(COUNTIF('R3_G3'!$A$25:$A$29,$A7)=1,VLOOKUP($A7,'R3_G3'!$A$25:$AB$29, 27,FALSE),
IF(COUNTIF('R3_G4'!$A$25:$A$29,$A7)=1,VLOOKUP($A7,'R3_G4'!$A$25:$AB$29, 27,FALSE), "")))))</f>
        <v>#NAME?</v>
      </c>
      <c r="P7" s="1038" t="e">
        <f ca="1">IF('ALL SCORES'!$AX$53="","",
IF(COUNTIF('R3_G1'!$A$25:$A$29,$A7)=1,VLOOKUP($A7,'R3_G1'!$A$25:$AB$29, 27,FALSE),
IF(COUNTIF('R3_G2'!$A$25:$A$29,$A7)=1,VLOOKUP($A7,'R3_G2'!$A$25:$AB$29, 27,FALSE),
IF(COUNTIF('R3_G3'!$A$25:$A$29,$A7)=1,VLOOKUP($A7,'R3_G3'!$A$25:$AB$29, 27,FALSE),
IF(COUNTIF('R3_G4'!$A$25:$A$29,$A7)=1,VLOOKUP($A7,'R3_G4'!$A$25:$AB$29, 27,FALSE), "")))))</f>
        <v>#NAME?</v>
      </c>
      <c r="Q7" s="1039" t="e">
        <f ca="1">IF('ALL SCORES'!$AX$53="","",
IF(COUNTIF('R3_G1'!$A$25:$A$29,$A7)=1,VLOOKUP($A7,'R3_G1'!$A$25:$AB$29, 28,FALSE),
IF(COUNTIF('R3_G2'!$A$25:$A$29,$A7)=1,VLOOKUP($A7,'R3_G2'!$A$25:$AB$29, 28,FALSE),
IF(COUNTIF('R3_G3'!$A$25:$A$29,$A7)=1,VLOOKUP($A7,'R3_G3'!$A$25:$AB$29, 28,FALSE),
IF(COUNTIF('R3_G4'!$A$25:$A$29,$A7)=1,VLOOKUP($A7,'R3_G4'!$A$25:$AB$29, 28,FALSE), "")))))</f>
        <v>#NAME?</v>
      </c>
      <c r="R7" s="1042" t="e">
        <f ca="1">IF('ALL SCORES'!$AX$68="","",VLOOKUP($A7,'ALL SCORES'!$AC$53:$BE$68,29,FALSE)/18)</f>
        <v>#NAME?</v>
      </c>
      <c r="S7" s="1014"/>
      <c r="T7" s="1037">
        <f ca="1">VLOOKUP($A7,'ALL SCORES'!$A$77:$AA$92,26,FALSE)</f>
        <v>83</v>
      </c>
      <c r="U7" s="1038">
        <f ca="1">IF('ALL SCORES'!$AX$77="","",
IF(COUNTIF('R4_G1'!$A$25:$A$29,$A7)=1,VLOOKUP($A7,'R4_G1'!$A$25:$AB$29, 26,FALSE),
IF(COUNTIF('R4_G2'!$A$25:$A$29,$A7)=1,VLOOKUP($A7,'R4_G2'!$A$25:$AB$29, 26,FALSE),
IF(COUNTIF('R4_G3'!$A$25:$A$29,$A7)=1,VLOOKUP($A7,'R4_G3'!$A$25:$AB$29, 26,FALSE),
IF(COUNTIF('R4_G4'!$A$25:$A$29,$A7)=1,VLOOKUP($A7,'R4_G4'!$A$25:$AB$29, 26,FALSE), "")))))</f>
        <v>9.7333333333333343</v>
      </c>
      <c r="V7" s="1038">
        <f ca="1">IF('ALL SCORES'!$AX$77="","",
IF(COUNTIF('R4_G1'!$A$25:$A$29,$A7)=1,VLOOKUP($A7,'R4_G1'!$A$25:$AB$29, 27,FALSE),
IF(COUNTIF('R4_G2'!$A$25:$A$29,$A7)=1,VLOOKUP($A7,'R4_G2'!$A$25:$AB$29, 27,FALSE),
IF(COUNTIF('R4_G3'!$A$25:$A$29,$A7)=1,VLOOKUP($A7,'R4_G3'!$A$25:$AB$29, 27,FALSE),
IF(COUNTIF('R4_G4'!$A$25:$A$29,$A7)=1,VLOOKUP($A7,'R4_G4'!$A$25:$AB$29, 27,FALSE), "")))))</f>
        <v>5.333333333333333</v>
      </c>
      <c r="W7" s="1038">
        <f ca="1">IF('ALL SCORES'!$AX$77="","",
IF(COUNTIF('R4_G1'!$A$25:$A$29,$A7)=1,VLOOKUP($A7,'R4_G1'!$A$25:$AB$29, 28,FALSE),
IF(COUNTIF('R4_G2'!$A$25:$A$29,$A7)=1,VLOOKUP($A7,'R4_G2'!$A$25:$AB$29, 28,FALSE),
IF(COUNTIF('R4_G3'!$A$25:$A$29,$A7)=1,VLOOKUP($A7,'R4_G3'!$A$25:$AB$29, 28,FALSE),
IF(COUNTIF('R4_G4'!$A$25:$A$29,$A7)=1,VLOOKUP($A7,'R4_G4'!$A$25:$AB$29, 28,FALSE), "")))))</f>
        <v>1.4194444444444445</v>
      </c>
      <c r="X7" s="1042">
        <f ca="1">IF('ALL SCORES'!$AX$77="","",VLOOKUP($A7,'ALL SCORES'!$AC$77:$BE$92,29,FALSE)/18)</f>
        <v>0.49074074074074087</v>
      </c>
      <c r="Y7" s="1014"/>
      <c r="Z7" s="1043" t="e">
        <f t="shared" ca="1" si="1"/>
        <v>#NAME?</v>
      </c>
      <c r="AA7" s="1044" t="e">
        <f t="shared" ca="1" si="2"/>
        <v>#NAME?</v>
      </c>
      <c r="AB7" s="1045" t="e">
        <f t="shared" ca="1" si="3"/>
        <v>#NAME?</v>
      </c>
      <c r="AC7" s="1046" t="e">
        <f t="shared" ca="1" si="4"/>
        <v>#NAME?</v>
      </c>
      <c r="AD7" s="1047" t="e">
        <f t="shared" ca="1" si="5"/>
        <v>#NAME?</v>
      </c>
      <c r="AE7" s="1014"/>
      <c r="AF7" s="1048">
        <f t="shared" ca="1" si="6"/>
        <v>0.63611111111111107</v>
      </c>
      <c r="AG7" s="1048">
        <f t="shared" ca="1" si="7"/>
        <v>0.60462962962962963</v>
      </c>
      <c r="AH7" s="1049" t="e">
        <f t="shared" ca="1" si="8"/>
        <v>#NAME?</v>
      </c>
      <c r="AI7" s="1057">
        <f t="shared" ca="1" si="9"/>
        <v>0.51574074074074083</v>
      </c>
      <c r="AJ7" s="1051" t="e">
        <f t="shared" ca="1" si="10"/>
        <v>#NAME?</v>
      </c>
      <c r="AK7" s="533"/>
      <c r="AL7" s="1058">
        <f t="shared" ca="1" si="11"/>
        <v>4.0625</v>
      </c>
      <c r="AM7" s="1058">
        <f t="shared" ca="1" si="12"/>
        <v>-0.125</v>
      </c>
      <c r="AN7" s="1059" t="e">
        <f t="shared" ca="1" si="13"/>
        <v>#NAME?</v>
      </c>
      <c r="AO7" s="1060">
        <f t="shared" ca="1" si="14"/>
        <v>-2.875</v>
      </c>
      <c r="AP7" s="1055" t="e">
        <f t="shared" ca="1" si="15"/>
        <v>#NAME?</v>
      </c>
      <c r="AQ7" s="1056" t="e">
        <f t="shared" ca="1" si="16"/>
        <v>#NAME?</v>
      </c>
      <c r="AR7" s="1038">
        <f>VLOOKUP(AS7,'Master Input'!$A$9:$M$27,'Master Input'!$M$28,FALSE)</f>
        <v>8.8000000000000007</v>
      </c>
      <c r="AS7" s="1035" t="str">
        <f t="shared" si="0"/>
        <v>House</v>
      </c>
    </row>
    <row r="8" spans="1:45" ht="12.75" customHeight="1">
      <c r="A8" s="1036" t="str">
        <f>'Master Input'!A18</f>
        <v>Saugy</v>
      </c>
      <c r="B8" s="1037">
        <f ca="1">VLOOKUP($A8,'ALL SCORES'!$A$5:$AA$20,26,FALSE)</f>
        <v>81</v>
      </c>
      <c r="C8" s="1038">
        <f ca="1">IF('ALL SCORES'!$AX$5="","",
IF(COUNTIF('R1_G1'!$A$25:$A$29,$A8)=1,VLOOKUP($A8,'R1_G1'!$A$25:$AB$29, 26,FALSE),
IF(COUNTIF('R1_G2'!$A$25:$A$29,$A8)=1,VLOOKUP($A8,'R1_G2'!$A$25:$AB$29, 26,FALSE),
IF(COUNTIF('R1_G3'!$A$25:$A$29,$A8)=1,VLOOKUP($A8,'R1_G3'!$A$25:$AB$29, 26,FALSE),
IF(COUNTIF('R1_G4'!$A$25:$A$29,$A8)=1,VLOOKUP($A8,'R1_G4'!$A$25:$AB$29, 26,FALSE), "")))))</f>
        <v>5.75</v>
      </c>
      <c r="D8" s="1038">
        <f ca="1">IF('ALL SCORES'!$AX$5="","",
IF(COUNTIF('R1_G1'!$A$25:$A$29,$A8)=1,VLOOKUP($A8,'R1_G1'!$A$25:$AB$29, 27,FALSE),
IF(COUNTIF('R1_G2'!$A$25:$A$29,$A8)=1,VLOOKUP($A8,'R1_G2'!$A$25:$AB$29, 27,FALSE),
IF(COUNTIF('R1_G3'!$A$25:$A$29,$A8)=1,VLOOKUP($A8,'R1_G3'!$A$25:$AB$29, 27,FALSE),
IF(COUNTIF('R1_G4'!$A$25:$A$29,$A8)=1,VLOOKUP($A8,'R1_G4'!$A$25:$AB$29, 27,FALSE), "")))))</f>
        <v>5.75</v>
      </c>
      <c r="E8" s="1039">
        <f ca="1">IF('ALL SCORES'!$AX$5="","",
IF(COUNTIF('R1_G1'!$A$25:$A$29,$A8)=1,VLOOKUP($A8,'R1_G1'!$A$25:$AB$29, 28,FALSE),
IF(COUNTIF('R1_G2'!$A$25:$A$29,$A8)=1,VLOOKUP($A8,'R1_G2'!$A$25:$AB$29, 28,FALSE),
IF(COUNTIF('R1_G3'!$A$25:$A$29,$A8)=1,VLOOKUP($A8,'R1_G3'!$A$25:$AB$29, 28,FALSE),
IF(COUNTIF('R1_G4'!$A$25:$A$29,$A8)=1,VLOOKUP($A8,'R1_G4'!$A$25:$AB$29, 28,FALSE), "")))))</f>
        <v>1.8157894736842106</v>
      </c>
      <c r="F8" s="1040">
        <f ca="1">IF('ALL SCORES'!$AX$5="","",VLOOKUP($A8,'ALL SCORES'!$AC$5:$BE$20,29,FALSE)/18)</f>
        <v>0.51296296296296273</v>
      </c>
      <c r="G8" s="1014"/>
      <c r="H8" s="1037">
        <f ca="1">VLOOKUP($A8,'ALL SCORES'!$A$29:$AB$44,26,FALSE)</f>
        <v>78</v>
      </c>
      <c r="I8" s="1041">
        <f ca="1">IF('ALL SCORES'!$AX$29="","",
SUMIF('R2_G1'!$A$27:$A$31,$A8,'R2_G1'!$AA$27:$AA$31)+
SUMIF('R2_G2'!$A$27:$A$31,$A8,'R2_G2'!$AA$27:$AA$31)+
SUMIF('R2_G3'!$A$27:$A$31,$A8,'R2_G3'!$AA$27:$AA$31)+
SUMIF('R2_G4'!$A$27:$A$31,$A8,'R2_G4'!$AA$27:$AA$31))</f>
        <v>9</v>
      </c>
      <c r="J8" s="1041">
        <f ca="1">IF('ALL SCORES'!$AX$29="","",
SUMIF('R2_G1'!$A$27:$A$31,$A8,'R2_G1'!$AA$27:$AA$31)+
SUMIF('R2_G2'!$A$27:$A$31,$A8,'R2_G2'!$AA$27:$AA$31)+
SUMIF('R2_G3'!$A$27:$A$31,$A8,'R2_G3'!$AA$27:$AA$31)+
SUMIF('R2_G4'!$A$27:$A$31,$A8,'R2_G4'!$AA$27:$AA$31))</f>
        <v>9</v>
      </c>
      <c r="K8" s="1041">
        <f ca="1">IF('ALL SCORES'!$AX$29="","",
SUMIF('R2_G1'!$A$27:$A$31,$A8,'R2_G1'!$AB$27:$AB$31)+
SUMIF('R2_G2'!$A$27:$A$31,$A8,'R2_G2'!$AB$27:$AB$31)+
SUMIF('R2_G3'!$A$27:$A$31,$A8,'R2_G3'!$AB$27:$AB$31)+
SUMIF('R2_G4'!$A$27:$A$31,$A8,'R2_G4'!$AB$27:$AB$31))</f>
        <v>1.5</v>
      </c>
      <c r="L8" s="1040">
        <f ca="1">IF('ALL SCORES'!$AX$29="","",VLOOKUP($A8,'ALL SCORES'!$AC$29:$BE$44,29,FALSE)/18)</f>
        <v>0.46111111111111103</v>
      </c>
      <c r="M8" s="1014"/>
      <c r="N8" s="1041" t="e">
        <f ca="1">VLOOKUP($A8,'ALL SCORES'!$A$53:$AB$68,26,FALSE)</f>
        <v>#NAME?</v>
      </c>
      <c r="O8" s="1038" t="e">
        <f ca="1">IF('ALL SCORES'!$AX$53="","",
IF(COUNTIF('R3_G1'!$A$25:$A$29,$A8)=1,VLOOKUP($A8,'R3_G1'!$A$25:$AB$29, 27,FALSE),
IF(COUNTIF('R3_G2'!$A$25:$A$29,$A8)=1,VLOOKUP($A8,'R3_G2'!$A$25:$AB$29, 27,FALSE),
IF(COUNTIF('R3_G3'!$A$25:$A$29,$A8)=1,VLOOKUP($A8,'R3_G3'!$A$25:$AB$29, 27,FALSE),
IF(COUNTIF('R3_G4'!$A$25:$A$29,$A8)=1,VLOOKUP($A8,'R3_G4'!$A$25:$AB$29, 27,FALSE), "")))))</f>
        <v>#NAME?</v>
      </c>
      <c r="P8" s="1038" t="e">
        <f ca="1">IF('ALL SCORES'!$AX$53="","",
IF(COUNTIF('R3_G1'!$A$25:$A$29,$A8)=1,VLOOKUP($A8,'R3_G1'!$A$25:$AB$29, 27,FALSE),
IF(COUNTIF('R3_G2'!$A$25:$A$29,$A8)=1,VLOOKUP($A8,'R3_G2'!$A$25:$AB$29, 27,FALSE),
IF(COUNTIF('R3_G3'!$A$25:$A$29,$A8)=1,VLOOKUP($A8,'R3_G3'!$A$25:$AB$29, 27,FALSE),
IF(COUNTIF('R3_G4'!$A$25:$A$29,$A8)=1,VLOOKUP($A8,'R3_G4'!$A$25:$AB$29, 27,FALSE), "")))))</f>
        <v>#NAME?</v>
      </c>
      <c r="Q8" s="1039" t="e">
        <f ca="1">IF('ALL SCORES'!$AX$53="","",
IF(COUNTIF('R3_G1'!$A$25:$A$29,$A8)=1,VLOOKUP($A8,'R3_G1'!$A$25:$AB$29, 28,FALSE),
IF(COUNTIF('R3_G2'!$A$25:$A$29,$A8)=1,VLOOKUP($A8,'R3_G2'!$A$25:$AB$29, 28,FALSE),
IF(COUNTIF('R3_G3'!$A$25:$A$29,$A8)=1,VLOOKUP($A8,'R3_G3'!$A$25:$AB$29, 28,FALSE),
IF(COUNTIF('R3_G4'!$A$25:$A$29,$A8)=1,VLOOKUP($A8,'R3_G4'!$A$25:$AB$29, 28,FALSE), "")))))</f>
        <v>#NAME?</v>
      </c>
      <c r="R8" s="1042" t="e">
        <f ca="1">IF('ALL SCORES'!$AX$68="","",VLOOKUP($A8,'ALL SCORES'!$AC$53:$BE$68,29,FALSE)/18)</f>
        <v>#NAME?</v>
      </c>
      <c r="S8" s="1014"/>
      <c r="T8" s="1037">
        <f ca="1">VLOOKUP($A8,'ALL SCORES'!$A$77:$AA$92,26,FALSE)</f>
        <v>79</v>
      </c>
      <c r="U8" s="1038">
        <f ca="1">IF('ALL SCORES'!$AX$77="","",
IF(COUNTIF('R4_G1'!$A$25:$A$29,$A8)=1,VLOOKUP($A8,'R4_G1'!$A$25:$AB$29, 26,FALSE),
IF(COUNTIF('R4_G2'!$A$25:$A$29,$A8)=1,VLOOKUP($A8,'R4_G2'!$A$25:$AB$29, 26,FALSE),
IF(COUNTIF('R4_G3'!$A$25:$A$29,$A8)=1,VLOOKUP($A8,'R4_G3'!$A$25:$AB$29, 26,FALSE),
IF(COUNTIF('R4_G4'!$A$25:$A$29,$A8)=1,VLOOKUP($A8,'R4_G4'!$A$25:$AB$29, 26,FALSE), "")))))</f>
        <v>9.4833333333333343</v>
      </c>
      <c r="V8" s="1038">
        <f ca="1">IF('ALL SCORES'!$AX$77="","",
IF(COUNTIF('R4_G1'!$A$25:$A$29,$A8)=1,VLOOKUP($A8,'R4_G1'!$A$25:$AB$29, 27,FALSE),
IF(COUNTIF('R4_G2'!$A$25:$A$29,$A8)=1,VLOOKUP($A8,'R4_G2'!$A$25:$AB$29, 27,FALSE),
IF(COUNTIF('R4_G3'!$A$25:$A$29,$A8)=1,VLOOKUP($A8,'R4_G3'!$A$25:$AB$29, 27,FALSE),
IF(COUNTIF('R4_G4'!$A$25:$A$29,$A8)=1,VLOOKUP($A8,'R4_G4'!$A$25:$AB$29, 27,FALSE), "")))))</f>
        <v>5.958333333333333</v>
      </c>
      <c r="W8" s="1038">
        <f ca="1">IF('ALL SCORES'!$AX$77="","",
IF(COUNTIF('R4_G1'!$A$25:$A$29,$A8)=1,VLOOKUP($A8,'R4_G1'!$A$25:$AB$29, 28,FALSE),
IF(COUNTIF('R4_G2'!$A$25:$A$29,$A8)=1,VLOOKUP($A8,'R4_G2'!$A$25:$AB$29, 28,FALSE),
IF(COUNTIF('R4_G3'!$A$25:$A$29,$A8)=1,VLOOKUP($A8,'R4_G3'!$A$25:$AB$29, 28,FALSE),
IF(COUNTIF('R4_G4'!$A$25:$A$29,$A8)=1,VLOOKUP($A8,'R4_G4'!$A$25:$AB$29, 28,FALSE), "")))))</f>
        <v>1.3829861111111112</v>
      </c>
      <c r="X8" s="1042">
        <f ca="1">IF('ALL SCORES'!$AX$77="","",VLOOKUP($A8,'ALL SCORES'!$AC$77:$BE$92,29,FALSE)/18)</f>
        <v>0.51481481481481473</v>
      </c>
      <c r="Y8" s="1014"/>
      <c r="Z8" s="1043" t="e">
        <f t="shared" ca="1" si="1"/>
        <v>#NAME?</v>
      </c>
      <c r="AA8" s="1044" t="e">
        <f t="shared" ca="1" si="2"/>
        <v>#NAME?</v>
      </c>
      <c r="AB8" s="1045" t="e">
        <f t="shared" ca="1" si="3"/>
        <v>#NAME?</v>
      </c>
      <c r="AC8" s="1046" t="e">
        <f t="shared" ca="1" si="4"/>
        <v>#NAME?</v>
      </c>
      <c r="AD8" s="1047" t="e">
        <f t="shared" ca="1" si="5"/>
        <v>#NAME?</v>
      </c>
      <c r="AE8" s="1014"/>
      <c r="AF8" s="1048">
        <f t="shared" ca="1" si="6"/>
        <v>0.57592592592592573</v>
      </c>
      <c r="AG8" s="1048">
        <f t="shared" ca="1" si="7"/>
        <v>0.48055555555555551</v>
      </c>
      <c r="AH8" s="1049" t="e">
        <f t="shared" ca="1" si="8"/>
        <v>#NAME?</v>
      </c>
      <c r="AI8" s="1057">
        <f t="shared" ca="1" si="9"/>
        <v>0.52083333333333326</v>
      </c>
      <c r="AJ8" s="1051" t="e">
        <f t="shared" ca="1" si="10"/>
        <v>#NAME?</v>
      </c>
      <c r="AK8" s="533"/>
      <c r="AL8" s="1058">
        <f t="shared" ca="1" si="11"/>
        <v>-3.9375</v>
      </c>
      <c r="AM8" s="1058">
        <f t="shared" ca="1" si="12"/>
        <v>-1.125</v>
      </c>
      <c r="AN8" s="1059" t="e">
        <f t="shared" ca="1" si="13"/>
        <v>#NAME?</v>
      </c>
      <c r="AO8" s="1060">
        <f t="shared" ca="1" si="14"/>
        <v>1.125</v>
      </c>
      <c r="AP8" s="1055" t="e">
        <f t="shared" ca="1" si="15"/>
        <v>#NAME?</v>
      </c>
      <c r="AQ8" s="1056" t="e">
        <f t="shared" ca="1" si="16"/>
        <v>#NAME?</v>
      </c>
      <c r="AR8" s="1038">
        <f>VLOOKUP(AS8,'Master Input'!$A$9:$M$27,'Master Input'!$M$28,FALSE)</f>
        <v>29</v>
      </c>
      <c r="AS8" s="1035" t="str">
        <f t="shared" si="0"/>
        <v>Saugy</v>
      </c>
    </row>
    <row r="9" spans="1:45" ht="12.75" customHeight="1">
      <c r="A9" s="1036" t="str">
        <f>'Master Input'!A16</f>
        <v>TJSC</v>
      </c>
      <c r="B9" s="1037">
        <f ca="1">VLOOKUP($A9,'ALL SCORES'!$A$5:$AA$20,26,FALSE)</f>
        <v>67</v>
      </c>
      <c r="C9" s="1038">
        <f ca="1">IF('ALL SCORES'!$AX$5="","",
IF(COUNTIF('R1_G1'!$A$25:$A$29,$A9)=1,VLOOKUP($A9,'R1_G1'!$A$25:$AB$29, 26,FALSE),
IF(COUNTIF('R1_G2'!$A$25:$A$29,$A9)=1,VLOOKUP($A9,'R1_G2'!$A$25:$AB$29, 26,FALSE),
IF(COUNTIF('R1_G3'!$A$25:$A$29,$A9)=1,VLOOKUP($A9,'R1_G3'!$A$25:$AB$29, 26,FALSE),
IF(COUNTIF('R1_G4'!$A$25:$A$29,$A9)=1,VLOOKUP($A9,'R1_G4'!$A$25:$AB$29, 26,FALSE), "")))))</f>
        <v>6.833333333333333</v>
      </c>
      <c r="D9" s="1038">
        <f ca="1">IF('ALL SCORES'!$AX$5="","",
IF(COUNTIF('R1_G1'!$A$25:$A$29,$A9)=1,VLOOKUP($A9,'R1_G1'!$A$25:$AB$29, 27,FALSE),
IF(COUNTIF('R1_G2'!$A$25:$A$29,$A9)=1,VLOOKUP($A9,'R1_G2'!$A$25:$AB$29, 27,FALSE),
IF(COUNTIF('R1_G3'!$A$25:$A$29,$A9)=1,VLOOKUP($A9,'R1_G3'!$A$25:$AB$29, 27,FALSE),
IF(COUNTIF('R1_G4'!$A$25:$A$29,$A9)=1,VLOOKUP($A9,'R1_G4'!$A$25:$AB$29, 27,FALSE), "")))))</f>
        <v>6.833333333333333</v>
      </c>
      <c r="E9" s="1039">
        <f ca="1">IF('ALL SCORES'!$AX$5="","",
IF(COUNTIF('R1_G1'!$A$25:$A$29,$A9)=1,VLOOKUP($A9,'R1_G1'!$A$25:$AB$29, 28,FALSE),
IF(COUNTIF('R1_G2'!$A$25:$A$29,$A9)=1,VLOOKUP($A9,'R1_G2'!$A$25:$AB$29, 28,FALSE),
IF(COUNTIF('R1_G3'!$A$25:$A$29,$A9)=1,VLOOKUP($A9,'R1_G3'!$A$25:$AB$29, 28,FALSE),
IF(COUNTIF('R1_G4'!$A$25:$A$29,$A9)=1,VLOOKUP($A9,'R1_G4'!$A$25:$AB$29, 28,FALSE), "")))))</f>
        <v>1.8636363636363635</v>
      </c>
      <c r="F9" s="1040">
        <f ca="1">IF('ALL SCORES'!$AX$5="","",VLOOKUP($A9,'ALL SCORES'!$AC$5:$BE$20,29,FALSE)/18)</f>
        <v>0.65740740740740722</v>
      </c>
      <c r="G9" s="1014"/>
      <c r="H9" s="1037">
        <f ca="1">VLOOKUP($A9,'ALL SCORES'!$A$29:$AB$44,26,FALSE)</f>
        <v>80</v>
      </c>
      <c r="I9" s="1041">
        <f ca="1">IF('ALL SCORES'!$AX$29="","",
SUMIF('R2_G1'!$A$27:$A$31,$A9,'R2_G1'!$AA$27:$AA$31)+
SUMIF('R2_G2'!$A$27:$A$31,$A9,'R2_G2'!$AA$27:$AA$31)+
SUMIF('R2_G3'!$A$27:$A$31,$A9,'R2_G3'!$AA$27:$AA$31)+
SUMIF('R2_G4'!$A$27:$A$31,$A9,'R2_G4'!$AA$27:$AA$31))</f>
        <v>7</v>
      </c>
      <c r="J9" s="1041">
        <f ca="1">IF('ALL SCORES'!$AX$29="","",
SUMIF('R2_G1'!$A$27:$A$31,$A9,'R2_G1'!$AA$27:$AA$31)+
SUMIF('R2_G2'!$A$27:$A$31,$A9,'R2_G2'!$AA$27:$AA$31)+
SUMIF('R2_G3'!$A$27:$A$31,$A9,'R2_G3'!$AA$27:$AA$31)+
SUMIF('R2_G4'!$A$27:$A$31,$A9,'R2_G4'!$AA$27:$AA$31))</f>
        <v>7</v>
      </c>
      <c r="K9" s="1041">
        <f ca="1">IF('ALL SCORES'!$AX$29="","",
SUMIF('R2_G1'!$A$27:$A$31,$A9,'R2_G1'!$AB$27:$AB$31)+
SUMIF('R2_G2'!$A$27:$A$31,$A9,'R2_G2'!$AB$27:$AB$31)+
SUMIF('R2_G3'!$A$27:$A$31,$A9,'R2_G3'!$AB$27:$AB$31)+
SUMIF('R2_G4'!$A$27:$A$31,$A9,'R2_G4'!$AB$27:$AB$31))</f>
        <v>0</v>
      </c>
      <c r="L9" s="1040">
        <f ca="1">IF('ALL SCORES'!$AX$29="","",VLOOKUP($A9,'ALL SCORES'!$AC$29:$BE$44,29,FALSE)/18)</f>
        <v>0.44999999999999996</v>
      </c>
      <c r="M9" s="1014"/>
      <c r="N9" s="1041" t="e">
        <f ca="1">VLOOKUP($A9,'ALL SCORES'!$A$53:$AB$68,26,FALSE)</f>
        <v>#NAME?</v>
      </c>
      <c r="O9" s="1038" t="e">
        <f ca="1">IF('ALL SCORES'!$AX$53="","",
IF(COUNTIF('R3_G1'!$A$25:$A$29,$A9)=1,VLOOKUP($A9,'R3_G1'!$A$25:$AB$29, 27,FALSE),
IF(COUNTIF('R3_G2'!$A$25:$A$29,$A9)=1,VLOOKUP($A9,'R3_G2'!$A$25:$AB$29, 27,FALSE),
IF(COUNTIF('R3_G3'!$A$25:$A$29,$A9)=1,VLOOKUP($A9,'R3_G3'!$A$25:$AB$29, 27,FALSE),
IF(COUNTIF('R3_G4'!$A$25:$A$29,$A9)=1,VLOOKUP($A9,'R3_G4'!$A$25:$AB$29, 27,FALSE), "")))))</f>
        <v>#NAME?</v>
      </c>
      <c r="P9" s="1038" t="e">
        <f ca="1">IF('ALL SCORES'!$AX$53="","",
IF(COUNTIF('R3_G1'!$A$25:$A$29,$A9)=1,VLOOKUP($A9,'R3_G1'!$A$25:$AB$29, 27,FALSE),
IF(COUNTIF('R3_G2'!$A$25:$A$29,$A9)=1,VLOOKUP($A9,'R3_G2'!$A$25:$AB$29, 27,FALSE),
IF(COUNTIF('R3_G3'!$A$25:$A$29,$A9)=1,VLOOKUP($A9,'R3_G3'!$A$25:$AB$29, 27,FALSE),
IF(COUNTIF('R3_G4'!$A$25:$A$29,$A9)=1,VLOOKUP($A9,'R3_G4'!$A$25:$AB$29, 27,FALSE), "")))))</f>
        <v>#NAME?</v>
      </c>
      <c r="Q9" s="1039" t="e">
        <f ca="1">IF('ALL SCORES'!$AX$53="","",
IF(COUNTIF('R3_G1'!$A$25:$A$29,$A9)=1,VLOOKUP($A9,'R3_G1'!$A$25:$AB$29, 28,FALSE),
IF(COUNTIF('R3_G2'!$A$25:$A$29,$A9)=1,VLOOKUP($A9,'R3_G2'!$A$25:$AB$29, 28,FALSE),
IF(COUNTIF('R3_G3'!$A$25:$A$29,$A9)=1,VLOOKUP($A9,'R3_G3'!$A$25:$AB$29, 28,FALSE),
IF(COUNTIF('R3_G4'!$A$25:$A$29,$A9)=1,VLOOKUP($A9,'R3_G4'!$A$25:$AB$29, 28,FALSE), "")))))</f>
        <v>#NAME?</v>
      </c>
      <c r="R9" s="1042" t="e">
        <f ca="1">IF('ALL SCORES'!$AX$68="","",VLOOKUP($A9,'ALL SCORES'!$AC$53:$BE$68,29,FALSE)/18)</f>
        <v>#NAME?</v>
      </c>
      <c r="S9" s="1014"/>
      <c r="T9" s="1037">
        <f ca="1">VLOOKUP($A9,'ALL SCORES'!$A$77:$AA$92,26,FALSE)</f>
        <v>82</v>
      </c>
      <c r="U9" s="1038">
        <f ca="1">IF('ALL SCORES'!$AX$77="","",
IF(COUNTIF('R4_G1'!$A$25:$A$29,$A9)=1,VLOOKUP($A9,'R4_G1'!$A$25:$AB$29, 26,FALSE),
IF(COUNTIF('R4_G2'!$A$25:$A$29,$A9)=1,VLOOKUP($A9,'R4_G2'!$A$25:$AB$29, 26,FALSE),
IF(COUNTIF('R4_G3'!$A$25:$A$29,$A9)=1,VLOOKUP($A9,'R4_G3'!$A$25:$AB$29, 26,FALSE),
IF(COUNTIF('R4_G4'!$A$25:$A$29,$A9)=1,VLOOKUP($A9,'R4_G4'!$A$25:$AB$29, 26,FALSE), "")))))</f>
        <v>7.5666666666666673</v>
      </c>
      <c r="V9" s="1038">
        <f ca="1">IF('ALL SCORES'!$AX$77="","",
IF(COUNTIF('R4_G1'!$A$25:$A$29,$A9)=1,VLOOKUP($A9,'R4_G1'!$A$25:$AB$29, 27,FALSE),
IF(COUNTIF('R4_G2'!$A$25:$A$29,$A9)=1,VLOOKUP($A9,'R4_G2'!$A$25:$AB$29, 27,FALSE),
IF(COUNTIF('R4_G3'!$A$25:$A$29,$A9)=1,VLOOKUP($A9,'R4_G3'!$A$25:$AB$29, 27,FALSE),
IF(COUNTIF('R4_G4'!$A$25:$A$29,$A9)=1,VLOOKUP($A9,'R4_G4'!$A$25:$AB$29, 27,FALSE), "")))))</f>
        <v>2.1666666666666665</v>
      </c>
      <c r="W9" s="1038">
        <f ca="1">IF('ALL SCORES'!$AX$77="","",
IF(COUNTIF('R4_G1'!$A$25:$A$29,$A9)=1,VLOOKUP($A9,'R4_G1'!$A$25:$AB$29, 28,FALSE),
IF(COUNTIF('R4_G2'!$A$25:$A$29,$A9)=1,VLOOKUP($A9,'R4_G2'!$A$25:$AB$29, 28,FALSE),
IF(COUNTIF('R4_G3'!$A$25:$A$29,$A9)=1,VLOOKUP($A9,'R4_G3'!$A$25:$AB$29, 28,FALSE),
IF(COUNTIF('R4_G4'!$A$25:$A$29,$A9)=1,VLOOKUP($A9,'R4_G4'!$A$25:$AB$29, 28,FALSE), "")))))</f>
        <v>1.1034722222222222</v>
      </c>
      <c r="X9" s="1042">
        <f ca="1">IF('ALL SCORES'!$AX$77="","",VLOOKUP($A9,'ALL SCORES'!$AC$77:$BE$92,29,FALSE)/18)</f>
        <v>0.44259259259259265</v>
      </c>
      <c r="Y9" s="1014"/>
      <c r="Z9" s="1043" t="e">
        <f t="shared" ca="1" si="1"/>
        <v>#NAME?</v>
      </c>
      <c r="AA9" s="1044" t="e">
        <f t="shared" ca="1" si="2"/>
        <v>#NAME?</v>
      </c>
      <c r="AB9" s="1045" t="e">
        <f t="shared" ca="1" si="3"/>
        <v>#NAME?</v>
      </c>
      <c r="AC9" s="1046" t="e">
        <f t="shared" ca="1" si="4"/>
        <v>#NAME?</v>
      </c>
      <c r="AD9" s="1047" t="e">
        <f t="shared" ca="1" si="5"/>
        <v>#NAME?</v>
      </c>
      <c r="AE9" s="1014"/>
      <c r="AF9" s="1048">
        <f t="shared" ca="1" si="6"/>
        <v>0.70833333333333326</v>
      </c>
      <c r="AG9" s="1048">
        <f t="shared" ca="1" si="7"/>
        <v>0.4194444444444444</v>
      </c>
      <c r="AH9" s="1049" t="e">
        <f t="shared" ca="1" si="8"/>
        <v>#NAME?</v>
      </c>
      <c r="AI9" s="1057">
        <f t="shared" ca="1" si="9"/>
        <v>0.43148148148148147</v>
      </c>
      <c r="AJ9" s="1051" t="e">
        <f t="shared" ca="1" si="10"/>
        <v>#NAME?</v>
      </c>
      <c r="AK9" s="533"/>
      <c r="AL9" s="1058">
        <f t="shared" ca="1" si="11"/>
        <v>10.0625</v>
      </c>
      <c r="AM9" s="1058">
        <f t="shared" ca="1" si="12"/>
        <v>-3.125</v>
      </c>
      <c r="AN9" s="1059" t="e">
        <f t="shared" ca="1" si="13"/>
        <v>#NAME?</v>
      </c>
      <c r="AO9" s="1060">
        <f t="shared" ca="1" si="14"/>
        <v>-1.875</v>
      </c>
      <c r="AP9" s="1055" t="e">
        <f t="shared" ca="1" si="15"/>
        <v>#NAME?</v>
      </c>
      <c r="AQ9" s="1056" t="e">
        <f t="shared" ca="1" si="16"/>
        <v>#NAME?</v>
      </c>
      <c r="AR9" s="1038">
        <f>VLOOKUP(AS9,'Master Input'!$A$9:$M$27,'Master Input'!$M$28,FALSE)</f>
        <v>12.125</v>
      </c>
      <c r="AS9" s="1035" t="str">
        <f t="shared" si="0"/>
        <v>TJSC</v>
      </c>
    </row>
    <row r="10" spans="1:45" ht="12.75" customHeight="1">
      <c r="A10" s="1036" t="str">
        <f>'Master Input'!A11</f>
        <v>Telly</v>
      </c>
      <c r="B10" s="1037">
        <f ca="1">VLOOKUP($A10,'ALL SCORES'!$A$5:$AA$20,26,FALSE)</f>
        <v>79</v>
      </c>
      <c r="C10" s="1038">
        <f ca="1">IF('ALL SCORES'!$AX$5="","",
IF(COUNTIF('R1_G1'!$A$25:$A$29,$A10)=1,VLOOKUP($A10,'R1_G1'!$A$25:$AB$29, 26,FALSE),
IF(COUNTIF('R1_G2'!$A$25:$A$29,$A10)=1,VLOOKUP($A10,'R1_G2'!$A$25:$AB$29, 26,FALSE),
IF(COUNTIF('R1_G3'!$A$25:$A$29,$A10)=1,VLOOKUP($A10,'R1_G3'!$A$25:$AB$29, 26,FALSE),
IF(COUNTIF('R1_G4'!$A$25:$A$29,$A10)=1,VLOOKUP($A10,'R1_G4'!$A$25:$AB$29, 26,FALSE), "")))))</f>
        <v>2</v>
      </c>
      <c r="D10" s="1038">
        <f ca="1">IF('ALL SCORES'!$AX$5="","",
IF(COUNTIF('R1_G1'!$A$25:$A$29,$A10)=1,VLOOKUP($A10,'R1_G1'!$A$25:$AB$29, 27,FALSE),
IF(COUNTIF('R1_G2'!$A$25:$A$29,$A10)=1,VLOOKUP($A10,'R1_G2'!$A$25:$AB$29, 27,FALSE),
IF(COUNTIF('R1_G3'!$A$25:$A$29,$A10)=1,VLOOKUP($A10,'R1_G3'!$A$25:$AB$29, 27,FALSE),
IF(COUNTIF('R1_G4'!$A$25:$A$29,$A10)=1,VLOOKUP($A10,'R1_G4'!$A$25:$AB$29, 27,FALSE), "")))))</f>
        <v>2</v>
      </c>
      <c r="E10" s="1039">
        <f ca="1">IF('ALL SCORES'!$AX$5="","",
IF(COUNTIF('R1_G1'!$A$25:$A$29,$A10)=1,VLOOKUP($A10,'R1_G1'!$A$25:$AB$29, 28,FALSE),
IF(COUNTIF('R1_G2'!$A$25:$A$29,$A10)=1,VLOOKUP($A10,'R1_G2'!$A$25:$AB$29, 28,FALSE),
IF(COUNTIF('R1_G3'!$A$25:$A$29,$A10)=1,VLOOKUP($A10,'R1_G3'!$A$25:$AB$29, 28,FALSE),
IF(COUNTIF('R1_G4'!$A$25:$A$29,$A10)=1,VLOOKUP($A10,'R1_G4'!$A$25:$AB$29, 28,FALSE), "")))))</f>
        <v>0.25531914893617025</v>
      </c>
      <c r="F10" s="1040">
        <f ca="1">IF('ALL SCORES'!$AX$5="","",VLOOKUP($A10,'ALL SCORES'!$AC$5:$BE$20,29,FALSE)/18)</f>
        <v>0.44074074074074082</v>
      </c>
      <c r="G10" s="1014"/>
      <c r="H10" s="1037">
        <f ca="1">VLOOKUP($A10,'ALL SCORES'!$A$29:$AB$44,26,FALSE)</f>
        <v>69</v>
      </c>
      <c r="I10" s="1041">
        <f ca="1">IF('ALL SCORES'!$AX$29="","",
SUMIF('R2_G1'!$A$27:$A$31,$A10,'R2_G1'!$AA$27:$AA$31)+
SUMIF('R2_G2'!$A$27:$A$31,$A10,'R2_G2'!$AA$27:$AA$31)+
SUMIF('R2_G3'!$A$27:$A$31,$A10,'R2_G3'!$AA$27:$AA$31)+
SUMIF('R2_G4'!$A$27:$A$31,$A10,'R2_G4'!$AA$27:$AA$31))</f>
        <v>12</v>
      </c>
      <c r="J10" s="1041">
        <f ca="1">IF('ALL SCORES'!$AX$29="","",
SUMIF('R2_G1'!$A$27:$A$31,$A10,'R2_G1'!$AA$27:$AA$31)+
SUMIF('R2_G2'!$A$27:$A$31,$A10,'R2_G2'!$AA$27:$AA$31)+
SUMIF('R2_G3'!$A$27:$A$31,$A10,'R2_G3'!$AA$27:$AA$31)+
SUMIF('R2_G4'!$A$27:$A$31,$A10,'R2_G4'!$AA$27:$AA$31))</f>
        <v>12</v>
      </c>
      <c r="K10" s="1041">
        <f ca="1">IF('ALL SCORES'!$AX$29="","",
SUMIF('R2_G1'!$A$27:$A$31,$A10,'R2_G1'!$AB$27:$AB$31)+
SUMIF('R2_G2'!$A$27:$A$31,$A10,'R2_G2'!$AB$27:$AB$31)+
SUMIF('R2_G3'!$A$27:$A$31,$A10,'R2_G3'!$AB$27:$AB$31)+
SUMIF('R2_G4'!$A$27:$A$31,$A10,'R2_G4'!$AB$27:$AB$31))</f>
        <v>3</v>
      </c>
      <c r="L10" s="1040">
        <f ca="1">IF('ALL SCORES'!$AX$29="","",VLOOKUP($A10,'ALL SCORES'!$AC$29:$BE$44,29,FALSE)/18)</f>
        <v>0.624074074074074</v>
      </c>
      <c r="M10" s="1014"/>
      <c r="N10" s="1041" t="e">
        <f ca="1">VLOOKUP($A10,'ALL SCORES'!$A$53:$AB$68,26,FALSE)</f>
        <v>#NAME?</v>
      </c>
      <c r="O10" s="1038" t="e">
        <f ca="1">IF('ALL SCORES'!$AX$53="","",
IF(COUNTIF('R3_G1'!$A$25:$A$29,$A10)=1,VLOOKUP($A10,'R3_G1'!$A$25:$AB$29, 27,FALSE),
IF(COUNTIF('R3_G2'!$A$25:$A$29,$A10)=1,VLOOKUP($A10,'R3_G2'!$A$25:$AB$29, 27,FALSE),
IF(COUNTIF('R3_G3'!$A$25:$A$29,$A10)=1,VLOOKUP($A10,'R3_G3'!$A$25:$AB$29, 27,FALSE),
IF(COUNTIF('R3_G4'!$A$25:$A$29,$A10)=1,VLOOKUP($A10,'R3_G4'!$A$25:$AB$29, 27,FALSE), "")))))</f>
        <v>#NAME?</v>
      </c>
      <c r="P10" s="1038" t="e">
        <f ca="1">IF('ALL SCORES'!$AX$53="","",
IF(COUNTIF('R3_G1'!$A$25:$A$29,$A10)=1,VLOOKUP($A10,'R3_G1'!$A$25:$AB$29, 27,FALSE),
IF(COUNTIF('R3_G2'!$A$25:$A$29,$A10)=1,VLOOKUP($A10,'R3_G2'!$A$25:$AB$29, 27,FALSE),
IF(COUNTIF('R3_G3'!$A$25:$A$29,$A10)=1,VLOOKUP($A10,'R3_G3'!$A$25:$AB$29, 27,FALSE),
IF(COUNTIF('R3_G4'!$A$25:$A$29,$A10)=1,VLOOKUP($A10,'R3_G4'!$A$25:$AB$29, 27,FALSE), "")))))</f>
        <v>#NAME?</v>
      </c>
      <c r="Q10" s="1039" t="e">
        <f ca="1">IF('ALL SCORES'!$AX$53="","",
IF(COUNTIF('R3_G1'!$A$25:$A$29,$A10)=1,VLOOKUP($A10,'R3_G1'!$A$25:$AB$29, 28,FALSE),
IF(COUNTIF('R3_G2'!$A$25:$A$29,$A10)=1,VLOOKUP($A10,'R3_G2'!$A$25:$AB$29, 28,FALSE),
IF(COUNTIF('R3_G3'!$A$25:$A$29,$A10)=1,VLOOKUP($A10,'R3_G3'!$A$25:$AB$29, 28,FALSE),
IF(COUNTIF('R3_G4'!$A$25:$A$29,$A10)=1,VLOOKUP($A10,'R3_G4'!$A$25:$AB$29, 28,FALSE), "")))))</f>
        <v>#NAME?</v>
      </c>
      <c r="R10" s="1042" t="e">
        <f ca="1">IF('ALL SCORES'!$AX$68="","",VLOOKUP($A10,'ALL SCORES'!$AC$53:$BE$68,29,FALSE)/18)</f>
        <v>#NAME?</v>
      </c>
      <c r="S10" s="1014"/>
      <c r="T10" s="1037">
        <f ca="1">VLOOKUP($A10,'ALL SCORES'!$A$77:$AA$92,26,FALSE)</f>
        <v>76</v>
      </c>
      <c r="U10" s="1038">
        <f ca="1">IF('ALL SCORES'!$AX$77="","",
IF(COUNTIF('R4_G1'!$A$25:$A$29,$A10)=1,VLOOKUP($A10,'R4_G1'!$A$25:$AB$29, 26,FALSE),
IF(COUNTIF('R4_G2'!$A$25:$A$29,$A10)=1,VLOOKUP($A10,'R4_G2'!$A$25:$AB$29, 26,FALSE),
IF(COUNTIF('R4_G3'!$A$25:$A$29,$A10)=1,VLOOKUP($A10,'R4_G3'!$A$25:$AB$29, 26,FALSE),
IF(COUNTIF('R4_G4'!$A$25:$A$29,$A10)=1,VLOOKUP($A10,'R4_G4'!$A$25:$AB$29, 26,FALSE), "")))))</f>
        <v>10.716666666666669</v>
      </c>
      <c r="V10" s="1038">
        <f ca="1">IF('ALL SCORES'!$AX$77="","",
IF(COUNTIF('R4_G1'!$A$25:$A$29,$A10)=1,VLOOKUP($A10,'R4_G1'!$A$25:$AB$29, 27,FALSE),
IF(COUNTIF('R4_G2'!$A$25:$A$29,$A10)=1,VLOOKUP($A10,'R4_G2'!$A$25:$AB$29, 27,FALSE),
IF(COUNTIF('R4_G3'!$A$25:$A$29,$A10)=1,VLOOKUP($A10,'R4_G3'!$A$25:$AB$29, 27,FALSE),
IF(COUNTIF('R4_G4'!$A$25:$A$29,$A10)=1,VLOOKUP($A10,'R4_G4'!$A$25:$AB$29, 27,FALSE), "")))))</f>
        <v>3.25</v>
      </c>
      <c r="W10" s="1038">
        <f ca="1">IF('ALL SCORES'!$AX$77="","",
IF(COUNTIF('R4_G1'!$A$25:$A$29,$A10)=1,VLOOKUP($A10,'R4_G1'!$A$25:$AB$29, 28,FALSE),
IF(COUNTIF('R4_G2'!$A$25:$A$29,$A10)=1,VLOOKUP($A10,'R4_G2'!$A$25:$AB$29, 28,FALSE),
IF(COUNTIF('R4_G3'!$A$25:$A$29,$A10)=1,VLOOKUP($A10,'R4_G3'!$A$25:$AB$29, 28,FALSE),
IF(COUNTIF('R4_G4'!$A$25:$A$29,$A10)=1,VLOOKUP($A10,'R4_G4'!$A$25:$AB$29, 28,FALSE), "")))))</f>
        <v>1.5628472222222225</v>
      </c>
      <c r="X10" s="1042">
        <f ca="1">IF('ALL SCORES'!$AX$77="","",VLOOKUP($A10,'ALL SCORES'!$AC$77:$BE$92,29,FALSE)/18)</f>
        <v>0.54814814814814805</v>
      </c>
      <c r="Y10" s="1014"/>
      <c r="Z10" s="1043" t="e">
        <f t="shared" ca="1" si="1"/>
        <v>#NAME?</v>
      </c>
      <c r="AA10" s="1044" t="e">
        <f t="shared" ca="1" si="2"/>
        <v>#NAME?</v>
      </c>
      <c r="AB10" s="1045" t="e">
        <f t="shared" ca="1" si="3"/>
        <v>#NAME?</v>
      </c>
      <c r="AC10" s="1046" t="e">
        <f t="shared" ca="1" si="4"/>
        <v>#NAME?</v>
      </c>
      <c r="AD10" s="1047" t="e">
        <f t="shared" ca="1" si="5"/>
        <v>#NAME?</v>
      </c>
      <c r="AE10" s="1014"/>
      <c r="AF10" s="1048">
        <f t="shared" ca="1" si="6"/>
        <v>0.33148148148148149</v>
      </c>
      <c r="AG10" s="1048">
        <f t="shared" ca="1" si="7"/>
        <v>0.64537037037037037</v>
      </c>
      <c r="AH10" s="1049" t="e">
        <f t="shared" ca="1" si="8"/>
        <v>#NAME?</v>
      </c>
      <c r="AI10" s="1057">
        <f t="shared" ca="1" si="9"/>
        <v>0.57175925925925919</v>
      </c>
      <c r="AJ10" s="1051" t="e">
        <f t="shared" ca="1" si="10"/>
        <v>#NAME?</v>
      </c>
      <c r="AK10" s="533"/>
      <c r="AL10" s="1058">
        <f t="shared" ca="1" si="11"/>
        <v>-1.9375</v>
      </c>
      <c r="AM10" s="1058">
        <f t="shared" ca="1" si="12"/>
        <v>7.875</v>
      </c>
      <c r="AN10" s="1059" t="e">
        <f t="shared" ca="1" si="13"/>
        <v>#NAME?</v>
      </c>
      <c r="AO10" s="1060">
        <f t="shared" ca="1" si="14"/>
        <v>4.125</v>
      </c>
      <c r="AP10" s="1055" t="e">
        <f t="shared" ca="1" si="15"/>
        <v>#NAME?</v>
      </c>
      <c r="AQ10" s="1056" t="e">
        <f t="shared" ca="1" si="16"/>
        <v>#NAME?</v>
      </c>
      <c r="AR10" s="1038">
        <f>VLOOKUP(AS10,'Master Input'!$A$9:$M$27,'Master Input'!$M$28,FALSE)</f>
        <v>7.375</v>
      </c>
      <c r="AS10" s="1035" t="str">
        <f t="shared" si="0"/>
        <v>Telly</v>
      </c>
    </row>
    <row r="11" spans="1:45" ht="12.75" customHeight="1">
      <c r="A11" s="1036" t="str">
        <f>'Master Input'!A12</f>
        <v>KJ</v>
      </c>
      <c r="B11" s="1037">
        <f ca="1">VLOOKUP($A11,'ALL SCORES'!$A$5:$AA$20,26,FALSE)</f>
        <v>73</v>
      </c>
      <c r="C11" s="1038">
        <f ca="1">IF('ALL SCORES'!$AX$5="","",
IF(COUNTIF('R1_G1'!$A$25:$A$29,$A11)=1,VLOOKUP($A11,'R1_G1'!$A$25:$AB$29, 26,FALSE),
IF(COUNTIF('R1_G2'!$A$25:$A$29,$A11)=1,VLOOKUP($A11,'R1_G2'!$A$25:$AB$29, 26,FALSE),
IF(COUNTIF('R1_G3'!$A$25:$A$29,$A11)=1,VLOOKUP($A11,'R1_G3'!$A$25:$AB$29, 26,FALSE),
IF(COUNTIF('R1_G4'!$A$25:$A$29,$A11)=1,VLOOKUP($A11,'R1_G4'!$A$25:$AB$29, 26,FALSE), "")))))</f>
        <v>4.166666666666667</v>
      </c>
      <c r="D11" s="1038">
        <f ca="1">IF('ALL SCORES'!$AX$5="","",
IF(COUNTIF('R1_G1'!$A$25:$A$29,$A11)=1,VLOOKUP($A11,'R1_G1'!$A$25:$AB$29, 27,FALSE),
IF(COUNTIF('R1_G2'!$A$25:$A$29,$A11)=1,VLOOKUP($A11,'R1_G2'!$A$25:$AB$29, 27,FALSE),
IF(COUNTIF('R1_G3'!$A$25:$A$29,$A11)=1,VLOOKUP($A11,'R1_G3'!$A$25:$AB$29, 27,FALSE),
IF(COUNTIF('R1_G4'!$A$25:$A$29,$A11)=1,VLOOKUP($A11,'R1_G4'!$A$25:$AB$29, 27,FALSE), "")))))</f>
        <v>4.166666666666667</v>
      </c>
      <c r="E11" s="1039">
        <f ca="1">IF('ALL SCORES'!$AX$5="","",
IF(COUNTIF('R1_G1'!$A$25:$A$29,$A11)=1,VLOOKUP($A11,'R1_G1'!$A$25:$AB$29, 28,FALSE),
IF(COUNTIF('R1_G2'!$A$25:$A$29,$A11)=1,VLOOKUP($A11,'R1_G2'!$A$25:$AB$29, 28,FALSE),
IF(COUNTIF('R1_G3'!$A$25:$A$29,$A11)=1,VLOOKUP($A11,'R1_G3'!$A$25:$AB$29, 28,FALSE),
IF(COUNTIF('R1_G4'!$A$25:$A$29,$A11)=1,VLOOKUP($A11,'R1_G4'!$A$25:$AB$29, 28,FALSE), "")))))</f>
        <v>1.1363636363636365</v>
      </c>
      <c r="F11" s="1040">
        <f ca="1">IF('ALL SCORES'!$AX$5="","",VLOOKUP($A11,'ALL SCORES'!$AC$5:$BE$20,29,FALSE)/18)</f>
        <v>0.55740740740740735</v>
      </c>
      <c r="G11" s="1014"/>
      <c r="H11" s="1037">
        <f ca="1">VLOOKUP($A11,'ALL SCORES'!$A$29:$AB$44,26,FALSE)</f>
        <v>74</v>
      </c>
      <c r="I11" s="1041">
        <f ca="1">IF('ALL SCORES'!$AX$29="","",
SUMIF('R2_G1'!$A$27:$A$31,$A11,'R2_G1'!$AA$27:$AA$31)+
SUMIF('R2_G2'!$A$27:$A$31,$A11,'R2_G2'!$AA$27:$AA$31)+
SUMIF('R2_G3'!$A$27:$A$31,$A11,'R2_G3'!$AA$27:$AA$31)+
SUMIF('R2_G4'!$A$27:$A$31,$A11,'R2_G4'!$AA$27:$AA$31))</f>
        <v>11</v>
      </c>
      <c r="J11" s="1041">
        <f ca="1">IF('ALL SCORES'!$AX$29="","",
SUMIF('R2_G1'!$A$27:$A$31,$A11,'R2_G1'!$AA$27:$AA$31)+
SUMIF('R2_G2'!$A$27:$A$31,$A11,'R2_G2'!$AA$27:$AA$31)+
SUMIF('R2_G3'!$A$27:$A$31,$A11,'R2_G3'!$AA$27:$AA$31)+
SUMIF('R2_G4'!$A$27:$A$31,$A11,'R2_G4'!$AA$27:$AA$31))</f>
        <v>11</v>
      </c>
      <c r="K11" s="1041">
        <f ca="1">IF('ALL SCORES'!$AX$29="","",
SUMIF('R2_G1'!$A$27:$A$31,$A11,'R2_G1'!$AB$27:$AB$31)+
SUMIF('R2_G2'!$A$27:$A$31,$A11,'R2_G2'!$AB$27:$AB$31)+
SUMIF('R2_G3'!$A$27:$A$31,$A11,'R2_G3'!$AB$27:$AB$31)+
SUMIF('R2_G4'!$A$27:$A$31,$A11,'R2_G4'!$AB$27:$AB$31))</f>
        <v>3</v>
      </c>
      <c r="L11" s="1040">
        <f ca="1">IF('ALL SCORES'!$AX$29="","",VLOOKUP($A11,'ALL SCORES'!$AC$29:$BE$44,29,FALSE)/18)</f>
        <v>0.55740740740740735</v>
      </c>
      <c r="M11" s="1014"/>
      <c r="N11" s="1041" t="e">
        <f ca="1">VLOOKUP($A11,'ALL SCORES'!$A$53:$AB$68,26,FALSE)</f>
        <v>#NAME?</v>
      </c>
      <c r="O11" s="1038" t="e">
        <f ca="1">IF('ALL SCORES'!$AX$53="","",
IF(COUNTIF('R3_G1'!$A$25:$A$29,$A11)=1,VLOOKUP($A11,'R3_G1'!$A$25:$AB$29, 27,FALSE),
IF(COUNTIF('R3_G2'!$A$25:$A$29,$A11)=1,VLOOKUP($A11,'R3_G2'!$A$25:$AB$29, 27,FALSE),
IF(COUNTIF('R3_G3'!$A$25:$A$29,$A11)=1,VLOOKUP($A11,'R3_G3'!$A$25:$AB$29, 27,FALSE),
IF(COUNTIF('R3_G4'!$A$25:$A$29,$A11)=1,VLOOKUP($A11,'R3_G4'!$A$25:$AB$29, 27,FALSE), "")))))</f>
        <v>#NAME?</v>
      </c>
      <c r="P11" s="1038" t="e">
        <f ca="1">IF('ALL SCORES'!$AX$53="","",
IF(COUNTIF('R3_G1'!$A$25:$A$29,$A11)=1,VLOOKUP($A11,'R3_G1'!$A$25:$AB$29, 27,FALSE),
IF(COUNTIF('R3_G2'!$A$25:$A$29,$A11)=1,VLOOKUP($A11,'R3_G2'!$A$25:$AB$29, 27,FALSE),
IF(COUNTIF('R3_G3'!$A$25:$A$29,$A11)=1,VLOOKUP($A11,'R3_G3'!$A$25:$AB$29, 27,FALSE),
IF(COUNTIF('R3_G4'!$A$25:$A$29,$A11)=1,VLOOKUP($A11,'R3_G4'!$A$25:$AB$29, 27,FALSE), "")))))</f>
        <v>#NAME?</v>
      </c>
      <c r="Q11" s="1039" t="e">
        <f ca="1">IF('ALL SCORES'!$AX$53="","",
IF(COUNTIF('R3_G1'!$A$25:$A$29,$A11)=1,VLOOKUP($A11,'R3_G1'!$A$25:$AB$29, 28,FALSE),
IF(COUNTIF('R3_G2'!$A$25:$A$29,$A11)=1,VLOOKUP($A11,'R3_G2'!$A$25:$AB$29, 28,FALSE),
IF(COUNTIF('R3_G3'!$A$25:$A$29,$A11)=1,VLOOKUP($A11,'R3_G3'!$A$25:$AB$29, 28,FALSE),
IF(COUNTIF('R3_G4'!$A$25:$A$29,$A11)=1,VLOOKUP($A11,'R3_G4'!$A$25:$AB$29, 28,FALSE), "")))))</f>
        <v>#NAME?</v>
      </c>
      <c r="R11" s="1042" t="e">
        <f ca="1">IF('ALL SCORES'!$AX$68="","",VLOOKUP($A11,'ALL SCORES'!$AC$53:$BE$68,29,FALSE)/18)</f>
        <v>#NAME?</v>
      </c>
      <c r="S11" s="1014"/>
      <c r="T11" s="1037">
        <f ca="1">VLOOKUP($A11,'ALL SCORES'!$A$77:$AA$92,26,FALSE)</f>
        <v>96</v>
      </c>
      <c r="U11" s="1038">
        <f ca="1">IF('ALL SCORES'!$AX$77="","",
IF(COUNTIF('R4_G1'!$A$25:$A$29,$A11)=1,VLOOKUP($A11,'R4_G1'!$A$25:$AB$29, 26,FALSE),
IF(COUNTIF('R4_G2'!$A$25:$A$29,$A11)=1,VLOOKUP($A11,'R4_G2'!$A$25:$AB$29, 26,FALSE),
IF(COUNTIF('R4_G3'!$A$25:$A$29,$A11)=1,VLOOKUP($A11,'R4_G3'!$A$25:$AB$29, 26,FALSE),
IF(COUNTIF('R4_G4'!$A$25:$A$29,$A11)=1,VLOOKUP($A11,'R4_G4'!$A$25:$AB$29, 26,FALSE), "")))))</f>
        <v>3.85</v>
      </c>
      <c r="V11" s="1038">
        <f ca="1">IF('ALL SCORES'!$AX$77="","",
IF(COUNTIF('R4_G1'!$A$25:$A$29,$A11)=1,VLOOKUP($A11,'R4_G1'!$A$25:$AB$29, 27,FALSE),
IF(COUNTIF('R4_G2'!$A$25:$A$29,$A11)=1,VLOOKUP($A11,'R4_G2'!$A$25:$AB$29, 27,FALSE),
IF(COUNTIF('R4_G3'!$A$25:$A$29,$A11)=1,VLOOKUP($A11,'R4_G3'!$A$25:$AB$29, 27,FALSE),
IF(COUNTIF('R4_G4'!$A$25:$A$29,$A11)=1,VLOOKUP($A11,'R4_G4'!$A$25:$AB$29, 27,FALSE), "")))))</f>
        <v>1.25</v>
      </c>
      <c r="W11" s="1038">
        <f ca="1">IF('ALL SCORES'!$AX$77="","",
IF(COUNTIF('R4_G1'!$A$25:$A$29,$A11)=1,VLOOKUP($A11,'R4_G1'!$A$25:$AB$29, 28,FALSE),
IF(COUNTIF('R4_G2'!$A$25:$A$29,$A11)=1,VLOOKUP($A11,'R4_G2'!$A$25:$AB$29, 28,FALSE),
IF(COUNTIF('R4_G3'!$A$25:$A$29,$A11)=1,VLOOKUP($A11,'R4_G3'!$A$25:$AB$29, 28,FALSE),
IF(COUNTIF('R4_G4'!$A$25:$A$29,$A11)=1,VLOOKUP($A11,'R4_G4'!$A$25:$AB$29, 28,FALSE), "")))))</f>
        <v>0.56145833333333339</v>
      </c>
      <c r="X11" s="1042">
        <f ca="1">IF('ALL SCORES'!$AX$77="","",VLOOKUP($A11,'ALL SCORES'!$AC$77:$BE$92,29,FALSE)/18)</f>
        <v>0.30740740740740746</v>
      </c>
      <c r="Y11" s="1014"/>
      <c r="Z11" s="1043" t="e">
        <f t="shared" ca="1" si="1"/>
        <v>#NAME?</v>
      </c>
      <c r="AA11" s="1044" t="e">
        <f t="shared" ca="1" si="2"/>
        <v>#NAME?</v>
      </c>
      <c r="AB11" s="1045" t="e">
        <f t="shared" ca="1" si="3"/>
        <v>#NAME?</v>
      </c>
      <c r="AC11" s="1046" t="e">
        <f t="shared" ca="1" si="4"/>
        <v>#NAME?</v>
      </c>
      <c r="AD11" s="1047" t="e">
        <f t="shared" ca="1" si="5"/>
        <v>#NAME?</v>
      </c>
      <c r="AE11" s="1014"/>
      <c r="AF11" s="1048">
        <f t="shared" ca="1" si="6"/>
        <v>0.51018518518518519</v>
      </c>
      <c r="AG11" s="1048">
        <f t="shared" ca="1" si="7"/>
        <v>0.58425925925925926</v>
      </c>
      <c r="AH11" s="1049" t="e">
        <f t="shared" ca="1" si="8"/>
        <v>#NAME?</v>
      </c>
      <c r="AI11" s="1057">
        <f t="shared" ca="1" si="9"/>
        <v>0.26064814814814818</v>
      </c>
      <c r="AJ11" s="1051" t="e">
        <f t="shared" ca="1" si="10"/>
        <v>#NAME?</v>
      </c>
      <c r="AK11" s="533"/>
      <c r="AL11" s="1058">
        <f t="shared" ca="1" si="11"/>
        <v>4.0625</v>
      </c>
      <c r="AM11" s="1058">
        <f t="shared" ca="1" si="12"/>
        <v>2.875</v>
      </c>
      <c r="AN11" s="1059" t="e">
        <f t="shared" ca="1" si="13"/>
        <v>#NAME?</v>
      </c>
      <c r="AO11" s="1060">
        <f t="shared" ca="1" si="14"/>
        <v>-15.875</v>
      </c>
      <c r="AP11" s="1055" t="e">
        <f t="shared" ca="1" si="15"/>
        <v>#NAME?</v>
      </c>
      <c r="AQ11" s="1056" t="e">
        <f t="shared" ca="1" si="16"/>
        <v>#NAME?</v>
      </c>
      <c r="AR11" s="1038">
        <f>VLOOKUP(AS11,'Master Input'!$A$9:$M$27,'Master Input'!$M$28,FALSE)</f>
        <v>7.75</v>
      </c>
      <c r="AS11" s="1035" t="str">
        <f t="shared" si="0"/>
        <v>KJ</v>
      </c>
    </row>
    <row r="12" spans="1:45" ht="13.5" customHeight="1">
      <c r="A12" s="1036" t="str">
        <f>'Master Input'!A14</f>
        <v>R-Mac</v>
      </c>
      <c r="B12" s="1037">
        <f ca="1">VLOOKUP($A12,'ALL SCORES'!$A$5:$AA$20,26,FALSE)</f>
        <v>78</v>
      </c>
      <c r="C12" s="1038">
        <f ca="1">IF('ALL SCORES'!$AX$5="","",
IF(COUNTIF('R1_G1'!$A$25:$A$29,$A12)=1,VLOOKUP($A12,'R1_G1'!$A$25:$AB$29, 26,FALSE),
IF(COUNTIF('R1_G2'!$A$25:$A$29,$A12)=1,VLOOKUP($A12,'R1_G2'!$A$25:$AB$29, 26,FALSE),
IF(COUNTIF('R1_G3'!$A$25:$A$29,$A12)=1,VLOOKUP($A12,'R1_G3'!$A$25:$AB$29, 26,FALSE),
IF(COUNTIF('R1_G4'!$A$25:$A$29,$A12)=1,VLOOKUP($A12,'R1_G4'!$A$25:$AB$29, 26,FALSE), "")))))</f>
        <v>1.5833333333333333</v>
      </c>
      <c r="D12" s="1038">
        <f ca="1">IF('ALL SCORES'!$AX$5="","",
IF(COUNTIF('R1_G1'!$A$25:$A$29,$A12)=1,VLOOKUP($A12,'R1_G1'!$A$25:$AB$29, 27,FALSE),
IF(COUNTIF('R1_G2'!$A$25:$A$29,$A12)=1,VLOOKUP($A12,'R1_G2'!$A$25:$AB$29, 27,FALSE),
IF(COUNTIF('R1_G3'!$A$25:$A$29,$A12)=1,VLOOKUP($A12,'R1_G3'!$A$25:$AB$29, 27,FALSE),
IF(COUNTIF('R1_G4'!$A$25:$A$29,$A12)=1,VLOOKUP($A12,'R1_G4'!$A$25:$AB$29, 27,FALSE), "")))))</f>
        <v>1.5833333333333335</v>
      </c>
      <c r="E12" s="1039">
        <f ca="1">IF('ALL SCORES'!$AX$5="","",
IF(COUNTIF('R1_G1'!$A$25:$A$29,$A12)=1,VLOOKUP($A12,'R1_G1'!$A$25:$AB$29, 28,FALSE),
IF(COUNTIF('R1_G2'!$A$25:$A$29,$A12)=1,VLOOKUP($A12,'R1_G2'!$A$25:$AB$29, 28,FALSE),
IF(COUNTIF('R1_G3'!$A$25:$A$29,$A12)=1,VLOOKUP($A12,'R1_G3'!$A$25:$AB$29, 28,FALSE),
IF(COUNTIF('R1_G4'!$A$25:$A$29,$A12)=1,VLOOKUP($A12,'R1_G4'!$A$25:$AB$29, 28,FALSE), "")))))</f>
        <v>0.19387755102040818</v>
      </c>
      <c r="F12" s="1040">
        <f ca="1">IF('ALL SCORES'!$AX$5="","",VLOOKUP($A12,'ALL SCORES'!$AC$5:$BE$20,29,FALSE)/18)</f>
        <v>0.47962962962962963</v>
      </c>
      <c r="G12" s="1014"/>
      <c r="H12" s="1037">
        <f ca="1">VLOOKUP($A12,'ALL SCORES'!$A$29:$AB$44,26,FALSE)</f>
        <v>70</v>
      </c>
      <c r="I12" s="1041">
        <f ca="1">IF('ALL SCORES'!$AX$29="","",
SUMIF('R2_G1'!$A$27:$A$31,$A12,'R2_G1'!$AA$27:$AA$31)+
SUMIF('R2_G2'!$A$27:$A$31,$A12,'R2_G2'!$AA$27:$AA$31)+
SUMIF('R2_G3'!$A$27:$A$31,$A12,'R2_G3'!$AA$27:$AA$31)+
SUMIF('R2_G4'!$A$27:$A$31,$A12,'R2_G4'!$AA$27:$AA$31))</f>
        <v>11.5</v>
      </c>
      <c r="J12" s="1041">
        <f ca="1">IF('ALL SCORES'!$AX$29="","",
SUMIF('R2_G1'!$A$27:$A$31,$A12,'R2_G1'!$AA$27:$AA$31)+
SUMIF('R2_G2'!$A$27:$A$31,$A12,'R2_G2'!$AA$27:$AA$31)+
SUMIF('R2_G3'!$A$27:$A$31,$A12,'R2_G3'!$AA$27:$AA$31)+
SUMIF('R2_G4'!$A$27:$A$31,$A12,'R2_G4'!$AA$27:$AA$31))</f>
        <v>11.5</v>
      </c>
      <c r="K12" s="1041">
        <f ca="1">IF('ALL SCORES'!$AX$29="","",
SUMIF('R2_G1'!$A$27:$A$31,$A12,'R2_G1'!$AB$27:$AB$31)+
SUMIF('R2_G2'!$A$27:$A$31,$A12,'R2_G2'!$AB$27:$AB$31)+
SUMIF('R2_G3'!$A$27:$A$31,$A12,'R2_G3'!$AB$27:$AB$31)+
SUMIF('R2_G4'!$A$27:$A$31,$A12,'R2_G4'!$AB$27:$AB$31))</f>
        <v>3</v>
      </c>
      <c r="L12" s="1040">
        <f ca="1">IF('ALL SCORES'!$AX$29="","",VLOOKUP($A12,'ALL SCORES'!$AC$29:$BE$44,29,FALSE)/18)</f>
        <v>0.61296296296296282</v>
      </c>
      <c r="M12" s="1014"/>
      <c r="N12" s="1041" t="e">
        <f ca="1">VLOOKUP($A12,'ALL SCORES'!$A$53:$AB$68,26,FALSE)</f>
        <v>#NAME?</v>
      </c>
      <c r="O12" s="1038" t="e">
        <f ca="1">IF('ALL SCORES'!$AX$53="","",
IF(COUNTIF('R3_G1'!$A$25:$A$29,$A12)=1,VLOOKUP($A12,'R3_G1'!$A$25:$AB$29, 27,FALSE),
IF(COUNTIF('R3_G2'!$A$25:$A$29,$A12)=1,VLOOKUP($A12,'R3_G2'!$A$25:$AB$29, 27,FALSE),
IF(COUNTIF('R3_G3'!$A$25:$A$29,$A12)=1,VLOOKUP($A12,'R3_G3'!$A$25:$AB$29, 27,FALSE),
IF(COUNTIF('R3_G4'!$A$25:$A$29,$A12)=1,VLOOKUP($A12,'R3_G4'!$A$25:$AB$29, 27,FALSE), "")))))</f>
        <v>#NAME?</v>
      </c>
      <c r="P12" s="1038" t="e">
        <f ca="1">IF('ALL SCORES'!$AX$53="","",
IF(COUNTIF('R3_G1'!$A$25:$A$29,$A12)=1,VLOOKUP($A12,'R3_G1'!$A$25:$AB$29, 27,FALSE),
IF(COUNTIF('R3_G2'!$A$25:$A$29,$A12)=1,VLOOKUP($A12,'R3_G2'!$A$25:$AB$29, 27,FALSE),
IF(COUNTIF('R3_G3'!$A$25:$A$29,$A12)=1,VLOOKUP($A12,'R3_G3'!$A$25:$AB$29, 27,FALSE),
IF(COUNTIF('R3_G4'!$A$25:$A$29,$A12)=1,VLOOKUP($A12,'R3_G4'!$A$25:$AB$29, 27,FALSE), "")))))</f>
        <v>#NAME?</v>
      </c>
      <c r="Q12" s="1039" t="e">
        <f ca="1">IF('ALL SCORES'!$AX$53="","",
IF(COUNTIF('R3_G1'!$A$25:$A$29,$A12)=1,VLOOKUP($A12,'R3_G1'!$A$25:$AB$29, 28,FALSE),
IF(COUNTIF('R3_G2'!$A$25:$A$29,$A12)=1,VLOOKUP($A12,'R3_G2'!$A$25:$AB$29, 28,FALSE),
IF(COUNTIF('R3_G3'!$A$25:$A$29,$A12)=1,VLOOKUP($A12,'R3_G3'!$A$25:$AB$29, 28,FALSE),
IF(COUNTIF('R3_G4'!$A$25:$A$29,$A12)=1,VLOOKUP($A12,'R3_G4'!$A$25:$AB$29, 28,FALSE), "")))))</f>
        <v>#NAME?</v>
      </c>
      <c r="R12" s="1042" t="e">
        <f ca="1">IF('ALL SCORES'!$AX$68="","",VLOOKUP($A12,'ALL SCORES'!$AC$53:$BE$68,29,FALSE)/18)</f>
        <v>#NAME?</v>
      </c>
      <c r="S12" s="1014"/>
      <c r="T12" s="1037">
        <f ca="1">VLOOKUP($A12,'ALL SCORES'!$A$77:$AA$92,26,FALSE)</f>
        <v>80</v>
      </c>
      <c r="U12" s="1038">
        <f ca="1">IF('ALL SCORES'!$AX$77="","",
IF(COUNTIF('R4_G1'!$A$25:$A$29,$A12)=1,VLOOKUP($A12,'R4_G1'!$A$25:$AB$29, 26,FALSE),
IF(COUNTIF('R4_G2'!$A$25:$A$29,$A12)=1,VLOOKUP($A12,'R4_G2'!$A$25:$AB$29, 26,FALSE),
IF(COUNTIF('R4_G3'!$A$25:$A$29,$A12)=1,VLOOKUP($A12,'R4_G3'!$A$25:$AB$29, 26,FALSE),
IF(COUNTIF('R4_G4'!$A$25:$A$29,$A12)=1,VLOOKUP($A12,'R4_G4'!$A$25:$AB$29, 26,FALSE), "")))))</f>
        <v>9.25</v>
      </c>
      <c r="V12" s="1038">
        <f ca="1">IF('ALL SCORES'!$AX$77="","",
IF(COUNTIF('R4_G1'!$A$25:$A$29,$A12)=1,VLOOKUP($A12,'R4_G1'!$A$25:$AB$29, 27,FALSE),
IF(COUNTIF('R4_G2'!$A$25:$A$29,$A12)=1,VLOOKUP($A12,'R4_G2'!$A$25:$AB$29, 27,FALSE),
IF(COUNTIF('R4_G3'!$A$25:$A$29,$A12)=1,VLOOKUP($A12,'R4_G3'!$A$25:$AB$29, 27,FALSE),
IF(COUNTIF('R4_G4'!$A$25:$A$29,$A12)=1,VLOOKUP($A12,'R4_G4'!$A$25:$AB$29, 27,FALSE), "")))))</f>
        <v>3.458333333333333</v>
      </c>
      <c r="W12" s="1038">
        <f ca="1">IF('ALL SCORES'!$AX$77="","",
IF(COUNTIF('R4_G1'!$A$25:$A$29,$A12)=1,VLOOKUP($A12,'R4_G1'!$A$25:$AB$29, 28,FALSE),
IF(COUNTIF('R4_G2'!$A$25:$A$29,$A12)=1,VLOOKUP($A12,'R4_G2'!$A$25:$AB$29, 28,FALSE),
IF(COUNTIF('R4_G3'!$A$25:$A$29,$A12)=1,VLOOKUP($A12,'R4_G3'!$A$25:$AB$29, 28,FALSE),
IF(COUNTIF('R4_G4'!$A$25:$A$29,$A12)=1,VLOOKUP($A12,'R4_G4'!$A$25:$AB$29, 28,FALSE), "")))))</f>
        <v>1.3489583333333333</v>
      </c>
      <c r="X12" s="1042">
        <f ca="1">IF('ALL SCORES'!$AX$77="","",VLOOKUP($A12,'ALL SCORES'!$AC$77:$BE$92,29,FALSE)/18)</f>
        <v>0.50925925925925941</v>
      </c>
      <c r="Y12" s="1014"/>
      <c r="Z12" s="1043" t="e">
        <f t="shared" ca="1" si="1"/>
        <v>#NAME?</v>
      </c>
      <c r="AA12" s="1044" t="e">
        <f t="shared" ca="1" si="2"/>
        <v>#NAME?</v>
      </c>
      <c r="AB12" s="1045" t="e">
        <f t="shared" ca="1" si="3"/>
        <v>#NAME?</v>
      </c>
      <c r="AC12" s="1046" t="e">
        <f t="shared" ca="1" si="4"/>
        <v>#NAME?</v>
      </c>
      <c r="AD12" s="1047" t="e">
        <f t="shared" ca="1" si="5"/>
        <v>#NAME?</v>
      </c>
      <c r="AE12" s="1014"/>
      <c r="AF12" s="1048">
        <f t="shared" ca="1" si="6"/>
        <v>0.32777777777777778</v>
      </c>
      <c r="AG12" s="1048">
        <f t="shared" ca="1" si="7"/>
        <v>0.62592592592592577</v>
      </c>
      <c r="AH12" s="1049" t="e">
        <f t="shared" ca="1" si="8"/>
        <v>#NAME?</v>
      </c>
      <c r="AI12" s="1057">
        <f t="shared" ca="1" si="9"/>
        <v>0.51157407407407418</v>
      </c>
      <c r="AJ12" s="1051" t="e">
        <f t="shared" ca="1" si="10"/>
        <v>#NAME?</v>
      </c>
      <c r="AK12" s="533"/>
      <c r="AL12" s="1058">
        <f t="shared" ca="1" si="11"/>
        <v>-0.9375</v>
      </c>
      <c r="AM12" s="1058">
        <f t="shared" ca="1" si="12"/>
        <v>6.875</v>
      </c>
      <c r="AN12" s="1059" t="e">
        <f t="shared" ca="1" si="13"/>
        <v>#NAME?</v>
      </c>
      <c r="AO12" s="1060">
        <f t="shared" ca="1" si="14"/>
        <v>0.125</v>
      </c>
      <c r="AP12" s="1055" t="e">
        <f t="shared" ca="1" si="15"/>
        <v>#NAME?</v>
      </c>
      <c r="AQ12" s="1056" t="e">
        <f t="shared" ca="1" si="16"/>
        <v>#NAME?</v>
      </c>
      <c r="AR12" s="1038">
        <f>VLOOKUP(AS12,'Master Input'!$A$9:$M$27,'Master Input'!$M$28,FALSE)</f>
        <v>8.3000000000000007</v>
      </c>
      <c r="AS12" s="1035" t="str">
        <f t="shared" si="0"/>
        <v>R-Mac</v>
      </c>
    </row>
    <row r="13" spans="1:45" ht="12.75" customHeight="1">
      <c r="A13" s="1036" t="str">
        <f>'Master Input'!A13</f>
        <v>CuzNick</v>
      </c>
      <c r="B13" s="1037">
        <f ca="1">VLOOKUP($A13,'ALL SCORES'!$A$5:$AA$20,26,FALSE)</f>
        <v>76</v>
      </c>
      <c r="C13" s="1038">
        <f ca="1">IF('ALL SCORES'!$AX$5="","",
IF(COUNTIF('R1_G1'!$A$25:$A$29,$A13)=1,VLOOKUP($A13,'R1_G1'!$A$25:$AB$29, 26,FALSE),
IF(COUNTIF('R1_G2'!$A$25:$A$29,$A13)=1,VLOOKUP($A13,'R1_G2'!$A$25:$AB$29, 26,FALSE),
IF(COUNTIF('R1_G3'!$A$25:$A$29,$A13)=1,VLOOKUP($A13,'R1_G3'!$A$25:$AB$29, 26,FALSE),
IF(COUNTIF('R1_G4'!$A$25:$A$29,$A13)=1,VLOOKUP($A13,'R1_G4'!$A$25:$AB$29, 26,FALSE), "")))))</f>
        <v>3.75</v>
      </c>
      <c r="D13" s="1038">
        <f ca="1">IF('ALL SCORES'!$AX$5="","",
IF(COUNTIF('R1_G1'!$A$25:$A$29,$A13)=1,VLOOKUP($A13,'R1_G1'!$A$25:$AB$29, 27,FALSE),
IF(COUNTIF('R1_G2'!$A$25:$A$29,$A13)=1,VLOOKUP($A13,'R1_G2'!$A$25:$AB$29, 27,FALSE),
IF(COUNTIF('R1_G3'!$A$25:$A$29,$A13)=1,VLOOKUP($A13,'R1_G3'!$A$25:$AB$29, 27,FALSE),
IF(COUNTIF('R1_G4'!$A$25:$A$29,$A13)=1,VLOOKUP($A13,'R1_G4'!$A$25:$AB$29, 27,FALSE), "")))))</f>
        <v>3.75</v>
      </c>
      <c r="E13" s="1039">
        <f ca="1">IF('ALL SCORES'!$AX$5="","",
IF(COUNTIF('R1_G1'!$A$25:$A$29,$A13)=1,VLOOKUP($A13,'R1_G1'!$A$25:$AB$29, 28,FALSE),
IF(COUNTIF('R1_G2'!$A$25:$A$29,$A13)=1,VLOOKUP($A13,'R1_G2'!$A$25:$AB$29, 28,FALSE),
IF(COUNTIF('R1_G3'!$A$25:$A$29,$A13)=1,VLOOKUP($A13,'R1_G3'!$A$25:$AB$29, 28,FALSE),
IF(COUNTIF('R1_G4'!$A$25:$A$29,$A13)=1,VLOOKUP($A13,'R1_G4'!$A$25:$AB$29, 28,FALSE), "")))))</f>
        <v>1.1842105263157894</v>
      </c>
      <c r="F13" s="1040">
        <f ca="1">IF('ALL SCORES'!$AX$5="","",VLOOKUP($A13,'ALL SCORES'!$AC$5:$BE$20,29,FALSE)/18)</f>
        <v>0.49259259259259253</v>
      </c>
      <c r="G13" s="1014"/>
      <c r="H13" s="1037">
        <f ca="1">VLOOKUP($A13,'ALL SCORES'!$A$29:$AB$44,26,FALSE)</f>
        <v>80</v>
      </c>
      <c r="I13" s="1041">
        <f ca="1">IF('ALL SCORES'!$AX$29="","",
SUMIF('R2_G1'!$A$27:$A$31,$A13,'R2_G1'!$AA$27:$AA$31)+
SUMIF('R2_G2'!$A$27:$A$31,$A13,'R2_G2'!$AA$27:$AA$31)+
SUMIF('R2_G3'!$A$27:$A$31,$A13,'R2_G3'!$AA$27:$AA$31)+
SUMIF('R2_G4'!$A$27:$A$31,$A13,'R2_G4'!$AA$27:$AA$31))</f>
        <v>8.5</v>
      </c>
      <c r="J13" s="1041">
        <f ca="1">IF('ALL SCORES'!$AX$29="","",
SUMIF('R2_G1'!$A$27:$A$31,$A13,'R2_G1'!$AA$27:$AA$31)+
SUMIF('R2_G2'!$A$27:$A$31,$A13,'R2_G2'!$AA$27:$AA$31)+
SUMIF('R2_G3'!$A$27:$A$31,$A13,'R2_G3'!$AA$27:$AA$31)+
SUMIF('R2_G4'!$A$27:$A$31,$A13,'R2_G4'!$AA$27:$AA$31))</f>
        <v>8.5</v>
      </c>
      <c r="K13" s="1041">
        <f ca="1">IF('ALL SCORES'!$AX$29="","",
SUMIF('R2_G1'!$A$27:$A$31,$A13,'R2_G1'!$AB$27:$AB$31)+
SUMIF('R2_G2'!$A$27:$A$31,$A13,'R2_G2'!$AB$27:$AB$31)+
SUMIF('R2_G3'!$A$27:$A$31,$A13,'R2_G3'!$AB$27:$AB$31)+
SUMIF('R2_G4'!$A$27:$A$31,$A13,'R2_G4'!$AB$27:$AB$31))</f>
        <v>0.5</v>
      </c>
      <c r="L13" s="1040">
        <f ca="1">IF('ALL SCORES'!$AX$29="","",VLOOKUP($A13,'ALL SCORES'!$AC$29:$BE$44,29,FALSE)/18)</f>
        <v>0.44814814814814824</v>
      </c>
      <c r="M13" s="1014"/>
      <c r="N13" s="1041" t="e">
        <f ca="1">VLOOKUP($A13,'ALL SCORES'!$A$53:$AB$68,26,FALSE)</f>
        <v>#NAME?</v>
      </c>
      <c r="O13" s="1038" t="e">
        <f ca="1">IF('ALL SCORES'!$AX$53="","",
IF(COUNTIF('R3_G1'!$A$25:$A$29,$A13)=1,VLOOKUP($A13,'R3_G1'!$A$25:$AB$29, 27,FALSE),
IF(COUNTIF('R3_G2'!$A$25:$A$29,$A13)=1,VLOOKUP($A13,'R3_G2'!$A$25:$AB$29, 27,FALSE),
IF(COUNTIF('R3_G3'!$A$25:$A$29,$A13)=1,VLOOKUP($A13,'R3_G3'!$A$25:$AB$29, 27,FALSE),
IF(COUNTIF('R3_G4'!$A$25:$A$29,$A13)=1,VLOOKUP($A13,'R3_G4'!$A$25:$AB$29, 27,FALSE), "")))))</f>
        <v>#NAME?</v>
      </c>
      <c r="P13" s="1038" t="e">
        <f ca="1">IF('ALL SCORES'!$AX$53="","",
IF(COUNTIF('R3_G1'!$A$25:$A$29,$A13)=1,VLOOKUP($A13,'R3_G1'!$A$25:$AB$29, 27,FALSE),
IF(COUNTIF('R3_G2'!$A$25:$A$29,$A13)=1,VLOOKUP($A13,'R3_G2'!$A$25:$AB$29, 27,FALSE),
IF(COUNTIF('R3_G3'!$A$25:$A$29,$A13)=1,VLOOKUP($A13,'R3_G3'!$A$25:$AB$29, 27,FALSE),
IF(COUNTIF('R3_G4'!$A$25:$A$29,$A13)=1,VLOOKUP($A13,'R3_G4'!$A$25:$AB$29, 27,FALSE), "")))))</f>
        <v>#NAME?</v>
      </c>
      <c r="Q13" s="1039" t="e">
        <f ca="1">IF('ALL SCORES'!$AX$53="","",
IF(COUNTIF('R3_G1'!$A$25:$A$29,$A13)=1,VLOOKUP($A13,'R3_G1'!$A$25:$AB$29, 28,FALSE),
IF(COUNTIF('R3_G2'!$A$25:$A$29,$A13)=1,VLOOKUP($A13,'R3_G2'!$A$25:$AB$29, 28,FALSE),
IF(COUNTIF('R3_G3'!$A$25:$A$29,$A13)=1,VLOOKUP($A13,'R3_G3'!$A$25:$AB$29, 28,FALSE),
IF(COUNTIF('R3_G4'!$A$25:$A$29,$A13)=1,VLOOKUP($A13,'R3_G4'!$A$25:$AB$29, 28,FALSE), "")))))</f>
        <v>#NAME?</v>
      </c>
      <c r="R13" s="1042" t="e">
        <f ca="1">IF('ALL SCORES'!$AX$68="","",VLOOKUP($A13,'ALL SCORES'!$AC$53:$BE$68,29,FALSE)/18)</f>
        <v>#NAME?</v>
      </c>
      <c r="S13" s="1014"/>
      <c r="T13" s="1037">
        <f ca="1">VLOOKUP($A13,'ALL SCORES'!$A$77:$AA$92,26,FALSE)</f>
        <v>79</v>
      </c>
      <c r="U13" s="1038">
        <f ca="1">IF('ALL SCORES'!$AX$77="","",
IF(COUNTIF('R4_G1'!$A$25:$A$29,$A13)=1,VLOOKUP($A13,'R4_G1'!$A$25:$AB$29, 26,FALSE),
IF(COUNTIF('R4_G2'!$A$25:$A$29,$A13)=1,VLOOKUP($A13,'R4_G2'!$A$25:$AB$29, 26,FALSE),
IF(COUNTIF('R4_G3'!$A$25:$A$29,$A13)=1,VLOOKUP($A13,'R4_G3'!$A$25:$AB$29, 26,FALSE),
IF(COUNTIF('R4_G4'!$A$25:$A$29,$A13)=1,VLOOKUP($A13,'R4_G4'!$A$25:$AB$29, 26,FALSE), "")))))</f>
        <v>9.6000000000000014</v>
      </c>
      <c r="V13" s="1038">
        <f ca="1">IF('ALL SCORES'!$AX$77="","",
IF(COUNTIF('R4_G1'!$A$25:$A$29,$A13)=1,VLOOKUP($A13,'R4_G1'!$A$25:$AB$29, 27,FALSE),
IF(COUNTIF('R4_G2'!$A$25:$A$29,$A13)=1,VLOOKUP($A13,'R4_G2'!$A$25:$AB$29, 27,FALSE),
IF(COUNTIF('R4_G3'!$A$25:$A$29,$A13)=1,VLOOKUP($A13,'R4_G3'!$A$25:$AB$29, 27,FALSE),
IF(COUNTIF('R4_G4'!$A$25:$A$29,$A13)=1,VLOOKUP($A13,'R4_G4'!$A$25:$AB$29, 27,FALSE), "")))))</f>
        <v>2.708333333333333</v>
      </c>
      <c r="W13" s="1038">
        <f ca="1">IF('ALL SCORES'!$AX$77="","",
IF(COUNTIF('R4_G1'!$A$25:$A$29,$A13)=1,VLOOKUP($A13,'R4_G1'!$A$25:$AB$29, 28,FALSE),
IF(COUNTIF('R4_G2'!$A$25:$A$29,$A13)=1,VLOOKUP($A13,'R4_G2'!$A$25:$AB$29, 28,FALSE),
IF(COUNTIF('R4_G3'!$A$25:$A$29,$A13)=1,VLOOKUP($A13,'R4_G3'!$A$25:$AB$29, 28,FALSE),
IF(COUNTIF('R4_G4'!$A$25:$A$29,$A13)=1,VLOOKUP($A13,'R4_G4'!$A$25:$AB$29, 28,FALSE), "")))))</f>
        <v>1.4000000000000004</v>
      </c>
      <c r="X13" s="1042">
        <f ca="1">IF('ALL SCORES'!$AX$77="","",VLOOKUP($A13,'ALL SCORES'!$AC$77:$BE$92,29,FALSE)/18)</f>
        <v>0.52407407407407414</v>
      </c>
      <c r="Y13" s="1014"/>
      <c r="Z13" s="1043" t="e">
        <f t="shared" ca="1" si="1"/>
        <v>#NAME?</v>
      </c>
      <c r="AA13" s="1044" t="e">
        <f t="shared" ca="1" si="2"/>
        <v>#NAME?</v>
      </c>
      <c r="AB13" s="1045" t="e">
        <f t="shared" ca="1" si="3"/>
        <v>#NAME?</v>
      </c>
      <c r="AC13" s="1046" t="e">
        <f t="shared" ca="1" si="4"/>
        <v>#NAME?</v>
      </c>
      <c r="AD13" s="1047" t="e">
        <f t="shared" ca="1" si="5"/>
        <v>#NAME?</v>
      </c>
      <c r="AE13" s="1014"/>
      <c r="AF13" s="1048">
        <f t="shared" ca="1" si="6"/>
        <v>0.45462962962962961</v>
      </c>
      <c r="AG13" s="1048">
        <f t="shared" ca="1" si="7"/>
        <v>0.46018518518518525</v>
      </c>
      <c r="AH13" s="1049" t="e">
        <f t="shared" ca="1" si="8"/>
        <v>#NAME?</v>
      </c>
      <c r="AI13" s="1057">
        <f t="shared" ca="1" si="9"/>
        <v>0.52870370370370368</v>
      </c>
      <c r="AJ13" s="1051" t="e">
        <f t="shared" ca="1" si="10"/>
        <v>#NAME?</v>
      </c>
      <c r="AK13" s="533"/>
      <c r="AL13" s="1058">
        <f t="shared" ca="1" si="11"/>
        <v>1.0625</v>
      </c>
      <c r="AM13" s="1058">
        <f t="shared" ca="1" si="12"/>
        <v>-3.125</v>
      </c>
      <c r="AN13" s="1059" t="e">
        <f t="shared" ca="1" si="13"/>
        <v>#NAME?</v>
      </c>
      <c r="AO13" s="1060">
        <f t="shared" ca="1" si="14"/>
        <v>1.125</v>
      </c>
      <c r="AP13" s="1055" t="e">
        <f t="shared" ca="1" si="15"/>
        <v>#NAME?</v>
      </c>
      <c r="AQ13" s="1056" t="e">
        <f t="shared" ca="1" si="16"/>
        <v>#NAME?</v>
      </c>
      <c r="AR13" s="1038">
        <f>VLOOKUP(AS13,'Master Input'!$A$9:$M$27,'Master Input'!$M$28,FALSE)</f>
        <v>8.5250000000000004</v>
      </c>
      <c r="AS13" s="1035" t="str">
        <f t="shared" si="0"/>
        <v>CuzNick</v>
      </c>
    </row>
    <row r="14" spans="1:45" ht="12.75" customHeight="1">
      <c r="A14" s="1061" t="s">
        <v>241</v>
      </c>
      <c r="B14" s="1062">
        <f ca="1">IF(ISERR(AVERAGE(B6:B13))=TRUE,0,AVERAGE(B6:B13))</f>
        <v>75.375</v>
      </c>
      <c r="C14" s="1063">
        <f t="shared" ref="C14:E14" ca="1" si="17">SUM(C6:C13)</f>
        <v>36.5</v>
      </c>
      <c r="D14" s="1063">
        <f t="shared" ca="1" si="17"/>
        <v>36.5</v>
      </c>
      <c r="E14" s="1063">
        <f t="shared" ca="1" si="17"/>
        <v>8</v>
      </c>
      <c r="F14" s="1064">
        <f ca="1">IF(ISERR(AVERAGE(F6:F13))=TRUE,0,AVERAGE(F6:F13))</f>
        <v>0.52500000000000002</v>
      </c>
      <c r="G14" s="1014"/>
      <c r="H14" s="1062">
        <f ca="1">IF(ISERR(AVERAGE(H6:H13))=TRUE,0,AVERAGE(H6:H13))</f>
        <v>75.75</v>
      </c>
      <c r="I14" s="1063">
        <f t="shared" ref="I14:K14" ca="1" si="18">SUM(I6:I13)</f>
        <v>81</v>
      </c>
      <c r="J14" s="1063">
        <f t="shared" ca="1" si="18"/>
        <v>81</v>
      </c>
      <c r="K14" s="1063">
        <f t="shared" ca="1" si="18"/>
        <v>17</v>
      </c>
      <c r="L14" s="1064">
        <f ca="1">IF(ISERR(AVERAGE(L6:L13))=TRUE,0,AVERAGE(L6:L13))</f>
        <v>0.52546296296296291</v>
      </c>
      <c r="M14" s="1014"/>
      <c r="N14" s="1062">
        <f ca="1">IF(ISERR(AVERAGE(N6:N13))=TRUE,0,AVERAGE(N6:N13))</f>
        <v>0</v>
      </c>
      <c r="O14" s="1062" t="e">
        <f t="shared" ref="O14:Q14" ca="1" si="19">SUM(O6:O13)</f>
        <v>#NAME?</v>
      </c>
      <c r="P14" s="1062" t="e">
        <f t="shared" ca="1" si="19"/>
        <v>#NAME?</v>
      </c>
      <c r="Q14" s="1062" t="e">
        <f t="shared" ca="1" si="19"/>
        <v>#NAME?</v>
      </c>
      <c r="R14" s="1064">
        <f ca="1">IF(ISERR(AVERAGE(R6:R13))=TRUE,0,AVERAGE(R6:R13))</f>
        <v>0</v>
      </c>
      <c r="S14" s="1014"/>
      <c r="T14" s="1062">
        <f ca="1">IF(ISERR(AVERAGE(T6:T13))=TRUE,0,AVERAGE(T6:T13))</f>
        <v>81</v>
      </c>
      <c r="U14" s="1063">
        <f t="shared" ref="U14:W14" ca="1" si="20">SUM(U6:U13)</f>
        <v>72</v>
      </c>
      <c r="V14" s="1063">
        <f t="shared" ca="1" si="20"/>
        <v>28.499999999999996</v>
      </c>
      <c r="W14" s="1063">
        <f t="shared" ca="1" si="20"/>
        <v>10.500000000000002</v>
      </c>
      <c r="X14" s="1064">
        <f ca="1">IF('ALL SCORES'!$AX$77="",0,AVERAGE(X6:X13))</f>
        <v>0.49398148148148147</v>
      </c>
      <c r="Y14" s="1014"/>
      <c r="Z14" s="1062" t="e">
        <f ca="1">AVERAGE(Z6:Z13)</f>
        <v>#NAME?</v>
      </c>
      <c r="AA14" s="1063" t="e">
        <f t="shared" ref="AA14:AB14" ca="1" si="21">SUM(AA6:AA13)</f>
        <v>#NAME?</v>
      </c>
      <c r="AB14" s="1065" t="e">
        <f t="shared" ca="1" si="21"/>
        <v>#NAME?</v>
      </c>
      <c r="AC14" s="1066" t="e">
        <f t="shared" ref="AC14:AD14" ca="1" si="22">AVERAGE(AC6:AC13)</f>
        <v>#NAME?</v>
      </c>
      <c r="AD14" s="1067" t="e">
        <f t="shared" ca="1" si="22"/>
        <v>#NAME?</v>
      </c>
      <c r="AE14" s="1014"/>
      <c r="AF14" s="1068">
        <f t="shared" ref="AF14:AJ14" ca="1" si="23">AVERAGE(AF6:AF13)</f>
        <v>0.51597222222222217</v>
      </c>
      <c r="AG14" s="1068">
        <f t="shared" ca="1" si="23"/>
        <v>0.5439814814814814</v>
      </c>
      <c r="AH14" s="1069" t="e">
        <f t="shared" ca="1" si="23"/>
        <v>#NAME?</v>
      </c>
      <c r="AI14" s="1070">
        <f t="shared" ca="1" si="23"/>
        <v>0.49699074074074068</v>
      </c>
      <c r="AJ14" s="1071" t="e">
        <f t="shared" ca="1" si="23"/>
        <v>#NAME?</v>
      </c>
      <c r="AK14" s="533"/>
      <c r="AL14" s="1072">
        <f t="shared" ref="AL14:AQ14" ca="1" si="24">SUM(AL6:AL13)</f>
        <v>13.5</v>
      </c>
      <c r="AM14" s="1073">
        <f t="shared" ca="1" si="24"/>
        <v>9</v>
      </c>
      <c r="AN14" s="1073" t="e">
        <f t="shared" ca="1" si="24"/>
        <v>#NAME?</v>
      </c>
      <c r="AO14" s="1074">
        <f t="shared" ca="1" si="24"/>
        <v>-7</v>
      </c>
      <c r="AP14" s="1073" t="e">
        <f t="shared" ca="1" si="24"/>
        <v>#NAME?</v>
      </c>
      <c r="AQ14" s="1074" t="e">
        <f t="shared" ca="1" si="24"/>
        <v>#NAME?</v>
      </c>
      <c r="AR14" s="1063">
        <f>AVERAGE(AR6:AR13)</f>
        <v>11.909375000000001</v>
      </c>
      <c r="AS14" s="1035"/>
    </row>
    <row r="15" spans="1:45" ht="12.75" customHeight="1">
      <c r="A15" s="1075" t="str">
        <f>'Master Input'!A19</f>
        <v>WEEZ</v>
      </c>
      <c r="B15" s="1076"/>
      <c r="C15" s="1076"/>
      <c r="D15" s="1076"/>
      <c r="E15" s="1076"/>
      <c r="F15" s="1077"/>
      <c r="G15" s="1014"/>
      <c r="H15" s="1078"/>
      <c r="I15" s="1078"/>
      <c r="J15" s="1078"/>
      <c r="K15" s="1078"/>
      <c r="L15" s="1079"/>
      <c r="M15" s="1014"/>
      <c r="N15" s="1080"/>
      <c r="O15" s="1081"/>
      <c r="P15" s="1081"/>
      <c r="Q15" s="1082"/>
      <c r="R15" s="1083"/>
      <c r="S15" s="1014"/>
      <c r="T15" s="1076"/>
      <c r="U15" s="1081"/>
      <c r="V15" s="1081"/>
      <c r="W15" s="1081"/>
      <c r="X15" s="1083"/>
      <c r="Y15" s="1014"/>
      <c r="Z15" s="1076"/>
      <c r="AA15" s="1081"/>
      <c r="AB15" s="1084"/>
      <c r="AC15" s="1085"/>
      <c r="AD15" s="1086"/>
      <c r="AE15" s="1014"/>
      <c r="AF15" s="1087"/>
      <c r="AG15" s="1087"/>
      <c r="AH15" s="1088"/>
      <c r="AI15" s="1089"/>
      <c r="AJ15" s="1090"/>
      <c r="AK15" s="533"/>
      <c r="AL15" s="1077"/>
      <c r="AM15" s="1077"/>
      <c r="AN15" s="1077"/>
      <c r="AO15" s="1091"/>
      <c r="AP15" s="1092"/>
      <c r="AQ15" s="1093"/>
      <c r="AR15" s="1094"/>
      <c r="AS15" s="1035" t="str">
        <f t="shared" ref="AS15:AS23" si="25">A15</f>
        <v>WEEZ</v>
      </c>
    </row>
    <row r="16" spans="1:45" ht="12.75" customHeight="1">
      <c r="A16" s="1095" t="str">
        <f>'Master Input'!A22</f>
        <v>Jensen</v>
      </c>
      <c r="B16" s="1037">
        <f ca="1">VLOOKUP($A16,'ALL SCORES'!$A$5:$AA$20,26,FALSE)</f>
        <v>78</v>
      </c>
      <c r="C16" s="1038">
        <f ca="1">IF('ALL SCORES'!$AX$5="","",
IF(COUNTIF('R1_G1'!$A$25:$A$29,$A16)=1,VLOOKUP($A16,'R1_G1'!$A$25:$AB$29, 26,FALSE),
IF(COUNTIF('R1_G2'!$A$25:$A$29,$A16)=1,VLOOKUP($A16,'R1_G2'!$A$25:$AB$29, 26,FALSE),
IF(COUNTIF('R1_G3'!$A$25:$A$29,$A16)=1,VLOOKUP($A16,'R1_G3'!$A$25:$AB$29, 26,FALSE),
IF(COUNTIF('R1_G4'!$A$25:$A$29,$A16)=1,VLOOKUP($A16,'R1_G4'!$A$25:$AB$29, 26,FALSE), "")))))</f>
        <v>3.6666666666666665</v>
      </c>
      <c r="D16" s="1038">
        <f ca="1">IF('ALL SCORES'!$AX$5="","",
IF(COUNTIF('R1_G1'!$A$25:$A$29,$A16)=1,VLOOKUP($A16,'R1_G1'!$A$25:$AB$29, 27,FALSE),
IF(COUNTIF('R1_G2'!$A$25:$A$29,$A16)=1,VLOOKUP($A16,'R1_G2'!$A$25:$AB$29, 27,FALSE),
IF(COUNTIF('R1_G3'!$A$25:$A$29,$A16)=1,VLOOKUP($A16,'R1_G3'!$A$25:$AB$29, 27,FALSE),
IF(COUNTIF('R1_G4'!$A$25:$A$29,$A16)=1,VLOOKUP($A16,'R1_G4'!$A$25:$AB$29, 27,FALSE), "")))))</f>
        <v>3.6666666666666665</v>
      </c>
      <c r="E16" s="1039">
        <f ca="1">IF('ALL SCORES'!$AX$5="","",
IF(COUNTIF('R1_G1'!$A$25:$A$29,$A16)=1,VLOOKUP($A16,'R1_G1'!$A$25:$AB$29, 28,FALSE),
IF(COUNTIF('R1_G2'!$A$25:$A$29,$A16)=1,VLOOKUP($A16,'R1_G2'!$A$25:$AB$29, 28,FALSE),
IF(COUNTIF('R1_G3'!$A$25:$A$29,$A16)=1,VLOOKUP($A16,'R1_G3'!$A$25:$AB$29, 28,FALSE),
IF(COUNTIF('R1_G4'!$A$25:$A$29,$A16)=1,VLOOKUP($A16,'R1_G4'!$A$25:$AB$29, 28,FALSE), "")))))</f>
        <v>0.52380952380952384</v>
      </c>
      <c r="F16" s="1040">
        <f ca="1">IF('ALL SCORES'!$AX$5="","",VLOOKUP($A16,'ALL SCORES'!$AC$5:$BE$20,29,FALSE)/18)</f>
        <v>0.49259259259259264</v>
      </c>
      <c r="G16" s="998"/>
      <c r="H16" s="1037">
        <f ca="1">VLOOKUP($A16,'ALL SCORES'!$A$29:$AB$44,26,FALSE)</f>
        <v>74</v>
      </c>
      <c r="I16" s="1041">
        <f ca="1">IF('ALL SCORES'!$AX$29="","",
SUMIF('R2_G1'!$A$27:$A$31,$A16,'R2_G1'!$AA$27:$AA$31)+
SUMIF('R2_G2'!$A$27:$A$31,$A16,'R2_G2'!$AA$27:$AA$31)+
SUMIF('R2_G3'!$A$27:$A$31,$A16,'R2_G3'!$AA$27:$AA$31)+
SUMIF('R2_G4'!$A$27:$A$31,$A16,'R2_G4'!$AA$27:$AA$31))</f>
        <v>9.5</v>
      </c>
      <c r="J16" s="1041">
        <f ca="1">IF('ALL SCORES'!$AX$29="","",
SUMIF('R2_G1'!$A$27:$A$31,$A16,'R2_G1'!$AA$27:$AA$31)+
SUMIF('R2_G2'!$A$27:$A$31,$A16,'R2_G2'!$AA$27:$AA$31)+
SUMIF('R2_G3'!$A$27:$A$31,$A16,'R2_G3'!$AA$27:$AA$31)+
SUMIF('R2_G4'!$A$27:$A$31,$A16,'R2_G4'!$AA$27:$AA$31))</f>
        <v>9.5</v>
      </c>
      <c r="K16" s="1041">
        <f ca="1">IF('ALL SCORES'!$AX$29="","",
SUMIF('R2_G1'!$A$27:$A$31,$A16,'R2_G1'!$AB$27:$AB$31)+
SUMIF('R2_G2'!$A$27:$A$31,$A16,'R2_G2'!$AB$27:$AB$31)+
SUMIF('R2_G3'!$A$27:$A$31,$A16,'R2_G3'!$AB$27:$AB$31)+
SUMIF('R2_G4'!$A$27:$A$31,$A16,'R2_G4'!$AB$27:$AB$31))</f>
        <v>2.5</v>
      </c>
      <c r="L16" s="1040">
        <f ca="1">IF('ALL SCORES'!$AX$29="","",VLOOKUP($A16,'ALL SCORES'!$AC$29:$BE$44,29,FALSE)/18)</f>
        <v>0.55000000000000016</v>
      </c>
      <c r="M16" s="1014"/>
      <c r="N16" s="1041" t="e">
        <f ca="1">VLOOKUP($A16,'ALL SCORES'!$A$53:$AB$68,26,FALSE)</f>
        <v>#NAME?</v>
      </c>
      <c r="O16" s="1038" t="e">
        <f ca="1">IF('ALL SCORES'!$AX$53="","",
IF(COUNTIF('R3_G1'!$A$25:$A$29,$A16)=1,VLOOKUP($A16,'R3_G1'!$A$25:$AB$29, 27,FALSE),
IF(COUNTIF('R3_G2'!$A$25:$A$29,$A16)=1,VLOOKUP($A16,'R3_G2'!$A$25:$AB$29, 27,FALSE),
IF(COUNTIF('R3_G3'!$A$25:$A$29,$A16)=1,VLOOKUP($A16,'R3_G3'!$A$25:$AB$29, 27,FALSE),
IF(COUNTIF('R3_G4'!$A$25:$A$29,$A16)=1,VLOOKUP($A16,'R3_G4'!$A$25:$AB$29, 27,FALSE), "")))))</f>
        <v>#NAME?</v>
      </c>
      <c r="P16" s="1038" t="e">
        <f ca="1">IF('ALL SCORES'!$AX$53="","",
IF(COUNTIF('R3_G1'!$A$25:$A$29,$A16)=1,VLOOKUP($A16,'R3_G1'!$A$25:$AB$29, 27,FALSE),
IF(COUNTIF('R3_G2'!$A$25:$A$29,$A16)=1,VLOOKUP($A16,'R3_G2'!$A$25:$AB$29, 27,FALSE),
IF(COUNTIF('R3_G3'!$A$25:$A$29,$A16)=1,VLOOKUP($A16,'R3_G3'!$A$25:$AB$29, 27,FALSE),
IF(COUNTIF('R3_G4'!$A$25:$A$29,$A16)=1,VLOOKUP($A16,'R3_G4'!$A$25:$AB$29, 27,FALSE), "")))))</f>
        <v>#NAME?</v>
      </c>
      <c r="Q16" s="1039" t="e">
        <f ca="1">IF('ALL SCORES'!$AX$53="","",
IF(COUNTIF('R3_G1'!$A$25:$A$29,$A16)=1,VLOOKUP($A16,'R3_G1'!$A$25:$AB$29, 28,FALSE),
IF(COUNTIF('R3_G2'!$A$25:$A$29,$A16)=1,VLOOKUP($A16,'R3_G2'!$A$25:$AB$29, 28,FALSE),
IF(COUNTIF('R3_G3'!$A$25:$A$29,$A16)=1,VLOOKUP($A16,'R3_G3'!$A$25:$AB$29, 28,FALSE),
IF(COUNTIF('R3_G4'!$A$25:$A$29,$A16)=1,VLOOKUP($A16,'R3_G4'!$A$25:$AB$29, 28,FALSE), "")))))</f>
        <v>#NAME?</v>
      </c>
      <c r="R16" s="1042" t="e">
        <f ca="1">IF('ALL SCORES'!$AX$68="","",VLOOKUP($A16,'ALL SCORES'!$AC$53:$BE$68,29,FALSE)/18)</f>
        <v>#NAME?</v>
      </c>
      <c r="S16" s="1014"/>
      <c r="T16" s="1037">
        <f ca="1">VLOOKUP($A16,'ALL SCORES'!$A$77:$AA$92,26,FALSE)</f>
        <v>69</v>
      </c>
      <c r="U16" s="1038">
        <f ca="1">IF('ALL SCORES'!$AX$77="","",
IF(COUNTIF('R4_G1'!$A$25:$A$29,$A16)=1,VLOOKUP($A16,'R4_G1'!$A$25:$AB$29, 26,FALSE),
IF(COUNTIF('R4_G2'!$A$25:$A$29,$A16)=1,VLOOKUP($A16,'R4_G2'!$A$25:$AB$29, 26,FALSE),
IF(COUNTIF('R4_G3'!$A$25:$A$29,$A16)=1,VLOOKUP($A16,'R4_G3'!$A$25:$AB$29, 26,FALSE),
IF(COUNTIF('R4_G4'!$A$25:$A$29,$A16)=1,VLOOKUP($A16,'R4_G4'!$A$25:$AB$29, 26,FALSE), "")))))</f>
        <v>12.133333333333333</v>
      </c>
      <c r="V16" s="1038">
        <f ca="1">IF('ALL SCORES'!$AX$77="","",
IF(COUNTIF('R4_G1'!$A$25:$A$29,$A16)=1,VLOOKUP($A16,'R4_G1'!$A$25:$AB$29, 27,FALSE),
IF(COUNTIF('R4_G2'!$A$25:$A$29,$A16)=1,VLOOKUP($A16,'R4_G2'!$A$25:$AB$29, 27,FALSE),
IF(COUNTIF('R4_G3'!$A$25:$A$29,$A16)=1,VLOOKUP($A16,'R4_G3'!$A$25:$AB$29, 27,FALSE),
IF(COUNTIF('R4_G4'!$A$25:$A$29,$A16)=1,VLOOKUP($A16,'R4_G4'!$A$25:$AB$29, 27,FALSE), "")))))</f>
        <v>8.6750000000000007</v>
      </c>
      <c r="W16" s="1038">
        <f ca="1">IF('ALL SCORES'!$AX$77="","",
IF(COUNTIF('R4_G1'!$A$25:$A$29,$A16)=1,VLOOKUP($A16,'R4_G1'!$A$25:$AB$29, 28,FALSE),
IF(COUNTIF('R4_G2'!$A$25:$A$29,$A16)=1,VLOOKUP($A16,'R4_G2'!$A$25:$AB$29, 28,FALSE),
IF(COUNTIF('R4_G3'!$A$25:$A$29,$A16)=1,VLOOKUP($A16,'R4_G3'!$A$25:$AB$29, 28,FALSE),
IF(COUNTIF('R4_G4'!$A$25:$A$29,$A16)=1,VLOOKUP($A16,'R4_G4'!$A$25:$AB$29, 28,FALSE), "")))))</f>
        <v>2.7805555555555554</v>
      </c>
      <c r="X16" s="1042">
        <f ca="1">IF('ALL SCORES'!$AX$77="","",VLOOKUP($A16,'ALL SCORES'!$AC$77:$BE$92,29,FALSE)/18)</f>
        <v>0.63888888888888873</v>
      </c>
      <c r="Y16" s="1014"/>
      <c r="Z16" s="1043" t="e">
        <f t="shared" ref="Z16:Z23" ca="1" si="26">AVERAGE(B16,H16,N16,T16)</f>
        <v>#NAME?</v>
      </c>
      <c r="AA16" s="1044" t="e">
        <f t="shared" ref="AA16:AA23" ca="1" si="27">SUM(D16,J16/2,P16,(U16/$U$25*144)/($U$25/$V$25))</f>
        <v>#NAME?</v>
      </c>
      <c r="AB16" s="1045" t="e">
        <f t="shared" ref="AB16:AB23" ca="1" si="28">SUM(E16,K16,Q16,W16)</f>
        <v>#NAME?</v>
      </c>
      <c r="AC16" s="1046" t="e">
        <f t="shared" ref="AC16:AC23" ca="1" si="29">AVERAGE(D16/9,J16/18,P16/9,(U16/$U$25*144)/($U$25/$V$25)/9)</f>
        <v>#NAME?</v>
      </c>
      <c r="AD16" s="1047" t="e">
        <f t="shared" ref="AD16:AD23" ca="1" si="30">AVERAGE(F16,L16,R16,X16)</f>
        <v>#NAME?</v>
      </c>
      <c r="AE16" s="1014"/>
      <c r="AF16" s="1048">
        <f t="shared" ref="AF16:AF23" ca="1" si="31">(($D16/9)+$F16)/2</f>
        <v>0.45</v>
      </c>
      <c r="AG16" s="1048">
        <f t="shared" ref="AG16:AG23" ca="1" si="32">(($J16/18)+$L16)/2</f>
        <v>0.53888888888888897</v>
      </c>
      <c r="AH16" s="1049" t="e">
        <f t="shared" ref="AH16:AH23" ca="1" si="33">(($P16/9)+$R16)/2</f>
        <v>#NAME?</v>
      </c>
      <c r="AI16" s="1057">
        <f t="shared" ref="AI16:AI23" ca="1" si="34">IF(U16="","",
(((U16/$U$25*144)/($U$25/$V$25)/9)+$X16)/2
)</f>
        <v>0.65648148148148122</v>
      </c>
      <c r="AJ16" s="1051" t="e">
        <f t="shared" ref="AJ16:AJ23" ca="1" si="35">AVERAGE(AF16:AI16)</f>
        <v>#NAME?</v>
      </c>
      <c r="AK16" s="533"/>
      <c r="AL16" s="1058">
        <f t="shared" ref="AL16:AL23" ca="1" si="36">$B$25-$B16</f>
        <v>-0.9375</v>
      </c>
      <c r="AM16" s="1058">
        <f t="shared" ref="AM16:AM23" ca="1" si="37">$H$25-$H16</f>
        <v>2.875</v>
      </c>
      <c r="AN16" s="1059" t="e">
        <f t="shared" ref="AN16:AN23" ca="1" si="38">$N$25-$N16</f>
        <v>#NAME?</v>
      </c>
      <c r="AO16" s="1060">
        <f t="shared" ref="AO16:AO23" ca="1" si="39">$T$25-$T16</f>
        <v>11.125</v>
      </c>
      <c r="AP16" s="1055" t="e">
        <f t="shared" ref="AP16:AP23" ca="1" si="40">AVERAGE(AL16:AO16)</f>
        <v>#NAME?</v>
      </c>
      <c r="AQ16" s="1056" t="e">
        <f t="shared" ref="AQ16:AQ23" ca="1" si="41">SUM(AL16:AO16)</f>
        <v>#NAME?</v>
      </c>
      <c r="AR16" s="1038">
        <f>VLOOKUP(AS16,'Master Input'!$A$9:$M$27,'Master Input'!$M$28,FALSE)</f>
        <v>6.7</v>
      </c>
      <c r="AS16" s="1035" t="str">
        <f t="shared" si="25"/>
        <v>Jensen</v>
      </c>
    </row>
    <row r="17" spans="1:45" ht="12.75" customHeight="1">
      <c r="A17" s="1096" t="str">
        <f>'Master Input'!A27</f>
        <v>Weezy</v>
      </c>
      <c r="B17" s="1037">
        <f ca="1">VLOOKUP($A17,'ALL SCORES'!$A$5:$AA$20,26,FALSE)</f>
        <v>76</v>
      </c>
      <c r="C17" s="1038">
        <f ca="1">IF('ALL SCORES'!$AX$5="","",
IF(COUNTIF('R1_G1'!$A$25:$A$29,$A17)=1,VLOOKUP($A17,'R1_G1'!$A$25:$AB$29, 26,FALSE),
IF(COUNTIF('R1_G2'!$A$25:$A$29,$A17)=1,VLOOKUP($A17,'R1_G2'!$A$25:$AB$29, 26,FALSE),
IF(COUNTIF('R1_G3'!$A$25:$A$29,$A17)=1,VLOOKUP($A17,'R1_G3'!$A$25:$AB$29, 26,FALSE),
IF(COUNTIF('R1_G4'!$A$25:$A$29,$A17)=1,VLOOKUP($A17,'R1_G4'!$A$25:$AB$29, 26,FALSE), "")))))</f>
        <v>5.25</v>
      </c>
      <c r="D17" s="1038">
        <f ca="1">IF('ALL SCORES'!$AX$5="","",
IF(COUNTIF('R1_G1'!$A$25:$A$29,$A17)=1,VLOOKUP($A17,'R1_G1'!$A$25:$AB$29, 27,FALSE),
IF(COUNTIF('R1_G2'!$A$25:$A$29,$A17)=1,VLOOKUP($A17,'R1_G2'!$A$25:$AB$29, 27,FALSE),
IF(COUNTIF('R1_G3'!$A$25:$A$29,$A17)=1,VLOOKUP($A17,'R1_G3'!$A$25:$AB$29, 27,FALSE),
IF(COUNTIF('R1_G4'!$A$25:$A$29,$A17)=1,VLOOKUP($A17,'R1_G4'!$A$25:$AB$29, 27,FALSE), "")))))</f>
        <v>5.25</v>
      </c>
      <c r="E17" s="1039">
        <f ca="1">IF('ALL SCORES'!$AX$5="","",
IF(COUNTIF('R1_G1'!$A$25:$A$29,$A17)=1,VLOOKUP($A17,'R1_G1'!$A$25:$AB$29, 28,FALSE),
IF(COUNTIF('R1_G2'!$A$25:$A$29,$A17)=1,VLOOKUP($A17,'R1_G2'!$A$25:$AB$29, 28,FALSE),
IF(COUNTIF('R1_G3'!$A$25:$A$29,$A17)=1,VLOOKUP($A17,'R1_G3'!$A$25:$AB$29, 28,FALSE),
IF(COUNTIF('R1_G4'!$A$25:$A$29,$A17)=1,VLOOKUP($A17,'R1_G4'!$A$25:$AB$29, 28,FALSE), "")))))</f>
        <v>0.61764705882352944</v>
      </c>
      <c r="F17" s="1040">
        <f ca="1">IF('ALL SCORES'!$AX$5="","",VLOOKUP($A17,'ALL SCORES'!$AC$5:$BE$20,29,FALSE)/18)</f>
        <v>0.52777777777777768</v>
      </c>
      <c r="G17" s="998"/>
      <c r="H17" s="1037">
        <f ca="1">VLOOKUP($A17,'ALL SCORES'!$A$29:$AB$44,26,FALSE)</f>
        <v>74</v>
      </c>
      <c r="I17" s="1041">
        <f ca="1">IF('ALL SCORES'!$AX$29="","",
SUMIF('R2_G1'!$A$27:$A$31,$A17,'R2_G1'!$AA$27:$AA$31)+
SUMIF('R2_G2'!$A$27:$A$31,$A17,'R2_G2'!$AA$27:$AA$31)+
SUMIF('R2_G3'!$A$27:$A$31,$A17,'R2_G3'!$AA$27:$AA$31)+
SUMIF('R2_G4'!$A$27:$A$31,$A17,'R2_G4'!$AA$27:$AA$31))</f>
        <v>11</v>
      </c>
      <c r="J17" s="1041">
        <f ca="1">IF('ALL SCORES'!$AX$29="","",
SUMIF('R2_G1'!$A$27:$A$31,$A17,'R2_G1'!$AA$27:$AA$31)+
SUMIF('R2_G2'!$A$27:$A$31,$A17,'R2_G2'!$AA$27:$AA$31)+
SUMIF('R2_G3'!$A$27:$A$31,$A17,'R2_G3'!$AA$27:$AA$31)+
SUMIF('R2_G4'!$A$27:$A$31,$A17,'R2_G4'!$AA$27:$AA$31))</f>
        <v>11</v>
      </c>
      <c r="K17" s="1041">
        <f ca="1">IF('ALL SCORES'!$AX$29="","",
SUMIF('R2_G1'!$A$27:$A$31,$A17,'R2_G1'!$AB$27:$AB$31)+
SUMIF('R2_G2'!$A$27:$A$31,$A17,'R2_G2'!$AB$27:$AB$31)+
SUMIF('R2_G3'!$A$27:$A$31,$A17,'R2_G3'!$AB$27:$AB$31)+
SUMIF('R2_G4'!$A$27:$A$31,$A17,'R2_G4'!$AB$27:$AB$31))</f>
        <v>3</v>
      </c>
      <c r="L17" s="1040">
        <f ca="1">IF('ALL SCORES'!$AX$29="","",VLOOKUP($A17,'ALL SCORES'!$AC$29:$BE$44,29,FALSE)/18)</f>
        <v>0.55740740740740735</v>
      </c>
      <c r="M17" s="1014"/>
      <c r="N17" s="1041" t="e">
        <f ca="1">VLOOKUP($A17,'ALL SCORES'!$A$53:$AB$68,26,FALSE)</f>
        <v>#NAME?</v>
      </c>
      <c r="O17" s="1038" t="e">
        <f ca="1">IF('ALL SCORES'!$AX$53="","",
IF(COUNTIF('R3_G1'!$A$25:$A$29,$A17)=1,VLOOKUP($A17,'R3_G1'!$A$25:$AB$29, 27,FALSE),
IF(COUNTIF('R3_G2'!$A$25:$A$29,$A17)=1,VLOOKUP($A17,'R3_G2'!$A$25:$AB$29, 27,FALSE),
IF(COUNTIF('R3_G3'!$A$25:$A$29,$A17)=1,VLOOKUP($A17,'R3_G3'!$A$25:$AB$29, 27,FALSE),
IF(COUNTIF('R3_G4'!$A$25:$A$29,$A17)=1,VLOOKUP($A17,'R3_G4'!$A$25:$AB$29, 27,FALSE), "")))))</f>
        <v>#NAME?</v>
      </c>
      <c r="P17" s="1038" t="e">
        <f ca="1">IF('ALL SCORES'!$AX$53="","",
IF(COUNTIF('R3_G1'!$A$25:$A$29,$A17)=1,VLOOKUP($A17,'R3_G1'!$A$25:$AB$29, 27,FALSE),
IF(COUNTIF('R3_G2'!$A$25:$A$29,$A17)=1,VLOOKUP($A17,'R3_G2'!$A$25:$AB$29, 27,FALSE),
IF(COUNTIF('R3_G3'!$A$25:$A$29,$A17)=1,VLOOKUP($A17,'R3_G3'!$A$25:$AB$29, 27,FALSE),
IF(COUNTIF('R3_G4'!$A$25:$A$29,$A17)=1,VLOOKUP($A17,'R3_G4'!$A$25:$AB$29, 27,FALSE), "")))))</f>
        <v>#NAME?</v>
      </c>
      <c r="Q17" s="1039" t="e">
        <f ca="1">IF('ALL SCORES'!$AX$53="","",
IF(COUNTIF('R3_G1'!$A$25:$A$29,$A17)=1,VLOOKUP($A17,'R3_G1'!$A$25:$AB$29, 28,FALSE),
IF(COUNTIF('R3_G2'!$A$25:$A$29,$A17)=1,VLOOKUP($A17,'R3_G2'!$A$25:$AB$29, 28,FALSE),
IF(COUNTIF('R3_G3'!$A$25:$A$29,$A17)=1,VLOOKUP($A17,'R3_G3'!$A$25:$AB$29, 28,FALSE),
IF(COUNTIF('R3_G4'!$A$25:$A$29,$A17)=1,VLOOKUP($A17,'R3_G4'!$A$25:$AB$29, 28,FALSE), "")))))</f>
        <v>#NAME?</v>
      </c>
      <c r="R17" s="1042" t="e">
        <f ca="1">IF('ALL SCORES'!$AX$68="","",VLOOKUP($A17,'ALL SCORES'!$AC$53:$BE$68,29,FALSE)/18)</f>
        <v>#NAME?</v>
      </c>
      <c r="S17" s="1014"/>
      <c r="T17" s="1037">
        <f ca="1">VLOOKUP($A17,'ALL SCORES'!$A$77:$AA$92,26,FALSE)</f>
        <v>76</v>
      </c>
      <c r="U17" s="1038">
        <f ca="1">IF('ALL SCORES'!$AX$77="","",
IF(COUNTIF('R4_G1'!$A$25:$A$29,$A17)=1,VLOOKUP($A17,'R4_G1'!$A$25:$AB$29, 26,FALSE),
IF(COUNTIF('R4_G2'!$A$25:$A$29,$A17)=1,VLOOKUP($A17,'R4_G2'!$A$25:$AB$29, 26,FALSE),
IF(COUNTIF('R4_G3'!$A$25:$A$29,$A17)=1,VLOOKUP($A17,'R4_G3'!$A$25:$AB$29, 26,FALSE),
IF(COUNTIF('R4_G4'!$A$25:$A$29,$A17)=1,VLOOKUP($A17,'R4_G4'!$A$25:$AB$29, 26,FALSE), "")))))</f>
        <v>9.1333333333333329</v>
      </c>
      <c r="V17" s="1038">
        <f ca="1">IF('ALL SCORES'!$AX$77="","",
IF(COUNTIF('R4_G1'!$A$25:$A$29,$A17)=1,VLOOKUP($A17,'R4_G1'!$A$25:$AB$29, 27,FALSE),
IF(COUNTIF('R4_G2'!$A$25:$A$29,$A17)=1,VLOOKUP($A17,'R4_G2'!$A$25:$AB$29, 27,FALSE),
IF(COUNTIF('R4_G3'!$A$25:$A$29,$A17)=1,VLOOKUP($A17,'R4_G3'!$A$25:$AB$29, 27,FALSE),
IF(COUNTIF('R4_G4'!$A$25:$A$29,$A17)=1,VLOOKUP($A17,'R4_G4'!$A$25:$AB$29, 27,FALSE), "")))))</f>
        <v>4.9083333333333332</v>
      </c>
      <c r="W17" s="1038">
        <f ca="1">IF('ALL SCORES'!$AX$77="","",
IF(COUNTIF('R4_G1'!$A$25:$A$29,$A17)=1,VLOOKUP($A17,'R4_G1'!$A$25:$AB$29, 28,FALSE),
IF(COUNTIF('R4_G2'!$A$25:$A$29,$A17)=1,VLOOKUP($A17,'R4_G2'!$A$25:$AB$29, 28,FALSE),
IF(COUNTIF('R4_G3'!$A$25:$A$29,$A17)=1,VLOOKUP($A17,'R4_G3'!$A$25:$AB$29, 28,FALSE),
IF(COUNTIF('R4_G4'!$A$25:$A$29,$A17)=1,VLOOKUP($A17,'R4_G4'!$A$25:$AB$29, 28,FALSE), "")))))</f>
        <v>2.0930555555555554</v>
      </c>
      <c r="X17" s="1042">
        <f ca="1">IF('ALL SCORES'!$AX$77="","",VLOOKUP($A17,'ALL SCORES'!$AC$77:$BE$92,29,FALSE)/18)</f>
        <v>0.53888888888888886</v>
      </c>
      <c r="Y17" s="1014"/>
      <c r="Z17" s="1043" t="e">
        <f t="shared" ca="1" si="26"/>
        <v>#NAME?</v>
      </c>
      <c r="AA17" s="1044" t="e">
        <f t="shared" ca="1" si="27"/>
        <v>#NAME?</v>
      </c>
      <c r="AB17" s="1045" t="e">
        <f t="shared" ca="1" si="28"/>
        <v>#NAME?</v>
      </c>
      <c r="AC17" s="1046" t="e">
        <f t="shared" ca="1" si="29"/>
        <v>#NAME?</v>
      </c>
      <c r="AD17" s="1047" t="e">
        <f t="shared" ca="1" si="30"/>
        <v>#NAME?</v>
      </c>
      <c r="AE17" s="1014"/>
      <c r="AF17" s="1048">
        <f t="shared" ca="1" si="31"/>
        <v>0.55555555555555558</v>
      </c>
      <c r="AG17" s="1048">
        <f t="shared" ca="1" si="32"/>
        <v>0.58425925925925926</v>
      </c>
      <c r="AH17" s="1049" t="e">
        <f t="shared" ca="1" si="33"/>
        <v>#NAME?</v>
      </c>
      <c r="AI17" s="1057">
        <f t="shared" ca="1" si="34"/>
        <v>0.52314814814814814</v>
      </c>
      <c r="AJ17" s="1051" t="e">
        <f t="shared" ca="1" si="35"/>
        <v>#NAME?</v>
      </c>
      <c r="AK17" s="533"/>
      <c r="AL17" s="1058">
        <f t="shared" ca="1" si="36"/>
        <v>1.0625</v>
      </c>
      <c r="AM17" s="1058">
        <f t="shared" ca="1" si="37"/>
        <v>2.875</v>
      </c>
      <c r="AN17" s="1059" t="e">
        <f t="shared" ca="1" si="38"/>
        <v>#NAME?</v>
      </c>
      <c r="AO17" s="1060">
        <f t="shared" ca="1" si="39"/>
        <v>4.125</v>
      </c>
      <c r="AP17" s="1055" t="e">
        <f t="shared" ca="1" si="40"/>
        <v>#NAME?</v>
      </c>
      <c r="AQ17" s="1056" t="e">
        <f t="shared" ca="1" si="41"/>
        <v>#NAME?</v>
      </c>
      <c r="AR17" s="1038">
        <f>VLOOKUP(AS17,'Master Input'!$A$9:$M$27,'Master Input'!$M$28,FALSE)</f>
        <v>15.125</v>
      </c>
      <c r="AS17" s="1035" t="str">
        <f t="shared" si="25"/>
        <v>Weezy</v>
      </c>
    </row>
    <row r="18" spans="1:45" ht="12.75" customHeight="1">
      <c r="A18" s="1097" t="str">
        <f>'Master Input'!A24</f>
        <v>T-Mo</v>
      </c>
      <c r="B18" s="1037">
        <f ca="1">VLOOKUP($A18,'ALL SCORES'!$A$5:$AA$20,26,FALSE)</f>
        <v>76</v>
      </c>
      <c r="C18" s="1038">
        <f ca="1">IF('ALL SCORES'!$AX$5="","",
IF(COUNTIF('R1_G1'!$A$25:$A$29,$A18)=1,VLOOKUP($A18,'R1_G1'!$A$25:$AB$29, 26,FALSE),
IF(COUNTIF('R1_G2'!$A$25:$A$29,$A18)=1,VLOOKUP($A18,'R1_G2'!$A$25:$AB$29, 26,FALSE),
IF(COUNTIF('R1_G3'!$A$25:$A$29,$A18)=1,VLOOKUP($A18,'R1_G3'!$A$25:$AB$29, 26,FALSE),
IF(COUNTIF('R1_G4'!$A$25:$A$29,$A18)=1,VLOOKUP($A18,'R1_G4'!$A$25:$AB$29, 26,FALSE), "")))))</f>
        <v>6.75</v>
      </c>
      <c r="D18" s="1038">
        <f ca="1">IF('ALL SCORES'!$AX$5="","",
IF(COUNTIF('R1_G1'!$A$25:$A$29,$A18)=1,VLOOKUP($A18,'R1_G1'!$A$25:$AB$29, 27,FALSE),
IF(COUNTIF('R1_G2'!$A$25:$A$29,$A18)=1,VLOOKUP($A18,'R1_G2'!$A$25:$AB$29, 27,FALSE),
IF(COUNTIF('R1_G3'!$A$25:$A$29,$A18)=1,VLOOKUP($A18,'R1_G3'!$A$25:$AB$29, 27,FALSE),
IF(COUNTIF('R1_G4'!$A$25:$A$29,$A18)=1,VLOOKUP($A18,'R1_G4'!$A$25:$AB$29, 27,FALSE), "")))))</f>
        <v>6.75</v>
      </c>
      <c r="E18" s="1039">
        <f ca="1">IF('ALL SCORES'!$AX$5="","",
IF(COUNTIF('R1_G1'!$A$25:$A$29,$A18)=1,VLOOKUP($A18,'R1_G1'!$A$25:$AB$29, 28,FALSE),
IF(COUNTIF('R1_G2'!$A$25:$A$29,$A18)=1,VLOOKUP($A18,'R1_G2'!$A$25:$AB$29, 28,FALSE),
IF(COUNTIF('R1_G3'!$A$25:$A$29,$A18)=1,VLOOKUP($A18,'R1_G3'!$A$25:$AB$29, 28,FALSE),
IF(COUNTIF('R1_G4'!$A$25:$A$29,$A18)=1,VLOOKUP($A18,'R1_G4'!$A$25:$AB$29, 28,FALSE), "")))))</f>
        <v>2.0593220338983049</v>
      </c>
      <c r="F18" s="1040">
        <f ca="1">IF('ALL SCORES'!$AX$5="","",VLOOKUP($A18,'ALL SCORES'!$AC$5:$BE$20,29,FALSE)/18)</f>
        <v>0.49814814814814806</v>
      </c>
      <c r="G18" s="1014"/>
      <c r="H18" s="1037">
        <f ca="1">VLOOKUP($A18,'ALL SCORES'!$A$29:$AB$44,26,FALSE)</f>
        <v>76</v>
      </c>
      <c r="I18" s="1041">
        <f ca="1">IF('ALL SCORES'!$AX$29="","",
SUMIF('R2_G1'!$A$27:$A$31,$A18,'R2_G1'!$AA$27:$AA$31)+
SUMIF('R2_G2'!$A$27:$A$31,$A18,'R2_G2'!$AA$27:$AA$31)+
SUMIF('R2_G3'!$A$27:$A$31,$A18,'R2_G3'!$AA$27:$AA$31)+
SUMIF('R2_G4'!$A$27:$A$31,$A18,'R2_G4'!$AA$27:$AA$31))</f>
        <v>7</v>
      </c>
      <c r="J18" s="1041">
        <f ca="1">IF('ALL SCORES'!$AX$29="","",
SUMIF('R2_G1'!$A$27:$A$31,$A18,'R2_G1'!$AA$27:$AA$31)+
SUMIF('R2_G2'!$A$27:$A$31,$A18,'R2_G2'!$AA$27:$AA$31)+
SUMIF('R2_G3'!$A$27:$A$31,$A18,'R2_G3'!$AA$27:$AA$31)+
SUMIF('R2_G4'!$A$27:$A$31,$A18,'R2_G4'!$AA$27:$AA$31))</f>
        <v>7</v>
      </c>
      <c r="K18" s="1041">
        <f ca="1">IF('ALL SCORES'!$AX$29="","",
SUMIF('R2_G1'!$A$27:$A$31,$A18,'R2_G1'!$AB$27:$AB$31)+
SUMIF('R2_G2'!$A$27:$A$31,$A18,'R2_G2'!$AB$27:$AB$31)+
SUMIF('R2_G3'!$A$27:$A$31,$A18,'R2_G3'!$AB$27:$AB$31)+
SUMIF('R2_G4'!$A$27:$A$31,$A18,'R2_G4'!$AB$27:$AB$31))</f>
        <v>0</v>
      </c>
      <c r="L18" s="1040">
        <f ca="1">IF('ALL SCORES'!$AX$29="","",VLOOKUP($A18,'ALL SCORES'!$AC$29:$BE$44,29,FALSE)/18)</f>
        <v>0.50740740740740742</v>
      </c>
      <c r="M18" s="1014"/>
      <c r="N18" s="1041" t="e">
        <f ca="1">VLOOKUP($A18,'ALL SCORES'!$A$53:$AB$68,26,FALSE)</f>
        <v>#NAME?</v>
      </c>
      <c r="O18" s="1038" t="e">
        <f ca="1">IF('ALL SCORES'!$AX$53="","",
IF(COUNTIF('R3_G1'!$A$25:$A$29,$A18)=1,VLOOKUP($A18,'R3_G1'!$A$25:$AB$29, 27,FALSE),
IF(COUNTIF('R3_G2'!$A$25:$A$29,$A18)=1,VLOOKUP($A18,'R3_G2'!$A$25:$AB$29, 27,FALSE),
IF(COUNTIF('R3_G3'!$A$25:$A$29,$A18)=1,VLOOKUP($A18,'R3_G3'!$A$25:$AB$29, 27,FALSE),
IF(COUNTIF('R3_G4'!$A$25:$A$29,$A18)=1,VLOOKUP($A18,'R3_G4'!$A$25:$AB$29, 27,FALSE), "")))))</f>
        <v>#NAME?</v>
      </c>
      <c r="P18" s="1038" t="e">
        <f ca="1">IF('ALL SCORES'!$AX$53="","",
IF(COUNTIF('R3_G1'!$A$25:$A$29,$A18)=1,VLOOKUP($A18,'R3_G1'!$A$25:$AB$29, 27,FALSE),
IF(COUNTIF('R3_G2'!$A$25:$A$29,$A18)=1,VLOOKUP($A18,'R3_G2'!$A$25:$AB$29, 27,FALSE),
IF(COUNTIF('R3_G3'!$A$25:$A$29,$A18)=1,VLOOKUP($A18,'R3_G3'!$A$25:$AB$29, 27,FALSE),
IF(COUNTIF('R3_G4'!$A$25:$A$29,$A18)=1,VLOOKUP($A18,'R3_G4'!$A$25:$AB$29, 27,FALSE), "")))))</f>
        <v>#NAME?</v>
      </c>
      <c r="Q18" s="1039" t="e">
        <f ca="1">IF('ALL SCORES'!$AX$53="","",
IF(COUNTIF('R3_G1'!$A$25:$A$29,$A18)=1,VLOOKUP($A18,'R3_G1'!$A$25:$AB$29, 28,FALSE),
IF(COUNTIF('R3_G2'!$A$25:$A$29,$A18)=1,VLOOKUP($A18,'R3_G2'!$A$25:$AB$29, 28,FALSE),
IF(COUNTIF('R3_G3'!$A$25:$A$29,$A18)=1,VLOOKUP($A18,'R3_G3'!$A$25:$AB$29, 28,FALSE),
IF(COUNTIF('R3_G4'!$A$25:$A$29,$A18)=1,VLOOKUP($A18,'R3_G4'!$A$25:$AB$29, 28,FALSE), "")))))</f>
        <v>#NAME?</v>
      </c>
      <c r="R18" s="1042" t="e">
        <f ca="1">IF('ALL SCORES'!$AX$68="","",VLOOKUP($A18,'ALL SCORES'!$AC$53:$BE$68,29,FALSE)/18)</f>
        <v>#NAME?</v>
      </c>
      <c r="S18" s="1014"/>
      <c r="T18" s="1037">
        <f ca="1">VLOOKUP($A18,'ALL SCORES'!$A$77:$AA$92,26,FALSE)</f>
        <v>80</v>
      </c>
      <c r="U18" s="1038">
        <f ca="1">IF('ALL SCORES'!$AX$77="","",
IF(COUNTIF('R4_G1'!$A$25:$A$29,$A18)=1,VLOOKUP($A18,'R4_G1'!$A$25:$AB$29, 26,FALSE),
IF(COUNTIF('R4_G2'!$A$25:$A$29,$A18)=1,VLOOKUP($A18,'R4_G2'!$A$25:$AB$29, 26,FALSE),
IF(COUNTIF('R4_G3'!$A$25:$A$29,$A18)=1,VLOOKUP($A18,'R4_G3'!$A$25:$AB$29, 26,FALSE),
IF(COUNTIF('R4_G4'!$A$25:$A$29,$A18)=1,VLOOKUP($A18,'R4_G4'!$A$25:$AB$29, 26,FALSE), "")))))</f>
        <v>9.7666666666666657</v>
      </c>
      <c r="V18" s="1038">
        <f ca="1">IF('ALL SCORES'!$AX$77="","",
IF(COUNTIF('R4_G1'!$A$25:$A$29,$A18)=1,VLOOKUP($A18,'R4_G1'!$A$25:$AB$29, 27,FALSE),
IF(COUNTIF('R4_G2'!$A$25:$A$29,$A18)=1,VLOOKUP($A18,'R4_G2'!$A$25:$AB$29, 27,FALSE),
IF(COUNTIF('R4_G3'!$A$25:$A$29,$A18)=1,VLOOKUP($A18,'R4_G3'!$A$25:$AB$29, 27,FALSE),
IF(COUNTIF('R4_G4'!$A$25:$A$29,$A18)=1,VLOOKUP($A18,'R4_G4'!$A$25:$AB$29, 27,FALSE), "")))))</f>
        <v>6.6666666666666661</v>
      </c>
      <c r="W18" s="1038">
        <f ca="1">IF('ALL SCORES'!$AX$77="","",
IF(COUNTIF('R4_G1'!$A$25:$A$29,$A18)=1,VLOOKUP($A18,'R4_G1'!$A$25:$AB$29, 28,FALSE),
IF(COUNTIF('R4_G2'!$A$25:$A$29,$A18)=1,VLOOKUP($A18,'R4_G2'!$A$25:$AB$29, 28,FALSE),
IF(COUNTIF('R4_G3'!$A$25:$A$29,$A18)=1,VLOOKUP($A18,'R4_G3'!$A$25:$AB$29, 28,FALSE),
IF(COUNTIF('R4_G4'!$A$25:$A$29,$A18)=1,VLOOKUP($A18,'R4_G4'!$A$25:$AB$29, 28,FALSE), "")))))</f>
        <v>2.2381944444444439</v>
      </c>
      <c r="X18" s="1042">
        <f ca="1">IF('ALL SCORES'!$AX$77="","",VLOOKUP($A18,'ALL SCORES'!$AC$77:$BE$92,29,FALSE)/18)</f>
        <v>0.49444444444444446</v>
      </c>
      <c r="Y18" s="1014"/>
      <c r="Z18" s="1043" t="e">
        <f t="shared" ca="1" si="26"/>
        <v>#NAME?</v>
      </c>
      <c r="AA18" s="1044" t="e">
        <f t="shared" ca="1" si="27"/>
        <v>#NAME?</v>
      </c>
      <c r="AB18" s="1045" t="e">
        <f t="shared" ca="1" si="28"/>
        <v>#NAME?</v>
      </c>
      <c r="AC18" s="1046" t="e">
        <f t="shared" ca="1" si="29"/>
        <v>#NAME?</v>
      </c>
      <c r="AD18" s="1047" t="e">
        <f t="shared" ca="1" si="30"/>
        <v>#NAME?</v>
      </c>
      <c r="AE18" s="1014"/>
      <c r="AF18" s="1048">
        <f t="shared" ca="1" si="31"/>
        <v>0.624074074074074</v>
      </c>
      <c r="AG18" s="1048">
        <f t="shared" ca="1" si="32"/>
        <v>0.44814814814814818</v>
      </c>
      <c r="AH18" s="1049" t="e">
        <f t="shared" ca="1" si="33"/>
        <v>#NAME?</v>
      </c>
      <c r="AI18" s="1057">
        <f t="shared" ca="1" si="34"/>
        <v>0.51851851851851838</v>
      </c>
      <c r="AJ18" s="1051" t="e">
        <f t="shared" ca="1" si="35"/>
        <v>#NAME?</v>
      </c>
      <c r="AK18" s="533"/>
      <c r="AL18" s="1058">
        <f t="shared" ca="1" si="36"/>
        <v>1.0625</v>
      </c>
      <c r="AM18" s="1058">
        <f t="shared" ca="1" si="37"/>
        <v>0.875</v>
      </c>
      <c r="AN18" s="1059" t="e">
        <f t="shared" ca="1" si="38"/>
        <v>#NAME?</v>
      </c>
      <c r="AO18" s="1060">
        <f t="shared" ca="1" si="39"/>
        <v>0.125</v>
      </c>
      <c r="AP18" s="1055" t="e">
        <f t="shared" ca="1" si="40"/>
        <v>#NAME?</v>
      </c>
      <c r="AQ18" s="1056" t="e">
        <f t="shared" ca="1" si="41"/>
        <v>#NAME?</v>
      </c>
      <c r="AR18" s="1038">
        <f>VLOOKUP(AS18,'Master Input'!$A$9:$M$27,'Master Input'!$M$28,FALSE)</f>
        <v>9.4499999999999993</v>
      </c>
      <c r="AS18" s="1035" t="str">
        <f t="shared" si="25"/>
        <v>T-Mo</v>
      </c>
    </row>
    <row r="19" spans="1:45" ht="12.75" customHeight="1">
      <c r="A19" s="1097" t="str">
        <f>'Master Input'!A23</f>
        <v>Pace</v>
      </c>
      <c r="B19" s="1037">
        <f ca="1">VLOOKUP($A19,'ALL SCORES'!$A$5:$AA$20,26,FALSE)</f>
        <v>79</v>
      </c>
      <c r="C19" s="1038">
        <f ca="1">IF('ALL SCORES'!$AX$5="","",
IF(COUNTIF('R1_G1'!$A$25:$A$29,$A19)=1,VLOOKUP($A19,'R1_G1'!$A$25:$AB$29, 26,FALSE),
IF(COUNTIF('R1_G2'!$A$25:$A$29,$A19)=1,VLOOKUP($A19,'R1_G2'!$A$25:$AB$29, 26,FALSE),
IF(COUNTIF('R1_G3'!$A$25:$A$29,$A19)=1,VLOOKUP($A19,'R1_G3'!$A$25:$AB$29, 26,FALSE),
IF(COUNTIF('R1_G4'!$A$25:$A$29,$A19)=1,VLOOKUP($A19,'R1_G4'!$A$25:$AB$29, 26,FALSE), "")))))</f>
        <v>3.25</v>
      </c>
      <c r="D19" s="1038">
        <f ca="1">IF('ALL SCORES'!$AX$5="","",
IF(COUNTIF('R1_G1'!$A$25:$A$29,$A19)=1,VLOOKUP($A19,'R1_G1'!$A$25:$AB$29, 27,FALSE),
IF(COUNTIF('R1_G2'!$A$25:$A$29,$A19)=1,VLOOKUP($A19,'R1_G2'!$A$25:$AB$29, 27,FALSE),
IF(COUNTIF('R1_G3'!$A$25:$A$29,$A19)=1,VLOOKUP($A19,'R1_G3'!$A$25:$AB$29, 27,FALSE),
IF(COUNTIF('R1_G4'!$A$25:$A$29,$A19)=1,VLOOKUP($A19,'R1_G4'!$A$25:$AB$29, 27,FALSE), "")))))</f>
        <v>3.25</v>
      </c>
      <c r="E19" s="1039">
        <f ca="1">IF('ALL SCORES'!$AX$5="","",
IF(COUNTIF('R1_G1'!$A$25:$A$29,$A19)=1,VLOOKUP($A19,'R1_G1'!$A$25:$AB$29, 28,FALSE),
IF(COUNTIF('R1_G2'!$A$25:$A$29,$A19)=1,VLOOKUP($A19,'R1_G2'!$A$25:$AB$29, 28,FALSE),
IF(COUNTIF('R1_G3'!$A$25:$A$29,$A19)=1,VLOOKUP($A19,'R1_G3'!$A$25:$AB$29, 28,FALSE),
IF(COUNTIF('R1_G4'!$A$25:$A$29,$A19)=1,VLOOKUP($A19,'R1_G4'!$A$25:$AB$29, 28,FALSE), "")))))</f>
        <v>0.38235294117647056</v>
      </c>
      <c r="F19" s="1040">
        <f ca="1">IF('ALL SCORES'!$AX$5="","",VLOOKUP($A19,'ALL SCORES'!$AC$5:$BE$20,29,FALSE)/18)</f>
        <v>0.46666666666666667</v>
      </c>
      <c r="G19" s="1014"/>
      <c r="H19" s="1037">
        <f ca="1">VLOOKUP($A19,'ALL SCORES'!$A$29:$AB$44,26,FALSE)</f>
        <v>77</v>
      </c>
      <c r="I19" s="1041">
        <f ca="1">IF('ALL SCORES'!$AX$29="","",
SUMIF('R2_G1'!$A$27:$A$31,$A19,'R2_G1'!$AA$27:$AA$31)+
SUMIF('R2_G2'!$A$27:$A$31,$A19,'R2_G2'!$AA$27:$AA$31)+
SUMIF('R2_G3'!$A$27:$A$31,$A19,'R2_G3'!$AA$27:$AA$31)+
SUMIF('R2_G4'!$A$27:$A$31,$A19,'R2_G4'!$AA$27:$AA$31))</f>
        <v>6</v>
      </c>
      <c r="J19" s="1041">
        <f ca="1">IF('ALL SCORES'!$AX$29="","",
SUMIF('R2_G1'!$A$27:$A$31,$A19,'R2_G1'!$AA$27:$AA$31)+
SUMIF('R2_G2'!$A$27:$A$31,$A19,'R2_G2'!$AA$27:$AA$31)+
SUMIF('R2_G3'!$A$27:$A$31,$A19,'R2_G3'!$AA$27:$AA$31)+
SUMIF('R2_G4'!$A$27:$A$31,$A19,'R2_G4'!$AA$27:$AA$31))</f>
        <v>6</v>
      </c>
      <c r="K19" s="1041">
        <f ca="1">IF('ALL SCORES'!$AX$29="","",
SUMIF('R2_G1'!$A$27:$A$31,$A19,'R2_G1'!$AB$27:$AB$31)+
SUMIF('R2_G2'!$A$27:$A$31,$A19,'R2_G2'!$AB$27:$AB$31)+
SUMIF('R2_G3'!$A$27:$A$31,$A19,'R2_G3'!$AB$27:$AB$31)+
SUMIF('R2_G4'!$A$27:$A$31,$A19,'R2_G4'!$AB$27:$AB$31))</f>
        <v>0</v>
      </c>
      <c r="L19" s="1040">
        <f ca="1">IF('ALL SCORES'!$AX$29="","",VLOOKUP($A19,'ALL SCORES'!$AC$29:$BE$44,29,FALSE)/18)</f>
        <v>0.47037037037037038</v>
      </c>
      <c r="M19" s="1014"/>
      <c r="N19" s="1041" t="e">
        <f ca="1">VLOOKUP($A19,'ALL SCORES'!$A$53:$AB$68,26,FALSE)</f>
        <v>#NAME?</v>
      </c>
      <c r="O19" s="1038" t="e">
        <f ca="1">IF('ALL SCORES'!$AX$53="","",
IF(COUNTIF('R3_G1'!$A$25:$A$29,$A19)=1,VLOOKUP($A19,'R3_G1'!$A$25:$AB$29, 27,FALSE),
IF(COUNTIF('R3_G2'!$A$25:$A$29,$A19)=1,VLOOKUP($A19,'R3_G2'!$A$25:$AB$29, 27,FALSE),
IF(COUNTIF('R3_G3'!$A$25:$A$29,$A19)=1,VLOOKUP($A19,'R3_G3'!$A$25:$AB$29, 27,FALSE),
IF(COUNTIF('R3_G4'!$A$25:$A$29,$A19)=1,VLOOKUP($A19,'R3_G4'!$A$25:$AB$29, 27,FALSE), "")))))</f>
        <v>#NAME?</v>
      </c>
      <c r="P19" s="1038" t="e">
        <f ca="1">IF('ALL SCORES'!$AX$53="","",
IF(COUNTIF('R3_G1'!$A$25:$A$29,$A19)=1,VLOOKUP($A19,'R3_G1'!$A$25:$AB$29, 27,FALSE),
IF(COUNTIF('R3_G2'!$A$25:$A$29,$A19)=1,VLOOKUP($A19,'R3_G2'!$A$25:$AB$29, 27,FALSE),
IF(COUNTIF('R3_G3'!$A$25:$A$29,$A19)=1,VLOOKUP($A19,'R3_G3'!$A$25:$AB$29, 27,FALSE),
IF(COUNTIF('R3_G4'!$A$25:$A$29,$A19)=1,VLOOKUP($A19,'R3_G4'!$A$25:$AB$29, 27,FALSE), "")))))</f>
        <v>#NAME?</v>
      </c>
      <c r="Q19" s="1039" t="e">
        <f ca="1">IF('ALL SCORES'!$AX$53="","",
IF(COUNTIF('R3_G1'!$A$25:$A$29,$A19)=1,VLOOKUP($A19,'R3_G1'!$A$25:$AB$29, 28,FALSE),
IF(COUNTIF('R3_G2'!$A$25:$A$29,$A19)=1,VLOOKUP($A19,'R3_G2'!$A$25:$AB$29, 28,FALSE),
IF(COUNTIF('R3_G3'!$A$25:$A$29,$A19)=1,VLOOKUP($A19,'R3_G3'!$A$25:$AB$29, 28,FALSE),
IF(COUNTIF('R3_G4'!$A$25:$A$29,$A19)=1,VLOOKUP($A19,'R3_G4'!$A$25:$AB$29, 28,FALSE), "")))))</f>
        <v>#NAME?</v>
      </c>
      <c r="R19" s="1042" t="e">
        <f ca="1">IF('ALL SCORES'!$AX$68="","",VLOOKUP($A19,'ALL SCORES'!$AC$53:$BE$68,29,FALSE)/18)</f>
        <v>#NAME?</v>
      </c>
      <c r="S19" s="1014"/>
      <c r="T19" s="1037">
        <f ca="1">VLOOKUP($A19,'ALL SCORES'!$A$77:$AA$92,26,FALSE)</f>
        <v>82</v>
      </c>
      <c r="U19" s="1038">
        <f ca="1">IF('ALL SCORES'!$AX$77="","",
IF(COUNTIF('R4_G1'!$A$25:$A$29,$A19)=1,VLOOKUP($A19,'R4_G1'!$A$25:$AB$29, 26,FALSE),
IF(COUNTIF('R4_G2'!$A$25:$A$29,$A19)=1,VLOOKUP($A19,'R4_G2'!$A$25:$AB$29, 26,FALSE),
IF(COUNTIF('R4_G3'!$A$25:$A$29,$A19)=1,VLOOKUP($A19,'R4_G3'!$A$25:$AB$29, 26,FALSE),
IF(COUNTIF('R4_G4'!$A$25:$A$29,$A19)=1,VLOOKUP($A19,'R4_G4'!$A$25:$AB$29, 26,FALSE), "")))))</f>
        <v>7.416666666666667</v>
      </c>
      <c r="V19" s="1038">
        <f ca="1">IF('ALL SCORES'!$AX$77="","",
IF(COUNTIF('R4_G1'!$A$25:$A$29,$A19)=1,VLOOKUP($A19,'R4_G1'!$A$25:$AB$29, 27,FALSE),
IF(COUNTIF('R4_G2'!$A$25:$A$29,$A19)=1,VLOOKUP($A19,'R4_G2'!$A$25:$AB$29, 27,FALSE),
IF(COUNTIF('R4_G3'!$A$25:$A$29,$A19)=1,VLOOKUP($A19,'R4_G3'!$A$25:$AB$29, 27,FALSE),
IF(COUNTIF('R4_G4'!$A$25:$A$29,$A19)=1,VLOOKUP($A19,'R4_G4'!$A$25:$AB$29, 27,FALSE), "")))))</f>
        <v>3.833333333333333</v>
      </c>
      <c r="W19" s="1038">
        <f ca="1">IF('ALL SCORES'!$AX$77="","",
IF(COUNTIF('R4_G1'!$A$25:$A$29,$A19)=1,VLOOKUP($A19,'R4_G1'!$A$25:$AB$29, 28,FALSE),
IF(COUNTIF('R4_G2'!$A$25:$A$29,$A19)=1,VLOOKUP($A19,'R4_G2'!$A$25:$AB$29, 28,FALSE),
IF(COUNTIF('R4_G3'!$A$25:$A$29,$A19)=1,VLOOKUP($A19,'R4_G3'!$A$25:$AB$29, 28,FALSE),
IF(COUNTIF('R4_G4'!$A$25:$A$29,$A19)=1,VLOOKUP($A19,'R4_G4'!$A$25:$AB$29, 28,FALSE), "")))))</f>
        <v>1.6996527777777777</v>
      </c>
      <c r="X19" s="1042">
        <f ca="1">IF('ALL SCORES'!$AX$77="","",VLOOKUP($A19,'ALL SCORES'!$AC$77:$BE$92,29,FALSE)/18)</f>
        <v>0.4555555555555556</v>
      </c>
      <c r="Y19" s="1014"/>
      <c r="Z19" s="1043" t="e">
        <f t="shared" ca="1" si="26"/>
        <v>#NAME?</v>
      </c>
      <c r="AA19" s="1044" t="e">
        <f t="shared" ca="1" si="27"/>
        <v>#NAME?</v>
      </c>
      <c r="AB19" s="1045" t="e">
        <f t="shared" ca="1" si="28"/>
        <v>#NAME?</v>
      </c>
      <c r="AC19" s="1046" t="e">
        <f t="shared" ca="1" si="29"/>
        <v>#NAME?</v>
      </c>
      <c r="AD19" s="1047" t="e">
        <f t="shared" ca="1" si="30"/>
        <v>#NAME?</v>
      </c>
      <c r="AE19" s="1014"/>
      <c r="AF19" s="1048">
        <f t="shared" ca="1" si="31"/>
        <v>0.41388888888888886</v>
      </c>
      <c r="AG19" s="1048">
        <f t="shared" ca="1" si="32"/>
        <v>0.40185185185185185</v>
      </c>
      <c r="AH19" s="1049" t="e">
        <f t="shared" ca="1" si="33"/>
        <v>#NAME?</v>
      </c>
      <c r="AI19" s="1057">
        <f t="shared" ca="1" si="34"/>
        <v>0.43379629629629629</v>
      </c>
      <c r="AJ19" s="1051" t="e">
        <f t="shared" ca="1" si="35"/>
        <v>#NAME?</v>
      </c>
      <c r="AK19" s="533"/>
      <c r="AL19" s="1058">
        <f t="shared" ca="1" si="36"/>
        <v>-1.9375</v>
      </c>
      <c r="AM19" s="1058">
        <f t="shared" ca="1" si="37"/>
        <v>-0.125</v>
      </c>
      <c r="AN19" s="1059" t="e">
        <f t="shared" ca="1" si="38"/>
        <v>#NAME?</v>
      </c>
      <c r="AO19" s="1060">
        <f t="shared" ca="1" si="39"/>
        <v>-1.875</v>
      </c>
      <c r="AP19" s="1055" t="e">
        <f t="shared" ca="1" si="40"/>
        <v>#NAME?</v>
      </c>
      <c r="AQ19" s="1056" t="e">
        <f t="shared" ca="1" si="41"/>
        <v>#NAME?</v>
      </c>
      <c r="AR19" s="1038">
        <f>VLOOKUP(AS19,'Master Input'!$A$9:$M$27,'Master Input'!$M$28,FALSE)</f>
        <v>8.9</v>
      </c>
      <c r="AS19" s="1035" t="str">
        <f t="shared" si="25"/>
        <v>Pace</v>
      </c>
    </row>
    <row r="20" spans="1:45" ht="12.75" customHeight="1">
      <c r="A20" s="1097" t="str">
        <f>'Master Input'!A25</f>
        <v>Joe O</v>
      </c>
      <c r="B20" s="1037">
        <f ca="1">VLOOKUP($A20,'ALL SCORES'!$A$5:$AA$20,26,FALSE)</f>
        <v>77</v>
      </c>
      <c r="C20" s="1038">
        <f ca="1">IF('ALL SCORES'!$AX$5="","",
IF(COUNTIF('R1_G1'!$A$25:$A$29,$A20)=1,VLOOKUP($A20,'R1_G1'!$A$25:$AB$29, 26,FALSE),
IF(COUNTIF('R1_G2'!$A$25:$A$29,$A20)=1,VLOOKUP($A20,'R1_G2'!$A$25:$AB$29, 26,FALSE),
IF(COUNTIF('R1_G3'!$A$25:$A$29,$A20)=1,VLOOKUP($A20,'R1_G3'!$A$25:$AB$29, 26,FALSE),
IF(COUNTIF('R1_G4'!$A$25:$A$29,$A20)=1,VLOOKUP($A20,'R1_G4'!$A$25:$AB$29, 26,FALSE), "")))))</f>
        <v>5.666666666666667</v>
      </c>
      <c r="D20" s="1038">
        <f ca="1">IF('ALL SCORES'!$AX$5="","",
IF(COUNTIF('R1_G1'!$A$25:$A$29,$A20)=1,VLOOKUP($A20,'R1_G1'!$A$25:$AB$29, 27,FALSE),
IF(COUNTIF('R1_G2'!$A$25:$A$29,$A20)=1,VLOOKUP($A20,'R1_G2'!$A$25:$AB$29, 27,FALSE),
IF(COUNTIF('R1_G3'!$A$25:$A$29,$A20)=1,VLOOKUP($A20,'R1_G3'!$A$25:$AB$29, 27,FALSE),
IF(COUNTIF('R1_G4'!$A$25:$A$29,$A20)=1,VLOOKUP($A20,'R1_G4'!$A$25:$AB$29, 27,FALSE), "")))))</f>
        <v>5.666666666666667</v>
      </c>
      <c r="E20" s="1039">
        <f ca="1">IF('ALL SCORES'!$AX$5="","",
IF(COUNTIF('R1_G1'!$A$25:$A$29,$A20)=1,VLOOKUP($A20,'R1_G1'!$A$25:$AB$29, 28,FALSE),
IF(COUNTIF('R1_G2'!$A$25:$A$29,$A20)=1,VLOOKUP($A20,'R1_G2'!$A$25:$AB$29, 28,FALSE),
IF(COUNTIF('R1_G3'!$A$25:$A$29,$A20)=1,VLOOKUP($A20,'R1_G3'!$A$25:$AB$29, 28,FALSE),
IF(COUNTIF('R1_G4'!$A$25:$A$29,$A20)=1,VLOOKUP($A20,'R1_G4'!$A$25:$AB$29, 28,FALSE), "")))))</f>
        <v>1.6721311475409835</v>
      </c>
      <c r="F20" s="1040">
        <f ca="1">IF('ALL SCORES'!$AX$5="","",VLOOKUP($A20,'ALL SCORES'!$AC$5:$BE$20,29,FALSE)/18)</f>
        <v>0.52222222222222225</v>
      </c>
      <c r="G20" s="1014"/>
      <c r="H20" s="1037">
        <f ca="1">VLOOKUP($A20,'ALL SCORES'!$A$29:$AB$44,26,FALSE)</f>
        <v>77</v>
      </c>
      <c r="I20" s="1041">
        <f ca="1">IF('ALL SCORES'!$AX$29="","",
SUMIF('R2_G1'!$A$27:$A$31,$A20,'R2_G1'!$AA$27:$AA$31)+
SUMIF('R2_G2'!$A$27:$A$31,$A20,'R2_G2'!$AA$27:$AA$31)+
SUMIF('R2_G3'!$A$27:$A$31,$A20,'R2_G3'!$AA$27:$AA$31)+
SUMIF('R2_G4'!$A$27:$A$31,$A20,'R2_G4'!$AA$27:$AA$31))</f>
        <v>6.5</v>
      </c>
      <c r="J20" s="1041">
        <f ca="1">IF('ALL SCORES'!$AX$29="","",
SUMIF('R2_G1'!$A$27:$A$31,$A20,'R2_G1'!$AA$27:$AA$31)+
SUMIF('R2_G2'!$A$27:$A$31,$A20,'R2_G2'!$AA$27:$AA$31)+
SUMIF('R2_G3'!$A$27:$A$31,$A20,'R2_G3'!$AA$27:$AA$31)+
SUMIF('R2_G4'!$A$27:$A$31,$A20,'R2_G4'!$AA$27:$AA$31))</f>
        <v>6.5</v>
      </c>
      <c r="K20" s="1041">
        <f ca="1">IF('ALL SCORES'!$AX$29="","",
SUMIF('R2_G1'!$A$27:$A$31,$A20,'R2_G1'!$AB$27:$AB$31)+
SUMIF('R2_G2'!$A$27:$A$31,$A20,'R2_G2'!$AB$27:$AB$31)+
SUMIF('R2_G3'!$A$27:$A$31,$A20,'R2_G3'!$AB$27:$AB$31)+
SUMIF('R2_G4'!$A$27:$A$31,$A20,'R2_G4'!$AB$27:$AB$31))</f>
        <v>0</v>
      </c>
      <c r="L20" s="1040">
        <f ca="1">IF('ALL SCORES'!$AX$29="","",VLOOKUP($A20,'ALL SCORES'!$AC$29:$BE$44,29,FALSE)/18)</f>
        <v>0.46481481481481474</v>
      </c>
      <c r="M20" s="1014"/>
      <c r="N20" s="1041" t="e">
        <f ca="1">VLOOKUP($A20,'ALL SCORES'!$A$53:$AB$68,26,FALSE)</f>
        <v>#NAME?</v>
      </c>
      <c r="O20" s="1038" t="e">
        <f ca="1">IF('ALL SCORES'!$AX$53="","",
IF(COUNTIF('R3_G1'!$A$25:$A$29,$A20)=1,VLOOKUP($A20,'R3_G1'!$A$25:$AB$29, 27,FALSE),
IF(COUNTIF('R3_G2'!$A$25:$A$29,$A20)=1,VLOOKUP($A20,'R3_G2'!$A$25:$AB$29, 27,FALSE),
IF(COUNTIF('R3_G3'!$A$25:$A$29,$A20)=1,VLOOKUP($A20,'R3_G3'!$A$25:$AB$29, 27,FALSE),
IF(COUNTIF('R3_G4'!$A$25:$A$29,$A20)=1,VLOOKUP($A20,'R3_G4'!$A$25:$AB$29, 27,FALSE), "")))))</f>
        <v>#NAME?</v>
      </c>
      <c r="P20" s="1038" t="e">
        <f ca="1">IF('ALL SCORES'!$AX$53="","",
IF(COUNTIF('R3_G1'!$A$25:$A$29,$A20)=1,VLOOKUP($A20,'R3_G1'!$A$25:$AB$29, 27,FALSE),
IF(COUNTIF('R3_G2'!$A$25:$A$29,$A20)=1,VLOOKUP($A20,'R3_G2'!$A$25:$AB$29, 27,FALSE),
IF(COUNTIF('R3_G3'!$A$25:$A$29,$A20)=1,VLOOKUP($A20,'R3_G3'!$A$25:$AB$29, 27,FALSE),
IF(COUNTIF('R3_G4'!$A$25:$A$29,$A20)=1,VLOOKUP($A20,'R3_G4'!$A$25:$AB$29, 27,FALSE), "")))))</f>
        <v>#NAME?</v>
      </c>
      <c r="Q20" s="1039" t="e">
        <f ca="1">IF('ALL SCORES'!$AX$53="","",
IF(COUNTIF('R3_G1'!$A$25:$A$29,$A20)=1,VLOOKUP($A20,'R3_G1'!$A$25:$AB$29, 28,FALSE),
IF(COUNTIF('R3_G2'!$A$25:$A$29,$A20)=1,VLOOKUP($A20,'R3_G2'!$A$25:$AB$29, 28,FALSE),
IF(COUNTIF('R3_G3'!$A$25:$A$29,$A20)=1,VLOOKUP($A20,'R3_G3'!$A$25:$AB$29, 28,FALSE),
IF(COUNTIF('R3_G4'!$A$25:$A$29,$A20)=1,VLOOKUP($A20,'R3_G4'!$A$25:$AB$29, 28,FALSE), "")))))</f>
        <v>#NAME?</v>
      </c>
      <c r="R20" s="1042" t="e">
        <f ca="1">IF('ALL SCORES'!$AX$68="","",VLOOKUP($A20,'ALL SCORES'!$AC$53:$BE$68,29,FALSE)/18)</f>
        <v>#NAME?</v>
      </c>
      <c r="S20" s="1014"/>
      <c r="T20" s="1037">
        <f ca="1">VLOOKUP($A20,'ALL SCORES'!$A$77:$AA$92,26,FALSE)</f>
        <v>88</v>
      </c>
      <c r="U20" s="1038">
        <f ca="1">IF('ALL SCORES'!$AX$77="","",
IF(COUNTIF('R4_G1'!$A$25:$A$29,$A20)=1,VLOOKUP($A20,'R4_G1'!$A$25:$AB$29, 26,FALSE),
IF(COUNTIF('R4_G2'!$A$25:$A$29,$A20)=1,VLOOKUP($A20,'R4_G2'!$A$25:$AB$29, 26,FALSE),
IF(COUNTIF('R4_G3'!$A$25:$A$29,$A20)=1,VLOOKUP($A20,'R4_G3'!$A$25:$AB$29, 26,FALSE),
IF(COUNTIF('R4_G4'!$A$25:$A$29,$A20)=1,VLOOKUP($A20,'R4_G4'!$A$25:$AB$29, 26,FALSE), "")))))</f>
        <v>7.0166666666666657</v>
      </c>
      <c r="V20" s="1038">
        <f ca="1">IF('ALL SCORES'!$AX$77="","",
IF(COUNTIF('R4_G1'!$A$25:$A$29,$A20)=1,VLOOKUP($A20,'R4_G1'!$A$25:$AB$29, 27,FALSE),
IF(COUNTIF('R4_G2'!$A$25:$A$29,$A20)=1,VLOOKUP($A20,'R4_G2'!$A$25:$AB$29, 27,FALSE),
IF(COUNTIF('R4_G3'!$A$25:$A$29,$A20)=1,VLOOKUP($A20,'R4_G3'!$A$25:$AB$29, 27,FALSE),
IF(COUNTIF('R4_G4'!$A$25:$A$29,$A20)=1,VLOOKUP($A20,'R4_G4'!$A$25:$AB$29, 27,FALSE), "")))))</f>
        <v>3.375</v>
      </c>
      <c r="W20" s="1038">
        <f ca="1">IF('ALL SCORES'!$AX$77="","",
IF(COUNTIF('R4_G1'!$A$25:$A$29,$A20)=1,VLOOKUP($A20,'R4_G1'!$A$25:$AB$29, 28,FALSE),
IF(COUNTIF('R4_G2'!$A$25:$A$29,$A20)=1,VLOOKUP($A20,'R4_G2'!$A$25:$AB$29, 28,FALSE),
IF(COUNTIF('R4_G3'!$A$25:$A$29,$A20)=1,VLOOKUP($A20,'R4_G3'!$A$25:$AB$29, 28,FALSE),
IF(COUNTIF('R4_G4'!$A$25:$A$29,$A20)=1,VLOOKUP($A20,'R4_G4'!$A$25:$AB$29, 28,FALSE), "")))))</f>
        <v>1.6079861111111109</v>
      </c>
      <c r="X20" s="1042">
        <f ca="1">IF('ALL SCORES'!$AX$77="","",VLOOKUP($A20,'ALL SCORES'!$AC$77:$BE$92,29,FALSE)/18)</f>
        <v>0.42407407407407421</v>
      </c>
      <c r="Y20" s="1014"/>
      <c r="Z20" s="1043" t="e">
        <f t="shared" ca="1" si="26"/>
        <v>#NAME?</v>
      </c>
      <c r="AA20" s="1044" t="e">
        <f t="shared" ca="1" si="27"/>
        <v>#NAME?</v>
      </c>
      <c r="AB20" s="1045" t="e">
        <f t="shared" ca="1" si="28"/>
        <v>#NAME?</v>
      </c>
      <c r="AC20" s="1046" t="e">
        <f t="shared" ca="1" si="29"/>
        <v>#NAME?</v>
      </c>
      <c r="AD20" s="1047" t="e">
        <f t="shared" ca="1" si="30"/>
        <v>#NAME?</v>
      </c>
      <c r="AE20" s="1014"/>
      <c r="AF20" s="1048">
        <f t="shared" ca="1" si="31"/>
        <v>0.57592592592592595</v>
      </c>
      <c r="AG20" s="1048">
        <f t="shared" ca="1" si="32"/>
        <v>0.41296296296296292</v>
      </c>
      <c r="AH20" s="1049" t="e">
        <f t="shared" ca="1" si="33"/>
        <v>#NAME?</v>
      </c>
      <c r="AI20" s="1057">
        <f t="shared" ca="1" si="34"/>
        <v>0.40694444444444444</v>
      </c>
      <c r="AJ20" s="1051" t="e">
        <f t="shared" ca="1" si="35"/>
        <v>#NAME?</v>
      </c>
      <c r="AK20" s="533"/>
      <c r="AL20" s="1058">
        <f t="shared" ca="1" si="36"/>
        <v>6.25E-2</v>
      </c>
      <c r="AM20" s="1058">
        <f t="shared" ca="1" si="37"/>
        <v>-0.125</v>
      </c>
      <c r="AN20" s="1059" t="e">
        <f t="shared" ca="1" si="38"/>
        <v>#NAME?</v>
      </c>
      <c r="AO20" s="1060">
        <f t="shared" ca="1" si="39"/>
        <v>-7.875</v>
      </c>
      <c r="AP20" s="1055" t="e">
        <f t="shared" ca="1" si="40"/>
        <v>#NAME?</v>
      </c>
      <c r="AQ20" s="1056" t="e">
        <f t="shared" ca="1" si="41"/>
        <v>#NAME?</v>
      </c>
      <c r="AR20" s="1038">
        <f>VLOOKUP(AS20,'Master Input'!$A$9:$M$27,'Master Input'!$M$28,FALSE)</f>
        <v>13.025</v>
      </c>
      <c r="AS20" s="1035" t="str">
        <f t="shared" si="25"/>
        <v>Joe O</v>
      </c>
    </row>
    <row r="21" spans="1:45" ht="12.75" customHeight="1">
      <c r="A21" s="1097" t="str">
        <f>'Master Input'!A21</f>
        <v>Andy</v>
      </c>
      <c r="B21" s="1037">
        <f ca="1">VLOOKUP($A21,'ALL SCORES'!$A$5:$AA$20,26,FALSE)</f>
        <v>81</v>
      </c>
      <c r="C21" s="1038">
        <f ca="1">IF('ALL SCORES'!$AX$5="","",
IF(COUNTIF('R1_G1'!$A$25:$A$29,$A21)=1,VLOOKUP($A21,'R1_G1'!$A$25:$AB$29, 26,FALSE),
IF(COUNTIF('R1_G2'!$A$25:$A$29,$A21)=1,VLOOKUP($A21,'R1_G2'!$A$25:$AB$29, 26,FALSE),
IF(COUNTIF('R1_G3'!$A$25:$A$29,$A21)=1,VLOOKUP($A21,'R1_G3'!$A$25:$AB$29, 26,FALSE),
IF(COUNTIF('R1_G4'!$A$25:$A$29,$A21)=1,VLOOKUP($A21,'R1_G4'!$A$25:$AB$29, 26,FALSE), "")))))</f>
        <v>4.5</v>
      </c>
      <c r="D21" s="1038">
        <f ca="1">IF('ALL SCORES'!$AX$5="","",
IF(COUNTIF('R1_G1'!$A$25:$A$29,$A21)=1,VLOOKUP($A21,'R1_G1'!$A$25:$AB$29, 27,FALSE),
IF(COUNTIF('R1_G2'!$A$25:$A$29,$A21)=1,VLOOKUP($A21,'R1_G2'!$A$25:$AB$29, 27,FALSE),
IF(COUNTIF('R1_G3'!$A$25:$A$29,$A21)=1,VLOOKUP($A21,'R1_G3'!$A$25:$AB$29, 27,FALSE),
IF(COUNTIF('R1_G4'!$A$25:$A$29,$A21)=1,VLOOKUP($A21,'R1_G4'!$A$25:$AB$29, 27,FALSE), "")))))</f>
        <v>4.5</v>
      </c>
      <c r="E21" s="1039">
        <f ca="1">IF('ALL SCORES'!$AX$5="","",
IF(COUNTIF('R1_G1'!$A$25:$A$29,$A21)=1,VLOOKUP($A21,'R1_G1'!$A$25:$AB$29, 28,FALSE),
IF(COUNTIF('R1_G2'!$A$25:$A$29,$A21)=1,VLOOKUP($A21,'R1_G2'!$A$25:$AB$29, 28,FALSE),
IF(COUNTIF('R1_G3'!$A$25:$A$29,$A21)=1,VLOOKUP($A21,'R1_G3'!$A$25:$AB$29, 28,FALSE),
IF(COUNTIF('R1_G4'!$A$25:$A$29,$A21)=1,VLOOKUP($A21,'R1_G4'!$A$25:$AB$29, 28,FALSE), "")))))</f>
        <v>1.3278688524590163</v>
      </c>
      <c r="F21" s="1040">
        <f ca="1">IF('ALL SCORES'!$AX$5="","",VLOOKUP($A21,'ALL SCORES'!$AC$5:$BE$20,29,FALSE)/18)</f>
        <v>0.40000000000000013</v>
      </c>
      <c r="G21" s="1014"/>
      <c r="H21" s="1037">
        <f ca="1">VLOOKUP($A21,'ALL SCORES'!$A$29:$AB$44,26,FALSE)</f>
        <v>85</v>
      </c>
      <c r="I21" s="1041">
        <f ca="1">IF('ALL SCORES'!$AX$29="","",
SUMIF('R2_G1'!$A$27:$A$31,$A21,'R2_G1'!$AA$27:$AA$31)+
SUMIF('R2_G2'!$A$27:$A$31,$A21,'R2_G2'!$AA$27:$AA$31)+
SUMIF('R2_G3'!$A$27:$A$31,$A21,'R2_G3'!$AA$27:$AA$31)+
SUMIF('R2_G4'!$A$27:$A$31,$A21,'R2_G4'!$AA$27:$AA$31))</f>
        <v>7.5</v>
      </c>
      <c r="J21" s="1041">
        <f ca="1">IF('ALL SCORES'!$AX$29="","",
SUMIF('R2_G1'!$A$27:$A$31,$A21,'R2_G1'!$AA$27:$AA$31)+
SUMIF('R2_G2'!$A$27:$A$31,$A21,'R2_G2'!$AA$27:$AA$31)+
SUMIF('R2_G3'!$A$27:$A$31,$A21,'R2_G3'!$AA$27:$AA$31)+
SUMIF('R2_G4'!$A$27:$A$31,$A21,'R2_G4'!$AA$27:$AA$31))</f>
        <v>7.5</v>
      </c>
      <c r="K21" s="1041">
        <f ca="1">IF('ALL SCORES'!$AX$29="","",
SUMIF('R2_G1'!$A$27:$A$31,$A21,'R2_G1'!$AB$27:$AB$31)+
SUMIF('R2_G2'!$A$27:$A$31,$A21,'R2_G2'!$AB$27:$AB$31)+
SUMIF('R2_G3'!$A$27:$A$31,$A21,'R2_G3'!$AB$27:$AB$31)+
SUMIF('R2_G4'!$A$27:$A$31,$A21,'R2_G4'!$AB$27:$AB$31))</f>
        <v>0</v>
      </c>
      <c r="L21" s="1040">
        <f ca="1">IF('ALL SCORES'!$AX$29="","",VLOOKUP($A21,'ALL SCORES'!$AC$29:$BE$44,29,FALSE)/18)</f>
        <v>0.36296296296296293</v>
      </c>
      <c r="M21" s="998"/>
      <c r="N21" s="1041" t="e">
        <f ca="1">VLOOKUP($A21,'ALL SCORES'!$A$53:$AB$68,26,FALSE)</f>
        <v>#NAME?</v>
      </c>
      <c r="O21" s="1038" t="e">
        <f ca="1">IF('ALL SCORES'!$AX$53="","",
IF(COUNTIF('R3_G1'!$A$25:$A$29,$A21)=1,VLOOKUP($A21,'R3_G1'!$A$25:$AB$29, 27,FALSE),
IF(COUNTIF('R3_G2'!$A$25:$A$29,$A21)=1,VLOOKUP($A21,'R3_G2'!$A$25:$AB$29, 27,FALSE),
IF(COUNTIF('R3_G3'!$A$25:$A$29,$A21)=1,VLOOKUP($A21,'R3_G3'!$A$25:$AB$29, 27,FALSE),
IF(COUNTIF('R3_G4'!$A$25:$A$29,$A21)=1,VLOOKUP($A21,'R3_G4'!$A$25:$AB$29, 27,FALSE), "")))))</f>
        <v>#NAME?</v>
      </c>
      <c r="P21" s="1038" t="e">
        <f ca="1">IF('ALL SCORES'!$AX$53="","",
IF(COUNTIF('R3_G1'!$A$25:$A$29,$A21)=1,VLOOKUP($A21,'R3_G1'!$A$25:$AB$29, 27,FALSE),
IF(COUNTIF('R3_G2'!$A$25:$A$29,$A21)=1,VLOOKUP($A21,'R3_G2'!$A$25:$AB$29, 27,FALSE),
IF(COUNTIF('R3_G3'!$A$25:$A$29,$A21)=1,VLOOKUP($A21,'R3_G3'!$A$25:$AB$29, 27,FALSE),
IF(COUNTIF('R3_G4'!$A$25:$A$29,$A21)=1,VLOOKUP($A21,'R3_G4'!$A$25:$AB$29, 27,FALSE), "")))))</f>
        <v>#NAME?</v>
      </c>
      <c r="Q21" s="1039" t="e">
        <f ca="1">IF('ALL SCORES'!$AX$53="","",
IF(COUNTIF('R3_G1'!$A$25:$A$29,$A21)=1,VLOOKUP($A21,'R3_G1'!$A$25:$AB$29, 28,FALSE),
IF(COUNTIF('R3_G2'!$A$25:$A$29,$A21)=1,VLOOKUP($A21,'R3_G2'!$A$25:$AB$29, 28,FALSE),
IF(COUNTIF('R3_G3'!$A$25:$A$29,$A21)=1,VLOOKUP($A21,'R3_G3'!$A$25:$AB$29, 28,FALSE),
IF(COUNTIF('R3_G4'!$A$25:$A$29,$A21)=1,VLOOKUP($A21,'R3_G4'!$A$25:$AB$29, 28,FALSE), "")))))</f>
        <v>#NAME?</v>
      </c>
      <c r="R21" s="1042" t="e">
        <f ca="1">IF('ALL SCORES'!$AX$68="","",VLOOKUP($A21,'ALL SCORES'!$AC$53:$BE$68,29,FALSE)/18)</f>
        <v>#NAME?</v>
      </c>
      <c r="S21" s="1014"/>
      <c r="T21" s="1037">
        <f ca="1">VLOOKUP($A21,'ALL SCORES'!$A$77:$AA$92,26,FALSE)</f>
        <v>76</v>
      </c>
      <c r="U21" s="1038">
        <f ca="1">IF('ALL SCORES'!$AX$77="","",
IF(COUNTIF('R4_G1'!$A$25:$A$29,$A21)=1,VLOOKUP($A21,'R4_G1'!$A$25:$AB$29, 26,FALSE),
IF(COUNTIF('R4_G2'!$A$25:$A$29,$A21)=1,VLOOKUP($A21,'R4_G2'!$A$25:$AB$29, 26,FALSE),
IF(COUNTIF('R4_G3'!$A$25:$A$29,$A21)=1,VLOOKUP($A21,'R4_G3'!$A$25:$AB$29, 26,FALSE),
IF(COUNTIF('R4_G4'!$A$25:$A$29,$A21)=1,VLOOKUP($A21,'R4_G4'!$A$25:$AB$29, 26,FALSE), "")))))</f>
        <v>10.516666666666666</v>
      </c>
      <c r="V21" s="1038">
        <f ca="1">IF('ALL SCORES'!$AX$77="","",
IF(COUNTIF('R4_G1'!$A$25:$A$29,$A21)=1,VLOOKUP($A21,'R4_G1'!$A$25:$AB$29, 27,FALSE),
IF(COUNTIF('R4_G2'!$A$25:$A$29,$A21)=1,VLOOKUP($A21,'R4_G2'!$A$25:$AB$29, 27,FALSE),
IF(COUNTIF('R4_G3'!$A$25:$A$29,$A21)=1,VLOOKUP($A21,'R4_G3'!$A$25:$AB$29, 27,FALSE),
IF(COUNTIF('R4_G4'!$A$25:$A$29,$A21)=1,VLOOKUP($A21,'R4_G4'!$A$25:$AB$29, 27,FALSE), "")))))</f>
        <v>5.375</v>
      </c>
      <c r="W21" s="1038">
        <f ca="1">IF('ALL SCORES'!$AX$77="","",
IF(COUNTIF('R4_G1'!$A$25:$A$29,$A21)=1,VLOOKUP($A21,'R4_G1'!$A$25:$AB$29, 28,FALSE),
IF(COUNTIF('R4_G2'!$A$25:$A$29,$A21)=1,VLOOKUP($A21,'R4_G2'!$A$25:$AB$29, 28,FALSE),
IF(COUNTIF('R4_G3'!$A$25:$A$29,$A21)=1,VLOOKUP($A21,'R4_G3'!$A$25:$AB$29, 28,FALSE),
IF(COUNTIF('R4_G4'!$A$25:$A$29,$A21)=1,VLOOKUP($A21,'R4_G4'!$A$25:$AB$29, 28,FALSE), "")))))</f>
        <v>2.4100694444444444</v>
      </c>
      <c r="X21" s="1042">
        <f ca="1">IF('ALL SCORES'!$AX$77="","",VLOOKUP($A21,'ALL SCORES'!$AC$77:$BE$92,29,FALSE)/18)</f>
        <v>0.57222222222222208</v>
      </c>
      <c r="Y21" s="1014"/>
      <c r="Z21" s="1043" t="e">
        <f t="shared" ca="1" si="26"/>
        <v>#NAME?</v>
      </c>
      <c r="AA21" s="1044" t="e">
        <f t="shared" ca="1" si="27"/>
        <v>#NAME?</v>
      </c>
      <c r="AB21" s="1045" t="e">
        <f t="shared" ca="1" si="28"/>
        <v>#NAME?</v>
      </c>
      <c r="AC21" s="1046" t="e">
        <f t="shared" ca="1" si="29"/>
        <v>#NAME?</v>
      </c>
      <c r="AD21" s="1047" t="e">
        <f t="shared" ca="1" si="30"/>
        <v>#NAME?</v>
      </c>
      <c r="AE21" s="1014"/>
      <c r="AF21" s="1048">
        <f t="shared" ca="1" si="31"/>
        <v>0.45000000000000007</v>
      </c>
      <c r="AG21" s="1048">
        <f t="shared" ca="1" si="32"/>
        <v>0.38981481481481484</v>
      </c>
      <c r="AH21" s="1049" t="e">
        <f t="shared" ca="1" si="33"/>
        <v>#NAME?</v>
      </c>
      <c r="AI21" s="1057">
        <f t="shared" ca="1" si="34"/>
        <v>0.57824074074074061</v>
      </c>
      <c r="AJ21" s="1051" t="e">
        <f t="shared" ca="1" si="35"/>
        <v>#NAME?</v>
      </c>
      <c r="AK21" s="533"/>
      <c r="AL21" s="1058">
        <f t="shared" ca="1" si="36"/>
        <v>-3.9375</v>
      </c>
      <c r="AM21" s="1058">
        <f t="shared" ca="1" si="37"/>
        <v>-8.125</v>
      </c>
      <c r="AN21" s="1059" t="e">
        <f t="shared" ca="1" si="38"/>
        <v>#NAME?</v>
      </c>
      <c r="AO21" s="1060">
        <f t="shared" ca="1" si="39"/>
        <v>4.125</v>
      </c>
      <c r="AP21" s="1055" t="e">
        <f t="shared" ca="1" si="40"/>
        <v>#NAME?</v>
      </c>
      <c r="AQ21" s="1056" t="e">
        <f t="shared" ca="1" si="41"/>
        <v>#NAME?</v>
      </c>
      <c r="AR21" s="1038">
        <f>VLOOKUP(AS21,'Master Input'!$A$9:$M$27,'Master Input'!$M$28,FALSE)</f>
        <v>6</v>
      </c>
      <c r="AS21" s="1035" t="str">
        <f t="shared" si="25"/>
        <v>Andy</v>
      </c>
    </row>
    <row r="22" spans="1:45" ht="12.75" customHeight="1">
      <c r="A22" s="1097" t="str">
        <f>'Master Input'!A26</f>
        <v>Hile</v>
      </c>
      <c r="B22" s="1037">
        <f ca="1">VLOOKUP($A22,'ALL SCORES'!$A$5:$AA$20,26,FALSE)</f>
        <v>80</v>
      </c>
      <c r="C22" s="1038">
        <f ca="1">IF('ALL SCORES'!$AX$5="","",
IF(COUNTIF('R1_G1'!$A$25:$A$29,$A22)=1,VLOOKUP($A22,'R1_G1'!$A$25:$AB$29, 26,FALSE),
IF(COUNTIF('R1_G2'!$A$25:$A$29,$A22)=1,VLOOKUP($A22,'R1_G2'!$A$25:$AB$29, 26,FALSE),
IF(COUNTIF('R1_G3'!$A$25:$A$29,$A22)=1,VLOOKUP($A22,'R1_G3'!$A$25:$AB$29, 26,FALSE),
IF(COUNTIF('R1_G4'!$A$25:$A$29,$A22)=1,VLOOKUP($A22,'R1_G4'!$A$25:$AB$29, 26,FALSE), "")))))</f>
        <v>3.3333333333333335</v>
      </c>
      <c r="D22" s="1038">
        <f ca="1">IF('ALL SCORES'!$AX$5="","",
IF(COUNTIF('R1_G1'!$A$25:$A$29,$A22)=1,VLOOKUP($A22,'R1_G1'!$A$25:$AB$29, 27,FALSE),
IF(COUNTIF('R1_G2'!$A$25:$A$29,$A22)=1,VLOOKUP($A22,'R1_G2'!$A$25:$AB$29, 27,FALSE),
IF(COUNTIF('R1_G3'!$A$25:$A$29,$A22)=1,VLOOKUP($A22,'R1_G3'!$A$25:$AB$29, 27,FALSE),
IF(COUNTIF('R1_G4'!$A$25:$A$29,$A22)=1,VLOOKUP($A22,'R1_G4'!$A$25:$AB$29, 27,FALSE), "")))))</f>
        <v>3.3333333333333335</v>
      </c>
      <c r="E22" s="1039">
        <f ca="1">IF('ALL SCORES'!$AX$5="","",
IF(COUNTIF('R1_G1'!$A$25:$A$29,$A22)=1,VLOOKUP($A22,'R1_G1'!$A$25:$AB$29, 28,FALSE),
IF(COUNTIF('R1_G2'!$A$25:$A$29,$A22)=1,VLOOKUP($A22,'R1_G2'!$A$25:$AB$29, 28,FALSE),
IF(COUNTIF('R1_G3'!$A$25:$A$29,$A22)=1,VLOOKUP($A22,'R1_G3'!$A$25:$AB$29, 28,FALSE),
IF(COUNTIF('R1_G4'!$A$25:$A$29,$A22)=1,VLOOKUP($A22,'R1_G4'!$A$25:$AB$29, 28,FALSE), "")))))</f>
        <v>0.47619047619047622</v>
      </c>
      <c r="F22" s="1040">
        <f ca="1">IF('ALL SCORES'!$AX$5="","",VLOOKUP($A22,'ALL SCORES'!$AC$5:$BE$20,29,FALSE)/18)</f>
        <v>0.48333333333333339</v>
      </c>
      <c r="G22" s="1014"/>
      <c r="H22" s="1037">
        <f ca="1">VLOOKUP($A22,'ALL SCORES'!$A$29:$AB$44,26,FALSE)</f>
        <v>80</v>
      </c>
      <c r="I22" s="1041">
        <f ca="1">IF('ALL SCORES'!$AX$29="","",
SUMIF('R2_G1'!$A$27:$A$31,$A22,'R2_G1'!$AA$27:$AA$31)+
SUMIF('R2_G2'!$A$27:$A$31,$A22,'R2_G2'!$AA$27:$AA$31)+
SUMIF('R2_G3'!$A$27:$A$31,$A22,'R2_G3'!$AA$27:$AA$31)+
SUMIF('R2_G4'!$A$27:$A$31,$A22,'R2_G4'!$AA$27:$AA$31))</f>
        <v>9</v>
      </c>
      <c r="J22" s="1041">
        <f ca="1">IF('ALL SCORES'!$AX$29="","",
SUMIF('R2_G1'!$A$27:$A$31,$A22,'R2_G1'!$AA$27:$AA$31)+
SUMIF('R2_G2'!$A$27:$A$31,$A22,'R2_G2'!$AA$27:$AA$31)+
SUMIF('R2_G3'!$A$27:$A$31,$A22,'R2_G3'!$AA$27:$AA$31)+
SUMIF('R2_G4'!$A$27:$A$31,$A22,'R2_G4'!$AA$27:$AA$31))</f>
        <v>9</v>
      </c>
      <c r="K22" s="1041">
        <f ca="1">IF('ALL SCORES'!$AX$29="","",
SUMIF('R2_G1'!$A$27:$A$31,$A22,'R2_G1'!$AB$27:$AB$31)+
SUMIF('R2_G2'!$A$27:$A$31,$A22,'R2_G2'!$AB$27:$AB$31)+
SUMIF('R2_G3'!$A$27:$A$31,$A22,'R2_G3'!$AB$27:$AB$31)+
SUMIF('R2_G4'!$A$27:$A$31,$A22,'R2_G4'!$AB$27:$AB$31))</f>
        <v>1.5</v>
      </c>
      <c r="L22" s="1040">
        <f ca="1">IF('ALL SCORES'!$AX$29="","",VLOOKUP($A22,'ALL SCORES'!$AC$29:$BE$44,29,FALSE)/18)</f>
        <v>0.43148148148148147</v>
      </c>
      <c r="M22" s="998"/>
      <c r="N22" s="1041" t="e">
        <f ca="1">VLOOKUP($A22,'ALL SCORES'!$A$53:$AB$68,26,FALSE)</f>
        <v>#NAME?</v>
      </c>
      <c r="O22" s="1038" t="e">
        <f ca="1">IF('ALL SCORES'!$AX$53="","",
IF(COUNTIF('R3_G1'!$A$25:$A$29,$A22)=1,VLOOKUP($A22,'R3_G1'!$A$25:$AB$29, 27,FALSE),
IF(COUNTIF('R3_G2'!$A$25:$A$29,$A22)=1,VLOOKUP($A22,'R3_G2'!$A$25:$AB$29, 27,FALSE),
IF(COUNTIF('R3_G3'!$A$25:$A$29,$A22)=1,VLOOKUP($A22,'R3_G3'!$A$25:$AB$29, 27,FALSE),
IF(COUNTIF('R3_G4'!$A$25:$A$29,$A22)=1,VLOOKUP($A22,'R3_G4'!$A$25:$AB$29, 27,FALSE), "")))))</f>
        <v>#NAME?</v>
      </c>
      <c r="P22" s="1038" t="e">
        <f ca="1">IF('ALL SCORES'!$AX$53="","",
IF(COUNTIF('R3_G1'!$A$25:$A$29,$A22)=1,VLOOKUP($A22,'R3_G1'!$A$25:$AB$29, 27,FALSE),
IF(COUNTIF('R3_G2'!$A$25:$A$29,$A22)=1,VLOOKUP($A22,'R3_G2'!$A$25:$AB$29, 27,FALSE),
IF(COUNTIF('R3_G3'!$A$25:$A$29,$A22)=1,VLOOKUP($A22,'R3_G3'!$A$25:$AB$29, 27,FALSE),
IF(COUNTIF('R3_G4'!$A$25:$A$29,$A22)=1,VLOOKUP($A22,'R3_G4'!$A$25:$AB$29, 27,FALSE), "")))))</f>
        <v>#NAME?</v>
      </c>
      <c r="Q22" s="1039" t="e">
        <f ca="1">IF('ALL SCORES'!$AX$53="","",
IF(COUNTIF('R3_G1'!$A$25:$A$29,$A22)=1,VLOOKUP($A22,'R3_G1'!$A$25:$AB$29, 28,FALSE),
IF(COUNTIF('R3_G2'!$A$25:$A$29,$A22)=1,VLOOKUP($A22,'R3_G2'!$A$25:$AB$29, 28,FALSE),
IF(COUNTIF('R3_G3'!$A$25:$A$29,$A22)=1,VLOOKUP($A22,'R3_G3'!$A$25:$AB$29, 28,FALSE),
IF(COUNTIF('R3_G4'!$A$25:$A$29,$A22)=1,VLOOKUP($A22,'R3_G4'!$A$25:$AB$29, 28,FALSE), "")))))</f>
        <v>#NAME?</v>
      </c>
      <c r="R22" s="1042" t="e">
        <f ca="1">IF('ALL SCORES'!$AX$68="","",VLOOKUP($A22,'ALL SCORES'!$AC$53:$BE$68,29,FALSE)/18)</f>
        <v>#NAME?</v>
      </c>
      <c r="S22" s="1014"/>
      <c r="T22" s="1037">
        <f ca="1">VLOOKUP($A22,'ALL SCORES'!$A$77:$AA$92,26,FALSE)</f>
        <v>81</v>
      </c>
      <c r="U22" s="1038">
        <f ca="1">IF('ALL SCORES'!$AX$77="","",
IF(COUNTIF('R4_G1'!$A$25:$A$29,$A22)=1,VLOOKUP($A22,'R4_G1'!$A$25:$AB$29, 26,FALSE),
IF(COUNTIF('R4_G2'!$A$25:$A$29,$A22)=1,VLOOKUP($A22,'R4_G2'!$A$25:$AB$29, 26,FALSE),
IF(COUNTIF('R4_G3'!$A$25:$A$29,$A22)=1,VLOOKUP($A22,'R4_G3'!$A$25:$AB$29, 26,FALSE),
IF(COUNTIF('R4_G4'!$A$25:$A$29,$A22)=1,VLOOKUP($A22,'R4_G4'!$A$25:$AB$29, 26,FALSE), "")))))</f>
        <v>8.4333333333333336</v>
      </c>
      <c r="V22" s="1038">
        <f ca="1">IF('ALL SCORES'!$AX$77="","",
IF(COUNTIF('R4_G1'!$A$25:$A$29,$A22)=1,VLOOKUP($A22,'R4_G1'!$A$25:$AB$29, 27,FALSE),
IF(COUNTIF('R4_G2'!$A$25:$A$29,$A22)=1,VLOOKUP($A22,'R4_G2'!$A$25:$AB$29, 27,FALSE),
IF(COUNTIF('R4_G3'!$A$25:$A$29,$A22)=1,VLOOKUP($A22,'R4_G3'!$A$25:$AB$29, 27,FALSE),
IF(COUNTIF('R4_G4'!$A$25:$A$29,$A22)=1,VLOOKUP($A22,'R4_G4'!$A$25:$AB$29, 27,FALSE), "")))))</f>
        <v>5.666666666666667</v>
      </c>
      <c r="W22" s="1038">
        <f ca="1">IF('ALL SCORES'!$AX$77="","",
IF(COUNTIF('R4_G1'!$A$25:$A$29,$A22)=1,VLOOKUP($A22,'R4_G1'!$A$25:$AB$29, 28,FALSE),
IF(COUNTIF('R4_G2'!$A$25:$A$29,$A22)=1,VLOOKUP($A22,'R4_G2'!$A$25:$AB$29, 28,FALSE),
IF(COUNTIF('R4_G3'!$A$25:$A$29,$A22)=1,VLOOKUP($A22,'R4_G3'!$A$25:$AB$29, 28,FALSE),
IF(COUNTIF('R4_G4'!$A$25:$A$29,$A22)=1,VLOOKUP($A22,'R4_G4'!$A$25:$AB$29, 28,FALSE), "")))))</f>
        <v>1.932638888888889</v>
      </c>
      <c r="X22" s="1042">
        <f ca="1">IF('ALL SCORES'!$AX$77="","",VLOOKUP($A22,'ALL SCORES'!$AC$77:$BE$92,29,FALSE)/18)</f>
        <v>0.47222222222222232</v>
      </c>
      <c r="Y22" s="1014"/>
      <c r="Z22" s="1043" t="e">
        <f t="shared" ca="1" si="26"/>
        <v>#NAME?</v>
      </c>
      <c r="AA22" s="1044" t="e">
        <f t="shared" ca="1" si="27"/>
        <v>#NAME?</v>
      </c>
      <c r="AB22" s="1045" t="e">
        <f t="shared" ca="1" si="28"/>
        <v>#NAME?</v>
      </c>
      <c r="AC22" s="1046" t="e">
        <f t="shared" ca="1" si="29"/>
        <v>#NAME?</v>
      </c>
      <c r="AD22" s="1047" t="e">
        <f t="shared" ca="1" si="30"/>
        <v>#NAME?</v>
      </c>
      <c r="AE22" s="1014"/>
      <c r="AF22" s="1048">
        <f t="shared" ca="1" si="31"/>
        <v>0.42685185185185193</v>
      </c>
      <c r="AG22" s="1048">
        <f t="shared" ca="1" si="32"/>
        <v>0.46574074074074073</v>
      </c>
      <c r="AH22" s="1049" t="e">
        <f t="shared" ca="1" si="33"/>
        <v>#NAME?</v>
      </c>
      <c r="AI22" s="1057">
        <f t="shared" ca="1" si="34"/>
        <v>0.47037037037037038</v>
      </c>
      <c r="AJ22" s="1051" t="e">
        <f t="shared" ca="1" si="35"/>
        <v>#NAME?</v>
      </c>
      <c r="AK22" s="533"/>
      <c r="AL22" s="1058">
        <f t="shared" ca="1" si="36"/>
        <v>-2.9375</v>
      </c>
      <c r="AM22" s="1058">
        <f t="shared" ca="1" si="37"/>
        <v>-3.125</v>
      </c>
      <c r="AN22" s="1059" t="e">
        <f t="shared" ca="1" si="38"/>
        <v>#NAME?</v>
      </c>
      <c r="AO22" s="1060">
        <f t="shared" ca="1" si="39"/>
        <v>-0.875</v>
      </c>
      <c r="AP22" s="1055" t="e">
        <f t="shared" ca="1" si="40"/>
        <v>#NAME?</v>
      </c>
      <c r="AQ22" s="1056" t="e">
        <f t="shared" ca="1" si="41"/>
        <v>#NAME?</v>
      </c>
      <c r="AR22" s="1038">
        <f>VLOOKUP(AS22,'Master Input'!$A$9:$M$27,'Master Input'!$M$28,FALSE)</f>
        <v>15</v>
      </c>
      <c r="AS22" s="1035" t="str">
        <f t="shared" si="25"/>
        <v>Hile</v>
      </c>
    </row>
    <row r="23" spans="1:45" ht="12.75" customHeight="1">
      <c r="A23" s="1096" t="str">
        <f>'Master Input'!A20</f>
        <v>Elger</v>
      </c>
      <c r="B23" s="1037">
        <f ca="1">VLOOKUP($A23,'ALL SCORES'!$A$5:$AA$20,26,FALSE)</f>
        <v>83</v>
      </c>
      <c r="C23" s="1038">
        <f ca="1">IF('ALL SCORES'!$AX$5="","",
IF(COUNTIF('R1_G1'!$A$25:$A$29,$A23)=1,VLOOKUP($A23,'R1_G1'!$A$25:$AB$29, 26,FALSE),
IF(COUNTIF('R1_G2'!$A$25:$A$29,$A23)=1,VLOOKUP($A23,'R1_G2'!$A$25:$AB$29, 26,FALSE),
IF(COUNTIF('R1_G3'!$A$25:$A$29,$A23)=1,VLOOKUP($A23,'R1_G3'!$A$25:$AB$29, 26,FALSE),
IF(COUNTIF('R1_G4'!$A$25:$A$29,$A23)=1,VLOOKUP($A23,'R1_G4'!$A$25:$AB$29, 26,FALSE), "")))))</f>
        <v>3.0833333333333335</v>
      </c>
      <c r="D23" s="1038">
        <f ca="1">IF('ALL SCORES'!$AX$5="","",
IF(COUNTIF('R1_G1'!$A$25:$A$29,$A23)=1,VLOOKUP($A23,'R1_G1'!$A$25:$AB$29, 27,FALSE),
IF(COUNTIF('R1_G2'!$A$25:$A$29,$A23)=1,VLOOKUP($A23,'R1_G2'!$A$25:$AB$29, 27,FALSE),
IF(COUNTIF('R1_G3'!$A$25:$A$29,$A23)=1,VLOOKUP($A23,'R1_G3'!$A$25:$AB$29, 27,FALSE),
IF(COUNTIF('R1_G4'!$A$25:$A$29,$A23)=1,VLOOKUP($A23,'R1_G4'!$A$25:$AB$29, 27,FALSE), "")))))</f>
        <v>3.0833333333333335</v>
      </c>
      <c r="E23" s="1039">
        <f ca="1">IF('ALL SCORES'!$AX$5="","",
IF(COUNTIF('R1_G1'!$A$25:$A$29,$A23)=1,VLOOKUP($A23,'R1_G1'!$A$25:$AB$29, 28,FALSE),
IF(COUNTIF('R1_G2'!$A$25:$A$29,$A23)=1,VLOOKUP($A23,'R1_G2'!$A$25:$AB$29, 28,FALSE),
IF(COUNTIF('R1_G3'!$A$25:$A$29,$A23)=1,VLOOKUP($A23,'R1_G3'!$A$25:$AB$29, 28,FALSE),
IF(COUNTIF('R1_G4'!$A$25:$A$29,$A23)=1,VLOOKUP($A23,'R1_G4'!$A$25:$AB$29, 28,FALSE), "")))))</f>
        <v>0.94067796610169485</v>
      </c>
      <c r="F23" s="1040">
        <f ca="1">IF('ALL SCORES'!$AX$5="","",VLOOKUP($A23,'ALL SCORES'!$AC$5:$BE$20,29,FALSE)/18)</f>
        <v>0.40925925925925932</v>
      </c>
      <c r="G23" s="998"/>
      <c r="H23" s="1037">
        <f ca="1">VLOOKUP($A23,'ALL SCORES'!$A$29:$AB$44,26,FALSE)</f>
        <v>81</v>
      </c>
      <c r="I23" s="1041">
        <f ca="1">IF('ALL SCORES'!$AX$29="","",
SUMIF('R2_G1'!$A$27:$A$31,$A23,'R2_G1'!$AA$27:$AA$31)+
SUMIF('R2_G2'!$A$27:$A$31,$A23,'R2_G2'!$AA$27:$AA$31)+
SUMIF('R2_G3'!$A$27:$A$31,$A23,'R2_G3'!$AA$27:$AA$31)+
SUMIF('R2_G4'!$A$27:$A$31,$A23,'R2_G4'!$AA$27:$AA$31))</f>
        <v>6.5</v>
      </c>
      <c r="J23" s="1041">
        <f ca="1">IF('ALL SCORES'!$AX$29="","",
SUMIF('R2_G1'!$A$27:$A$31,$A23,'R2_G1'!$AA$27:$AA$31)+
SUMIF('R2_G2'!$A$27:$A$31,$A23,'R2_G2'!$AA$27:$AA$31)+
SUMIF('R2_G3'!$A$27:$A$31,$A23,'R2_G3'!$AA$27:$AA$31)+
SUMIF('R2_G4'!$A$27:$A$31,$A23,'R2_G4'!$AA$27:$AA$31))</f>
        <v>6.5</v>
      </c>
      <c r="K23" s="1041">
        <f ca="1">IF('ALL SCORES'!$AX$29="","",
SUMIF('R2_G1'!$A$27:$A$31,$A23,'R2_G1'!$AB$27:$AB$31)+
SUMIF('R2_G2'!$A$27:$A$31,$A23,'R2_G2'!$AB$27:$AB$31)+
SUMIF('R2_G3'!$A$27:$A$31,$A23,'R2_G3'!$AB$27:$AB$31)+
SUMIF('R2_G4'!$A$27:$A$31,$A23,'R2_G4'!$AB$27:$AB$31))</f>
        <v>0</v>
      </c>
      <c r="L23" s="1040">
        <f ca="1">IF('ALL SCORES'!$AX$29="","",VLOOKUP($A23,'ALL SCORES'!$AC$29:$BE$44,29,FALSE)/18)</f>
        <v>0.45185185185185184</v>
      </c>
      <c r="M23" s="998"/>
      <c r="N23" s="1041" t="e">
        <f ca="1">VLOOKUP($A23,'ALL SCORES'!$A$53:$AB$68,26,FALSE)</f>
        <v>#NAME?</v>
      </c>
      <c r="O23" s="1038" t="e">
        <f ca="1">IF('ALL SCORES'!$AX$53="","",
IF(COUNTIF('R3_G1'!$A$25:$A$29,$A23)=1,VLOOKUP($A23,'R3_G1'!$A$25:$AB$29, 27,FALSE),
IF(COUNTIF('R3_G2'!$A$25:$A$29,$A23)=1,VLOOKUP($A23,'R3_G2'!$A$25:$AB$29, 27,FALSE),
IF(COUNTIF('R3_G3'!$A$25:$A$29,$A23)=1,VLOOKUP($A23,'R3_G3'!$A$25:$AB$29, 27,FALSE),
IF(COUNTIF('R3_G4'!$A$25:$A$29,$A23)=1,VLOOKUP($A23,'R3_G4'!$A$25:$AB$29, 27,FALSE), "")))))</f>
        <v>#NAME?</v>
      </c>
      <c r="P23" s="1038" t="e">
        <f ca="1">IF('ALL SCORES'!$AX$53="","",
IF(COUNTIF('R3_G1'!$A$25:$A$29,$A23)=1,VLOOKUP($A23,'R3_G1'!$A$25:$AB$29, 27,FALSE),
IF(COUNTIF('R3_G2'!$A$25:$A$29,$A23)=1,VLOOKUP($A23,'R3_G2'!$A$25:$AB$29, 27,FALSE),
IF(COUNTIF('R3_G3'!$A$25:$A$29,$A23)=1,VLOOKUP($A23,'R3_G3'!$A$25:$AB$29, 27,FALSE),
IF(COUNTIF('R3_G4'!$A$25:$A$29,$A23)=1,VLOOKUP($A23,'R3_G4'!$A$25:$AB$29, 27,FALSE), "")))))</f>
        <v>#NAME?</v>
      </c>
      <c r="Q23" s="1039" t="e">
        <f ca="1">IF('ALL SCORES'!$AX$53="","",
IF(COUNTIF('R3_G1'!$A$25:$A$29,$A23)=1,VLOOKUP($A23,'R3_G1'!$A$25:$AB$29, 28,FALSE),
IF(COUNTIF('R3_G2'!$A$25:$A$29,$A23)=1,VLOOKUP($A23,'R3_G2'!$A$25:$AB$29, 28,FALSE),
IF(COUNTIF('R3_G3'!$A$25:$A$29,$A23)=1,VLOOKUP($A23,'R3_G3'!$A$25:$AB$29, 28,FALSE),
IF(COUNTIF('R3_G4'!$A$25:$A$29,$A23)=1,VLOOKUP($A23,'R3_G4'!$A$25:$AB$29, 28,FALSE), "")))))</f>
        <v>#NAME?</v>
      </c>
      <c r="R23" s="1042" t="e">
        <f ca="1">IF('ALL SCORES'!$AX$68="","",VLOOKUP($A23,'ALL SCORES'!$AC$53:$BE$68,29,FALSE)/18)</f>
        <v>#NAME?</v>
      </c>
      <c r="S23" s="998"/>
      <c r="T23" s="1037">
        <f ca="1">VLOOKUP($A23,'ALL SCORES'!$A$77:$AA$92,26,FALSE)</f>
        <v>82</v>
      </c>
      <c r="U23" s="1038">
        <f ca="1">IF('ALL SCORES'!$AX$77="","",
IF(COUNTIF('R4_G1'!$A$25:$A$29,$A23)=1,VLOOKUP($A23,'R4_G1'!$A$25:$AB$29, 26,FALSE),
IF(COUNTIF('R4_G2'!$A$25:$A$29,$A23)=1,VLOOKUP($A23,'R4_G2'!$A$25:$AB$29, 26,FALSE),
IF(COUNTIF('R4_G3'!$A$25:$A$29,$A23)=1,VLOOKUP($A23,'R4_G3'!$A$25:$AB$29, 26,FALSE),
IF(COUNTIF('R4_G4'!$A$25:$A$29,$A23)=1,VLOOKUP($A23,'R4_G4'!$A$25:$AB$29, 26,FALSE), "")))))</f>
        <v>7.583333333333333</v>
      </c>
      <c r="V23" s="1038">
        <f ca="1">IF('ALL SCORES'!$AX$77="","",
IF(COUNTIF('R4_G1'!$A$25:$A$29,$A23)=1,VLOOKUP($A23,'R4_G1'!$A$25:$AB$29, 27,FALSE),
IF(COUNTIF('R4_G2'!$A$25:$A$29,$A23)=1,VLOOKUP($A23,'R4_G2'!$A$25:$AB$29, 27,FALSE),
IF(COUNTIF('R4_G3'!$A$25:$A$29,$A23)=1,VLOOKUP($A23,'R4_G3'!$A$25:$AB$29, 27,FALSE),
IF(COUNTIF('R4_G4'!$A$25:$A$29,$A23)=1,VLOOKUP($A23,'R4_G4'!$A$25:$AB$29, 27,FALSE), "")))))</f>
        <v>5</v>
      </c>
      <c r="W23" s="1038">
        <f ca="1">IF('ALL SCORES'!$AX$77="","",
IF(COUNTIF('R4_G1'!$A$25:$A$29,$A23)=1,VLOOKUP($A23,'R4_G1'!$A$25:$AB$29, 28,FALSE),
IF(COUNTIF('R4_G2'!$A$25:$A$29,$A23)=1,VLOOKUP($A23,'R4_G2'!$A$25:$AB$29, 28,FALSE),
IF(COUNTIF('R4_G3'!$A$25:$A$29,$A23)=1,VLOOKUP($A23,'R4_G3'!$A$25:$AB$29, 28,FALSE),
IF(COUNTIF('R4_G4'!$A$25:$A$29,$A23)=1,VLOOKUP($A23,'R4_G4'!$A$25:$AB$29, 28,FALSE), "")))))</f>
        <v>1.7378472222222221</v>
      </c>
      <c r="X23" s="1042">
        <f ca="1">IF('ALL SCORES'!$AX$77="","",VLOOKUP($A23,'ALL SCORES'!$AC$77:$BE$92,29,FALSE)/18)</f>
        <v>0.45185185185185195</v>
      </c>
      <c r="Y23" s="998"/>
      <c r="Z23" s="1043" t="e">
        <f t="shared" ca="1" si="26"/>
        <v>#NAME?</v>
      </c>
      <c r="AA23" s="1044" t="e">
        <f t="shared" ca="1" si="27"/>
        <v>#NAME?</v>
      </c>
      <c r="AB23" s="1045" t="e">
        <f t="shared" ca="1" si="28"/>
        <v>#NAME?</v>
      </c>
      <c r="AC23" s="1046" t="e">
        <f t="shared" ca="1" si="29"/>
        <v>#NAME?</v>
      </c>
      <c r="AD23" s="1047" t="e">
        <f t="shared" ca="1" si="30"/>
        <v>#NAME?</v>
      </c>
      <c r="AE23" s="1014"/>
      <c r="AF23" s="1048">
        <f t="shared" ca="1" si="31"/>
        <v>0.375925925925926</v>
      </c>
      <c r="AG23" s="1048">
        <f t="shared" ca="1" si="32"/>
        <v>0.40648148148148144</v>
      </c>
      <c r="AH23" s="1049" t="e">
        <f t="shared" ca="1" si="33"/>
        <v>#NAME?</v>
      </c>
      <c r="AI23" s="1057">
        <f t="shared" ca="1" si="34"/>
        <v>0.43657407407407406</v>
      </c>
      <c r="AJ23" s="1051" t="e">
        <f t="shared" ca="1" si="35"/>
        <v>#NAME?</v>
      </c>
      <c r="AK23" s="533"/>
      <c r="AL23" s="1058">
        <f t="shared" ca="1" si="36"/>
        <v>-5.9375</v>
      </c>
      <c r="AM23" s="1058">
        <f t="shared" ca="1" si="37"/>
        <v>-4.125</v>
      </c>
      <c r="AN23" s="1059" t="e">
        <f t="shared" ca="1" si="38"/>
        <v>#NAME?</v>
      </c>
      <c r="AO23" s="1060">
        <f t="shared" ca="1" si="39"/>
        <v>-1.875</v>
      </c>
      <c r="AP23" s="1055" t="e">
        <f t="shared" ca="1" si="40"/>
        <v>#NAME?</v>
      </c>
      <c r="AQ23" s="1056" t="e">
        <f t="shared" ca="1" si="41"/>
        <v>#NAME?</v>
      </c>
      <c r="AR23" s="1038">
        <f>VLOOKUP(AS23,'Master Input'!$A$9:$M$27,'Master Input'!$M$28,FALSE)</f>
        <v>5.2</v>
      </c>
      <c r="AS23" s="1035" t="str">
        <f t="shared" si="25"/>
        <v>Elger</v>
      </c>
    </row>
    <row r="24" spans="1:45" ht="12.75" customHeight="1">
      <c r="A24" s="1061" t="s">
        <v>241</v>
      </c>
      <c r="B24" s="1062">
        <f ca="1">IF(ISERR(AVERAGE(B16:B23))=TRUE,0,AVERAGE(B16:B23))</f>
        <v>78.75</v>
      </c>
      <c r="C24" s="1063">
        <f t="shared" ref="C24:E24" ca="1" si="42">SUM(C16:C23)</f>
        <v>35.5</v>
      </c>
      <c r="D24" s="1063">
        <f t="shared" ca="1" si="42"/>
        <v>35.5</v>
      </c>
      <c r="E24" s="1063">
        <f t="shared" ca="1" si="42"/>
        <v>7.9999999999999991</v>
      </c>
      <c r="F24" s="1064">
        <f ca="1">IF(ISERR(AVERAGE(F16:F23))=TRUE,0,AVERAGE(F16:F23))</f>
        <v>0.47500000000000003</v>
      </c>
      <c r="G24" s="1014"/>
      <c r="H24" s="1062">
        <f ca="1">IF(ISERR(AVERAGE(H16:H23))=TRUE,0,AVERAGE(H16:H23))</f>
        <v>78</v>
      </c>
      <c r="I24" s="1063">
        <f t="shared" ref="I24:K24" ca="1" si="43">SUM(I16:I23)</f>
        <v>63</v>
      </c>
      <c r="J24" s="1063">
        <f t="shared" ca="1" si="43"/>
        <v>63</v>
      </c>
      <c r="K24" s="1063">
        <f t="shared" ca="1" si="43"/>
        <v>7</v>
      </c>
      <c r="L24" s="1064">
        <f ca="1">IF(ISERR(AVERAGE(L16:L23))=TRUE,0,AVERAGE(L16:L23))</f>
        <v>0.47453703703703703</v>
      </c>
      <c r="M24" s="1014"/>
      <c r="N24" s="1062">
        <f ca="1">IF(ISERR(AVERAGE(N16:N23))=TRUE,0,AVERAGE(N16:N23))</f>
        <v>0</v>
      </c>
      <c r="O24" s="1062" t="e">
        <f t="shared" ref="O24:Q24" ca="1" si="44">SUM(O16:O23)</f>
        <v>#NAME?</v>
      </c>
      <c r="P24" s="1062" t="e">
        <f t="shared" ca="1" si="44"/>
        <v>#NAME?</v>
      </c>
      <c r="Q24" s="1062" t="e">
        <f t="shared" ca="1" si="44"/>
        <v>#NAME?</v>
      </c>
      <c r="R24" s="1064">
        <f ca="1">IF(ISERR(AVERAGE(R16:R23))=TRUE,0,AVERAGE(R16:R23))</f>
        <v>0</v>
      </c>
      <c r="S24" s="1014"/>
      <c r="T24" s="1062">
        <f ca="1">IF(ISERR(AVERAGE(T16:T23))=TRUE,0,AVERAGE(T16:T23))</f>
        <v>79.25</v>
      </c>
      <c r="U24" s="1062">
        <f t="shared" ref="U24:W24" ca="1" si="45">SUM(U16:U23)</f>
        <v>71.999999999999986</v>
      </c>
      <c r="V24" s="1062">
        <f t="shared" ca="1" si="45"/>
        <v>43.499999999999993</v>
      </c>
      <c r="W24" s="1062">
        <f t="shared" ca="1" si="45"/>
        <v>16.5</v>
      </c>
      <c r="X24" s="1064">
        <f ca="1">IF('ALL SCORES'!$AX$77="",0,AVERAGE(X16:X23))</f>
        <v>0.50601851851851853</v>
      </c>
      <c r="Y24" s="1014"/>
      <c r="Z24" s="1062" t="e">
        <f ca="1">AVERAGE(Z16:Z23)</f>
        <v>#NAME?</v>
      </c>
      <c r="AA24" s="1063" t="e">
        <f t="shared" ref="AA24:AB24" ca="1" si="46">SUM(AA16:AA23)</f>
        <v>#NAME?</v>
      </c>
      <c r="AB24" s="1065" t="e">
        <f t="shared" ca="1" si="46"/>
        <v>#NAME?</v>
      </c>
      <c r="AC24" s="1066" t="e">
        <f t="shared" ref="AC24:AD24" ca="1" si="47">AVERAGE(AC16:AC23)</f>
        <v>#NAME?</v>
      </c>
      <c r="AD24" s="1067" t="e">
        <f t="shared" ca="1" si="47"/>
        <v>#NAME?</v>
      </c>
      <c r="AE24" s="1014"/>
      <c r="AF24" s="1068">
        <f t="shared" ref="AF24:AJ24" ca="1" si="48">AVERAGE(AF16:AF23)</f>
        <v>0.48402777777777783</v>
      </c>
      <c r="AG24" s="1068">
        <f t="shared" ca="1" si="48"/>
        <v>0.45601851851851849</v>
      </c>
      <c r="AH24" s="1069" t="e">
        <f t="shared" ca="1" si="48"/>
        <v>#NAME?</v>
      </c>
      <c r="AI24" s="1070">
        <f t="shared" ca="1" si="48"/>
        <v>0.50300925925925921</v>
      </c>
      <c r="AJ24" s="1071" t="e">
        <f t="shared" ca="1" si="48"/>
        <v>#NAME?</v>
      </c>
      <c r="AK24" s="533"/>
      <c r="AL24" s="1072">
        <f t="shared" ref="AL24:AQ24" ca="1" si="49">SUM(AL16:AL23)</f>
        <v>-13.5</v>
      </c>
      <c r="AM24" s="1073">
        <f t="shared" ca="1" si="49"/>
        <v>-9</v>
      </c>
      <c r="AN24" s="1073" t="e">
        <f t="shared" ca="1" si="49"/>
        <v>#NAME?</v>
      </c>
      <c r="AO24" s="1074">
        <f t="shared" ca="1" si="49"/>
        <v>7</v>
      </c>
      <c r="AP24" s="1073" t="e">
        <f t="shared" ca="1" si="49"/>
        <v>#NAME?</v>
      </c>
      <c r="AQ24" s="1074" t="e">
        <f t="shared" ca="1" si="49"/>
        <v>#NAME?</v>
      </c>
      <c r="AR24" s="1063">
        <f>AVERAGE(AR16:AR23)</f>
        <v>9.9249999999999989</v>
      </c>
      <c r="AS24" s="1006"/>
    </row>
    <row r="25" spans="1:45" ht="12.75" customHeight="1">
      <c r="A25" s="1098" t="s">
        <v>242</v>
      </c>
      <c r="B25" s="1043">
        <f ca="1">IF(ISERR(AVERAGE(B6:B13,B16:B23))=TRUE,0,AVERAGE(B6:B13,B16:B23))</f>
        <v>77.0625</v>
      </c>
      <c r="C25" s="1099">
        <f t="shared" ref="C25:F25" ca="1" si="50">SUM(C14,C24)</f>
        <v>72</v>
      </c>
      <c r="D25" s="1099">
        <f t="shared" ca="1" si="50"/>
        <v>72</v>
      </c>
      <c r="E25" s="1099">
        <f t="shared" ca="1" si="50"/>
        <v>16</v>
      </c>
      <c r="F25" s="1100">
        <f t="shared" ca="1" si="50"/>
        <v>1</v>
      </c>
      <c r="G25" s="1101"/>
      <c r="H25" s="1043">
        <f ca="1">IF(ISERR(AVERAGE(H6:H13,H16:H23))=TRUE,0,AVERAGE(H6:H13,H16:H23))</f>
        <v>76.875</v>
      </c>
      <c r="I25" s="1099">
        <f t="shared" ref="I25:L25" ca="1" si="51">SUM(I14,I24)</f>
        <v>144</v>
      </c>
      <c r="J25" s="1099">
        <f t="shared" ca="1" si="51"/>
        <v>144</v>
      </c>
      <c r="K25" s="1099">
        <f t="shared" ca="1" si="51"/>
        <v>24</v>
      </c>
      <c r="L25" s="1100">
        <f t="shared" ca="1" si="51"/>
        <v>1</v>
      </c>
      <c r="M25" s="1102"/>
      <c r="N25" s="1043">
        <f ca="1">IF(ISERR(AVERAGE(N6:N13,N16:N23))=TRUE,0,AVERAGE(N6:N13,N16:N23))</f>
        <v>0</v>
      </c>
      <c r="O25" s="1099" t="e">
        <f t="shared" ref="O25:R25" ca="1" si="52">SUM(O14,O24)</f>
        <v>#NAME?</v>
      </c>
      <c r="P25" s="1099" t="e">
        <f t="shared" ca="1" si="52"/>
        <v>#NAME?</v>
      </c>
      <c r="Q25" s="1099" t="e">
        <f t="shared" ca="1" si="52"/>
        <v>#NAME?</v>
      </c>
      <c r="R25" s="1100">
        <f t="shared" ca="1" si="52"/>
        <v>0</v>
      </c>
      <c r="S25" s="1103"/>
      <c r="T25" s="1043">
        <f ca="1">IF(ISERR(AVERAGE(T6:T13,T16:T23))=TRUE,0,AVERAGE(T6:T13,T16:T23))</f>
        <v>80.125</v>
      </c>
      <c r="U25" s="1099">
        <f t="shared" ref="U25:X25" ca="1" si="53">SUM(U14,U24)</f>
        <v>144</v>
      </c>
      <c r="V25" s="1099">
        <f t="shared" ca="1" si="53"/>
        <v>71.999999999999986</v>
      </c>
      <c r="W25" s="1044">
        <f t="shared" ca="1" si="53"/>
        <v>27</v>
      </c>
      <c r="X25" s="1100">
        <f t="shared" ca="1" si="53"/>
        <v>1</v>
      </c>
      <c r="Y25" s="1103"/>
      <c r="Z25" s="1104" t="e">
        <f ca="1">AVERAGE(Z14,Z24)</f>
        <v>#NAME?</v>
      </c>
      <c r="AA25" s="1099" t="e">
        <f t="shared" ref="AA25:AD25" ca="1" si="54">SUM(AA14,AA24)</f>
        <v>#NAME?</v>
      </c>
      <c r="AB25" s="1045" t="e">
        <f t="shared" ca="1" si="54"/>
        <v>#NAME?</v>
      </c>
      <c r="AC25" s="1105" t="e">
        <f t="shared" ca="1" si="54"/>
        <v>#NAME?</v>
      </c>
      <c r="AD25" s="1106" t="e">
        <f t="shared" ca="1" si="54"/>
        <v>#NAME?</v>
      </c>
      <c r="AE25" s="1014"/>
      <c r="AF25" s="1048">
        <f t="shared" ref="AF25:AI25" ca="1" si="55">SUM(AF14,AF24)</f>
        <v>1</v>
      </c>
      <c r="AG25" s="1048">
        <f t="shared" ca="1" si="55"/>
        <v>0.99999999999999989</v>
      </c>
      <c r="AH25" s="1049" t="e">
        <f t="shared" ca="1" si="55"/>
        <v>#NAME?</v>
      </c>
      <c r="AI25" s="1057">
        <f t="shared" ca="1" si="55"/>
        <v>0.99999999999999989</v>
      </c>
      <c r="AJ25" s="1107" t="e">
        <f ca="1">AVERAGE(AJ24,AJ14)</f>
        <v>#NAME?</v>
      </c>
      <c r="AK25" s="533"/>
      <c r="AL25" s="1052">
        <f ca="1">SUM(AL14,AL24)</f>
        <v>0</v>
      </c>
      <c r="AM25" s="1108">
        <f ca="1">AVERAGE(AM14,AM24)</f>
        <v>0</v>
      </c>
      <c r="AN25" s="1108" t="e">
        <f t="shared" ref="AN25:AO25" ca="1" si="56">SUM(AN14,AN24)</f>
        <v>#NAME?</v>
      </c>
      <c r="AO25" s="1109">
        <f t="shared" ca="1" si="56"/>
        <v>0</v>
      </c>
      <c r="AP25" s="1110" t="e">
        <f ca="1">AVERAGE(AP24,AP14)</f>
        <v>#NAME?</v>
      </c>
      <c r="AQ25" s="1111" t="e">
        <f ca="1">AVERAGE(AQ14,AQ24)</f>
        <v>#NAME?</v>
      </c>
      <c r="AR25" s="1112">
        <f>AVERAGE(AR6:AR13,AR16:AR23)</f>
        <v>10.917187500000001</v>
      </c>
      <c r="AS25" s="1113"/>
    </row>
    <row r="26" spans="1:45" ht="12.75" customHeight="1">
      <c r="A26" s="533"/>
      <c r="B26" s="533"/>
      <c r="C26" s="533"/>
      <c r="D26" s="533"/>
      <c r="E26" s="533"/>
      <c r="F26" s="533"/>
      <c r="G26" s="533"/>
      <c r="H26" s="533"/>
      <c r="I26" s="533"/>
      <c r="J26" s="533"/>
      <c r="K26" s="533"/>
      <c r="L26" s="533"/>
      <c r="M26" s="533"/>
      <c r="N26" s="533"/>
      <c r="O26" s="533"/>
      <c r="P26" s="533"/>
      <c r="Q26" s="533"/>
      <c r="R26" s="533"/>
      <c r="S26" s="533"/>
      <c r="T26" s="533"/>
      <c r="U26" s="533"/>
      <c r="V26" s="533"/>
      <c r="W26" s="533"/>
      <c r="X26" s="533"/>
      <c r="Y26" s="533"/>
      <c r="Z26" s="533"/>
      <c r="AA26" s="533"/>
      <c r="AB26" s="533"/>
      <c r="AC26" s="533"/>
      <c r="AD26" s="533"/>
      <c r="AE26" s="533"/>
      <c r="AF26" s="533"/>
      <c r="AG26" s="533"/>
      <c r="AH26" s="533"/>
      <c r="AI26" s="533"/>
      <c r="AJ26" s="533"/>
      <c r="AK26" s="533"/>
      <c r="AL26" s="533"/>
    </row>
    <row r="27" spans="1:45" ht="12.75" customHeight="1">
      <c r="A27" s="1114" t="s">
        <v>243</v>
      </c>
      <c r="B27" s="533"/>
      <c r="C27" s="533"/>
      <c r="D27" s="533"/>
      <c r="E27" s="533"/>
      <c r="F27" s="533"/>
      <c r="G27" s="533"/>
      <c r="H27" s="533"/>
      <c r="I27" s="533"/>
      <c r="J27" s="533"/>
      <c r="K27" s="533"/>
      <c r="L27" s="533"/>
      <c r="M27" s="533"/>
      <c r="N27" s="533"/>
      <c r="O27" s="533"/>
      <c r="P27" s="533"/>
      <c r="Q27" s="1115" t="s">
        <v>244</v>
      </c>
      <c r="R27" s="533"/>
      <c r="S27" s="533"/>
      <c r="T27" s="533"/>
      <c r="U27" s="533"/>
      <c r="V27" s="533"/>
      <c r="W27" s="533"/>
      <c r="X27" s="533"/>
      <c r="Y27" s="533"/>
      <c r="Z27" s="533"/>
      <c r="AA27" s="533"/>
      <c r="AB27" s="533"/>
      <c r="AC27" s="1116"/>
      <c r="AD27" s="1116"/>
      <c r="AE27" s="533"/>
      <c r="AF27" s="1115" t="s">
        <v>245</v>
      </c>
      <c r="AG27" s="1117"/>
      <c r="AH27" s="1117"/>
      <c r="AI27" s="533"/>
      <c r="AJ27" s="533"/>
      <c r="AK27" s="533"/>
      <c r="AL27" s="533"/>
      <c r="AM27" s="533"/>
      <c r="AN27" s="533"/>
      <c r="AO27" s="533"/>
      <c r="AP27" s="533"/>
      <c r="AQ27" s="533"/>
      <c r="AR27" s="533"/>
      <c r="AS27" s="533"/>
    </row>
    <row r="28" spans="1:45" ht="12.75" customHeight="1">
      <c r="A28" s="1114"/>
      <c r="B28" s="533"/>
      <c r="C28" s="533"/>
      <c r="D28" s="533"/>
      <c r="E28" s="533"/>
      <c r="F28" s="533"/>
      <c r="G28" s="533"/>
      <c r="H28" s="533"/>
      <c r="I28" s="533"/>
      <c r="J28" s="533"/>
      <c r="K28" s="533"/>
      <c r="L28" s="533"/>
      <c r="M28" s="533"/>
      <c r="N28" s="533"/>
      <c r="O28" s="533"/>
      <c r="P28" s="533"/>
      <c r="Q28" s="533" t="s">
        <v>246</v>
      </c>
      <c r="R28" s="533"/>
      <c r="S28" s="533"/>
      <c r="T28" s="533"/>
      <c r="U28" s="533"/>
      <c r="V28" s="533"/>
      <c r="W28" s="533"/>
      <c r="X28" s="533"/>
      <c r="Y28" s="533"/>
      <c r="Z28" s="533"/>
      <c r="AA28" s="533"/>
      <c r="AB28" s="533"/>
      <c r="AC28" s="1118"/>
      <c r="AD28" s="1118"/>
      <c r="AE28" s="533"/>
      <c r="AF28" s="533" t="s">
        <v>247</v>
      </c>
      <c r="AG28" s="1117"/>
      <c r="AH28" s="1117"/>
      <c r="AI28" s="533"/>
      <c r="AJ28" s="533"/>
      <c r="AK28" s="533"/>
      <c r="AL28" s="533"/>
      <c r="AM28" s="533"/>
      <c r="AN28" s="533"/>
      <c r="AO28" s="533"/>
      <c r="AP28" s="533"/>
      <c r="AQ28" s="533"/>
      <c r="AR28" s="533"/>
      <c r="AS28" s="533"/>
    </row>
    <row r="29" spans="1:45" ht="12.75" customHeight="1">
      <c r="A29" s="533"/>
      <c r="B29" s="533"/>
      <c r="C29" s="533"/>
      <c r="D29" s="533"/>
      <c r="E29" s="533"/>
      <c r="F29" s="533"/>
      <c r="G29" s="533"/>
      <c r="H29" s="533"/>
      <c r="I29" s="533"/>
      <c r="J29" s="533"/>
      <c r="K29" s="533"/>
      <c r="L29" s="533"/>
      <c r="M29" s="533"/>
      <c r="N29" s="533"/>
      <c r="O29" s="533"/>
      <c r="P29" s="533"/>
      <c r="Q29" s="366" t="s">
        <v>248</v>
      </c>
      <c r="R29" s="533"/>
      <c r="S29" s="533"/>
      <c r="T29" s="533"/>
      <c r="U29" s="533"/>
      <c r="V29" s="533"/>
      <c r="W29" s="533"/>
      <c r="X29" s="533"/>
      <c r="Y29" s="533"/>
      <c r="Z29" s="533"/>
      <c r="AA29" s="533"/>
      <c r="AB29" s="533"/>
      <c r="AC29" s="1118"/>
      <c r="AD29" s="1118"/>
      <c r="AE29" s="533"/>
      <c r="AF29" s="366" t="s">
        <v>249</v>
      </c>
      <c r="AG29" s="1117"/>
      <c r="AH29" s="1117"/>
      <c r="AI29" s="533"/>
      <c r="AJ29" s="533"/>
      <c r="AK29" s="533"/>
      <c r="AL29" s="533"/>
      <c r="AM29" s="533"/>
      <c r="AN29" s="533"/>
      <c r="AO29" s="533"/>
      <c r="AP29" s="533"/>
      <c r="AQ29" s="533"/>
      <c r="AR29" s="533"/>
      <c r="AS29" s="533"/>
    </row>
    <row r="30" spans="1:45" ht="12.75" customHeight="1">
      <c r="A30" s="533"/>
      <c r="B30" s="533"/>
      <c r="C30" s="533"/>
      <c r="D30" s="533"/>
      <c r="E30" s="533"/>
      <c r="F30" s="533"/>
      <c r="G30" s="533"/>
      <c r="H30" s="533"/>
      <c r="I30" s="533"/>
      <c r="J30" s="533"/>
      <c r="K30" s="533"/>
      <c r="L30" s="533"/>
      <c r="M30" s="533"/>
      <c r="N30" s="533"/>
      <c r="O30" s="533"/>
      <c r="P30" s="533"/>
      <c r="Q30" s="533"/>
      <c r="R30" s="533"/>
      <c r="S30" s="533"/>
      <c r="T30" s="533"/>
      <c r="U30" s="533"/>
      <c r="V30" s="533"/>
      <c r="W30" s="533"/>
      <c r="X30" s="533"/>
      <c r="Y30" s="533"/>
      <c r="Z30" s="533"/>
      <c r="AA30" s="533"/>
      <c r="AB30" s="533"/>
      <c r="AC30" s="1118"/>
      <c r="AD30" s="1118"/>
      <c r="AE30" s="533"/>
      <c r="AF30" s="366" t="s">
        <v>250</v>
      </c>
      <c r="AG30" s="1117"/>
      <c r="AH30" s="1117"/>
      <c r="AI30" s="533"/>
      <c r="AJ30" s="533"/>
      <c r="AK30" s="533"/>
      <c r="AL30" s="533"/>
      <c r="AM30" s="533"/>
      <c r="AN30" s="533"/>
      <c r="AO30" s="533"/>
      <c r="AP30" s="533"/>
      <c r="AQ30" s="533"/>
      <c r="AR30" s="533"/>
      <c r="AS30" s="533"/>
    </row>
    <row r="31" spans="1:45" ht="12.75" customHeight="1">
      <c r="A31" s="1117"/>
      <c r="B31" s="533"/>
      <c r="C31" s="533"/>
      <c r="D31" s="533"/>
      <c r="E31" s="533"/>
      <c r="F31" s="533"/>
      <c r="G31" s="533"/>
      <c r="H31" s="533"/>
      <c r="I31" s="533"/>
      <c r="J31" s="533"/>
      <c r="K31" s="533"/>
      <c r="L31" s="533"/>
      <c r="M31" s="533"/>
      <c r="N31" s="533"/>
      <c r="O31" s="533"/>
      <c r="P31" s="533"/>
      <c r="Q31" s="533" t="s">
        <v>251</v>
      </c>
      <c r="R31" s="533"/>
      <c r="S31" s="533"/>
      <c r="T31" s="533"/>
      <c r="U31" s="533"/>
      <c r="V31" s="533"/>
      <c r="W31" s="533"/>
      <c r="X31" s="533"/>
      <c r="Y31" s="533"/>
      <c r="Z31" s="533"/>
      <c r="AA31" s="533"/>
      <c r="AB31" s="533"/>
      <c r="AC31" s="1118"/>
      <c r="AD31" s="1118"/>
      <c r="AE31" s="533"/>
      <c r="AF31" s="366" t="s">
        <v>252</v>
      </c>
      <c r="AG31" s="1117"/>
      <c r="AH31" s="1117"/>
      <c r="AI31" s="533"/>
      <c r="AJ31" s="533"/>
      <c r="AK31" s="533"/>
      <c r="AL31" s="533"/>
      <c r="AM31" s="533"/>
      <c r="AN31" s="533"/>
      <c r="AO31" s="533"/>
      <c r="AP31" s="533"/>
      <c r="AQ31" s="533"/>
      <c r="AR31" s="533"/>
      <c r="AS31" s="533"/>
    </row>
    <row r="32" spans="1:45" ht="12.75" customHeight="1">
      <c r="B32" s="533"/>
      <c r="C32" s="533"/>
      <c r="D32" s="533"/>
      <c r="E32" s="533"/>
      <c r="F32" s="533"/>
      <c r="G32" s="533"/>
      <c r="H32" s="533"/>
      <c r="I32" s="533"/>
      <c r="J32" s="533"/>
      <c r="K32" s="533"/>
      <c r="L32" s="533"/>
      <c r="M32" s="533"/>
      <c r="N32" s="533"/>
      <c r="O32" s="533"/>
      <c r="P32" s="533"/>
      <c r="Q32" s="533" t="s">
        <v>253</v>
      </c>
      <c r="R32" s="533"/>
      <c r="S32" s="533"/>
      <c r="T32" s="533"/>
      <c r="U32" s="533"/>
      <c r="V32" s="533"/>
      <c r="W32" s="533"/>
      <c r="X32" s="533"/>
      <c r="Y32" s="533"/>
      <c r="Z32" s="533"/>
      <c r="AA32" s="533"/>
      <c r="AB32" s="533"/>
      <c r="AC32" s="1118"/>
      <c r="AD32" s="1118"/>
      <c r="AE32" s="533"/>
      <c r="AF32" s="533"/>
      <c r="AG32" s="533"/>
      <c r="AH32" s="533"/>
      <c r="AI32" s="533"/>
      <c r="AJ32" s="533"/>
      <c r="AK32" s="533"/>
      <c r="AL32" s="533"/>
      <c r="AM32" s="533"/>
      <c r="AN32" s="533"/>
      <c r="AO32" s="533"/>
      <c r="AP32" s="533"/>
      <c r="AQ32" s="533"/>
      <c r="AR32" s="533"/>
      <c r="AS32" s="533"/>
    </row>
    <row r="33" spans="1:45" ht="12.75" customHeight="1">
      <c r="A33" s="1117"/>
      <c r="B33" s="533"/>
      <c r="C33" s="533"/>
      <c r="D33" s="533"/>
      <c r="E33" s="533"/>
      <c r="F33" s="533"/>
      <c r="G33" s="533"/>
      <c r="H33" s="533"/>
      <c r="I33" s="533"/>
      <c r="J33" s="533"/>
      <c r="K33" s="533"/>
      <c r="L33" s="533"/>
      <c r="M33" s="533"/>
      <c r="N33" s="533"/>
      <c r="O33" s="533"/>
      <c r="P33" s="533"/>
      <c r="Q33" s="366" t="s">
        <v>254</v>
      </c>
      <c r="R33" s="533"/>
      <c r="S33" s="533"/>
      <c r="T33" s="533"/>
      <c r="U33" s="533"/>
      <c r="V33" s="533"/>
      <c r="W33" s="533"/>
      <c r="X33" s="533"/>
      <c r="Y33" s="533"/>
      <c r="Z33" s="533"/>
      <c r="AA33" s="533"/>
      <c r="AB33" s="533"/>
      <c r="AC33" s="1116"/>
      <c r="AD33" s="1116"/>
      <c r="AE33" s="533"/>
      <c r="AF33" s="533" t="s">
        <v>255</v>
      </c>
      <c r="AG33" s="1117"/>
      <c r="AH33" s="1117"/>
      <c r="AI33" s="533"/>
      <c r="AJ33" s="533"/>
      <c r="AK33" s="533"/>
      <c r="AL33" s="533"/>
      <c r="AM33" s="533"/>
      <c r="AN33" s="533"/>
      <c r="AO33" s="533"/>
      <c r="AP33" s="533"/>
      <c r="AQ33" s="533"/>
      <c r="AR33" s="533"/>
      <c r="AS33" s="533"/>
    </row>
    <row r="34" spans="1:45" ht="12.75" customHeight="1">
      <c r="A34" s="1114"/>
      <c r="B34" s="533"/>
      <c r="C34" s="533"/>
      <c r="D34" s="533"/>
      <c r="E34" s="533"/>
      <c r="F34" s="533"/>
      <c r="G34" s="533"/>
      <c r="H34" s="533"/>
      <c r="I34" s="533"/>
      <c r="J34" s="533"/>
      <c r="K34" s="533"/>
      <c r="L34" s="533"/>
      <c r="M34" s="533"/>
      <c r="N34" s="533"/>
      <c r="O34" s="533"/>
      <c r="P34" s="533"/>
      <c r="Q34" s="533"/>
      <c r="R34" s="533"/>
      <c r="S34" s="533"/>
      <c r="T34" s="533"/>
      <c r="U34" s="533"/>
      <c r="V34" s="533"/>
      <c r="W34" s="533"/>
      <c r="X34" s="533"/>
      <c r="Y34" s="533"/>
      <c r="Z34" s="533"/>
      <c r="AA34" s="533"/>
      <c r="AB34" s="533"/>
      <c r="AC34" s="1118"/>
      <c r="AD34" s="1118"/>
      <c r="AE34" s="533"/>
      <c r="AF34" s="1119" t="s">
        <v>256</v>
      </c>
      <c r="AG34" s="1117"/>
      <c r="AH34" s="1117"/>
      <c r="AI34" s="533"/>
      <c r="AJ34" s="533"/>
      <c r="AK34" s="533"/>
      <c r="AL34" s="533"/>
      <c r="AM34" s="533"/>
      <c r="AN34" s="533"/>
      <c r="AO34" s="533"/>
      <c r="AP34" s="533"/>
      <c r="AQ34" s="533"/>
      <c r="AR34" s="533"/>
      <c r="AS34" s="533"/>
    </row>
    <row r="35" spans="1:45" ht="12.75" customHeight="1">
      <c r="A35" s="533"/>
      <c r="B35" s="533"/>
      <c r="C35" s="533"/>
      <c r="D35" s="533"/>
      <c r="E35" s="533"/>
      <c r="F35" s="533"/>
      <c r="G35" s="533"/>
      <c r="H35" s="533"/>
      <c r="I35" s="533"/>
      <c r="J35" s="533"/>
      <c r="K35" s="533"/>
      <c r="L35" s="533"/>
      <c r="M35" s="533"/>
      <c r="N35" s="533"/>
      <c r="O35" s="533"/>
      <c r="P35" s="533"/>
      <c r="Q35" s="1115" t="s">
        <v>257</v>
      </c>
      <c r="R35" s="533"/>
      <c r="S35" s="533"/>
      <c r="T35" s="533"/>
      <c r="U35" s="533"/>
      <c r="V35" s="533"/>
      <c r="W35" s="533"/>
      <c r="X35" s="533"/>
      <c r="Y35" s="533"/>
      <c r="Z35" s="533"/>
      <c r="AA35" s="533"/>
      <c r="AB35" s="533"/>
      <c r="AC35" s="1118"/>
      <c r="AD35" s="1118"/>
      <c r="AE35" s="533"/>
      <c r="AF35" s="366" t="s">
        <v>258</v>
      </c>
      <c r="AG35" s="1117"/>
      <c r="AH35" s="1117"/>
      <c r="AI35" s="533"/>
      <c r="AJ35" s="533"/>
      <c r="AK35" s="533"/>
      <c r="AL35" s="533"/>
      <c r="AM35" s="533"/>
      <c r="AN35" s="533"/>
      <c r="AO35" s="533"/>
      <c r="AP35" s="533"/>
      <c r="AQ35" s="533"/>
      <c r="AR35" s="533"/>
      <c r="AS35" s="533"/>
    </row>
    <row r="36" spans="1:45" ht="12.75" customHeight="1">
      <c r="A36" s="1114" t="s">
        <v>259</v>
      </c>
      <c r="B36" s="533"/>
      <c r="C36" s="533"/>
      <c r="D36" s="533"/>
      <c r="E36" s="533"/>
      <c r="F36" s="533"/>
      <c r="G36" s="533"/>
      <c r="H36" s="533"/>
      <c r="I36" s="533"/>
      <c r="J36" s="533"/>
      <c r="K36" s="533"/>
      <c r="L36" s="533"/>
      <c r="M36" s="533"/>
      <c r="N36" s="533"/>
      <c r="O36" s="533"/>
      <c r="P36" s="533"/>
      <c r="Q36" s="533" t="s">
        <v>260</v>
      </c>
      <c r="R36" s="533"/>
      <c r="S36" s="533"/>
      <c r="T36" s="533"/>
      <c r="U36" s="533"/>
      <c r="V36" s="533"/>
      <c r="W36" s="533"/>
      <c r="X36" s="533"/>
      <c r="Y36" s="533"/>
      <c r="Z36" s="533"/>
      <c r="AA36" s="533"/>
      <c r="AB36" s="533"/>
      <c r="AC36" s="1118"/>
      <c r="AD36" s="1118"/>
      <c r="AE36" s="533"/>
      <c r="AF36" s="366" t="s">
        <v>261</v>
      </c>
      <c r="AG36" s="533"/>
      <c r="AH36" s="533"/>
      <c r="AI36" s="533"/>
      <c r="AJ36" s="533"/>
      <c r="AK36" s="533"/>
      <c r="AL36" s="533"/>
      <c r="AM36" s="533"/>
      <c r="AN36" s="533"/>
      <c r="AO36" s="533"/>
      <c r="AP36" s="533"/>
      <c r="AQ36" s="533"/>
      <c r="AR36" s="533"/>
      <c r="AS36" s="533"/>
    </row>
    <row r="37" spans="1:45" ht="12.75" customHeight="1">
      <c r="A37" s="533"/>
      <c r="B37" s="533"/>
      <c r="C37" s="533"/>
      <c r="D37" s="533"/>
      <c r="E37" s="533"/>
      <c r="F37" s="533"/>
      <c r="G37" s="533"/>
      <c r="H37" s="533"/>
      <c r="I37" s="533"/>
      <c r="J37" s="533"/>
      <c r="K37" s="533"/>
      <c r="L37" s="533"/>
      <c r="M37" s="533"/>
      <c r="N37" s="533"/>
      <c r="O37" s="533"/>
      <c r="P37" s="533"/>
      <c r="Q37" s="533" t="s">
        <v>262</v>
      </c>
      <c r="R37" s="533"/>
      <c r="S37" s="533"/>
      <c r="T37" s="533"/>
      <c r="U37" s="533"/>
      <c r="V37" s="533"/>
      <c r="W37" s="533"/>
      <c r="X37" s="533"/>
      <c r="Y37" s="533"/>
      <c r="Z37" s="533"/>
      <c r="AA37" s="533"/>
      <c r="AB37" s="533"/>
      <c r="AC37" s="533"/>
      <c r="AD37" s="533"/>
      <c r="AE37" s="533"/>
      <c r="AF37" s="366" t="s">
        <v>263</v>
      </c>
      <c r="AG37" s="1117"/>
      <c r="AH37" s="1117"/>
      <c r="AI37" s="533"/>
      <c r="AJ37" s="533"/>
      <c r="AK37" s="533"/>
      <c r="AL37" s="533"/>
      <c r="AM37" s="533"/>
      <c r="AN37" s="533"/>
      <c r="AO37" s="533"/>
      <c r="AP37" s="533"/>
      <c r="AQ37" s="533"/>
      <c r="AR37" s="533"/>
      <c r="AS37" s="533"/>
    </row>
    <row r="38" spans="1:45" ht="12.75" customHeight="1">
      <c r="A38" s="533"/>
      <c r="B38" s="533"/>
      <c r="C38" s="533"/>
      <c r="D38" s="533"/>
      <c r="E38" s="533"/>
      <c r="F38" s="533"/>
      <c r="G38" s="533"/>
      <c r="H38" s="533"/>
      <c r="I38" s="533"/>
      <c r="J38" s="533"/>
      <c r="K38" s="533"/>
      <c r="L38" s="533"/>
      <c r="M38" s="533"/>
      <c r="N38" s="533"/>
      <c r="O38" s="533"/>
      <c r="P38" s="533"/>
      <c r="Q38" s="533" t="s">
        <v>264</v>
      </c>
      <c r="R38" s="533"/>
      <c r="S38" s="533"/>
      <c r="T38" s="533"/>
      <c r="U38" s="533"/>
      <c r="V38" s="533"/>
      <c r="W38" s="533"/>
      <c r="X38" s="533"/>
      <c r="Y38" s="533"/>
      <c r="Z38" s="533"/>
      <c r="AA38" s="533"/>
      <c r="AB38" s="533"/>
      <c r="AC38" s="533"/>
      <c r="AD38" s="533"/>
      <c r="AE38" s="533"/>
      <c r="AF38" s="366" t="s">
        <v>265</v>
      </c>
      <c r="AG38" s="1117"/>
      <c r="AH38" s="1117"/>
      <c r="AI38" s="533"/>
      <c r="AJ38" s="533"/>
      <c r="AK38" s="533"/>
      <c r="AL38" s="533"/>
      <c r="AM38" s="533"/>
      <c r="AN38" s="533"/>
      <c r="AO38" s="533"/>
      <c r="AP38" s="533"/>
      <c r="AQ38" s="533"/>
      <c r="AR38" s="533"/>
      <c r="AS38" s="533"/>
    </row>
    <row r="39" spans="1:45" ht="12.75" customHeight="1">
      <c r="A39" s="1117"/>
      <c r="B39" s="533"/>
      <c r="C39" s="533"/>
      <c r="D39" s="533"/>
      <c r="E39" s="533"/>
      <c r="F39" s="533"/>
      <c r="G39" s="533"/>
      <c r="H39" s="533"/>
      <c r="I39" s="533"/>
      <c r="J39" s="533"/>
      <c r="K39" s="533"/>
      <c r="L39" s="533"/>
      <c r="M39" s="533"/>
      <c r="N39" s="533"/>
      <c r="O39" s="533"/>
      <c r="P39" s="533"/>
      <c r="Q39" s="533"/>
      <c r="R39" s="533"/>
      <c r="S39" s="533"/>
      <c r="T39" s="533"/>
      <c r="U39" s="533"/>
      <c r="V39" s="533"/>
      <c r="W39" s="533"/>
      <c r="X39" s="533"/>
      <c r="Y39" s="533"/>
      <c r="Z39" s="533"/>
      <c r="AA39" s="533"/>
      <c r="AB39" s="533"/>
      <c r="AC39" s="533"/>
      <c r="AD39" s="533"/>
      <c r="AE39" s="533"/>
      <c r="AF39" s="533"/>
      <c r="AG39" s="1117"/>
      <c r="AH39" s="1117"/>
      <c r="AI39" s="533"/>
      <c r="AJ39" s="533"/>
      <c r="AK39" s="533"/>
      <c r="AL39" s="533"/>
      <c r="AM39" s="533"/>
      <c r="AN39" s="533"/>
      <c r="AO39" s="533"/>
      <c r="AP39" s="533"/>
      <c r="AQ39" s="533"/>
      <c r="AR39" s="533"/>
      <c r="AS39" s="533"/>
    </row>
    <row r="40" spans="1:45" ht="12.75" customHeight="1">
      <c r="A40" s="366"/>
      <c r="B40" s="533"/>
      <c r="C40" s="533"/>
      <c r="D40" s="533"/>
      <c r="E40" s="533"/>
      <c r="F40" s="533"/>
      <c r="G40" s="533"/>
      <c r="H40" s="533"/>
      <c r="I40" s="533"/>
      <c r="J40" s="533"/>
      <c r="K40" s="533"/>
      <c r="L40" s="533"/>
      <c r="M40" s="533"/>
      <c r="N40" s="533"/>
      <c r="O40" s="533"/>
      <c r="P40" s="533"/>
      <c r="Q40" s="1115" t="s">
        <v>266</v>
      </c>
      <c r="R40" s="533"/>
      <c r="S40" s="533"/>
      <c r="T40" s="533"/>
      <c r="U40" s="533"/>
      <c r="V40" s="533"/>
      <c r="W40" s="533"/>
      <c r="X40" s="533"/>
      <c r="Y40" s="533"/>
      <c r="Z40" s="533"/>
      <c r="AA40" s="533"/>
      <c r="AB40" s="533"/>
      <c r="AC40" s="533"/>
      <c r="AD40" s="533"/>
      <c r="AE40" s="533"/>
      <c r="AF40" s="533" t="s">
        <v>267</v>
      </c>
      <c r="AG40" s="533"/>
      <c r="AH40" s="533"/>
      <c r="AI40" s="533"/>
      <c r="AJ40" s="533"/>
      <c r="AK40" s="533"/>
      <c r="AL40" s="533"/>
      <c r="AM40" s="533"/>
      <c r="AN40" s="533"/>
      <c r="AO40" s="533"/>
      <c r="AP40" s="533"/>
      <c r="AQ40" s="533"/>
      <c r="AR40" s="533"/>
      <c r="AS40" s="533"/>
    </row>
    <row r="41" spans="1:45" ht="12.75" customHeight="1">
      <c r="A41" s="533"/>
      <c r="B41" s="533"/>
      <c r="C41" s="533"/>
      <c r="D41" s="533"/>
      <c r="E41" s="533"/>
      <c r="F41" s="533"/>
      <c r="G41" s="533"/>
      <c r="H41" s="533"/>
      <c r="I41" s="533"/>
      <c r="J41" s="533"/>
      <c r="K41" s="533"/>
      <c r="L41" s="533"/>
      <c r="M41" s="533"/>
      <c r="N41" s="533"/>
      <c r="O41" s="533"/>
      <c r="P41" s="533"/>
      <c r="Q41" s="533" t="s">
        <v>268</v>
      </c>
      <c r="R41" s="533"/>
      <c r="S41" s="533"/>
      <c r="T41" s="533"/>
      <c r="U41" s="533"/>
      <c r="V41" s="533"/>
      <c r="W41" s="533"/>
      <c r="X41" s="533"/>
      <c r="Y41" s="533"/>
      <c r="Z41" s="533"/>
      <c r="AA41" s="533"/>
      <c r="AB41" s="533"/>
      <c r="AC41" s="533"/>
      <c r="AD41" s="533"/>
      <c r="AE41" s="533"/>
      <c r="AF41" s="366" t="s">
        <v>269</v>
      </c>
      <c r="AG41" s="533"/>
      <c r="AH41" s="533"/>
      <c r="AI41" s="533"/>
      <c r="AJ41" s="533"/>
      <c r="AK41" s="533"/>
      <c r="AL41" s="533"/>
      <c r="AM41" s="533"/>
      <c r="AN41" s="533"/>
      <c r="AO41" s="533"/>
      <c r="AP41" s="533"/>
      <c r="AQ41" s="533"/>
      <c r="AR41" s="533"/>
      <c r="AS41" s="533"/>
    </row>
    <row r="42" spans="1:45" ht="12.75" customHeight="1">
      <c r="J42" s="533"/>
      <c r="K42" s="533"/>
      <c r="L42" s="533"/>
      <c r="M42" s="533"/>
      <c r="N42" s="533"/>
      <c r="O42" s="533"/>
      <c r="P42" s="533"/>
      <c r="Q42" s="533" t="s">
        <v>270</v>
      </c>
      <c r="R42" s="533"/>
      <c r="S42" s="533"/>
      <c r="T42" s="533"/>
      <c r="U42" s="533"/>
      <c r="V42" s="533"/>
      <c r="W42" s="533"/>
      <c r="X42" s="533"/>
      <c r="Y42" s="533"/>
      <c r="Z42" s="533"/>
      <c r="AA42" s="533"/>
      <c r="AB42" s="533"/>
      <c r="AC42" s="1115"/>
      <c r="AD42" s="1115"/>
      <c r="AE42" s="533"/>
      <c r="AF42" s="366" t="s">
        <v>271</v>
      </c>
      <c r="AG42" s="533"/>
      <c r="AH42" s="533"/>
      <c r="AI42" s="533"/>
      <c r="AJ42" s="533"/>
      <c r="AK42" s="533"/>
      <c r="AL42" s="533"/>
      <c r="AM42" s="533"/>
      <c r="AN42" s="533"/>
      <c r="AO42" s="533"/>
      <c r="AP42" s="533"/>
      <c r="AQ42" s="533"/>
      <c r="AR42" s="533"/>
      <c r="AS42" s="533"/>
    </row>
    <row r="43" spans="1:45" ht="12.75" customHeight="1">
      <c r="A43" s="1117"/>
      <c r="B43" s="533"/>
      <c r="C43" s="533"/>
      <c r="D43" s="533"/>
      <c r="E43" s="533"/>
      <c r="F43" s="533"/>
      <c r="G43" s="533"/>
      <c r="H43" s="533"/>
      <c r="I43" s="533"/>
      <c r="J43" s="533"/>
      <c r="K43" s="533"/>
      <c r="L43" s="533"/>
      <c r="M43" s="533"/>
      <c r="N43" s="533"/>
      <c r="O43" s="533"/>
      <c r="P43" s="533"/>
      <c r="Q43" s="533" t="s">
        <v>272</v>
      </c>
      <c r="R43" s="533"/>
      <c r="S43" s="533"/>
      <c r="T43" s="533"/>
      <c r="U43" s="533"/>
      <c r="V43" s="533"/>
      <c r="W43" s="533"/>
      <c r="X43" s="533"/>
      <c r="Y43" s="533"/>
      <c r="Z43" s="533"/>
      <c r="AA43" s="533"/>
      <c r="AB43" s="533"/>
      <c r="AC43" s="533"/>
      <c r="AD43" s="533"/>
      <c r="AE43" s="533"/>
      <c r="AF43" s="366" t="s">
        <v>273</v>
      </c>
      <c r="AG43" s="533"/>
      <c r="AH43" s="533"/>
      <c r="AI43" s="533"/>
      <c r="AJ43" s="533"/>
      <c r="AK43" s="533"/>
      <c r="AL43" s="533"/>
      <c r="AM43" s="533"/>
      <c r="AN43" s="533"/>
      <c r="AO43" s="533"/>
      <c r="AP43" s="533"/>
      <c r="AQ43" s="533"/>
      <c r="AR43" s="533"/>
      <c r="AS43" s="533"/>
    </row>
    <row r="44" spans="1:45" ht="14.5">
      <c r="A44" s="366"/>
      <c r="B44" s="533"/>
      <c r="C44" s="533"/>
      <c r="D44" s="533"/>
      <c r="E44" s="533"/>
      <c r="F44" s="533"/>
      <c r="G44" s="533"/>
      <c r="H44" s="533"/>
      <c r="I44" s="533"/>
      <c r="J44" s="533"/>
      <c r="K44" s="533"/>
      <c r="L44" s="533"/>
      <c r="M44" s="533"/>
      <c r="N44" s="533"/>
      <c r="O44" s="533"/>
      <c r="P44" s="533"/>
      <c r="Q44" s="366" t="s">
        <v>274</v>
      </c>
      <c r="R44" s="533"/>
      <c r="S44" s="533"/>
      <c r="T44" s="533"/>
      <c r="U44" s="533"/>
      <c r="V44" s="533"/>
      <c r="W44" s="533"/>
      <c r="X44" s="533"/>
      <c r="Y44" s="533"/>
      <c r="Z44" s="533"/>
      <c r="AA44" s="533"/>
      <c r="AB44" s="533"/>
      <c r="AC44" s="533"/>
      <c r="AD44" s="533"/>
      <c r="AE44" s="533"/>
      <c r="AF44" s="366" t="s">
        <v>275</v>
      </c>
      <c r="AG44" s="533"/>
      <c r="AH44" s="533"/>
      <c r="AI44" s="533"/>
      <c r="AJ44" s="533"/>
      <c r="AK44" s="533"/>
      <c r="AL44" s="533"/>
      <c r="AM44" s="533"/>
      <c r="AN44" s="533"/>
      <c r="AO44" s="533"/>
      <c r="AP44" s="533"/>
      <c r="AQ44" s="533"/>
      <c r="AR44" s="533"/>
      <c r="AS44" s="533"/>
    </row>
    <row r="45" spans="1:45" ht="14.5">
      <c r="A45" s="533"/>
      <c r="B45" s="533"/>
      <c r="C45" s="533"/>
      <c r="D45" s="533"/>
      <c r="E45" s="533"/>
      <c r="F45" s="533"/>
      <c r="G45" s="533"/>
      <c r="H45" s="533"/>
      <c r="I45" s="533"/>
      <c r="J45" s="533"/>
      <c r="K45" s="533"/>
      <c r="L45" s="533"/>
      <c r="M45" s="533"/>
      <c r="N45" s="533"/>
      <c r="O45" s="533"/>
      <c r="P45" s="533"/>
      <c r="Q45" s="366" t="s">
        <v>276</v>
      </c>
      <c r="R45" s="533"/>
      <c r="S45" s="533"/>
      <c r="T45" s="533"/>
      <c r="U45" s="533"/>
      <c r="V45" s="533"/>
      <c r="W45" s="533"/>
      <c r="X45" s="533"/>
      <c r="Y45" s="533"/>
      <c r="Z45" s="533"/>
      <c r="AA45" s="533"/>
      <c r="AB45" s="533"/>
      <c r="AC45" s="533"/>
      <c r="AD45" s="533"/>
      <c r="AE45" s="533"/>
      <c r="AF45" s="1117"/>
      <c r="AG45" s="533"/>
      <c r="AH45" s="533"/>
      <c r="AI45" s="533"/>
      <c r="AJ45" s="533"/>
      <c r="AK45" s="533"/>
      <c r="AL45" s="533"/>
      <c r="AM45" s="533"/>
      <c r="AN45" s="533"/>
      <c r="AO45" s="533"/>
      <c r="AP45" s="533"/>
      <c r="AQ45" s="533"/>
      <c r="AR45" s="533"/>
      <c r="AS45" s="533"/>
    </row>
    <row r="46" spans="1:45" ht="14.5">
      <c r="A46" s="1117"/>
      <c r="B46" s="533"/>
      <c r="C46" s="533"/>
      <c r="D46" s="533"/>
      <c r="E46" s="533"/>
      <c r="F46" s="533"/>
      <c r="G46" s="533"/>
      <c r="H46" s="533"/>
      <c r="I46" s="533"/>
      <c r="J46" s="533"/>
      <c r="K46" s="533"/>
      <c r="L46" s="533"/>
      <c r="M46" s="533"/>
      <c r="N46" s="533"/>
      <c r="O46" s="533"/>
      <c r="P46" s="533"/>
      <c r="Q46" s="533"/>
      <c r="R46" s="533"/>
      <c r="S46" s="533"/>
      <c r="T46" s="533"/>
      <c r="U46" s="533"/>
      <c r="V46" s="533"/>
      <c r="W46" s="533"/>
      <c r="X46" s="533"/>
      <c r="Y46" s="533"/>
      <c r="Z46" s="533"/>
      <c r="AA46" s="533"/>
      <c r="AB46" s="533"/>
      <c r="AC46" s="533"/>
      <c r="AD46" s="533"/>
      <c r="AE46" s="533"/>
      <c r="AF46" s="533"/>
      <c r="AG46" s="533"/>
      <c r="AH46" s="533"/>
      <c r="AI46" s="533"/>
      <c r="AJ46" s="533"/>
      <c r="AK46" s="533"/>
      <c r="AL46" s="533"/>
      <c r="AM46" s="533"/>
      <c r="AN46" s="533"/>
      <c r="AO46" s="533"/>
      <c r="AP46" s="533"/>
      <c r="AQ46" s="533"/>
      <c r="AR46" s="533"/>
      <c r="AS46" s="533"/>
    </row>
    <row r="47" spans="1:45" ht="14.5">
      <c r="A47" s="366"/>
      <c r="B47" s="533"/>
      <c r="C47" s="533"/>
      <c r="D47" s="533"/>
      <c r="E47" s="533"/>
      <c r="F47" s="533"/>
      <c r="G47" s="533"/>
      <c r="H47" s="533"/>
      <c r="I47" s="533"/>
      <c r="J47" s="533"/>
      <c r="K47" s="533"/>
      <c r="L47" s="533"/>
      <c r="M47" s="533"/>
      <c r="N47" s="533"/>
      <c r="O47" s="533"/>
      <c r="P47" s="533"/>
      <c r="Q47" s="1115" t="s">
        <v>277</v>
      </c>
      <c r="R47" s="533"/>
      <c r="S47" s="533"/>
      <c r="T47" s="533"/>
      <c r="U47" s="533"/>
      <c r="V47" s="533"/>
      <c r="W47" s="533"/>
      <c r="X47" s="533"/>
      <c r="Y47" s="533"/>
      <c r="Z47" s="533"/>
      <c r="AA47" s="533"/>
      <c r="AB47" s="533"/>
      <c r="AC47" s="533"/>
      <c r="AD47" s="533"/>
      <c r="AE47" s="533"/>
      <c r="AF47" s="533"/>
      <c r="AG47" s="533"/>
      <c r="AH47" s="533"/>
      <c r="AI47" s="533"/>
      <c r="AJ47" s="533"/>
      <c r="AK47" s="533"/>
      <c r="AL47" s="533"/>
      <c r="AM47" s="533"/>
      <c r="AN47" s="533"/>
      <c r="AO47" s="533"/>
      <c r="AP47" s="533"/>
      <c r="AQ47" s="533"/>
      <c r="AR47" s="533"/>
      <c r="AS47" s="533"/>
    </row>
    <row r="48" spans="1:45" ht="14.5">
      <c r="A48" s="533"/>
      <c r="B48" s="533"/>
      <c r="C48" s="533"/>
      <c r="D48" s="533"/>
      <c r="E48" s="533"/>
      <c r="F48" s="533"/>
      <c r="G48" s="533"/>
      <c r="H48" s="533"/>
      <c r="I48" s="533"/>
      <c r="J48" s="533"/>
      <c r="K48" s="533"/>
      <c r="L48" s="533"/>
      <c r="M48" s="533"/>
      <c r="N48" s="533"/>
      <c r="O48" s="533"/>
      <c r="P48" s="533"/>
      <c r="Q48" s="533" t="s">
        <v>278</v>
      </c>
      <c r="R48" s="533"/>
      <c r="S48" s="533"/>
      <c r="T48" s="533"/>
      <c r="U48" s="533"/>
      <c r="V48" s="533"/>
      <c r="W48" s="533"/>
      <c r="X48" s="533"/>
      <c r="Y48" s="533"/>
      <c r="Z48" s="533"/>
      <c r="AA48" s="533"/>
      <c r="AB48" s="533"/>
      <c r="AC48" s="533"/>
      <c r="AD48" s="533"/>
      <c r="AE48" s="533"/>
      <c r="AF48" s="533"/>
      <c r="AG48" s="533"/>
      <c r="AH48" s="533"/>
      <c r="AI48" s="533"/>
      <c r="AJ48" s="533"/>
      <c r="AK48" s="533"/>
      <c r="AL48" s="533"/>
      <c r="AM48" s="533"/>
      <c r="AN48" s="533"/>
      <c r="AO48" s="533"/>
      <c r="AP48" s="533"/>
      <c r="AQ48" s="533"/>
      <c r="AR48" s="533"/>
      <c r="AS48" s="533"/>
    </row>
    <row r="49" spans="1:45" ht="14.5">
      <c r="A49" s="1117"/>
      <c r="B49" s="533"/>
      <c r="C49" s="533"/>
      <c r="D49" s="533"/>
      <c r="E49" s="533"/>
      <c r="F49" s="533"/>
      <c r="G49" s="533"/>
      <c r="H49" s="533"/>
      <c r="I49" s="533"/>
      <c r="J49" s="533"/>
      <c r="K49" s="533"/>
      <c r="L49" s="533"/>
      <c r="M49" s="533"/>
      <c r="N49" s="533"/>
      <c r="O49" s="533"/>
      <c r="P49" s="533"/>
      <c r="Q49" s="366" t="s">
        <v>279</v>
      </c>
      <c r="R49" s="533"/>
      <c r="S49" s="533"/>
      <c r="T49" s="533"/>
      <c r="U49" s="533"/>
      <c r="V49" s="533"/>
      <c r="W49" s="533"/>
      <c r="X49" s="533"/>
      <c r="Y49" s="533"/>
      <c r="Z49" s="533"/>
      <c r="AA49" s="533"/>
      <c r="AB49" s="533"/>
      <c r="AC49" s="533"/>
      <c r="AD49" s="533"/>
      <c r="AE49" s="533"/>
      <c r="AF49" s="533"/>
      <c r="AG49" s="533"/>
      <c r="AH49" s="533"/>
      <c r="AI49" s="533"/>
      <c r="AJ49" s="533"/>
      <c r="AK49" s="533"/>
      <c r="AL49" s="533"/>
      <c r="AM49" s="533"/>
      <c r="AN49" s="533"/>
      <c r="AO49" s="533"/>
      <c r="AP49" s="533"/>
      <c r="AQ49" s="533"/>
      <c r="AR49" s="533"/>
      <c r="AS49" s="533"/>
    </row>
    <row r="50" spans="1:45" ht="14.5">
      <c r="A50" s="366"/>
      <c r="B50" s="533"/>
      <c r="C50" s="533"/>
      <c r="D50" s="533"/>
      <c r="E50" s="533"/>
      <c r="F50" s="533"/>
      <c r="G50" s="533"/>
      <c r="H50" s="533"/>
      <c r="I50" s="533"/>
      <c r="J50" s="533"/>
      <c r="K50" s="533"/>
      <c r="L50" s="533"/>
      <c r="M50" s="533"/>
      <c r="N50" s="533"/>
      <c r="O50" s="533"/>
      <c r="P50" s="533"/>
      <c r="Q50" s="366" t="s">
        <v>280</v>
      </c>
      <c r="R50" s="533"/>
      <c r="S50" s="533"/>
      <c r="T50" s="533"/>
      <c r="U50" s="533"/>
      <c r="V50" s="533"/>
      <c r="W50" s="533"/>
      <c r="X50" s="533"/>
      <c r="Y50" s="533"/>
      <c r="Z50" s="533"/>
      <c r="AA50" s="533"/>
      <c r="AB50" s="533"/>
      <c r="AC50" s="533"/>
      <c r="AD50" s="533"/>
      <c r="AE50" s="533"/>
      <c r="AF50" s="533"/>
      <c r="AG50" s="533"/>
      <c r="AH50" s="533"/>
      <c r="AI50" s="533"/>
      <c r="AJ50" s="533"/>
      <c r="AK50" s="533"/>
      <c r="AL50" s="533"/>
      <c r="AM50" s="533"/>
      <c r="AN50" s="533"/>
      <c r="AO50" s="533"/>
      <c r="AP50" s="533"/>
      <c r="AQ50" s="533"/>
      <c r="AR50" s="533"/>
      <c r="AS50" s="533"/>
    </row>
    <row r="51" spans="1:45" ht="14.5">
      <c r="A51" s="533"/>
      <c r="B51" s="533"/>
      <c r="C51" s="533"/>
      <c r="D51" s="533"/>
      <c r="E51" s="533"/>
      <c r="F51" s="533"/>
      <c r="G51" s="533"/>
      <c r="H51" s="533"/>
      <c r="I51" s="533"/>
      <c r="J51" s="533"/>
      <c r="K51" s="533"/>
      <c r="L51" s="533"/>
      <c r="M51" s="533"/>
      <c r="N51" s="533"/>
      <c r="O51" s="533"/>
      <c r="P51" s="533"/>
      <c r="Q51" s="366" t="s">
        <v>281</v>
      </c>
      <c r="R51" s="533"/>
      <c r="S51" s="533"/>
      <c r="T51" s="533"/>
      <c r="U51" s="533"/>
      <c r="V51" s="533"/>
      <c r="W51" s="533"/>
      <c r="X51" s="533"/>
      <c r="Y51" s="533"/>
      <c r="Z51" s="533"/>
      <c r="AA51" s="533"/>
      <c r="AB51" s="533"/>
      <c r="AC51" s="533"/>
      <c r="AD51" s="533"/>
      <c r="AE51" s="533"/>
      <c r="AF51" s="533"/>
      <c r="AG51" s="533"/>
      <c r="AH51" s="533"/>
      <c r="AI51" s="533"/>
      <c r="AJ51" s="533"/>
      <c r="AK51" s="533"/>
      <c r="AL51" s="533"/>
      <c r="AM51" s="533"/>
      <c r="AN51" s="533"/>
      <c r="AO51" s="533"/>
      <c r="AP51" s="533"/>
      <c r="AQ51" s="533"/>
      <c r="AR51" s="533"/>
      <c r="AS51" s="533"/>
    </row>
    <row r="52" spans="1:45" ht="14.5">
      <c r="A52" s="533"/>
      <c r="B52" s="533"/>
      <c r="C52" s="533"/>
      <c r="D52" s="533"/>
      <c r="E52" s="533"/>
      <c r="F52" s="533"/>
      <c r="G52" s="533"/>
      <c r="H52" s="533"/>
      <c r="I52" s="533"/>
      <c r="J52" s="533"/>
      <c r="K52" s="533"/>
      <c r="L52" s="533"/>
      <c r="M52" s="533"/>
      <c r="N52" s="533"/>
      <c r="O52" s="533"/>
      <c r="P52" s="533"/>
      <c r="Q52" s="366" t="s">
        <v>282</v>
      </c>
      <c r="R52" s="533"/>
      <c r="S52" s="533"/>
      <c r="T52" s="533"/>
      <c r="U52" s="533"/>
      <c r="V52" s="533"/>
      <c r="W52" s="533"/>
      <c r="X52" s="533"/>
      <c r="Y52" s="533"/>
      <c r="Z52" s="533"/>
      <c r="AA52" s="533"/>
      <c r="AB52" s="533"/>
      <c r="AC52" s="533"/>
      <c r="AD52" s="533"/>
      <c r="AE52" s="533"/>
      <c r="AF52" s="533"/>
      <c r="AG52" s="533"/>
      <c r="AH52" s="533"/>
      <c r="AI52" s="533"/>
      <c r="AJ52" s="533"/>
      <c r="AK52" s="533"/>
      <c r="AL52" s="533"/>
      <c r="AM52" s="533"/>
      <c r="AN52" s="533"/>
      <c r="AO52" s="533"/>
      <c r="AP52" s="533"/>
      <c r="AQ52" s="533"/>
      <c r="AR52" s="533"/>
      <c r="AS52" s="533"/>
    </row>
    <row r="53" spans="1:45" ht="14.5">
      <c r="A53" s="998"/>
      <c r="B53" s="998"/>
      <c r="C53" s="998"/>
      <c r="D53" s="998"/>
      <c r="E53" s="998"/>
      <c r="F53" s="998"/>
      <c r="G53" s="998"/>
      <c r="H53" s="998"/>
      <c r="I53" s="998"/>
      <c r="J53" s="998"/>
      <c r="K53" s="998"/>
      <c r="L53" s="998"/>
      <c r="M53" s="998"/>
      <c r="N53" s="998"/>
      <c r="O53" s="998"/>
      <c r="P53" s="998"/>
      <c r="Q53" s="998"/>
      <c r="R53" s="998"/>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row>
    <row r="57" spans="1:45" ht="15.5">
      <c r="A57" s="1120" t="s">
        <v>70</v>
      </c>
      <c r="B57" s="1121">
        <v>1</v>
      </c>
      <c r="C57" s="1121">
        <v>2</v>
      </c>
      <c r="D57" s="1121">
        <v>3</v>
      </c>
      <c r="E57" s="1121">
        <v>4</v>
      </c>
      <c r="F57" s="1121">
        <v>5</v>
      </c>
      <c r="G57" s="1121">
        <v>6</v>
      </c>
      <c r="H57" s="1121">
        <v>7</v>
      </c>
      <c r="I57" s="1121">
        <v>8</v>
      </c>
      <c r="J57" s="1121">
        <v>9</v>
      </c>
      <c r="K57" s="1121">
        <v>10</v>
      </c>
      <c r="L57" s="1121">
        <v>11</v>
      </c>
      <c r="M57" s="1121">
        <v>12</v>
      </c>
      <c r="N57" s="1121">
        <v>13</v>
      </c>
      <c r="O57" s="1121">
        <v>14</v>
      </c>
      <c r="P57" s="1121">
        <v>15</v>
      </c>
      <c r="Q57" s="1121">
        <v>16</v>
      </c>
      <c r="R57" s="1121">
        <v>17</v>
      </c>
      <c r="S57" s="1121">
        <v>18</v>
      </c>
      <c r="T57" s="1122" t="s">
        <v>18</v>
      </c>
      <c r="U57" s="1122" t="s">
        <v>10</v>
      </c>
    </row>
    <row r="58" spans="1:45" ht="14.5">
      <c r="A58" s="1120" t="s">
        <v>283</v>
      </c>
      <c r="B58" s="1120">
        <v>12</v>
      </c>
      <c r="C58" s="1120">
        <v>14</v>
      </c>
      <c r="D58" s="1120">
        <v>8</v>
      </c>
      <c r="E58" s="1120">
        <v>16</v>
      </c>
      <c r="F58" s="1120">
        <v>10</v>
      </c>
      <c r="G58" s="1120">
        <v>18</v>
      </c>
      <c r="H58" s="1120">
        <v>4</v>
      </c>
      <c r="I58" s="1120">
        <v>6</v>
      </c>
      <c r="J58" s="1120">
        <v>2</v>
      </c>
      <c r="K58" s="1120">
        <v>5</v>
      </c>
      <c r="L58" s="1120">
        <v>11</v>
      </c>
      <c r="M58" s="1120">
        <v>15</v>
      </c>
      <c r="N58" s="1120">
        <v>7</v>
      </c>
      <c r="O58" s="1120">
        <v>1</v>
      </c>
      <c r="P58" s="1120">
        <v>17</v>
      </c>
      <c r="Q58" s="1120">
        <v>13</v>
      </c>
      <c r="R58" s="1120">
        <v>3</v>
      </c>
      <c r="S58" s="1120">
        <v>9</v>
      </c>
      <c r="T58" s="1120"/>
      <c r="U58" s="1120"/>
    </row>
    <row r="59" spans="1:45" ht="14.5">
      <c r="A59" s="1120" t="s">
        <v>71</v>
      </c>
      <c r="B59" s="1120">
        <v>4</v>
      </c>
      <c r="C59" s="1120">
        <v>4</v>
      </c>
      <c r="D59" s="1120">
        <v>5</v>
      </c>
      <c r="E59" s="1120">
        <v>3</v>
      </c>
      <c r="F59" s="1120">
        <v>4</v>
      </c>
      <c r="G59" s="1120">
        <v>3</v>
      </c>
      <c r="H59" s="1120">
        <v>5</v>
      </c>
      <c r="I59" s="1120">
        <v>4</v>
      </c>
      <c r="J59" s="1120">
        <v>4</v>
      </c>
      <c r="K59" s="1120">
        <v>4</v>
      </c>
      <c r="L59" s="1120">
        <v>4</v>
      </c>
      <c r="M59" s="1120">
        <v>3</v>
      </c>
      <c r="N59" s="1120">
        <v>5</v>
      </c>
      <c r="O59" s="1120">
        <v>4</v>
      </c>
      <c r="P59" s="1120">
        <v>3</v>
      </c>
      <c r="Q59" s="1120">
        <v>4</v>
      </c>
      <c r="R59" s="1120">
        <v>4</v>
      </c>
      <c r="S59" s="1120">
        <v>5</v>
      </c>
      <c r="T59" s="1120">
        <v>36</v>
      </c>
      <c r="U59" s="1120">
        <v>72</v>
      </c>
    </row>
  </sheetData>
  <mergeCells count="6">
    <mergeCell ref="AP4:AQ4"/>
    <mergeCell ref="Z3:AB3"/>
    <mergeCell ref="AC3:AD3"/>
    <mergeCell ref="AF3:AI3"/>
    <mergeCell ref="AL3:AO3"/>
    <mergeCell ref="AP3:AQ3"/>
  </mergeCells>
  <conditionalFormatting sqref="B6:B13 B16:B23">
    <cfRule type="colorScale" priority="21">
      <colorScale>
        <cfvo type="min"/>
        <cfvo type="max"/>
        <color rgb="FFF4CCCC"/>
        <color rgb="FFFFFFFF"/>
      </colorScale>
    </cfRule>
  </conditionalFormatting>
  <conditionalFormatting sqref="C6:D13 C16:D23">
    <cfRule type="colorScale" priority="1">
      <colorScale>
        <cfvo type="formula" val="2"/>
        <cfvo type="formula" val="7"/>
        <color rgb="FFFFFFFF"/>
        <color rgb="FFF4CCCC"/>
      </colorScale>
    </cfRule>
  </conditionalFormatting>
  <conditionalFormatting sqref="E6:E13 E16:E23">
    <cfRule type="colorScale" priority="2">
      <colorScale>
        <cfvo type="formula" val="0"/>
        <cfvo type="formula" val="1.5"/>
        <color rgb="FFFFFFFF"/>
        <color rgb="FFF4CCCC"/>
      </colorScale>
    </cfRule>
  </conditionalFormatting>
  <conditionalFormatting sqref="F6:F13 F16:F23">
    <cfRule type="colorScale" priority="11">
      <colorScale>
        <cfvo type="min"/>
        <cfvo type="max"/>
        <color rgb="FFFFFFFF"/>
        <color rgb="FFF4CCCC"/>
      </colorScale>
    </cfRule>
  </conditionalFormatting>
  <conditionalFormatting sqref="H6:H13 H16:H23">
    <cfRule type="colorScale" priority="18">
      <colorScale>
        <cfvo type="min"/>
        <cfvo type="max"/>
        <color rgb="FFC9DAF8"/>
        <color rgb="FFFFFFFF"/>
      </colorScale>
    </cfRule>
  </conditionalFormatting>
  <conditionalFormatting sqref="I6:J13 I16:J23 K23">
    <cfRule type="colorScale" priority="4">
      <colorScale>
        <cfvo type="formula" val="4"/>
        <cfvo type="formula" val="14"/>
        <color rgb="FFFFFFFF"/>
        <color rgb="FFC9DAF8"/>
      </colorScale>
    </cfRule>
  </conditionalFormatting>
  <conditionalFormatting sqref="K6:K13 K16:K23">
    <cfRule type="colorScale" priority="3">
      <colorScale>
        <cfvo type="formula" val="0"/>
        <cfvo type="formula" val="3"/>
        <color rgb="FFFFFFFF"/>
        <color rgb="FFC9DAF8"/>
      </colorScale>
    </cfRule>
  </conditionalFormatting>
  <conditionalFormatting sqref="L6:L13 L16:L23">
    <cfRule type="colorScale" priority="13">
      <colorScale>
        <cfvo type="min"/>
        <cfvo type="max"/>
        <color rgb="FFFFFFFF"/>
        <color rgb="FFC9DAF8"/>
      </colorScale>
    </cfRule>
  </conditionalFormatting>
  <conditionalFormatting sqref="N6:N13 N16:N23">
    <cfRule type="colorScale" priority="19">
      <colorScale>
        <cfvo type="min"/>
        <cfvo type="max"/>
        <color rgb="FFFCE5CD"/>
        <color rgb="FFFFFFFF"/>
      </colorScale>
    </cfRule>
  </conditionalFormatting>
  <conditionalFormatting sqref="O6:O13 O16:O23">
    <cfRule type="colorScale" priority="5">
      <colorScale>
        <cfvo type="formula" val="0"/>
        <cfvo type="formula" val="9"/>
        <color rgb="FFFFFFFF"/>
        <color rgb="FFFCE5CD"/>
      </colorScale>
    </cfRule>
  </conditionalFormatting>
  <conditionalFormatting sqref="P6:P13 P16:P23">
    <cfRule type="colorScale" priority="6">
      <colorScale>
        <cfvo type="formula" val="0"/>
        <cfvo type="formula" val="9"/>
        <color rgb="FFFFFFFF"/>
        <color rgb="FFFCE5CD"/>
      </colorScale>
    </cfRule>
  </conditionalFormatting>
  <conditionalFormatting sqref="Q6:Q13 Q16:Q23">
    <cfRule type="colorScale" priority="7">
      <colorScale>
        <cfvo type="formula" val="0"/>
        <cfvo type="formula" val="2"/>
        <color rgb="FFFFFFFF"/>
        <color rgb="FFFCE5CD"/>
      </colorScale>
    </cfRule>
  </conditionalFormatting>
  <conditionalFormatting sqref="R6:R13 R16:R23">
    <cfRule type="colorScale" priority="14">
      <colorScale>
        <cfvo type="min"/>
        <cfvo type="max"/>
        <color rgb="FFFFFFFF"/>
        <color rgb="FFFCE5CD"/>
      </colorScale>
    </cfRule>
  </conditionalFormatting>
  <conditionalFormatting sqref="T6:T13 T16:T23">
    <cfRule type="colorScale" priority="20">
      <colorScale>
        <cfvo type="min"/>
        <cfvo type="max"/>
        <color rgb="FFD9EAD3"/>
        <color rgb="FFFFFFFF"/>
      </colorScale>
    </cfRule>
  </conditionalFormatting>
  <conditionalFormatting sqref="U6:U13 U16:U23">
    <cfRule type="colorScale" priority="8">
      <colorScale>
        <cfvo type="formula" val="4"/>
        <cfvo type="formula" val="14"/>
        <color rgb="FFFFFFFF"/>
        <color rgb="FFD9EAD3"/>
      </colorScale>
    </cfRule>
  </conditionalFormatting>
  <conditionalFormatting sqref="V6:V13 V16:V23">
    <cfRule type="colorScale" priority="9">
      <colorScale>
        <cfvo type="formula" val="0"/>
        <cfvo type="formula" val="9"/>
        <color rgb="FFFFFFFF"/>
        <color rgb="FFD9EAD3"/>
      </colorScale>
    </cfRule>
  </conditionalFormatting>
  <conditionalFormatting sqref="W6:W13 W16:W23">
    <cfRule type="colorScale" priority="10">
      <colorScale>
        <cfvo type="formula" val="0"/>
        <cfvo type="formula" val="3"/>
        <color rgb="FFFFFFFF"/>
        <color rgb="FFD9EAD3"/>
      </colorScale>
    </cfRule>
  </conditionalFormatting>
  <conditionalFormatting sqref="X6:X13 X16:X23">
    <cfRule type="colorScale" priority="15">
      <colorScale>
        <cfvo type="min"/>
        <cfvo type="max"/>
        <color rgb="FFFFFFFF"/>
        <color rgb="FFD9EAD3"/>
      </colorScale>
    </cfRule>
  </conditionalFormatting>
  <conditionalFormatting sqref="Z6:Z13 Z16:Z23">
    <cfRule type="colorScale" priority="17">
      <colorScale>
        <cfvo type="min"/>
        <cfvo type="max"/>
        <color rgb="FFFFD666"/>
        <color rgb="FFFFFFFF"/>
      </colorScale>
    </cfRule>
  </conditionalFormatting>
  <conditionalFormatting sqref="AA6:AA13 AA16:AA23">
    <cfRule type="colorScale" priority="22">
      <colorScale>
        <cfvo type="min"/>
        <cfvo type="max"/>
        <color rgb="FFFFFFFF"/>
        <color rgb="FFFFD666"/>
      </colorScale>
    </cfRule>
  </conditionalFormatting>
  <conditionalFormatting sqref="AB6:AB13 AB16:AB23">
    <cfRule type="colorScale" priority="23">
      <colorScale>
        <cfvo type="min"/>
        <cfvo type="max"/>
        <color rgb="FFFFFFFF"/>
        <color rgb="FFFFD666"/>
      </colorScale>
    </cfRule>
  </conditionalFormatting>
  <conditionalFormatting sqref="AC6:AC13 AC16:AC23">
    <cfRule type="colorScale" priority="12">
      <colorScale>
        <cfvo type="min"/>
        <cfvo type="max"/>
        <color rgb="FFFFFFFF"/>
        <color rgb="FFFFD666"/>
      </colorScale>
    </cfRule>
  </conditionalFormatting>
  <conditionalFormatting sqref="AD6:AD13 AD16:AD23">
    <cfRule type="colorScale" priority="24">
      <colorScale>
        <cfvo type="min"/>
        <cfvo type="max"/>
        <color rgb="FFFFFFFF"/>
        <color rgb="FFFFD666"/>
      </colorScale>
    </cfRule>
  </conditionalFormatting>
  <conditionalFormatting sqref="AF6:AI13 AF16:AI23">
    <cfRule type="colorScale" priority="26">
      <colorScale>
        <cfvo type="min"/>
        <cfvo type="formula" val="0.5"/>
        <cfvo type="max"/>
        <color rgb="FFE67C73"/>
        <color rgb="FFFFFFFF"/>
        <color rgb="FF57BB8A"/>
      </colorScale>
    </cfRule>
  </conditionalFormatting>
  <conditionalFormatting sqref="AJ6:AJ13 AJ16:AJ23">
    <cfRule type="colorScale" priority="16">
      <colorScale>
        <cfvo type="formula" val="0.3"/>
        <cfvo type="formula" val="0.5"/>
        <cfvo type="formula" val="0.7"/>
        <color rgb="FFE67C73"/>
        <color rgb="FFFFFFFF"/>
        <color rgb="FF57BB8A"/>
      </colorScale>
    </cfRule>
  </conditionalFormatting>
  <conditionalFormatting sqref="AL6:AO13 AL16:AO23">
    <cfRule type="colorScale" priority="27">
      <colorScale>
        <cfvo type="min"/>
        <cfvo type="formula" val="0.5"/>
        <cfvo type="max"/>
        <color rgb="FFE67C73"/>
        <color rgb="FFFFFFFF"/>
        <color rgb="FF57BB8A"/>
      </colorScale>
    </cfRule>
  </conditionalFormatting>
  <conditionalFormatting sqref="AP6:AP13 AP16:AP23">
    <cfRule type="colorScale" priority="28">
      <colorScale>
        <cfvo type="formula" val="-12"/>
        <cfvo type="formula" val="0"/>
        <cfvo type="formula" val="12"/>
        <color rgb="FFE67C73"/>
        <color rgb="FFFFFFFF"/>
        <color rgb="FF57BB8A"/>
      </colorScale>
    </cfRule>
  </conditionalFormatting>
  <conditionalFormatting sqref="AQ6:AQ13 AQ16:AQ23">
    <cfRule type="colorScale" priority="25">
      <colorScale>
        <cfvo type="formula" val="-48"/>
        <cfvo type="formula" val="0"/>
        <cfvo type="formula" val="48"/>
        <color rgb="FFE67C73"/>
        <color rgb="FFFFFFFF"/>
        <color rgb="FF57BB8A"/>
      </colorScale>
    </cfRule>
  </conditionalFormatting>
  <printOptions horizontalCentered="1" gridLines="1"/>
  <pageMargins left="0.25" right="0.25" top="0.5" bottom="0.5" header="0" footer="0"/>
  <pageSetup pageOrder="overThenDown" orientation="landscape" cellComments="atEnd"/>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I15"/>
  <sheetViews>
    <sheetView workbookViewId="0"/>
  </sheetViews>
  <sheetFormatPr defaultColWidth="17.26953125" defaultRowHeight="15" customHeight="1"/>
  <cols>
    <col min="2" max="2" width="13.453125" customWidth="1"/>
    <col min="3" max="3" width="17.26953125" hidden="1"/>
    <col min="4" max="4" width="21" customWidth="1"/>
    <col min="5" max="5" width="20.453125" customWidth="1"/>
  </cols>
  <sheetData>
    <row r="1" spans="1:9">
      <c r="A1" s="526" t="s">
        <v>284</v>
      </c>
      <c r="B1" s="1232" t="s">
        <v>285</v>
      </c>
      <c r="C1" s="1129"/>
      <c r="D1" s="1129"/>
    </row>
    <row r="3" spans="1:9">
      <c r="A3" s="1233" t="s">
        <v>286</v>
      </c>
      <c r="B3" s="1129"/>
      <c r="C3" s="1129"/>
      <c r="D3" s="526" t="s">
        <v>287</v>
      </c>
      <c r="E3" s="526" t="s">
        <v>288</v>
      </c>
      <c r="H3" s="526" t="s">
        <v>289</v>
      </c>
      <c r="I3" s="526" t="s">
        <v>290</v>
      </c>
    </row>
    <row r="4" spans="1:9">
      <c r="A4" s="1124" t="s">
        <v>291</v>
      </c>
      <c r="B4" s="1125"/>
      <c r="C4" s="526" t="s">
        <v>291</v>
      </c>
      <c r="D4" s="526" t="s">
        <v>292</v>
      </c>
      <c r="F4" s="526" t="s">
        <v>293</v>
      </c>
      <c r="H4" s="526" t="s">
        <v>294</v>
      </c>
    </row>
    <row r="5" spans="1:9" ht="15" customHeight="1">
      <c r="A5" s="1124" t="s">
        <v>295</v>
      </c>
      <c r="B5" s="795">
        <v>871.90572218955242</v>
      </c>
      <c r="C5" s="526" t="s">
        <v>295</v>
      </c>
      <c r="D5" s="1123" t="s">
        <v>295</v>
      </c>
      <c r="E5" s="795">
        <v>159.98174435310199</v>
      </c>
      <c r="F5">
        <f>RANK(E5,E$5:E$13)</f>
        <v>3</v>
      </c>
      <c r="G5">
        <v>75.168404271604089</v>
      </c>
      <c r="H5" s="1123" t="s">
        <v>296</v>
      </c>
      <c r="I5" s="1126" t="s">
        <v>297</v>
      </c>
    </row>
    <row r="6" spans="1:9" ht="15" customHeight="1">
      <c r="A6" s="1124" t="s">
        <v>297</v>
      </c>
      <c r="B6" s="795">
        <v>75.168404271604089</v>
      </c>
      <c r="C6" s="526" t="s">
        <v>297</v>
      </c>
      <c r="G6">
        <v>581.29629024020744</v>
      </c>
      <c r="H6" s="1123" t="s">
        <v>298</v>
      </c>
      <c r="I6" s="1126" t="s">
        <v>299</v>
      </c>
    </row>
    <row r="7" spans="1:9" ht="15" customHeight="1">
      <c r="A7" s="1124"/>
      <c r="B7" s="1125"/>
      <c r="G7">
        <v>118.93830336425459</v>
      </c>
      <c r="H7" s="1123" t="s">
        <v>300</v>
      </c>
      <c r="I7" s="1126" t="s">
        <v>301</v>
      </c>
    </row>
    <row r="8" spans="1:9" ht="15" customHeight="1">
      <c r="A8" s="1124" t="s">
        <v>302</v>
      </c>
      <c r="B8" s="1125"/>
      <c r="C8" s="526" t="s">
        <v>302</v>
      </c>
      <c r="D8" s="526" t="s">
        <v>303</v>
      </c>
      <c r="G8">
        <v>118.2495985435732</v>
      </c>
      <c r="H8" s="1123" t="s">
        <v>304</v>
      </c>
      <c r="I8" s="1126" t="s">
        <v>305</v>
      </c>
    </row>
    <row r="9" spans="1:9">
      <c r="A9" s="1124" t="s">
        <v>217</v>
      </c>
      <c r="B9" s="795">
        <v>760.95040645564961</v>
      </c>
      <c r="C9" s="526" t="s">
        <v>217</v>
      </c>
      <c r="D9" s="1123" t="s">
        <v>217</v>
      </c>
      <c r="E9" s="795">
        <v>383.49797670878706</v>
      </c>
      <c r="F9">
        <f>RANK(E9,E$5:E$13)</f>
        <v>2</v>
      </c>
    </row>
    <row r="10" spans="1:9" ht="15" customHeight="1">
      <c r="A10" s="1124" t="s">
        <v>299</v>
      </c>
      <c r="B10" s="795">
        <v>581.29629024020744</v>
      </c>
      <c r="C10" s="526" t="s">
        <v>299</v>
      </c>
      <c r="F10" s="1127"/>
    </row>
    <row r="11" spans="1:9" ht="15" customHeight="1">
      <c r="A11" s="1124"/>
      <c r="B11" s="1125"/>
      <c r="F11" s="1127"/>
    </row>
    <row r="12" spans="1:9" ht="16.5">
      <c r="A12" s="1124" t="s">
        <v>306</v>
      </c>
      <c r="B12" s="1125"/>
      <c r="C12" s="526" t="s">
        <v>306</v>
      </c>
      <c r="D12" s="526" t="s">
        <v>307</v>
      </c>
      <c r="F12" s="1127"/>
    </row>
    <row r="13" spans="1:9" ht="14.5">
      <c r="A13" s="1124" t="s">
        <v>301</v>
      </c>
      <c r="B13" s="795">
        <v>118.93830336425459</v>
      </c>
      <c r="C13" s="526" t="s">
        <v>301</v>
      </c>
      <c r="D13" s="1123" t="s">
        <v>308</v>
      </c>
      <c r="E13" s="795">
        <v>592.05513001502868</v>
      </c>
      <c r="F13">
        <f>RANK(E13,E$5:E$13)</f>
        <v>1</v>
      </c>
    </row>
    <row r="14" spans="1:9" ht="14.5">
      <c r="A14" s="1124" t="s">
        <v>308</v>
      </c>
      <c r="B14" s="795">
        <v>605.49529427385403</v>
      </c>
      <c r="C14" s="526" t="s">
        <v>308</v>
      </c>
    </row>
    <row r="15" spans="1:9" ht="16.5">
      <c r="A15" s="1124" t="s">
        <v>305</v>
      </c>
      <c r="B15" s="795">
        <v>118.2495985435732</v>
      </c>
      <c r="C15" s="526" t="s">
        <v>305</v>
      </c>
      <c r="F15" s="1127"/>
    </row>
  </sheetData>
  <mergeCells count="2">
    <mergeCell ref="B1:D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SCOREBOARD</vt:lpstr>
      <vt:lpstr>R1_G1</vt:lpstr>
      <vt:lpstr>R1_G2</vt:lpstr>
      <vt:lpstr>R1_G3</vt:lpstr>
      <vt:lpstr>R1_G4</vt:lpstr>
      <vt:lpstr>R2_G1</vt:lpstr>
      <vt:lpstr>R2_G2</vt:lpstr>
      <vt:lpstr>R2_G3</vt:lpstr>
      <vt:lpstr>R2_G4</vt:lpstr>
      <vt:lpstr>R3_G1</vt:lpstr>
      <vt:lpstr>R3_G2</vt:lpstr>
      <vt:lpstr>R3_G3</vt:lpstr>
      <vt:lpstr>R3_G4</vt:lpstr>
      <vt:lpstr>R4_G1</vt:lpstr>
      <vt:lpstr>R4_G2</vt:lpstr>
      <vt:lpstr>R4_G3</vt:lpstr>
      <vt:lpstr>R4_G4</vt:lpstr>
      <vt:lpstr>Captains Card 1</vt:lpstr>
      <vt:lpstr>Captains Card 2</vt:lpstr>
      <vt:lpstr>Master Input</vt:lpstr>
      <vt:lpstr>Match Selection</vt:lpstr>
      <vt:lpstr>FINAL COUNTDOWN</vt:lpstr>
      <vt:lpstr>Grint Handis</vt:lpstr>
      <vt:lpstr>Course List</vt:lpstr>
      <vt:lpstr>ALL SCORES</vt:lpstr>
      <vt:lpstr>Locked Bets Setup</vt:lpstr>
      <vt:lpstr>Player Analytics</vt:lpstr>
      <vt:lpstr>Ghost Selection</vt:lpstr>
      <vt:lpstr>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cp:lastModifiedBy>
  <dcterms:modified xsi:type="dcterms:W3CDTF">2026-05-29T12:50:14Z</dcterms:modified>
</cp:coreProperties>
</file>